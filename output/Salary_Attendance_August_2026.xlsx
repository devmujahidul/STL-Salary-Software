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_PO" sheetId="1" r:id="rId1"/>
    <sheet name="FIXED" sheetId="2" r:id="rId2"/>
    <sheet name="PRODUCTION" sheetId="3" r:id="rId3"/>
    <sheet name="Lists" sheetId="4" r:id="rId4"/>
  </sheets>
  <definedNames>
    <definedName name="_xlnm._FilterDatabase" localSheetId="1" hidden="1">FIXED!$A$5:$AT$2792</definedName>
    <definedName name="_xlnm._FilterDatabase" localSheetId="0" hidden="1">'LO_PO'!$A$5:$AT$272</definedName>
    <definedName name="_xlnm._FilterDatabase" localSheetId="2" hidden="1">PRODUCTION!$A$5:$AT$1268</definedName>
    <definedName name="FIXED_LabelFormula">'FIXED'!$AX$2</definedName>
    <definedName name="FIXED_SubSectionCell">'FIXED'!$A$4</definedName>
    <definedName name="FIXED_SubSections">'FIXED'!$AW$2:$AW$35</definedName>
    <definedName name="FooterSignatures">Lists!$A$2:$A$4</definedName>
    <definedName name="LO_PO_LabelFormula">'LO_PO'!$AX$2</definedName>
    <definedName name="LO_PO_SubSectionCell">'LO_PO'!$A$4</definedName>
    <definedName name="LO_PO_SubSections">'LO_PO'!$AW$2:$AW$16</definedName>
    <definedName name="_xlnm.Print_Area" localSheetId="1">FIXED!$A$1:$AS$2792</definedName>
    <definedName name="_xlnm.Print_Area" localSheetId="0">'LO_PO'!$A$1:$AS$272</definedName>
    <definedName name="_xlnm.Print_Area" localSheetId="2">PRODUCTION!$A$1:$AS$1268</definedName>
    <definedName name="_xlnm.Print_Titles" localSheetId="1">FIXED!$1:$5</definedName>
    <definedName name="_xlnm.Print_Titles" localSheetId="0">'LO_PO'!$1:$5</definedName>
    <definedName name="_xlnm.Print_Titles" localSheetId="2">PRODUCTION!$1:$5</definedName>
    <definedName name="PRODUCTION_LabelFormula">'PRODUCTION'!$AX$2</definedName>
    <definedName name="PRODUCTION_SubSectionCell">'PRODUCTION'!$A$4</definedName>
    <definedName name="PRODUCTION_SubSections">'PRODUCTION'!$AW$2:$AW$6</definedName>
  </definedNames>
  <calcPr calcId="124519" fullCalcOnLoad="1"/>
</workbook>
</file>

<file path=xl/sharedStrings.xml><?xml version="1.0" encoding="utf-8"?>
<sst xmlns="http://schemas.openxmlformats.org/spreadsheetml/2006/main" count="53107" uniqueCount="2905">
  <si>
    <t>Spring Trade Ltd.</t>
  </si>
  <si>
    <t>Plot# 42, Konapara,Tenguri, Zirani, BKSP, Savar, Dhaka.</t>
  </si>
  <si>
    <t>ATTENDANCE FOR July - August 2026</t>
  </si>
  <si>
    <t>Sub sections</t>
  </si>
  <si>
    <t>All</t>
  </si>
  <si>
    <t>AO-Barteck</t>
  </si>
  <si>
    <t>AO-Finishing</t>
  </si>
  <si>
    <t>AO-Hole Button</t>
  </si>
  <si>
    <t>AO-Iron</t>
  </si>
  <si>
    <t>AO-Jacquard</t>
  </si>
  <si>
    <t>AO-Knitting</t>
  </si>
  <si>
    <t>AO-Linking</t>
  </si>
  <si>
    <t>AO-Mending</t>
  </si>
  <si>
    <t>AO-Packing</t>
  </si>
  <si>
    <t>AO-Refinal</t>
  </si>
  <si>
    <t>AO-Sewing</t>
  </si>
  <si>
    <t>AO-Trimming</t>
  </si>
  <si>
    <t>AO-Winding</t>
  </si>
  <si>
    <t>Store Loader</t>
  </si>
  <si>
    <t>SL</t>
  </si>
  <si>
    <t>Name</t>
  </si>
  <si>
    <t>Id No</t>
  </si>
  <si>
    <t>Designation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</si>
  <si>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</si>
  <si>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</si>
  <si>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</si>
  <si>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</si>
  <si>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</si>
  <si>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</si>
  <si>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</si>
  <si>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</si>
  <si>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</si>
  <si>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</si>
  <si>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</si>
  <si>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</si>
  <si>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</si>
  <si>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</si>
  <si>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</si>
  <si>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</si>
  <si>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</si>
  <si>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</si>
  <si>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</si>
  <si>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</si>
  <si>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</si>
  <si>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</si>
  <si>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</si>
  <si>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</si>
  <si>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</si>
  <si>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</si>
  <si>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</si>
  <si>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</si>
  <si>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</si>
  <si>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</si>
  <si>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</si>
  <si>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</t>
  </si>
  <si>
    <t>A</t>
  </si>
  <si>
    <t>OT</t>
  </si>
  <si>
    <t>EOT</t>
  </si>
  <si>
    <t>TOT</t>
  </si>
  <si>
    <t>CL</t>
  </si>
  <si>
    <t>EL</t>
  </si>
  <si>
    <t>H</t>
  </si>
  <si>
    <t>Signature</t>
  </si>
  <si>
    <t>SubSection Filter</t>
  </si>
  <si>
    <t>Mst. Jahura Khatun</t>
  </si>
  <si>
    <t>PO-0790</t>
  </si>
  <si>
    <t>Probation</t>
  </si>
  <si>
    <t>W</t>
  </si>
  <si>
    <t>Mst. Jeli Akter</t>
  </si>
  <si>
    <t>PO-0824</t>
  </si>
  <si>
    <t>Md. Nadim</t>
  </si>
  <si>
    <t>PO-0830</t>
  </si>
  <si>
    <t>Nasrin Begum</t>
  </si>
  <si>
    <t>PO-0728</t>
  </si>
  <si>
    <t>Lipi Rani</t>
  </si>
  <si>
    <t>PO-0730</t>
  </si>
  <si>
    <t>Mst. Salma Khatun</t>
  </si>
  <si>
    <t>PO-0793</t>
  </si>
  <si>
    <t>Mst. Aklima Khatun</t>
  </si>
  <si>
    <t>PO-0795</t>
  </si>
  <si>
    <t>Munny Khatun</t>
  </si>
  <si>
    <t>PO-0808</t>
  </si>
  <si>
    <t>Md. Lipon Mia</t>
  </si>
  <si>
    <t>PO-0739</t>
  </si>
  <si>
    <t>Md. Parvez Akter</t>
  </si>
  <si>
    <t>PO-0782</t>
  </si>
  <si>
    <t>Md. Lemon Akndo</t>
  </si>
  <si>
    <t>PO-0816</t>
  </si>
  <si>
    <t>Md. Din Islam</t>
  </si>
  <si>
    <t>PO-0704</t>
  </si>
  <si>
    <t>Md. nasir Uddin</t>
  </si>
  <si>
    <t>PO-0735</t>
  </si>
  <si>
    <t>Md. Mahedi Sarkar</t>
  </si>
  <si>
    <t>PO-0745</t>
  </si>
  <si>
    <t>Amin Sardar</t>
  </si>
  <si>
    <t>PO-0749</t>
  </si>
  <si>
    <t>Md. Ariful Islam</t>
  </si>
  <si>
    <t>PO-0751</t>
  </si>
  <si>
    <t>Md. Josim Uddin</t>
  </si>
  <si>
    <t>PO-0752</t>
  </si>
  <si>
    <t>Shahadat Hossain</t>
  </si>
  <si>
    <t>PO-0755</t>
  </si>
  <si>
    <t>Md. Jisan Haque</t>
  </si>
  <si>
    <t>PO-0758</t>
  </si>
  <si>
    <t>Sanjay Pal</t>
  </si>
  <si>
    <t>PO-0759</t>
  </si>
  <si>
    <t>Shishir Sarkar</t>
  </si>
  <si>
    <t>PO-0760</t>
  </si>
  <si>
    <t>Md. Mizanur Rahman Sagor</t>
  </si>
  <si>
    <t>PO-0762</t>
  </si>
  <si>
    <t>Md. Aminul Islam</t>
  </si>
  <si>
    <t>PO-0770</t>
  </si>
  <si>
    <t>Md. Robiul Islam</t>
  </si>
  <si>
    <t>PO-0771</t>
  </si>
  <si>
    <t>Shanto Mia</t>
  </si>
  <si>
    <t>PO-0781</t>
  </si>
  <si>
    <t>Al Mamun Molla</t>
  </si>
  <si>
    <t>PO-0803</t>
  </si>
  <si>
    <t>Md. Ayan Islam</t>
  </si>
  <si>
    <t>PO-0817</t>
  </si>
  <si>
    <t>Md. Golap Khondokar</t>
  </si>
  <si>
    <t>PO-0818</t>
  </si>
  <si>
    <t>Md. Nahid Mia</t>
  </si>
  <si>
    <t>PO-0819</t>
  </si>
  <si>
    <t>Md. Mohiuddin</t>
  </si>
  <si>
    <t>PO-0823</t>
  </si>
  <si>
    <t>Md. Hasibul Islam</t>
  </si>
  <si>
    <t>PO-0827</t>
  </si>
  <si>
    <t>Md. Arman</t>
  </si>
  <si>
    <t>PO-0832</t>
  </si>
  <si>
    <t>Md. Nasir Uddin Ahmmed</t>
  </si>
  <si>
    <t>PO-0833</t>
  </si>
  <si>
    <t>Md. Rakib Hasan</t>
  </si>
  <si>
    <t>PO-0834</t>
  </si>
  <si>
    <t>Mst.Rujina Akter</t>
  </si>
  <si>
    <t>PO-0713</t>
  </si>
  <si>
    <t>Robiul Islam</t>
  </si>
  <si>
    <t>PO-0740</t>
  </si>
  <si>
    <t>Abdullah</t>
  </si>
  <si>
    <t>PO-0756</t>
  </si>
  <si>
    <t>Md. Kamrul Hassan</t>
  </si>
  <si>
    <t>PO-0774</t>
  </si>
  <si>
    <t>Md. Forhad Hossain</t>
  </si>
  <si>
    <t>PO-0775</t>
  </si>
  <si>
    <t>Md. Rana Mia</t>
  </si>
  <si>
    <t>PO-0779</t>
  </si>
  <si>
    <t>Md. Younus Ali</t>
  </si>
  <si>
    <t>PO-0796</t>
  </si>
  <si>
    <t>Md. Thahidul Islam</t>
  </si>
  <si>
    <t>PO-0799</t>
  </si>
  <si>
    <t>Md. Maruf Hasan</t>
  </si>
  <si>
    <t>PO-0800</t>
  </si>
  <si>
    <t>Md. Aynal Haque</t>
  </si>
  <si>
    <t>PO-0801</t>
  </si>
  <si>
    <t>Jibon Rajbongshi</t>
  </si>
  <si>
    <t>PO-0804</t>
  </si>
  <si>
    <t>Md. Naim Hasan</t>
  </si>
  <si>
    <t>PO-0807</t>
  </si>
  <si>
    <t>Md. Saeyam Babu</t>
  </si>
  <si>
    <t>PO-0810</t>
  </si>
  <si>
    <t>Md. Monir Hossain</t>
  </si>
  <si>
    <t>PO-0815</t>
  </si>
  <si>
    <t>Biplob Mia</t>
  </si>
  <si>
    <t>PO-0722</t>
  </si>
  <si>
    <t>Md. Juwel Talukdar</t>
  </si>
  <si>
    <t>PO-0765</t>
  </si>
  <si>
    <t>Mst. Beuti Khatun</t>
  </si>
  <si>
    <t>PO-0783</t>
  </si>
  <si>
    <t>Mst. Anzira Khatun</t>
  </si>
  <si>
    <t>PO-0822</t>
  </si>
  <si>
    <t>Md. Shafirul Islam</t>
  </si>
  <si>
    <t>PO-0826</t>
  </si>
  <si>
    <t>Md. Rahul</t>
  </si>
  <si>
    <t>PO-0829</t>
  </si>
  <si>
    <t>Munna</t>
  </si>
  <si>
    <t>PO-0831</t>
  </si>
  <si>
    <t>Kumari Shoptomi Rani</t>
  </si>
  <si>
    <t>PO-0811</t>
  </si>
  <si>
    <t>Mst. Sumaiya Akter</t>
  </si>
  <si>
    <t>PO-0821</t>
  </si>
  <si>
    <t>Mst. Rina Akter</t>
  </si>
  <si>
    <t>PO-0825</t>
  </si>
  <si>
    <t>Mst. Hsneara Begum</t>
  </si>
  <si>
    <t>PO-0784</t>
  </si>
  <si>
    <t>Muradur Rahman</t>
  </si>
  <si>
    <t>PO-0794</t>
  </si>
  <si>
    <t>Md. Sahan Ahmed</t>
  </si>
  <si>
    <t>PO-0812</t>
  </si>
  <si>
    <t>Mst. Shima Khatun</t>
  </si>
  <si>
    <t>PO-0814</t>
  </si>
  <si>
    <t>PO-0725</t>
  </si>
  <si>
    <t>Chamely</t>
  </si>
  <si>
    <t>PO-0731</t>
  </si>
  <si>
    <t>Mst. Rejeya Begum</t>
  </si>
  <si>
    <t>PO-0787</t>
  </si>
  <si>
    <t>Mst. Fahim Khatun</t>
  </si>
  <si>
    <t>PO-0788</t>
  </si>
  <si>
    <t>Mst. Jasmin Khatun</t>
  </si>
  <si>
    <t>PO-0802</t>
  </si>
  <si>
    <t>Mst. Aysha Khatun</t>
  </si>
  <si>
    <t>PO-0805</t>
  </si>
  <si>
    <t>Mst. Anjuara Khatun</t>
  </si>
  <si>
    <t>PO-0806</t>
  </si>
  <si>
    <t>Mst. Mahmuda</t>
  </si>
  <si>
    <t>PO-0719</t>
  </si>
  <si>
    <t>Md. Abdur Razzak</t>
  </si>
  <si>
    <t>LO-0051</t>
  </si>
  <si>
    <t>Probation (Loader)</t>
  </si>
  <si>
    <t>Md. Fozlul Haque</t>
  </si>
  <si>
    <t>LO-0058</t>
  </si>
  <si>
    <t>Md. Azizul</t>
  </si>
  <si>
    <t>LO-0059</t>
  </si>
  <si>
    <t>Oronno Sarkar</t>
  </si>
  <si>
    <t>LO-0060</t>
  </si>
  <si>
    <t>Mst. Jahanara Begum</t>
  </si>
  <si>
    <t>PO-0712</t>
  </si>
  <si>
    <t>Mis. Rajia Akter</t>
  </si>
  <si>
    <t>PO-0714</t>
  </si>
  <si>
    <t>Buli</t>
  </si>
  <si>
    <t>PO-0716</t>
  </si>
  <si>
    <t>Md. Sujib Hossain</t>
  </si>
  <si>
    <t>PO-0769</t>
  </si>
  <si>
    <t>Md.Mostfizur Raman</t>
  </si>
  <si>
    <t>LO-0044</t>
  </si>
  <si>
    <t>Md.Mohasin Ali</t>
  </si>
  <si>
    <t>LO-0045</t>
  </si>
  <si>
    <t>Md.Alim</t>
  </si>
  <si>
    <t>LO-0047</t>
  </si>
  <si>
    <t>Md.Hafizul</t>
  </si>
  <si>
    <t>LO-0048</t>
  </si>
  <si>
    <t>Md. Rasel Mondol</t>
  </si>
  <si>
    <t>LO-0050</t>
  </si>
  <si>
    <t>Md. Enamul Haque</t>
  </si>
  <si>
    <t>LO-0054</t>
  </si>
  <si>
    <t>Abed Ali</t>
  </si>
  <si>
    <t>LO-0056</t>
  </si>
  <si>
    <t>Dulal</t>
  </si>
  <si>
    <t>LO-0057</t>
  </si>
  <si>
    <t>LO-0061</t>
  </si>
  <si>
    <t>Md. Rana Shake</t>
  </si>
  <si>
    <t>LO-0062</t>
  </si>
  <si>
    <t>Md. Mamunor Roshid</t>
  </si>
  <si>
    <t>LO-0063</t>
  </si>
  <si>
    <t>="Sub Section: "&amp;IF(AND(SUBTOTAL(103,$A$6:$A$272)&lt;COUNTA($A$6:$A$272),TEXTJOIN(" + ",TRUE,AV6:AV19)&lt;&gt;""),TEXTJOIN(" + ",TRUE,AV6:AV19),"All")</t>
  </si>
  <si>
    <t>AO-Sample</t>
  </si>
  <si>
    <t>Barteck</t>
  </si>
  <si>
    <t>Cleaner and Sweaper</t>
  </si>
  <si>
    <t>Finishing</t>
  </si>
  <si>
    <t>Hole Button</t>
  </si>
  <si>
    <t>Jacquard 4th Floor</t>
  </si>
  <si>
    <t>Jacquard 5th Floor</t>
  </si>
  <si>
    <t>Jacquard Ground Floor</t>
  </si>
  <si>
    <t>Light Check</t>
  </si>
  <si>
    <t>Mending Finishing</t>
  </si>
  <si>
    <t>Mending-Knitting</t>
  </si>
  <si>
    <t>Overlock</t>
  </si>
  <si>
    <t>Packing</t>
  </si>
  <si>
    <t>Refinal &amp; Get up</t>
  </si>
  <si>
    <t>Security</t>
  </si>
  <si>
    <t>Sewing</t>
  </si>
  <si>
    <t>Trimming</t>
  </si>
  <si>
    <t>Wash</t>
  </si>
  <si>
    <t>Winding</t>
  </si>
  <si>
    <t>Winding Loader</t>
  </si>
  <si>
    <t>Hasna Begum</t>
  </si>
  <si>
    <t>AO-0158</t>
  </si>
  <si>
    <t>Asst. Operator</t>
  </si>
  <si>
    <t>Nasima</t>
  </si>
  <si>
    <t>AO-0554</t>
  </si>
  <si>
    <t>Joba Bibi</t>
  </si>
  <si>
    <t>AO-0565</t>
  </si>
  <si>
    <t>Ms. Rina Begum</t>
  </si>
  <si>
    <t>AO-0815</t>
  </si>
  <si>
    <t>Mst. Raziya</t>
  </si>
  <si>
    <t>AO-1238</t>
  </si>
  <si>
    <t>Minu Begum</t>
  </si>
  <si>
    <t>AO-1249</t>
  </si>
  <si>
    <t>Sahina</t>
  </si>
  <si>
    <t>AO-1497</t>
  </si>
  <si>
    <t>Mst.Arjina Begum</t>
  </si>
  <si>
    <t>AO-1678</t>
  </si>
  <si>
    <t>Mst. Anjuara Begum</t>
  </si>
  <si>
    <t>AO-1720</t>
  </si>
  <si>
    <t>Sreemoti Soniti Rani Dash</t>
  </si>
  <si>
    <t>AO-1732</t>
  </si>
  <si>
    <t>Kulsum</t>
  </si>
  <si>
    <t>AO-0313</t>
  </si>
  <si>
    <t>Mst. Lipi</t>
  </si>
  <si>
    <t>AO-0563</t>
  </si>
  <si>
    <t>AO-0680</t>
  </si>
  <si>
    <t>Ms. Bebi Begum</t>
  </si>
  <si>
    <t>AO-0893</t>
  </si>
  <si>
    <t>Ms. Rokeya Begum</t>
  </si>
  <si>
    <t>AO-0894</t>
  </si>
  <si>
    <t>Ms. Morzina</t>
  </si>
  <si>
    <t>AO-1042</t>
  </si>
  <si>
    <t>Mst. Lilyma Begum</t>
  </si>
  <si>
    <t>AO-1382</t>
  </si>
  <si>
    <t>Mst. Nurbanu</t>
  </si>
  <si>
    <t>AO-1390</t>
  </si>
  <si>
    <t>Mst. Nazma Begum</t>
  </si>
  <si>
    <t>AO-1556</t>
  </si>
  <si>
    <t>Mst. Hazra Khatun</t>
  </si>
  <si>
    <t>AO-1557</t>
  </si>
  <si>
    <t>Mst.Mukti Begum</t>
  </si>
  <si>
    <t>AO-1624</t>
  </si>
  <si>
    <t>Mst.Shahana Begum</t>
  </si>
  <si>
    <t>AO-1632</t>
  </si>
  <si>
    <t>Mst.Balika Begum</t>
  </si>
  <si>
    <t>AO-1670</t>
  </si>
  <si>
    <t>Mst.Arzina Akter</t>
  </si>
  <si>
    <t>AO-1688</t>
  </si>
  <si>
    <t>Md.Alamgir Hossain Masim</t>
  </si>
  <si>
    <t>AO-1727</t>
  </si>
  <si>
    <t>Mst.Rasma Khatun</t>
  </si>
  <si>
    <t>AO-1773</t>
  </si>
  <si>
    <t>Mst.Rozina Begum</t>
  </si>
  <si>
    <t>AO-1782</t>
  </si>
  <si>
    <t>Mayna Miah</t>
  </si>
  <si>
    <t>AO-1803</t>
  </si>
  <si>
    <t>Mst. Rupsana Khatun</t>
  </si>
  <si>
    <t>AO-1821</t>
  </si>
  <si>
    <t>Mst. Lili Begum</t>
  </si>
  <si>
    <t>AO-1822</t>
  </si>
  <si>
    <t>Mst. Laiju Khatun</t>
  </si>
  <si>
    <t>AO-1823</t>
  </si>
  <si>
    <t>Shafia Begum</t>
  </si>
  <si>
    <t>AO-1827</t>
  </si>
  <si>
    <t>Momota</t>
  </si>
  <si>
    <t>AO-0667</t>
  </si>
  <si>
    <t>Dulali Begum</t>
  </si>
  <si>
    <t>AO-0823</t>
  </si>
  <si>
    <t>Ms. Jue Begum</t>
  </si>
  <si>
    <t>AO-1011</t>
  </si>
  <si>
    <t>Roushonara</t>
  </si>
  <si>
    <t>AO-1223</t>
  </si>
  <si>
    <t>Ms. Latifa Begum</t>
  </si>
  <si>
    <t>AO-1260</t>
  </si>
  <si>
    <t>Rashida Begum</t>
  </si>
  <si>
    <t>AO-1352</t>
  </si>
  <si>
    <t>Mst.Sajeda Begum</t>
  </si>
  <si>
    <t>AO-1502</t>
  </si>
  <si>
    <t>Mst. Souvan Begum</t>
  </si>
  <si>
    <t>AO-1580</t>
  </si>
  <si>
    <t>Mst.Rahela Khatun</t>
  </si>
  <si>
    <t>AO-1621</t>
  </si>
  <si>
    <t>Rukiya Akter</t>
  </si>
  <si>
    <t>AO-1627</t>
  </si>
  <si>
    <t>Mst.Nasima Bibi</t>
  </si>
  <si>
    <t>AO-1636</t>
  </si>
  <si>
    <t>Abdus Samad</t>
  </si>
  <si>
    <t>AO-1151</t>
  </si>
  <si>
    <t>Mst.Suma Khatun</t>
  </si>
  <si>
    <t>AO-1762</t>
  </si>
  <si>
    <t>Md.Abdus Salam</t>
  </si>
  <si>
    <t>AO-1772</t>
  </si>
  <si>
    <t>Md. Nur Haque Alom</t>
  </si>
  <si>
    <t>AO-1825</t>
  </si>
  <si>
    <t>Ruma Akter</t>
  </si>
  <si>
    <t>AO-0029</t>
  </si>
  <si>
    <t>Sultana</t>
  </si>
  <si>
    <t>AO-0473</t>
  </si>
  <si>
    <t>Arzina Begum</t>
  </si>
  <si>
    <t>AO-0779</t>
  </si>
  <si>
    <t>Md. Kamrul Islam</t>
  </si>
  <si>
    <t>AO-1045</t>
  </si>
  <si>
    <t>Rasida</t>
  </si>
  <si>
    <t>AO-1048</t>
  </si>
  <si>
    <t>Shema Khatun</t>
  </si>
  <si>
    <t>AO-1190</t>
  </si>
  <si>
    <t>Md. Rezaul Karim</t>
  </si>
  <si>
    <t>AO-1291</t>
  </si>
  <si>
    <t>Md.Joynul Islam</t>
  </si>
  <si>
    <t>AO-1511</t>
  </si>
  <si>
    <t>Md. Alamin Mia</t>
  </si>
  <si>
    <t>AO-1515</t>
  </si>
  <si>
    <t>Md.Rubel Miya</t>
  </si>
  <si>
    <t>AO-1527</t>
  </si>
  <si>
    <t>Md.Mahmudar Rasid</t>
  </si>
  <si>
    <t>AO-1537</t>
  </si>
  <si>
    <t>Shojata Akter</t>
  </si>
  <si>
    <t>AO-1581</t>
  </si>
  <si>
    <t>Md.Foridul Islam</t>
  </si>
  <si>
    <t>AO-1582</t>
  </si>
  <si>
    <t>Rasel</t>
  </si>
  <si>
    <t>AO-1584</t>
  </si>
  <si>
    <t>Md.Metu Mia</t>
  </si>
  <si>
    <t>AO-1598</t>
  </si>
  <si>
    <t>Mousumi</t>
  </si>
  <si>
    <t>AO-1654</t>
  </si>
  <si>
    <t>Md.Rubel Mia</t>
  </si>
  <si>
    <t>AO-1680</t>
  </si>
  <si>
    <t>Md.Nazmul Mia</t>
  </si>
  <si>
    <t>AO-1681</t>
  </si>
  <si>
    <t>Md.Anisur Arif</t>
  </si>
  <si>
    <t>AO-1691</t>
  </si>
  <si>
    <t>Josim Uddin</t>
  </si>
  <si>
    <t>AO-1718</t>
  </si>
  <si>
    <t>Jiaur Rahman</t>
  </si>
  <si>
    <t>AO-1719</t>
  </si>
  <si>
    <t>Md.Anowar Hossen</t>
  </si>
  <si>
    <t>AO-1741</t>
  </si>
  <si>
    <t>Md.Limon Mondol</t>
  </si>
  <si>
    <t>AO-1742</t>
  </si>
  <si>
    <t>Md.Rakibul Islam Rakib</t>
  </si>
  <si>
    <t>AO-1748</t>
  </si>
  <si>
    <t>Md.Mostafizur Rahman</t>
  </si>
  <si>
    <t>AO-1749</t>
  </si>
  <si>
    <t>Md.Sopan</t>
  </si>
  <si>
    <t>AO-1753</t>
  </si>
  <si>
    <t>Md. Rasel Sarker</t>
  </si>
  <si>
    <t>AO-1805</t>
  </si>
  <si>
    <t>Md. Rimel Hasan</t>
  </si>
  <si>
    <t>AO-1808</t>
  </si>
  <si>
    <t>Kamal</t>
  </si>
  <si>
    <t>AO-0905</t>
  </si>
  <si>
    <t>Amirul Haque</t>
  </si>
  <si>
    <t>AO-0959</t>
  </si>
  <si>
    <t>Md. Monir Khan</t>
  </si>
  <si>
    <t>AO-1180</t>
  </si>
  <si>
    <t>Md. Ab: Aziz</t>
  </si>
  <si>
    <t>AO-1181</t>
  </si>
  <si>
    <t>Ms. Manija Khatun</t>
  </si>
  <si>
    <t>AO-1427</t>
  </si>
  <si>
    <t>Dipu Saha</t>
  </si>
  <si>
    <t>AO-1524</t>
  </si>
  <si>
    <t>Md.Raju Mia</t>
  </si>
  <si>
    <t>AO-1604</t>
  </si>
  <si>
    <t>Md.Shukkur Ali</t>
  </si>
  <si>
    <t>AO-1638</t>
  </si>
  <si>
    <t>Toroni Kanto Ray</t>
  </si>
  <si>
    <t>AO-1640</t>
  </si>
  <si>
    <t>Md. Abul Kashem</t>
  </si>
  <si>
    <t>AO-1671</t>
  </si>
  <si>
    <t>Nitai Sutradhar</t>
  </si>
  <si>
    <t>AO-1729</t>
  </si>
  <si>
    <t>Md.Al-Amin</t>
  </si>
  <si>
    <t>AO-1738</t>
  </si>
  <si>
    <t>Md.Rabbi Hossen</t>
  </si>
  <si>
    <t>AO-1739</t>
  </si>
  <si>
    <t>Md.Sabbir Kobiraz</t>
  </si>
  <si>
    <t>AO-1745</t>
  </si>
  <si>
    <t>Md.Shamim Sheikh</t>
  </si>
  <si>
    <t>AO-1778</t>
  </si>
  <si>
    <t>Md.Rasal Mia</t>
  </si>
  <si>
    <t>AO-1780</t>
  </si>
  <si>
    <t>Md.Younus Mondol</t>
  </si>
  <si>
    <t>AO-1781</t>
  </si>
  <si>
    <t>Nimy Pail</t>
  </si>
  <si>
    <t>AO-1784</t>
  </si>
  <si>
    <t>MN-0496</t>
  </si>
  <si>
    <t>Jr. Operator</t>
  </si>
  <si>
    <t>Mst. Sultana Begum</t>
  </si>
  <si>
    <t>MN-0533</t>
  </si>
  <si>
    <t>Mst. Robina Begum</t>
  </si>
  <si>
    <t>MN-0546</t>
  </si>
  <si>
    <t>Kakon</t>
  </si>
  <si>
    <t>AO-0915</t>
  </si>
  <si>
    <t>Murshida Begum</t>
  </si>
  <si>
    <t>AO-0934</t>
  </si>
  <si>
    <t>Ms. Aysa Begum</t>
  </si>
  <si>
    <t>AO-1025</t>
  </si>
  <si>
    <t>Ms. Anowara</t>
  </si>
  <si>
    <t>AO-1031</t>
  </si>
  <si>
    <t>Ms. Aklima</t>
  </si>
  <si>
    <t>AO-1150</t>
  </si>
  <si>
    <t>Lakhi Akter</t>
  </si>
  <si>
    <t>AO-1166</t>
  </si>
  <si>
    <t>Mst: Monuara Brgum</t>
  </si>
  <si>
    <t>AO-1237</t>
  </si>
  <si>
    <t>Modhumita Sarkar</t>
  </si>
  <si>
    <t>AO-1411</t>
  </si>
  <si>
    <t>Sima Rani Bissas</t>
  </si>
  <si>
    <t>AO-1437</t>
  </si>
  <si>
    <t>Jasmin</t>
  </si>
  <si>
    <t>AO-1481</t>
  </si>
  <si>
    <t>Mst.Morsheda Begum</t>
  </si>
  <si>
    <t>AO-1496</t>
  </si>
  <si>
    <t>Mst. Munzila Khatun</t>
  </si>
  <si>
    <t>AO-1544</t>
  </si>
  <si>
    <t>Mst. Nurunnahar</t>
  </si>
  <si>
    <t>AO-1545</t>
  </si>
  <si>
    <t>Mst. Aklima Begum</t>
  </si>
  <si>
    <t>AO-1553</t>
  </si>
  <si>
    <t>Bilkis</t>
  </si>
  <si>
    <t>AO-1554</t>
  </si>
  <si>
    <t>Mst. Bilkis Begum</t>
  </si>
  <si>
    <t>AO-1555</t>
  </si>
  <si>
    <t>Rujina Akter Joli</t>
  </si>
  <si>
    <t>AO-1572</t>
  </si>
  <si>
    <t>Mst.Hashina Khatun</t>
  </si>
  <si>
    <t>AO-1625</t>
  </si>
  <si>
    <t>Mst.Happy Khatun</t>
  </si>
  <si>
    <t>AO-1660</t>
  </si>
  <si>
    <t>Mst.Rokshana</t>
  </si>
  <si>
    <t>AO-1684</t>
  </si>
  <si>
    <t>Mst.Shisty Khatun</t>
  </si>
  <si>
    <t>AO-1687</t>
  </si>
  <si>
    <t>Mst.Momta Begum</t>
  </si>
  <si>
    <t>AO-1731</t>
  </si>
  <si>
    <t>Mst.Ratna Begum</t>
  </si>
  <si>
    <t>AO-1733</t>
  </si>
  <si>
    <t>Mst.Amana Begum</t>
  </si>
  <si>
    <t>AO-1767</t>
  </si>
  <si>
    <t>Mst.Ive Akter</t>
  </si>
  <si>
    <t>AO-1774</t>
  </si>
  <si>
    <t>Mst. Moina</t>
  </si>
  <si>
    <t>AO-1783</t>
  </si>
  <si>
    <t>Mst. Forida Begum</t>
  </si>
  <si>
    <t>AO-1811</t>
  </si>
  <si>
    <t>Mst. Laiay Begum</t>
  </si>
  <si>
    <t>AO-1828</t>
  </si>
  <si>
    <t>Most.Jharna Khatun</t>
  </si>
  <si>
    <t>AO-1633</t>
  </si>
  <si>
    <t>Mst.Shilpi Akter</t>
  </si>
  <si>
    <t>AO-1634</t>
  </si>
  <si>
    <t>Mst.Jhorna Khatun</t>
  </si>
  <si>
    <t>AO-1656</t>
  </si>
  <si>
    <t>Mst.Deloara Begum</t>
  </si>
  <si>
    <t>AO-1657</t>
  </si>
  <si>
    <t>Mst.Moniza Khatun</t>
  </si>
  <si>
    <t>AO-1658</t>
  </si>
  <si>
    <t>Mst.Shahinur Begum</t>
  </si>
  <si>
    <t>AO-1659</t>
  </si>
  <si>
    <t>Mst.Mimi Akter</t>
  </si>
  <si>
    <t>AO-1759</t>
  </si>
  <si>
    <t>Mst. Aysa Akter</t>
  </si>
  <si>
    <t>AO-1817</t>
  </si>
  <si>
    <t>Mst. Chameli Begum</t>
  </si>
  <si>
    <t>AO-1824</t>
  </si>
  <si>
    <t>Md. Ekramul Haque</t>
  </si>
  <si>
    <t>WI-0241</t>
  </si>
  <si>
    <t>Loader</t>
  </si>
  <si>
    <t>Md. Foyzur Rahman</t>
  </si>
  <si>
    <t>WI-0242</t>
  </si>
  <si>
    <t>Md. Hasan Mia</t>
  </si>
  <si>
    <t>WI-0243</t>
  </si>
  <si>
    <t>Md. Zarif Islam Pramanik</t>
  </si>
  <si>
    <t>WI-0244</t>
  </si>
  <si>
    <t>Mst.Chayti</t>
  </si>
  <si>
    <t>AO-1700</t>
  </si>
  <si>
    <t>Mst.Roji Begum</t>
  </si>
  <si>
    <t>AO-1702</t>
  </si>
  <si>
    <t>Mst.Bilkis Banu</t>
  </si>
  <si>
    <t>AO-1704</t>
  </si>
  <si>
    <t>Md.Minhajul</t>
  </si>
  <si>
    <t>AO-1760</t>
  </si>
  <si>
    <t>Md. Joy Hasan Gogon</t>
  </si>
  <si>
    <t>AO-1801</t>
  </si>
  <si>
    <t>Md. Alamin Hosen</t>
  </si>
  <si>
    <t>AO-1802</t>
  </si>
  <si>
    <t>Nisfa Akter</t>
  </si>
  <si>
    <t>AO-1807</t>
  </si>
  <si>
    <t>Ruksana</t>
  </si>
  <si>
    <t>AO-1809</t>
  </si>
  <si>
    <t>Md. Repon Mia</t>
  </si>
  <si>
    <t>AO-1831</t>
  </si>
  <si>
    <t>Md. Mionarul Islam</t>
  </si>
  <si>
    <t>AO-1798</t>
  </si>
  <si>
    <t>Md. Azad Ali</t>
  </si>
  <si>
    <t>AO-1830</t>
  </si>
  <si>
    <t>Shabita Akter</t>
  </si>
  <si>
    <t>AO-0133</t>
  </si>
  <si>
    <t>Nurjahan</t>
  </si>
  <si>
    <t>AO-0153</t>
  </si>
  <si>
    <t>Shahinur</t>
  </si>
  <si>
    <t>AO-0596</t>
  </si>
  <si>
    <t>Md. Rayhan Ali</t>
  </si>
  <si>
    <t>AO-1063</t>
  </si>
  <si>
    <t>AO-1083</t>
  </si>
  <si>
    <t>Md. Rakibul</t>
  </si>
  <si>
    <t>AO-1104</t>
  </si>
  <si>
    <t>Mst. Rekha</t>
  </si>
  <si>
    <t>AO-1164</t>
  </si>
  <si>
    <t>Ms. Lovely Begum</t>
  </si>
  <si>
    <t>AO-1211</t>
  </si>
  <si>
    <t>Moznu Mia</t>
  </si>
  <si>
    <t>AO-1215</t>
  </si>
  <si>
    <t>Fazila Khatun</t>
  </si>
  <si>
    <t>AO-1253</t>
  </si>
  <si>
    <t>Ms. Banesha Begum</t>
  </si>
  <si>
    <t>AO-1421</t>
  </si>
  <si>
    <t>Ms. Beauty Khatun</t>
  </si>
  <si>
    <t>AO-1422</t>
  </si>
  <si>
    <t>Mst. Sokina Begum</t>
  </si>
  <si>
    <t>AO-1433</t>
  </si>
  <si>
    <t>Mst.Shamima Khatun</t>
  </si>
  <si>
    <t>AO-1531</t>
  </si>
  <si>
    <t>Mst. Rashida Begum</t>
  </si>
  <si>
    <t>AO-1563</t>
  </si>
  <si>
    <t>Mst. Anna Akter</t>
  </si>
  <si>
    <t>AO-1565</t>
  </si>
  <si>
    <t>Mst. Hafiza Khatun</t>
  </si>
  <si>
    <t>AO-1575</t>
  </si>
  <si>
    <t>Md. Selina Brgum</t>
  </si>
  <si>
    <t>AO-1576</t>
  </si>
  <si>
    <t>Sree Moti Ruposhi Rani</t>
  </si>
  <si>
    <t>AO-1619</t>
  </si>
  <si>
    <t>Mst.Mollika Begum</t>
  </si>
  <si>
    <t>AO-1620</t>
  </si>
  <si>
    <t>Mst.Rekha Begum</t>
  </si>
  <si>
    <t>AO-1622</t>
  </si>
  <si>
    <t>Mst.Nurnahar Khatun</t>
  </si>
  <si>
    <t>AO-1651</t>
  </si>
  <si>
    <t>Mst.Habija Khatun</t>
  </si>
  <si>
    <t>AO-1652</t>
  </si>
  <si>
    <t>Mst.Ambia Khatun</t>
  </si>
  <si>
    <t>AO-1676</t>
  </si>
  <si>
    <t>Mis Akhi Begum</t>
  </si>
  <si>
    <t>AO-1686</t>
  </si>
  <si>
    <t>Salina Khatun</t>
  </si>
  <si>
    <t>AO-1692</t>
  </si>
  <si>
    <t>Dipti Rani</t>
  </si>
  <si>
    <t>AO-1706</t>
  </si>
  <si>
    <t>Khadiza Begum</t>
  </si>
  <si>
    <t>AO-1711</t>
  </si>
  <si>
    <t>Afroza Khatun</t>
  </si>
  <si>
    <t>AO-1716</t>
  </si>
  <si>
    <t>Mst.Sabina</t>
  </si>
  <si>
    <t>AO-1728</t>
  </si>
  <si>
    <t>Mst.Surove</t>
  </si>
  <si>
    <t>AO-1754</t>
  </si>
  <si>
    <t>Mst.Misana</t>
  </si>
  <si>
    <t>AO-1755</t>
  </si>
  <si>
    <t>Mst.Ruzina</t>
  </si>
  <si>
    <t>AO-1756</t>
  </si>
  <si>
    <t>Mst.Resma Begum</t>
  </si>
  <si>
    <t>AO-1757</t>
  </si>
  <si>
    <t>Mst.Rokeya Begum</t>
  </si>
  <si>
    <t>AO-1769</t>
  </si>
  <si>
    <t>Mst. Tahmina Begum</t>
  </si>
  <si>
    <t>AO-1786</t>
  </si>
  <si>
    <t>Md. Sumon Mia</t>
  </si>
  <si>
    <t>AO-1790</t>
  </si>
  <si>
    <t>Shila Rani Shil</t>
  </si>
  <si>
    <t>AO-1812</t>
  </si>
  <si>
    <t>Mst. Rupali Akter</t>
  </si>
  <si>
    <t>AO-1813</t>
  </si>
  <si>
    <t>Mst. Monsefa Akter</t>
  </si>
  <si>
    <t>AO-1815</t>
  </si>
  <si>
    <t>Mst. Hira Begum</t>
  </si>
  <si>
    <t>AO-1818</t>
  </si>
  <si>
    <t>Mst. Jannatul Fardosh</t>
  </si>
  <si>
    <t>AO-1820</t>
  </si>
  <si>
    <t>Mst. Tasmanore Khatun</t>
  </si>
  <si>
    <t>AO-1826</t>
  </si>
  <si>
    <t>Shashti Rani Day</t>
  </si>
  <si>
    <t>AO-1829</t>
  </si>
  <si>
    <t>Mst. Shurjo Khatun</t>
  </si>
  <si>
    <t>AO-0526</t>
  </si>
  <si>
    <t>Kobita Begum</t>
  </si>
  <si>
    <t>AO-0752</t>
  </si>
  <si>
    <t>Mst. Rokeya Begum</t>
  </si>
  <si>
    <t>AO-1241</t>
  </si>
  <si>
    <t>Sarmen Begum</t>
  </si>
  <si>
    <t>AO-1677</t>
  </si>
  <si>
    <t>AO-1546</t>
  </si>
  <si>
    <t>Mst. Sharmin Banu</t>
  </si>
  <si>
    <t>AO-1550</t>
  </si>
  <si>
    <t>Mst.Shahina</t>
  </si>
  <si>
    <t>AO-1599</t>
  </si>
  <si>
    <t>Santa</t>
  </si>
  <si>
    <t>AO-1787</t>
  </si>
  <si>
    <t>Mst. Josna Begum</t>
  </si>
  <si>
    <t>AO-1788</t>
  </si>
  <si>
    <t>Mst. Monija Khatun</t>
  </si>
  <si>
    <t>AO-1789</t>
  </si>
  <si>
    <t>Adori</t>
  </si>
  <si>
    <t>AO-1792</t>
  </si>
  <si>
    <t>Mst. Badana Khatun</t>
  </si>
  <si>
    <t>AO-1794</t>
  </si>
  <si>
    <t>Mst. Hena Khatun</t>
  </si>
  <si>
    <t>AO-1795</t>
  </si>
  <si>
    <t>Mst. Moni Khatun</t>
  </si>
  <si>
    <t>AO-1796</t>
  </si>
  <si>
    <t>Mst. Razina Banu</t>
  </si>
  <si>
    <t>AO-1797</t>
  </si>
  <si>
    <t>Ruma</t>
  </si>
  <si>
    <t>SW-0207</t>
  </si>
  <si>
    <t>Rozina Aktar</t>
  </si>
  <si>
    <t>SW-0375</t>
  </si>
  <si>
    <t>Mst.Aklima</t>
  </si>
  <si>
    <t>SW-0442</t>
  </si>
  <si>
    <t>Miss Ruma Akter</t>
  </si>
  <si>
    <t>SW-0490</t>
  </si>
  <si>
    <t>Mst. Popy Bibi</t>
  </si>
  <si>
    <t>SW-0511</t>
  </si>
  <si>
    <t>Most. Mina Akter</t>
  </si>
  <si>
    <t>SW-0517</t>
  </si>
  <si>
    <t>Tanzina</t>
  </si>
  <si>
    <t>SW-0518</t>
  </si>
  <si>
    <t>Miss Arifa Khatun</t>
  </si>
  <si>
    <t>SW-0526</t>
  </si>
  <si>
    <t>Mst. Khadija Begum</t>
  </si>
  <si>
    <t>SW-0529</t>
  </si>
  <si>
    <t>Maleka Khatun</t>
  </si>
  <si>
    <t>WA-0243</t>
  </si>
  <si>
    <t>Sufia Begum</t>
  </si>
  <si>
    <t>CL-0002</t>
  </si>
  <si>
    <t>Cleaner</t>
  </si>
  <si>
    <t>Ronjona Khatun</t>
  </si>
  <si>
    <t>CL-0003</t>
  </si>
  <si>
    <t>Mohila Begum</t>
  </si>
  <si>
    <t>CL-0006</t>
  </si>
  <si>
    <t>Sharifa</t>
  </si>
  <si>
    <t>CL-0023</t>
  </si>
  <si>
    <t>Rahima Akter</t>
  </si>
  <si>
    <t>CL-0043</t>
  </si>
  <si>
    <t>Begum</t>
  </si>
  <si>
    <t>CL-0056</t>
  </si>
  <si>
    <t>Josna</t>
  </si>
  <si>
    <t>CL-0060</t>
  </si>
  <si>
    <t>Samiul</t>
  </si>
  <si>
    <t>CL-0069</t>
  </si>
  <si>
    <t>Sweaper</t>
  </si>
  <si>
    <t>Sefali Rani</t>
  </si>
  <si>
    <t>CL-0070</t>
  </si>
  <si>
    <t>Rezaul Karim</t>
  </si>
  <si>
    <t>CL-0073</t>
  </si>
  <si>
    <t>Minara</t>
  </si>
  <si>
    <t>CL-0077</t>
  </si>
  <si>
    <t>Mst. Laili Begum</t>
  </si>
  <si>
    <t>CL-0078</t>
  </si>
  <si>
    <t>Shabitri</t>
  </si>
  <si>
    <t>CL-0080</t>
  </si>
  <si>
    <t>Rogina Begum</t>
  </si>
  <si>
    <t>CL-0102</t>
  </si>
  <si>
    <t>Roshida Begum</t>
  </si>
  <si>
    <t>CL-0103</t>
  </si>
  <si>
    <t>Mst. Kohinur Begum</t>
  </si>
  <si>
    <t>CL-0104</t>
  </si>
  <si>
    <t>Mst. Saleha Khatun</t>
  </si>
  <si>
    <t>CL-0106</t>
  </si>
  <si>
    <t>Rojina Begum</t>
  </si>
  <si>
    <t>CL-0111</t>
  </si>
  <si>
    <t>Md.Rakib Hossain</t>
  </si>
  <si>
    <t>CL-0115</t>
  </si>
  <si>
    <t>Rekha Begum</t>
  </si>
  <si>
    <t>CL-0118</t>
  </si>
  <si>
    <t>Mst.Nurun Nahar</t>
  </si>
  <si>
    <t>CL-0119</t>
  </si>
  <si>
    <t>Md.Zahidul Islam</t>
  </si>
  <si>
    <t>CL-0122</t>
  </si>
  <si>
    <t>Mst.Noonnahar</t>
  </si>
  <si>
    <t>CL-0123</t>
  </si>
  <si>
    <t>Mst.Karimon Begum</t>
  </si>
  <si>
    <t>CL-0124</t>
  </si>
  <si>
    <t>Mst.Dulali Begum</t>
  </si>
  <si>
    <t>CL-0125</t>
  </si>
  <si>
    <t>Rehena Begum</t>
  </si>
  <si>
    <t>CL-0127</t>
  </si>
  <si>
    <t>Mst. Firoza Khatun</t>
  </si>
  <si>
    <t>CL-0128</t>
  </si>
  <si>
    <t>Md. Sk Sahidul Islam</t>
  </si>
  <si>
    <t>CL-0129</t>
  </si>
  <si>
    <t>Sree Moti Sompa Rani</t>
  </si>
  <si>
    <t>CL-0130</t>
  </si>
  <si>
    <t>Madhobi Rani</t>
  </si>
  <si>
    <t>CL-0131</t>
  </si>
  <si>
    <t>Nasima Khatun</t>
  </si>
  <si>
    <t>PQ-0007</t>
  </si>
  <si>
    <t>Rita Rani</t>
  </si>
  <si>
    <t>PQ-0195</t>
  </si>
  <si>
    <t>Q. Inspector</t>
  </si>
  <si>
    <t>Joba Rani</t>
  </si>
  <si>
    <t>PQ-0218</t>
  </si>
  <si>
    <t>Rowshana Khatun</t>
  </si>
  <si>
    <t>PQ-0321</t>
  </si>
  <si>
    <t>Bulbuli</t>
  </si>
  <si>
    <t>PQ-0405</t>
  </si>
  <si>
    <t>Monowara</t>
  </si>
  <si>
    <t>PQ-0514</t>
  </si>
  <si>
    <t>Aroti</t>
  </si>
  <si>
    <t>PQ-0527</t>
  </si>
  <si>
    <t>Nazma</t>
  </si>
  <si>
    <t>PQ-0562</t>
  </si>
  <si>
    <t>Joymoni Rani</t>
  </si>
  <si>
    <t>PQ-0581</t>
  </si>
  <si>
    <t>Mahmuli Akter Kona</t>
  </si>
  <si>
    <t>PQ-0588</t>
  </si>
  <si>
    <t>Ms. Parul Akter</t>
  </si>
  <si>
    <t>PQ-0591</t>
  </si>
  <si>
    <t>Munni Akter</t>
  </si>
  <si>
    <t>PQ-0619</t>
  </si>
  <si>
    <t>ML</t>
  </si>
  <si>
    <t>Khaleda</t>
  </si>
  <si>
    <t>PQ-0620</t>
  </si>
  <si>
    <t>Kakoli</t>
  </si>
  <si>
    <t>PQ-0653</t>
  </si>
  <si>
    <t>Ruksona</t>
  </si>
  <si>
    <t>PQ-0655</t>
  </si>
  <si>
    <t>Ms. Anisha</t>
  </si>
  <si>
    <t>PQ-0668</t>
  </si>
  <si>
    <t>Ms. Firoza Akter</t>
  </si>
  <si>
    <t>PQ-0676</t>
  </si>
  <si>
    <t>Mursheda Begum</t>
  </si>
  <si>
    <t>PQ-0700</t>
  </si>
  <si>
    <t>Shahida Begum</t>
  </si>
  <si>
    <t>PQ-0716</t>
  </si>
  <si>
    <t>Ms. Sheuli Begum</t>
  </si>
  <si>
    <t>PQ-0768</t>
  </si>
  <si>
    <t>Ms. Sarmin Akter</t>
  </si>
  <si>
    <t>PQ-0769</t>
  </si>
  <si>
    <t>Mst: Anowara Begum</t>
  </si>
  <si>
    <t>PQ-0784</t>
  </si>
  <si>
    <t>Rimu Begum</t>
  </si>
  <si>
    <t>PQ-0801</t>
  </si>
  <si>
    <t>Hazera Begum</t>
  </si>
  <si>
    <t>PQ-0802</t>
  </si>
  <si>
    <t>Morjina Begum</t>
  </si>
  <si>
    <t>PQ-0835</t>
  </si>
  <si>
    <t>Ms Parvin</t>
  </si>
  <si>
    <t>PQ-0837</t>
  </si>
  <si>
    <t>Mst.Azeda</t>
  </si>
  <si>
    <t>PQ-0860</t>
  </si>
  <si>
    <t>Ms.Sufia Begum</t>
  </si>
  <si>
    <t>PQ-0873</t>
  </si>
  <si>
    <t>Resmina Akter</t>
  </si>
  <si>
    <t>PQ-0874</t>
  </si>
  <si>
    <t>Ms. Ratna Akter</t>
  </si>
  <si>
    <t>PQ-0880</t>
  </si>
  <si>
    <t>Mst Buti Begum</t>
  </si>
  <si>
    <t>PQ-0881</t>
  </si>
  <si>
    <t>Mst. Ayesha Akter</t>
  </si>
  <si>
    <t>PQ-0891</t>
  </si>
  <si>
    <t>Mst. Alpona Khatun</t>
  </si>
  <si>
    <t>PQ-0903</t>
  </si>
  <si>
    <t>Mst. Joygun</t>
  </si>
  <si>
    <t>PQ-0905</t>
  </si>
  <si>
    <t>Ms. Rehena Begum</t>
  </si>
  <si>
    <t>PQ-0910</t>
  </si>
  <si>
    <t>Runa Akter Mony</t>
  </si>
  <si>
    <t>PQ-0949</t>
  </si>
  <si>
    <t>Mst.Sapna Begum</t>
  </si>
  <si>
    <t>PQ-0950</t>
  </si>
  <si>
    <t>Mst.Jinnatara Khatun</t>
  </si>
  <si>
    <t>PQ-0951</t>
  </si>
  <si>
    <t>Rupali Mondol</t>
  </si>
  <si>
    <t>PQ-0954</t>
  </si>
  <si>
    <t>Asma Begum</t>
  </si>
  <si>
    <t>PQ-0958</t>
  </si>
  <si>
    <t>Mst.Shabnur Begum</t>
  </si>
  <si>
    <t>PQ-0967</t>
  </si>
  <si>
    <t>Mst.Jahima Akter</t>
  </si>
  <si>
    <t>PQ-0976</t>
  </si>
  <si>
    <t>PQ-0979</t>
  </si>
  <si>
    <t>Mst.Anowara Khatun</t>
  </si>
  <si>
    <t>PQ-0993</t>
  </si>
  <si>
    <t>Mst.Rakhi Akter</t>
  </si>
  <si>
    <t>PQ-1007</t>
  </si>
  <si>
    <t>Golapi Begum</t>
  </si>
  <si>
    <t>PQ-1008</t>
  </si>
  <si>
    <t>Akhi</t>
  </si>
  <si>
    <t>PQ-1009</t>
  </si>
  <si>
    <t>Mst.Shahanaz Parvin</t>
  </si>
  <si>
    <t>PQ-1013</t>
  </si>
  <si>
    <t>Mst.Nargis Begum</t>
  </si>
  <si>
    <t>PQ-1024</t>
  </si>
  <si>
    <t>PQ-1025</t>
  </si>
  <si>
    <t>Mst.Januri</t>
  </si>
  <si>
    <t>PQ-1029</t>
  </si>
  <si>
    <t>Most.Farzana Yesmin</t>
  </si>
  <si>
    <t>PQ-1031</t>
  </si>
  <si>
    <t>Mst.Saziya Begum</t>
  </si>
  <si>
    <t>PQ-1032</t>
  </si>
  <si>
    <t>PQ-1033</t>
  </si>
  <si>
    <t>Mst.Shahinoor Begum</t>
  </si>
  <si>
    <t>PQ-1034</t>
  </si>
  <si>
    <t>Mst. Poshagia Begum</t>
  </si>
  <si>
    <t>PQ-1041</t>
  </si>
  <si>
    <t>Most. Khaleda</t>
  </si>
  <si>
    <t>PQ-1042</t>
  </si>
  <si>
    <t>PQ-1056</t>
  </si>
  <si>
    <t>Mst. Arzina Begum</t>
  </si>
  <si>
    <t>PQ-1064</t>
  </si>
  <si>
    <t>Mst. Afsana Akter</t>
  </si>
  <si>
    <t>PQ-1065</t>
  </si>
  <si>
    <t>Mst. Shakila Akter Shimu</t>
  </si>
  <si>
    <t>PQ-1066</t>
  </si>
  <si>
    <t>Mst. Lithi Begum</t>
  </si>
  <si>
    <t>PQ-1067</t>
  </si>
  <si>
    <t>Mst. Zannaton Begum</t>
  </si>
  <si>
    <t>PQ-1070</t>
  </si>
  <si>
    <t>PQ-1076</t>
  </si>
  <si>
    <t>Zarina Begum</t>
  </si>
  <si>
    <t>PQ-1077</t>
  </si>
  <si>
    <t>Md. Mostafa</t>
  </si>
  <si>
    <t>SW-0009</t>
  </si>
  <si>
    <t>Operator</t>
  </si>
  <si>
    <t>Faruque Ahmed</t>
  </si>
  <si>
    <t>SW-0148</t>
  </si>
  <si>
    <t>Ms. Selina</t>
  </si>
  <si>
    <t>SW-0227</t>
  </si>
  <si>
    <t>Mukul Mia</t>
  </si>
  <si>
    <t>SW-0240</t>
  </si>
  <si>
    <t>SW-0253</t>
  </si>
  <si>
    <t>Shahara</t>
  </si>
  <si>
    <t>SW-0267</t>
  </si>
  <si>
    <t>Mst Arfina Begum</t>
  </si>
  <si>
    <t>SW-0345</t>
  </si>
  <si>
    <t>Rekha Banu</t>
  </si>
  <si>
    <t>SW-0372</t>
  </si>
  <si>
    <t>Mst.Kona Akter</t>
  </si>
  <si>
    <t>SW-0401</t>
  </si>
  <si>
    <t>Md.Abul Basar Arif</t>
  </si>
  <si>
    <t>SW-0403</t>
  </si>
  <si>
    <t>Mst. Khadiza Begum</t>
  </si>
  <si>
    <t>SW-0404</t>
  </si>
  <si>
    <t>Nasima Begum</t>
  </si>
  <si>
    <t>SW-0454</t>
  </si>
  <si>
    <t>Most.Sabia Khatun</t>
  </si>
  <si>
    <t>SW-0470</t>
  </si>
  <si>
    <t>Miss. Arzina Khatun</t>
  </si>
  <si>
    <t>SW-0500</t>
  </si>
  <si>
    <t>Md. Jafor Mia</t>
  </si>
  <si>
    <t>SW-0516</t>
  </si>
  <si>
    <t>Taslema Khatun</t>
  </si>
  <si>
    <t>SW-0525</t>
  </si>
  <si>
    <t>Mst. Shahana Begum</t>
  </si>
  <si>
    <t>SW-0528</t>
  </si>
  <si>
    <t>Monjura Begum</t>
  </si>
  <si>
    <t>WA-0237</t>
  </si>
  <si>
    <t>Md. Liton Mia</t>
  </si>
  <si>
    <t>JA-0036</t>
  </si>
  <si>
    <t>Md Rana</t>
  </si>
  <si>
    <t>JA-0131</t>
  </si>
  <si>
    <t>Md Farid Mia</t>
  </si>
  <si>
    <t>JA-0139</t>
  </si>
  <si>
    <t>Abdur Rahman Minar</t>
  </si>
  <si>
    <t>JA-0153</t>
  </si>
  <si>
    <t>Md.Shariful Islam</t>
  </si>
  <si>
    <t>JA-0298</t>
  </si>
  <si>
    <t>Md. Babul Hossin</t>
  </si>
  <si>
    <t>JA-0335</t>
  </si>
  <si>
    <t>Md. Tahidul Islam Babul</t>
  </si>
  <si>
    <t>JA-0389</t>
  </si>
  <si>
    <t>Md. Minazul Islam</t>
  </si>
  <si>
    <t>JA-0413</t>
  </si>
  <si>
    <t>Md.Sujon</t>
  </si>
  <si>
    <t>JA-0433</t>
  </si>
  <si>
    <t>Md.Sherazul Islam</t>
  </si>
  <si>
    <t>JA-0493</t>
  </si>
  <si>
    <t>Md.Abdul Malek</t>
  </si>
  <si>
    <t>JA-0509</t>
  </si>
  <si>
    <t>Md.Firoj Ahmed</t>
  </si>
  <si>
    <t>JA-0562</t>
  </si>
  <si>
    <t>Mokter Hossen</t>
  </si>
  <si>
    <t>JA-0599</t>
  </si>
  <si>
    <t>Md.Robiul Islam</t>
  </si>
  <si>
    <t>JA-0605</t>
  </si>
  <si>
    <t>Monir Hossain</t>
  </si>
  <si>
    <t>JA-0633</t>
  </si>
  <si>
    <t>Azmot Ullah</t>
  </si>
  <si>
    <t>JA-0634</t>
  </si>
  <si>
    <t>Md.Uzzal</t>
  </si>
  <si>
    <t>JA-0649</t>
  </si>
  <si>
    <t>Md.Badol Mia</t>
  </si>
  <si>
    <t>JA-0658</t>
  </si>
  <si>
    <t>JA-0659</t>
  </si>
  <si>
    <t>Mosammel Hossen</t>
  </si>
  <si>
    <t>JA-0661</t>
  </si>
  <si>
    <t>Md.Shohan Ali</t>
  </si>
  <si>
    <t>JA-0662</t>
  </si>
  <si>
    <t>Md.Abdul Motin</t>
  </si>
  <si>
    <t>JA-0677</t>
  </si>
  <si>
    <t>Md.Haider Ali</t>
  </si>
  <si>
    <t>JA-0690</t>
  </si>
  <si>
    <t>Faysal Hossain</t>
  </si>
  <si>
    <t>JA-0697</t>
  </si>
  <si>
    <t>Md.Amirul Islam</t>
  </si>
  <si>
    <t>JA-0721</t>
  </si>
  <si>
    <t>Md.Sabuz Mia</t>
  </si>
  <si>
    <t>JA-0747</t>
  </si>
  <si>
    <t>Md.Shoriful Islam</t>
  </si>
  <si>
    <t>JA-0782</t>
  </si>
  <si>
    <t>Arshadul Mia</t>
  </si>
  <si>
    <t>JA-0795</t>
  </si>
  <si>
    <t>Md.Rashed Mia</t>
  </si>
  <si>
    <t>JA-0796</t>
  </si>
  <si>
    <t>Md.Ferdous</t>
  </si>
  <si>
    <t>JA-0833</t>
  </si>
  <si>
    <t>Md. Habil Uddin</t>
  </si>
  <si>
    <t>JA-0867</t>
  </si>
  <si>
    <t>Md. Ful Mia</t>
  </si>
  <si>
    <t>JA-0876</t>
  </si>
  <si>
    <t>Md. Hanif Mondol</t>
  </si>
  <si>
    <t>JA-0888</t>
  </si>
  <si>
    <t>JMd. Monirul Islam</t>
  </si>
  <si>
    <t>JA-0912</t>
  </si>
  <si>
    <t>Md. Suhel Rana</t>
  </si>
  <si>
    <t>JA-0923</t>
  </si>
  <si>
    <t>Al-Amin</t>
  </si>
  <si>
    <t>JA-0929</t>
  </si>
  <si>
    <t>Md. Mohsin Ali</t>
  </si>
  <si>
    <t>JA-0934</t>
  </si>
  <si>
    <t>Md. Belal Hossen</t>
  </si>
  <si>
    <t>JA-0946</t>
  </si>
  <si>
    <t>Bikram Barman</t>
  </si>
  <si>
    <t>JA-0950</t>
  </si>
  <si>
    <t>Md. Mominul Islam</t>
  </si>
  <si>
    <t>JA-0951</t>
  </si>
  <si>
    <t>Md. Jonab Ali</t>
  </si>
  <si>
    <t>JA-0953</t>
  </si>
  <si>
    <t>Rubel Ahmed</t>
  </si>
  <si>
    <t>JA-0954</t>
  </si>
  <si>
    <t>Md. Abu Jafar Fakir</t>
  </si>
  <si>
    <t>JA-0956</t>
  </si>
  <si>
    <t>Mohammad Ramjan Ali</t>
  </si>
  <si>
    <t>JA-0959</t>
  </si>
  <si>
    <t>Md. Mukul Hossen</t>
  </si>
  <si>
    <t>JA-0962</t>
  </si>
  <si>
    <t>Md. Shaalum Shak</t>
  </si>
  <si>
    <t>JA-0963</t>
  </si>
  <si>
    <t>Munjurul Islam Anik</t>
  </si>
  <si>
    <t>JA-0966</t>
  </si>
  <si>
    <t>Md. Noyon Moni</t>
  </si>
  <si>
    <t>JA-0967</t>
  </si>
  <si>
    <t>Mintu Mia</t>
  </si>
  <si>
    <t>JA-0968</t>
  </si>
  <si>
    <t>Md. Jalal</t>
  </si>
  <si>
    <t>JA-0969</t>
  </si>
  <si>
    <t>Md. Norul Islam</t>
  </si>
  <si>
    <t>JA-0971</t>
  </si>
  <si>
    <t>Md. Rahim Uddin</t>
  </si>
  <si>
    <t>JA-0973</t>
  </si>
  <si>
    <t>Dilip Kumar Ray</t>
  </si>
  <si>
    <t>JA-0975</t>
  </si>
  <si>
    <t>Md. Belal Hossain</t>
  </si>
  <si>
    <t>JA-0070</t>
  </si>
  <si>
    <t>Rafiqul Islam</t>
  </si>
  <si>
    <t>JA-0089</t>
  </si>
  <si>
    <t>Md. Tara Mia</t>
  </si>
  <si>
    <t>JA-0112</t>
  </si>
  <si>
    <t>JA-0154</t>
  </si>
  <si>
    <t>Md.Babul Hossain</t>
  </si>
  <si>
    <t>JA-0201</t>
  </si>
  <si>
    <t>Md.Saddam Hossain</t>
  </si>
  <si>
    <t>JA-0211</t>
  </si>
  <si>
    <t>Md.Shah Alom</t>
  </si>
  <si>
    <t>JA-0243</t>
  </si>
  <si>
    <t>Md. Aiub Ali</t>
  </si>
  <si>
    <t>JA-0245</t>
  </si>
  <si>
    <t>Md. Hasmot Ali</t>
  </si>
  <si>
    <t>JA-0283</t>
  </si>
  <si>
    <t>Md.Sirajul Islam</t>
  </si>
  <si>
    <t>JA-0290</t>
  </si>
  <si>
    <t>Sayd Karim</t>
  </si>
  <si>
    <t>JA-0291</t>
  </si>
  <si>
    <t>JA-0299</t>
  </si>
  <si>
    <t>Md. Mokul Hossen</t>
  </si>
  <si>
    <t>JA-0312</t>
  </si>
  <si>
    <t>Md. Samiul Islam</t>
  </si>
  <si>
    <t>JA-0336</t>
  </si>
  <si>
    <t>Saidur Rahman</t>
  </si>
  <si>
    <t>JA-0337</t>
  </si>
  <si>
    <t>Shahidul Islam</t>
  </si>
  <si>
    <t>JA-0339</t>
  </si>
  <si>
    <t>Md. Shamim Kabir</t>
  </si>
  <si>
    <t>JA-0340</t>
  </si>
  <si>
    <t>Md.Ibrahim Hosen</t>
  </si>
  <si>
    <t>JA-0347</t>
  </si>
  <si>
    <t>Md.Sojal Ahmed</t>
  </si>
  <si>
    <t>JA-0351</t>
  </si>
  <si>
    <t>Md. Sha Alom Mia</t>
  </si>
  <si>
    <t>JA-0361</t>
  </si>
  <si>
    <t>Md.Nur Islam</t>
  </si>
  <si>
    <t>JA-0363</t>
  </si>
  <si>
    <t>JA-0364</t>
  </si>
  <si>
    <t>Akidul Islam</t>
  </si>
  <si>
    <t>JA-0383</t>
  </si>
  <si>
    <t>Pradip Sanyashi</t>
  </si>
  <si>
    <t>JA-0409</t>
  </si>
  <si>
    <t>Md.Ripon Houlader</t>
  </si>
  <si>
    <t>JA-0430</t>
  </si>
  <si>
    <t>Md.Aminul Islam</t>
  </si>
  <si>
    <t>JA-0478</t>
  </si>
  <si>
    <t>Md.Abu Sayed</t>
  </si>
  <si>
    <t>JA-0482</t>
  </si>
  <si>
    <t>Md.Samim Hossain</t>
  </si>
  <si>
    <t>JA-0484</t>
  </si>
  <si>
    <t>Md.Alomgir Hossain</t>
  </si>
  <si>
    <t>JA-0492</t>
  </si>
  <si>
    <t>Montaz Uddin</t>
  </si>
  <si>
    <t>JA-0530</t>
  </si>
  <si>
    <t>Billal Molla</t>
  </si>
  <si>
    <t>JA-0550</t>
  </si>
  <si>
    <t>Ronju Mia</t>
  </si>
  <si>
    <t>JA-0565</t>
  </si>
  <si>
    <t>Md.Ruble Mia</t>
  </si>
  <si>
    <t>JA-0576</t>
  </si>
  <si>
    <t>Md.Safikul Islam</t>
  </si>
  <si>
    <t>JA-0587</t>
  </si>
  <si>
    <t>Md.Saidur Sorkar</t>
  </si>
  <si>
    <t>JA-0595</t>
  </si>
  <si>
    <t>Md.Sagor Sarder</t>
  </si>
  <si>
    <t>JA-0625</t>
  </si>
  <si>
    <t>Md.Omor Faruk</t>
  </si>
  <si>
    <t>JA-0630</t>
  </si>
  <si>
    <t>Md Nazmul Islam</t>
  </si>
  <si>
    <t>JA-0648</t>
  </si>
  <si>
    <t>Md.Yeakkb Ali Sheikh</t>
  </si>
  <si>
    <t>JA-0673</t>
  </si>
  <si>
    <t>Md.Sohel Rana</t>
  </si>
  <si>
    <t>JA-0674</t>
  </si>
  <si>
    <t>Mosharof Hossain</t>
  </si>
  <si>
    <t>JA-0681</t>
  </si>
  <si>
    <t>Md.Hiru Mia</t>
  </si>
  <si>
    <t>JA-0685</t>
  </si>
  <si>
    <t>Nahidul Islam</t>
  </si>
  <si>
    <t>JA-0687</t>
  </si>
  <si>
    <t>Abdul Razzak</t>
  </si>
  <si>
    <t>JA-0691</t>
  </si>
  <si>
    <t>Tasen Ali</t>
  </si>
  <si>
    <t>JA-0700</t>
  </si>
  <si>
    <t>Md.Asadul Islam</t>
  </si>
  <si>
    <t>JA-0719</t>
  </si>
  <si>
    <t>Md.Asif Mandol</t>
  </si>
  <si>
    <t>JA-0729</t>
  </si>
  <si>
    <t>Liton Chundra Sen</t>
  </si>
  <si>
    <t>JA-0733</t>
  </si>
  <si>
    <t>JA-0740</t>
  </si>
  <si>
    <t>Md.Saidur Rahman</t>
  </si>
  <si>
    <t>JA-0745</t>
  </si>
  <si>
    <t>Md.Tarek Rahman Rabiul</t>
  </si>
  <si>
    <t>JA-0755</t>
  </si>
  <si>
    <t>Md.Sujen</t>
  </si>
  <si>
    <t>JA-0757</t>
  </si>
  <si>
    <t>JA-0791</t>
  </si>
  <si>
    <t>Md.Foysal Chowkider</t>
  </si>
  <si>
    <t>JA-0801</t>
  </si>
  <si>
    <t>Md.Shapon</t>
  </si>
  <si>
    <t>JA-0804</t>
  </si>
  <si>
    <t>Subroto Mondol</t>
  </si>
  <si>
    <t>JA-0808</t>
  </si>
  <si>
    <t>Md.Abdul Mannan</t>
  </si>
  <si>
    <t>JA-0809</t>
  </si>
  <si>
    <t>Md.Shohel</t>
  </si>
  <si>
    <t>JA-0811</t>
  </si>
  <si>
    <t>JA-0815</t>
  </si>
  <si>
    <t>Md.Shopon Mia</t>
  </si>
  <si>
    <t>JA-0823</t>
  </si>
  <si>
    <t>JA-0838</t>
  </si>
  <si>
    <t>Md.Shah Jahan</t>
  </si>
  <si>
    <t>JA-0845</t>
  </si>
  <si>
    <t>Md.Masud Rana</t>
  </si>
  <si>
    <t>JA-0847</t>
  </si>
  <si>
    <t>Md.Abdur Razzak</t>
  </si>
  <si>
    <t>JA-0850</t>
  </si>
  <si>
    <t>Md.Yousub Ali</t>
  </si>
  <si>
    <t>JA-0856</t>
  </si>
  <si>
    <t>Md. Minhaj Ali</t>
  </si>
  <si>
    <t>JA-0861</t>
  </si>
  <si>
    <t>Md. Sujan Mia</t>
  </si>
  <si>
    <t>JA-0873</t>
  </si>
  <si>
    <t>Md. Abul Kalam Azad</t>
  </si>
  <si>
    <t>JA-0875</t>
  </si>
  <si>
    <t>Md. Bipul Islam</t>
  </si>
  <si>
    <t>JA-0880</t>
  </si>
  <si>
    <t>Md. Alauddin Babu</t>
  </si>
  <si>
    <t>JA-0886</t>
  </si>
  <si>
    <t>Md. Asif Miah</t>
  </si>
  <si>
    <t>JA-0889</t>
  </si>
  <si>
    <t>JA-0896</t>
  </si>
  <si>
    <t>Md. Nur Islam</t>
  </si>
  <si>
    <t>JA-0901</t>
  </si>
  <si>
    <t>Md. Babul Hossen</t>
  </si>
  <si>
    <t>JA-0902</t>
  </si>
  <si>
    <t>Md. Salim</t>
  </si>
  <si>
    <t>JA-0913</t>
  </si>
  <si>
    <t>Md. Asif Hossain</t>
  </si>
  <si>
    <t>JA-0919</t>
  </si>
  <si>
    <t>Md. Mongnu Mia</t>
  </si>
  <si>
    <t>JA-0920</t>
  </si>
  <si>
    <t>Md. Anisur Rahman</t>
  </si>
  <si>
    <t>JA-0924</t>
  </si>
  <si>
    <t>Md. Saddam Hossen</t>
  </si>
  <si>
    <t>JA-0930</t>
  </si>
  <si>
    <t>Md. Milon Mia</t>
  </si>
  <si>
    <t>JA-0931</t>
  </si>
  <si>
    <t>Md. Junaid Hossen Soton</t>
  </si>
  <si>
    <t>JA-0933</t>
  </si>
  <si>
    <t>Md. Nur Ali Mondol</t>
  </si>
  <si>
    <t>JA-0938</t>
  </si>
  <si>
    <t>Md. Shamim</t>
  </si>
  <si>
    <t>JA-0939</t>
  </si>
  <si>
    <t>Md. Uzzal Shakh</t>
  </si>
  <si>
    <t>JA-0941</t>
  </si>
  <si>
    <t>Md. Alsaud</t>
  </si>
  <si>
    <t>JA-0944</t>
  </si>
  <si>
    <t>Mostafijur</t>
  </si>
  <si>
    <t>JA-0949</t>
  </si>
  <si>
    <t>Md. Masud Rana</t>
  </si>
  <si>
    <t>JA-0952</t>
  </si>
  <si>
    <t>JA-0955</t>
  </si>
  <si>
    <t>Md. Palash</t>
  </si>
  <si>
    <t>JA-0972</t>
  </si>
  <si>
    <t>Md. Nazmul Mia</t>
  </si>
  <si>
    <t>JA-0974</t>
  </si>
  <si>
    <t>Md. Bepul Mia</t>
  </si>
  <si>
    <t>JA-0979</t>
  </si>
  <si>
    <t>Md. Mizanur Rahman</t>
  </si>
  <si>
    <t>JA-0085</t>
  </si>
  <si>
    <t>Md Shamiul</t>
  </si>
  <si>
    <t>JA-0141</t>
  </si>
  <si>
    <t>Arshad Prodhan</t>
  </si>
  <si>
    <t>JA-0152</t>
  </si>
  <si>
    <t>Md. Zahurul Islam</t>
  </si>
  <si>
    <t>JA-0160</t>
  </si>
  <si>
    <t>jakir Hossain</t>
  </si>
  <si>
    <t>JA-0172</t>
  </si>
  <si>
    <t>Nimy Chandra Odikari</t>
  </si>
  <si>
    <t>JA-0175</t>
  </si>
  <si>
    <t>Gousul Asam</t>
  </si>
  <si>
    <t>JA-0176</t>
  </si>
  <si>
    <t>Md. Mofizul Haque</t>
  </si>
  <si>
    <t>JA-0204</t>
  </si>
  <si>
    <t>Md.Khairul Islam</t>
  </si>
  <si>
    <t>JA-0209</t>
  </si>
  <si>
    <t>Md.Sarif</t>
  </si>
  <si>
    <t>JA-0249</t>
  </si>
  <si>
    <t>Md. Jahirul Islam</t>
  </si>
  <si>
    <t>JA-0253</t>
  </si>
  <si>
    <t>Md.Mahbubur Rahman</t>
  </si>
  <si>
    <t>JA-0272</t>
  </si>
  <si>
    <t>Md.Harun Baypare</t>
  </si>
  <si>
    <t>JA-0285</t>
  </si>
  <si>
    <t>Md.Arshadul Islam</t>
  </si>
  <si>
    <t>JA-0288</t>
  </si>
  <si>
    <t>Md. Kamal Hossen</t>
  </si>
  <si>
    <t>JA-0324</t>
  </si>
  <si>
    <t>Md.Altab Hosen</t>
  </si>
  <si>
    <t>JA-0431</t>
  </si>
  <si>
    <t>Abdul Hakim</t>
  </si>
  <si>
    <t>JA-0474</t>
  </si>
  <si>
    <t>Md.Monnaf Ali</t>
  </si>
  <si>
    <t>JA-0498</t>
  </si>
  <si>
    <t>Md.Ziaur Rahman</t>
  </si>
  <si>
    <t>JA-0538</t>
  </si>
  <si>
    <t>Md.Abdul Kader</t>
  </si>
  <si>
    <t>JA-0546</t>
  </si>
  <si>
    <t>Md.Sumon Ahmed</t>
  </si>
  <si>
    <t>JA-0580</t>
  </si>
  <si>
    <t>Joynal</t>
  </si>
  <si>
    <t>JA-0593</t>
  </si>
  <si>
    <t>Md.Shoel Mia</t>
  </si>
  <si>
    <t>JA-0613</t>
  </si>
  <si>
    <t>Md.Hekmot Ali</t>
  </si>
  <si>
    <t>JA-0629</t>
  </si>
  <si>
    <t>Md.Samsul Hoq</t>
  </si>
  <si>
    <t>JA-0642</t>
  </si>
  <si>
    <t>Md.Mominul Islam</t>
  </si>
  <si>
    <t>JA-0656</t>
  </si>
  <si>
    <t>Md.Saddam Hosain</t>
  </si>
  <si>
    <t>JA-0672</t>
  </si>
  <si>
    <t>Homaun Kobir Jalal</t>
  </si>
  <si>
    <t>JA-0752</t>
  </si>
  <si>
    <t>Sree Rongit Kumar</t>
  </si>
  <si>
    <t>JA-0760</t>
  </si>
  <si>
    <t>Riajul islam</t>
  </si>
  <si>
    <t>JA-0769</t>
  </si>
  <si>
    <t>Rubel Mia</t>
  </si>
  <si>
    <t>JA-0790</t>
  </si>
  <si>
    <t>Md.Rajon Mahmud</t>
  </si>
  <si>
    <t>JA-0829</t>
  </si>
  <si>
    <t>Md.Asraful Islam</t>
  </si>
  <si>
    <t>JA-0844</t>
  </si>
  <si>
    <t>Mizanur Rahman</t>
  </si>
  <si>
    <t>JA-0849</t>
  </si>
  <si>
    <t>Md.Nayon Ali</t>
  </si>
  <si>
    <t>JA-0851</t>
  </si>
  <si>
    <t>Md.Islam</t>
  </si>
  <si>
    <t>JA-0858</t>
  </si>
  <si>
    <t>Md. Shah Alom</t>
  </si>
  <si>
    <t>JA-0860</t>
  </si>
  <si>
    <t>Md. Alomgir Babu</t>
  </si>
  <si>
    <t>JA-0864</t>
  </si>
  <si>
    <t>Md. Shohel Mia</t>
  </si>
  <si>
    <t>JA-0871</t>
  </si>
  <si>
    <t>JA-0879</t>
  </si>
  <si>
    <t>Md. Abdul Malek Sorker</t>
  </si>
  <si>
    <t>JA-0883</t>
  </si>
  <si>
    <t>Md. Lablu Mia Sarker</t>
  </si>
  <si>
    <t>JA-0884</t>
  </si>
  <si>
    <t>Md. Shahed Akanda</t>
  </si>
  <si>
    <t>JA-0895</t>
  </si>
  <si>
    <t>Md. Raihan Mia</t>
  </si>
  <si>
    <t>JA-0907</t>
  </si>
  <si>
    <t>Md. Majharul Islam Khokan</t>
  </si>
  <si>
    <t>JA-0917</t>
  </si>
  <si>
    <t>Md. Foridul Islam</t>
  </si>
  <si>
    <t>JA-0937</t>
  </si>
  <si>
    <t>Md.Shakil Prodhan</t>
  </si>
  <si>
    <t>JA-0960</t>
  </si>
  <si>
    <t>Md. Shejan Mahmud</t>
  </si>
  <si>
    <t>JA-0965</t>
  </si>
  <si>
    <t>Md. Golzar Hossain</t>
  </si>
  <si>
    <t>JA-0976</t>
  </si>
  <si>
    <t>Md. Shohel Rana</t>
  </si>
  <si>
    <t>JA-0977</t>
  </si>
  <si>
    <t>Mamon</t>
  </si>
  <si>
    <t>JA-0978</t>
  </si>
  <si>
    <t>Zillur Rahman</t>
  </si>
  <si>
    <t>WA-0070</t>
  </si>
  <si>
    <t>Azmal Gazi</t>
  </si>
  <si>
    <t>WA-0140</t>
  </si>
  <si>
    <t>WA-0147</t>
  </si>
  <si>
    <t>Md. Shamim Miah</t>
  </si>
  <si>
    <t>WA-0206</t>
  </si>
  <si>
    <t>Md. Anarul Islam</t>
  </si>
  <si>
    <t>WA-0212</t>
  </si>
  <si>
    <t>Md. Abu Saeid Dalal</t>
  </si>
  <si>
    <t>WA-0224</t>
  </si>
  <si>
    <t>Md. Jamil Mia</t>
  </si>
  <si>
    <t>WA-0248</t>
  </si>
  <si>
    <t>Kanai Sarkar</t>
  </si>
  <si>
    <t>WA-0250</t>
  </si>
  <si>
    <t>Aynal Haque</t>
  </si>
  <si>
    <t>WA-0253</t>
  </si>
  <si>
    <t>Sojib sarker</t>
  </si>
  <si>
    <t>WA-0256</t>
  </si>
  <si>
    <t>Md. Sobhan Ali</t>
  </si>
  <si>
    <t>WA-0260</t>
  </si>
  <si>
    <t>Md Monjurul Islam</t>
  </si>
  <si>
    <t>WA-0263</t>
  </si>
  <si>
    <t>Md Manik Hassan</t>
  </si>
  <si>
    <t>WA-0268</t>
  </si>
  <si>
    <t>Md Nur  Alom Shahin</t>
  </si>
  <si>
    <t>WA-0271</t>
  </si>
  <si>
    <t>Md Shuhel Mia</t>
  </si>
  <si>
    <t>WA-0272</t>
  </si>
  <si>
    <t>Kausar Chowdary</t>
  </si>
  <si>
    <t>WA-0280</t>
  </si>
  <si>
    <t>Md.Mamun Mia</t>
  </si>
  <si>
    <t>WA-0284</t>
  </si>
  <si>
    <t>Md. Rahul Mia</t>
  </si>
  <si>
    <t>WA-0290</t>
  </si>
  <si>
    <t>Md. Shamim Mia</t>
  </si>
  <si>
    <t>WA-0293</t>
  </si>
  <si>
    <t>Md.Saha Alam Sarker</t>
  </si>
  <si>
    <t>WA-0297</t>
  </si>
  <si>
    <t>Md.Abed Ali Angur</t>
  </si>
  <si>
    <t>WA-0300</t>
  </si>
  <si>
    <t>Sadekul Islam</t>
  </si>
  <si>
    <t>WA-0306</t>
  </si>
  <si>
    <t>Md.Mosaddik Mia</t>
  </si>
  <si>
    <t>WA-0307</t>
  </si>
  <si>
    <t>Rony Mia</t>
  </si>
  <si>
    <t>WA-0317</t>
  </si>
  <si>
    <t>Rasidul Hoque</t>
  </si>
  <si>
    <t>WA-0323</t>
  </si>
  <si>
    <t>Md.Helal</t>
  </si>
  <si>
    <t>WA-0324</t>
  </si>
  <si>
    <t>Md.Hasan Kaji</t>
  </si>
  <si>
    <t>WA-0338</t>
  </si>
  <si>
    <t>Md.Abdul Hamid</t>
  </si>
  <si>
    <t>WA-0345</t>
  </si>
  <si>
    <t>Shabuj Ali</t>
  </si>
  <si>
    <t>WA-0353</t>
  </si>
  <si>
    <t>Md.Juwel Mia</t>
  </si>
  <si>
    <t>WA-0355</t>
  </si>
  <si>
    <t>Md.Badruddaza Liton</t>
  </si>
  <si>
    <t>WA-0361</t>
  </si>
  <si>
    <t>Md.Shakil Mia</t>
  </si>
  <si>
    <t>WA-0369</t>
  </si>
  <si>
    <t>Md.Ranu Mia</t>
  </si>
  <si>
    <t>WA-0371</t>
  </si>
  <si>
    <t>Roton Chondro Kormokar</t>
  </si>
  <si>
    <t>WA-0374</t>
  </si>
  <si>
    <t>WA-0375</t>
  </si>
  <si>
    <t>Rejoyon Islam Rimon</t>
  </si>
  <si>
    <t>WA-0380</t>
  </si>
  <si>
    <t>Md.Helal Miah</t>
  </si>
  <si>
    <t>WA-0386</t>
  </si>
  <si>
    <t>Md.Ruhul Amin</t>
  </si>
  <si>
    <t>WA-0389</t>
  </si>
  <si>
    <t>Shahadut Hossen</t>
  </si>
  <si>
    <t>WA-0390</t>
  </si>
  <si>
    <t>Akter Gazi</t>
  </si>
  <si>
    <t>WA-0396</t>
  </si>
  <si>
    <t>WA-0397</t>
  </si>
  <si>
    <t>Rafiur Rahman</t>
  </si>
  <si>
    <t>WA-0400</t>
  </si>
  <si>
    <t>Yeasin Arafat</t>
  </si>
  <si>
    <t>WA-0402</t>
  </si>
  <si>
    <t>Md.Eyasin</t>
  </si>
  <si>
    <t>WA-0403</t>
  </si>
  <si>
    <t>Md. Al-Amin</t>
  </si>
  <si>
    <t>WA-0404</t>
  </si>
  <si>
    <t>Md. Dalel</t>
  </si>
  <si>
    <t>WA-0405</t>
  </si>
  <si>
    <t>Md.Rafiq khan</t>
  </si>
  <si>
    <t>WA-0406</t>
  </si>
  <si>
    <t>Md. Hanif Mia</t>
  </si>
  <si>
    <t>WA-0407</t>
  </si>
  <si>
    <t>Md. Aminur Islam</t>
  </si>
  <si>
    <t>WA-0408</t>
  </si>
  <si>
    <t>Nazmul Gazi</t>
  </si>
  <si>
    <t>WA-0410</t>
  </si>
  <si>
    <t>Md. Lukman Khan</t>
  </si>
  <si>
    <t>WA-0412</t>
  </si>
  <si>
    <t>Md. Tuhin Mahmud</t>
  </si>
  <si>
    <t>WA-0413</t>
  </si>
  <si>
    <t>Aslam</t>
  </si>
  <si>
    <t>WA-0414</t>
  </si>
  <si>
    <t>Md. Ismail</t>
  </si>
  <si>
    <t>WA-0418</t>
  </si>
  <si>
    <t>Md. Jihad</t>
  </si>
  <si>
    <t>WA-0419</t>
  </si>
  <si>
    <t>Motiul Islam</t>
  </si>
  <si>
    <t>WA-0420</t>
  </si>
  <si>
    <t>Md. Imran Hosen</t>
  </si>
  <si>
    <t>WA-0423</t>
  </si>
  <si>
    <t>Tazmal Hosen</t>
  </si>
  <si>
    <t>WA-0426</t>
  </si>
  <si>
    <t>Md. Abul Khaer Islam</t>
  </si>
  <si>
    <t>WA-0427</t>
  </si>
  <si>
    <t>Md. Sidur Rahman</t>
  </si>
  <si>
    <t>WA-0428</t>
  </si>
  <si>
    <t>Aysha</t>
  </si>
  <si>
    <t>MN-0007</t>
  </si>
  <si>
    <t>Kohinur</t>
  </si>
  <si>
    <t>MN-0040</t>
  </si>
  <si>
    <t>Shahanara</t>
  </si>
  <si>
    <t>MN-0041</t>
  </si>
  <si>
    <t>Shelena Begum</t>
  </si>
  <si>
    <t>MN-0175</t>
  </si>
  <si>
    <t>Laboni Begum</t>
  </si>
  <si>
    <t>MN-0233</t>
  </si>
  <si>
    <t>Mst. Lavli Khatun</t>
  </si>
  <si>
    <t>MN-0286</t>
  </si>
  <si>
    <t>Samsunnahar</t>
  </si>
  <si>
    <t>MN-0306</t>
  </si>
  <si>
    <t>Shanaz</t>
  </si>
  <si>
    <t>MN-0308</t>
  </si>
  <si>
    <t>Shompa</t>
  </si>
  <si>
    <t>MN-0309</t>
  </si>
  <si>
    <t>Firoza Khatun</t>
  </si>
  <si>
    <t>MN-0314</t>
  </si>
  <si>
    <t>Ms. Lili Begum</t>
  </si>
  <si>
    <t>MN-0316</t>
  </si>
  <si>
    <t>Fahima Begum</t>
  </si>
  <si>
    <t>MN-0330</t>
  </si>
  <si>
    <t>Mst Sirin Begum</t>
  </si>
  <si>
    <t>MN-0333</t>
  </si>
  <si>
    <t>Monira Khatun</t>
  </si>
  <si>
    <t>MN-0342</t>
  </si>
  <si>
    <t>Rahima</t>
  </si>
  <si>
    <t>MN-0345</t>
  </si>
  <si>
    <t>Mst. Fatema</t>
  </si>
  <si>
    <t>MN-0347</t>
  </si>
  <si>
    <t>Raziya Akter</t>
  </si>
  <si>
    <t>MN-0370</t>
  </si>
  <si>
    <t>Razia Akter</t>
  </si>
  <si>
    <t>MN-0375</t>
  </si>
  <si>
    <t>Monifa Begum</t>
  </si>
  <si>
    <t>MN-0383</t>
  </si>
  <si>
    <t>Mst.Momotaz Begum</t>
  </si>
  <si>
    <t>MN-0399</t>
  </si>
  <si>
    <t>MN-0401</t>
  </si>
  <si>
    <t>Shahina Begum</t>
  </si>
  <si>
    <t>MN-0402</t>
  </si>
  <si>
    <t>Mst.Salma Begum</t>
  </si>
  <si>
    <t>MN-0403</t>
  </si>
  <si>
    <t>Mst.Lovely Begum</t>
  </si>
  <si>
    <t>MN-0416</t>
  </si>
  <si>
    <t>Mst.Beauty Begum</t>
  </si>
  <si>
    <t>MN-0417</t>
  </si>
  <si>
    <t>Most.Sharmin Begum</t>
  </si>
  <si>
    <t>MN-0445</t>
  </si>
  <si>
    <t>Mst.Banesa Begum</t>
  </si>
  <si>
    <t>MN-0447</t>
  </si>
  <si>
    <t>Sonali Akter</t>
  </si>
  <si>
    <t>MN-0463</t>
  </si>
  <si>
    <t>Mst.Khaleda Akter</t>
  </si>
  <si>
    <t>MN-0468</t>
  </si>
  <si>
    <t>Resheda</t>
  </si>
  <si>
    <t>MN-0474</t>
  </si>
  <si>
    <t>Mst.Mukta Begum</t>
  </si>
  <si>
    <t>MN-0478</t>
  </si>
  <si>
    <t>Most. Tamanna Akter</t>
  </si>
  <si>
    <t>MN-0498</t>
  </si>
  <si>
    <t>Mst. Halima Akter</t>
  </si>
  <si>
    <t>MN-0499</t>
  </si>
  <si>
    <t>Runa Akter</t>
  </si>
  <si>
    <t>MN-0500</t>
  </si>
  <si>
    <t>Most. Sima Akter</t>
  </si>
  <si>
    <t>MN-0502</t>
  </si>
  <si>
    <t>Mst. Ajerom Khatun</t>
  </si>
  <si>
    <t>MN-0504</t>
  </si>
  <si>
    <t>Mst. Roksana Khatun</t>
  </si>
  <si>
    <t>MN-0505</t>
  </si>
  <si>
    <t>Mst. Rabeya Begum</t>
  </si>
  <si>
    <t>MN-0507</t>
  </si>
  <si>
    <t>Mahmuda Khatun</t>
  </si>
  <si>
    <t>MN-0514</t>
  </si>
  <si>
    <t>Mst. Najma Begum</t>
  </si>
  <si>
    <t>MN-0521</t>
  </si>
  <si>
    <t>Sati Akter</t>
  </si>
  <si>
    <t>MN-0534</t>
  </si>
  <si>
    <t>Mst. Lipi Begum</t>
  </si>
  <si>
    <t>MN-0535</t>
  </si>
  <si>
    <t>Bilkis Akter</t>
  </si>
  <si>
    <t>MN-0536</t>
  </si>
  <si>
    <t>Miss Shakila Akter</t>
  </si>
  <si>
    <t>MN-0537</t>
  </si>
  <si>
    <t>Rupali Akter</t>
  </si>
  <si>
    <t>MN-0538</t>
  </si>
  <si>
    <t>Halima</t>
  </si>
  <si>
    <t>MN-0539</t>
  </si>
  <si>
    <t>Mst. Marufa Begum</t>
  </si>
  <si>
    <t>MN-0541</t>
  </si>
  <si>
    <t>Rahima Khatun</t>
  </si>
  <si>
    <t>MN-0255</t>
  </si>
  <si>
    <t>Khalida Begum</t>
  </si>
  <si>
    <t>MN-0320</t>
  </si>
  <si>
    <t>Shefail Akter</t>
  </si>
  <si>
    <t>MN-0350</t>
  </si>
  <si>
    <t>Rizia Pervin</t>
  </si>
  <si>
    <t>MN-0452</t>
  </si>
  <si>
    <t>Shahanaj</t>
  </si>
  <si>
    <t>MN-0453</t>
  </si>
  <si>
    <t>Chree Mati Mongali Rani</t>
  </si>
  <si>
    <t>MN-0485</t>
  </si>
  <si>
    <t>Mst. Rehana Begum</t>
  </si>
  <si>
    <t>MN-0491</t>
  </si>
  <si>
    <t>Mst. Momota Khatun</t>
  </si>
  <si>
    <t>MN-0492</t>
  </si>
  <si>
    <t>Rina Begum</t>
  </si>
  <si>
    <t>MN-0508</t>
  </si>
  <si>
    <t>Nur Nahar</t>
  </si>
  <si>
    <t>MN-0517</t>
  </si>
  <si>
    <t>Mst. Esmotara Khatun</t>
  </si>
  <si>
    <t>MN-0518</t>
  </si>
  <si>
    <t>Mst. Rahima Begum</t>
  </si>
  <si>
    <t>MN-0526</t>
  </si>
  <si>
    <t>Mst. Husneara</t>
  </si>
  <si>
    <t>MN-0529</t>
  </si>
  <si>
    <t>Mst. Shahinur Begum</t>
  </si>
  <si>
    <t>MN-0531</t>
  </si>
  <si>
    <t>Nargis</t>
  </si>
  <si>
    <t>MN-0532</t>
  </si>
  <si>
    <t>Mst. Sahinur Begum</t>
  </si>
  <si>
    <t>MN-0544</t>
  </si>
  <si>
    <t>Mst. Rekha Sultana</t>
  </si>
  <si>
    <t>MN-0545</t>
  </si>
  <si>
    <t>Sheuly Khatun</t>
  </si>
  <si>
    <t>SW-0191</t>
  </si>
  <si>
    <t>Md. Mongu Mia</t>
  </si>
  <si>
    <t>SW-0334</t>
  </si>
  <si>
    <t>Md.Kamrujjaman</t>
  </si>
  <si>
    <t>SW-0481</t>
  </si>
  <si>
    <t>SW-0519</t>
  </si>
  <si>
    <t>Bijoy Roy</t>
  </si>
  <si>
    <t>PA-0007</t>
  </si>
  <si>
    <t>Ranjit Chandra Sarker</t>
  </si>
  <si>
    <t>PA-0025</t>
  </si>
  <si>
    <t>Nur Islam</t>
  </si>
  <si>
    <t>PA-0045</t>
  </si>
  <si>
    <t>PA-0056</t>
  </si>
  <si>
    <t>Azharul Islam</t>
  </si>
  <si>
    <t>PA-0080</t>
  </si>
  <si>
    <t>Manik</t>
  </si>
  <si>
    <t>PA-0084</t>
  </si>
  <si>
    <t>Hamidul Rahman</t>
  </si>
  <si>
    <t>PA-0109</t>
  </si>
  <si>
    <t>Mamun</t>
  </si>
  <si>
    <t>PA-0120</t>
  </si>
  <si>
    <t>Md. Eklas</t>
  </si>
  <si>
    <t>PA-0135</t>
  </si>
  <si>
    <t>Sabu Mia</t>
  </si>
  <si>
    <t>PA-0188</t>
  </si>
  <si>
    <t>Abdul Kaium</t>
  </si>
  <si>
    <t>PA-0197</t>
  </si>
  <si>
    <t>Packer</t>
  </si>
  <si>
    <t>Md. Shafiqul Islam</t>
  </si>
  <si>
    <t>PA-0202</t>
  </si>
  <si>
    <t>Asif</t>
  </si>
  <si>
    <t>PA-0204</t>
  </si>
  <si>
    <t>Shibnath Mondal</t>
  </si>
  <si>
    <t>PA-0220</t>
  </si>
  <si>
    <t>Mokles</t>
  </si>
  <si>
    <t>PA-0229</t>
  </si>
  <si>
    <t>Md, Abdul Mannan</t>
  </si>
  <si>
    <t>PA-0243</t>
  </si>
  <si>
    <t>PA-0253</t>
  </si>
  <si>
    <t>Rakibul Hassan</t>
  </si>
  <si>
    <t>PA-0259</t>
  </si>
  <si>
    <t>PA-0263</t>
  </si>
  <si>
    <t>Mst.Shilpy Begum</t>
  </si>
  <si>
    <t>PA-0282</t>
  </si>
  <si>
    <t>Mst.Monira Akter</t>
  </si>
  <si>
    <t>PA-0284</t>
  </si>
  <si>
    <t>Mst.Shelina Begum</t>
  </si>
  <si>
    <t>PA-0285</t>
  </si>
  <si>
    <t>Asadul</t>
  </si>
  <si>
    <t>PA-0286</t>
  </si>
  <si>
    <t>Md.Sabbu Prang</t>
  </si>
  <si>
    <t>PA-0294</t>
  </si>
  <si>
    <t>Md.Mithul Mia</t>
  </si>
  <si>
    <t>PA-0295</t>
  </si>
  <si>
    <t>PA-0298</t>
  </si>
  <si>
    <t>Md.Aroz Ali</t>
  </si>
  <si>
    <t>PA-0303</t>
  </si>
  <si>
    <t>Md.Naem Mia</t>
  </si>
  <si>
    <t>PA-0304</t>
  </si>
  <si>
    <t>Md.Sagor Hossen</t>
  </si>
  <si>
    <t>PA-0315</t>
  </si>
  <si>
    <t>Asadul Islam</t>
  </si>
  <si>
    <t>PA-0324</t>
  </si>
  <si>
    <t>Md.Jahangir Alam</t>
  </si>
  <si>
    <t>PA-0326</t>
  </si>
  <si>
    <t>Ashraf Uddin</t>
  </si>
  <si>
    <t>PA-0327</t>
  </si>
  <si>
    <t>Hasibul Islam</t>
  </si>
  <si>
    <t>PA-0328</t>
  </si>
  <si>
    <t>Md.Musa Mia</t>
  </si>
  <si>
    <t>PA-0329</t>
  </si>
  <si>
    <t>Abdul Khaled</t>
  </si>
  <si>
    <t>PA-0333</t>
  </si>
  <si>
    <t>PA-0335</t>
  </si>
  <si>
    <t>Md. Shahed Ali</t>
  </si>
  <si>
    <t>PA-0336</t>
  </si>
  <si>
    <t>Mst. Labuni Akter</t>
  </si>
  <si>
    <t>PA-0337</t>
  </si>
  <si>
    <t>Md. Babul</t>
  </si>
  <si>
    <t>PA-0339</t>
  </si>
  <si>
    <t>Md. Samiol Islam</t>
  </si>
  <si>
    <t>PA-0342</t>
  </si>
  <si>
    <t>Md. Maminur Islam</t>
  </si>
  <si>
    <t>PA-0343</t>
  </si>
  <si>
    <t>Md. Zakaria Hossain</t>
  </si>
  <si>
    <t>PA-0344</t>
  </si>
  <si>
    <t>Anik Ahmed</t>
  </si>
  <si>
    <t>PA-0345</t>
  </si>
  <si>
    <t>Md. Alam</t>
  </si>
  <si>
    <t>PA-0346</t>
  </si>
  <si>
    <t>MN-0473</t>
  </si>
  <si>
    <t>Nurzahan Khatun</t>
  </si>
  <si>
    <t>PQ-0263</t>
  </si>
  <si>
    <t>Salina Begum</t>
  </si>
  <si>
    <t>PQ-0384</t>
  </si>
  <si>
    <t>Parvin</t>
  </si>
  <si>
    <t>PQ-0438</t>
  </si>
  <si>
    <t>Parvez</t>
  </si>
  <si>
    <t>PQ-0517</t>
  </si>
  <si>
    <t>PQ-0547</t>
  </si>
  <si>
    <t>Ms. Ruksana</t>
  </si>
  <si>
    <t>PQ-0608</t>
  </si>
  <si>
    <t>PQ-0657</t>
  </si>
  <si>
    <t>Golapi Biswash</t>
  </si>
  <si>
    <t>PQ-0682</t>
  </si>
  <si>
    <t>Monzila</t>
  </si>
  <si>
    <t>PQ-0686</t>
  </si>
  <si>
    <t>Munni Bebgum</t>
  </si>
  <si>
    <t>PQ-0739</t>
  </si>
  <si>
    <t>Shomesh Ali</t>
  </si>
  <si>
    <t>PQ-0778</t>
  </si>
  <si>
    <t>Shilpi Akter</t>
  </si>
  <si>
    <t>PQ-0782</t>
  </si>
  <si>
    <t>Nelofa Khatun</t>
  </si>
  <si>
    <t>PQ-0826</t>
  </si>
  <si>
    <t>Md. Shohel</t>
  </si>
  <si>
    <t>PQ-0848</t>
  </si>
  <si>
    <t>Jr. Q. Inspector</t>
  </si>
  <si>
    <t>Md.Ripon Sordar</t>
  </si>
  <si>
    <t>PQ-0868</t>
  </si>
  <si>
    <t>Mst.Marium Akter</t>
  </si>
  <si>
    <t>PQ-0876</t>
  </si>
  <si>
    <t>Somun Shikdar</t>
  </si>
  <si>
    <t>PQ-0883</t>
  </si>
  <si>
    <t>Mst.Shirina</t>
  </si>
  <si>
    <t>PQ-0915</t>
  </si>
  <si>
    <t>Md.Lahed Mia</t>
  </si>
  <si>
    <t>PQ-0930</t>
  </si>
  <si>
    <t>Md.Babul</t>
  </si>
  <si>
    <t>PQ-0932</t>
  </si>
  <si>
    <t>PQ-0945</t>
  </si>
  <si>
    <t>Md.Jobayer Hossain</t>
  </si>
  <si>
    <t>PQ-0983</t>
  </si>
  <si>
    <t>Mst.Salma Khatun</t>
  </si>
  <si>
    <t>PQ-0994</t>
  </si>
  <si>
    <t>Mst.Tapase Khatun</t>
  </si>
  <si>
    <t>PQ-0995</t>
  </si>
  <si>
    <t>Mst.Manjuyara Begum</t>
  </si>
  <si>
    <t>PQ-1003</t>
  </si>
  <si>
    <t>Saria Sultana</t>
  </si>
  <si>
    <t>PQ-1016</t>
  </si>
  <si>
    <t>Fenchi Begum</t>
  </si>
  <si>
    <t>PQ-1018</t>
  </si>
  <si>
    <t>Mst.Nazma</t>
  </si>
  <si>
    <t>PQ-1022</t>
  </si>
  <si>
    <t>Md.Ohidul Islam</t>
  </si>
  <si>
    <t>PQ-1023</t>
  </si>
  <si>
    <t>Kulsum Akter</t>
  </si>
  <si>
    <t>PQ-1026</t>
  </si>
  <si>
    <t>Khadega</t>
  </si>
  <si>
    <t>PQ-1030</t>
  </si>
  <si>
    <t>Rahema Begum</t>
  </si>
  <si>
    <t>PQ-1035</t>
  </si>
  <si>
    <t>Md.Afzal Hossain</t>
  </si>
  <si>
    <t>PQ-1038</t>
  </si>
  <si>
    <t>Mst.Rumi</t>
  </si>
  <si>
    <t>PQ-1039</t>
  </si>
  <si>
    <t>Md. Abdul Kader</t>
  </si>
  <si>
    <t>PQ-1044</t>
  </si>
  <si>
    <t>Md. Mosharraf Hossain</t>
  </si>
  <si>
    <t>PQ-1045</t>
  </si>
  <si>
    <t>PQ-1047</t>
  </si>
  <si>
    <t>Monifa Akter</t>
  </si>
  <si>
    <t>PQ-1048</t>
  </si>
  <si>
    <t>Mst. Sorufa</t>
  </si>
  <si>
    <t>PQ-1050</t>
  </si>
  <si>
    <t>Mst. Raseda Begum</t>
  </si>
  <si>
    <t>PQ-1051</t>
  </si>
  <si>
    <t>Mst. Shema Khatun</t>
  </si>
  <si>
    <t>PQ-1053</t>
  </si>
  <si>
    <t>Helana Akter</t>
  </si>
  <si>
    <t>PQ-1054</t>
  </si>
  <si>
    <t>Sumpa Akter</t>
  </si>
  <si>
    <t>PQ-1057</t>
  </si>
  <si>
    <t>Mst. Sipa Akter</t>
  </si>
  <si>
    <t>PQ-1058</t>
  </si>
  <si>
    <t>Mst. Rokeya Khatun</t>
  </si>
  <si>
    <t>PQ-1059</t>
  </si>
  <si>
    <t>Mst. Ruzina Begum</t>
  </si>
  <si>
    <t>PQ-1062</t>
  </si>
  <si>
    <t>Md. Jahangir Alom</t>
  </si>
  <si>
    <t>PQ-1068</t>
  </si>
  <si>
    <t>Mst. Jumena Akter</t>
  </si>
  <si>
    <t>PQ-1069</t>
  </si>
  <si>
    <t>Shamima Parvin</t>
  </si>
  <si>
    <t>PQ-1073</t>
  </si>
  <si>
    <t>Sabina Akter</t>
  </si>
  <si>
    <t>PQ-1074</t>
  </si>
  <si>
    <t>Md. Towhidul</t>
  </si>
  <si>
    <t>SE-0008</t>
  </si>
  <si>
    <t>Security Supervisor</t>
  </si>
  <si>
    <t>Md. Jahedul Islam</t>
  </si>
  <si>
    <t>SE-0021</t>
  </si>
  <si>
    <t>Security Guard</t>
  </si>
  <si>
    <t>Md. Sabul</t>
  </si>
  <si>
    <t>SE-0102</t>
  </si>
  <si>
    <t>Gate Man</t>
  </si>
  <si>
    <t>Md. Shipon Mia</t>
  </si>
  <si>
    <t>SE-0106</t>
  </si>
  <si>
    <t>Md. Dobirul Islam</t>
  </si>
  <si>
    <t>SE-0186</t>
  </si>
  <si>
    <t>Md. Atikul islam</t>
  </si>
  <si>
    <t>SE-0202</t>
  </si>
  <si>
    <t>Md.Rejaul Haque</t>
  </si>
  <si>
    <t>SE-0242</t>
  </si>
  <si>
    <t>Md Babul Sheikh</t>
  </si>
  <si>
    <t>SE-0264</t>
  </si>
  <si>
    <t>Khokon Ali Shah</t>
  </si>
  <si>
    <t>SE-0265</t>
  </si>
  <si>
    <t>Shahanur Rahman</t>
  </si>
  <si>
    <t>SE-0282</t>
  </si>
  <si>
    <t>Sree Jibon Chandra Sarker</t>
  </si>
  <si>
    <t>SE-0305</t>
  </si>
  <si>
    <t>Gatemen</t>
  </si>
  <si>
    <t>Dulal Mondol</t>
  </si>
  <si>
    <t>SE-0308</t>
  </si>
  <si>
    <t>Md. labu Mia</t>
  </si>
  <si>
    <t>SE-0311</t>
  </si>
  <si>
    <t>Md. Shariful Mondal</t>
  </si>
  <si>
    <t>SE-0313</t>
  </si>
  <si>
    <t>Md. Mohir Uddin Mondal</t>
  </si>
  <si>
    <t>SE-0315</t>
  </si>
  <si>
    <t>Md. Shefat Hossain Kha</t>
  </si>
  <si>
    <t>SE-0321</t>
  </si>
  <si>
    <t>Sahid Mia</t>
  </si>
  <si>
    <t>SE-0324</t>
  </si>
  <si>
    <t>Khondokar Mahabub Alam</t>
  </si>
  <si>
    <t>SE-0325</t>
  </si>
  <si>
    <t>Md. Moniruzzaman</t>
  </si>
  <si>
    <t>SE-0327</t>
  </si>
  <si>
    <t>Md.Abdar Ali</t>
  </si>
  <si>
    <t>SE-0328</t>
  </si>
  <si>
    <t>Md. Ashaduzzaman</t>
  </si>
  <si>
    <t>SE-0329</t>
  </si>
  <si>
    <t>Md. Moin Uddin Akunjee</t>
  </si>
  <si>
    <t>SE-0331</t>
  </si>
  <si>
    <t>SE-0334</t>
  </si>
  <si>
    <t>Md. Dulu Miah</t>
  </si>
  <si>
    <t>SE-0336</t>
  </si>
  <si>
    <t>Md. Shahidul Islam</t>
  </si>
  <si>
    <t>SE-0344</t>
  </si>
  <si>
    <t>Md. Nabin Alam -2</t>
  </si>
  <si>
    <t>SE-0347</t>
  </si>
  <si>
    <t>Md. Zahid Hasan</t>
  </si>
  <si>
    <t>SE-0351</t>
  </si>
  <si>
    <t>Md. Saju Mia</t>
  </si>
  <si>
    <t>SE-0352</t>
  </si>
  <si>
    <t>Md. Sayem Uddin</t>
  </si>
  <si>
    <t>SE-0357</t>
  </si>
  <si>
    <t>Md. Rakib</t>
  </si>
  <si>
    <t>SE-0359</t>
  </si>
  <si>
    <t>Md. Rozenur Rahman</t>
  </si>
  <si>
    <t>SE-0361</t>
  </si>
  <si>
    <t>Mahfuzur Rahman</t>
  </si>
  <si>
    <t>SE-0362</t>
  </si>
  <si>
    <t>Md. Milon MhRidha</t>
  </si>
  <si>
    <t>SE-0363</t>
  </si>
  <si>
    <t>Md. Kamran Hossain</t>
  </si>
  <si>
    <t>SE-0364</t>
  </si>
  <si>
    <t>Abu Hasnat Hasu</t>
  </si>
  <si>
    <t>SE-0366</t>
  </si>
  <si>
    <t>Rakibul Hasan</t>
  </si>
  <si>
    <t>SE-0367</t>
  </si>
  <si>
    <t>Md. Sagor Islam</t>
  </si>
  <si>
    <t>SE-0368</t>
  </si>
  <si>
    <t>Shahriar Arpin Bijoy</t>
  </si>
  <si>
    <t>SE-0369</t>
  </si>
  <si>
    <t>Sree Ranzan Das</t>
  </si>
  <si>
    <t>SE-0370</t>
  </si>
  <si>
    <t>Fatema</t>
  </si>
  <si>
    <t>SW-0075</t>
  </si>
  <si>
    <t>Mrs Sadika Banu</t>
  </si>
  <si>
    <t>SW-0081</t>
  </si>
  <si>
    <t>Baby Akter</t>
  </si>
  <si>
    <t>SW-0145</t>
  </si>
  <si>
    <t>SW-0250</t>
  </si>
  <si>
    <t>Ziasmin</t>
  </si>
  <si>
    <t>SW-0291</t>
  </si>
  <si>
    <t>Mrs. Sumi Akhtar</t>
  </si>
  <si>
    <t>SW-0296</t>
  </si>
  <si>
    <t>Nasrin</t>
  </si>
  <si>
    <t>SW-0339</t>
  </si>
  <si>
    <t>Dilruba Akter</t>
  </si>
  <si>
    <t>SW-0343</t>
  </si>
  <si>
    <t>Lipi Khatun</t>
  </si>
  <si>
    <t>SW-0348</t>
  </si>
  <si>
    <t>Taslima Khatun</t>
  </si>
  <si>
    <t>SW-0349</t>
  </si>
  <si>
    <t>Sozon Rani</t>
  </si>
  <si>
    <t>SW-0380</t>
  </si>
  <si>
    <t>Mst. Anisa Khatun</t>
  </si>
  <si>
    <t>SW-0408</t>
  </si>
  <si>
    <t>Mst.Kajol Rekha</t>
  </si>
  <si>
    <t>SW-0412</t>
  </si>
  <si>
    <t>Aktara Khatun</t>
  </si>
  <si>
    <t>SW-0413</t>
  </si>
  <si>
    <t>Mst.Salena Begum</t>
  </si>
  <si>
    <t>SW-0414</t>
  </si>
  <si>
    <t>Mst.Narzina Begum</t>
  </si>
  <si>
    <t>SW-0423</t>
  </si>
  <si>
    <t>Mst.Shemli Begum</t>
  </si>
  <si>
    <t>SW-0438</t>
  </si>
  <si>
    <t>Nur Jahan</t>
  </si>
  <si>
    <t>SW-0445</t>
  </si>
  <si>
    <t>Hmida Banu</t>
  </si>
  <si>
    <t>SW-0446</t>
  </si>
  <si>
    <t>Chompa Rani Sorkar</t>
  </si>
  <si>
    <t>SW-0448</t>
  </si>
  <si>
    <t>Mst.Farida Begum</t>
  </si>
  <si>
    <t>SW-0450</t>
  </si>
  <si>
    <t>Mst.Mukta Rani</t>
  </si>
  <si>
    <t>SW-0451</t>
  </si>
  <si>
    <t>Mst.Halima Khatun</t>
  </si>
  <si>
    <t>SW-0453</t>
  </si>
  <si>
    <t>SW-0460</t>
  </si>
  <si>
    <t>Mst.Rasida Akter</t>
  </si>
  <si>
    <t>SW-0463</t>
  </si>
  <si>
    <t>Mst.Jesmin Akter</t>
  </si>
  <si>
    <t>SW-0466</t>
  </si>
  <si>
    <t>Romana Khatun</t>
  </si>
  <si>
    <t>SW-0473</t>
  </si>
  <si>
    <t>Mst.Alefa Khatun</t>
  </si>
  <si>
    <t>SW-0476</t>
  </si>
  <si>
    <t>Mst.Ferdusi</t>
  </si>
  <si>
    <t>SW-0480</t>
  </si>
  <si>
    <t>Nurbanu Begum</t>
  </si>
  <si>
    <t>SW-0485</t>
  </si>
  <si>
    <t>Mst.Tania Akter</t>
  </si>
  <si>
    <t>SW-0486</t>
  </si>
  <si>
    <t>Mst.Shida Khatun</t>
  </si>
  <si>
    <t>SW-0488</t>
  </si>
  <si>
    <t>Mst.Asha Moni Akter</t>
  </si>
  <si>
    <t>SW-0494</t>
  </si>
  <si>
    <t>Khalayda Akter</t>
  </si>
  <si>
    <t>SW-0496</t>
  </si>
  <si>
    <t>Hafiza Begum</t>
  </si>
  <si>
    <t>SW-0497</t>
  </si>
  <si>
    <t>SW-0498</t>
  </si>
  <si>
    <t>Mst. Shahida Begum</t>
  </si>
  <si>
    <t>SW-0499</t>
  </si>
  <si>
    <t>Mst. Mim Aktar</t>
  </si>
  <si>
    <t>SW-0501</t>
  </si>
  <si>
    <t>Most. Rima Khatun</t>
  </si>
  <si>
    <t>SW-0502</t>
  </si>
  <si>
    <t>Manjila</t>
  </si>
  <si>
    <t>SW-0503</t>
  </si>
  <si>
    <t>Anjuara Khatun</t>
  </si>
  <si>
    <t>SW-0504</t>
  </si>
  <si>
    <t>SW-0506</t>
  </si>
  <si>
    <t>Lilyfa</t>
  </si>
  <si>
    <t>SW-0513</t>
  </si>
  <si>
    <t>Mst. Forida Akter</t>
  </si>
  <si>
    <t>SW-0520</t>
  </si>
  <si>
    <t>Mst. Buli Begum</t>
  </si>
  <si>
    <t>SW-0521</t>
  </si>
  <si>
    <t>SW-0522</t>
  </si>
  <si>
    <t>Mst. Asmany Akter</t>
  </si>
  <si>
    <t>SW-0523</t>
  </si>
  <si>
    <t>Mst. Akhi Akter</t>
  </si>
  <si>
    <t>SW-0524</t>
  </si>
  <si>
    <t>Mst. Aktara Begum</t>
  </si>
  <si>
    <t>SW-0527</t>
  </si>
  <si>
    <t>Mst. Sathi Akter</t>
  </si>
  <si>
    <t>SW-0530</t>
  </si>
  <si>
    <t>Md. Sazzadul Mia</t>
  </si>
  <si>
    <t>WI-0065</t>
  </si>
  <si>
    <t>Atajul</t>
  </si>
  <si>
    <t>WI-0081</t>
  </si>
  <si>
    <t>Motabur</t>
  </si>
  <si>
    <t>WI-0164</t>
  </si>
  <si>
    <t>Md. Sazo Ahammad</t>
  </si>
  <si>
    <t>WI-0168</t>
  </si>
  <si>
    <t>Md. Ziyaur Rahman</t>
  </si>
  <si>
    <t>WI-0179</t>
  </si>
  <si>
    <t>Md. Helal Miah</t>
  </si>
  <si>
    <t>WI-0251</t>
  </si>
  <si>
    <t>WI-0252</t>
  </si>
  <si>
    <t>Md.Tafazzol Mia</t>
  </si>
  <si>
    <t>WI-0253</t>
  </si>
  <si>
    <t>Md.Jahangir Alom</t>
  </si>
  <si>
    <t>WI-0254</t>
  </si>
  <si>
    <t>Md.Milon Mia</t>
  </si>
  <si>
    <t>WI-0255</t>
  </si>
  <si>
    <t>Md. Mahbub Rahman</t>
  </si>
  <si>
    <t>WI-0256</t>
  </si>
  <si>
    <t>Md. Faruk Sarder</t>
  </si>
  <si>
    <t>WI-0257</t>
  </si>
  <si>
    <t>Md. Halim Mia</t>
  </si>
  <si>
    <t>WI-0258</t>
  </si>
  <si>
    <t>Md. Abdus Islam</t>
  </si>
  <si>
    <t>WI-0259</t>
  </si>
  <si>
    <t>Mst.Khushi Akter</t>
  </si>
  <si>
    <t>GPT-0001</t>
  </si>
  <si>
    <t>AO-1635</t>
  </si>
  <si>
    <t>Mst.Samsunnahar Begum</t>
  </si>
  <si>
    <t>AO-1715</t>
  </si>
  <si>
    <t>Mst.Aleya Begum</t>
  </si>
  <si>
    <t>AO-1717</t>
  </si>
  <si>
    <t>Mst.Khoteza Begum</t>
  </si>
  <si>
    <t>AO-1726</t>
  </si>
  <si>
    <t>Moinul Islam</t>
  </si>
  <si>
    <t>WA-0018</t>
  </si>
  <si>
    <t>Md. Noyon Mia Bepari</t>
  </si>
  <si>
    <t>WA-0084</t>
  </si>
  <si>
    <t>Khorshed Ali</t>
  </si>
  <si>
    <t>WA-0088</t>
  </si>
  <si>
    <t>Khorshed</t>
  </si>
  <si>
    <t>WA-0136</t>
  </si>
  <si>
    <t>Mst.Ashma Begum</t>
  </si>
  <si>
    <t>WA-0217</t>
  </si>
  <si>
    <t>Mst Jhorna Begum</t>
  </si>
  <si>
    <t>WA-0220</t>
  </si>
  <si>
    <t>Ayub Mia</t>
  </si>
  <si>
    <t>WA-0235</t>
  </si>
  <si>
    <t>Mst Rasida Begum</t>
  </si>
  <si>
    <t>WA-0281</t>
  </si>
  <si>
    <t>Md. Shoriful Islam</t>
  </si>
  <si>
    <t>WA-0294</t>
  </si>
  <si>
    <t>Zonto Moni Resi</t>
  </si>
  <si>
    <t>WA-0295</t>
  </si>
  <si>
    <t>Md.Momin Mia</t>
  </si>
  <si>
    <t>WA-0301</t>
  </si>
  <si>
    <t>Md.Ali Hossain</t>
  </si>
  <si>
    <t>WA-0302</t>
  </si>
  <si>
    <t>Md.Asadul Haque</t>
  </si>
  <si>
    <t>WA-0315</t>
  </si>
  <si>
    <t>Md.Bablu Mia</t>
  </si>
  <si>
    <t>WA-0318</t>
  </si>
  <si>
    <t>Nurnobi Ali</t>
  </si>
  <si>
    <t>WA-0320</t>
  </si>
  <si>
    <t>Md.Shfikul Islam</t>
  </si>
  <si>
    <t>WA-0325</t>
  </si>
  <si>
    <t>WA-0326</t>
  </si>
  <si>
    <t>Md.Bashir</t>
  </si>
  <si>
    <t>WA-0328</t>
  </si>
  <si>
    <t>Md.Rocky Mia</t>
  </si>
  <si>
    <t>WA-0330</t>
  </si>
  <si>
    <t>Md.Rayhan Mia</t>
  </si>
  <si>
    <t>WA-0334</t>
  </si>
  <si>
    <t>Md.Shahajahan Miah</t>
  </si>
  <si>
    <t>WA-0363</t>
  </si>
  <si>
    <t>Md.Moynul Islam</t>
  </si>
  <si>
    <t>WA-0376</t>
  </si>
  <si>
    <t>Zoynul</t>
  </si>
  <si>
    <t>WA-0377</t>
  </si>
  <si>
    <t>Md.Mukul Mia</t>
  </si>
  <si>
    <t>WA-0385</t>
  </si>
  <si>
    <t>Md.Biplob Banu</t>
  </si>
  <si>
    <t>WA-0388</t>
  </si>
  <si>
    <t>Md.Sameul Islam</t>
  </si>
  <si>
    <t>WA-0392</t>
  </si>
  <si>
    <t>Md.Shojib Islam</t>
  </si>
  <si>
    <t>WA-0393</t>
  </si>
  <si>
    <t>Md.Motaleb Ali</t>
  </si>
  <si>
    <t>WA-0394</t>
  </si>
  <si>
    <t>WA-0398</t>
  </si>
  <si>
    <t>Md.Forhad Islam</t>
  </si>
  <si>
    <t>WA-0399</t>
  </si>
  <si>
    <t>Md. Ashraful</t>
  </si>
  <si>
    <t>WA-0416</t>
  </si>
  <si>
    <t>Md.Jaridul Haque</t>
  </si>
  <si>
    <t>WA-0424</t>
  </si>
  <si>
    <t>Md.Rafiqul Islam</t>
  </si>
  <si>
    <t>WA-0425</t>
  </si>
  <si>
    <t>Mrs. Helena Begum</t>
  </si>
  <si>
    <t>WI-0006</t>
  </si>
  <si>
    <t>Ms Monowara</t>
  </si>
  <si>
    <t>WI-0020</t>
  </si>
  <si>
    <t>Mrs. Silu khatun</t>
  </si>
  <si>
    <t>WI-0038</t>
  </si>
  <si>
    <t>Mrs. Rashda Begum</t>
  </si>
  <si>
    <t>WI-0039</t>
  </si>
  <si>
    <t>Mrs. bulu</t>
  </si>
  <si>
    <t>WI-0075</t>
  </si>
  <si>
    <t>Mrs. Mafroza Khatun</t>
  </si>
  <si>
    <t>WI-0086</t>
  </si>
  <si>
    <t>Jhorna Begum</t>
  </si>
  <si>
    <t>WI-0094</t>
  </si>
  <si>
    <t>Shreemoti Bina Rani</t>
  </si>
  <si>
    <t>WI-0099</t>
  </si>
  <si>
    <t>Rahela Begum</t>
  </si>
  <si>
    <t>WI-0132</t>
  </si>
  <si>
    <t>Ms. Shelina</t>
  </si>
  <si>
    <t>WI-0147</t>
  </si>
  <si>
    <t>Ms. Labli</t>
  </si>
  <si>
    <t>WI-0148</t>
  </si>
  <si>
    <t>Momtaz</t>
  </si>
  <si>
    <t>WI-0153</t>
  </si>
  <si>
    <t>Khodeza</t>
  </si>
  <si>
    <t>WI-0175</t>
  </si>
  <si>
    <t>Mst. Chompa Begum</t>
  </si>
  <si>
    <t>WI-0183</t>
  </si>
  <si>
    <t>Rohima Begum</t>
  </si>
  <si>
    <t>WI-0188</t>
  </si>
  <si>
    <t>Jamena</t>
  </si>
  <si>
    <t>WI-0196</t>
  </si>
  <si>
    <t>Md. Hafija Begum</t>
  </si>
  <si>
    <t>WI-0209</t>
  </si>
  <si>
    <t>Hasna Khatun</t>
  </si>
  <si>
    <t>WI-0213</t>
  </si>
  <si>
    <t>Bulon Begum</t>
  </si>
  <si>
    <t>WI-0224</t>
  </si>
  <si>
    <t>Moezina</t>
  </si>
  <si>
    <t>WI-0227</t>
  </si>
  <si>
    <t>Mrs. Munni Khatun</t>
  </si>
  <si>
    <t>WI-0232</t>
  </si>
  <si>
    <t>Parvin Akter</t>
  </si>
  <si>
    <t>WI-0233</t>
  </si>
  <si>
    <t>Mst. Mazeda</t>
  </si>
  <si>
    <t>WI-0238</t>
  </si>
  <si>
    <t>Mst. Kamla Begum</t>
  </si>
  <si>
    <t>WI-0260</t>
  </si>
  <si>
    <t>Mst. Moriyum Begum</t>
  </si>
  <si>
    <t>WI-0261</t>
  </si>
  <si>
    <t>Mst. Momena Begum</t>
  </si>
  <si>
    <t>WI-0262</t>
  </si>
  <si>
    <t>Mohammad Ali</t>
  </si>
  <si>
    <t>WI-0112</t>
  </si>
  <si>
    <t>Rashid</t>
  </si>
  <si>
    <t>WI-0118</t>
  </si>
  <si>
    <t>Md. Shahinur Rahman</t>
  </si>
  <si>
    <t>WI-0127</t>
  </si>
  <si>
    <t>Md. Shafikul Mondol</t>
  </si>
  <si>
    <t>WI-0170</t>
  </si>
  <si>
    <t>Md. Tazrul islam</t>
  </si>
  <si>
    <t>WI-0177</t>
  </si>
  <si>
    <t>Md. Zakir Hossain</t>
  </si>
  <si>
    <t>WI-0191</t>
  </si>
  <si>
    <t>WI-0195</t>
  </si>
  <si>
    <t>Md. Tazurul</t>
  </si>
  <si>
    <t>WI-0197</t>
  </si>
  <si>
    <t>WI-0230</t>
  </si>
  <si>
    <t>Md. Shahin</t>
  </si>
  <si>
    <t>WI-0245</t>
  </si>
  <si>
    <t>Md. Samsur Pramanik</t>
  </si>
  <si>
    <t>WI-0247</t>
  </si>
  <si>
    <t>Md. Mottaleb Hossen</t>
  </si>
  <si>
    <t>WI-0248</t>
  </si>
  <si>
    <t>Md. Kaga Mai</t>
  </si>
  <si>
    <t>WI-0249</t>
  </si>
  <si>
    <t>Md.Bablu</t>
  </si>
  <si>
    <t>WI-0250</t>
  </si>
  <si>
    <t>="Sub Section: "&amp;IF(AND(SUBTOTAL(103,$A$6:$A$2792)&lt;COUNTA($A$6:$A$2792),TEXTJOIN(" + ",TRUE,AV6:AV38)&lt;&gt;""),TEXTJOIN(" + ",TRUE,AV6:AV38),"All")</t>
  </si>
  <si>
    <t>Iron</t>
  </si>
  <si>
    <t>Linking Operator</t>
  </si>
  <si>
    <t>Linking Operator-2</t>
  </si>
  <si>
    <t>Sohedul Islam</t>
  </si>
  <si>
    <t>IR-0011</t>
  </si>
  <si>
    <t>Sabuj Halder</t>
  </si>
  <si>
    <t>IR-0017</t>
  </si>
  <si>
    <t>Shahjahan</t>
  </si>
  <si>
    <t>IR-0035</t>
  </si>
  <si>
    <t>IR-0043</t>
  </si>
  <si>
    <t>Al Amin</t>
  </si>
  <si>
    <t>IR-0044</t>
  </si>
  <si>
    <t>Polash Mia</t>
  </si>
  <si>
    <t>IR-0108</t>
  </si>
  <si>
    <t>Md. Sada Mondol</t>
  </si>
  <si>
    <t>IR-0159</t>
  </si>
  <si>
    <t>Sumon Mia</t>
  </si>
  <si>
    <t>IR-0171</t>
  </si>
  <si>
    <t>Md. Altab Hossain</t>
  </si>
  <si>
    <t>IR-0173</t>
  </si>
  <si>
    <t>Md. Momin</t>
  </si>
  <si>
    <t>IR-0174</t>
  </si>
  <si>
    <t>Md. Alamin</t>
  </si>
  <si>
    <t>IR-0175</t>
  </si>
  <si>
    <t>IR-0176</t>
  </si>
  <si>
    <t>Md.Monirul Islam</t>
  </si>
  <si>
    <t>IR-0202</t>
  </si>
  <si>
    <t>Shohags Sarkar</t>
  </si>
  <si>
    <t>IR-0208</t>
  </si>
  <si>
    <t>Md.Yousuf Ali</t>
  </si>
  <si>
    <t>IR-0225</t>
  </si>
  <si>
    <t>Rony</t>
  </si>
  <si>
    <t>IR-0226</t>
  </si>
  <si>
    <t>Md. Shahin Ahamad</t>
  </si>
  <si>
    <t>IR-0228</t>
  </si>
  <si>
    <t>Md.Edu Mia</t>
  </si>
  <si>
    <t>IR-0245</t>
  </si>
  <si>
    <t>Md.Umar Faruk</t>
  </si>
  <si>
    <t>IR-0276</t>
  </si>
  <si>
    <t>IR-0279</t>
  </si>
  <si>
    <t>Md.Ripon Mia</t>
  </si>
  <si>
    <t>IR-0292</t>
  </si>
  <si>
    <t>Md.Mujammel Haque Bakul</t>
  </si>
  <si>
    <t>IR-0298</t>
  </si>
  <si>
    <t>Md.Shohel Rana</t>
  </si>
  <si>
    <t>IR-0299</t>
  </si>
  <si>
    <t>Abdul Salam</t>
  </si>
  <si>
    <t>IR-0303</t>
  </si>
  <si>
    <t>Md.Zahirol Islam</t>
  </si>
  <si>
    <t>IR-0324</t>
  </si>
  <si>
    <t>Wahed Ali Sagar</t>
  </si>
  <si>
    <t>IR-0326</t>
  </si>
  <si>
    <t>Motaher Hosen</t>
  </si>
  <si>
    <t>IR-0327</t>
  </si>
  <si>
    <t>Shaidul Islam</t>
  </si>
  <si>
    <t>IR-0328</t>
  </si>
  <si>
    <t>Md.Swapon Ali</t>
  </si>
  <si>
    <t>IR-0332</t>
  </si>
  <si>
    <t>Md.Babor Ali Kazi</t>
  </si>
  <si>
    <t>IR-0335</t>
  </si>
  <si>
    <t>Md.Safik Islam</t>
  </si>
  <si>
    <t>IR-0336</t>
  </si>
  <si>
    <t>Md.Shadin Miah</t>
  </si>
  <si>
    <t>IR-0338</t>
  </si>
  <si>
    <t>Md.Mukbul Hossain</t>
  </si>
  <si>
    <t>IR-0339</t>
  </si>
  <si>
    <t>Md.Kamal Hossain</t>
  </si>
  <si>
    <t>IR-0352</t>
  </si>
  <si>
    <t>IR-0357</t>
  </si>
  <si>
    <t>Md .Laden</t>
  </si>
  <si>
    <t>IR-0359</t>
  </si>
  <si>
    <t>Md. Emdadul Haque</t>
  </si>
  <si>
    <t>IR-0360</t>
  </si>
  <si>
    <t>Md. Rohul Amin</t>
  </si>
  <si>
    <t>IR-0361</t>
  </si>
  <si>
    <t>Md. Mofiz Uddin</t>
  </si>
  <si>
    <t>IR-0362</t>
  </si>
  <si>
    <t>Md. Sofir Uddin</t>
  </si>
  <si>
    <t>IR-0363</t>
  </si>
  <si>
    <t>Md. Munna Chowdhury</t>
  </si>
  <si>
    <t>IR-0366</t>
  </si>
  <si>
    <t>Md. Safin Islam</t>
  </si>
  <si>
    <t>IR-0371</t>
  </si>
  <si>
    <t>Md. Akram</t>
  </si>
  <si>
    <t>IR-0374</t>
  </si>
  <si>
    <t>Md. Faruk Shak</t>
  </si>
  <si>
    <t>IR-0375</t>
  </si>
  <si>
    <t>Md. Hannan Mia</t>
  </si>
  <si>
    <t>IR-0376</t>
  </si>
  <si>
    <t>Md. Mukul Miya</t>
  </si>
  <si>
    <t>IR-0377</t>
  </si>
  <si>
    <t>Baijid</t>
  </si>
  <si>
    <t>IR-0379</t>
  </si>
  <si>
    <t>Md. Sabed Ali</t>
  </si>
  <si>
    <t>IR-0380</t>
  </si>
  <si>
    <t>Md. Mohsin Alam</t>
  </si>
  <si>
    <t>IR-0381</t>
  </si>
  <si>
    <t>Md. Rabiul Islam</t>
  </si>
  <si>
    <t>IR-0382</t>
  </si>
  <si>
    <t>Md. Anowar Hossain</t>
  </si>
  <si>
    <t>IR-0383</t>
  </si>
  <si>
    <t>Md. Nawsher Ali</t>
  </si>
  <si>
    <t>IR-0384</t>
  </si>
  <si>
    <t>Md. Julhas Bepari</t>
  </si>
  <si>
    <t>LI-0012</t>
  </si>
  <si>
    <t>Faruque Hossain</t>
  </si>
  <si>
    <t>LI-1044</t>
  </si>
  <si>
    <t>Nazim Uddin</t>
  </si>
  <si>
    <t>LI-1548</t>
  </si>
  <si>
    <t>Gowra Sutrodhor</t>
  </si>
  <si>
    <t>LI-1624</t>
  </si>
  <si>
    <t>Sanowar</t>
  </si>
  <si>
    <t>LI-1651</t>
  </si>
  <si>
    <t>Sha Imran</t>
  </si>
  <si>
    <t>LI-1657</t>
  </si>
  <si>
    <t>Md. MuKul Mia</t>
  </si>
  <si>
    <t>LI-1735</t>
  </si>
  <si>
    <t>Nannu Mia</t>
  </si>
  <si>
    <t>LI-1775</t>
  </si>
  <si>
    <t>Repon Mia</t>
  </si>
  <si>
    <t>LI-1939</t>
  </si>
  <si>
    <t>LI-2035</t>
  </si>
  <si>
    <t>Ponir Mia</t>
  </si>
  <si>
    <t>LI-2036</t>
  </si>
  <si>
    <t>Md. Fazlul Haque</t>
  </si>
  <si>
    <t>LI-2056</t>
  </si>
  <si>
    <t>LI-2062</t>
  </si>
  <si>
    <t>Md. Delower Hossain</t>
  </si>
  <si>
    <t>LI-2083</t>
  </si>
  <si>
    <t>Alamgir Hossain</t>
  </si>
  <si>
    <t>LI-2149</t>
  </si>
  <si>
    <t>Md. Juwel</t>
  </si>
  <si>
    <t>LI-2163</t>
  </si>
  <si>
    <t>Shahinur Islam</t>
  </si>
  <si>
    <t>LI-2172</t>
  </si>
  <si>
    <t>Sree Manik Kumar</t>
  </si>
  <si>
    <t>LI-2226</t>
  </si>
  <si>
    <t>Md. Shariful  Islam</t>
  </si>
  <si>
    <t>LI-2240</t>
  </si>
  <si>
    <t>Md. Abu Zafor</t>
  </si>
  <si>
    <t>LI-2255</t>
  </si>
  <si>
    <t>Piara Begum</t>
  </si>
  <si>
    <t>LI-2267</t>
  </si>
  <si>
    <t>Md. Sogon Miah</t>
  </si>
  <si>
    <t>LI-2269</t>
  </si>
  <si>
    <t>Md. Al Amin</t>
  </si>
  <si>
    <t>LI-2318</t>
  </si>
  <si>
    <t>Md. Nurunnabi Islam</t>
  </si>
  <si>
    <t>LI-2395</t>
  </si>
  <si>
    <t>Mostafa</t>
  </si>
  <si>
    <t>LI-2452</t>
  </si>
  <si>
    <t>Md. Sobuz Miah</t>
  </si>
  <si>
    <t>LI-2456</t>
  </si>
  <si>
    <t>Mitu Akter</t>
  </si>
  <si>
    <t>LI-2471</t>
  </si>
  <si>
    <t>Md.Nur Alam</t>
  </si>
  <si>
    <t>LI-2608</t>
  </si>
  <si>
    <t>Forzul Mia</t>
  </si>
  <si>
    <t>LI-2668</t>
  </si>
  <si>
    <t>Md.Abdul Rohim</t>
  </si>
  <si>
    <t>LI-2681</t>
  </si>
  <si>
    <t>Mst.Suraia Yesmin Hashi</t>
  </si>
  <si>
    <t>LI-2689</t>
  </si>
  <si>
    <t>Md.Rokan Mia</t>
  </si>
  <si>
    <t>LI-2791</t>
  </si>
  <si>
    <t>Md. Basir Uddin</t>
  </si>
  <si>
    <t>LI-2904</t>
  </si>
  <si>
    <t>Manira Akter</t>
  </si>
  <si>
    <t>LI-2909</t>
  </si>
  <si>
    <t>LI-2929</t>
  </si>
  <si>
    <t>LI-2936</t>
  </si>
  <si>
    <t>Md.Aklasc Hosain</t>
  </si>
  <si>
    <t>LI-3004</t>
  </si>
  <si>
    <t>Shobuz</t>
  </si>
  <si>
    <t>LI-3009</t>
  </si>
  <si>
    <t>Md.Monjurul Islam</t>
  </si>
  <si>
    <t>LI-3048</t>
  </si>
  <si>
    <t>Miba Akter Zabba</t>
  </si>
  <si>
    <t>LI-3069</t>
  </si>
  <si>
    <t>Mst.Toli Khatun</t>
  </si>
  <si>
    <t>LI-3072</t>
  </si>
  <si>
    <t>LI-3085</t>
  </si>
  <si>
    <t>Md. Rayhan</t>
  </si>
  <si>
    <t>LI-3089</t>
  </si>
  <si>
    <t>Md.Sabuj Mia</t>
  </si>
  <si>
    <t>LI-3097</t>
  </si>
  <si>
    <t>Rajiya Khatun</t>
  </si>
  <si>
    <t>LI-3098</t>
  </si>
  <si>
    <t>Md.Nazmul Hossain</t>
  </si>
  <si>
    <t>LI-3100</t>
  </si>
  <si>
    <t>Mst.Khairun</t>
  </si>
  <si>
    <t>LI-3102</t>
  </si>
  <si>
    <t>Mahabub</t>
  </si>
  <si>
    <t>LI-3104</t>
  </si>
  <si>
    <t>Md.Mazid Ali</t>
  </si>
  <si>
    <t>LI-3105</t>
  </si>
  <si>
    <t>Md.Jasidul</t>
  </si>
  <si>
    <t>LI-3109</t>
  </si>
  <si>
    <t>Md.Sohag Kha</t>
  </si>
  <si>
    <t>LI-3151</t>
  </si>
  <si>
    <t>Md.Sha-Jalal</t>
  </si>
  <si>
    <t>LI-3153</t>
  </si>
  <si>
    <t>Mst.Shilpi</t>
  </si>
  <si>
    <t>LI-3155</t>
  </si>
  <si>
    <t>Md.Shahid Molla</t>
  </si>
  <si>
    <t>LI-3158</t>
  </si>
  <si>
    <t>Mst.Rumpa Begum</t>
  </si>
  <si>
    <t>LI-3165</t>
  </si>
  <si>
    <t>Shathi Akter</t>
  </si>
  <si>
    <t>LI-3178</t>
  </si>
  <si>
    <t>Mst.Dulali Akter</t>
  </si>
  <si>
    <t>LI-3182</t>
  </si>
  <si>
    <t>Md.Kalam Hossan</t>
  </si>
  <si>
    <t>LI-3224</t>
  </si>
  <si>
    <t>Md. Masahar Mondol</t>
  </si>
  <si>
    <t>LI-3225</t>
  </si>
  <si>
    <t>LI-3263</t>
  </si>
  <si>
    <t>Md.Mominol Islam</t>
  </si>
  <si>
    <t>LI-3267</t>
  </si>
  <si>
    <t>Sree Ripon Kumar Rai</t>
  </si>
  <si>
    <t>LI-3276</t>
  </si>
  <si>
    <t>Md.Ata Miya</t>
  </si>
  <si>
    <t>LI-3277</t>
  </si>
  <si>
    <t>Md.Tarek Miah</t>
  </si>
  <si>
    <t>LI-3286</t>
  </si>
  <si>
    <t>Md.Aminur Islam</t>
  </si>
  <si>
    <t>LI-3288</t>
  </si>
  <si>
    <t>Md.Rasedul Islam</t>
  </si>
  <si>
    <t>LI-3310</t>
  </si>
  <si>
    <t>Delowar Hossain</t>
  </si>
  <si>
    <t>LI-3311</t>
  </si>
  <si>
    <t>Md.Hasan Molla</t>
  </si>
  <si>
    <t>LI-3312</t>
  </si>
  <si>
    <t>Raju Ahmed</t>
  </si>
  <si>
    <t>LI-3313</t>
  </si>
  <si>
    <t>LI-3318</t>
  </si>
  <si>
    <t>Md.Anwar Hossain</t>
  </si>
  <si>
    <t>LI-3321</t>
  </si>
  <si>
    <t>Shahanaz Begum</t>
  </si>
  <si>
    <t>LI-3324</t>
  </si>
  <si>
    <t>Mst.Rikta Parvin</t>
  </si>
  <si>
    <t>LI-3336</t>
  </si>
  <si>
    <t>Lal Mia</t>
  </si>
  <si>
    <t>LI-3337</t>
  </si>
  <si>
    <t>Md.Abdul Motaleb</t>
  </si>
  <si>
    <t>LI-3345</t>
  </si>
  <si>
    <t>Md. Shahadat Hossain</t>
  </si>
  <si>
    <t>LI-3346</t>
  </si>
  <si>
    <t>Mst.Taslima Akter</t>
  </si>
  <si>
    <t>LI-3347</t>
  </si>
  <si>
    <t>Mst.Juma Akter</t>
  </si>
  <si>
    <t>LI-3351</t>
  </si>
  <si>
    <t>Md.Ibrahim Mia</t>
  </si>
  <si>
    <t>LI-3355</t>
  </si>
  <si>
    <t>Md.Nasir Uddin</t>
  </si>
  <si>
    <t>LI-3358</t>
  </si>
  <si>
    <t>Tonni Khanam</t>
  </si>
  <si>
    <t>LI-3359</t>
  </si>
  <si>
    <t>LI-3364</t>
  </si>
  <si>
    <t>Md.Abu Bakkor</t>
  </si>
  <si>
    <t>LI-3370</t>
  </si>
  <si>
    <t>Md. Sapan</t>
  </si>
  <si>
    <t>LI-3389</t>
  </si>
  <si>
    <t>Mst.Ratna Khatun</t>
  </si>
  <si>
    <t>LI-3391</t>
  </si>
  <si>
    <t>Md.Abdul Momin</t>
  </si>
  <si>
    <t>LI-3394</t>
  </si>
  <si>
    <t>LI-3401</t>
  </si>
  <si>
    <t>Md.Rasel Ali</t>
  </si>
  <si>
    <t>LI-3407</t>
  </si>
  <si>
    <t>Mariom Akter</t>
  </si>
  <si>
    <t>LI-3410</t>
  </si>
  <si>
    <t>Md.Sadhon Ali Sazo</t>
  </si>
  <si>
    <t>LI-3413</t>
  </si>
  <si>
    <t>LI-3415</t>
  </si>
  <si>
    <t>Md.Mitun</t>
  </si>
  <si>
    <t>LI-3416</t>
  </si>
  <si>
    <t>Mst.Begum Rokeya</t>
  </si>
  <si>
    <t>LI-3424</t>
  </si>
  <si>
    <t>Md.Mominur Islam</t>
  </si>
  <si>
    <t>LI-3425</t>
  </si>
  <si>
    <t>Md.Nur Nobi</t>
  </si>
  <si>
    <t>LI-3432</t>
  </si>
  <si>
    <t>Md.Imran</t>
  </si>
  <si>
    <t>LI-3443</t>
  </si>
  <si>
    <t>Rakib Hasan</t>
  </si>
  <si>
    <t>LI-3444</t>
  </si>
  <si>
    <t>Md.Sojib Hossan</t>
  </si>
  <si>
    <t>LI-3447</t>
  </si>
  <si>
    <t>LI-3448</t>
  </si>
  <si>
    <t>Iman Ali</t>
  </si>
  <si>
    <t>LI-3452</t>
  </si>
  <si>
    <t>Md.Anowar Hossain</t>
  </si>
  <si>
    <t>LI-3453</t>
  </si>
  <si>
    <t>Md.Mokhlessur Rahman</t>
  </si>
  <si>
    <t>LI-3454</t>
  </si>
  <si>
    <t>Marina</t>
  </si>
  <si>
    <t>LI-3463</t>
  </si>
  <si>
    <t>Md.Mosharof Hossen</t>
  </si>
  <si>
    <t>LI-3464</t>
  </si>
  <si>
    <t>Jasmin Akter</t>
  </si>
  <si>
    <t>LI-3468</t>
  </si>
  <si>
    <t>Abu Hanif</t>
  </si>
  <si>
    <t>LI-3471</t>
  </si>
  <si>
    <t>Md.Azad</t>
  </si>
  <si>
    <t>LI-3472</t>
  </si>
  <si>
    <t>Md.Masum Pramanik</t>
  </si>
  <si>
    <t>LI-3473</t>
  </si>
  <si>
    <t>Md.Shahalom Islam</t>
  </si>
  <si>
    <t>LI-3474</t>
  </si>
  <si>
    <t>Md.Adom Bapary</t>
  </si>
  <si>
    <t>LI-3475</t>
  </si>
  <si>
    <t>Md.Abul Razzak Sheikh</t>
  </si>
  <si>
    <t>LI-3476</t>
  </si>
  <si>
    <t>Md.Razzak</t>
  </si>
  <si>
    <t>LI-3478</t>
  </si>
  <si>
    <t>Md.Hasan</t>
  </si>
  <si>
    <t>LI-3482</t>
  </si>
  <si>
    <t>Monowara Begum</t>
  </si>
  <si>
    <t>LI-3483</t>
  </si>
  <si>
    <t>Md.Esmail Hossen</t>
  </si>
  <si>
    <t>LI-3485</t>
  </si>
  <si>
    <t>Abdul Alim</t>
  </si>
  <si>
    <t>LI-3487</t>
  </si>
  <si>
    <t>Sarowar Hossain</t>
  </si>
  <si>
    <t>LI-3488</t>
  </si>
  <si>
    <t>Md.Suzan Hossan</t>
  </si>
  <si>
    <t>LI-3489</t>
  </si>
  <si>
    <t>Mst. Shahinur Khatun</t>
  </si>
  <si>
    <t>LI-3494</t>
  </si>
  <si>
    <t>Rojina Khatun</t>
  </si>
  <si>
    <t>LI-3495</t>
  </si>
  <si>
    <t>Md. Bellal Hossain</t>
  </si>
  <si>
    <t>LI-3496</t>
  </si>
  <si>
    <t>Mst. Shaanaj</t>
  </si>
  <si>
    <t>LI-3497</t>
  </si>
  <si>
    <t>Md. Sohel Rana</t>
  </si>
  <si>
    <t>LI-3498</t>
  </si>
  <si>
    <t>Md. Monnaf Ali</t>
  </si>
  <si>
    <t>LI-3499</t>
  </si>
  <si>
    <t>Md. Moynal Beg</t>
  </si>
  <si>
    <t>LI-3500</t>
  </si>
  <si>
    <t>Md. Rohidul Islam</t>
  </si>
  <si>
    <t>LI-3502</t>
  </si>
  <si>
    <t>Mst. Asma Begum</t>
  </si>
  <si>
    <t>LI-3504</t>
  </si>
  <si>
    <t>Mynoddin</t>
  </si>
  <si>
    <t>LI-3505</t>
  </si>
  <si>
    <t>Mst. Taslima Akter</t>
  </si>
  <si>
    <t>LI-3506</t>
  </si>
  <si>
    <t>Md. Alamin Sheikh</t>
  </si>
  <si>
    <t>LI-3507</t>
  </si>
  <si>
    <t>Rini Khatun</t>
  </si>
  <si>
    <t>LI-3508</t>
  </si>
  <si>
    <t>Md. Kobir Hossain</t>
  </si>
  <si>
    <t>LI-3509</t>
  </si>
  <si>
    <t>LI-3510</t>
  </si>
  <si>
    <t>Mst. Lipi Akter</t>
  </si>
  <si>
    <t>LI-3511</t>
  </si>
  <si>
    <t>Md. Melan Mia</t>
  </si>
  <si>
    <t>LI-3512</t>
  </si>
  <si>
    <t>Md. Lemon Miah</t>
  </si>
  <si>
    <t>LI-3513</t>
  </si>
  <si>
    <t>Md. Sojib Mia</t>
  </si>
  <si>
    <t>LI-3514</t>
  </si>
  <si>
    <t>Lal Mamud</t>
  </si>
  <si>
    <t>LI-3517</t>
  </si>
  <si>
    <t>Md. Shahid Ali</t>
  </si>
  <si>
    <t>LI-3518</t>
  </si>
  <si>
    <t>Md. Mithun Mia</t>
  </si>
  <si>
    <t>LI-3520</t>
  </si>
  <si>
    <t>Mahamuda Akter</t>
  </si>
  <si>
    <t>LI-3521</t>
  </si>
  <si>
    <t>Md. Anowar Hossen</t>
  </si>
  <si>
    <t>LI-3523</t>
  </si>
  <si>
    <t>Md. Mamunur Rashid</t>
  </si>
  <si>
    <t>LI-3524</t>
  </si>
  <si>
    <t>Md. Mahmudul Hasan</t>
  </si>
  <si>
    <t>LI-3525</t>
  </si>
  <si>
    <t>LI-3528</t>
  </si>
  <si>
    <t>Md. Sajib Mia</t>
  </si>
  <si>
    <t>LI-3529</t>
  </si>
  <si>
    <t>Md. Shajahan Ali</t>
  </si>
  <si>
    <t>LI-3530</t>
  </si>
  <si>
    <t>LI-3531</t>
  </si>
  <si>
    <t>Md. Anamul Shake</t>
  </si>
  <si>
    <t>LI-3532</t>
  </si>
  <si>
    <t>Shobuz Shikder</t>
  </si>
  <si>
    <t>LI-3533</t>
  </si>
  <si>
    <t>Md. Golam Faruk</t>
  </si>
  <si>
    <t>LI-3534</t>
  </si>
  <si>
    <t>Shafiqul Islam</t>
  </si>
  <si>
    <t>LI-3536</t>
  </si>
  <si>
    <t>Ariful Islam</t>
  </si>
  <si>
    <t>LI-3537</t>
  </si>
  <si>
    <t>Mst. Sumi Akter</t>
  </si>
  <si>
    <t>LI-3538</t>
  </si>
  <si>
    <t>Md. Asaduzzaman</t>
  </si>
  <si>
    <t>LI-3539</t>
  </si>
  <si>
    <t>Md. Nur Alom</t>
  </si>
  <si>
    <t>LI-3541</t>
  </si>
  <si>
    <t>Md. Hamid Ali</t>
  </si>
  <si>
    <t>LI-3542</t>
  </si>
  <si>
    <t>Md. Abdul Alim</t>
  </si>
  <si>
    <t>LI-3543</t>
  </si>
  <si>
    <t>Md. Ahsanul Haque Sohan</t>
  </si>
  <si>
    <t>LI-3544</t>
  </si>
  <si>
    <t>Ahammed Ali</t>
  </si>
  <si>
    <t>LI-3545</t>
  </si>
  <si>
    <t>Md. Sohag Mia</t>
  </si>
  <si>
    <t>LI-3546</t>
  </si>
  <si>
    <t>Rubi Begum</t>
  </si>
  <si>
    <t>LI-3547</t>
  </si>
  <si>
    <t>Md. Rajaul Karim</t>
  </si>
  <si>
    <t>LI-3548</t>
  </si>
  <si>
    <t>Mst. Rabia Khatun</t>
  </si>
  <si>
    <t>LI-3549</t>
  </si>
  <si>
    <t>Md. Mahabul Islam</t>
  </si>
  <si>
    <t>LI-3550</t>
  </si>
  <si>
    <t>Abdul Karim Molla</t>
  </si>
  <si>
    <t>LI-3551</t>
  </si>
  <si>
    <t>Md. Shihab Khanakar</t>
  </si>
  <si>
    <t>LI-3552</t>
  </si>
  <si>
    <t>LI-3553</t>
  </si>
  <si>
    <t>Msksuda</t>
  </si>
  <si>
    <t>LI-3554</t>
  </si>
  <si>
    <t>Md. Ashik Mia</t>
  </si>
  <si>
    <t>LI-3555</t>
  </si>
  <si>
    <t>Mst. Amina Khatun</t>
  </si>
  <si>
    <t>LI-3556</t>
  </si>
  <si>
    <t>LI-3557</t>
  </si>
  <si>
    <t>Md. Tohfik Hosen</t>
  </si>
  <si>
    <t>LI-3558</t>
  </si>
  <si>
    <t>Md. Ismail Hossen</t>
  </si>
  <si>
    <t>LI-3559</t>
  </si>
  <si>
    <t>Md. Shaizuddin</t>
  </si>
  <si>
    <t>LI-3560</t>
  </si>
  <si>
    <t>Md. Monju Islam</t>
  </si>
  <si>
    <t>LI-3561</t>
  </si>
  <si>
    <t>Samina Akter Sima</t>
  </si>
  <si>
    <t>LI-3562</t>
  </si>
  <si>
    <t>Ronzit Chandra</t>
  </si>
  <si>
    <t>LI-3563</t>
  </si>
  <si>
    <t>Salim Mia</t>
  </si>
  <si>
    <t>LI-3564</t>
  </si>
  <si>
    <t>Mst. Tahamina Akter</t>
  </si>
  <si>
    <t>LI-3565</t>
  </si>
  <si>
    <t>Md. Abdul Malckh</t>
  </si>
  <si>
    <t>LI-3566</t>
  </si>
  <si>
    <t>Abdus Sobahan</t>
  </si>
  <si>
    <t>LI-3567</t>
  </si>
  <si>
    <t>Md. Sabuj Mia</t>
  </si>
  <si>
    <t>LI-3568</t>
  </si>
  <si>
    <t>Md. Abu Bakar Siddik</t>
  </si>
  <si>
    <t>LI-3569</t>
  </si>
  <si>
    <t>Mst. Jannatul Ferdous</t>
  </si>
  <si>
    <t>LI-3570</t>
  </si>
  <si>
    <t>Md. Samim Mia</t>
  </si>
  <si>
    <t>LI-3571</t>
  </si>
  <si>
    <t>Mst. Afruza Khatun</t>
  </si>
  <si>
    <t>LI-3572</t>
  </si>
  <si>
    <t>Razia</t>
  </si>
  <si>
    <t>LI-3573</t>
  </si>
  <si>
    <t>Protap Shutradar</t>
  </si>
  <si>
    <t>LI-3574</t>
  </si>
  <si>
    <t>Shahin</t>
  </si>
  <si>
    <t>GPL-0022</t>
  </si>
  <si>
    <t>Md. Rony</t>
  </si>
  <si>
    <t>GPL-0026</t>
  </si>
  <si>
    <t>Md. Razib Mia</t>
  </si>
  <si>
    <t>GPL-0027</t>
  </si>
  <si>
    <t>Md. Jiaur Rahman</t>
  </si>
  <si>
    <t>GPL-0033</t>
  </si>
  <si>
    <t>Md. Rakibul Hasan Rakib</t>
  </si>
  <si>
    <t>GPL-0041</t>
  </si>
  <si>
    <t>Mst. Taslima Khatun</t>
  </si>
  <si>
    <t>GPL-0045</t>
  </si>
  <si>
    <t>Mst. Sahida Khatun</t>
  </si>
  <si>
    <t>GPL-0072</t>
  </si>
  <si>
    <t>Md. Asik Shekh</t>
  </si>
  <si>
    <t>GPL-0083</t>
  </si>
  <si>
    <t>Selina Begum</t>
  </si>
  <si>
    <t>GPL-0089</t>
  </si>
  <si>
    <t>Md. Millat Hossen</t>
  </si>
  <si>
    <t>GPL-0091</t>
  </si>
  <si>
    <t>Masuma Akter</t>
  </si>
  <si>
    <t>GPL-0129</t>
  </si>
  <si>
    <t>Mst. Ruksana Khatun</t>
  </si>
  <si>
    <t>GPL-0149</t>
  </si>
  <si>
    <t>Md. Torikul</t>
  </si>
  <si>
    <t>GPL-0150</t>
  </si>
  <si>
    <t>GPL-0151</t>
  </si>
  <si>
    <t>Kamal Mia</t>
  </si>
  <si>
    <t>GPL-0152</t>
  </si>
  <si>
    <t>Jamal Mia</t>
  </si>
  <si>
    <t>GPL-0153</t>
  </si>
  <si>
    <t>Md. Rubel Mia</t>
  </si>
  <si>
    <t>GPL-0154</t>
  </si>
  <si>
    <t>Most. Nurjahan Begum</t>
  </si>
  <si>
    <t>GPL-0155</t>
  </si>
  <si>
    <t>GPL-0156</t>
  </si>
  <si>
    <t>Bipul Chandra Barman</t>
  </si>
  <si>
    <t>GPL-0157</t>
  </si>
  <si>
    <t>Nupur</t>
  </si>
  <si>
    <t>GPL-0159</t>
  </si>
  <si>
    <t>Md. Akash Mia</t>
  </si>
  <si>
    <t>GPL-0160</t>
  </si>
  <si>
    <t>Md. Sirajul Islam</t>
  </si>
  <si>
    <t>GPL-0161</t>
  </si>
  <si>
    <t>Mst. Sharifa Begum</t>
  </si>
  <si>
    <t>GPL-0162</t>
  </si>
  <si>
    <t>Mst. Shopna Akter</t>
  </si>
  <si>
    <t>GPL-0163</t>
  </si>
  <si>
    <t>Hena</t>
  </si>
  <si>
    <t>GPL-0165</t>
  </si>
  <si>
    <t>Md. Abu Syem</t>
  </si>
  <si>
    <t>GPL-0166</t>
  </si>
  <si>
    <t>Md. Zilani Hossain</t>
  </si>
  <si>
    <t>GPL-0167</t>
  </si>
  <si>
    <t>Md. Jahadul Islam</t>
  </si>
  <si>
    <t>GPL-0168</t>
  </si>
  <si>
    <t>GPL-0169</t>
  </si>
  <si>
    <t>Banu Akter</t>
  </si>
  <si>
    <t>GPL-0170</t>
  </si>
  <si>
    <t>Mst. Asia Akter</t>
  </si>
  <si>
    <t>GPL-0171</t>
  </si>
  <si>
    <t>Most. Moli Khatun</t>
  </si>
  <si>
    <t>GPL-0172</t>
  </si>
  <si>
    <t>Mst. Samsunnahar</t>
  </si>
  <si>
    <t>GPL-0174</t>
  </si>
  <si>
    <t>Sree Dulal Kumar</t>
  </si>
  <si>
    <t>GPL-0175</t>
  </si>
  <si>
    <t>Md. Musfiqur Rahman</t>
  </si>
  <si>
    <t>GPL-0176</t>
  </si>
  <si>
    <t>Md. Imran Hossain</t>
  </si>
  <si>
    <t>GPL-0177</t>
  </si>
  <si>
    <t>Md. Jahangir Alam</t>
  </si>
  <si>
    <t>GPL-0178</t>
  </si>
  <si>
    <t>Mst. Sopna Akter</t>
  </si>
  <si>
    <t>GPL-0179</t>
  </si>
  <si>
    <t>Ripon Mia</t>
  </si>
  <si>
    <t>GPL-0180</t>
  </si>
  <si>
    <t>Mayna Akter</t>
  </si>
  <si>
    <t>GPL-0181</t>
  </si>
  <si>
    <t>Tania</t>
  </si>
  <si>
    <t>GPL-0182</t>
  </si>
  <si>
    <t>Mst. Nasima Khatun</t>
  </si>
  <si>
    <t>GPL-0183</t>
  </si>
  <si>
    <t>Taslima Begum</t>
  </si>
  <si>
    <t>GPL-0184</t>
  </si>
  <si>
    <t>Kagli Akter</t>
  </si>
  <si>
    <t>GPL-0185</t>
  </si>
  <si>
    <t>Md. Zahangir Alom</t>
  </si>
  <si>
    <t>GPL-0186</t>
  </si>
  <si>
    <t>Md. Kabir Ahmed</t>
  </si>
  <si>
    <t>GPL-0187</t>
  </si>
  <si>
    <t>Md. Nazmul Hosen</t>
  </si>
  <si>
    <t>GPL-0188</t>
  </si>
  <si>
    <t>Most. Sufia Akter Mukta</t>
  </si>
  <si>
    <t>GPL-0189</t>
  </si>
  <si>
    <t>Lima Khatun</t>
  </si>
  <si>
    <t>GPL-0190</t>
  </si>
  <si>
    <t>Nafiz Iqbal</t>
  </si>
  <si>
    <t>GPL-0191</t>
  </si>
  <si>
    <t>Soloyman</t>
  </si>
  <si>
    <t>GPL-0192</t>
  </si>
  <si>
    <t>Md. Rakib Hosen</t>
  </si>
  <si>
    <t>GPL-0193</t>
  </si>
  <si>
    <t>Md. Rabbi</t>
  </si>
  <si>
    <t>GPL-0194</t>
  </si>
  <si>
    <t>Md. Chan Mia</t>
  </si>
  <si>
    <t>GPL-0195</t>
  </si>
  <si>
    <t>Md. Mahimur Rahman</t>
  </si>
  <si>
    <t>GPL-0196</t>
  </si>
  <si>
    <t>Md. Sojon</t>
  </si>
  <si>
    <t>GPL-0197</t>
  </si>
  <si>
    <t>Mst. Alea Khatun</t>
  </si>
  <si>
    <t>GPL-0198</t>
  </si>
  <si>
    <t>Md. Mehedi Hasan</t>
  </si>
  <si>
    <t>GPL-0199</t>
  </si>
  <si>
    <t>Md. Marajul Islam</t>
  </si>
  <si>
    <t>GPL-0200</t>
  </si>
  <si>
    <t>Md. Sadhin</t>
  </si>
  <si>
    <t>GPL-0201</t>
  </si>
  <si>
    <t>Md. Rasal Rana</t>
  </si>
  <si>
    <t>GPL-0202</t>
  </si>
  <si>
    <t>Md. Juhurul Haque Shak</t>
  </si>
  <si>
    <t>GPL-0203</t>
  </si>
  <si>
    <t>Md. Nazmul Haque</t>
  </si>
  <si>
    <t>GPL-0204</t>
  </si>
  <si>
    <t>Md. Samiul</t>
  </si>
  <si>
    <t>GPL-0205</t>
  </si>
  <si>
    <t>Md. Asthanur Haque</t>
  </si>
  <si>
    <t>GPL-0206</t>
  </si>
  <si>
    <t>Mst. Pingky Begum</t>
  </si>
  <si>
    <t>GPL-0207</t>
  </si>
  <si>
    <t>Md. Osman Goni</t>
  </si>
  <si>
    <t>GPL-0208</t>
  </si>
  <si>
    <t>Raju Mondol</t>
  </si>
  <si>
    <t>GPL-0209</t>
  </si>
  <si>
    <t>Sagor Chandra Das</t>
  </si>
  <si>
    <t>GPL-0210</t>
  </si>
  <si>
    <t>Md. Arob Prqng</t>
  </si>
  <si>
    <t>GPL-0211</t>
  </si>
  <si>
    <t>Md. Arich sarkar</t>
  </si>
  <si>
    <t>GPL-0212</t>
  </si>
  <si>
    <t>Mst. Shamson Naher Shomi</t>
  </si>
  <si>
    <t>GPL-0213</t>
  </si>
  <si>
    <t>GPL-0214</t>
  </si>
  <si>
    <t>GPL-0215</t>
  </si>
  <si>
    <t>Jiyarul</t>
  </si>
  <si>
    <t>GPL-0216</t>
  </si>
  <si>
    <t>GPL-0217</t>
  </si>
  <si>
    <t>GPL-0218</t>
  </si>
  <si>
    <t>Mst. Jiasin</t>
  </si>
  <si>
    <t>GPL-0219</t>
  </si>
  <si>
    <t>Mst. Shapla Akter</t>
  </si>
  <si>
    <t>GPL-0220</t>
  </si>
  <si>
    <t>GPL-0221</t>
  </si>
  <si>
    <t>Md. Abdullah Al Amin</t>
  </si>
  <si>
    <t>GPL-0222</t>
  </si>
  <si>
    <t>Anish Mia</t>
  </si>
  <si>
    <t>GPL-0223</t>
  </si>
  <si>
    <t>Md. Selim</t>
  </si>
  <si>
    <t>GPL-0224</t>
  </si>
  <si>
    <t>Md. Muktar Hossan</t>
  </si>
  <si>
    <t>GPL-0225</t>
  </si>
  <si>
    <t>Md. Rashed Islam</t>
  </si>
  <si>
    <t>GPL-0226</t>
  </si>
  <si>
    <t>Saboj Islam</t>
  </si>
  <si>
    <t>GPL-0227</t>
  </si>
  <si>
    <t>Md. Mozammil</t>
  </si>
  <si>
    <t>GPL-0228</t>
  </si>
  <si>
    <t>Md. Somon</t>
  </si>
  <si>
    <t>GPL-0229</t>
  </si>
  <si>
    <t>Tania Akter</t>
  </si>
  <si>
    <t>GPL-0230</t>
  </si>
  <si>
    <t>Most. Masuda Begum</t>
  </si>
  <si>
    <t>GPL-0231</t>
  </si>
  <si>
    <t>Mazeda Khatun</t>
  </si>
  <si>
    <t>GPL-0232</t>
  </si>
  <si>
    <t>Mst. Afrin</t>
  </si>
  <si>
    <t>GPL-0233</t>
  </si>
  <si>
    <t>Farida Parvin</t>
  </si>
  <si>
    <t>TR-0003</t>
  </si>
  <si>
    <t>Shahida</t>
  </si>
  <si>
    <t>TR-0022</t>
  </si>
  <si>
    <t>TR-0305</t>
  </si>
  <si>
    <t>Najnin</t>
  </si>
  <si>
    <t>TR-0340</t>
  </si>
  <si>
    <t>Sharifa Begum</t>
  </si>
  <si>
    <t>TR-0425</t>
  </si>
  <si>
    <t>Santona</t>
  </si>
  <si>
    <t>TR-0477</t>
  </si>
  <si>
    <t>Johra Khatun</t>
  </si>
  <si>
    <t>TR-0532</t>
  </si>
  <si>
    <t>TR-0546</t>
  </si>
  <si>
    <t>Rikta Khatun</t>
  </si>
  <si>
    <t>TR-0560</t>
  </si>
  <si>
    <t>Ms. Rita Akter</t>
  </si>
  <si>
    <t>TR-0583</t>
  </si>
  <si>
    <t>Lotifa Begum</t>
  </si>
  <si>
    <t>TR-0585</t>
  </si>
  <si>
    <t>Mina Begum</t>
  </si>
  <si>
    <t>TR-0601</t>
  </si>
  <si>
    <t>Jobeda Bum</t>
  </si>
  <si>
    <t>TR-0622</t>
  </si>
  <si>
    <t>Mst, Nasrin Begum</t>
  </si>
  <si>
    <t>TR-0644</t>
  </si>
  <si>
    <t>Roushanara Begum</t>
  </si>
  <si>
    <t>TR-0652</t>
  </si>
  <si>
    <t>Ms Seuti Begum</t>
  </si>
  <si>
    <t>TR-0653</t>
  </si>
  <si>
    <t>Shirin</t>
  </si>
  <si>
    <t>TR-0710</t>
  </si>
  <si>
    <t>Mst.Sultana</t>
  </si>
  <si>
    <t>TR-0771</t>
  </si>
  <si>
    <t>Mst.Sampa Begum</t>
  </si>
  <si>
    <t>TR-0778</t>
  </si>
  <si>
    <t>Amena</t>
  </si>
  <si>
    <t>TR-0785</t>
  </si>
  <si>
    <t>Mst.Fatema Begum</t>
  </si>
  <si>
    <t>TR-0791</t>
  </si>
  <si>
    <t>Mst.Rasia Begum</t>
  </si>
  <si>
    <t>TR-0825</t>
  </si>
  <si>
    <t>Moni</t>
  </si>
  <si>
    <t>TR-0842</t>
  </si>
  <si>
    <t>Sharifa Khatun</t>
  </si>
  <si>
    <t>TR-0845</t>
  </si>
  <si>
    <t>Rulia Begum</t>
  </si>
  <si>
    <t>TR-0853</t>
  </si>
  <si>
    <t>Mst.Rumana</t>
  </si>
  <si>
    <t>TR-0867</t>
  </si>
  <si>
    <t>Mst.Alpona Begum</t>
  </si>
  <si>
    <t>TR-0869</t>
  </si>
  <si>
    <t>Aleya Begum</t>
  </si>
  <si>
    <t>TR-0870</t>
  </si>
  <si>
    <t>Mrs Resma</t>
  </si>
  <si>
    <t>TR-0879</t>
  </si>
  <si>
    <t>Ratna Begum</t>
  </si>
  <si>
    <t>TR-0886</t>
  </si>
  <si>
    <t>Mst.Norjahan</t>
  </si>
  <si>
    <t>TR-0898</t>
  </si>
  <si>
    <t>Miss Salma Akter</t>
  </si>
  <si>
    <t>TR-0906</t>
  </si>
  <si>
    <t>Mst.Dulali Khatun</t>
  </si>
  <si>
    <t>TR-0908</t>
  </si>
  <si>
    <t>Mst.Nabizan Begum</t>
  </si>
  <si>
    <t>TR-0912</t>
  </si>
  <si>
    <t>Sree Moti Suborna Biswas</t>
  </si>
  <si>
    <t>TR-0915</t>
  </si>
  <si>
    <t>Mst.Lipi Akter</t>
  </si>
  <si>
    <t>TR-0917</t>
  </si>
  <si>
    <t>Mst.Sazida Khatun</t>
  </si>
  <si>
    <t>TR-0920</t>
  </si>
  <si>
    <t>Mst.Shahara Khatun</t>
  </si>
  <si>
    <t>TR-0921</t>
  </si>
  <si>
    <t>TR-0922</t>
  </si>
  <si>
    <t>Ambiya Khatun</t>
  </si>
  <si>
    <t>TR-0929</t>
  </si>
  <si>
    <t>Mst. Sopna Khatun</t>
  </si>
  <si>
    <t>TR-0931</t>
  </si>
  <si>
    <t>Mst. Rupali Khatun</t>
  </si>
  <si>
    <t>TR-0932</t>
  </si>
  <si>
    <t>Mst. Rehena Akter</t>
  </si>
  <si>
    <t>TR-0936</t>
  </si>
  <si>
    <t>Tohura Akter</t>
  </si>
  <si>
    <t>TR-0937</t>
  </si>
  <si>
    <t>Mst. Ruma Akter</t>
  </si>
  <si>
    <t>TR-0940</t>
  </si>
  <si>
    <t>Mst. Zeleka Begum</t>
  </si>
  <si>
    <t>TR-0942</t>
  </si>
  <si>
    <t>Mst.Nasima Begum</t>
  </si>
  <si>
    <t>TR-0944</t>
  </si>
  <si>
    <t>Mst. Sorifa Begum</t>
  </si>
  <si>
    <t>TR-0949</t>
  </si>
  <si>
    <t>Nazma Akter</t>
  </si>
  <si>
    <t>TR-0950</t>
  </si>
  <si>
    <t>Mst. Sobiran Nesa</t>
  </si>
  <si>
    <t>TR-0951</t>
  </si>
  <si>
    <t>Mst. Moreum Akter</t>
  </si>
  <si>
    <t>TR-0954</t>
  </si>
  <si>
    <t>Mst. Nupur Begum</t>
  </si>
  <si>
    <t>TR-0955</t>
  </si>
  <si>
    <t>Mst. Asma Khatun</t>
  </si>
  <si>
    <t>TR-0957</t>
  </si>
  <si>
    <t>Simla Khatun</t>
  </si>
  <si>
    <t>TR-0964</t>
  </si>
  <si>
    <t>Fanci</t>
  </si>
  <si>
    <t>TR-0965</t>
  </si>
  <si>
    <t>Meherun Akter</t>
  </si>
  <si>
    <t>TR-0966</t>
  </si>
  <si>
    <t>TR-0968</t>
  </si>
  <si>
    <t>Anju</t>
  </si>
  <si>
    <t>TR-0970</t>
  </si>
  <si>
    <t>Astami Bala</t>
  </si>
  <si>
    <t>TR-0972</t>
  </si>
  <si>
    <t>TR-0973</t>
  </si>
  <si>
    <t>Mst. Kulsum</t>
  </si>
  <si>
    <t>TR-0975</t>
  </si>
  <si>
    <t>Ruba</t>
  </si>
  <si>
    <t>TR-0977</t>
  </si>
  <si>
    <t>TR-0978</t>
  </si>
  <si>
    <t>Mst. Sabana Begum</t>
  </si>
  <si>
    <t>TR-0981</t>
  </si>
  <si>
    <t>Mst. Fatema Begum</t>
  </si>
  <si>
    <t>TR-0985</t>
  </si>
  <si>
    <t>Sepona</t>
  </si>
  <si>
    <t>TR-0986</t>
  </si>
  <si>
    <t>Kulsom</t>
  </si>
  <si>
    <t>TR-0987</t>
  </si>
  <si>
    <t>Lamiya Akter</t>
  </si>
  <si>
    <t>TR-0989</t>
  </si>
  <si>
    <t>Mst. Fauzia Khatan</t>
  </si>
  <si>
    <t>TR-0991</t>
  </si>
  <si>
    <t>Mst. Buty Akter</t>
  </si>
  <si>
    <t>TR-0992</t>
  </si>
  <si>
    <t>Mst. Sumia Akter</t>
  </si>
  <si>
    <t>TR-0993</t>
  </si>
  <si>
    <t>Anjona Rany Ray</t>
  </si>
  <si>
    <t>TR-0995</t>
  </si>
  <si>
    <t>Rojina Akter</t>
  </si>
  <si>
    <t>TR-0997</t>
  </si>
  <si>
    <t>Mst. Rumi Akter</t>
  </si>
  <si>
    <t>TR-0998</t>
  </si>
  <si>
    <t>Mst. Komela Begum</t>
  </si>
  <si>
    <t>TR-0999</t>
  </si>
  <si>
    <t>Mst. Simu Akter</t>
  </si>
  <si>
    <t>TR-1000</t>
  </si>
  <si>
    <t>Mst. Jone Khatun Tontoni</t>
  </si>
  <si>
    <t>TR-1001</t>
  </si>
  <si>
    <t>TR-1002</t>
  </si>
  <si>
    <t>Mt. Shanti Akter</t>
  </si>
  <si>
    <t>TR-1003</t>
  </si>
  <si>
    <t>Mst. Shilpi Khatun</t>
  </si>
  <si>
    <t>TR-1004</t>
  </si>
  <si>
    <t>Resma Khatun</t>
  </si>
  <si>
    <t>TR-1005</t>
  </si>
  <si>
    <t>Nurzahan Begum</t>
  </si>
  <si>
    <t>TR-1006</t>
  </si>
  <si>
    <t>Mst. Mim</t>
  </si>
  <si>
    <t>TR-1008</t>
  </si>
  <si>
    <t>Most.Zohora Begum</t>
  </si>
  <si>
    <t>TR-1009</t>
  </si>
  <si>
    <t>Mst. Aklima Akter</t>
  </si>
  <si>
    <t>TR-1010</t>
  </si>
  <si>
    <t>Kohinur Akter</t>
  </si>
  <si>
    <t>TR-1011</t>
  </si>
  <si>
    <t>Mst. Janeya Akter</t>
  </si>
  <si>
    <t>TR-1012</t>
  </si>
  <si>
    <t>="Sub Section: "&amp;IF(AND(SUBTOTAL(103,$A$6:$A$1268)&lt;COUNTA($A$6:$A$1268),TEXTJOIN(" + ",TRUE,AV6:AV9)&lt;&gt;""),TEXTJOIN(" + ",TRUE,AV6:AV9),"All")</t>
  </si>
  <si>
    <t>Footer Signatures</t>
  </si>
  <si>
    <t>Prepared by</t>
  </si>
  <si>
    <t>Checked by</t>
  </si>
  <si>
    <t>Approved by</t>
  </si>
  <si>
    <t>These names fill the signature footer at the bottom of every printed page. Edit them, save, then reopen the file (or run the ApplyFooterSignatures macro) to refresh the footers.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</si>
</sst>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rgb="FF1F1F1F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2.5"/>
      <color rgb="FF1F1F1F"/>
      <name val="Calibri"/>
      <family val="2"/>
      <scheme val="minor"/>
    </font>
    <font>
      <b/>
      <sz val="12.5"/>
      <color rgb="FF1F3864"/>
      <name val="Calibri"/>
      <family val="2"/>
      <scheme val="minor"/>
    </font>
    <font>
      <b/>
      <sz val="10.5"/>
      <color rgb="FF1F1F1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left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shrinkToFi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38100</xdr:colOff>
      <xdr:row>0</xdr:row>
      <xdr:rowOff>19050</xdr:rowOff>
    </xdr:from>
    <xdr:to>
      <xdr:col>44</xdr:col>
      <xdr:colOff>542925</xdr:colOff>
      <xdr:row>3</xdr:row>
      <xdr:rowOff>514350</xdr:rowOff>
    </xdr:to>
    <xdr:pic>
      <xdr:nvPicPr>
        <xdr:cNvPr id="2" name="Picture 1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19050"/>
          <a:ext cx="121920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38100</xdr:colOff>
      <xdr:row>0</xdr:row>
      <xdr:rowOff>19050</xdr:rowOff>
    </xdr:from>
    <xdr:to>
      <xdr:col>44</xdr:col>
      <xdr:colOff>542925</xdr:colOff>
      <xdr:row>3</xdr:row>
      <xdr:rowOff>514350</xdr:rowOff>
    </xdr:to>
    <xdr:pic>
      <xdr:nvPicPr>
        <xdr:cNvPr id="2" name="Picture 1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19050"/>
          <a:ext cx="1219200" cy="121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38100</xdr:colOff>
      <xdr:row>0</xdr:row>
      <xdr:rowOff>19050</xdr:rowOff>
    </xdr:from>
    <xdr:to>
      <xdr:col>44</xdr:col>
      <xdr:colOff>542925</xdr:colOff>
      <xdr:row>3</xdr:row>
      <xdr:rowOff>514350</xdr:rowOff>
    </xdr:to>
    <xdr:pic>
      <xdr:nvPicPr>
        <xdr:cNvPr id="2" name="Picture 1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19050"/>
          <a:ext cx="121920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272"/>
  <sheetViews>
    <sheetView showGridLines="0" tabSelected="1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20.7109375" customWidth="1"/>
    <col min="3" max="3" width="8.85546875" customWidth="1"/>
    <col min="4" max="4" width="14.7109375" hidden="1" customWidth="1"/>
    <col min="5" max="35" width="2.5703125" customWidth="1"/>
    <col min="36" max="37" width="3.5703125" customWidth="1"/>
    <col min="38" max="38" width="3.85546875" customWidth="1"/>
    <col min="39" max="40" width="5.28515625" customWidth="1"/>
    <col min="41" max="44" width="3.5703125" customWidth="1"/>
    <col min="45" max="45" width="8.7109375" customWidth="1"/>
    <col min="46" max="46" width="15.7109375" customWidth="1"/>
    <col min="47" max="50" width="9.140625" hidden="1"/>
  </cols>
  <sheetData>
    <row r="1" spans="1:50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W1" s="2" t="s">
        <v>3</v>
      </c>
    </row>
    <row r="2" spans="1:50" ht="17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W2" t="s">
        <v>4</v>
      </c>
      <c r="AX2" t="s">
        <v>243</v>
      </c>
    </row>
    <row r="3" spans="1:50" ht="17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W3" t="s">
        <v>5</v>
      </c>
    </row>
    <row r="4" spans="1:50" ht="42" customHeight="1">
      <c r="A4" s="5">
        <f>"Sub Section: "&amp;IF(AND(SUBTOTAL(103,$A$6:$A$272)&lt;COUNTA($A$6:$A$272),_xlfn.TEXTJOIN(" + ",TRUE,AV6:AV19)&lt;&gt;""),_xlfn.TEXTJOIN(" + ",TRUE,AV6:AV19),"All")</f>
        <v>0</v>
      </c>
      <c r="AW4" t="s">
        <v>6</v>
      </c>
    </row>
    <row r="5" spans="1:50" ht="32" customHeight="1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7" t="s">
        <v>25</v>
      </c>
      <c r="H5" s="6" t="s">
        <v>26</v>
      </c>
      <c r="I5" s="6" t="s">
        <v>27</v>
      </c>
      <c r="J5" s="6" t="s">
        <v>28</v>
      </c>
      <c r="K5" s="6" t="s">
        <v>29</v>
      </c>
      <c r="L5" s="6" t="s">
        <v>30</v>
      </c>
      <c r="M5" s="6" t="s">
        <v>31</v>
      </c>
      <c r="N5" s="7" t="s">
        <v>32</v>
      </c>
      <c r="O5" s="6" t="s">
        <v>33</v>
      </c>
      <c r="P5" s="6" t="s">
        <v>34</v>
      </c>
      <c r="Q5" s="6" t="s">
        <v>35</v>
      </c>
      <c r="R5" s="6" t="s">
        <v>36</v>
      </c>
      <c r="S5" s="6" t="s">
        <v>37</v>
      </c>
      <c r="T5" s="6" t="s">
        <v>38</v>
      </c>
      <c r="U5" s="7" t="s">
        <v>39</v>
      </c>
      <c r="V5" s="6" t="s">
        <v>40</v>
      </c>
      <c r="W5" s="6" t="s">
        <v>41</v>
      </c>
      <c r="X5" s="6" t="s">
        <v>42</v>
      </c>
      <c r="Y5" s="6" t="s">
        <v>43</v>
      </c>
      <c r="Z5" s="6" t="s">
        <v>44</v>
      </c>
      <c r="AA5" s="6" t="s">
        <v>45</v>
      </c>
      <c r="AB5" s="7" t="s">
        <v>46</v>
      </c>
      <c r="AC5" s="6" t="s">
        <v>47</v>
      </c>
      <c r="AD5" s="6" t="s">
        <v>48</v>
      </c>
      <c r="AE5" s="6" t="s">
        <v>49</v>
      </c>
      <c r="AF5" s="6" t="s">
        <v>50</v>
      </c>
      <c r="AG5" s="6" t="s">
        <v>51</v>
      </c>
      <c r="AH5" s="6" t="s">
        <v>52</v>
      </c>
      <c r="AI5" s="7" t="s">
        <v>53</v>
      </c>
      <c r="AJ5" s="6" t="s">
        <v>54</v>
      </c>
      <c r="AK5" s="6" t="s">
        <v>55</v>
      </c>
      <c r="AL5" s="6" t="s">
        <v>56</v>
      </c>
      <c r="AM5" s="6" t="s">
        <v>57</v>
      </c>
      <c r="AN5" s="6" t="s">
        <v>58</v>
      </c>
      <c r="AO5" s="6" t="s">
        <v>59</v>
      </c>
      <c r="AP5" s="6" t="s">
        <v>19</v>
      </c>
      <c r="AQ5" s="6" t="s">
        <v>60</v>
      </c>
      <c r="AR5" s="6" t="s">
        <v>61</v>
      </c>
      <c r="AS5" s="6" t="s">
        <v>62</v>
      </c>
      <c r="AT5" s="6" t="s">
        <v>63</v>
      </c>
      <c r="AW5" t="s">
        <v>7</v>
      </c>
    </row>
    <row r="6" spans="1:50" ht="15.1" customHeight="1">
      <c r="A6" s="8">
        <v>1</v>
      </c>
      <c r="B6" s="9" t="s">
        <v>64</v>
      </c>
      <c r="C6" s="8" t="s">
        <v>65</v>
      </c>
      <c r="D6" s="9" t="s">
        <v>66</v>
      </c>
      <c r="E6" s="8" t="s">
        <v>54</v>
      </c>
      <c r="F6" s="8" t="s">
        <v>54</v>
      </c>
      <c r="G6" s="10" t="s">
        <v>67</v>
      </c>
      <c r="H6" s="8" t="s">
        <v>54</v>
      </c>
      <c r="I6" s="8" t="s">
        <v>54</v>
      </c>
      <c r="J6" s="8" t="s">
        <v>54</v>
      </c>
      <c r="K6" s="8" t="s">
        <v>54</v>
      </c>
      <c r="L6" s="8" t="s">
        <v>54</v>
      </c>
      <c r="M6" s="8" t="s">
        <v>54</v>
      </c>
      <c r="N6" s="10" t="s">
        <v>67</v>
      </c>
      <c r="O6" s="8" t="s">
        <v>54</v>
      </c>
      <c r="P6" s="8" t="s">
        <v>54</v>
      </c>
      <c r="Q6" s="8" t="s">
        <v>54</v>
      </c>
      <c r="R6" s="8" t="s">
        <v>54</v>
      </c>
      <c r="S6" s="8" t="s">
        <v>54</v>
      </c>
      <c r="T6" s="8" t="s">
        <v>54</v>
      </c>
      <c r="U6" s="10" t="s">
        <v>67</v>
      </c>
      <c r="V6" s="8" t="s">
        <v>54</v>
      </c>
      <c r="W6" s="8" t="s">
        <v>54</v>
      </c>
      <c r="X6" s="8" t="s">
        <v>54</v>
      </c>
      <c r="Y6" s="8" t="s">
        <v>54</v>
      </c>
      <c r="Z6" s="8" t="s">
        <v>54</v>
      </c>
      <c r="AA6" s="8" t="s">
        <v>54</v>
      </c>
      <c r="AB6" s="10" t="s">
        <v>67</v>
      </c>
      <c r="AC6" s="8" t="s">
        <v>54</v>
      </c>
      <c r="AD6" s="8" t="s">
        <v>54</v>
      </c>
      <c r="AE6" s="8" t="s">
        <v>54</v>
      </c>
      <c r="AF6" s="8" t="s">
        <v>54</v>
      </c>
      <c r="AG6" s="8" t="s">
        <v>54</v>
      </c>
      <c r="AH6" s="8" t="s">
        <v>54</v>
      </c>
      <c r="AI6" s="10" t="s">
        <v>67</v>
      </c>
      <c r="AJ6" s="8">
        <f>COUNTIF($E$6:$AI$6,"P")</f>
        <v>26</v>
      </c>
      <c r="AK6" s="8">
        <f>COUNTIF($E$6:$AI$6,"A")</f>
        <v>0</v>
      </c>
      <c r="AL6" s="8">
        <f>SUM($E$7:$AI$7)</f>
        <v>0</v>
      </c>
      <c r="AM6" s="8">
        <f>SUM($E$8:$AI$8)</f>
        <v>123</v>
      </c>
      <c r="AN6" s="8">
        <f>AL6+AM6</f>
        <v>123</v>
      </c>
      <c r="AO6" s="8">
        <f>COUNTIF($E$6:$AI$6,"CL")</f>
        <v>0</v>
      </c>
      <c r="AP6" s="8">
        <f>COUNTIF($E$6:$AI$6,"SL")</f>
        <v>0</v>
      </c>
      <c r="AQ6" s="8">
        <f>COUNTIF($E$6:$AI$6,"EL")</f>
        <v>0</v>
      </c>
      <c r="AR6" s="8">
        <f>COUNTIF($E$6:$AI$6,"H")</f>
        <v>0</v>
      </c>
      <c r="AS6" s="8"/>
      <c r="AT6" s="11" t="s">
        <v>5</v>
      </c>
      <c r="AU6" t="s">
        <v>5</v>
      </c>
      <c r="AV6">
        <f>IF(SUMPRODUCT(SUBTOTAL(103,OFFSET($A$6,ROW($A$6:$A$272)-ROW($A$6),0)),--($AT$6:$AT$272=$AU$6))&gt;0,$AU$6,"")</f>
        <v>0</v>
      </c>
      <c r="AW6" t="s">
        <v>8</v>
      </c>
    </row>
    <row r="7" spans="1:50" ht="15.1" customHeight="1">
      <c r="A7" s="8"/>
      <c r="B7" s="9"/>
      <c r="C7" s="8"/>
      <c r="D7" s="9"/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11" t="s">
        <v>5</v>
      </c>
      <c r="AU7" t="s">
        <v>6</v>
      </c>
      <c r="AV7">
        <f>IF(SUMPRODUCT(SUBTOTAL(103,OFFSET($A$6,ROW($A$6:$A$272)-ROW($A$6),0)),--($AT$6:$AT$272=$AU$7))&gt;0,$AU$7,"")</f>
        <v>0</v>
      </c>
      <c r="AW7" t="s">
        <v>9</v>
      </c>
    </row>
    <row r="8" spans="1:50" ht="15.1" customHeight="1">
      <c r="A8" s="8"/>
      <c r="B8" s="9"/>
      <c r="C8" s="8"/>
      <c r="D8" s="9"/>
      <c r="E8" s="8">
        <v>4</v>
      </c>
      <c r="F8" s="8">
        <v>2</v>
      </c>
      <c r="G8" s="8">
        <v>14</v>
      </c>
      <c r="H8" s="8">
        <v>4</v>
      </c>
      <c r="I8" s="8">
        <v>6</v>
      </c>
      <c r="J8" s="8">
        <v>5</v>
      </c>
      <c r="K8" s="8">
        <v>3</v>
      </c>
      <c r="L8" s="8">
        <v>5</v>
      </c>
      <c r="M8" s="8">
        <v>4</v>
      </c>
      <c r="N8" s="8">
        <v>17</v>
      </c>
      <c r="O8" s="8">
        <v>7</v>
      </c>
      <c r="P8" s="8">
        <v>7</v>
      </c>
      <c r="Q8" s="8">
        <v>5</v>
      </c>
      <c r="R8" s="8">
        <v>7</v>
      </c>
      <c r="S8" s="8">
        <v>7</v>
      </c>
      <c r="T8" s="8">
        <v>3</v>
      </c>
      <c r="U8" s="8">
        <v>13</v>
      </c>
      <c r="V8" s="8">
        <v>7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3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11" t="s">
        <v>5</v>
      </c>
      <c r="AU8" t="s">
        <v>7</v>
      </c>
      <c r="AV8">
        <f>IF(SUMPRODUCT(SUBTOTAL(103,OFFSET($A$6,ROW($A$6:$A$272)-ROW($A$6),0)),--($AT$6:$AT$272=$AU$8))&gt;0,$AU$8,"")</f>
        <v>0</v>
      </c>
      <c r="AW8" t="s">
        <v>10</v>
      </c>
    </row>
    <row r="9" spans="1:50" ht="15.1" customHeight="1">
      <c r="A9" s="8">
        <v>2</v>
      </c>
      <c r="B9" s="9" t="s">
        <v>68</v>
      </c>
      <c r="C9" s="8" t="s">
        <v>69</v>
      </c>
      <c r="D9" s="9" t="s">
        <v>66</v>
      </c>
      <c r="E9" s="8" t="s">
        <v>54</v>
      </c>
      <c r="F9" s="8" t="s">
        <v>54</v>
      </c>
      <c r="G9" s="10" t="s">
        <v>67</v>
      </c>
      <c r="H9" s="8" t="s">
        <v>54</v>
      </c>
      <c r="I9" s="8" t="s">
        <v>54</v>
      </c>
      <c r="J9" s="8" t="s">
        <v>54</v>
      </c>
      <c r="K9" s="12" t="s">
        <v>55</v>
      </c>
      <c r="L9" s="12" t="s">
        <v>55</v>
      </c>
      <c r="M9" s="12" t="s">
        <v>55</v>
      </c>
      <c r="N9" s="10" t="s">
        <v>67</v>
      </c>
      <c r="O9" s="8" t="s">
        <v>54</v>
      </c>
      <c r="P9" s="12" t="s">
        <v>55</v>
      </c>
      <c r="Q9" s="8" t="s">
        <v>54</v>
      </c>
      <c r="R9" s="8" t="s">
        <v>54</v>
      </c>
      <c r="S9" s="8" t="s">
        <v>54</v>
      </c>
      <c r="T9" s="8" t="s">
        <v>54</v>
      </c>
      <c r="U9" s="10" t="s">
        <v>67</v>
      </c>
      <c r="V9" s="8" t="s">
        <v>54</v>
      </c>
      <c r="W9" s="8" t="s">
        <v>54</v>
      </c>
      <c r="X9" s="8" t="s">
        <v>54</v>
      </c>
      <c r="Y9" s="8" t="s">
        <v>54</v>
      </c>
      <c r="Z9" s="8" t="s">
        <v>54</v>
      </c>
      <c r="AA9" s="8" t="s">
        <v>54</v>
      </c>
      <c r="AB9" s="10" t="s">
        <v>67</v>
      </c>
      <c r="AC9" s="8" t="s">
        <v>54</v>
      </c>
      <c r="AD9" s="12" t="s">
        <v>55</v>
      </c>
      <c r="AE9" s="8" t="s">
        <v>54</v>
      </c>
      <c r="AF9" s="12" t="s">
        <v>55</v>
      </c>
      <c r="AG9" s="8" t="s">
        <v>54</v>
      </c>
      <c r="AH9" s="8" t="s">
        <v>54</v>
      </c>
      <c r="AI9" s="10" t="s">
        <v>67</v>
      </c>
      <c r="AJ9" s="8">
        <f>COUNTIF($E$9:$AI$9,"P")</f>
        <v>20</v>
      </c>
      <c r="AK9" s="8">
        <f>COUNTIF($E$9:$AI$9,"A")</f>
        <v>6</v>
      </c>
      <c r="AL9" s="8">
        <f>SUM($E$10:$AI$10)</f>
        <v>0</v>
      </c>
      <c r="AM9" s="8">
        <f>SUM($E$11:$AI$11)</f>
        <v>56.5</v>
      </c>
      <c r="AN9" s="8">
        <f>AL9+AM9</f>
        <v>56.5</v>
      </c>
      <c r="AO9" s="8">
        <f>COUNTIF($E$9:$AI$9,"CL")</f>
        <v>0</v>
      </c>
      <c r="AP9" s="8">
        <f>COUNTIF($E$9:$AI$9,"SL")</f>
        <v>0</v>
      </c>
      <c r="AQ9" s="8">
        <f>COUNTIF($E$9:$AI$9,"EL")</f>
        <v>0</v>
      </c>
      <c r="AR9" s="8">
        <f>COUNTIF($E$9:$AI$9,"H")</f>
        <v>0</v>
      </c>
      <c r="AS9" s="8"/>
      <c r="AT9" s="11" t="s">
        <v>6</v>
      </c>
      <c r="AU9" t="s">
        <v>8</v>
      </c>
      <c r="AV9">
        <f>IF(SUMPRODUCT(SUBTOTAL(103,OFFSET($A$6,ROW($A$6:$A$272)-ROW($A$6),0)),--($AT$6:$AT$272=$AU$9))&gt;0,$AU$9,"")</f>
        <v>0</v>
      </c>
      <c r="AW9" t="s">
        <v>11</v>
      </c>
    </row>
    <row r="10" spans="1:50" ht="15.1" customHeight="1">
      <c r="A10" s="8"/>
      <c r="B10" s="9"/>
      <c r="C10" s="8"/>
      <c r="D10" s="9"/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1" t="s">
        <v>6</v>
      </c>
      <c r="AU10" t="s">
        <v>9</v>
      </c>
      <c r="AV10">
        <f>IF(SUMPRODUCT(SUBTOTAL(103,OFFSET($A$6,ROW($A$6:$A$272)-ROW($A$6),0)),--($AT$6:$AT$272=$AU$10))&gt;0,$AU$10,"")</f>
        <v>0</v>
      </c>
      <c r="AW10" t="s">
        <v>12</v>
      </c>
    </row>
    <row r="11" spans="1:50" ht="15.1" customHeight="1">
      <c r="A11" s="8"/>
      <c r="B11" s="9"/>
      <c r="C11" s="8"/>
      <c r="D11" s="9"/>
      <c r="E11" s="8">
        <v>3.5</v>
      </c>
      <c r="F11" s="8">
        <v>3</v>
      </c>
      <c r="G11" s="8">
        <v>14</v>
      </c>
      <c r="H11" s="8">
        <v>5</v>
      </c>
      <c r="I11" s="8">
        <v>7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7</v>
      </c>
      <c r="T11" s="8">
        <v>3</v>
      </c>
      <c r="U11" s="8">
        <v>0</v>
      </c>
      <c r="V11" s="8">
        <v>7</v>
      </c>
      <c r="W11" s="8">
        <v>7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11" t="s">
        <v>6</v>
      </c>
      <c r="AU11" t="s">
        <v>10</v>
      </c>
      <c r="AV11">
        <f>IF(SUMPRODUCT(SUBTOTAL(103,OFFSET($A$6,ROW($A$6:$A$272)-ROW($A$6),0)),--($AT$6:$AT$272=$AU$11))&gt;0,$AU$11,"")</f>
        <v>0</v>
      </c>
      <c r="AW11" t="s">
        <v>13</v>
      </c>
    </row>
    <row r="12" spans="1:50" ht="15.1" customHeight="1">
      <c r="A12" s="8">
        <v>3</v>
      </c>
      <c r="B12" s="9" t="s">
        <v>70</v>
      </c>
      <c r="C12" s="8" t="s">
        <v>71</v>
      </c>
      <c r="D12" s="9" t="s">
        <v>66</v>
      </c>
      <c r="E12" s="8" t="s">
        <v>54</v>
      </c>
      <c r="F12" s="8" t="s">
        <v>54</v>
      </c>
      <c r="G12" s="10" t="s">
        <v>67</v>
      </c>
      <c r="H12" s="8" t="s">
        <v>54</v>
      </c>
      <c r="I12" s="8" t="s">
        <v>54</v>
      </c>
      <c r="J12" s="8" t="s">
        <v>54</v>
      </c>
      <c r="K12" s="8" t="s">
        <v>54</v>
      </c>
      <c r="L12" s="8" t="s">
        <v>54</v>
      </c>
      <c r="M12" s="8" t="s">
        <v>54</v>
      </c>
      <c r="N12" s="10" t="s">
        <v>67</v>
      </c>
      <c r="O12" s="8" t="s">
        <v>54</v>
      </c>
      <c r="P12" s="8" t="s">
        <v>54</v>
      </c>
      <c r="Q12" s="12" t="s">
        <v>55</v>
      </c>
      <c r="R12" s="8" t="s">
        <v>54</v>
      </c>
      <c r="S12" s="8" t="s">
        <v>54</v>
      </c>
      <c r="T12" s="8" t="s">
        <v>54</v>
      </c>
      <c r="U12" s="10" t="s">
        <v>67</v>
      </c>
      <c r="V12" s="12" t="s">
        <v>55</v>
      </c>
      <c r="W12" s="12" t="s">
        <v>55</v>
      </c>
      <c r="X12" s="8" t="s">
        <v>54</v>
      </c>
      <c r="Y12" s="8" t="s">
        <v>54</v>
      </c>
      <c r="Z12" s="8" t="s">
        <v>54</v>
      </c>
      <c r="AA12" s="8" t="s">
        <v>54</v>
      </c>
      <c r="AB12" s="10" t="s">
        <v>67</v>
      </c>
      <c r="AC12" s="8" t="s">
        <v>54</v>
      </c>
      <c r="AD12" s="8" t="s">
        <v>54</v>
      </c>
      <c r="AE12" s="8" t="s">
        <v>54</v>
      </c>
      <c r="AF12" s="8" t="s">
        <v>54</v>
      </c>
      <c r="AG12" s="8" t="s">
        <v>54</v>
      </c>
      <c r="AH12" s="12" t="s">
        <v>55</v>
      </c>
      <c r="AI12" s="10" t="s">
        <v>67</v>
      </c>
      <c r="AJ12" s="8">
        <f>COUNTIF($E$12:$AI$12,"P")</f>
        <v>22</v>
      </c>
      <c r="AK12" s="8">
        <f>COUNTIF($E$12:$AI$12,"A")</f>
        <v>4</v>
      </c>
      <c r="AL12" s="8">
        <f>SUM($E$13:$AI$13)</f>
        <v>0</v>
      </c>
      <c r="AM12" s="8">
        <f>SUM($E$14:$AI$14)</f>
        <v>123.5</v>
      </c>
      <c r="AN12" s="8">
        <f>AL12+AM12</f>
        <v>123.5</v>
      </c>
      <c r="AO12" s="8">
        <f>COUNTIF($E$12:$AI$12,"CL")</f>
        <v>0</v>
      </c>
      <c r="AP12" s="8">
        <f>COUNTIF($E$12:$AI$12,"SL")</f>
        <v>0</v>
      </c>
      <c r="AQ12" s="8">
        <f>COUNTIF($E$12:$AI$12,"EL")</f>
        <v>0</v>
      </c>
      <c r="AR12" s="8">
        <f>COUNTIF($E$12:$AI$12,"H")</f>
        <v>0</v>
      </c>
      <c r="AS12" s="8"/>
      <c r="AT12" s="11" t="s">
        <v>6</v>
      </c>
      <c r="AU12" t="s">
        <v>11</v>
      </c>
      <c r="AV12">
        <f>IF(SUMPRODUCT(SUBTOTAL(103,OFFSET($A$6,ROW($A$6:$A$272)-ROW($A$6),0)),--($AT$6:$AT$272=$AU$12))&gt;0,$AU$12,"")</f>
        <v>0</v>
      </c>
      <c r="AW12" t="s">
        <v>14</v>
      </c>
    </row>
    <row r="13" spans="1:50" ht="15.1" customHeight="1">
      <c r="A13" s="8"/>
      <c r="B13" s="9"/>
      <c r="C13" s="8"/>
      <c r="D13" s="9"/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1" t="s">
        <v>6</v>
      </c>
      <c r="AU13" t="s">
        <v>12</v>
      </c>
      <c r="AV13">
        <f>IF(SUMPRODUCT(SUBTOTAL(103,OFFSET($A$6,ROW($A$6:$A$272)-ROW($A$6),0)),--($AT$6:$AT$272=$AU$13))&gt;0,$AU$13,"")</f>
        <v>0</v>
      </c>
      <c r="AW13" t="s">
        <v>15</v>
      </c>
    </row>
    <row r="14" spans="1:50" ht="15.1" customHeight="1">
      <c r="A14" s="8"/>
      <c r="B14" s="9"/>
      <c r="C14" s="8"/>
      <c r="D14" s="9"/>
      <c r="E14" s="8">
        <v>6</v>
      </c>
      <c r="F14" s="8">
        <v>2</v>
      </c>
      <c r="G14" s="8">
        <v>13</v>
      </c>
      <c r="H14" s="8">
        <v>6</v>
      </c>
      <c r="I14" s="8">
        <v>7</v>
      </c>
      <c r="J14" s="8">
        <v>5</v>
      </c>
      <c r="K14" s="8">
        <v>7</v>
      </c>
      <c r="L14" s="8">
        <v>5</v>
      </c>
      <c r="M14" s="8">
        <v>7</v>
      </c>
      <c r="N14" s="8">
        <v>19.5</v>
      </c>
      <c r="O14" s="8">
        <v>11</v>
      </c>
      <c r="P14" s="8">
        <v>7</v>
      </c>
      <c r="Q14" s="8">
        <v>0</v>
      </c>
      <c r="R14" s="8">
        <v>11</v>
      </c>
      <c r="S14" s="8">
        <v>0</v>
      </c>
      <c r="T14" s="8">
        <v>3</v>
      </c>
      <c r="U14" s="8">
        <v>7.5</v>
      </c>
      <c r="V14" s="8">
        <v>0</v>
      </c>
      <c r="W14" s="8">
        <v>0</v>
      </c>
      <c r="X14" s="8">
        <v>3.5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3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1" t="s">
        <v>6</v>
      </c>
      <c r="AU14" t="s">
        <v>13</v>
      </c>
      <c r="AV14">
        <f>IF(SUMPRODUCT(SUBTOTAL(103,OFFSET($A$6,ROW($A$6:$A$272)-ROW($A$6),0)),--($AT$6:$AT$272=$AU$14))&gt;0,$AU$14,"")</f>
        <v>0</v>
      </c>
      <c r="AW14" t="s">
        <v>16</v>
      </c>
    </row>
    <row r="15" spans="1:50" ht="15.1" customHeight="1">
      <c r="A15" s="8">
        <v>4</v>
      </c>
      <c r="B15" s="9" t="s">
        <v>72</v>
      </c>
      <c r="C15" s="8" t="s">
        <v>73</v>
      </c>
      <c r="D15" s="9" t="s">
        <v>66</v>
      </c>
      <c r="E15" s="8" t="s">
        <v>54</v>
      </c>
      <c r="F15" s="8" t="s">
        <v>54</v>
      </c>
      <c r="G15" s="10" t="s">
        <v>67</v>
      </c>
      <c r="H15" s="8" t="s">
        <v>54</v>
      </c>
      <c r="I15" s="8" t="s">
        <v>54</v>
      </c>
      <c r="J15" s="8" t="s">
        <v>54</v>
      </c>
      <c r="K15" s="8" t="s">
        <v>54</v>
      </c>
      <c r="L15" s="8" t="s">
        <v>54</v>
      </c>
      <c r="M15" s="8" t="s">
        <v>54</v>
      </c>
      <c r="N15" s="10" t="s">
        <v>67</v>
      </c>
      <c r="O15" s="8" t="s">
        <v>54</v>
      </c>
      <c r="P15" s="8" t="s">
        <v>54</v>
      </c>
      <c r="Q15" s="8" t="s">
        <v>54</v>
      </c>
      <c r="R15" s="8" t="s">
        <v>54</v>
      </c>
      <c r="S15" s="8" t="s">
        <v>54</v>
      </c>
      <c r="T15" s="8" t="s">
        <v>54</v>
      </c>
      <c r="U15" s="10" t="s">
        <v>67</v>
      </c>
      <c r="V15" s="8" t="s">
        <v>54</v>
      </c>
      <c r="W15" s="8" t="s">
        <v>54</v>
      </c>
      <c r="X15" s="8" t="s">
        <v>54</v>
      </c>
      <c r="Y15" s="8" t="s">
        <v>54</v>
      </c>
      <c r="Z15" s="8" t="s">
        <v>54</v>
      </c>
      <c r="AA15" s="8" t="s">
        <v>54</v>
      </c>
      <c r="AB15" s="10" t="s">
        <v>67</v>
      </c>
      <c r="AC15" s="8" t="s">
        <v>54</v>
      </c>
      <c r="AD15" s="8" t="s">
        <v>54</v>
      </c>
      <c r="AE15" s="8" t="s">
        <v>54</v>
      </c>
      <c r="AF15" s="8" t="s">
        <v>54</v>
      </c>
      <c r="AG15" s="8" t="s">
        <v>54</v>
      </c>
      <c r="AH15" s="8" t="s">
        <v>54</v>
      </c>
      <c r="AI15" s="10" t="s">
        <v>67</v>
      </c>
      <c r="AJ15" s="8">
        <f>COUNTIF($E$15:$AI$15,"P")</f>
        <v>26</v>
      </c>
      <c r="AK15" s="8">
        <f>COUNTIF($E$15:$AI$15,"A")</f>
        <v>0</v>
      </c>
      <c r="AL15" s="8">
        <f>SUM($E$16:$AI$16)</f>
        <v>0</v>
      </c>
      <c r="AM15" s="8">
        <f>SUM($E$17:$AI$17)</f>
        <v>105.5</v>
      </c>
      <c r="AN15" s="8">
        <f>AL15+AM15</f>
        <v>105.5</v>
      </c>
      <c r="AO15" s="8">
        <f>COUNTIF($E$15:$AI$15,"CL")</f>
        <v>0</v>
      </c>
      <c r="AP15" s="8">
        <f>COUNTIF($E$15:$AI$15,"SL")</f>
        <v>0</v>
      </c>
      <c r="AQ15" s="8">
        <f>COUNTIF($E$15:$AI$15,"EL")</f>
        <v>0</v>
      </c>
      <c r="AR15" s="8">
        <f>COUNTIF($E$15:$AI$15,"H")</f>
        <v>0</v>
      </c>
      <c r="AS15" s="8"/>
      <c r="AT15" s="11" t="s">
        <v>7</v>
      </c>
      <c r="AU15" t="s">
        <v>14</v>
      </c>
      <c r="AV15">
        <f>IF(SUMPRODUCT(SUBTOTAL(103,OFFSET($A$6,ROW($A$6:$A$272)-ROW($A$6),0)),--($AT$6:$AT$272=$AU$15))&gt;0,$AU$15,"")</f>
        <v>0</v>
      </c>
      <c r="AW15" t="s">
        <v>17</v>
      </c>
    </row>
    <row r="16" spans="1:50" ht="15.1" customHeight="1">
      <c r="A16" s="8"/>
      <c r="B16" s="9"/>
      <c r="C16" s="8"/>
      <c r="D16" s="9"/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11" t="s">
        <v>7</v>
      </c>
      <c r="AU16" t="s">
        <v>15</v>
      </c>
      <c r="AV16">
        <f>IF(SUMPRODUCT(SUBTOTAL(103,OFFSET($A$6,ROW($A$6:$A$272)-ROW($A$6),0)),--($AT$6:$AT$272=$AU$16))&gt;0,$AU$16,"")</f>
        <v>0</v>
      </c>
      <c r="AW16" t="s">
        <v>18</v>
      </c>
    </row>
    <row r="17" spans="1:48" ht="15.1" customHeight="1">
      <c r="A17" s="8"/>
      <c r="B17" s="9"/>
      <c r="C17" s="8"/>
      <c r="D17" s="9"/>
      <c r="E17" s="8">
        <v>4.5</v>
      </c>
      <c r="F17" s="8">
        <v>3</v>
      </c>
      <c r="G17" s="8">
        <v>13.5</v>
      </c>
      <c r="H17" s="8">
        <v>4.5</v>
      </c>
      <c r="I17" s="8">
        <v>0</v>
      </c>
      <c r="J17" s="8">
        <v>7</v>
      </c>
      <c r="K17" s="8">
        <v>7</v>
      </c>
      <c r="L17" s="8">
        <v>6.5</v>
      </c>
      <c r="M17" s="8">
        <v>5</v>
      </c>
      <c r="N17" s="8">
        <v>4.5</v>
      </c>
      <c r="O17" s="8">
        <v>7</v>
      </c>
      <c r="P17" s="8">
        <v>6.5</v>
      </c>
      <c r="Q17" s="8">
        <v>4.5</v>
      </c>
      <c r="R17" s="8">
        <v>6.5</v>
      </c>
      <c r="S17" s="8">
        <v>3</v>
      </c>
      <c r="T17" s="8">
        <v>3</v>
      </c>
      <c r="U17" s="8">
        <v>12.5</v>
      </c>
      <c r="V17" s="8">
        <v>7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11" t="s">
        <v>7</v>
      </c>
      <c r="AU17" t="s">
        <v>16</v>
      </c>
      <c r="AV17">
        <f>IF(SUMPRODUCT(SUBTOTAL(103,OFFSET($A$6,ROW($A$6:$A$272)-ROW($A$6),0)),--($AT$6:$AT$272=$AU$17))&gt;0,$AU$17,"")</f>
        <v>0</v>
      </c>
    </row>
    <row r="18" spans="1:48" ht="15.1" customHeight="1">
      <c r="A18" s="8">
        <v>5</v>
      </c>
      <c r="B18" s="9" t="s">
        <v>74</v>
      </c>
      <c r="C18" s="8" t="s">
        <v>75</v>
      </c>
      <c r="D18" s="9" t="s">
        <v>66</v>
      </c>
      <c r="E18" s="8" t="s">
        <v>54</v>
      </c>
      <c r="F18" s="8" t="s">
        <v>54</v>
      </c>
      <c r="G18" s="10" t="s">
        <v>67</v>
      </c>
      <c r="H18" s="8" t="s">
        <v>54</v>
      </c>
      <c r="I18" s="8" t="s">
        <v>54</v>
      </c>
      <c r="J18" s="8" t="s">
        <v>54</v>
      </c>
      <c r="K18" s="8" t="s">
        <v>54</v>
      </c>
      <c r="L18" s="8" t="s">
        <v>54</v>
      </c>
      <c r="M18" s="8" t="s">
        <v>54</v>
      </c>
      <c r="N18" s="10" t="s">
        <v>67</v>
      </c>
      <c r="O18" s="8" t="s">
        <v>54</v>
      </c>
      <c r="P18" s="8" t="s">
        <v>54</v>
      </c>
      <c r="Q18" s="8" t="s">
        <v>54</v>
      </c>
      <c r="R18" s="8" t="s">
        <v>54</v>
      </c>
      <c r="S18" s="8" t="s">
        <v>54</v>
      </c>
      <c r="T18" s="8" t="s">
        <v>54</v>
      </c>
      <c r="U18" s="10" t="s">
        <v>67</v>
      </c>
      <c r="V18" s="8" t="s">
        <v>54</v>
      </c>
      <c r="W18" s="8" t="s">
        <v>54</v>
      </c>
      <c r="X18" s="8" t="s">
        <v>54</v>
      </c>
      <c r="Y18" s="8" t="s">
        <v>54</v>
      </c>
      <c r="Z18" s="8" t="s">
        <v>54</v>
      </c>
      <c r="AA18" s="8" t="s">
        <v>54</v>
      </c>
      <c r="AB18" s="10" t="s">
        <v>67</v>
      </c>
      <c r="AC18" s="8" t="s">
        <v>54</v>
      </c>
      <c r="AD18" s="8" t="s">
        <v>54</v>
      </c>
      <c r="AE18" s="8" t="s">
        <v>54</v>
      </c>
      <c r="AF18" s="8" t="s">
        <v>54</v>
      </c>
      <c r="AG18" s="8" t="s">
        <v>54</v>
      </c>
      <c r="AH18" s="8" t="s">
        <v>54</v>
      </c>
      <c r="AI18" s="10" t="s">
        <v>67</v>
      </c>
      <c r="AJ18" s="8">
        <f>COUNTIF($E$18:$AI$18,"P")</f>
        <v>26</v>
      </c>
      <c r="AK18" s="8">
        <f>COUNTIF($E$18:$AI$18,"A")</f>
        <v>0</v>
      </c>
      <c r="AL18" s="8">
        <f>SUM($E$19:$AI$19)</f>
        <v>0</v>
      </c>
      <c r="AM18" s="8">
        <f>SUM($E$20:$AI$20)</f>
        <v>128</v>
      </c>
      <c r="AN18" s="8">
        <f>AL18+AM18</f>
        <v>128</v>
      </c>
      <c r="AO18" s="8">
        <f>COUNTIF($E$18:$AI$18,"CL")</f>
        <v>0</v>
      </c>
      <c r="AP18" s="8">
        <f>COUNTIF($E$18:$AI$18,"SL")</f>
        <v>0</v>
      </c>
      <c r="AQ18" s="8">
        <f>COUNTIF($E$18:$AI$18,"EL")</f>
        <v>0</v>
      </c>
      <c r="AR18" s="8">
        <f>COUNTIF($E$18:$AI$18,"H")</f>
        <v>0</v>
      </c>
      <c r="AS18" s="8"/>
      <c r="AT18" s="11" t="s">
        <v>7</v>
      </c>
      <c r="AU18" t="s">
        <v>17</v>
      </c>
      <c r="AV18">
        <f>IF(SUMPRODUCT(SUBTOTAL(103,OFFSET($A$6,ROW($A$6:$A$272)-ROW($A$6),0)),--($AT$6:$AT$272=$AU$18))&gt;0,$AU$18,"")</f>
        <v>0</v>
      </c>
    </row>
    <row r="19" spans="1:48" ht="15.1" customHeight="1">
      <c r="A19" s="8"/>
      <c r="B19" s="9"/>
      <c r="C19" s="8"/>
      <c r="D19" s="9"/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11" t="s">
        <v>7</v>
      </c>
      <c r="AU19" t="s">
        <v>18</v>
      </c>
      <c r="AV19">
        <f>IF(SUMPRODUCT(SUBTOTAL(103,OFFSET($A$6,ROW($A$6:$A$272)-ROW($A$6),0)),--($AT$6:$AT$272=$AU$19))&gt;0,$AU$19,"")</f>
        <v>0</v>
      </c>
    </row>
    <row r="20" spans="1:48" ht="15.1" customHeight="1">
      <c r="A20" s="8"/>
      <c r="B20" s="9"/>
      <c r="C20" s="8"/>
      <c r="D20" s="9"/>
      <c r="E20" s="8">
        <v>4.5</v>
      </c>
      <c r="F20" s="8">
        <v>3</v>
      </c>
      <c r="G20" s="8">
        <v>13.5</v>
      </c>
      <c r="H20" s="8">
        <v>5</v>
      </c>
      <c r="I20" s="8">
        <v>4.5</v>
      </c>
      <c r="J20" s="8">
        <v>7</v>
      </c>
      <c r="K20" s="8">
        <v>7</v>
      </c>
      <c r="L20" s="8">
        <v>7</v>
      </c>
      <c r="M20" s="8">
        <v>5</v>
      </c>
      <c r="N20" s="8">
        <v>16.5</v>
      </c>
      <c r="O20" s="8">
        <v>7</v>
      </c>
      <c r="P20" s="8">
        <v>6.5</v>
      </c>
      <c r="Q20" s="8">
        <v>4.5</v>
      </c>
      <c r="R20" s="8">
        <v>7</v>
      </c>
      <c r="S20" s="8">
        <v>7</v>
      </c>
      <c r="T20" s="8">
        <v>3</v>
      </c>
      <c r="U20" s="8">
        <v>13</v>
      </c>
      <c r="V20" s="8">
        <v>7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1" t="s">
        <v>7</v>
      </c>
    </row>
    <row r="21" spans="1:48" ht="15.1" customHeight="1">
      <c r="A21" s="8">
        <v>6</v>
      </c>
      <c r="B21" s="9" t="s">
        <v>76</v>
      </c>
      <c r="C21" s="8" t="s">
        <v>77</v>
      </c>
      <c r="D21" s="9" t="s">
        <v>66</v>
      </c>
      <c r="E21" s="8" t="s">
        <v>54</v>
      </c>
      <c r="F21" s="8" t="s">
        <v>54</v>
      </c>
      <c r="G21" s="10" t="s">
        <v>67</v>
      </c>
      <c r="H21" s="8" t="s">
        <v>54</v>
      </c>
      <c r="I21" s="8" t="s">
        <v>54</v>
      </c>
      <c r="J21" s="8" t="s">
        <v>54</v>
      </c>
      <c r="K21" s="8" t="s">
        <v>54</v>
      </c>
      <c r="L21" s="8" t="s">
        <v>54</v>
      </c>
      <c r="M21" s="8" t="s">
        <v>54</v>
      </c>
      <c r="N21" s="10" t="s">
        <v>67</v>
      </c>
      <c r="O21" s="8" t="s">
        <v>54</v>
      </c>
      <c r="P21" s="8" t="s">
        <v>54</v>
      </c>
      <c r="Q21" s="12" t="s">
        <v>55</v>
      </c>
      <c r="R21" s="8" t="s">
        <v>54</v>
      </c>
      <c r="S21" s="8" t="s">
        <v>54</v>
      </c>
      <c r="T21" s="8" t="s">
        <v>54</v>
      </c>
      <c r="U21" s="10" t="s">
        <v>67</v>
      </c>
      <c r="V21" s="8" t="s">
        <v>54</v>
      </c>
      <c r="W21" s="8" t="s">
        <v>54</v>
      </c>
      <c r="X21" s="8" t="s">
        <v>54</v>
      </c>
      <c r="Y21" s="8" t="s">
        <v>54</v>
      </c>
      <c r="Z21" s="8" t="s">
        <v>54</v>
      </c>
      <c r="AA21" s="8" t="s">
        <v>54</v>
      </c>
      <c r="AB21" s="10" t="s">
        <v>67</v>
      </c>
      <c r="AC21" s="8" t="s">
        <v>54</v>
      </c>
      <c r="AD21" s="8" t="s">
        <v>54</v>
      </c>
      <c r="AE21" s="8" t="s">
        <v>54</v>
      </c>
      <c r="AF21" s="8" t="s">
        <v>54</v>
      </c>
      <c r="AG21" s="8" t="s">
        <v>54</v>
      </c>
      <c r="AH21" s="8" t="s">
        <v>54</v>
      </c>
      <c r="AI21" s="10" t="s">
        <v>67</v>
      </c>
      <c r="AJ21" s="8">
        <f>COUNTIF($E$21:$AI$21,"P")</f>
        <v>25</v>
      </c>
      <c r="AK21" s="8">
        <f>COUNTIF($E$21:$AI$21,"A")</f>
        <v>1</v>
      </c>
      <c r="AL21" s="8">
        <f>SUM($E$22:$AI$22)</f>
        <v>0</v>
      </c>
      <c r="AM21" s="8">
        <f>SUM($E$23:$AI$23)</f>
        <v>107.5</v>
      </c>
      <c r="AN21" s="8">
        <f>AL21+AM21</f>
        <v>107.5</v>
      </c>
      <c r="AO21" s="8">
        <f>COUNTIF($E$21:$AI$21,"CL")</f>
        <v>0</v>
      </c>
      <c r="AP21" s="8">
        <f>COUNTIF($E$21:$AI$21,"SL")</f>
        <v>0</v>
      </c>
      <c r="AQ21" s="8">
        <f>COUNTIF($E$21:$AI$21,"EL")</f>
        <v>0</v>
      </c>
      <c r="AR21" s="8">
        <f>COUNTIF($E$21:$AI$21,"H")</f>
        <v>0</v>
      </c>
      <c r="AS21" s="8"/>
      <c r="AT21" s="11" t="s">
        <v>7</v>
      </c>
    </row>
    <row r="22" spans="1:48" ht="15.1" customHeight="1">
      <c r="A22" s="8"/>
      <c r="B22" s="9"/>
      <c r="C22" s="8"/>
      <c r="D22" s="9"/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1" t="s">
        <v>7</v>
      </c>
    </row>
    <row r="23" spans="1:48" ht="15.1" customHeight="1">
      <c r="A23" s="8"/>
      <c r="B23" s="9"/>
      <c r="C23" s="8"/>
      <c r="D23" s="9"/>
      <c r="E23" s="8">
        <v>5</v>
      </c>
      <c r="F23" s="8">
        <v>3</v>
      </c>
      <c r="G23" s="8">
        <v>0</v>
      </c>
      <c r="H23" s="8">
        <v>5</v>
      </c>
      <c r="I23" s="8">
        <v>4.5</v>
      </c>
      <c r="J23" s="8">
        <v>7</v>
      </c>
      <c r="K23" s="8">
        <v>7</v>
      </c>
      <c r="L23" s="8">
        <v>7</v>
      </c>
      <c r="M23" s="8">
        <v>5</v>
      </c>
      <c r="N23" s="8">
        <v>16.5</v>
      </c>
      <c r="O23" s="8">
        <v>7</v>
      </c>
      <c r="P23" s="8">
        <v>7</v>
      </c>
      <c r="Q23" s="8">
        <v>0</v>
      </c>
      <c r="R23" s="8">
        <v>7</v>
      </c>
      <c r="S23" s="8">
        <v>7</v>
      </c>
      <c r="T23" s="8">
        <v>3</v>
      </c>
      <c r="U23" s="8">
        <v>9.5</v>
      </c>
      <c r="V23" s="8">
        <v>7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1" t="s">
        <v>7</v>
      </c>
    </row>
    <row r="24" spans="1:48" ht="15.1" customHeight="1">
      <c r="A24" s="8">
        <v>7</v>
      </c>
      <c r="B24" s="9" t="s">
        <v>78</v>
      </c>
      <c r="C24" s="8" t="s">
        <v>79</v>
      </c>
      <c r="D24" s="9" t="s">
        <v>66</v>
      </c>
      <c r="E24" s="8" t="s">
        <v>54</v>
      </c>
      <c r="F24" s="8" t="s">
        <v>54</v>
      </c>
      <c r="G24" s="10" t="s">
        <v>67</v>
      </c>
      <c r="H24" s="8" t="s">
        <v>54</v>
      </c>
      <c r="I24" s="8" t="s">
        <v>54</v>
      </c>
      <c r="J24" s="8" t="s">
        <v>54</v>
      </c>
      <c r="K24" s="8" t="s">
        <v>54</v>
      </c>
      <c r="L24" s="8" t="s">
        <v>54</v>
      </c>
      <c r="M24" s="8" t="s">
        <v>54</v>
      </c>
      <c r="N24" s="10" t="s">
        <v>67</v>
      </c>
      <c r="O24" s="8" t="s">
        <v>54</v>
      </c>
      <c r="P24" s="8" t="s">
        <v>54</v>
      </c>
      <c r="Q24" s="8" t="s">
        <v>54</v>
      </c>
      <c r="R24" s="8" t="s">
        <v>54</v>
      </c>
      <c r="S24" s="8" t="s">
        <v>54</v>
      </c>
      <c r="T24" s="8" t="s">
        <v>54</v>
      </c>
      <c r="U24" s="10" t="s">
        <v>67</v>
      </c>
      <c r="V24" s="8" t="s">
        <v>54</v>
      </c>
      <c r="W24" s="8" t="s">
        <v>54</v>
      </c>
      <c r="X24" s="8" t="s">
        <v>54</v>
      </c>
      <c r="Y24" s="8" t="s">
        <v>54</v>
      </c>
      <c r="Z24" s="8" t="s">
        <v>54</v>
      </c>
      <c r="AA24" s="8" t="s">
        <v>54</v>
      </c>
      <c r="AB24" s="10" t="s">
        <v>67</v>
      </c>
      <c r="AC24" s="8" t="s">
        <v>54</v>
      </c>
      <c r="AD24" s="8" t="s">
        <v>54</v>
      </c>
      <c r="AE24" s="8" t="s">
        <v>54</v>
      </c>
      <c r="AF24" s="8" t="s">
        <v>54</v>
      </c>
      <c r="AG24" s="8" t="s">
        <v>54</v>
      </c>
      <c r="AH24" s="8" t="s">
        <v>54</v>
      </c>
      <c r="AI24" s="10" t="s">
        <v>67</v>
      </c>
      <c r="AJ24" s="8">
        <f>COUNTIF($E$24:$AI$24,"P")</f>
        <v>26</v>
      </c>
      <c r="AK24" s="8">
        <f>COUNTIF($E$24:$AI$24,"A")</f>
        <v>0</v>
      </c>
      <c r="AL24" s="8">
        <f>SUM($E$25:$AI$25)</f>
        <v>0</v>
      </c>
      <c r="AM24" s="8">
        <f>SUM($E$26:$AI$26)</f>
        <v>132.5</v>
      </c>
      <c r="AN24" s="8">
        <f>AL24+AM24</f>
        <v>132.5</v>
      </c>
      <c r="AO24" s="8">
        <f>COUNTIF($E$24:$AI$24,"CL")</f>
        <v>0</v>
      </c>
      <c r="AP24" s="8">
        <f>COUNTIF($E$24:$AI$24,"SL")</f>
        <v>0</v>
      </c>
      <c r="AQ24" s="8">
        <f>COUNTIF($E$24:$AI$24,"EL")</f>
        <v>0</v>
      </c>
      <c r="AR24" s="8">
        <f>COUNTIF($E$24:$AI$24,"H")</f>
        <v>0</v>
      </c>
      <c r="AS24" s="8"/>
      <c r="AT24" s="11" t="s">
        <v>7</v>
      </c>
    </row>
    <row r="25" spans="1:48" ht="15.1" customHeight="1">
      <c r="A25" s="8"/>
      <c r="B25" s="9"/>
      <c r="C25" s="8"/>
      <c r="D25" s="9"/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1" t="s">
        <v>7</v>
      </c>
    </row>
    <row r="26" spans="1:48" ht="15.1" customHeight="1">
      <c r="A26" s="8"/>
      <c r="B26" s="9"/>
      <c r="C26" s="8"/>
      <c r="D26" s="9"/>
      <c r="E26" s="8">
        <v>5</v>
      </c>
      <c r="F26" s="8">
        <v>3</v>
      </c>
      <c r="G26" s="8">
        <v>14</v>
      </c>
      <c r="H26" s="8">
        <v>5</v>
      </c>
      <c r="I26" s="8">
        <v>4.5</v>
      </c>
      <c r="J26" s="8">
        <v>7</v>
      </c>
      <c r="K26" s="8">
        <v>7</v>
      </c>
      <c r="L26" s="8">
        <v>7</v>
      </c>
      <c r="M26" s="8">
        <v>5</v>
      </c>
      <c r="N26" s="8">
        <v>16.5</v>
      </c>
      <c r="O26" s="8">
        <v>7</v>
      </c>
      <c r="P26" s="8">
        <v>7</v>
      </c>
      <c r="Q26" s="8">
        <v>5</v>
      </c>
      <c r="R26" s="8">
        <v>7</v>
      </c>
      <c r="S26" s="8">
        <v>7</v>
      </c>
      <c r="T26" s="8">
        <v>3</v>
      </c>
      <c r="U26" s="8">
        <v>12.5</v>
      </c>
      <c r="V26" s="8">
        <v>7</v>
      </c>
      <c r="W26" s="8">
        <v>3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1" t="s">
        <v>7</v>
      </c>
    </row>
    <row r="27" spans="1:48" ht="15.1" customHeight="1">
      <c r="A27" s="8">
        <v>8</v>
      </c>
      <c r="B27" s="9" t="s">
        <v>80</v>
      </c>
      <c r="C27" s="8" t="s">
        <v>81</v>
      </c>
      <c r="D27" s="9" t="s">
        <v>66</v>
      </c>
      <c r="E27" s="8" t="s">
        <v>54</v>
      </c>
      <c r="F27" s="8" t="s">
        <v>54</v>
      </c>
      <c r="G27" s="10" t="s">
        <v>67</v>
      </c>
      <c r="H27" s="8" t="s">
        <v>54</v>
      </c>
      <c r="I27" s="8" t="s">
        <v>54</v>
      </c>
      <c r="J27" s="8" t="s">
        <v>54</v>
      </c>
      <c r="K27" s="12" t="s">
        <v>55</v>
      </c>
      <c r="L27" s="8" t="s">
        <v>54</v>
      </c>
      <c r="M27" s="8" t="s">
        <v>54</v>
      </c>
      <c r="N27" s="10" t="s">
        <v>67</v>
      </c>
      <c r="O27" s="8" t="s">
        <v>54</v>
      </c>
      <c r="P27" s="8" t="s">
        <v>54</v>
      </c>
      <c r="Q27" s="8" t="s">
        <v>54</v>
      </c>
      <c r="R27" s="8" t="s">
        <v>54</v>
      </c>
      <c r="S27" s="8" t="s">
        <v>54</v>
      </c>
      <c r="T27" s="8" t="s">
        <v>54</v>
      </c>
      <c r="U27" s="10" t="s">
        <v>67</v>
      </c>
      <c r="V27" s="8" t="s">
        <v>54</v>
      </c>
      <c r="W27" s="8" t="s">
        <v>54</v>
      </c>
      <c r="X27" s="8" t="s">
        <v>54</v>
      </c>
      <c r="Y27" s="8" t="s">
        <v>54</v>
      </c>
      <c r="Z27" s="8" t="s">
        <v>54</v>
      </c>
      <c r="AA27" s="8" t="s">
        <v>54</v>
      </c>
      <c r="AB27" s="10" t="s">
        <v>67</v>
      </c>
      <c r="AC27" s="8" t="s">
        <v>54</v>
      </c>
      <c r="AD27" s="8" t="s">
        <v>54</v>
      </c>
      <c r="AE27" s="12" t="s">
        <v>55</v>
      </c>
      <c r="AF27" s="12" t="s">
        <v>55</v>
      </c>
      <c r="AG27" s="8" t="s">
        <v>54</v>
      </c>
      <c r="AH27" s="8" t="s">
        <v>54</v>
      </c>
      <c r="AI27" s="10" t="s">
        <v>67</v>
      </c>
      <c r="AJ27" s="8">
        <f>COUNTIF($E$27:$AI$27,"P")</f>
        <v>23</v>
      </c>
      <c r="AK27" s="8">
        <f>COUNTIF($E$27:$AI$27,"A")</f>
        <v>3</v>
      </c>
      <c r="AL27" s="8">
        <f>SUM($E$28:$AI$28)</f>
        <v>0</v>
      </c>
      <c r="AM27" s="8">
        <f>SUM($E$29:$AI$29)</f>
        <v>126</v>
      </c>
      <c r="AN27" s="8">
        <f>AL27+AM27</f>
        <v>126</v>
      </c>
      <c r="AO27" s="8">
        <f>COUNTIF($E$27:$AI$27,"CL")</f>
        <v>0</v>
      </c>
      <c r="AP27" s="8">
        <f>COUNTIF($E$27:$AI$27,"SL")</f>
        <v>0</v>
      </c>
      <c r="AQ27" s="8">
        <f>COUNTIF($E$27:$AI$27,"EL")</f>
        <v>0</v>
      </c>
      <c r="AR27" s="8">
        <f>COUNTIF($E$27:$AI$27,"H")</f>
        <v>0</v>
      </c>
      <c r="AS27" s="8"/>
      <c r="AT27" s="11" t="s">
        <v>7</v>
      </c>
    </row>
    <row r="28" spans="1:48" ht="15.1" customHeight="1">
      <c r="A28" s="8"/>
      <c r="B28" s="9"/>
      <c r="C28" s="8"/>
      <c r="D28" s="9"/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11" t="s">
        <v>7</v>
      </c>
    </row>
    <row r="29" spans="1:48" ht="15.1" customHeight="1">
      <c r="A29" s="8"/>
      <c r="B29" s="9"/>
      <c r="C29" s="8"/>
      <c r="D29" s="9"/>
      <c r="E29" s="8">
        <v>5</v>
      </c>
      <c r="F29" s="8">
        <v>3</v>
      </c>
      <c r="G29" s="8">
        <v>14</v>
      </c>
      <c r="H29" s="8">
        <v>5</v>
      </c>
      <c r="I29" s="8">
        <v>7</v>
      </c>
      <c r="J29" s="8">
        <v>7</v>
      </c>
      <c r="K29" s="8">
        <v>0</v>
      </c>
      <c r="L29" s="8">
        <v>7</v>
      </c>
      <c r="M29" s="8">
        <v>5</v>
      </c>
      <c r="N29" s="8">
        <v>17</v>
      </c>
      <c r="O29" s="8">
        <v>7</v>
      </c>
      <c r="P29" s="8">
        <v>7</v>
      </c>
      <c r="Q29" s="8">
        <v>5</v>
      </c>
      <c r="R29" s="8">
        <v>7</v>
      </c>
      <c r="S29" s="8">
        <v>7</v>
      </c>
      <c r="T29" s="8">
        <v>3</v>
      </c>
      <c r="U29" s="8">
        <v>13</v>
      </c>
      <c r="V29" s="8">
        <v>7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1" t="s">
        <v>7</v>
      </c>
    </row>
    <row r="30" spans="1:48" ht="15.1" customHeight="1">
      <c r="A30" s="8">
        <v>9</v>
      </c>
      <c r="B30" s="9" t="s">
        <v>82</v>
      </c>
      <c r="C30" s="8" t="s">
        <v>83</v>
      </c>
      <c r="D30" s="9" t="s">
        <v>66</v>
      </c>
      <c r="E30" s="8" t="s">
        <v>54</v>
      </c>
      <c r="F30" s="8" t="s">
        <v>54</v>
      </c>
      <c r="G30" s="10" t="s">
        <v>67</v>
      </c>
      <c r="H30" s="8" t="s">
        <v>54</v>
      </c>
      <c r="I30" s="8" t="s">
        <v>54</v>
      </c>
      <c r="J30" s="8" t="s">
        <v>54</v>
      </c>
      <c r="K30" s="8" t="s">
        <v>54</v>
      </c>
      <c r="L30" s="8" t="s">
        <v>54</v>
      </c>
      <c r="M30" s="8" t="s">
        <v>54</v>
      </c>
      <c r="N30" s="10" t="s">
        <v>67</v>
      </c>
      <c r="O30" s="12" t="s">
        <v>55</v>
      </c>
      <c r="P30" s="8" t="s">
        <v>54</v>
      </c>
      <c r="Q30" s="8" t="s">
        <v>54</v>
      </c>
      <c r="R30" s="12" t="s">
        <v>55</v>
      </c>
      <c r="S30" s="12" t="s">
        <v>55</v>
      </c>
      <c r="T30" s="8" t="s">
        <v>54</v>
      </c>
      <c r="U30" s="10" t="s">
        <v>67</v>
      </c>
      <c r="V30" s="8" t="s">
        <v>54</v>
      </c>
      <c r="W30" s="8" t="s">
        <v>54</v>
      </c>
      <c r="X30" s="8" t="s">
        <v>54</v>
      </c>
      <c r="Y30" s="8" t="s">
        <v>54</v>
      </c>
      <c r="Z30" s="8" t="s">
        <v>54</v>
      </c>
      <c r="AA30" s="8" t="s">
        <v>54</v>
      </c>
      <c r="AB30" s="10" t="s">
        <v>67</v>
      </c>
      <c r="AC30" s="8" t="s">
        <v>54</v>
      </c>
      <c r="AD30" s="12" t="s">
        <v>55</v>
      </c>
      <c r="AE30" s="12" t="s">
        <v>55</v>
      </c>
      <c r="AF30" s="12" t="s">
        <v>55</v>
      </c>
      <c r="AG30" s="8" t="s">
        <v>54</v>
      </c>
      <c r="AH30" s="8" t="s">
        <v>54</v>
      </c>
      <c r="AI30" s="10" t="s">
        <v>67</v>
      </c>
      <c r="AJ30" s="8">
        <f>COUNTIF($E$30:$AI$30,"P")</f>
        <v>20</v>
      </c>
      <c r="AK30" s="8">
        <f>COUNTIF($E$30:$AI$30,"A")</f>
        <v>6</v>
      </c>
      <c r="AL30" s="8">
        <f>SUM($E$31:$AI$31)</f>
        <v>0</v>
      </c>
      <c r="AM30" s="8">
        <f>SUM($E$32:$AI$32)</f>
        <v>116</v>
      </c>
      <c r="AN30" s="8">
        <f>AL30+AM30</f>
        <v>116</v>
      </c>
      <c r="AO30" s="8">
        <f>COUNTIF($E$30:$AI$30,"CL")</f>
        <v>0</v>
      </c>
      <c r="AP30" s="8">
        <f>COUNTIF($E$30:$AI$30,"SL")</f>
        <v>0</v>
      </c>
      <c r="AQ30" s="8">
        <f>COUNTIF($E$30:$AI$30,"EL")</f>
        <v>0</v>
      </c>
      <c r="AR30" s="8">
        <f>COUNTIF($E$30:$AI$30,"H")</f>
        <v>0</v>
      </c>
      <c r="AS30" s="8"/>
      <c r="AT30" s="11" t="s">
        <v>8</v>
      </c>
    </row>
    <row r="31" spans="1:48" ht="15.1" customHeight="1">
      <c r="A31" s="8"/>
      <c r="B31" s="9"/>
      <c r="C31" s="8"/>
      <c r="D31" s="9"/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1" t="s">
        <v>8</v>
      </c>
    </row>
    <row r="32" spans="1:48" ht="15.1" customHeight="1">
      <c r="A32" s="8"/>
      <c r="B32" s="9"/>
      <c r="C32" s="8"/>
      <c r="D32" s="9"/>
      <c r="E32" s="8">
        <v>5</v>
      </c>
      <c r="F32" s="8">
        <v>3</v>
      </c>
      <c r="G32" s="8">
        <v>12.5</v>
      </c>
      <c r="H32" s="8">
        <v>6</v>
      </c>
      <c r="I32" s="8">
        <v>7</v>
      </c>
      <c r="J32" s="8">
        <v>5</v>
      </c>
      <c r="K32" s="8">
        <v>7</v>
      </c>
      <c r="L32" s="8">
        <v>11</v>
      </c>
      <c r="M32" s="8">
        <v>7</v>
      </c>
      <c r="N32" s="8">
        <v>18</v>
      </c>
      <c r="O32" s="8">
        <v>0</v>
      </c>
      <c r="P32" s="8">
        <v>10</v>
      </c>
      <c r="Q32" s="8">
        <v>4</v>
      </c>
      <c r="R32" s="8">
        <v>0</v>
      </c>
      <c r="S32" s="8">
        <v>0</v>
      </c>
      <c r="T32" s="8">
        <v>3</v>
      </c>
      <c r="U32" s="8">
        <v>0</v>
      </c>
      <c r="V32" s="8">
        <v>7</v>
      </c>
      <c r="W32" s="8">
        <v>7</v>
      </c>
      <c r="X32" s="8">
        <v>3.5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1" t="s">
        <v>8</v>
      </c>
    </row>
    <row r="33" spans="1:46" ht="15.1" customHeight="1">
      <c r="A33" s="8">
        <v>10</v>
      </c>
      <c r="B33" s="9" t="s">
        <v>84</v>
      </c>
      <c r="C33" s="8" t="s">
        <v>85</v>
      </c>
      <c r="D33" s="9" t="s">
        <v>66</v>
      </c>
      <c r="E33" s="8" t="s">
        <v>54</v>
      </c>
      <c r="F33" s="8" t="s">
        <v>54</v>
      </c>
      <c r="G33" s="10" t="s">
        <v>67</v>
      </c>
      <c r="H33" s="8" t="s">
        <v>54</v>
      </c>
      <c r="I33" s="8" t="s">
        <v>54</v>
      </c>
      <c r="J33" s="8" t="s">
        <v>54</v>
      </c>
      <c r="K33" s="12" t="s">
        <v>55</v>
      </c>
      <c r="L33" s="12" t="s">
        <v>55</v>
      </c>
      <c r="M33" s="12" t="s">
        <v>55</v>
      </c>
      <c r="N33" s="10" t="s">
        <v>67</v>
      </c>
      <c r="O33" s="8" t="s">
        <v>54</v>
      </c>
      <c r="P33" s="12" t="s">
        <v>55</v>
      </c>
      <c r="Q33" s="12" t="s">
        <v>55</v>
      </c>
      <c r="R33" s="12" t="s">
        <v>55</v>
      </c>
      <c r="S33" s="8" t="s">
        <v>54</v>
      </c>
      <c r="T33" s="8" t="s">
        <v>54</v>
      </c>
      <c r="U33" s="10" t="s">
        <v>67</v>
      </c>
      <c r="V33" s="12" t="s">
        <v>55</v>
      </c>
      <c r="W33" s="12" t="s">
        <v>55</v>
      </c>
      <c r="X33" s="12" t="s">
        <v>55</v>
      </c>
      <c r="Y33" s="12" t="s">
        <v>55</v>
      </c>
      <c r="Z33" s="12" t="s">
        <v>55</v>
      </c>
      <c r="AA33" s="12" t="s">
        <v>55</v>
      </c>
      <c r="AB33" s="10" t="s">
        <v>67</v>
      </c>
      <c r="AC33" s="12" t="s">
        <v>55</v>
      </c>
      <c r="AD33" s="12" t="s">
        <v>55</v>
      </c>
      <c r="AE33" s="12" t="s">
        <v>55</v>
      </c>
      <c r="AF33" s="12" t="s">
        <v>55</v>
      </c>
      <c r="AG33" s="12" t="s">
        <v>55</v>
      </c>
      <c r="AH33" s="12" t="s">
        <v>55</v>
      </c>
      <c r="AI33" s="10" t="s">
        <v>67</v>
      </c>
      <c r="AJ33" s="8">
        <f>COUNTIF($E$33:$AI$33,"P")</f>
        <v>8</v>
      </c>
      <c r="AK33" s="8">
        <f>COUNTIF($E$33:$AI$33,"A")</f>
        <v>18</v>
      </c>
      <c r="AL33" s="8">
        <f>SUM($E$34:$AI$34)</f>
        <v>0</v>
      </c>
      <c r="AM33" s="8">
        <f>SUM($E$35:$AI$35)</f>
        <v>80.5</v>
      </c>
      <c r="AN33" s="8">
        <f>AL33+AM33</f>
        <v>80.5</v>
      </c>
      <c r="AO33" s="8">
        <f>COUNTIF($E$33:$AI$33,"CL")</f>
        <v>0</v>
      </c>
      <c r="AP33" s="8">
        <f>COUNTIF($E$33:$AI$33,"SL")</f>
        <v>0</v>
      </c>
      <c r="AQ33" s="8">
        <f>COUNTIF($E$33:$AI$33,"EL")</f>
        <v>0</v>
      </c>
      <c r="AR33" s="8">
        <f>COUNTIF($E$33:$AI$33,"H")</f>
        <v>0</v>
      </c>
      <c r="AS33" s="8"/>
      <c r="AT33" s="11" t="s">
        <v>8</v>
      </c>
    </row>
    <row r="34" spans="1:46" ht="15.1" customHeight="1">
      <c r="A34" s="8"/>
      <c r="B34" s="9"/>
      <c r="C34" s="8"/>
      <c r="D34" s="9"/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1" t="s">
        <v>8</v>
      </c>
    </row>
    <row r="35" spans="1:46" ht="15.1" customHeight="1">
      <c r="A35" s="8"/>
      <c r="B35" s="9"/>
      <c r="C35" s="8"/>
      <c r="D35" s="9"/>
      <c r="E35" s="8">
        <v>4</v>
      </c>
      <c r="F35" s="8">
        <v>3</v>
      </c>
      <c r="G35" s="8">
        <v>14.5</v>
      </c>
      <c r="H35" s="8">
        <v>7</v>
      </c>
      <c r="I35" s="8">
        <v>7</v>
      </c>
      <c r="J35" s="8">
        <v>5</v>
      </c>
      <c r="K35" s="8">
        <v>0</v>
      </c>
      <c r="L35" s="8">
        <v>0</v>
      </c>
      <c r="M35" s="8">
        <v>0</v>
      </c>
      <c r="N35" s="8">
        <v>17</v>
      </c>
      <c r="O35" s="8">
        <v>0</v>
      </c>
      <c r="P35" s="8">
        <v>0</v>
      </c>
      <c r="Q35" s="8">
        <v>0</v>
      </c>
      <c r="R35" s="8">
        <v>0</v>
      </c>
      <c r="S35" s="8">
        <v>6</v>
      </c>
      <c r="T35" s="8">
        <v>4</v>
      </c>
      <c r="U35" s="8">
        <v>13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1" t="s">
        <v>8</v>
      </c>
    </row>
    <row r="36" spans="1:46" ht="15.1" customHeight="1">
      <c r="A36" s="8">
        <v>11</v>
      </c>
      <c r="B36" s="9" t="s">
        <v>86</v>
      </c>
      <c r="C36" s="8" t="s">
        <v>87</v>
      </c>
      <c r="D36" s="9" t="s">
        <v>66</v>
      </c>
      <c r="E36" s="8" t="s">
        <v>54</v>
      </c>
      <c r="F36" s="8" t="s">
        <v>54</v>
      </c>
      <c r="G36" s="10" t="s">
        <v>67</v>
      </c>
      <c r="H36" s="8" t="s">
        <v>54</v>
      </c>
      <c r="I36" s="8" t="s">
        <v>54</v>
      </c>
      <c r="J36" s="8" t="s">
        <v>54</v>
      </c>
      <c r="K36" s="8" t="s">
        <v>54</v>
      </c>
      <c r="L36" s="8" t="s">
        <v>54</v>
      </c>
      <c r="M36" s="8" t="s">
        <v>54</v>
      </c>
      <c r="N36" s="10" t="s">
        <v>67</v>
      </c>
      <c r="O36" s="8" t="s">
        <v>54</v>
      </c>
      <c r="P36" s="8" t="s">
        <v>54</v>
      </c>
      <c r="Q36" s="8" t="s">
        <v>54</v>
      </c>
      <c r="R36" s="8" t="s">
        <v>54</v>
      </c>
      <c r="S36" s="8" t="s">
        <v>54</v>
      </c>
      <c r="T36" s="8" t="s">
        <v>54</v>
      </c>
      <c r="U36" s="10" t="s">
        <v>67</v>
      </c>
      <c r="V36" s="8" t="s">
        <v>54</v>
      </c>
      <c r="W36" s="8" t="s">
        <v>54</v>
      </c>
      <c r="X36" s="8" t="s">
        <v>54</v>
      </c>
      <c r="Y36" s="8" t="s">
        <v>54</v>
      </c>
      <c r="Z36" s="8" t="s">
        <v>54</v>
      </c>
      <c r="AA36" s="8" t="s">
        <v>54</v>
      </c>
      <c r="AB36" s="10" t="s">
        <v>67</v>
      </c>
      <c r="AC36" s="12" t="s">
        <v>55</v>
      </c>
      <c r="AD36" s="12" t="s">
        <v>55</v>
      </c>
      <c r="AE36" s="8" t="s">
        <v>54</v>
      </c>
      <c r="AF36" s="8" t="s">
        <v>54</v>
      </c>
      <c r="AG36" s="8" t="s">
        <v>54</v>
      </c>
      <c r="AH36" s="8" t="s">
        <v>54</v>
      </c>
      <c r="AI36" s="10" t="s">
        <v>67</v>
      </c>
      <c r="AJ36" s="8">
        <f>COUNTIF($E$36:$AI$36,"P")</f>
        <v>24</v>
      </c>
      <c r="AK36" s="8">
        <f>COUNTIF($E$36:$AI$36,"A")</f>
        <v>2</v>
      </c>
      <c r="AL36" s="8">
        <f>SUM($E$37:$AI$37)</f>
        <v>0</v>
      </c>
      <c r="AM36" s="8">
        <f>SUM($E$38:$AI$38)</f>
        <v>122</v>
      </c>
      <c r="AN36" s="8">
        <f>AL36+AM36</f>
        <v>122</v>
      </c>
      <c r="AO36" s="8">
        <f>COUNTIF($E$36:$AI$36,"CL")</f>
        <v>0</v>
      </c>
      <c r="AP36" s="8">
        <f>COUNTIF($E$36:$AI$36,"SL")</f>
        <v>0</v>
      </c>
      <c r="AQ36" s="8">
        <f>COUNTIF($E$36:$AI$36,"EL")</f>
        <v>0</v>
      </c>
      <c r="AR36" s="8">
        <f>COUNTIF($E$36:$AI$36,"H")</f>
        <v>0</v>
      </c>
      <c r="AS36" s="8"/>
      <c r="AT36" s="11" t="s">
        <v>8</v>
      </c>
    </row>
    <row r="37" spans="1:46" ht="15.1" customHeight="1">
      <c r="A37" s="8"/>
      <c r="B37" s="9"/>
      <c r="C37" s="8"/>
      <c r="D37" s="9"/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11" t="s">
        <v>8</v>
      </c>
    </row>
    <row r="38" spans="1:46" ht="15.1" customHeight="1">
      <c r="A38" s="8"/>
      <c r="B38" s="9"/>
      <c r="C38" s="8"/>
      <c r="D38" s="9"/>
      <c r="E38" s="8">
        <v>6</v>
      </c>
      <c r="F38" s="8">
        <v>3</v>
      </c>
      <c r="G38" s="8">
        <v>13</v>
      </c>
      <c r="H38" s="8">
        <v>6</v>
      </c>
      <c r="I38" s="8">
        <v>7</v>
      </c>
      <c r="J38" s="8">
        <v>5</v>
      </c>
      <c r="K38" s="8">
        <v>7</v>
      </c>
      <c r="L38" s="8">
        <v>4</v>
      </c>
      <c r="M38" s="8">
        <v>7</v>
      </c>
      <c r="N38" s="8">
        <v>0</v>
      </c>
      <c r="O38" s="8">
        <v>6</v>
      </c>
      <c r="P38" s="8">
        <v>4</v>
      </c>
      <c r="Q38" s="8">
        <v>7</v>
      </c>
      <c r="R38" s="8">
        <v>8</v>
      </c>
      <c r="S38" s="8">
        <v>6</v>
      </c>
      <c r="T38" s="8">
        <v>3</v>
      </c>
      <c r="U38" s="8">
        <v>12.5</v>
      </c>
      <c r="V38" s="8">
        <v>7</v>
      </c>
      <c r="W38" s="8">
        <v>7</v>
      </c>
      <c r="X38" s="8">
        <v>3.5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11" t="s">
        <v>8</v>
      </c>
    </row>
    <row r="39" spans="1:46" ht="15.1" customHeight="1">
      <c r="A39" s="8">
        <v>12</v>
      </c>
      <c r="B39" s="9" t="s">
        <v>88</v>
      </c>
      <c r="C39" s="8" t="s">
        <v>89</v>
      </c>
      <c r="D39" s="9" t="s">
        <v>66</v>
      </c>
      <c r="E39" s="8" t="s">
        <v>54</v>
      </c>
      <c r="F39" s="8" t="s">
        <v>54</v>
      </c>
      <c r="G39" s="10" t="s">
        <v>67</v>
      </c>
      <c r="H39" s="8" t="s">
        <v>54</v>
      </c>
      <c r="I39" s="8" t="s">
        <v>54</v>
      </c>
      <c r="J39" s="8" t="s">
        <v>54</v>
      </c>
      <c r="K39" s="8" t="s">
        <v>54</v>
      </c>
      <c r="L39" s="8" t="s">
        <v>54</v>
      </c>
      <c r="M39" s="8" t="s">
        <v>54</v>
      </c>
      <c r="N39" s="10" t="s">
        <v>67</v>
      </c>
      <c r="O39" s="8" t="s">
        <v>54</v>
      </c>
      <c r="P39" s="8" t="s">
        <v>54</v>
      </c>
      <c r="Q39" s="8" t="s">
        <v>54</v>
      </c>
      <c r="R39" s="8" t="s">
        <v>54</v>
      </c>
      <c r="S39" s="8" t="s">
        <v>54</v>
      </c>
      <c r="T39" s="8" t="s">
        <v>54</v>
      </c>
      <c r="U39" s="10" t="s">
        <v>67</v>
      </c>
      <c r="V39" s="8" t="s">
        <v>54</v>
      </c>
      <c r="W39" s="8" t="s">
        <v>54</v>
      </c>
      <c r="X39" s="8" t="s">
        <v>54</v>
      </c>
      <c r="Y39" s="8" t="s">
        <v>54</v>
      </c>
      <c r="Z39" s="8" t="s">
        <v>54</v>
      </c>
      <c r="AA39" s="8" t="s">
        <v>54</v>
      </c>
      <c r="AB39" s="10" t="s">
        <v>67</v>
      </c>
      <c r="AC39" s="8" t="s">
        <v>54</v>
      </c>
      <c r="AD39" s="8" t="s">
        <v>54</v>
      </c>
      <c r="AE39" s="8" t="s">
        <v>54</v>
      </c>
      <c r="AF39" s="8" t="s">
        <v>54</v>
      </c>
      <c r="AG39" s="8" t="s">
        <v>54</v>
      </c>
      <c r="AH39" s="8" t="s">
        <v>54</v>
      </c>
      <c r="AI39" s="10" t="s">
        <v>67</v>
      </c>
      <c r="AJ39" s="8">
        <f>COUNTIF($E$39:$AI$39,"P")</f>
        <v>26</v>
      </c>
      <c r="AK39" s="8">
        <f>COUNTIF($E$39:$AI$39,"A")</f>
        <v>0</v>
      </c>
      <c r="AL39" s="8">
        <f>SUM($E$40:$AI$40)</f>
        <v>0</v>
      </c>
      <c r="AM39" s="8">
        <f>SUM($E$41:$AI$41)</f>
        <v>58</v>
      </c>
      <c r="AN39" s="8">
        <f>AL39+AM39</f>
        <v>58</v>
      </c>
      <c r="AO39" s="8">
        <f>COUNTIF($E$39:$AI$39,"CL")</f>
        <v>0</v>
      </c>
      <c r="AP39" s="8">
        <f>COUNTIF($E$39:$AI$39,"SL")</f>
        <v>0</v>
      </c>
      <c r="AQ39" s="8">
        <f>COUNTIF($E$39:$AI$39,"EL")</f>
        <v>0</v>
      </c>
      <c r="AR39" s="8">
        <f>COUNTIF($E$39:$AI$39,"H")</f>
        <v>0</v>
      </c>
      <c r="AS39" s="8"/>
      <c r="AT39" s="11" t="s">
        <v>9</v>
      </c>
    </row>
    <row r="40" spans="1:46" ht="15.1" customHeight="1">
      <c r="A40" s="8"/>
      <c r="B40" s="9"/>
      <c r="C40" s="8"/>
      <c r="D40" s="9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11" t="s">
        <v>9</v>
      </c>
    </row>
    <row r="41" spans="1:46" ht="15.1" customHeight="1">
      <c r="A41" s="8"/>
      <c r="B41" s="9"/>
      <c r="C41" s="8"/>
      <c r="D41" s="9"/>
      <c r="E41" s="8">
        <v>0</v>
      </c>
      <c r="F41" s="8">
        <v>0</v>
      </c>
      <c r="G41" s="8">
        <v>9</v>
      </c>
      <c r="H41" s="8">
        <v>0</v>
      </c>
      <c r="I41" s="8">
        <v>3</v>
      </c>
      <c r="J41" s="8">
        <v>3</v>
      </c>
      <c r="K41" s="8">
        <v>2</v>
      </c>
      <c r="L41" s="8">
        <v>3</v>
      </c>
      <c r="M41" s="8">
        <v>3</v>
      </c>
      <c r="N41" s="8">
        <v>13</v>
      </c>
      <c r="O41" s="8">
        <v>1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0</v>
      </c>
      <c r="V41" s="8">
        <v>3</v>
      </c>
      <c r="W41" s="8">
        <v>1</v>
      </c>
      <c r="X41" s="8">
        <v>3</v>
      </c>
      <c r="Y41" s="8">
        <v>1</v>
      </c>
      <c r="Z41" s="8">
        <v>1</v>
      </c>
      <c r="AA41" s="8">
        <v>1</v>
      </c>
      <c r="AB41" s="8">
        <v>0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8">
        <v>1</v>
      </c>
      <c r="AI41" s="8">
        <v>0</v>
      </c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11" t="s">
        <v>9</v>
      </c>
    </row>
    <row r="42" spans="1:46" ht="15.1" customHeight="1">
      <c r="A42" s="8">
        <v>13</v>
      </c>
      <c r="B42" s="9" t="s">
        <v>90</v>
      </c>
      <c r="C42" s="8" t="s">
        <v>91</v>
      </c>
      <c r="D42" s="9" t="s">
        <v>66</v>
      </c>
      <c r="E42" s="8" t="s">
        <v>54</v>
      </c>
      <c r="F42" s="8" t="s">
        <v>54</v>
      </c>
      <c r="G42" s="10" t="s">
        <v>67</v>
      </c>
      <c r="H42" s="8" t="s">
        <v>54</v>
      </c>
      <c r="I42" s="12" t="s">
        <v>55</v>
      </c>
      <c r="J42" s="12" t="s">
        <v>55</v>
      </c>
      <c r="K42" s="12" t="s">
        <v>55</v>
      </c>
      <c r="L42" s="12" t="s">
        <v>55</v>
      </c>
      <c r="M42" s="12" t="s">
        <v>55</v>
      </c>
      <c r="N42" s="10" t="s">
        <v>67</v>
      </c>
      <c r="O42" s="8" t="s">
        <v>54</v>
      </c>
      <c r="P42" s="8" t="s">
        <v>54</v>
      </c>
      <c r="Q42" s="8" t="s">
        <v>54</v>
      </c>
      <c r="R42" s="8" t="s">
        <v>54</v>
      </c>
      <c r="S42" s="8" t="s">
        <v>54</v>
      </c>
      <c r="T42" s="8" t="s">
        <v>54</v>
      </c>
      <c r="U42" s="10" t="s">
        <v>67</v>
      </c>
      <c r="V42" s="8" t="s">
        <v>54</v>
      </c>
      <c r="W42" s="8" t="s">
        <v>54</v>
      </c>
      <c r="X42" s="8" t="s">
        <v>54</v>
      </c>
      <c r="Y42" s="8" t="s">
        <v>54</v>
      </c>
      <c r="Z42" s="8" t="s">
        <v>54</v>
      </c>
      <c r="AA42" s="8" t="s">
        <v>54</v>
      </c>
      <c r="AB42" s="10" t="s">
        <v>67</v>
      </c>
      <c r="AC42" s="8" t="s">
        <v>54</v>
      </c>
      <c r="AD42" s="8" t="s">
        <v>54</v>
      </c>
      <c r="AE42" s="8" t="s">
        <v>54</v>
      </c>
      <c r="AF42" s="8" t="s">
        <v>54</v>
      </c>
      <c r="AG42" s="8" t="s">
        <v>54</v>
      </c>
      <c r="AH42" s="8" t="s">
        <v>54</v>
      </c>
      <c r="AI42" s="10" t="s">
        <v>67</v>
      </c>
      <c r="AJ42" s="8">
        <f>COUNTIF($E$42:$AI$42,"P")</f>
        <v>21</v>
      </c>
      <c r="AK42" s="8">
        <f>COUNTIF($E$42:$AI$42,"A")</f>
        <v>5</v>
      </c>
      <c r="AL42" s="8">
        <f>SUM($E$43:$AI$43)</f>
        <v>0</v>
      </c>
      <c r="AM42" s="8">
        <f>SUM($E$44:$AI$44)</f>
        <v>17</v>
      </c>
      <c r="AN42" s="8">
        <f>AL42+AM42</f>
        <v>17</v>
      </c>
      <c r="AO42" s="8">
        <f>COUNTIF($E$42:$AI$42,"CL")</f>
        <v>0</v>
      </c>
      <c r="AP42" s="8">
        <f>COUNTIF($E$42:$AI$42,"SL")</f>
        <v>0</v>
      </c>
      <c r="AQ42" s="8">
        <f>COUNTIF($E$42:$AI$42,"EL")</f>
        <v>0</v>
      </c>
      <c r="AR42" s="8">
        <f>COUNTIF($E$42:$AI$42,"H")</f>
        <v>0</v>
      </c>
      <c r="AS42" s="8"/>
      <c r="AT42" s="11" t="s">
        <v>9</v>
      </c>
    </row>
    <row r="43" spans="1:46" ht="15.1" customHeight="1">
      <c r="A43" s="8"/>
      <c r="B43" s="9"/>
      <c r="C43" s="8"/>
      <c r="D43" s="9"/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11" t="s">
        <v>9</v>
      </c>
    </row>
    <row r="44" spans="1:46" ht="15.1" customHeight="1">
      <c r="A44" s="8"/>
      <c r="B44" s="9"/>
      <c r="C44" s="8"/>
      <c r="D44" s="9"/>
      <c r="E44" s="8">
        <v>1</v>
      </c>
      <c r="F44" s="8">
        <v>1</v>
      </c>
      <c r="G44" s="8">
        <v>0</v>
      </c>
      <c r="H44" s="8">
        <v>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0</v>
      </c>
      <c r="V44" s="8">
        <v>1</v>
      </c>
      <c r="W44" s="8">
        <v>1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1</v>
      </c>
      <c r="AD44" s="8">
        <v>1</v>
      </c>
      <c r="AE44" s="8">
        <v>1</v>
      </c>
      <c r="AF44" s="8">
        <v>1</v>
      </c>
      <c r="AG44" s="8">
        <v>1</v>
      </c>
      <c r="AH44" s="8">
        <v>1</v>
      </c>
      <c r="AI44" s="8">
        <v>0</v>
      </c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11" t="s">
        <v>9</v>
      </c>
    </row>
    <row r="45" spans="1:46" ht="15.1" customHeight="1">
      <c r="A45" s="8">
        <v>14</v>
      </c>
      <c r="B45" s="9" t="s">
        <v>92</v>
      </c>
      <c r="C45" s="8" t="s">
        <v>93</v>
      </c>
      <c r="D45" s="9" t="s">
        <v>66</v>
      </c>
      <c r="E45" s="8" t="s">
        <v>54</v>
      </c>
      <c r="F45" s="8" t="s">
        <v>54</v>
      </c>
      <c r="G45" s="10" t="s">
        <v>67</v>
      </c>
      <c r="H45" s="8" t="s">
        <v>54</v>
      </c>
      <c r="I45" s="8" t="s">
        <v>54</v>
      </c>
      <c r="J45" s="8" t="s">
        <v>54</v>
      </c>
      <c r="K45" s="8" t="s">
        <v>54</v>
      </c>
      <c r="L45" s="8" t="s">
        <v>54</v>
      </c>
      <c r="M45" s="8" t="s">
        <v>54</v>
      </c>
      <c r="N45" s="10" t="s">
        <v>67</v>
      </c>
      <c r="O45" s="8" t="s">
        <v>54</v>
      </c>
      <c r="P45" s="8" t="s">
        <v>54</v>
      </c>
      <c r="Q45" s="8" t="s">
        <v>54</v>
      </c>
      <c r="R45" s="8" t="s">
        <v>54</v>
      </c>
      <c r="S45" s="8" t="s">
        <v>54</v>
      </c>
      <c r="T45" s="8" t="s">
        <v>54</v>
      </c>
      <c r="U45" s="10" t="s">
        <v>67</v>
      </c>
      <c r="V45" s="8" t="s">
        <v>54</v>
      </c>
      <c r="W45" s="8" t="s">
        <v>54</v>
      </c>
      <c r="X45" s="8" t="s">
        <v>54</v>
      </c>
      <c r="Y45" s="8" t="s">
        <v>54</v>
      </c>
      <c r="Z45" s="8" t="s">
        <v>54</v>
      </c>
      <c r="AA45" s="8" t="s">
        <v>54</v>
      </c>
      <c r="AB45" s="10" t="s">
        <v>67</v>
      </c>
      <c r="AC45" s="8" t="s">
        <v>54</v>
      </c>
      <c r="AD45" s="8" t="s">
        <v>54</v>
      </c>
      <c r="AE45" s="8" t="s">
        <v>54</v>
      </c>
      <c r="AF45" s="8" t="s">
        <v>54</v>
      </c>
      <c r="AG45" s="8" t="s">
        <v>54</v>
      </c>
      <c r="AH45" s="8" t="s">
        <v>54</v>
      </c>
      <c r="AI45" s="10" t="s">
        <v>67</v>
      </c>
      <c r="AJ45" s="8">
        <f>COUNTIF($E$45:$AI$45,"P")</f>
        <v>26</v>
      </c>
      <c r="AK45" s="8">
        <f>COUNTIF($E$45:$AI$45,"A")</f>
        <v>0</v>
      </c>
      <c r="AL45" s="8">
        <f>SUM($E$46:$AI$46)</f>
        <v>0</v>
      </c>
      <c r="AM45" s="8">
        <f>SUM($E$47:$AI$47)</f>
        <v>65.5</v>
      </c>
      <c r="AN45" s="8">
        <f>AL45+AM45</f>
        <v>65.5</v>
      </c>
      <c r="AO45" s="8">
        <f>COUNTIF($E$45:$AI$45,"CL")</f>
        <v>0</v>
      </c>
      <c r="AP45" s="8">
        <f>COUNTIF($E$45:$AI$45,"SL")</f>
        <v>0</v>
      </c>
      <c r="AQ45" s="8">
        <f>COUNTIF($E$45:$AI$45,"EL")</f>
        <v>0</v>
      </c>
      <c r="AR45" s="8">
        <f>COUNTIF($E$45:$AI$45,"H")</f>
        <v>0</v>
      </c>
      <c r="AS45" s="8"/>
      <c r="AT45" s="11" t="s">
        <v>9</v>
      </c>
    </row>
    <row r="46" spans="1:46" ht="15.1" customHeight="1">
      <c r="A46" s="8"/>
      <c r="B46" s="9"/>
      <c r="C46" s="8"/>
      <c r="D46" s="9"/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11" t="s">
        <v>9</v>
      </c>
    </row>
    <row r="47" spans="1:46" ht="15.1" customHeight="1">
      <c r="A47" s="8"/>
      <c r="B47" s="9"/>
      <c r="C47" s="8"/>
      <c r="D47" s="9"/>
      <c r="E47" s="8">
        <v>3</v>
      </c>
      <c r="F47" s="8">
        <v>3</v>
      </c>
      <c r="G47" s="8">
        <v>13</v>
      </c>
      <c r="H47" s="8">
        <v>1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8">
        <v>12</v>
      </c>
      <c r="O47" s="8">
        <v>1</v>
      </c>
      <c r="P47" s="8">
        <v>5</v>
      </c>
      <c r="Q47" s="8">
        <v>3</v>
      </c>
      <c r="R47" s="8">
        <v>3</v>
      </c>
      <c r="S47" s="8">
        <v>3</v>
      </c>
      <c r="T47" s="8">
        <v>2.5</v>
      </c>
      <c r="U47" s="8">
        <v>0</v>
      </c>
      <c r="V47" s="8">
        <v>1</v>
      </c>
      <c r="W47" s="8">
        <v>1</v>
      </c>
      <c r="X47" s="8">
        <v>1</v>
      </c>
      <c r="Y47" s="8">
        <v>1</v>
      </c>
      <c r="Z47" s="8">
        <v>0</v>
      </c>
      <c r="AA47" s="8">
        <v>1</v>
      </c>
      <c r="AB47" s="8">
        <v>0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0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11" t="s">
        <v>9</v>
      </c>
    </row>
    <row r="48" spans="1:46" ht="15.1" customHeight="1">
      <c r="A48" s="8">
        <v>15</v>
      </c>
      <c r="B48" s="9" t="s">
        <v>94</v>
      </c>
      <c r="C48" s="8" t="s">
        <v>95</v>
      </c>
      <c r="D48" s="9" t="s">
        <v>66</v>
      </c>
      <c r="E48" s="8" t="s">
        <v>54</v>
      </c>
      <c r="F48" s="8" t="s">
        <v>54</v>
      </c>
      <c r="G48" s="10" t="s">
        <v>67</v>
      </c>
      <c r="H48" s="8" t="s">
        <v>54</v>
      </c>
      <c r="I48" s="8" t="s">
        <v>54</v>
      </c>
      <c r="J48" s="8" t="s">
        <v>54</v>
      </c>
      <c r="K48" s="8" t="s">
        <v>54</v>
      </c>
      <c r="L48" s="8" t="s">
        <v>54</v>
      </c>
      <c r="M48" s="8" t="s">
        <v>54</v>
      </c>
      <c r="N48" s="10" t="s">
        <v>67</v>
      </c>
      <c r="O48" s="8" t="s">
        <v>54</v>
      </c>
      <c r="P48" s="8" t="s">
        <v>54</v>
      </c>
      <c r="Q48" s="8" t="s">
        <v>54</v>
      </c>
      <c r="R48" s="8" t="s">
        <v>54</v>
      </c>
      <c r="S48" s="8" t="s">
        <v>54</v>
      </c>
      <c r="T48" s="8" t="s">
        <v>54</v>
      </c>
      <c r="U48" s="10" t="s">
        <v>67</v>
      </c>
      <c r="V48" s="8" t="s">
        <v>54</v>
      </c>
      <c r="W48" s="8" t="s">
        <v>54</v>
      </c>
      <c r="X48" s="8" t="s">
        <v>54</v>
      </c>
      <c r="Y48" s="8" t="s">
        <v>54</v>
      </c>
      <c r="Z48" s="8" t="s">
        <v>54</v>
      </c>
      <c r="AA48" s="8" t="s">
        <v>54</v>
      </c>
      <c r="AB48" s="10" t="s">
        <v>67</v>
      </c>
      <c r="AC48" s="8" t="s">
        <v>54</v>
      </c>
      <c r="AD48" s="8" t="s">
        <v>54</v>
      </c>
      <c r="AE48" s="8" t="s">
        <v>54</v>
      </c>
      <c r="AF48" s="8" t="s">
        <v>54</v>
      </c>
      <c r="AG48" s="8" t="s">
        <v>54</v>
      </c>
      <c r="AH48" s="8" t="s">
        <v>54</v>
      </c>
      <c r="AI48" s="10" t="s">
        <v>67</v>
      </c>
      <c r="AJ48" s="8">
        <f>COUNTIF($E$48:$AI$48,"P")</f>
        <v>26</v>
      </c>
      <c r="AK48" s="8">
        <f>COUNTIF($E$48:$AI$48,"A")</f>
        <v>0</v>
      </c>
      <c r="AL48" s="8">
        <f>SUM($E$49:$AI$49)</f>
        <v>0</v>
      </c>
      <c r="AM48" s="8">
        <f>SUM($E$50:$AI$50)</f>
        <v>82</v>
      </c>
      <c r="AN48" s="8">
        <f>AL48+AM48</f>
        <v>82</v>
      </c>
      <c r="AO48" s="8">
        <f>COUNTIF($E$48:$AI$48,"CL")</f>
        <v>0</v>
      </c>
      <c r="AP48" s="8">
        <f>COUNTIF($E$48:$AI$48,"SL")</f>
        <v>0</v>
      </c>
      <c r="AQ48" s="8">
        <f>COUNTIF($E$48:$AI$48,"EL")</f>
        <v>0</v>
      </c>
      <c r="AR48" s="8">
        <f>COUNTIF($E$48:$AI$48,"H")</f>
        <v>0</v>
      </c>
      <c r="AS48" s="8"/>
      <c r="AT48" s="11" t="s">
        <v>9</v>
      </c>
    </row>
    <row r="49" spans="1:46" ht="15.1" customHeight="1">
      <c r="A49" s="8"/>
      <c r="B49" s="9"/>
      <c r="C49" s="8"/>
      <c r="D49" s="9"/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11" t="s">
        <v>9</v>
      </c>
    </row>
    <row r="50" spans="1:46" ht="15.1" customHeight="1">
      <c r="A50" s="8"/>
      <c r="B50" s="9"/>
      <c r="C50" s="8"/>
      <c r="D50" s="9"/>
      <c r="E50" s="8">
        <v>1</v>
      </c>
      <c r="F50" s="8">
        <v>1</v>
      </c>
      <c r="G50" s="8">
        <v>8</v>
      </c>
      <c r="H50" s="8">
        <v>1</v>
      </c>
      <c r="I50" s="8">
        <v>1</v>
      </c>
      <c r="J50" s="8">
        <v>1</v>
      </c>
      <c r="K50" s="8">
        <v>1</v>
      </c>
      <c r="L50" s="8">
        <v>1</v>
      </c>
      <c r="M50" s="8">
        <v>1</v>
      </c>
      <c r="N50" s="8">
        <v>12</v>
      </c>
      <c r="O50" s="8">
        <v>1</v>
      </c>
      <c r="P50" s="8">
        <v>7</v>
      </c>
      <c r="Q50" s="8">
        <v>5</v>
      </c>
      <c r="R50" s="8">
        <v>7</v>
      </c>
      <c r="S50" s="8">
        <v>7</v>
      </c>
      <c r="T50" s="8">
        <v>3</v>
      </c>
      <c r="U50" s="8">
        <v>13</v>
      </c>
      <c r="V50" s="8">
        <v>1</v>
      </c>
      <c r="W50" s="8">
        <v>1</v>
      </c>
      <c r="X50" s="8">
        <v>1</v>
      </c>
      <c r="Y50" s="8">
        <v>1</v>
      </c>
      <c r="Z50" s="8">
        <v>0</v>
      </c>
      <c r="AA50" s="8">
        <v>1</v>
      </c>
      <c r="AB50" s="8">
        <v>0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0</v>
      </c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11" t="s">
        <v>9</v>
      </c>
    </row>
    <row r="51" spans="1:46" ht="15.1" customHeight="1">
      <c r="A51" s="8">
        <v>16</v>
      </c>
      <c r="B51" s="9" t="s">
        <v>96</v>
      </c>
      <c r="C51" s="8" t="s">
        <v>97</v>
      </c>
      <c r="D51" s="9" t="s">
        <v>66</v>
      </c>
      <c r="E51" s="8" t="s">
        <v>54</v>
      </c>
      <c r="F51" s="8" t="s">
        <v>54</v>
      </c>
      <c r="G51" s="10" t="s">
        <v>67</v>
      </c>
      <c r="H51" s="8" t="s">
        <v>54</v>
      </c>
      <c r="I51" s="8" t="s">
        <v>54</v>
      </c>
      <c r="J51" s="8" t="s">
        <v>54</v>
      </c>
      <c r="K51" s="8" t="s">
        <v>54</v>
      </c>
      <c r="L51" s="8" t="s">
        <v>54</v>
      </c>
      <c r="M51" s="8" t="s">
        <v>54</v>
      </c>
      <c r="N51" s="10" t="s">
        <v>67</v>
      </c>
      <c r="O51" s="8" t="s">
        <v>54</v>
      </c>
      <c r="P51" s="8" t="s">
        <v>54</v>
      </c>
      <c r="Q51" s="8" t="s">
        <v>54</v>
      </c>
      <c r="R51" s="8" t="s">
        <v>54</v>
      </c>
      <c r="S51" s="8" t="s">
        <v>54</v>
      </c>
      <c r="T51" s="8" t="s">
        <v>54</v>
      </c>
      <c r="U51" s="10" t="s">
        <v>67</v>
      </c>
      <c r="V51" s="8" t="s">
        <v>54</v>
      </c>
      <c r="W51" s="8" t="s">
        <v>54</v>
      </c>
      <c r="X51" s="8" t="s">
        <v>54</v>
      </c>
      <c r="Y51" s="8" t="s">
        <v>54</v>
      </c>
      <c r="Z51" s="8" t="s">
        <v>54</v>
      </c>
      <c r="AA51" s="8" t="s">
        <v>54</v>
      </c>
      <c r="AB51" s="10" t="s">
        <v>67</v>
      </c>
      <c r="AC51" s="8" t="s">
        <v>54</v>
      </c>
      <c r="AD51" s="8" t="s">
        <v>54</v>
      </c>
      <c r="AE51" s="8" t="s">
        <v>54</v>
      </c>
      <c r="AF51" s="8" t="s">
        <v>54</v>
      </c>
      <c r="AG51" s="8" t="s">
        <v>54</v>
      </c>
      <c r="AH51" s="8" t="s">
        <v>54</v>
      </c>
      <c r="AI51" s="10" t="s">
        <v>67</v>
      </c>
      <c r="AJ51" s="8">
        <f>COUNTIF($E$51:$AI$51,"P")</f>
        <v>26</v>
      </c>
      <c r="AK51" s="8">
        <f>COUNTIF($E$51:$AI$51,"A")</f>
        <v>0</v>
      </c>
      <c r="AL51" s="8">
        <f>SUM($E$52:$AI$52)</f>
        <v>0</v>
      </c>
      <c r="AM51" s="8">
        <f>SUM($E$53:$AI$53)</f>
        <v>58</v>
      </c>
      <c r="AN51" s="8">
        <f>AL51+AM51</f>
        <v>58</v>
      </c>
      <c r="AO51" s="8">
        <f>COUNTIF($E$51:$AI$51,"CL")</f>
        <v>0</v>
      </c>
      <c r="AP51" s="8">
        <f>COUNTIF($E$51:$AI$51,"SL")</f>
        <v>0</v>
      </c>
      <c r="AQ51" s="8">
        <f>COUNTIF($E$51:$AI$51,"EL")</f>
        <v>0</v>
      </c>
      <c r="AR51" s="8">
        <f>COUNTIF($E$51:$AI$51,"H")</f>
        <v>0</v>
      </c>
      <c r="AS51" s="8"/>
      <c r="AT51" s="11" t="s">
        <v>9</v>
      </c>
    </row>
    <row r="52" spans="1:46" ht="15.1" customHeight="1">
      <c r="A52" s="8"/>
      <c r="B52" s="9"/>
      <c r="C52" s="8"/>
      <c r="D52" s="9"/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11" t="s">
        <v>9</v>
      </c>
    </row>
    <row r="53" spans="1:46" ht="15.1" customHeight="1">
      <c r="A53" s="8"/>
      <c r="B53" s="9"/>
      <c r="C53" s="8"/>
      <c r="D53" s="9"/>
      <c r="E53" s="8">
        <v>3</v>
      </c>
      <c r="F53" s="8">
        <v>3</v>
      </c>
      <c r="G53" s="8">
        <v>13</v>
      </c>
      <c r="H53" s="8">
        <v>1</v>
      </c>
      <c r="I53" s="8">
        <v>1</v>
      </c>
      <c r="J53" s="8">
        <v>1</v>
      </c>
      <c r="K53" s="8">
        <v>1</v>
      </c>
      <c r="L53" s="8">
        <v>1</v>
      </c>
      <c r="M53" s="8">
        <v>1</v>
      </c>
      <c r="N53" s="8">
        <v>0</v>
      </c>
      <c r="O53" s="8">
        <v>5</v>
      </c>
      <c r="P53" s="8">
        <v>5</v>
      </c>
      <c r="Q53" s="8">
        <v>3</v>
      </c>
      <c r="R53" s="8">
        <v>3</v>
      </c>
      <c r="S53" s="8">
        <v>3</v>
      </c>
      <c r="T53" s="8">
        <v>3</v>
      </c>
      <c r="U53" s="8">
        <v>0</v>
      </c>
      <c r="V53" s="8">
        <v>1</v>
      </c>
      <c r="W53" s="8">
        <v>1</v>
      </c>
      <c r="X53" s="8">
        <v>1</v>
      </c>
      <c r="Y53" s="8">
        <v>1</v>
      </c>
      <c r="Z53" s="8">
        <v>0</v>
      </c>
      <c r="AA53" s="8">
        <v>1</v>
      </c>
      <c r="AB53" s="8">
        <v>0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8">
        <v>1</v>
      </c>
      <c r="AI53" s="8">
        <v>0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11" t="s">
        <v>9</v>
      </c>
    </row>
    <row r="54" spans="1:46" ht="15.1" customHeight="1">
      <c r="A54" s="8">
        <v>17</v>
      </c>
      <c r="B54" s="9" t="s">
        <v>98</v>
      </c>
      <c r="C54" s="8" t="s">
        <v>99</v>
      </c>
      <c r="D54" s="9" t="s">
        <v>66</v>
      </c>
      <c r="E54" s="12" t="s">
        <v>55</v>
      </c>
      <c r="F54" s="12" t="s">
        <v>55</v>
      </c>
      <c r="G54" s="10" t="s">
        <v>67</v>
      </c>
      <c r="H54" s="8" t="s">
        <v>54</v>
      </c>
      <c r="I54" s="8" t="s">
        <v>54</v>
      </c>
      <c r="J54" s="8" t="s">
        <v>54</v>
      </c>
      <c r="K54" s="8" t="s">
        <v>54</v>
      </c>
      <c r="L54" s="8" t="s">
        <v>54</v>
      </c>
      <c r="M54" s="8" t="s">
        <v>54</v>
      </c>
      <c r="N54" s="10" t="s">
        <v>67</v>
      </c>
      <c r="O54" s="8" t="s">
        <v>54</v>
      </c>
      <c r="P54" s="8" t="s">
        <v>54</v>
      </c>
      <c r="Q54" s="8" t="s">
        <v>54</v>
      </c>
      <c r="R54" s="8" t="s">
        <v>54</v>
      </c>
      <c r="S54" s="12" t="s">
        <v>55</v>
      </c>
      <c r="T54" s="12" t="s">
        <v>55</v>
      </c>
      <c r="U54" s="10" t="s">
        <v>67</v>
      </c>
      <c r="V54" s="8" t="s">
        <v>54</v>
      </c>
      <c r="W54" s="8" t="s">
        <v>54</v>
      </c>
      <c r="X54" s="8" t="s">
        <v>54</v>
      </c>
      <c r="Y54" s="12" t="s">
        <v>55</v>
      </c>
      <c r="Z54" s="12" t="s">
        <v>55</v>
      </c>
      <c r="AA54" s="12" t="s">
        <v>55</v>
      </c>
      <c r="AB54" s="10" t="s">
        <v>67</v>
      </c>
      <c r="AC54" s="8" t="s">
        <v>54</v>
      </c>
      <c r="AD54" s="8" t="s">
        <v>54</v>
      </c>
      <c r="AE54" s="8" t="s">
        <v>54</v>
      </c>
      <c r="AF54" s="8" t="s">
        <v>54</v>
      </c>
      <c r="AG54" s="8" t="s">
        <v>54</v>
      </c>
      <c r="AH54" s="12" t="s">
        <v>55</v>
      </c>
      <c r="AI54" s="10" t="s">
        <v>67</v>
      </c>
      <c r="AJ54" s="8">
        <f>COUNTIF($E$54:$AI$54,"P")</f>
        <v>18</v>
      </c>
      <c r="AK54" s="8">
        <f>COUNTIF($E$54:$AI$54,"A")</f>
        <v>8</v>
      </c>
      <c r="AL54" s="8">
        <f>SUM($E$55:$AI$55)</f>
        <v>0</v>
      </c>
      <c r="AM54" s="8">
        <f>SUM($E$56:$AI$56)</f>
        <v>22.5</v>
      </c>
      <c r="AN54" s="8">
        <f>AL54+AM54</f>
        <v>22.5</v>
      </c>
      <c r="AO54" s="8">
        <f>COUNTIF($E$54:$AI$54,"CL")</f>
        <v>0</v>
      </c>
      <c r="AP54" s="8">
        <f>COUNTIF($E$54:$AI$54,"SL")</f>
        <v>0</v>
      </c>
      <c r="AQ54" s="8">
        <f>COUNTIF($E$54:$AI$54,"EL")</f>
        <v>0</v>
      </c>
      <c r="AR54" s="8">
        <f>COUNTIF($E$54:$AI$54,"H")</f>
        <v>0</v>
      </c>
      <c r="AS54" s="8"/>
      <c r="AT54" s="11" t="s">
        <v>9</v>
      </c>
    </row>
    <row r="55" spans="1:46" ht="15.1" customHeight="1">
      <c r="A55" s="8"/>
      <c r="B55" s="9"/>
      <c r="C55" s="8"/>
      <c r="D55" s="9"/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11" t="s">
        <v>9</v>
      </c>
    </row>
    <row r="56" spans="1:46" ht="15.1" customHeight="1">
      <c r="A56" s="8"/>
      <c r="B56" s="9"/>
      <c r="C56" s="8"/>
      <c r="D56" s="9"/>
      <c r="E56" s="8">
        <v>0</v>
      </c>
      <c r="F56" s="8">
        <v>0</v>
      </c>
      <c r="G56" s="8">
        <v>0</v>
      </c>
      <c r="H56" s="8">
        <v>1</v>
      </c>
      <c r="I56" s="8">
        <v>1</v>
      </c>
      <c r="J56" s="8">
        <v>0</v>
      </c>
      <c r="K56" s="8">
        <v>1</v>
      </c>
      <c r="L56" s="8">
        <v>1</v>
      </c>
      <c r="M56" s="8">
        <v>1</v>
      </c>
      <c r="N56" s="8">
        <v>0</v>
      </c>
      <c r="O56" s="8">
        <v>1</v>
      </c>
      <c r="P56" s="8">
        <v>5</v>
      </c>
      <c r="Q56" s="8">
        <v>3</v>
      </c>
      <c r="R56" s="8">
        <v>3</v>
      </c>
      <c r="S56" s="8">
        <v>0</v>
      </c>
      <c r="T56" s="8">
        <v>0</v>
      </c>
      <c r="U56" s="8">
        <v>0</v>
      </c>
      <c r="V56" s="8">
        <v>1</v>
      </c>
      <c r="W56" s="8">
        <v>1</v>
      </c>
      <c r="X56" s="8">
        <v>1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0.5</v>
      </c>
      <c r="AE56" s="8">
        <v>1</v>
      </c>
      <c r="AF56" s="8">
        <v>1</v>
      </c>
      <c r="AG56" s="8">
        <v>0</v>
      </c>
      <c r="AH56" s="8">
        <v>0</v>
      </c>
      <c r="AI56" s="8">
        <v>0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11" t="s">
        <v>9</v>
      </c>
    </row>
    <row r="57" spans="1:46" ht="15.1" customHeight="1">
      <c r="A57" s="8">
        <v>18</v>
      </c>
      <c r="B57" s="9" t="s">
        <v>100</v>
      </c>
      <c r="C57" s="8" t="s">
        <v>101</v>
      </c>
      <c r="D57" s="9" t="s">
        <v>66</v>
      </c>
      <c r="E57" s="8" t="s">
        <v>54</v>
      </c>
      <c r="F57" s="8" t="s">
        <v>54</v>
      </c>
      <c r="G57" s="10" t="s">
        <v>67</v>
      </c>
      <c r="H57" s="8" t="s">
        <v>54</v>
      </c>
      <c r="I57" s="8" t="s">
        <v>54</v>
      </c>
      <c r="J57" s="8" t="s">
        <v>54</v>
      </c>
      <c r="K57" s="8" t="s">
        <v>54</v>
      </c>
      <c r="L57" s="8" t="s">
        <v>54</v>
      </c>
      <c r="M57" s="8" t="s">
        <v>54</v>
      </c>
      <c r="N57" s="10" t="s">
        <v>67</v>
      </c>
      <c r="O57" s="8" t="s">
        <v>54</v>
      </c>
      <c r="P57" s="8" t="s">
        <v>54</v>
      </c>
      <c r="Q57" s="8" t="s">
        <v>54</v>
      </c>
      <c r="R57" s="8" t="s">
        <v>54</v>
      </c>
      <c r="S57" s="8" t="s">
        <v>54</v>
      </c>
      <c r="T57" s="8" t="s">
        <v>54</v>
      </c>
      <c r="U57" s="10" t="s">
        <v>67</v>
      </c>
      <c r="V57" s="8" t="s">
        <v>54</v>
      </c>
      <c r="W57" s="8" t="s">
        <v>54</v>
      </c>
      <c r="X57" s="8" t="s">
        <v>54</v>
      </c>
      <c r="Y57" s="8" t="s">
        <v>54</v>
      </c>
      <c r="Z57" s="8" t="s">
        <v>54</v>
      </c>
      <c r="AA57" s="8" t="s">
        <v>54</v>
      </c>
      <c r="AB57" s="10" t="s">
        <v>67</v>
      </c>
      <c r="AC57" s="8" t="s">
        <v>54</v>
      </c>
      <c r="AD57" s="8" t="s">
        <v>54</v>
      </c>
      <c r="AE57" s="8" t="s">
        <v>54</v>
      </c>
      <c r="AF57" s="8" t="s">
        <v>54</v>
      </c>
      <c r="AG57" s="8" t="s">
        <v>54</v>
      </c>
      <c r="AH57" s="8" t="s">
        <v>54</v>
      </c>
      <c r="AI57" s="10" t="s">
        <v>67</v>
      </c>
      <c r="AJ57" s="8">
        <f>COUNTIF($E$57:$AI$57,"P")</f>
        <v>26</v>
      </c>
      <c r="AK57" s="8">
        <f>COUNTIF($E$57:$AI$57,"A")</f>
        <v>0</v>
      </c>
      <c r="AL57" s="8">
        <f>SUM($E$58:$AI$58)</f>
        <v>0</v>
      </c>
      <c r="AM57" s="8">
        <f>SUM($E$59:$AI$59)</f>
        <v>34.5</v>
      </c>
      <c r="AN57" s="8">
        <f>AL57+AM57</f>
        <v>34.5</v>
      </c>
      <c r="AO57" s="8">
        <f>COUNTIF($E$57:$AI$57,"CL")</f>
        <v>0</v>
      </c>
      <c r="AP57" s="8">
        <f>COUNTIF($E$57:$AI$57,"SL")</f>
        <v>0</v>
      </c>
      <c r="AQ57" s="8">
        <f>COUNTIF($E$57:$AI$57,"EL")</f>
        <v>0</v>
      </c>
      <c r="AR57" s="8">
        <f>COUNTIF($E$57:$AI$57,"H")</f>
        <v>0</v>
      </c>
      <c r="AS57" s="8"/>
      <c r="AT57" s="11" t="s">
        <v>9</v>
      </c>
    </row>
    <row r="58" spans="1:46" ht="15.1" customHeight="1">
      <c r="A58" s="8"/>
      <c r="B58" s="9"/>
      <c r="C58" s="8"/>
      <c r="D58" s="9"/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11" t="s">
        <v>9</v>
      </c>
    </row>
    <row r="59" spans="1:46" ht="15.1" customHeight="1">
      <c r="A59" s="8"/>
      <c r="B59" s="9"/>
      <c r="C59" s="8"/>
      <c r="D59" s="9"/>
      <c r="E59" s="8">
        <v>0</v>
      </c>
      <c r="F59" s="8">
        <v>0</v>
      </c>
      <c r="G59" s="8">
        <v>9</v>
      </c>
      <c r="H59" s="8">
        <v>0</v>
      </c>
      <c r="I59" s="8">
        <v>1</v>
      </c>
      <c r="J59" s="8">
        <v>3</v>
      </c>
      <c r="K59" s="8">
        <v>2</v>
      </c>
      <c r="L59" s="8">
        <v>3</v>
      </c>
      <c r="M59" s="8">
        <v>3</v>
      </c>
      <c r="N59" s="8">
        <v>0</v>
      </c>
      <c r="O59" s="8">
        <v>1</v>
      </c>
      <c r="P59" s="8">
        <v>1</v>
      </c>
      <c r="Q59" s="8">
        <v>1</v>
      </c>
      <c r="R59" s="8">
        <v>1</v>
      </c>
      <c r="S59" s="8">
        <v>1</v>
      </c>
      <c r="T59" s="8">
        <v>0.5</v>
      </c>
      <c r="U59" s="8">
        <v>0</v>
      </c>
      <c r="V59" s="8">
        <v>1</v>
      </c>
      <c r="W59" s="8">
        <v>3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8">
        <v>1</v>
      </c>
      <c r="AH59" s="8">
        <v>1</v>
      </c>
      <c r="AI59" s="8">
        <v>0</v>
      </c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11" t="s">
        <v>9</v>
      </c>
    </row>
    <row r="60" spans="1:46" ht="15.1" customHeight="1">
      <c r="A60" s="8">
        <v>19</v>
      </c>
      <c r="B60" s="9" t="s">
        <v>102</v>
      </c>
      <c r="C60" s="8" t="s">
        <v>103</v>
      </c>
      <c r="D60" s="9" t="s">
        <v>66</v>
      </c>
      <c r="E60" s="8" t="s">
        <v>54</v>
      </c>
      <c r="F60" s="8" t="s">
        <v>54</v>
      </c>
      <c r="G60" s="10" t="s">
        <v>67</v>
      </c>
      <c r="H60" s="8" t="s">
        <v>54</v>
      </c>
      <c r="I60" s="8" t="s">
        <v>54</v>
      </c>
      <c r="J60" s="8" t="s">
        <v>54</v>
      </c>
      <c r="K60" s="8" t="s">
        <v>54</v>
      </c>
      <c r="L60" s="8" t="s">
        <v>54</v>
      </c>
      <c r="M60" s="8" t="s">
        <v>54</v>
      </c>
      <c r="N60" s="10" t="s">
        <v>67</v>
      </c>
      <c r="O60" s="8" t="s">
        <v>54</v>
      </c>
      <c r="P60" s="8" t="s">
        <v>54</v>
      </c>
      <c r="Q60" s="8" t="s">
        <v>54</v>
      </c>
      <c r="R60" s="12" t="s">
        <v>55</v>
      </c>
      <c r="S60" s="8" t="s">
        <v>54</v>
      </c>
      <c r="T60" s="8" t="s">
        <v>54</v>
      </c>
      <c r="U60" s="10" t="s">
        <v>67</v>
      </c>
      <c r="V60" s="12" t="s">
        <v>55</v>
      </c>
      <c r="W60" s="8" t="s">
        <v>54</v>
      </c>
      <c r="X60" s="8" t="s">
        <v>54</v>
      </c>
      <c r="Y60" s="8" t="s">
        <v>54</v>
      </c>
      <c r="Z60" s="8" t="s">
        <v>54</v>
      </c>
      <c r="AA60" s="8" t="s">
        <v>54</v>
      </c>
      <c r="AB60" s="10" t="s">
        <v>67</v>
      </c>
      <c r="AC60" s="8" t="s">
        <v>54</v>
      </c>
      <c r="AD60" s="8" t="s">
        <v>54</v>
      </c>
      <c r="AE60" s="8" t="s">
        <v>54</v>
      </c>
      <c r="AF60" s="8" t="s">
        <v>54</v>
      </c>
      <c r="AG60" s="8" t="s">
        <v>54</v>
      </c>
      <c r="AH60" s="8" t="s">
        <v>54</v>
      </c>
      <c r="AI60" s="10" t="s">
        <v>67</v>
      </c>
      <c r="AJ60" s="8">
        <f>COUNTIF($E$60:$AI$60,"P")</f>
        <v>24</v>
      </c>
      <c r="AK60" s="8">
        <f>COUNTIF($E$60:$AI$60,"A")</f>
        <v>2</v>
      </c>
      <c r="AL60" s="8">
        <f>SUM($E$61:$AI$61)</f>
        <v>0</v>
      </c>
      <c r="AM60" s="8">
        <f>SUM($E$62:$AI$62)</f>
        <v>50</v>
      </c>
      <c r="AN60" s="8">
        <f>AL60+AM60</f>
        <v>50</v>
      </c>
      <c r="AO60" s="8">
        <f>COUNTIF($E$60:$AI$60,"CL")</f>
        <v>0</v>
      </c>
      <c r="AP60" s="8">
        <f>COUNTIF($E$60:$AI$60,"SL")</f>
        <v>0</v>
      </c>
      <c r="AQ60" s="8">
        <f>COUNTIF($E$60:$AI$60,"EL")</f>
        <v>0</v>
      </c>
      <c r="AR60" s="8">
        <f>COUNTIF($E$60:$AI$60,"H")</f>
        <v>0</v>
      </c>
      <c r="AS60" s="8"/>
      <c r="AT60" s="11" t="s">
        <v>9</v>
      </c>
    </row>
    <row r="61" spans="1:46" ht="15.1" customHeight="1">
      <c r="A61" s="8"/>
      <c r="B61" s="9"/>
      <c r="C61" s="8"/>
      <c r="D61" s="9"/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11" t="s">
        <v>9</v>
      </c>
    </row>
    <row r="62" spans="1:46" ht="15.1" customHeight="1">
      <c r="A62" s="8"/>
      <c r="B62" s="9"/>
      <c r="C62" s="8"/>
      <c r="D62" s="9"/>
      <c r="E62" s="8">
        <v>0</v>
      </c>
      <c r="F62" s="8">
        <v>0</v>
      </c>
      <c r="G62" s="8">
        <v>9</v>
      </c>
      <c r="H62" s="8">
        <v>0</v>
      </c>
      <c r="I62" s="8">
        <v>1</v>
      </c>
      <c r="J62" s="8">
        <v>3</v>
      </c>
      <c r="K62" s="8">
        <v>3</v>
      </c>
      <c r="L62" s="8">
        <v>3</v>
      </c>
      <c r="M62" s="8">
        <v>4</v>
      </c>
      <c r="N62" s="8">
        <v>12</v>
      </c>
      <c r="O62" s="8">
        <v>0</v>
      </c>
      <c r="P62" s="8">
        <v>1</v>
      </c>
      <c r="Q62" s="8">
        <v>1</v>
      </c>
      <c r="R62" s="8">
        <v>0</v>
      </c>
      <c r="S62" s="8">
        <v>1</v>
      </c>
      <c r="T62" s="8">
        <v>1</v>
      </c>
      <c r="U62" s="8">
        <v>0</v>
      </c>
      <c r="V62" s="8">
        <v>0</v>
      </c>
      <c r="W62" s="8">
        <v>1</v>
      </c>
      <c r="X62" s="8">
        <v>1</v>
      </c>
      <c r="Y62" s="8">
        <v>1</v>
      </c>
      <c r="Z62" s="8">
        <v>1</v>
      </c>
      <c r="AA62" s="8">
        <v>1</v>
      </c>
      <c r="AB62" s="8">
        <v>0</v>
      </c>
      <c r="AC62" s="8">
        <v>1</v>
      </c>
      <c r="AD62" s="8">
        <v>1</v>
      </c>
      <c r="AE62" s="8">
        <v>1</v>
      </c>
      <c r="AF62" s="8">
        <v>1</v>
      </c>
      <c r="AG62" s="8">
        <v>1</v>
      </c>
      <c r="AH62" s="8">
        <v>1</v>
      </c>
      <c r="AI62" s="8">
        <v>0</v>
      </c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11" t="s">
        <v>9</v>
      </c>
    </row>
    <row r="63" spans="1:46" ht="15.1" customHeight="1">
      <c r="A63" s="8">
        <v>20</v>
      </c>
      <c r="B63" s="9" t="s">
        <v>104</v>
      </c>
      <c r="C63" s="8" t="s">
        <v>105</v>
      </c>
      <c r="D63" s="9" t="s">
        <v>66</v>
      </c>
      <c r="E63" s="8" t="s">
        <v>59</v>
      </c>
      <c r="F63" s="8" t="s">
        <v>59</v>
      </c>
      <c r="G63" s="10" t="s">
        <v>67</v>
      </c>
      <c r="H63" s="8" t="s">
        <v>59</v>
      </c>
      <c r="I63" s="12" t="s">
        <v>55</v>
      </c>
      <c r="J63" s="8" t="s">
        <v>54</v>
      </c>
      <c r="K63" s="8" t="s">
        <v>54</v>
      </c>
      <c r="L63" s="8" t="s">
        <v>54</v>
      </c>
      <c r="M63" s="8" t="s">
        <v>54</v>
      </c>
      <c r="N63" s="10" t="s">
        <v>67</v>
      </c>
      <c r="O63" s="8" t="s">
        <v>54</v>
      </c>
      <c r="P63" s="8" t="s">
        <v>54</v>
      </c>
      <c r="Q63" s="8" t="s">
        <v>54</v>
      </c>
      <c r="R63" s="8" t="s">
        <v>54</v>
      </c>
      <c r="S63" s="8" t="s">
        <v>54</v>
      </c>
      <c r="T63" s="8" t="s">
        <v>54</v>
      </c>
      <c r="U63" s="10" t="s">
        <v>67</v>
      </c>
      <c r="V63" s="8" t="s">
        <v>54</v>
      </c>
      <c r="W63" s="8" t="s">
        <v>54</v>
      </c>
      <c r="X63" s="8" t="s">
        <v>54</v>
      </c>
      <c r="Y63" s="8" t="s">
        <v>54</v>
      </c>
      <c r="Z63" s="8" t="s">
        <v>54</v>
      </c>
      <c r="AA63" s="8" t="s">
        <v>54</v>
      </c>
      <c r="AB63" s="10" t="s">
        <v>67</v>
      </c>
      <c r="AC63" s="8" t="s">
        <v>54</v>
      </c>
      <c r="AD63" s="8" t="s">
        <v>54</v>
      </c>
      <c r="AE63" s="8" t="s">
        <v>54</v>
      </c>
      <c r="AF63" s="8" t="s">
        <v>54</v>
      </c>
      <c r="AG63" s="8" t="s">
        <v>54</v>
      </c>
      <c r="AH63" s="8" t="s">
        <v>54</v>
      </c>
      <c r="AI63" s="10" t="s">
        <v>67</v>
      </c>
      <c r="AJ63" s="8">
        <f>COUNTIF($E$63:$AI$63,"P")</f>
        <v>22</v>
      </c>
      <c r="AK63" s="8">
        <f>COUNTIF($E$63:$AI$63,"A")</f>
        <v>1</v>
      </c>
      <c r="AL63" s="8">
        <f>SUM($E$64:$AI$64)</f>
        <v>0</v>
      </c>
      <c r="AM63" s="8">
        <f>SUM($E$65:$AI$65)</f>
        <v>50.5</v>
      </c>
      <c r="AN63" s="8">
        <f>AL63+AM63</f>
        <v>50.5</v>
      </c>
      <c r="AO63" s="8">
        <f>COUNTIF($E$63:$AI$63,"CL")</f>
        <v>3</v>
      </c>
      <c r="AP63" s="8">
        <f>COUNTIF($E$63:$AI$63,"SL")</f>
        <v>0</v>
      </c>
      <c r="AQ63" s="8">
        <f>COUNTIF($E$63:$AI$63,"EL")</f>
        <v>0</v>
      </c>
      <c r="AR63" s="8">
        <f>COUNTIF($E$63:$AI$63,"H")</f>
        <v>0</v>
      </c>
      <c r="AS63" s="8"/>
      <c r="AT63" s="11" t="s">
        <v>9</v>
      </c>
    </row>
    <row r="64" spans="1:46" ht="15.1" customHeight="1">
      <c r="A64" s="8"/>
      <c r="B64" s="9"/>
      <c r="C64" s="8"/>
      <c r="D64" s="9"/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11" t="s">
        <v>9</v>
      </c>
    </row>
    <row r="65" spans="1:46" ht="15.1" customHeight="1">
      <c r="A65" s="8"/>
      <c r="B65" s="9"/>
      <c r="C65" s="8"/>
      <c r="D65" s="9"/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1</v>
      </c>
      <c r="K65" s="8">
        <v>1</v>
      </c>
      <c r="L65" s="8">
        <v>1</v>
      </c>
      <c r="M65" s="8">
        <v>1</v>
      </c>
      <c r="N65" s="8">
        <v>12</v>
      </c>
      <c r="O65" s="8">
        <v>0</v>
      </c>
      <c r="P65" s="8">
        <v>3</v>
      </c>
      <c r="Q65" s="8">
        <v>3</v>
      </c>
      <c r="R65" s="8">
        <v>4</v>
      </c>
      <c r="S65" s="8">
        <v>4</v>
      </c>
      <c r="T65" s="8">
        <v>1.5</v>
      </c>
      <c r="U65" s="8">
        <v>8</v>
      </c>
      <c r="V65" s="8">
        <v>1</v>
      </c>
      <c r="W65" s="8">
        <v>1</v>
      </c>
      <c r="X65" s="8">
        <v>1</v>
      </c>
      <c r="Y65" s="8">
        <v>1</v>
      </c>
      <c r="Z65" s="8">
        <v>0</v>
      </c>
      <c r="AA65" s="8">
        <v>1</v>
      </c>
      <c r="AB65" s="8">
        <v>0</v>
      </c>
      <c r="AC65" s="8">
        <v>1</v>
      </c>
      <c r="AD65" s="8">
        <v>1</v>
      </c>
      <c r="AE65" s="8">
        <v>1</v>
      </c>
      <c r="AF65" s="8">
        <v>1</v>
      </c>
      <c r="AG65" s="8">
        <v>1</v>
      </c>
      <c r="AH65" s="8">
        <v>1</v>
      </c>
      <c r="AI65" s="8">
        <v>0</v>
      </c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11" t="s">
        <v>9</v>
      </c>
    </row>
    <row r="66" spans="1:46" ht="15.1" customHeight="1">
      <c r="A66" s="8">
        <v>21</v>
      </c>
      <c r="B66" s="9" t="s">
        <v>106</v>
      </c>
      <c r="C66" s="8" t="s">
        <v>107</v>
      </c>
      <c r="D66" s="9" t="s">
        <v>66</v>
      </c>
      <c r="E66" s="8" t="s">
        <v>54</v>
      </c>
      <c r="F66" s="8" t="s">
        <v>54</v>
      </c>
      <c r="G66" s="10" t="s">
        <v>67</v>
      </c>
      <c r="H66" s="8" t="s">
        <v>54</v>
      </c>
      <c r="I66" s="8" t="s">
        <v>54</v>
      </c>
      <c r="J66" s="8" t="s">
        <v>54</v>
      </c>
      <c r="K66" s="8" t="s">
        <v>54</v>
      </c>
      <c r="L66" s="8" t="s">
        <v>54</v>
      </c>
      <c r="M66" s="8" t="s">
        <v>54</v>
      </c>
      <c r="N66" s="10" t="s">
        <v>67</v>
      </c>
      <c r="O66" s="12" t="s">
        <v>55</v>
      </c>
      <c r="P66" s="8" t="s">
        <v>54</v>
      </c>
      <c r="Q66" s="8" t="s">
        <v>54</v>
      </c>
      <c r="R66" s="12" t="s">
        <v>55</v>
      </c>
      <c r="S66" s="8" t="s">
        <v>54</v>
      </c>
      <c r="T66" s="8" t="s">
        <v>54</v>
      </c>
      <c r="U66" s="10" t="s">
        <v>67</v>
      </c>
      <c r="V66" s="8" t="s">
        <v>54</v>
      </c>
      <c r="W66" s="8" t="s">
        <v>54</v>
      </c>
      <c r="X66" s="8" t="s">
        <v>54</v>
      </c>
      <c r="Y66" s="8" t="s">
        <v>54</v>
      </c>
      <c r="Z66" s="8" t="s">
        <v>54</v>
      </c>
      <c r="AA66" s="8" t="s">
        <v>54</v>
      </c>
      <c r="AB66" s="10" t="s">
        <v>67</v>
      </c>
      <c r="AC66" s="8" t="s">
        <v>54</v>
      </c>
      <c r="AD66" s="8" t="s">
        <v>54</v>
      </c>
      <c r="AE66" s="8" t="s">
        <v>54</v>
      </c>
      <c r="AF66" s="8" t="s">
        <v>54</v>
      </c>
      <c r="AG66" s="12" t="s">
        <v>55</v>
      </c>
      <c r="AH66" s="8" t="s">
        <v>54</v>
      </c>
      <c r="AI66" s="10" t="s">
        <v>67</v>
      </c>
      <c r="AJ66" s="8">
        <f>COUNTIF($E$66:$AI$66,"P")</f>
        <v>23</v>
      </c>
      <c r="AK66" s="8">
        <f>COUNTIF($E$66:$AI$66,"A")</f>
        <v>3</v>
      </c>
      <c r="AL66" s="8">
        <f>SUM($E$67:$AI$67)</f>
        <v>0</v>
      </c>
      <c r="AM66" s="8">
        <f>SUM($E$68:$AI$68)</f>
        <v>51</v>
      </c>
      <c r="AN66" s="8">
        <f>AL66+AM66</f>
        <v>51</v>
      </c>
      <c r="AO66" s="8">
        <f>COUNTIF($E$66:$AI$66,"CL")</f>
        <v>0</v>
      </c>
      <c r="AP66" s="8">
        <f>COUNTIF($E$66:$AI$66,"SL")</f>
        <v>0</v>
      </c>
      <c r="AQ66" s="8">
        <f>COUNTIF($E$66:$AI$66,"EL")</f>
        <v>0</v>
      </c>
      <c r="AR66" s="8">
        <f>COUNTIF($E$66:$AI$66,"H")</f>
        <v>0</v>
      </c>
      <c r="AS66" s="8"/>
      <c r="AT66" s="11" t="s">
        <v>9</v>
      </c>
    </row>
    <row r="67" spans="1:46" ht="15.1" customHeight="1">
      <c r="A67" s="8"/>
      <c r="B67" s="9"/>
      <c r="C67" s="8"/>
      <c r="D67" s="9"/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11" t="s">
        <v>9</v>
      </c>
    </row>
    <row r="68" spans="1:46" ht="15.1" customHeight="1">
      <c r="A68" s="8"/>
      <c r="B68" s="9"/>
      <c r="C68" s="8"/>
      <c r="D68" s="9"/>
      <c r="E68" s="8">
        <v>3</v>
      </c>
      <c r="F68" s="8">
        <v>1</v>
      </c>
      <c r="G68" s="8">
        <v>7.5</v>
      </c>
      <c r="H68" s="8">
        <v>1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8">
        <v>12</v>
      </c>
      <c r="O68" s="8">
        <v>0</v>
      </c>
      <c r="P68" s="8">
        <v>3</v>
      </c>
      <c r="Q68" s="8">
        <v>2</v>
      </c>
      <c r="R68" s="8">
        <v>0</v>
      </c>
      <c r="S68" s="8">
        <v>3</v>
      </c>
      <c r="T68" s="8">
        <v>1</v>
      </c>
      <c r="U68" s="8">
        <v>4.5</v>
      </c>
      <c r="V68" s="8">
        <v>0</v>
      </c>
      <c r="W68" s="8">
        <v>1</v>
      </c>
      <c r="X68" s="8">
        <v>1</v>
      </c>
      <c r="Y68" s="8">
        <v>1</v>
      </c>
      <c r="Z68" s="8">
        <v>0</v>
      </c>
      <c r="AA68" s="8">
        <v>1</v>
      </c>
      <c r="AB68" s="8">
        <v>0</v>
      </c>
      <c r="AC68" s="8">
        <v>0</v>
      </c>
      <c r="AD68" s="8">
        <v>1</v>
      </c>
      <c r="AE68" s="8">
        <v>1</v>
      </c>
      <c r="AF68" s="8">
        <v>1</v>
      </c>
      <c r="AG68" s="8">
        <v>0</v>
      </c>
      <c r="AH68" s="8">
        <v>1</v>
      </c>
      <c r="AI68" s="8">
        <v>0</v>
      </c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11" t="s">
        <v>9</v>
      </c>
    </row>
    <row r="69" spans="1:46" ht="15.1" customHeight="1">
      <c r="A69" s="8">
        <v>22</v>
      </c>
      <c r="B69" s="9" t="s">
        <v>108</v>
      </c>
      <c r="C69" s="8" t="s">
        <v>109</v>
      </c>
      <c r="D69" s="9" t="s">
        <v>66</v>
      </c>
      <c r="E69" s="8" t="s">
        <v>54</v>
      </c>
      <c r="F69" s="8" t="s">
        <v>54</v>
      </c>
      <c r="G69" s="10" t="s">
        <v>67</v>
      </c>
      <c r="H69" s="8" t="s">
        <v>54</v>
      </c>
      <c r="I69" s="8" t="s">
        <v>54</v>
      </c>
      <c r="J69" s="8" t="s">
        <v>54</v>
      </c>
      <c r="K69" s="8" t="s">
        <v>54</v>
      </c>
      <c r="L69" s="8" t="s">
        <v>54</v>
      </c>
      <c r="M69" s="8" t="s">
        <v>54</v>
      </c>
      <c r="N69" s="10" t="s">
        <v>67</v>
      </c>
      <c r="O69" s="8" t="s">
        <v>54</v>
      </c>
      <c r="P69" s="8" t="s">
        <v>54</v>
      </c>
      <c r="Q69" s="8" t="s">
        <v>54</v>
      </c>
      <c r="R69" s="8" t="s">
        <v>54</v>
      </c>
      <c r="S69" s="8" t="s">
        <v>54</v>
      </c>
      <c r="T69" s="8" t="s">
        <v>54</v>
      </c>
      <c r="U69" s="10" t="s">
        <v>67</v>
      </c>
      <c r="V69" s="8" t="s">
        <v>54</v>
      </c>
      <c r="W69" s="8" t="s">
        <v>54</v>
      </c>
      <c r="X69" s="8" t="s">
        <v>54</v>
      </c>
      <c r="Y69" s="8" t="s">
        <v>54</v>
      </c>
      <c r="Z69" s="8" t="s">
        <v>54</v>
      </c>
      <c r="AA69" s="8" t="s">
        <v>54</v>
      </c>
      <c r="AB69" s="10" t="s">
        <v>67</v>
      </c>
      <c r="AC69" s="8" t="s">
        <v>54</v>
      </c>
      <c r="AD69" s="8" t="s">
        <v>54</v>
      </c>
      <c r="AE69" s="8" t="s">
        <v>54</v>
      </c>
      <c r="AF69" s="8" t="s">
        <v>54</v>
      </c>
      <c r="AG69" s="8" t="s">
        <v>54</v>
      </c>
      <c r="AH69" s="8" t="s">
        <v>54</v>
      </c>
      <c r="AI69" s="10" t="s">
        <v>67</v>
      </c>
      <c r="AJ69" s="8">
        <f>COUNTIF($E$69:$AI$69,"P")</f>
        <v>26</v>
      </c>
      <c r="AK69" s="8">
        <f>COUNTIF($E$69:$AI$69,"A")</f>
        <v>0</v>
      </c>
      <c r="AL69" s="8">
        <f>SUM($E$70:$AI$70)</f>
        <v>0</v>
      </c>
      <c r="AM69" s="8">
        <f>SUM($E$71:$AI$71)</f>
        <v>50</v>
      </c>
      <c r="AN69" s="8">
        <f>AL69+AM69</f>
        <v>50</v>
      </c>
      <c r="AO69" s="8">
        <f>COUNTIF($E$69:$AI$69,"CL")</f>
        <v>0</v>
      </c>
      <c r="AP69" s="8">
        <f>COUNTIF($E$69:$AI$69,"SL")</f>
        <v>0</v>
      </c>
      <c r="AQ69" s="8">
        <f>COUNTIF($E$69:$AI$69,"EL")</f>
        <v>0</v>
      </c>
      <c r="AR69" s="8">
        <f>COUNTIF($E$69:$AI$69,"H")</f>
        <v>0</v>
      </c>
      <c r="AS69" s="8"/>
      <c r="AT69" s="11" t="s">
        <v>9</v>
      </c>
    </row>
    <row r="70" spans="1:46" ht="15.1" customHeight="1">
      <c r="A70" s="8"/>
      <c r="B70" s="9"/>
      <c r="C70" s="8"/>
      <c r="D70" s="9"/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11" t="s">
        <v>9</v>
      </c>
    </row>
    <row r="71" spans="1:46" ht="15.1" customHeight="1">
      <c r="A71" s="8"/>
      <c r="B71" s="9"/>
      <c r="C71" s="8"/>
      <c r="D71" s="9"/>
      <c r="E71" s="8">
        <v>1</v>
      </c>
      <c r="F71" s="8">
        <v>0</v>
      </c>
      <c r="G71" s="8">
        <v>0</v>
      </c>
      <c r="H71" s="8">
        <v>3</v>
      </c>
      <c r="I71" s="8">
        <v>3</v>
      </c>
      <c r="J71" s="8">
        <v>1</v>
      </c>
      <c r="K71" s="8">
        <v>1</v>
      </c>
      <c r="L71" s="8">
        <v>3</v>
      </c>
      <c r="M71" s="8">
        <v>3</v>
      </c>
      <c r="N71" s="8">
        <v>15</v>
      </c>
      <c r="O71" s="8">
        <v>1</v>
      </c>
      <c r="P71" s="8">
        <v>1</v>
      </c>
      <c r="Q71" s="8">
        <v>1</v>
      </c>
      <c r="R71" s="8">
        <v>1</v>
      </c>
      <c r="S71" s="8">
        <v>1</v>
      </c>
      <c r="T71" s="8">
        <v>1</v>
      </c>
      <c r="U71" s="8">
        <v>0</v>
      </c>
      <c r="V71" s="8">
        <v>5</v>
      </c>
      <c r="W71" s="8">
        <v>3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1</v>
      </c>
      <c r="AD71" s="8">
        <v>1</v>
      </c>
      <c r="AE71" s="8">
        <v>1</v>
      </c>
      <c r="AF71" s="8">
        <v>1</v>
      </c>
      <c r="AG71" s="8">
        <v>1</v>
      </c>
      <c r="AH71" s="8">
        <v>1</v>
      </c>
      <c r="AI71" s="8">
        <v>0</v>
      </c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11" t="s">
        <v>9</v>
      </c>
    </row>
    <row r="72" spans="1:46" ht="15.1" customHeight="1">
      <c r="A72" s="8">
        <v>23</v>
      </c>
      <c r="B72" s="9" t="s">
        <v>110</v>
      </c>
      <c r="C72" s="8" t="s">
        <v>111</v>
      </c>
      <c r="D72" s="9" t="s">
        <v>66</v>
      </c>
      <c r="E72" s="8" t="s">
        <v>54</v>
      </c>
      <c r="F72" s="8"/>
      <c r="G72" s="10"/>
      <c r="H72" s="8"/>
      <c r="I72" s="8"/>
      <c r="J72" s="8"/>
      <c r="K72" s="8"/>
      <c r="L72" s="8"/>
      <c r="M72" s="8"/>
      <c r="N72" s="10"/>
      <c r="O72" s="8"/>
      <c r="P72" s="8"/>
      <c r="Q72" s="8"/>
      <c r="R72" s="8"/>
      <c r="S72" s="8"/>
      <c r="T72" s="8"/>
      <c r="U72" s="10"/>
      <c r="V72" s="8"/>
      <c r="W72" s="8"/>
      <c r="X72" s="8"/>
      <c r="Y72" s="8"/>
      <c r="Z72" s="8"/>
      <c r="AA72" s="8"/>
      <c r="AB72" s="10"/>
      <c r="AC72" s="8"/>
      <c r="AD72" s="8"/>
      <c r="AE72" s="8"/>
      <c r="AF72" s="8"/>
      <c r="AG72" s="8"/>
      <c r="AH72" s="8"/>
      <c r="AI72" s="10"/>
      <c r="AJ72" s="8">
        <f>COUNTIF($E$72:$AI$72,"P")</f>
        <v>1</v>
      </c>
      <c r="AK72" s="8">
        <f>COUNTIF($E$72:$AI$72,"A")</f>
        <v>0</v>
      </c>
      <c r="AL72" s="8">
        <f>SUM($E$73:$AI$73)</f>
        <v>0</v>
      </c>
      <c r="AM72" s="8">
        <f>SUM($E$74:$AI$74)</f>
        <v>0</v>
      </c>
      <c r="AN72" s="8">
        <f>AL72+AM72</f>
        <v>0</v>
      </c>
      <c r="AO72" s="8">
        <f>COUNTIF($E$72:$AI$72,"CL")</f>
        <v>0</v>
      </c>
      <c r="AP72" s="8">
        <f>COUNTIF($E$72:$AI$72,"SL")</f>
        <v>0</v>
      </c>
      <c r="AQ72" s="8">
        <f>COUNTIF($E$72:$AI$72,"EL")</f>
        <v>0</v>
      </c>
      <c r="AR72" s="8">
        <f>COUNTIF($E$72:$AI$72,"H")</f>
        <v>0</v>
      </c>
      <c r="AS72" s="8"/>
      <c r="AT72" s="11" t="s">
        <v>9</v>
      </c>
    </row>
    <row r="73" spans="1:46" ht="15.1" customHeight="1">
      <c r="A73" s="8"/>
      <c r="B73" s="9"/>
      <c r="C73" s="8"/>
      <c r="D73" s="9"/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11" t="s">
        <v>9</v>
      </c>
    </row>
    <row r="74" spans="1:46" ht="15.1" customHeight="1">
      <c r="A74" s="8"/>
      <c r="B74" s="9"/>
      <c r="C74" s="8"/>
      <c r="D74" s="9"/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11" t="s">
        <v>9</v>
      </c>
    </row>
    <row r="75" spans="1:46" ht="15.1" customHeight="1">
      <c r="A75" s="8">
        <v>24</v>
      </c>
      <c r="B75" s="9" t="s">
        <v>112</v>
      </c>
      <c r="C75" s="8" t="s">
        <v>113</v>
      </c>
      <c r="D75" s="9" t="s">
        <v>66</v>
      </c>
      <c r="E75" s="8" t="s">
        <v>54</v>
      </c>
      <c r="F75" s="8" t="s">
        <v>54</v>
      </c>
      <c r="G75" s="10" t="s">
        <v>67</v>
      </c>
      <c r="H75" s="8" t="s">
        <v>54</v>
      </c>
      <c r="I75" s="8" t="s">
        <v>54</v>
      </c>
      <c r="J75" s="8" t="s">
        <v>54</v>
      </c>
      <c r="K75" s="8" t="s">
        <v>54</v>
      </c>
      <c r="L75" s="8" t="s">
        <v>54</v>
      </c>
      <c r="M75" s="8" t="s">
        <v>54</v>
      </c>
      <c r="N75" s="10" t="s">
        <v>67</v>
      </c>
      <c r="O75" s="8" t="s">
        <v>54</v>
      </c>
      <c r="P75" s="8" t="s">
        <v>54</v>
      </c>
      <c r="Q75" s="8" t="s">
        <v>54</v>
      </c>
      <c r="R75" s="8" t="s">
        <v>54</v>
      </c>
      <c r="S75" s="8" t="s">
        <v>54</v>
      </c>
      <c r="T75" s="8" t="s">
        <v>54</v>
      </c>
      <c r="U75" s="10" t="s">
        <v>67</v>
      </c>
      <c r="V75" s="8" t="s">
        <v>54</v>
      </c>
      <c r="W75" s="8" t="s">
        <v>54</v>
      </c>
      <c r="X75" s="8" t="s">
        <v>54</v>
      </c>
      <c r="Y75" s="8" t="s">
        <v>54</v>
      </c>
      <c r="Z75" s="8" t="s">
        <v>54</v>
      </c>
      <c r="AA75" s="8" t="s">
        <v>54</v>
      </c>
      <c r="AB75" s="10" t="s">
        <v>67</v>
      </c>
      <c r="AC75" s="8" t="s">
        <v>54</v>
      </c>
      <c r="AD75" s="8" t="s">
        <v>54</v>
      </c>
      <c r="AE75" s="8" t="s">
        <v>54</v>
      </c>
      <c r="AF75" s="8" t="s">
        <v>54</v>
      </c>
      <c r="AG75" s="8" t="s">
        <v>54</v>
      </c>
      <c r="AH75" s="8" t="s">
        <v>54</v>
      </c>
      <c r="AI75" s="10" t="s">
        <v>67</v>
      </c>
      <c r="AJ75" s="8">
        <f>COUNTIF($E$75:$AI$75,"P")</f>
        <v>26</v>
      </c>
      <c r="AK75" s="8">
        <f>COUNTIF($E$75:$AI$75,"A")</f>
        <v>0</v>
      </c>
      <c r="AL75" s="8">
        <f>SUM($E$76:$AI$76)</f>
        <v>0</v>
      </c>
      <c r="AM75" s="8">
        <f>SUM($E$77:$AI$77)</f>
        <v>50</v>
      </c>
      <c r="AN75" s="8">
        <f>AL75+AM75</f>
        <v>50</v>
      </c>
      <c r="AO75" s="8">
        <f>COUNTIF($E$75:$AI$75,"CL")</f>
        <v>0</v>
      </c>
      <c r="AP75" s="8">
        <f>COUNTIF($E$75:$AI$75,"SL")</f>
        <v>0</v>
      </c>
      <c r="AQ75" s="8">
        <f>COUNTIF($E$75:$AI$75,"EL")</f>
        <v>0</v>
      </c>
      <c r="AR75" s="8">
        <f>COUNTIF($E$75:$AI$75,"H")</f>
        <v>0</v>
      </c>
      <c r="AS75" s="8"/>
      <c r="AT75" s="11" t="s">
        <v>9</v>
      </c>
    </row>
    <row r="76" spans="1:46" ht="15.1" customHeight="1">
      <c r="A76" s="8"/>
      <c r="B76" s="9"/>
      <c r="C76" s="8"/>
      <c r="D76" s="9"/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11" t="s">
        <v>9</v>
      </c>
    </row>
    <row r="77" spans="1:46" ht="15.1" customHeight="1">
      <c r="A77" s="8"/>
      <c r="B77" s="9"/>
      <c r="C77" s="8"/>
      <c r="D77" s="9"/>
      <c r="E77" s="8">
        <v>0</v>
      </c>
      <c r="F77" s="8">
        <v>0</v>
      </c>
      <c r="G77" s="8">
        <v>0</v>
      </c>
      <c r="H77" s="8">
        <v>1</v>
      </c>
      <c r="I77" s="8">
        <v>1</v>
      </c>
      <c r="J77" s="8">
        <v>5</v>
      </c>
      <c r="K77" s="8">
        <v>1</v>
      </c>
      <c r="L77" s="8">
        <v>3</v>
      </c>
      <c r="M77" s="8">
        <v>3</v>
      </c>
      <c r="N77" s="8">
        <v>15</v>
      </c>
      <c r="O77" s="8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0</v>
      </c>
      <c r="V77" s="8">
        <v>1</v>
      </c>
      <c r="W77" s="8">
        <v>3</v>
      </c>
      <c r="X77" s="8">
        <v>3</v>
      </c>
      <c r="Y77" s="8">
        <v>1</v>
      </c>
      <c r="Z77" s="8">
        <v>0</v>
      </c>
      <c r="AA77" s="8">
        <v>1</v>
      </c>
      <c r="AB77" s="8">
        <v>0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8">
        <v>1</v>
      </c>
      <c r="AI77" s="8">
        <v>0</v>
      </c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11" t="s">
        <v>9</v>
      </c>
    </row>
    <row r="78" spans="1:46" ht="15.1" customHeight="1">
      <c r="A78" s="8">
        <v>25</v>
      </c>
      <c r="B78" s="9" t="s">
        <v>114</v>
      </c>
      <c r="C78" s="8" t="s">
        <v>115</v>
      </c>
      <c r="D78" s="9" t="s">
        <v>66</v>
      </c>
      <c r="E78" s="8" t="s">
        <v>54</v>
      </c>
      <c r="F78" s="8" t="s">
        <v>54</v>
      </c>
      <c r="G78" s="10" t="s">
        <v>67</v>
      </c>
      <c r="H78" s="8" t="s">
        <v>54</v>
      </c>
      <c r="I78" s="8" t="s">
        <v>54</v>
      </c>
      <c r="J78" s="8" t="s">
        <v>54</v>
      </c>
      <c r="K78" s="8" t="s">
        <v>54</v>
      </c>
      <c r="L78" s="8" t="s">
        <v>54</v>
      </c>
      <c r="M78" s="8" t="s">
        <v>54</v>
      </c>
      <c r="N78" s="10" t="s">
        <v>67</v>
      </c>
      <c r="O78" s="8" t="s">
        <v>54</v>
      </c>
      <c r="P78" s="8" t="s">
        <v>54</v>
      </c>
      <c r="Q78" s="8" t="s">
        <v>54</v>
      </c>
      <c r="R78" s="8" t="s">
        <v>54</v>
      </c>
      <c r="S78" s="8" t="s">
        <v>54</v>
      </c>
      <c r="T78" s="8" t="s">
        <v>54</v>
      </c>
      <c r="U78" s="10" t="s">
        <v>67</v>
      </c>
      <c r="V78" s="8" t="s">
        <v>54</v>
      </c>
      <c r="W78" s="8" t="s">
        <v>54</v>
      </c>
      <c r="X78" s="8" t="s">
        <v>54</v>
      </c>
      <c r="Y78" s="8" t="s">
        <v>54</v>
      </c>
      <c r="Z78" s="8" t="s">
        <v>54</v>
      </c>
      <c r="AA78" s="8" t="s">
        <v>54</v>
      </c>
      <c r="AB78" s="10" t="s">
        <v>67</v>
      </c>
      <c r="AC78" s="8" t="s">
        <v>54</v>
      </c>
      <c r="AD78" s="8" t="s">
        <v>54</v>
      </c>
      <c r="AE78" s="8" t="s">
        <v>54</v>
      </c>
      <c r="AF78" s="12" t="s">
        <v>55</v>
      </c>
      <c r="AG78" s="8" t="s">
        <v>54</v>
      </c>
      <c r="AH78" s="8" t="s">
        <v>54</v>
      </c>
      <c r="AI78" s="10" t="s">
        <v>67</v>
      </c>
      <c r="AJ78" s="8">
        <f>COUNTIF($E$78:$AI$78,"P")</f>
        <v>25</v>
      </c>
      <c r="AK78" s="8">
        <f>COUNTIF($E$78:$AI$78,"A")</f>
        <v>1</v>
      </c>
      <c r="AL78" s="8">
        <f>SUM($E$79:$AI$79)</f>
        <v>0</v>
      </c>
      <c r="AM78" s="8">
        <f>SUM($E$80:$AI$80)</f>
        <v>49</v>
      </c>
      <c r="AN78" s="8">
        <f>AL78+AM78</f>
        <v>49</v>
      </c>
      <c r="AO78" s="8">
        <f>COUNTIF($E$78:$AI$78,"CL")</f>
        <v>0</v>
      </c>
      <c r="AP78" s="8">
        <f>COUNTIF($E$78:$AI$78,"SL")</f>
        <v>0</v>
      </c>
      <c r="AQ78" s="8">
        <f>COUNTIF($E$78:$AI$78,"EL")</f>
        <v>0</v>
      </c>
      <c r="AR78" s="8">
        <f>COUNTIF($E$78:$AI$78,"H")</f>
        <v>0</v>
      </c>
      <c r="AS78" s="8"/>
      <c r="AT78" s="11" t="s">
        <v>9</v>
      </c>
    </row>
    <row r="79" spans="1:46" ht="15.1" customHeight="1">
      <c r="A79" s="8"/>
      <c r="B79" s="9"/>
      <c r="C79" s="8"/>
      <c r="D79" s="9"/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11" t="s">
        <v>9</v>
      </c>
    </row>
    <row r="80" spans="1:46" ht="15.1" customHeight="1">
      <c r="A80" s="8"/>
      <c r="B80" s="9"/>
      <c r="C80" s="8"/>
      <c r="D80" s="9"/>
      <c r="E80" s="8">
        <v>3</v>
      </c>
      <c r="F80" s="8">
        <v>1</v>
      </c>
      <c r="G80" s="8">
        <v>0</v>
      </c>
      <c r="H80" s="8">
        <v>1</v>
      </c>
      <c r="I80" s="8">
        <v>1</v>
      </c>
      <c r="J80" s="8">
        <v>1</v>
      </c>
      <c r="K80" s="8">
        <v>1</v>
      </c>
      <c r="L80" s="8">
        <v>1</v>
      </c>
      <c r="M80" s="8">
        <v>1</v>
      </c>
      <c r="N80" s="8">
        <v>12</v>
      </c>
      <c r="O80" s="8">
        <v>1</v>
      </c>
      <c r="P80" s="8">
        <v>5</v>
      </c>
      <c r="Q80" s="8">
        <v>3</v>
      </c>
      <c r="R80" s="8">
        <v>5</v>
      </c>
      <c r="S80" s="8">
        <v>0</v>
      </c>
      <c r="T80" s="8">
        <v>3</v>
      </c>
      <c r="U80" s="8">
        <v>0</v>
      </c>
      <c r="V80" s="8">
        <v>1</v>
      </c>
      <c r="W80" s="8">
        <v>1</v>
      </c>
      <c r="X80" s="8">
        <v>1</v>
      </c>
      <c r="Y80" s="8">
        <v>1</v>
      </c>
      <c r="Z80" s="8">
        <v>0</v>
      </c>
      <c r="AA80" s="8">
        <v>1</v>
      </c>
      <c r="AB80" s="8">
        <v>0</v>
      </c>
      <c r="AC80" s="8">
        <v>1</v>
      </c>
      <c r="AD80" s="8">
        <v>1</v>
      </c>
      <c r="AE80" s="8">
        <v>1</v>
      </c>
      <c r="AF80" s="8">
        <v>0</v>
      </c>
      <c r="AG80" s="8">
        <v>1</v>
      </c>
      <c r="AH80" s="8">
        <v>1</v>
      </c>
      <c r="AI80" s="8">
        <v>0</v>
      </c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11" t="s">
        <v>9</v>
      </c>
    </row>
    <row r="81" spans="1:46" ht="15.1" customHeight="1">
      <c r="A81" s="8">
        <v>26</v>
      </c>
      <c r="B81" s="9" t="s">
        <v>116</v>
      </c>
      <c r="C81" s="8" t="s">
        <v>117</v>
      </c>
      <c r="D81" s="9" t="s">
        <v>66</v>
      </c>
      <c r="E81" s="8" t="s">
        <v>54</v>
      </c>
      <c r="F81" s="8" t="s">
        <v>54</v>
      </c>
      <c r="G81" s="10" t="s">
        <v>67</v>
      </c>
      <c r="H81" s="8" t="s">
        <v>54</v>
      </c>
      <c r="I81" s="8" t="s">
        <v>54</v>
      </c>
      <c r="J81" s="8" t="s">
        <v>54</v>
      </c>
      <c r="K81" s="8" t="s">
        <v>54</v>
      </c>
      <c r="L81" s="8" t="s">
        <v>54</v>
      </c>
      <c r="M81" s="8" t="s">
        <v>54</v>
      </c>
      <c r="N81" s="10" t="s">
        <v>67</v>
      </c>
      <c r="O81" s="8" t="s">
        <v>54</v>
      </c>
      <c r="P81" s="8" t="s">
        <v>54</v>
      </c>
      <c r="Q81" s="8" t="s">
        <v>54</v>
      </c>
      <c r="R81" s="8" t="s">
        <v>54</v>
      </c>
      <c r="S81" s="8" t="s">
        <v>54</v>
      </c>
      <c r="T81" s="8" t="s">
        <v>54</v>
      </c>
      <c r="U81" s="10" t="s">
        <v>67</v>
      </c>
      <c r="V81" s="8" t="s">
        <v>54</v>
      </c>
      <c r="W81" s="8" t="s">
        <v>54</v>
      </c>
      <c r="X81" s="8" t="s">
        <v>54</v>
      </c>
      <c r="Y81" s="8" t="s">
        <v>54</v>
      </c>
      <c r="Z81" s="8" t="s">
        <v>54</v>
      </c>
      <c r="AA81" s="8" t="s">
        <v>54</v>
      </c>
      <c r="AB81" s="10" t="s">
        <v>67</v>
      </c>
      <c r="AC81" s="8" t="s">
        <v>54</v>
      </c>
      <c r="AD81" s="8" t="s">
        <v>54</v>
      </c>
      <c r="AE81" s="8" t="s">
        <v>54</v>
      </c>
      <c r="AF81" s="8" t="s">
        <v>54</v>
      </c>
      <c r="AG81" s="8" t="s">
        <v>54</v>
      </c>
      <c r="AH81" s="8" t="s">
        <v>54</v>
      </c>
      <c r="AI81" s="10" t="s">
        <v>67</v>
      </c>
      <c r="AJ81" s="8">
        <f>COUNTIF($E$81:$AI$81,"P")</f>
        <v>26</v>
      </c>
      <c r="AK81" s="8">
        <f>COUNTIF($E$81:$AI$81,"A")</f>
        <v>0</v>
      </c>
      <c r="AL81" s="8">
        <f>SUM($E$82:$AI$82)</f>
        <v>0</v>
      </c>
      <c r="AM81" s="8">
        <f>SUM($E$83:$AI$83)</f>
        <v>65</v>
      </c>
      <c r="AN81" s="8">
        <f>AL81+AM81</f>
        <v>65</v>
      </c>
      <c r="AO81" s="8">
        <f>COUNTIF($E$81:$AI$81,"CL")</f>
        <v>0</v>
      </c>
      <c r="AP81" s="8">
        <f>COUNTIF($E$81:$AI$81,"SL")</f>
        <v>0</v>
      </c>
      <c r="AQ81" s="8">
        <f>COUNTIF($E$81:$AI$81,"EL")</f>
        <v>0</v>
      </c>
      <c r="AR81" s="8">
        <f>COUNTIF($E$81:$AI$81,"H")</f>
        <v>0</v>
      </c>
      <c r="AS81" s="8"/>
      <c r="AT81" s="11" t="s">
        <v>9</v>
      </c>
    </row>
    <row r="82" spans="1:46" ht="15.1" customHeight="1">
      <c r="A82" s="8"/>
      <c r="B82" s="9"/>
      <c r="C82" s="8"/>
      <c r="D82" s="9"/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11" t="s">
        <v>9</v>
      </c>
    </row>
    <row r="83" spans="1:46" ht="15.1" customHeight="1">
      <c r="A83" s="8"/>
      <c r="B83" s="9"/>
      <c r="C83" s="8"/>
      <c r="D83" s="9"/>
      <c r="E83" s="8">
        <v>3</v>
      </c>
      <c r="F83" s="8">
        <v>3</v>
      </c>
      <c r="G83" s="8">
        <v>13</v>
      </c>
      <c r="H83" s="8">
        <v>1</v>
      </c>
      <c r="I83" s="8">
        <v>1</v>
      </c>
      <c r="J83" s="8">
        <v>1</v>
      </c>
      <c r="K83" s="8">
        <v>0</v>
      </c>
      <c r="L83" s="8">
        <v>1</v>
      </c>
      <c r="M83" s="8">
        <v>1</v>
      </c>
      <c r="N83" s="8">
        <v>12</v>
      </c>
      <c r="O83" s="8">
        <v>1</v>
      </c>
      <c r="P83" s="8">
        <v>5</v>
      </c>
      <c r="Q83" s="8">
        <v>3</v>
      </c>
      <c r="R83" s="8">
        <v>3</v>
      </c>
      <c r="S83" s="8">
        <v>3</v>
      </c>
      <c r="T83" s="8">
        <v>3</v>
      </c>
      <c r="U83" s="8">
        <v>0</v>
      </c>
      <c r="V83" s="8">
        <v>1</v>
      </c>
      <c r="W83" s="8">
        <v>1</v>
      </c>
      <c r="X83" s="8">
        <v>1</v>
      </c>
      <c r="Y83" s="8">
        <v>1</v>
      </c>
      <c r="Z83" s="8">
        <v>0</v>
      </c>
      <c r="AA83" s="8">
        <v>1</v>
      </c>
      <c r="AB83" s="8">
        <v>0</v>
      </c>
      <c r="AC83" s="8">
        <v>1</v>
      </c>
      <c r="AD83" s="8">
        <v>1</v>
      </c>
      <c r="AE83" s="8">
        <v>1</v>
      </c>
      <c r="AF83" s="8">
        <v>1</v>
      </c>
      <c r="AG83" s="8">
        <v>1</v>
      </c>
      <c r="AH83" s="8">
        <v>1</v>
      </c>
      <c r="AI83" s="8">
        <v>0</v>
      </c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11" t="s">
        <v>9</v>
      </c>
    </row>
    <row r="84" spans="1:46" ht="15.1" customHeight="1">
      <c r="A84" s="8">
        <v>27</v>
      </c>
      <c r="B84" s="9" t="s">
        <v>118</v>
      </c>
      <c r="C84" s="8" t="s">
        <v>119</v>
      </c>
      <c r="D84" s="9" t="s">
        <v>66</v>
      </c>
      <c r="E84" s="8" t="s">
        <v>54</v>
      </c>
      <c r="F84" s="8" t="s">
        <v>54</v>
      </c>
      <c r="G84" s="10" t="s">
        <v>67</v>
      </c>
      <c r="H84" s="8" t="s">
        <v>54</v>
      </c>
      <c r="I84" s="8" t="s">
        <v>54</v>
      </c>
      <c r="J84" s="8" t="s">
        <v>54</v>
      </c>
      <c r="K84" s="8" t="s">
        <v>54</v>
      </c>
      <c r="L84" s="8" t="s">
        <v>54</v>
      </c>
      <c r="M84" s="8" t="s">
        <v>54</v>
      </c>
      <c r="N84" s="10" t="s">
        <v>67</v>
      </c>
      <c r="O84" s="8" t="s">
        <v>54</v>
      </c>
      <c r="P84" s="8" t="s">
        <v>54</v>
      </c>
      <c r="Q84" s="8" t="s">
        <v>54</v>
      </c>
      <c r="R84" s="8" t="s">
        <v>54</v>
      </c>
      <c r="S84" s="8" t="s">
        <v>54</v>
      </c>
      <c r="T84" s="8" t="s">
        <v>54</v>
      </c>
      <c r="U84" s="10" t="s">
        <v>67</v>
      </c>
      <c r="V84" s="8" t="s">
        <v>54</v>
      </c>
      <c r="W84" s="8" t="s">
        <v>54</v>
      </c>
      <c r="X84" s="8" t="s">
        <v>54</v>
      </c>
      <c r="Y84" s="8" t="s">
        <v>54</v>
      </c>
      <c r="Z84" s="8" t="s">
        <v>54</v>
      </c>
      <c r="AA84" s="8" t="s">
        <v>54</v>
      </c>
      <c r="AB84" s="10" t="s">
        <v>67</v>
      </c>
      <c r="AC84" s="8" t="s">
        <v>54</v>
      </c>
      <c r="AD84" s="8" t="s">
        <v>54</v>
      </c>
      <c r="AE84" s="8" t="s">
        <v>54</v>
      </c>
      <c r="AF84" s="8" t="s">
        <v>54</v>
      </c>
      <c r="AG84" s="8" t="s">
        <v>54</v>
      </c>
      <c r="AH84" s="8" t="s">
        <v>54</v>
      </c>
      <c r="AI84" s="10" t="s">
        <v>67</v>
      </c>
      <c r="AJ84" s="8">
        <f>COUNTIF($E$84:$AI$84,"P")</f>
        <v>26</v>
      </c>
      <c r="AK84" s="8">
        <f>COUNTIF($E$84:$AI$84,"A")</f>
        <v>0</v>
      </c>
      <c r="AL84" s="8">
        <f>SUM($E$85:$AI$85)</f>
        <v>0</v>
      </c>
      <c r="AM84" s="8">
        <f>SUM($E$86:$AI$86)</f>
        <v>74</v>
      </c>
      <c r="AN84" s="8">
        <f>AL84+AM84</f>
        <v>74</v>
      </c>
      <c r="AO84" s="8">
        <f>COUNTIF($E$84:$AI$84,"CL")</f>
        <v>0</v>
      </c>
      <c r="AP84" s="8">
        <f>COUNTIF($E$84:$AI$84,"SL")</f>
        <v>0</v>
      </c>
      <c r="AQ84" s="8">
        <f>COUNTIF($E$84:$AI$84,"EL")</f>
        <v>0</v>
      </c>
      <c r="AR84" s="8">
        <f>COUNTIF($E$84:$AI$84,"H")</f>
        <v>0</v>
      </c>
      <c r="AS84" s="8"/>
      <c r="AT84" s="11" t="s">
        <v>9</v>
      </c>
    </row>
    <row r="85" spans="1:46" ht="15.1" customHeight="1">
      <c r="A85" s="8"/>
      <c r="B85" s="9"/>
      <c r="C85" s="8"/>
      <c r="D85" s="9"/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11" t="s">
        <v>9</v>
      </c>
    </row>
    <row r="86" spans="1:46" ht="15.1" customHeight="1">
      <c r="A86" s="8"/>
      <c r="B86" s="9"/>
      <c r="C86" s="8"/>
      <c r="D86" s="9"/>
      <c r="E86" s="8">
        <v>0</v>
      </c>
      <c r="F86" s="8">
        <v>0</v>
      </c>
      <c r="G86" s="8">
        <v>0</v>
      </c>
      <c r="H86" s="8">
        <v>0</v>
      </c>
      <c r="I86" s="8">
        <v>7</v>
      </c>
      <c r="J86" s="8">
        <v>7</v>
      </c>
      <c r="K86" s="8">
        <v>7</v>
      </c>
      <c r="L86" s="8">
        <v>7</v>
      </c>
      <c r="M86" s="8">
        <v>5</v>
      </c>
      <c r="N86" s="8">
        <v>17</v>
      </c>
      <c r="O86" s="8">
        <v>1</v>
      </c>
      <c r="P86" s="8">
        <v>1</v>
      </c>
      <c r="Q86" s="8">
        <v>1</v>
      </c>
      <c r="R86" s="8">
        <v>1</v>
      </c>
      <c r="S86" s="8">
        <v>1</v>
      </c>
      <c r="T86" s="8">
        <v>0</v>
      </c>
      <c r="U86" s="8">
        <v>0</v>
      </c>
      <c r="V86" s="8">
        <v>5</v>
      </c>
      <c r="W86" s="8">
        <v>5</v>
      </c>
      <c r="X86" s="8">
        <v>1</v>
      </c>
      <c r="Y86" s="8">
        <v>1</v>
      </c>
      <c r="Z86" s="8">
        <v>1</v>
      </c>
      <c r="AA86" s="8">
        <v>0</v>
      </c>
      <c r="AB86" s="8">
        <v>0</v>
      </c>
      <c r="AC86" s="8">
        <v>1</v>
      </c>
      <c r="AD86" s="8">
        <v>1</v>
      </c>
      <c r="AE86" s="8">
        <v>1</v>
      </c>
      <c r="AF86" s="8">
        <v>1</v>
      </c>
      <c r="AG86" s="8">
        <v>1</v>
      </c>
      <c r="AH86" s="8">
        <v>1</v>
      </c>
      <c r="AI86" s="8">
        <v>0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11" t="s">
        <v>9</v>
      </c>
    </row>
    <row r="87" spans="1:46" ht="15.1" customHeight="1">
      <c r="A87" s="8">
        <v>28</v>
      </c>
      <c r="B87" s="9" t="s">
        <v>120</v>
      </c>
      <c r="C87" s="8" t="s">
        <v>121</v>
      </c>
      <c r="D87" s="9" t="s">
        <v>66</v>
      </c>
      <c r="E87" s="12" t="s">
        <v>55</v>
      </c>
      <c r="F87" s="12" t="s">
        <v>55</v>
      </c>
      <c r="G87" s="10" t="s">
        <v>67</v>
      </c>
      <c r="H87" s="8" t="s">
        <v>54</v>
      </c>
      <c r="I87" s="8" t="s">
        <v>54</v>
      </c>
      <c r="J87" s="8" t="s">
        <v>54</v>
      </c>
      <c r="K87" s="8" t="s">
        <v>54</v>
      </c>
      <c r="L87" s="8" t="s">
        <v>54</v>
      </c>
      <c r="M87" s="8" t="s">
        <v>54</v>
      </c>
      <c r="N87" s="10" t="s">
        <v>67</v>
      </c>
      <c r="O87" s="8" t="s">
        <v>54</v>
      </c>
      <c r="P87" s="12" t="s">
        <v>55</v>
      </c>
      <c r="Q87" s="8" t="s">
        <v>54</v>
      </c>
      <c r="R87" s="8" t="s">
        <v>54</v>
      </c>
      <c r="S87" s="8" t="s">
        <v>54</v>
      </c>
      <c r="T87" s="8" t="s">
        <v>54</v>
      </c>
      <c r="U87" s="10" t="s">
        <v>67</v>
      </c>
      <c r="V87" s="8" t="s">
        <v>54</v>
      </c>
      <c r="W87" s="8" t="s">
        <v>54</v>
      </c>
      <c r="X87" s="8" t="s">
        <v>54</v>
      </c>
      <c r="Y87" s="12" t="s">
        <v>55</v>
      </c>
      <c r="Z87" s="12" t="s">
        <v>55</v>
      </c>
      <c r="AA87" s="12" t="s">
        <v>55</v>
      </c>
      <c r="AB87" s="10" t="s">
        <v>67</v>
      </c>
      <c r="AC87" s="12" t="s">
        <v>55</v>
      </c>
      <c r="AD87" s="8" t="s">
        <v>54</v>
      </c>
      <c r="AE87" s="8" t="s">
        <v>54</v>
      </c>
      <c r="AF87" s="8" t="s">
        <v>54</v>
      </c>
      <c r="AG87" s="8" t="s">
        <v>54</v>
      </c>
      <c r="AH87" s="8" t="s">
        <v>54</v>
      </c>
      <c r="AI87" s="10" t="s">
        <v>67</v>
      </c>
      <c r="AJ87" s="8">
        <f>COUNTIF($E$87:$AI$87,"P")</f>
        <v>19</v>
      </c>
      <c r="AK87" s="8">
        <f>COUNTIF($E$87:$AI$87,"A")</f>
        <v>7</v>
      </c>
      <c r="AL87" s="8">
        <f>SUM($E$88:$AI$88)</f>
        <v>0</v>
      </c>
      <c r="AM87" s="8">
        <f>SUM($E$89:$AI$89)</f>
        <v>51</v>
      </c>
      <c r="AN87" s="8">
        <f>AL87+AM87</f>
        <v>51</v>
      </c>
      <c r="AO87" s="8">
        <f>COUNTIF($E$87:$AI$87,"CL")</f>
        <v>0</v>
      </c>
      <c r="AP87" s="8">
        <f>COUNTIF($E$87:$AI$87,"SL")</f>
        <v>0</v>
      </c>
      <c r="AQ87" s="8">
        <f>COUNTIF($E$87:$AI$87,"EL")</f>
        <v>0</v>
      </c>
      <c r="AR87" s="8">
        <f>COUNTIF($E$87:$AI$87,"H")</f>
        <v>0</v>
      </c>
      <c r="AS87" s="8"/>
      <c r="AT87" s="11" t="s">
        <v>9</v>
      </c>
    </row>
    <row r="88" spans="1:46" ht="15.1" customHeight="1">
      <c r="A88" s="8"/>
      <c r="B88" s="9"/>
      <c r="C88" s="8"/>
      <c r="D88" s="9"/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11" t="s">
        <v>9</v>
      </c>
    </row>
    <row r="89" spans="1:46" ht="15.1" customHeight="1">
      <c r="A89" s="8"/>
      <c r="B89" s="9"/>
      <c r="C89" s="8"/>
      <c r="D89" s="9"/>
      <c r="E89" s="8">
        <v>0</v>
      </c>
      <c r="F89" s="8">
        <v>0</v>
      </c>
      <c r="G89" s="8">
        <v>0</v>
      </c>
      <c r="H89" s="8">
        <v>1</v>
      </c>
      <c r="I89" s="8">
        <v>1</v>
      </c>
      <c r="J89" s="8">
        <v>1</v>
      </c>
      <c r="K89" s="8">
        <v>1</v>
      </c>
      <c r="L89" s="8">
        <v>1</v>
      </c>
      <c r="M89" s="8">
        <v>1</v>
      </c>
      <c r="N89" s="8">
        <v>12</v>
      </c>
      <c r="O89" s="8">
        <v>1</v>
      </c>
      <c r="P89" s="8">
        <v>0</v>
      </c>
      <c r="Q89" s="8">
        <v>5</v>
      </c>
      <c r="R89" s="8">
        <v>5</v>
      </c>
      <c r="S89" s="8">
        <v>3</v>
      </c>
      <c r="T89" s="8">
        <v>3</v>
      </c>
      <c r="U89" s="8">
        <v>8</v>
      </c>
      <c r="V89" s="8">
        <v>1</v>
      </c>
      <c r="W89" s="8">
        <v>1</v>
      </c>
      <c r="X89" s="8">
        <v>1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1</v>
      </c>
      <c r="AE89" s="8">
        <v>1</v>
      </c>
      <c r="AF89" s="8">
        <v>1</v>
      </c>
      <c r="AG89" s="8">
        <v>1</v>
      </c>
      <c r="AH89" s="8">
        <v>1</v>
      </c>
      <c r="AI89" s="8">
        <v>0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11" t="s">
        <v>9</v>
      </c>
    </row>
    <row r="90" spans="1:46" ht="15.1" customHeight="1">
      <c r="A90" s="8">
        <v>29</v>
      </c>
      <c r="B90" s="9" t="s">
        <v>122</v>
      </c>
      <c r="C90" s="8" t="s">
        <v>123</v>
      </c>
      <c r="D90" s="9" t="s">
        <v>66</v>
      </c>
      <c r="E90" s="8" t="s">
        <v>54</v>
      </c>
      <c r="F90" s="8" t="s">
        <v>54</v>
      </c>
      <c r="G90" s="10" t="s">
        <v>67</v>
      </c>
      <c r="H90" s="8" t="s">
        <v>54</v>
      </c>
      <c r="I90" s="8" t="s">
        <v>54</v>
      </c>
      <c r="J90" s="8" t="s">
        <v>54</v>
      </c>
      <c r="K90" s="8" t="s">
        <v>54</v>
      </c>
      <c r="L90" s="8" t="s">
        <v>54</v>
      </c>
      <c r="M90" s="8" t="s">
        <v>54</v>
      </c>
      <c r="N90" s="10" t="s">
        <v>67</v>
      </c>
      <c r="O90" s="8" t="s">
        <v>54</v>
      </c>
      <c r="P90" s="8" t="s">
        <v>54</v>
      </c>
      <c r="Q90" s="8" t="s">
        <v>54</v>
      </c>
      <c r="R90" s="8" t="s">
        <v>54</v>
      </c>
      <c r="S90" s="8" t="s">
        <v>54</v>
      </c>
      <c r="T90" s="8" t="s">
        <v>54</v>
      </c>
      <c r="U90" s="10" t="s">
        <v>67</v>
      </c>
      <c r="V90" s="12" t="s">
        <v>55</v>
      </c>
      <c r="W90" s="8" t="s">
        <v>54</v>
      </c>
      <c r="X90" s="8" t="s">
        <v>54</v>
      </c>
      <c r="Y90" s="8" t="s">
        <v>54</v>
      </c>
      <c r="Z90" s="8" t="s">
        <v>54</v>
      </c>
      <c r="AA90" s="12" t="s">
        <v>55</v>
      </c>
      <c r="AB90" s="10" t="s">
        <v>67</v>
      </c>
      <c r="AC90" s="8" t="s">
        <v>54</v>
      </c>
      <c r="AD90" s="8" t="s">
        <v>54</v>
      </c>
      <c r="AE90" s="12" t="s">
        <v>55</v>
      </c>
      <c r="AF90" s="12" t="s">
        <v>55</v>
      </c>
      <c r="AG90" s="12" t="s">
        <v>55</v>
      </c>
      <c r="AH90" s="12" t="s">
        <v>55</v>
      </c>
      <c r="AI90" s="10" t="s">
        <v>67</v>
      </c>
      <c r="AJ90" s="8">
        <f>COUNTIF($E$90:$AI$90,"P")</f>
        <v>20</v>
      </c>
      <c r="AK90" s="8">
        <f>COUNTIF($E$90:$AI$90,"A")</f>
        <v>6</v>
      </c>
      <c r="AL90" s="8">
        <f>SUM($E$91:$AI$91)</f>
        <v>0</v>
      </c>
      <c r="AM90" s="8">
        <f>SUM($E$92:$AI$92)</f>
        <v>55.5</v>
      </c>
      <c r="AN90" s="8">
        <f>AL90+AM90</f>
        <v>55.5</v>
      </c>
      <c r="AO90" s="8">
        <f>COUNTIF($E$90:$AI$90,"CL")</f>
        <v>0</v>
      </c>
      <c r="AP90" s="8">
        <f>COUNTIF($E$90:$AI$90,"SL")</f>
        <v>0</v>
      </c>
      <c r="AQ90" s="8">
        <f>COUNTIF($E$90:$AI$90,"EL")</f>
        <v>0</v>
      </c>
      <c r="AR90" s="8">
        <f>COUNTIF($E$90:$AI$90,"H")</f>
        <v>0</v>
      </c>
      <c r="AS90" s="8"/>
      <c r="AT90" s="11" t="s">
        <v>9</v>
      </c>
    </row>
    <row r="91" spans="1:46" ht="15.1" customHeight="1">
      <c r="A91" s="8"/>
      <c r="B91" s="9"/>
      <c r="C91" s="8"/>
      <c r="D91" s="9"/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11" t="s">
        <v>9</v>
      </c>
    </row>
    <row r="92" spans="1:46" ht="15.1" customHeight="1">
      <c r="A92" s="8"/>
      <c r="B92" s="9"/>
      <c r="C92" s="8"/>
      <c r="D92" s="9"/>
      <c r="E92" s="8">
        <v>5</v>
      </c>
      <c r="F92" s="8">
        <v>1</v>
      </c>
      <c r="G92" s="8">
        <v>13</v>
      </c>
      <c r="H92" s="8">
        <v>1</v>
      </c>
      <c r="I92" s="8">
        <v>1</v>
      </c>
      <c r="J92" s="8">
        <v>0</v>
      </c>
      <c r="K92" s="8">
        <v>1</v>
      </c>
      <c r="L92" s="8">
        <v>1</v>
      </c>
      <c r="M92" s="8">
        <v>1</v>
      </c>
      <c r="N92" s="8">
        <v>12</v>
      </c>
      <c r="O92" s="8">
        <v>1</v>
      </c>
      <c r="P92" s="8">
        <v>3</v>
      </c>
      <c r="Q92" s="8">
        <v>3</v>
      </c>
      <c r="R92" s="8">
        <v>3</v>
      </c>
      <c r="S92" s="8">
        <v>3</v>
      </c>
      <c r="T92" s="8">
        <v>2</v>
      </c>
      <c r="U92" s="8">
        <v>0</v>
      </c>
      <c r="V92" s="8">
        <v>0</v>
      </c>
      <c r="W92" s="8">
        <v>1</v>
      </c>
      <c r="X92" s="8">
        <v>1</v>
      </c>
      <c r="Y92" s="8">
        <v>1</v>
      </c>
      <c r="Z92" s="8">
        <v>0</v>
      </c>
      <c r="AA92" s="8">
        <v>0</v>
      </c>
      <c r="AB92" s="8">
        <v>0</v>
      </c>
      <c r="AC92" s="8">
        <v>0.5</v>
      </c>
      <c r="AD92" s="8">
        <v>1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11" t="s">
        <v>9</v>
      </c>
    </row>
    <row r="93" spans="1:46" ht="15.1" customHeight="1">
      <c r="A93" s="8">
        <v>30</v>
      </c>
      <c r="B93" s="9" t="s">
        <v>124</v>
      </c>
      <c r="C93" s="8" t="s">
        <v>125</v>
      </c>
      <c r="D93" s="9" t="s">
        <v>66</v>
      </c>
      <c r="E93" s="8" t="s">
        <v>54</v>
      </c>
      <c r="F93" s="8" t="s">
        <v>54</v>
      </c>
      <c r="G93" s="10" t="s">
        <v>67</v>
      </c>
      <c r="H93" s="8" t="s">
        <v>54</v>
      </c>
      <c r="I93" s="8" t="s">
        <v>54</v>
      </c>
      <c r="J93" s="8" t="s">
        <v>54</v>
      </c>
      <c r="K93" s="8" t="s">
        <v>54</v>
      </c>
      <c r="L93" s="8" t="s">
        <v>54</v>
      </c>
      <c r="M93" s="8" t="s">
        <v>54</v>
      </c>
      <c r="N93" s="10" t="s">
        <v>67</v>
      </c>
      <c r="O93" s="8" t="s">
        <v>54</v>
      </c>
      <c r="P93" s="8" t="s">
        <v>54</v>
      </c>
      <c r="Q93" s="8" t="s">
        <v>54</v>
      </c>
      <c r="R93" s="8" t="s">
        <v>54</v>
      </c>
      <c r="S93" s="8" t="s">
        <v>54</v>
      </c>
      <c r="T93" s="8" t="s">
        <v>54</v>
      </c>
      <c r="U93" s="10" t="s">
        <v>67</v>
      </c>
      <c r="V93" s="8" t="s">
        <v>54</v>
      </c>
      <c r="W93" s="8" t="s">
        <v>54</v>
      </c>
      <c r="X93" s="8" t="s">
        <v>54</v>
      </c>
      <c r="Y93" s="8" t="s">
        <v>54</v>
      </c>
      <c r="Z93" s="8" t="s">
        <v>54</v>
      </c>
      <c r="AA93" s="8" t="s">
        <v>54</v>
      </c>
      <c r="AB93" s="10" t="s">
        <v>67</v>
      </c>
      <c r="AC93" s="8" t="s">
        <v>54</v>
      </c>
      <c r="AD93" s="8" t="s">
        <v>54</v>
      </c>
      <c r="AE93" s="8" t="s">
        <v>54</v>
      </c>
      <c r="AF93" s="8" t="s">
        <v>54</v>
      </c>
      <c r="AG93" s="8" t="s">
        <v>54</v>
      </c>
      <c r="AH93" s="8" t="s">
        <v>54</v>
      </c>
      <c r="AI93" s="10" t="s">
        <v>67</v>
      </c>
      <c r="AJ93" s="8">
        <f>COUNTIF($E$93:$AI$93,"P")</f>
        <v>26</v>
      </c>
      <c r="AK93" s="8">
        <f>COUNTIF($E$93:$AI$93,"A")</f>
        <v>0</v>
      </c>
      <c r="AL93" s="8">
        <f>SUM($E$94:$AI$94)</f>
        <v>0</v>
      </c>
      <c r="AM93" s="8">
        <f>SUM($E$95:$AI$95)</f>
        <v>54</v>
      </c>
      <c r="AN93" s="8">
        <f>AL93+AM93</f>
        <v>54</v>
      </c>
      <c r="AO93" s="8">
        <f>COUNTIF($E$93:$AI$93,"CL")</f>
        <v>0</v>
      </c>
      <c r="AP93" s="8">
        <f>COUNTIF($E$93:$AI$93,"SL")</f>
        <v>0</v>
      </c>
      <c r="AQ93" s="8">
        <f>COUNTIF($E$93:$AI$93,"EL")</f>
        <v>0</v>
      </c>
      <c r="AR93" s="8">
        <f>COUNTIF($E$93:$AI$93,"H")</f>
        <v>0</v>
      </c>
      <c r="AS93" s="8"/>
      <c r="AT93" s="11" t="s">
        <v>9</v>
      </c>
    </row>
    <row r="94" spans="1:46" ht="15.1" customHeight="1">
      <c r="A94" s="8"/>
      <c r="B94" s="9"/>
      <c r="C94" s="8"/>
      <c r="D94" s="9"/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11" t="s">
        <v>9</v>
      </c>
    </row>
    <row r="95" spans="1:46" ht="15.1" customHeight="1">
      <c r="A95" s="8"/>
      <c r="B95" s="9"/>
      <c r="C95" s="8"/>
      <c r="D95" s="9"/>
      <c r="E95" s="8">
        <v>5</v>
      </c>
      <c r="F95" s="8">
        <v>3</v>
      </c>
      <c r="G95" s="8">
        <v>0</v>
      </c>
      <c r="H95" s="8">
        <v>1</v>
      </c>
      <c r="I95" s="8">
        <v>1</v>
      </c>
      <c r="J95" s="8">
        <v>1</v>
      </c>
      <c r="K95" s="8">
        <v>1</v>
      </c>
      <c r="L95" s="8">
        <v>1</v>
      </c>
      <c r="M95" s="8">
        <v>1</v>
      </c>
      <c r="N95" s="8">
        <v>0</v>
      </c>
      <c r="O95" s="8">
        <v>3</v>
      </c>
      <c r="P95" s="8">
        <v>5</v>
      </c>
      <c r="Q95" s="8">
        <v>5</v>
      </c>
      <c r="R95" s="8">
        <v>5</v>
      </c>
      <c r="S95" s="8">
        <v>3</v>
      </c>
      <c r="T95" s="8">
        <v>3</v>
      </c>
      <c r="U95" s="8">
        <v>7</v>
      </c>
      <c r="V95" s="8">
        <v>1</v>
      </c>
      <c r="W95" s="8">
        <v>1</v>
      </c>
      <c r="X95" s="8">
        <v>0</v>
      </c>
      <c r="Y95" s="8">
        <v>1</v>
      </c>
      <c r="Z95" s="8">
        <v>0</v>
      </c>
      <c r="AA95" s="8">
        <v>1</v>
      </c>
      <c r="AB95" s="8">
        <v>0</v>
      </c>
      <c r="AC95" s="8">
        <v>1</v>
      </c>
      <c r="AD95" s="8">
        <v>1</v>
      </c>
      <c r="AE95" s="8">
        <v>1</v>
      </c>
      <c r="AF95" s="8">
        <v>1</v>
      </c>
      <c r="AG95" s="8">
        <v>1</v>
      </c>
      <c r="AH95" s="8">
        <v>0</v>
      </c>
      <c r="AI95" s="8">
        <v>0</v>
      </c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11" t="s">
        <v>9</v>
      </c>
    </row>
    <row r="96" spans="1:46" ht="15.1" customHeight="1">
      <c r="A96" s="8">
        <v>31</v>
      </c>
      <c r="B96" s="9" t="s">
        <v>126</v>
      </c>
      <c r="C96" s="8" t="s">
        <v>127</v>
      </c>
      <c r="D96" s="9" t="s">
        <v>66</v>
      </c>
      <c r="E96" s="8" t="s">
        <v>54</v>
      </c>
      <c r="F96" s="8" t="s">
        <v>54</v>
      </c>
      <c r="G96" s="10" t="s">
        <v>67</v>
      </c>
      <c r="H96" s="8" t="s">
        <v>54</v>
      </c>
      <c r="I96" s="8" t="s">
        <v>54</v>
      </c>
      <c r="J96" s="8" t="s">
        <v>54</v>
      </c>
      <c r="K96" s="8" t="s">
        <v>54</v>
      </c>
      <c r="L96" s="8" t="s">
        <v>54</v>
      </c>
      <c r="M96" s="8" t="s">
        <v>54</v>
      </c>
      <c r="N96" s="10" t="s">
        <v>67</v>
      </c>
      <c r="O96" s="8" t="s">
        <v>54</v>
      </c>
      <c r="P96" s="8" t="s">
        <v>54</v>
      </c>
      <c r="Q96" s="8" t="s">
        <v>54</v>
      </c>
      <c r="R96" s="8" t="s">
        <v>54</v>
      </c>
      <c r="S96" s="8" t="s">
        <v>54</v>
      </c>
      <c r="T96" s="8" t="s">
        <v>54</v>
      </c>
      <c r="U96" s="10" t="s">
        <v>67</v>
      </c>
      <c r="V96" s="8" t="s">
        <v>54</v>
      </c>
      <c r="W96" s="8" t="s">
        <v>54</v>
      </c>
      <c r="X96" s="8" t="s">
        <v>54</v>
      </c>
      <c r="Y96" s="8" t="s">
        <v>54</v>
      </c>
      <c r="Z96" s="8" t="s">
        <v>54</v>
      </c>
      <c r="AA96" s="8" t="s">
        <v>54</v>
      </c>
      <c r="AB96" s="10" t="s">
        <v>67</v>
      </c>
      <c r="AC96" s="8" t="s">
        <v>54</v>
      </c>
      <c r="AD96" s="8" t="s">
        <v>54</v>
      </c>
      <c r="AE96" s="8" t="s">
        <v>54</v>
      </c>
      <c r="AF96" s="8" t="s">
        <v>54</v>
      </c>
      <c r="AG96" s="8" t="s">
        <v>54</v>
      </c>
      <c r="AH96" s="8" t="s">
        <v>54</v>
      </c>
      <c r="AI96" s="10" t="s">
        <v>67</v>
      </c>
      <c r="AJ96" s="8">
        <f>COUNTIF($E$96:$AI$96,"P")</f>
        <v>26</v>
      </c>
      <c r="AK96" s="8">
        <f>COUNTIF($E$96:$AI$96,"A")</f>
        <v>0</v>
      </c>
      <c r="AL96" s="8">
        <f>SUM($E$97:$AI$97)</f>
        <v>0</v>
      </c>
      <c r="AM96" s="8">
        <f>SUM($E$98:$AI$98)</f>
        <v>76.5</v>
      </c>
      <c r="AN96" s="8">
        <f>AL96+AM96</f>
        <v>76.5</v>
      </c>
      <c r="AO96" s="8">
        <f>COUNTIF($E$96:$AI$96,"CL")</f>
        <v>0</v>
      </c>
      <c r="AP96" s="8">
        <f>COUNTIF($E$96:$AI$96,"SL")</f>
        <v>0</v>
      </c>
      <c r="AQ96" s="8">
        <f>COUNTIF($E$96:$AI$96,"EL")</f>
        <v>0</v>
      </c>
      <c r="AR96" s="8">
        <f>COUNTIF($E$96:$AI$96,"H")</f>
        <v>0</v>
      </c>
      <c r="AS96" s="8"/>
      <c r="AT96" s="11" t="s">
        <v>9</v>
      </c>
    </row>
    <row r="97" spans="1:46" ht="15.1" customHeight="1">
      <c r="A97" s="8"/>
      <c r="B97" s="9"/>
      <c r="C97" s="8"/>
      <c r="D97" s="9"/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11" t="s">
        <v>9</v>
      </c>
    </row>
    <row r="98" spans="1:46" ht="15.1" customHeight="1">
      <c r="A98" s="8"/>
      <c r="B98" s="9"/>
      <c r="C98" s="8"/>
      <c r="D98" s="9"/>
      <c r="E98" s="8">
        <v>1</v>
      </c>
      <c r="F98" s="8">
        <v>1</v>
      </c>
      <c r="G98" s="8">
        <v>0</v>
      </c>
      <c r="H98" s="8">
        <v>3</v>
      </c>
      <c r="I98" s="8">
        <v>7</v>
      </c>
      <c r="J98" s="8">
        <v>7</v>
      </c>
      <c r="K98" s="8">
        <v>7</v>
      </c>
      <c r="L98" s="8">
        <v>7</v>
      </c>
      <c r="M98" s="8">
        <v>5</v>
      </c>
      <c r="N98" s="8">
        <v>16.5</v>
      </c>
      <c r="O98" s="8">
        <v>1</v>
      </c>
      <c r="P98" s="8">
        <v>1</v>
      </c>
      <c r="Q98" s="8">
        <v>1</v>
      </c>
      <c r="R98" s="8">
        <v>1</v>
      </c>
      <c r="S98" s="8">
        <v>1</v>
      </c>
      <c r="T98" s="8">
        <v>1</v>
      </c>
      <c r="U98" s="8">
        <v>0</v>
      </c>
      <c r="V98" s="8">
        <v>3</v>
      </c>
      <c r="W98" s="8">
        <v>3</v>
      </c>
      <c r="X98" s="8">
        <v>1</v>
      </c>
      <c r="Y98" s="8">
        <v>1</v>
      </c>
      <c r="Z98" s="8">
        <v>1</v>
      </c>
      <c r="AA98" s="8">
        <v>1</v>
      </c>
      <c r="AB98" s="8">
        <v>0</v>
      </c>
      <c r="AC98" s="8">
        <v>1</v>
      </c>
      <c r="AD98" s="8">
        <v>1</v>
      </c>
      <c r="AE98" s="8">
        <v>1</v>
      </c>
      <c r="AF98" s="8">
        <v>1</v>
      </c>
      <c r="AG98" s="8">
        <v>1</v>
      </c>
      <c r="AH98" s="8">
        <v>1</v>
      </c>
      <c r="AI98" s="8">
        <v>0</v>
      </c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11" t="s">
        <v>9</v>
      </c>
    </row>
    <row r="99" spans="1:46" ht="15.1" customHeight="1">
      <c r="A99" s="8">
        <v>32</v>
      </c>
      <c r="B99" s="9" t="s">
        <v>128</v>
      </c>
      <c r="C99" s="8" t="s">
        <v>129</v>
      </c>
      <c r="D99" s="9" t="s">
        <v>66</v>
      </c>
      <c r="E99" s="8" t="s">
        <v>54</v>
      </c>
      <c r="F99" s="8" t="s">
        <v>54</v>
      </c>
      <c r="G99" s="10" t="s">
        <v>67</v>
      </c>
      <c r="H99" s="12" t="s">
        <v>55</v>
      </c>
      <c r="I99" s="8" t="s">
        <v>54</v>
      </c>
      <c r="J99" s="8" t="s">
        <v>54</v>
      </c>
      <c r="K99" s="8" t="s">
        <v>54</v>
      </c>
      <c r="L99" s="8" t="s">
        <v>54</v>
      </c>
      <c r="M99" s="8" t="s">
        <v>54</v>
      </c>
      <c r="N99" s="10" t="s">
        <v>67</v>
      </c>
      <c r="O99" s="8" t="s">
        <v>54</v>
      </c>
      <c r="P99" s="8" t="s">
        <v>54</v>
      </c>
      <c r="Q99" s="8" t="s">
        <v>54</v>
      </c>
      <c r="R99" s="8" t="s">
        <v>54</v>
      </c>
      <c r="S99" s="8" t="s">
        <v>54</v>
      </c>
      <c r="T99" s="8" t="s">
        <v>54</v>
      </c>
      <c r="U99" s="10" t="s">
        <v>67</v>
      </c>
      <c r="V99" s="8" t="s">
        <v>54</v>
      </c>
      <c r="W99" s="8" t="s">
        <v>54</v>
      </c>
      <c r="X99" s="8" t="s">
        <v>54</v>
      </c>
      <c r="Y99" s="8" t="s">
        <v>54</v>
      </c>
      <c r="Z99" s="8" t="s">
        <v>54</v>
      </c>
      <c r="AA99" s="8" t="s">
        <v>54</v>
      </c>
      <c r="AB99" s="10" t="s">
        <v>67</v>
      </c>
      <c r="AC99" s="8" t="s">
        <v>54</v>
      </c>
      <c r="AD99" s="8" t="s">
        <v>54</v>
      </c>
      <c r="AE99" s="8" t="s">
        <v>54</v>
      </c>
      <c r="AF99" s="8" t="s">
        <v>54</v>
      </c>
      <c r="AG99" s="8" t="s">
        <v>54</v>
      </c>
      <c r="AH99" s="8" t="s">
        <v>54</v>
      </c>
      <c r="AI99" s="10" t="s">
        <v>67</v>
      </c>
      <c r="AJ99" s="8">
        <f>COUNTIF($E$99:$AI$99,"P")</f>
        <v>25</v>
      </c>
      <c r="AK99" s="8">
        <f>COUNTIF($E$99:$AI$99,"A")</f>
        <v>1</v>
      </c>
      <c r="AL99" s="8">
        <f>SUM($E$100:$AI$100)</f>
        <v>0</v>
      </c>
      <c r="AM99" s="8">
        <f>SUM($E$101:$AI$101)</f>
        <v>59</v>
      </c>
      <c r="AN99" s="8">
        <f>AL99+AM99</f>
        <v>59</v>
      </c>
      <c r="AO99" s="8">
        <f>COUNTIF($E$99:$AI$99,"CL")</f>
        <v>0</v>
      </c>
      <c r="AP99" s="8">
        <f>COUNTIF($E$99:$AI$99,"SL")</f>
        <v>0</v>
      </c>
      <c r="AQ99" s="8">
        <f>COUNTIF($E$99:$AI$99,"EL")</f>
        <v>0</v>
      </c>
      <c r="AR99" s="8">
        <f>COUNTIF($E$99:$AI$99,"H")</f>
        <v>0</v>
      </c>
      <c r="AS99" s="8"/>
      <c r="AT99" s="11" t="s">
        <v>9</v>
      </c>
    </row>
    <row r="100" spans="1:46" ht="15.1" customHeight="1">
      <c r="A100" s="8"/>
      <c r="B100" s="9"/>
      <c r="C100" s="8"/>
      <c r="D100" s="9"/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11" t="s">
        <v>9</v>
      </c>
    </row>
    <row r="101" spans="1:46" ht="15.1" customHeight="1">
      <c r="A101" s="8"/>
      <c r="B101" s="9"/>
      <c r="C101" s="8"/>
      <c r="D101" s="9"/>
      <c r="E101" s="8">
        <v>0</v>
      </c>
      <c r="F101" s="8">
        <v>0</v>
      </c>
      <c r="G101" s="8">
        <v>9</v>
      </c>
      <c r="H101" s="8">
        <v>0</v>
      </c>
      <c r="I101" s="8">
        <v>3</v>
      </c>
      <c r="J101" s="8">
        <v>3</v>
      </c>
      <c r="K101" s="8">
        <v>1</v>
      </c>
      <c r="L101" s="8">
        <v>3</v>
      </c>
      <c r="M101" s="8">
        <v>3</v>
      </c>
      <c r="N101" s="8">
        <v>17</v>
      </c>
      <c r="O101" s="8">
        <v>1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0</v>
      </c>
      <c r="V101" s="8">
        <v>3</v>
      </c>
      <c r="W101" s="8">
        <v>1</v>
      </c>
      <c r="X101" s="8">
        <v>3</v>
      </c>
      <c r="Y101" s="8">
        <v>1</v>
      </c>
      <c r="Z101" s="8">
        <v>0</v>
      </c>
      <c r="AA101" s="8">
        <v>0</v>
      </c>
      <c r="AB101" s="8">
        <v>0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8">
        <v>1</v>
      </c>
      <c r="AI101" s="8">
        <v>0</v>
      </c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11" t="s">
        <v>9</v>
      </c>
    </row>
    <row r="102" spans="1:46" ht="15.1" customHeight="1">
      <c r="A102" s="8">
        <v>33</v>
      </c>
      <c r="B102" s="9" t="s">
        <v>130</v>
      </c>
      <c r="C102" s="8" t="s">
        <v>131</v>
      </c>
      <c r="D102" s="9" t="s">
        <v>66</v>
      </c>
      <c r="E102" s="8" t="s">
        <v>54</v>
      </c>
      <c r="F102" s="8" t="s">
        <v>54</v>
      </c>
      <c r="G102" s="10" t="s">
        <v>67</v>
      </c>
      <c r="H102" s="12" t="s">
        <v>55</v>
      </c>
      <c r="I102" s="8" t="s">
        <v>54</v>
      </c>
      <c r="J102" s="8" t="s">
        <v>54</v>
      </c>
      <c r="K102" s="8" t="s">
        <v>54</v>
      </c>
      <c r="L102" s="8" t="s">
        <v>54</v>
      </c>
      <c r="M102" s="8" t="s">
        <v>54</v>
      </c>
      <c r="N102" s="10" t="s">
        <v>67</v>
      </c>
      <c r="O102" s="12" t="s">
        <v>55</v>
      </c>
      <c r="P102" s="12" t="s">
        <v>55</v>
      </c>
      <c r="Q102" s="12" t="s">
        <v>55</v>
      </c>
      <c r="R102" s="12" t="s">
        <v>55</v>
      </c>
      <c r="S102" s="12" t="s">
        <v>55</v>
      </c>
      <c r="T102" s="8" t="s">
        <v>54</v>
      </c>
      <c r="U102" s="10" t="s">
        <v>67</v>
      </c>
      <c r="V102" s="8" t="s">
        <v>54</v>
      </c>
      <c r="W102" s="8" t="s">
        <v>54</v>
      </c>
      <c r="X102" s="8" t="s">
        <v>54</v>
      </c>
      <c r="Y102" s="8" t="s">
        <v>54</v>
      </c>
      <c r="Z102" s="8" t="s">
        <v>54</v>
      </c>
      <c r="AA102" s="8" t="s">
        <v>54</v>
      </c>
      <c r="AB102" s="10" t="s">
        <v>67</v>
      </c>
      <c r="AC102" s="8" t="s">
        <v>54</v>
      </c>
      <c r="AD102" s="8" t="s">
        <v>54</v>
      </c>
      <c r="AE102" s="8" t="s">
        <v>54</v>
      </c>
      <c r="AF102" s="8" t="s">
        <v>54</v>
      </c>
      <c r="AG102" s="8" t="s">
        <v>54</v>
      </c>
      <c r="AH102" s="8" t="s">
        <v>54</v>
      </c>
      <c r="AI102" s="10" t="s">
        <v>67</v>
      </c>
      <c r="AJ102" s="8">
        <f>COUNTIF($E$102:$AI$102,"P")</f>
        <v>20</v>
      </c>
      <c r="AK102" s="8">
        <f>COUNTIF($E$102:$AI$102,"A")</f>
        <v>6</v>
      </c>
      <c r="AL102" s="8">
        <f>SUM($E$103:$AI$103)</f>
        <v>0</v>
      </c>
      <c r="AM102" s="8">
        <f>SUM($E$104:$AI$104)</f>
        <v>48</v>
      </c>
      <c r="AN102" s="8">
        <f>AL102+AM102</f>
        <v>48</v>
      </c>
      <c r="AO102" s="8">
        <f>COUNTIF($E$102:$AI$102,"CL")</f>
        <v>0</v>
      </c>
      <c r="AP102" s="8">
        <f>COUNTIF($E$102:$AI$102,"SL")</f>
        <v>0</v>
      </c>
      <c r="AQ102" s="8">
        <f>COUNTIF($E$102:$AI$102,"EL")</f>
        <v>0</v>
      </c>
      <c r="AR102" s="8">
        <f>COUNTIF($E$102:$AI$102,"H")</f>
        <v>0</v>
      </c>
      <c r="AS102" s="8"/>
      <c r="AT102" s="11" t="s">
        <v>9</v>
      </c>
    </row>
    <row r="103" spans="1:46" ht="15.1" customHeight="1">
      <c r="A103" s="8"/>
      <c r="B103" s="9"/>
      <c r="C103" s="8"/>
      <c r="D103" s="9"/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11" t="s">
        <v>9</v>
      </c>
    </row>
    <row r="104" spans="1:46" ht="15.1" customHeight="1">
      <c r="A104" s="8"/>
      <c r="B104" s="9"/>
      <c r="C104" s="8"/>
      <c r="D104" s="9"/>
      <c r="E104" s="8">
        <v>0</v>
      </c>
      <c r="F104" s="8">
        <v>0</v>
      </c>
      <c r="G104" s="8">
        <v>9</v>
      </c>
      <c r="H104" s="8">
        <v>0</v>
      </c>
      <c r="I104" s="8">
        <v>3</v>
      </c>
      <c r="J104" s="8">
        <v>1</v>
      </c>
      <c r="K104" s="8">
        <v>0</v>
      </c>
      <c r="L104" s="8">
        <v>1</v>
      </c>
      <c r="M104" s="8">
        <v>3</v>
      </c>
      <c r="N104" s="8">
        <v>11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5</v>
      </c>
      <c r="W104" s="8">
        <v>3</v>
      </c>
      <c r="X104" s="8">
        <v>3</v>
      </c>
      <c r="Y104" s="8">
        <v>1</v>
      </c>
      <c r="Z104" s="8">
        <v>0</v>
      </c>
      <c r="AA104" s="8">
        <v>1</v>
      </c>
      <c r="AB104" s="8">
        <v>0</v>
      </c>
      <c r="AC104" s="8">
        <v>1</v>
      </c>
      <c r="AD104" s="8">
        <v>1</v>
      </c>
      <c r="AE104" s="8">
        <v>1</v>
      </c>
      <c r="AF104" s="8">
        <v>1</v>
      </c>
      <c r="AG104" s="8">
        <v>1</v>
      </c>
      <c r="AH104" s="8">
        <v>1</v>
      </c>
      <c r="AI104" s="8">
        <v>0</v>
      </c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11" t="s">
        <v>9</v>
      </c>
    </row>
    <row r="105" spans="1:46" ht="15.1" customHeight="1">
      <c r="A105" s="8">
        <v>34</v>
      </c>
      <c r="B105" s="9" t="s">
        <v>132</v>
      </c>
      <c r="C105" s="8" t="s">
        <v>133</v>
      </c>
      <c r="D105" s="9" t="s">
        <v>66</v>
      </c>
      <c r="E105" s="12" t="s">
        <v>55</v>
      </c>
      <c r="F105" s="12" t="s">
        <v>55</v>
      </c>
      <c r="G105" s="10" t="s">
        <v>67</v>
      </c>
      <c r="H105" s="12" t="s">
        <v>55</v>
      </c>
      <c r="I105" s="12" t="s">
        <v>55</v>
      </c>
      <c r="J105" s="12" t="s">
        <v>55</v>
      </c>
      <c r="K105" s="12" t="s">
        <v>55</v>
      </c>
      <c r="L105" s="12" t="s">
        <v>55</v>
      </c>
      <c r="M105" s="12" t="s">
        <v>55</v>
      </c>
      <c r="N105" s="10" t="s">
        <v>67</v>
      </c>
      <c r="O105" s="12" t="s">
        <v>55</v>
      </c>
      <c r="P105" s="12" t="s">
        <v>55</v>
      </c>
      <c r="Q105" s="12" t="s">
        <v>55</v>
      </c>
      <c r="R105" s="12" t="s">
        <v>55</v>
      </c>
      <c r="S105" s="12" t="s">
        <v>55</v>
      </c>
      <c r="T105" s="12" t="s">
        <v>55</v>
      </c>
      <c r="U105" s="10" t="s">
        <v>67</v>
      </c>
      <c r="V105" s="12" t="s">
        <v>55</v>
      </c>
      <c r="W105" s="12" t="s">
        <v>55</v>
      </c>
      <c r="X105" s="12" t="s">
        <v>55</v>
      </c>
      <c r="Y105" s="8" t="s">
        <v>54</v>
      </c>
      <c r="Z105" s="8" t="s">
        <v>54</v>
      </c>
      <c r="AA105" s="8" t="s">
        <v>54</v>
      </c>
      <c r="AB105" s="10" t="s">
        <v>67</v>
      </c>
      <c r="AC105" s="8" t="s">
        <v>54</v>
      </c>
      <c r="AD105" s="8" t="s">
        <v>54</v>
      </c>
      <c r="AE105" s="8" t="s">
        <v>54</v>
      </c>
      <c r="AF105" s="8" t="s">
        <v>54</v>
      </c>
      <c r="AG105" s="8" t="s">
        <v>54</v>
      </c>
      <c r="AH105" s="8" t="s">
        <v>54</v>
      </c>
      <c r="AI105" s="10" t="s">
        <v>67</v>
      </c>
      <c r="AJ105" s="8">
        <f>COUNTIF($E$105:$AI$105,"P")</f>
        <v>9</v>
      </c>
      <c r="AK105" s="8">
        <f>COUNTIF($E$105:$AI$105,"A")</f>
        <v>17</v>
      </c>
      <c r="AL105" s="8">
        <f>SUM($E$106:$AI$106)</f>
        <v>0</v>
      </c>
      <c r="AM105" s="8">
        <f>SUM($E$107:$AI$107)</f>
        <v>8.5</v>
      </c>
      <c r="AN105" s="8">
        <f>AL105+AM105</f>
        <v>8.5</v>
      </c>
      <c r="AO105" s="8">
        <f>COUNTIF($E$105:$AI$105,"CL")</f>
        <v>0</v>
      </c>
      <c r="AP105" s="8">
        <f>COUNTIF($E$105:$AI$105,"SL")</f>
        <v>0</v>
      </c>
      <c r="AQ105" s="8">
        <f>COUNTIF($E$105:$AI$105,"EL")</f>
        <v>0</v>
      </c>
      <c r="AR105" s="8">
        <f>COUNTIF($E$105:$AI$105,"H")</f>
        <v>0</v>
      </c>
      <c r="AS105" s="8"/>
      <c r="AT105" s="11" t="s">
        <v>9</v>
      </c>
    </row>
    <row r="106" spans="1:46" ht="15.1" customHeight="1">
      <c r="A106" s="8"/>
      <c r="B106" s="9"/>
      <c r="C106" s="8"/>
      <c r="D106" s="9"/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11" t="s">
        <v>9</v>
      </c>
    </row>
    <row r="107" spans="1:46" ht="15.1" customHeight="1">
      <c r="A107" s="8"/>
      <c r="B107" s="9"/>
      <c r="C107" s="8"/>
      <c r="D107" s="9"/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</v>
      </c>
      <c r="Z107" s="8">
        <v>1</v>
      </c>
      <c r="AA107" s="8">
        <v>1</v>
      </c>
      <c r="AB107" s="8">
        <v>0</v>
      </c>
      <c r="AC107" s="8">
        <v>1</v>
      </c>
      <c r="AD107" s="8">
        <v>1</v>
      </c>
      <c r="AE107" s="8">
        <v>0.5</v>
      </c>
      <c r="AF107" s="8">
        <v>1</v>
      </c>
      <c r="AG107" s="8">
        <v>1</v>
      </c>
      <c r="AH107" s="8">
        <v>1</v>
      </c>
      <c r="AI107" s="8">
        <v>0</v>
      </c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11" t="s">
        <v>9</v>
      </c>
    </row>
    <row r="108" spans="1:46" ht="15.1" customHeight="1">
      <c r="A108" s="8">
        <v>35</v>
      </c>
      <c r="B108" s="9" t="s">
        <v>134</v>
      </c>
      <c r="C108" s="8" t="s">
        <v>135</v>
      </c>
      <c r="D108" s="9" t="s">
        <v>66</v>
      </c>
      <c r="E108" s="8" t="s">
        <v>54</v>
      </c>
      <c r="F108" s="8" t="s">
        <v>54</v>
      </c>
      <c r="G108" s="10" t="s">
        <v>67</v>
      </c>
      <c r="H108" s="8" t="s">
        <v>54</v>
      </c>
      <c r="I108" s="8" t="s">
        <v>54</v>
      </c>
      <c r="J108" s="8" t="s">
        <v>54</v>
      </c>
      <c r="K108" s="8" t="s">
        <v>54</v>
      </c>
      <c r="L108" s="8" t="s">
        <v>54</v>
      </c>
      <c r="M108" s="8" t="s">
        <v>54</v>
      </c>
      <c r="N108" s="10" t="s">
        <v>67</v>
      </c>
      <c r="O108" s="8" t="s">
        <v>54</v>
      </c>
      <c r="P108" s="8" t="s">
        <v>54</v>
      </c>
      <c r="Q108" s="8" t="s">
        <v>54</v>
      </c>
      <c r="R108" s="8" t="s">
        <v>54</v>
      </c>
      <c r="S108" s="8" t="s">
        <v>54</v>
      </c>
      <c r="T108" s="8" t="s">
        <v>54</v>
      </c>
      <c r="U108" s="10" t="s">
        <v>67</v>
      </c>
      <c r="V108" s="8" t="s">
        <v>54</v>
      </c>
      <c r="W108" s="8" t="s">
        <v>54</v>
      </c>
      <c r="X108" s="8" t="s">
        <v>54</v>
      </c>
      <c r="Y108" s="8" t="s">
        <v>54</v>
      </c>
      <c r="Z108" s="8" t="s">
        <v>54</v>
      </c>
      <c r="AA108" s="8" t="s">
        <v>54</v>
      </c>
      <c r="AB108" s="10" t="s">
        <v>67</v>
      </c>
      <c r="AC108" s="8" t="s">
        <v>54</v>
      </c>
      <c r="AD108" s="8" t="s">
        <v>54</v>
      </c>
      <c r="AE108" s="8" t="s">
        <v>54</v>
      </c>
      <c r="AF108" s="8" t="s">
        <v>54</v>
      </c>
      <c r="AG108" s="8" t="s">
        <v>54</v>
      </c>
      <c r="AH108" s="8" t="s">
        <v>54</v>
      </c>
      <c r="AI108" s="10" t="s">
        <v>67</v>
      </c>
      <c r="AJ108" s="8">
        <f>COUNTIF($E$108:$AI$108,"P")</f>
        <v>26</v>
      </c>
      <c r="AK108" s="8">
        <f>COUNTIF($E$108:$AI$108,"A")</f>
        <v>0</v>
      </c>
      <c r="AL108" s="8">
        <f>SUM($E$109:$AI$109)</f>
        <v>0</v>
      </c>
      <c r="AM108" s="8">
        <f>SUM($E$110:$AI$110)</f>
        <v>78</v>
      </c>
      <c r="AN108" s="8">
        <f>AL108+AM108</f>
        <v>78</v>
      </c>
      <c r="AO108" s="8">
        <f>COUNTIF($E$108:$AI$108,"CL")</f>
        <v>0</v>
      </c>
      <c r="AP108" s="8">
        <f>COUNTIF($E$108:$AI$108,"SL")</f>
        <v>0</v>
      </c>
      <c r="AQ108" s="8">
        <f>COUNTIF($E$108:$AI$108,"EL")</f>
        <v>0</v>
      </c>
      <c r="AR108" s="8">
        <f>COUNTIF($E$108:$AI$108,"H")</f>
        <v>0</v>
      </c>
      <c r="AS108" s="8"/>
      <c r="AT108" s="11" t="s">
        <v>10</v>
      </c>
    </row>
    <row r="109" spans="1:46" ht="15.1" customHeight="1">
      <c r="A109" s="8"/>
      <c r="B109" s="9"/>
      <c r="C109" s="8"/>
      <c r="D109" s="9"/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11" t="s">
        <v>10</v>
      </c>
    </row>
    <row r="110" spans="1:46" ht="15.1" customHeight="1">
      <c r="A110" s="8"/>
      <c r="B110" s="9"/>
      <c r="C110" s="8"/>
      <c r="D110" s="9"/>
      <c r="E110" s="8">
        <v>0</v>
      </c>
      <c r="F110" s="8">
        <v>2</v>
      </c>
      <c r="G110" s="8">
        <v>0</v>
      </c>
      <c r="H110" s="8">
        <v>3</v>
      </c>
      <c r="I110" s="8">
        <v>3</v>
      </c>
      <c r="J110" s="8">
        <v>3</v>
      </c>
      <c r="K110" s="8">
        <v>5</v>
      </c>
      <c r="L110" s="8">
        <v>5</v>
      </c>
      <c r="M110" s="8">
        <v>3</v>
      </c>
      <c r="N110" s="8">
        <v>13</v>
      </c>
      <c r="O110" s="8">
        <v>7</v>
      </c>
      <c r="P110" s="8">
        <v>5</v>
      </c>
      <c r="Q110" s="8">
        <v>3</v>
      </c>
      <c r="R110" s="8">
        <v>3</v>
      </c>
      <c r="S110" s="8">
        <v>7</v>
      </c>
      <c r="T110" s="8">
        <v>3</v>
      </c>
      <c r="U110" s="8">
        <v>8</v>
      </c>
      <c r="V110" s="8">
        <v>5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11" t="s">
        <v>10</v>
      </c>
    </row>
    <row r="111" spans="1:46" ht="15.1" customHeight="1">
      <c r="A111" s="8">
        <v>36</v>
      </c>
      <c r="B111" s="9" t="s">
        <v>136</v>
      </c>
      <c r="C111" s="8" t="s">
        <v>137</v>
      </c>
      <c r="D111" s="9" t="s">
        <v>66</v>
      </c>
      <c r="E111" s="8" t="s">
        <v>54</v>
      </c>
      <c r="F111" s="8" t="s">
        <v>54</v>
      </c>
      <c r="G111" s="10" t="s">
        <v>67</v>
      </c>
      <c r="H111" s="8" t="s">
        <v>54</v>
      </c>
      <c r="I111" s="8" t="s">
        <v>54</v>
      </c>
      <c r="J111" s="8" t="s">
        <v>54</v>
      </c>
      <c r="K111" s="8" t="s">
        <v>54</v>
      </c>
      <c r="L111" s="12" t="s">
        <v>55</v>
      </c>
      <c r="M111" s="12" t="s">
        <v>55</v>
      </c>
      <c r="N111" s="10" t="s">
        <v>67</v>
      </c>
      <c r="O111" s="12" t="s">
        <v>55</v>
      </c>
      <c r="P111" s="8" t="s">
        <v>54</v>
      </c>
      <c r="Q111" s="8" t="s">
        <v>54</v>
      </c>
      <c r="R111" s="8" t="s">
        <v>54</v>
      </c>
      <c r="S111" s="8" t="s">
        <v>54</v>
      </c>
      <c r="T111" s="8" t="s">
        <v>54</v>
      </c>
      <c r="U111" s="10" t="s">
        <v>67</v>
      </c>
      <c r="V111" s="8" t="s">
        <v>54</v>
      </c>
      <c r="W111" s="8" t="s">
        <v>54</v>
      </c>
      <c r="X111" s="8" t="s">
        <v>54</v>
      </c>
      <c r="Y111" s="8" t="s">
        <v>54</v>
      </c>
      <c r="Z111" s="8" t="s">
        <v>54</v>
      </c>
      <c r="AA111" s="8" t="s">
        <v>54</v>
      </c>
      <c r="AB111" s="10" t="s">
        <v>67</v>
      </c>
      <c r="AC111" s="8" t="s">
        <v>54</v>
      </c>
      <c r="AD111" s="8" t="s">
        <v>54</v>
      </c>
      <c r="AE111" s="8" t="s">
        <v>54</v>
      </c>
      <c r="AF111" s="8" t="s">
        <v>54</v>
      </c>
      <c r="AG111" s="8" t="s">
        <v>54</v>
      </c>
      <c r="AH111" s="8" t="s">
        <v>54</v>
      </c>
      <c r="AI111" s="10" t="s">
        <v>67</v>
      </c>
      <c r="AJ111" s="8">
        <f>COUNTIF($E$111:$AI$111,"P")</f>
        <v>23</v>
      </c>
      <c r="AK111" s="8">
        <f>COUNTIF($E$111:$AI$111,"A")</f>
        <v>3</v>
      </c>
      <c r="AL111" s="8">
        <f>SUM($E$112:$AI$112)</f>
        <v>0</v>
      </c>
      <c r="AM111" s="8">
        <f>SUM($E$113:$AI$113)</f>
        <v>59</v>
      </c>
      <c r="AN111" s="8">
        <f>AL111+AM111</f>
        <v>59</v>
      </c>
      <c r="AO111" s="8">
        <f>COUNTIF($E$111:$AI$111,"CL")</f>
        <v>0</v>
      </c>
      <c r="AP111" s="8">
        <f>COUNTIF($E$111:$AI$111,"SL")</f>
        <v>0</v>
      </c>
      <c r="AQ111" s="8">
        <f>COUNTIF($E$111:$AI$111,"EL")</f>
        <v>0</v>
      </c>
      <c r="AR111" s="8">
        <f>COUNTIF($E$111:$AI$111,"H")</f>
        <v>0</v>
      </c>
      <c r="AS111" s="8"/>
      <c r="AT111" s="11" t="s">
        <v>10</v>
      </c>
    </row>
    <row r="112" spans="1:46" ht="15.1" customHeight="1">
      <c r="A112" s="8"/>
      <c r="B112" s="9"/>
      <c r="C112" s="8"/>
      <c r="D112" s="9"/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11" t="s">
        <v>10</v>
      </c>
    </row>
    <row r="113" spans="1:46" ht="15.1" customHeight="1">
      <c r="A113" s="8"/>
      <c r="B113" s="9"/>
      <c r="C113" s="8"/>
      <c r="D113" s="9"/>
      <c r="E113" s="8">
        <v>3</v>
      </c>
      <c r="F113" s="8">
        <v>3</v>
      </c>
      <c r="G113" s="8">
        <v>10</v>
      </c>
      <c r="H113" s="8">
        <v>3</v>
      </c>
      <c r="I113" s="8">
        <v>3</v>
      </c>
      <c r="J113" s="8">
        <v>3</v>
      </c>
      <c r="K113" s="8">
        <v>5</v>
      </c>
      <c r="L113" s="8">
        <v>0</v>
      </c>
      <c r="M113" s="8">
        <v>0</v>
      </c>
      <c r="N113" s="8">
        <v>0</v>
      </c>
      <c r="O113" s="8">
        <v>0</v>
      </c>
      <c r="P113" s="8">
        <v>5</v>
      </c>
      <c r="Q113" s="8">
        <v>3</v>
      </c>
      <c r="R113" s="8">
        <v>3</v>
      </c>
      <c r="S113" s="8">
        <v>3</v>
      </c>
      <c r="T113" s="8">
        <v>3</v>
      </c>
      <c r="U113" s="8">
        <v>7.5</v>
      </c>
      <c r="V113" s="8">
        <v>4.5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11" t="s">
        <v>10</v>
      </c>
    </row>
    <row r="114" spans="1:46" ht="15.1" customHeight="1">
      <c r="A114" s="8">
        <v>37</v>
      </c>
      <c r="B114" s="9" t="s">
        <v>138</v>
      </c>
      <c r="C114" s="8" t="s">
        <v>139</v>
      </c>
      <c r="D114" s="9" t="s">
        <v>66</v>
      </c>
      <c r="E114" s="8" t="s">
        <v>54</v>
      </c>
      <c r="F114" s="8" t="s">
        <v>54</v>
      </c>
      <c r="G114" s="10" t="s">
        <v>67</v>
      </c>
      <c r="H114" s="8" t="s">
        <v>54</v>
      </c>
      <c r="I114" s="8" t="s">
        <v>54</v>
      </c>
      <c r="J114" s="8" t="s">
        <v>54</v>
      </c>
      <c r="K114" s="8" t="s">
        <v>54</v>
      </c>
      <c r="L114" s="8" t="s">
        <v>54</v>
      </c>
      <c r="M114" s="8" t="s">
        <v>54</v>
      </c>
      <c r="N114" s="10" t="s">
        <v>67</v>
      </c>
      <c r="O114" s="8" t="s">
        <v>54</v>
      </c>
      <c r="P114" s="8" t="s">
        <v>54</v>
      </c>
      <c r="Q114" s="8" t="s">
        <v>54</v>
      </c>
      <c r="R114" s="8" t="s">
        <v>54</v>
      </c>
      <c r="S114" s="8" t="s">
        <v>54</v>
      </c>
      <c r="T114" s="8" t="s">
        <v>54</v>
      </c>
      <c r="U114" s="10" t="s">
        <v>67</v>
      </c>
      <c r="V114" s="8" t="s">
        <v>54</v>
      </c>
      <c r="W114" s="8" t="s">
        <v>54</v>
      </c>
      <c r="X114" s="8" t="s">
        <v>54</v>
      </c>
      <c r="Y114" s="8" t="s">
        <v>54</v>
      </c>
      <c r="Z114" s="8" t="s">
        <v>54</v>
      </c>
      <c r="AA114" s="8" t="s">
        <v>54</v>
      </c>
      <c r="AB114" s="10" t="s">
        <v>67</v>
      </c>
      <c r="AC114" s="8" t="s">
        <v>54</v>
      </c>
      <c r="AD114" s="8" t="s">
        <v>54</v>
      </c>
      <c r="AE114" s="8" t="s">
        <v>54</v>
      </c>
      <c r="AF114" s="8" t="s">
        <v>54</v>
      </c>
      <c r="AG114" s="8" t="s">
        <v>54</v>
      </c>
      <c r="AH114" s="8" t="s">
        <v>54</v>
      </c>
      <c r="AI114" s="10" t="s">
        <v>67</v>
      </c>
      <c r="AJ114" s="8">
        <f>COUNTIF($E$114:$AI$114,"P")</f>
        <v>26</v>
      </c>
      <c r="AK114" s="8">
        <f>COUNTIF($E$114:$AI$114,"A")</f>
        <v>0</v>
      </c>
      <c r="AL114" s="8">
        <f>SUM($E$115:$AI$115)</f>
        <v>0</v>
      </c>
      <c r="AM114" s="8">
        <f>SUM($E$116:$AI$116)</f>
        <v>143</v>
      </c>
      <c r="AN114" s="8">
        <f>AL114+AM114</f>
        <v>143</v>
      </c>
      <c r="AO114" s="8">
        <f>COUNTIF($E$114:$AI$114,"CL")</f>
        <v>0</v>
      </c>
      <c r="AP114" s="8">
        <f>COUNTIF($E$114:$AI$114,"SL")</f>
        <v>0</v>
      </c>
      <c r="AQ114" s="8">
        <f>COUNTIF($E$114:$AI$114,"EL")</f>
        <v>0</v>
      </c>
      <c r="AR114" s="8">
        <f>COUNTIF($E$114:$AI$114,"H")</f>
        <v>0</v>
      </c>
      <c r="AS114" s="8"/>
      <c r="AT114" s="11" t="s">
        <v>10</v>
      </c>
    </row>
    <row r="115" spans="1:46" ht="15.1" customHeight="1">
      <c r="A115" s="8"/>
      <c r="B115" s="9"/>
      <c r="C115" s="8"/>
      <c r="D115" s="9"/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11" t="s">
        <v>10</v>
      </c>
    </row>
    <row r="116" spans="1:46" ht="15.1" customHeight="1">
      <c r="A116" s="8"/>
      <c r="B116" s="9"/>
      <c r="C116" s="8"/>
      <c r="D116" s="9"/>
      <c r="E116" s="8">
        <v>7</v>
      </c>
      <c r="F116" s="8">
        <v>3</v>
      </c>
      <c r="G116" s="8">
        <v>13</v>
      </c>
      <c r="H116" s="8">
        <v>3</v>
      </c>
      <c r="I116" s="8">
        <v>7</v>
      </c>
      <c r="J116" s="8">
        <v>7</v>
      </c>
      <c r="K116" s="8">
        <v>7</v>
      </c>
      <c r="L116" s="8">
        <v>3</v>
      </c>
      <c r="M116" s="8">
        <v>4</v>
      </c>
      <c r="N116" s="8">
        <v>17</v>
      </c>
      <c r="O116" s="8">
        <v>7</v>
      </c>
      <c r="P116" s="8">
        <v>7</v>
      </c>
      <c r="Q116" s="8">
        <v>7</v>
      </c>
      <c r="R116" s="8">
        <v>7</v>
      </c>
      <c r="S116" s="8">
        <v>7</v>
      </c>
      <c r="T116" s="8">
        <v>5</v>
      </c>
      <c r="U116" s="8">
        <v>8</v>
      </c>
      <c r="V116" s="8">
        <v>5</v>
      </c>
      <c r="W116" s="8">
        <v>5</v>
      </c>
      <c r="X116" s="8">
        <v>5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3</v>
      </c>
      <c r="AE116" s="8">
        <v>0</v>
      </c>
      <c r="AF116" s="8">
        <v>3</v>
      </c>
      <c r="AG116" s="8">
        <v>3</v>
      </c>
      <c r="AH116" s="8">
        <v>0</v>
      </c>
      <c r="AI116" s="8">
        <v>0</v>
      </c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11" t="s">
        <v>10</v>
      </c>
    </row>
    <row r="117" spans="1:46" ht="15.1" customHeight="1">
      <c r="A117" s="8">
        <v>38</v>
      </c>
      <c r="B117" s="9" t="s">
        <v>140</v>
      </c>
      <c r="C117" s="8" t="s">
        <v>141</v>
      </c>
      <c r="D117" s="9" t="s">
        <v>66</v>
      </c>
      <c r="E117" s="8" t="s">
        <v>54</v>
      </c>
      <c r="F117" s="12" t="s">
        <v>55</v>
      </c>
      <c r="G117" s="10" t="s">
        <v>67</v>
      </c>
      <c r="H117" s="12" t="s">
        <v>55</v>
      </c>
      <c r="I117" s="12" t="s">
        <v>55</v>
      </c>
      <c r="J117" s="8" t="s">
        <v>54</v>
      </c>
      <c r="K117" s="8" t="s">
        <v>54</v>
      </c>
      <c r="L117" s="8" t="s">
        <v>54</v>
      </c>
      <c r="M117" s="8" t="s">
        <v>54</v>
      </c>
      <c r="N117" s="10" t="s">
        <v>67</v>
      </c>
      <c r="O117" s="12" t="s">
        <v>55</v>
      </c>
      <c r="P117" s="12" t="s">
        <v>55</v>
      </c>
      <c r="Q117" s="12" t="s">
        <v>55</v>
      </c>
      <c r="R117" s="12" t="s">
        <v>55</v>
      </c>
      <c r="S117" s="12" t="s">
        <v>55</v>
      </c>
      <c r="T117" s="12" t="s">
        <v>55</v>
      </c>
      <c r="U117" s="10" t="s">
        <v>67</v>
      </c>
      <c r="V117" s="8" t="s">
        <v>54</v>
      </c>
      <c r="W117" s="8" t="s">
        <v>54</v>
      </c>
      <c r="X117" s="8" t="s">
        <v>54</v>
      </c>
      <c r="Y117" s="8" t="s">
        <v>54</v>
      </c>
      <c r="Z117" s="8" t="s">
        <v>54</v>
      </c>
      <c r="AA117" s="8" t="s">
        <v>54</v>
      </c>
      <c r="AB117" s="10" t="s">
        <v>67</v>
      </c>
      <c r="AC117" s="12" t="s">
        <v>55</v>
      </c>
      <c r="AD117" s="12" t="s">
        <v>55</v>
      </c>
      <c r="AE117" s="12" t="s">
        <v>55</v>
      </c>
      <c r="AF117" s="12" t="s">
        <v>55</v>
      </c>
      <c r="AG117" s="12" t="s">
        <v>55</v>
      </c>
      <c r="AH117" s="12" t="s">
        <v>55</v>
      </c>
      <c r="AI117" s="10" t="s">
        <v>67</v>
      </c>
      <c r="AJ117" s="8">
        <f>COUNTIF($E$117:$AI$117,"P")</f>
        <v>11</v>
      </c>
      <c r="AK117" s="8">
        <f>COUNTIF($E$117:$AI$117,"A")</f>
        <v>15</v>
      </c>
      <c r="AL117" s="8">
        <f>SUM($E$118:$AI$118)</f>
        <v>0</v>
      </c>
      <c r="AM117" s="8">
        <f>SUM($E$119:$AI$119)</f>
        <v>28</v>
      </c>
      <c r="AN117" s="8">
        <f>AL117+AM117</f>
        <v>28</v>
      </c>
      <c r="AO117" s="8">
        <f>COUNTIF($E$117:$AI$117,"CL")</f>
        <v>0</v>
      </c>
      <c r="AP117" s="8">
        <f>COUNTIF($E$117:$AI$117,"SL")</f>
        <v>0</v>
      </c>
      <c r="AQ117" s="8">
        <f>COUNTIF($E$117:$AI$117,"EL")</f>
        <v>0</v>
      </c>
      <c r="AR117" s="8">
        <f>COUNTIF($E$117:$AI$117,"H")</f>
        <v>0</v>
      </c>
      <c r="AS117" s="8"/>
      <c r="AT117" s="11" t="s">
        <v>10</v>
      </c>
    </row>
    <row r="118" spans="1:46" ht="15.1" customHeight="1">
      <c r="A118" s="8"/>
      <c r="B118" s="9"/>
      <c r="C118" s="8"/>
      <c r="D118" s="9"/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11" t="s">
        <v>10</v>
      </c>
    </row>
    <row r="119" spans="1:46" ht="15.1" customHeight="1">
      <c r="A119" s="8"/>
      <c r="B119" s="9"/>
      <c r="C119" s="8"/>
      <c r="D119" s="9"/>
      <c r="E119" s="8">
        <v>2</v>
      </c>
      <c r="F119" s="8">
        <v>0</v>
      </c>
      <c r="G119" s="8">
        <v>0</v>
      </c>
      <c r="H119" s="8">
        <v>0</v>
      </c>
      <c r="I119" s="8">
        <v>0</v>
      </c>
      <c r="J119" s="8">
        <v>6</v>
      </c>
      <c r="K119" s="8">
        <v>3</v>
      </c>
      <c r="L119" s="8">
        <v>3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5</v>
      </c>
      <c r="W119" s="8">
        <v>5</v>
      </c>
      <c r="X119" s="8">
        <v>4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11" t="s">
        <v>10</v>
      </c>
    </row>
    <row r="120" spans="1:46" ht="15.1" customHeight="1">
      <c r="A120" s="8">
        <v>39</v>
      </c>
      <c r="B120" s="9" t="s">
        <v>142</v>
      </c>
      <c r="C120" s="8" t="s">
        <v>143</v>
      </c>
      <c r="D120" s="9" t="s">
        <v>66</v>
      </c>
      <c r="E120" s="8" t="s">
        <v>54</v>
      </c>
      <c r="F120" s="8" t="s">
        <v>54</v>
      </c>
      <c r="G120" s="10" t="s">
        <v>67</v>
      </c>
      <c r="H120" s="8" t="s">
        <v>54</v>
      </c>
      <c r="I120" s="8" t="s">
        <v>54</v>
      </c>
      <c r="J120" s="8" t="s">
        <v>54</v>
      </c>
      <c r="K120" s="8" t="s">
        <v>54</v>
      </c>
      <c r="L120" s="8" t="s">
        <v>54</v>
      </c>
      <c r="M120" s="12" t="s">
        <v>55</v>
      </c>
      <c r="N120" s="10" t="s">
        <v>67</v>
      </c>
      <c r="O120" s="8" t="s">
        <v>54</v>
      </c>
      <c r="P120" s="8" t="s">
        <v>54</v>
      </c>
      <c r="Q120" s="8" t="s">
        <v>54</v>
      </c>
      <c r="R120" s="8" t="s">
        <v>54</v>
      </c>
      <c r="S120" s="8" t="s">
        <v>54</v>
      </c>
      <c r="T120" s="8" t="s">
        <v>54</v>
      </c>
      <c r="U120" s="10" t="s">
        <v>67</v>
      </c>
      <c r="V120" s="8" t="s">
        <v>54</v>
      </c>
      <c r="W120" s="8" t="s">
        <v>54</v>
      </c>
      <c r="X120" s="8" t="s">
        <v>54</v>
      </c>
      <c r="Y120" s="8" t="s">
        <v>54</v>
      </c>
      <c r="Z120" s="8" t="s">
        <v>54</v>
      </c>
      <c r="AA120" s="8" t="s">
        <v>54</v>
      </c>
      <c r="AB120" s="10" t="s">
        <v>67</v>
      </c>
      <c r="AC120" s="8" t="s">
        <v>54</v>
      </c>
      <c r="AD120" s="8" t="s">
        <v>54</v>
      </c>
      <c r="AE120" s="8" t="s">
        <v>54</v>
      </c>
      <c r="AF120" s="8" t="s">
        <v>54</v>
      </c>
      <c r="AG120" s="8" t="s">
        <v>54</v>
      </c>
      <c r="AH120" s="8" t="s">
        <v>54</v>
      </c>
      <c r="AI120" s="10" t="s">
        <v>67</v>
      </c>
      <c r="AJ120" s="8">
        <f>COUNTIF($E$120:$AI$120,"P")</f>
        <v>25</v>
      </c>
      <c r="AK120" s="8">
        <f>COUNTIF($E$120:$AI$120,"A")</f>
        <v>1</v>
      </c>
      <c r="AL120" s="8">
        <f>SUM($E$121:$AI$121)</f>
        <v>0</v>
      </c>
      <c r="AM120" s="8">
        <f>SUM($E$122:$AI$122)</f>
        <v>77</v>
      </c>
      <c r="AN120" s="8">
        <f>AL120+AM120</f>
        <v>77</v>
      </c>
      <c r="AO120" s="8">
        <f>COUNTIF($E$120:$AI$120,"CL")</f>
        <v>0</v>
      </c>
      <c r="AP120" s="8">
        <f>COUNTIF($E$120:$AI$120,"SL")</f>
        <v>0</v>
      </c>
      <c r="AQ120" s="8">
        <f>COUNTIF($E$120:$AI$120,"EL")</f>
        <v>0</v>
      </c>
      <c r="AR120" s="8">
        <f>COUNTIF($E$120:$AI$120,"H")</f>
        <v>0</v>
      </c>
      <c r="AS120" s="8"/>
      <c r="AT120" s="11" t="s">
        <v>10</v>
      </c>
    </row>
    <row r="121" spans="1:46" ht="15.1" customHeight="1">
      <c r="A121" s="8"/>
      <c r="B121" s="9"/>
      <c r="C121" s="8"/>
      <c r="D121" s="9"/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11" t="s">
        <v>10</v>
      </c>
    </row>
    <row r="122" spans="1:46" ht="15.1" customHeight="1">
      <c r="A122" s="8"/>
      <c r="B122" s="9"/>
      <c r="C122" s="8"/>
      <c r="D122" s="9"/>
      <c r="E122" s="8">
        <v>3</v>
      </c>
      <c r="F122" s="8">
        <v>3</v>
      </c>
      <c r="G122" s="8">
        <v>10</v>
      </c>
      <c r="H122" s="8">
        <v>3</v>
      </c>
      <c r="I122" s="8">
        <v>3</v>
      </c>
      <c r="J122" s="8">
        <v>5</v>
      </c>
      <c r="K122" s="8">
        <v>3</v>
      </c>
      <c r="L122" s="8">
        <v>3</v>
      </c>
      <c r="M122" s="8">
        <v>0</v>
      </c>
      <c r="N122" s="8">
        <v>0</v>
      </c>
      <c r="O122" s="8">
        <v>5</v>
      </c>
      <c r="P122" s="8">
        <v>3</v>
      </c>
      <c r="Q122" s="8">
        <v>3</v>
      </c>
      <c r="R122" s="8">
        <v>5</v>
      </c>
      <c r="S122" s="8">
        <v>4</v>
      </c>
      <c r="T122" s="8">
        <v>3</v>
      </c>
      <c r="U122" s="8">
        <v>8</v>
      </c>
      <c r="V122" s="8">
        <v>3</v>
      </c>
      <c r="W122" s="8">
        <v>4</v>
      </c>
      <c r="X122" s="8">
        <v>3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3</v>
      </c>
      <c r="AF122" s="8">
        <v>0</v>
      </c>
      <c r="AG122" s="8">
        <v>0</v>
      </c>
      <c r="AH122" s="8">
        <v>0</v>
      </c>
      <c r="AI122" s="8">
        <v>0</v>
      </c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11" t="s">
        <v>10</v>
      </c>
    </row>
    <row r="123" spans="1:46" ht="15.1" customHeight="1">
      <c r="A123" s="8">
        <v>40</v>
      </c>
      <c r="B123" s="9" t="s">
        <v>144</v>
      </c>
      <c r="C123" s="8" t="s">
        <v>145</v>
      </c>
      <c r="D123" s="9" t="s">
        <v>66</v>
      </c>
      <c r="E123" s="8" t="s">
        <v>54</v>
      </c>
      <c r="F123" s="8" t="s">
        <v>54</v>
      </c>
      <c r="G123" s="10" t="s">
        <v>67</v>
      </c>
      <c r="H123" s="12" t="s">
        <v>55</v>
      </c>
      <c r="I123" s="12" t="s">
        <v>55</v>
      </c>
      <c r="J123" s="12" t="s">
        <v>55</v>
      </c>
      <c r="K123" s="12" t="s">
        <v>55</v>
      </c>
      <c r="L123" s="12" t="s">
        <v>55</v>
      </c>
      <c r="M123" s="12" t="s">
        <v>55</v>
      </c>
      <c r="N123" s="10" t="s">
        <v>67</v>
      </c>
      <c r="O123" s="12" t="s">
        <v>55</v>
      </c>
      <c r="P123" s="12" t="s">
        <v>55</v>
      </c>
      <c r="Q123" s="12" t="s">
        <v>55</v>
      </c>
      <c r="R123" s="12" t="s">
        <v>55</v>
      </c>
      <c r="S123" s="12" t="s">
        <v>55</v>
      </c>
      <c r="T123" s="12" t="s">
        <v>55</v>
      </c>
      <c r="U123" s="10" t="s">
        <v>67</v>
      </c>
      <c r="V123" s="12" t="s">
        <v>55</v>
      </c>
      <c r="W123" s="12" t="s">
        <v>55</v>
      </c>
      <c r="X123" s="12" t="s">
        <v>55</v>
      </c>
      <c r="Y123" s="12" t="s">
        <v>55</v>
      </c>
      <c r="Z123" s="12" t="s">
        <v>55</v>
      </c>
      <c r="AA123" s="12" t="s">
        <v>55</v>
      </c>
      <c r="AB123" s="10" t="s">
        <v>67</v>
      </c>
      <c r="AC123" s="12" t="s">
        <v>55</v>
      </c>
      <c r="AD123" s="12" t="s">
        <v>55</v>
      </c>
      <c r="AE123" s="12" t="s">
        <v>55</v>
      </c>
      <c r="AF123" s="12" t="s">
        <v>55</v>
      </c>
      <c r="AG123" s="12" t="s">
        <v>55</v>
      </c>
      <c r="AH123" s="12" t="s">
        <v>55</v>
      </c>
      <c r="AI123" s="10" t="s">
        <v>67</v>
      </c>
      <c r="AJ123" s="8">
        <f>COUNTIF($E$123:$AI$123,"P")</f>
        <v>2</v>
      </c>
      <c r="AK123" s="8">
        <f>COUNTIF($E$123:$AI$123,"A")</f>
        <v>24</v>
      </c>
      <c r="AL123" s="8">
        <f>SUM($E$124:$AI$124)</f>
        <v>0</v>
      </c>
      <c r="AM123" s="8">
        <f>SUM($E$125:$AI$125)</f>
        <v>26</v>
      </c>
      <c r="AN123" s="8">
        <f>AL123+AM123</f>
        <v>26</v>
      </c>
      <c r="AO123" s="8">
        <f>COUNTIF($E$123:$AI$123,"CL")</f>
        <v>0</v>
      </c>
      <c r="AP123" s="8">
        <f>COUNTIF($E$123:$AI$123,"SL")</f>
        <v>0</v>
      </c>
      <c r="AQ123" s="8">
        <f>COUNTIF($E$123:$AI$123,"EL")</f>
        <v>0</v>
      </c>
      <c r="AR123" s="8">
        <f>COUNTIF($E$123:$AI$123,"H")</f>
        <v>0</v>
      </c>
      <c r="AS123" s="8"/>
      <c r="AT123" s="11" t="s">
        <v>10</v>
      </c>
    </row>
    <row r="124" spans="1:46" ht="15.1" customHeight="1">
      <c r="A124" s="8"/>
      <c r="B124" s="9"/>
      <c r="C124" s="8"/>
      <c r="D124" s="9"/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11" t="s">
        <v>10</v>
      </c>
    </row>
    <row r="125" spans="1:46" ht="15.1" customHeight="1">
      <c r="A125" s="8"/>
      <c r="B125" s="9"/>
      <c r="C125" s="8"/>
      <c r="D125" s="9"/>
      <c r="E125" s="8">
        <v>3</v>
      </c>
      <c r="F125" s="8">
        <v>3</v>
      </c>
      <c r="G125" s="8">
        <v>20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11" t="s">
        <v>10</v>
      </c>
    </row>
    <row r="126" spans="1:46" ht="15.1" customHeight="1">
      <c r="A126" s="8">
        <v>41</v>
      </c>
      <c r="B126" s="9" t="s">
        <v>146</v>
      </c>
      <c r="C126" s="8" t="s">
        <v>147</v>
      </c>
      <c r="D126" s="9" t="s">
        <v>66</v>
      </c>
      <c r="E126" s="8" t="s">
        <v>54</v>
      </c>
      <c r="F126" s="8" t="s">
        <v>54</v>
      </c>
      <c r="G126" s="10" t="s">
        <v>67</v>
      </c>
      <c r="H126" s="8" t="s">
        <v>54</v>
      </c>
      <c r="I126" s="8" t="s">
        <v>54</v>
      </c>
      <c r="J126" s="8" t="s">
        <v>54</v>
      </c>
      <c r="K126" s="8" t="s">
        <v>54</v>
      </c>
      <c r="L126" s="8" t="s">
        <v>54</v>
      </c>
      <c r="M126" s="8" t="s">
        <v>54</v>
      </c>
      <c r="N126" s="10" t="s">
        <v>67</v>
      </c>
      <c r="O126" s="8" t="s">
        <v>54</v>
      </c>
      <c r="P126" s="8" t="s">
        <v>54</v>
      </c>
      <c r="Q126" s="8" t="s">
        <v>54</v>
      </c>
      <c r="R126" s="8" t="s">
        <v>54</v>
      </c>
      <c r="S126" s="8" t="s">
        <v>54</v>
      </c>
      <c r="T126" s="8" t="s">
        <v>54</v>
      </c>
      <c r="U126" s="10" t="s">
        <v>67</v>
      </c>
      <c r="V126" s="8" t="s">
        <v>54</v>
      </c>
      <c r="W126" s="8" t="s">
        <v>54</v>
      </c>
      <c r="X126" s="8" t="s">
        <v>54</v>
      </c>
      <c r="Y126" s="8" t="s">
        <v>54</v>
      </c>
      <c r="Z126" s="8" t="s">
        <v>54</v>
      </c>
      <c r="AA126" s="8" t="s">
        <v>54</v>
      </c>
      <c r="AB126" s="10" t="s">
        <v>67</v>
      </c>
      <c r="AC126" s="8" t="s">
        <v>54</v>
      </c>
      <c r="AD126" s="8" t="s">
        <v>54</v>
      </c>
      <c r="AE126" s="8" t="s">
        <v>54</v>
      </c>
      <c r="AF126" s="8" t="s">
        <v>54</v>
      </c>
      <c r="AG126" s="8" t="s">
        <v>54</v>
      </c>
      <c r="AH126" s="8" t="s">
        <v>54</v>
      </c>
      <c r="AI126" s="10" t="s">
        <v>67</v>
      </c>
      <c r="AJ126" s="8">
        <f>COUNTIF($E$126:$AI$126,"P")</f>
        <v>26</v>
      </c>
      <c r="AK126" s="8">
        <f>COUNTIF($E$126:$AI$126,"A")</f>
        <v>0</v>
      </c>
      <c r="AL126" s="8">
        <f>SUM($E$127:$AI$127)</f>
        <v>0</v>
      </c>
      <c r="AM126" s="8">
        <f>SUM($E$128:$AI$128)</f>
        <v>142</v>
      </c>
      <c r="AN126" s="8">
        <f>AL126+AM126</f>
        <v>142</v>
      </c>
      <c r="AO126" s="8">
        <f>COUNTIF($E$126:$AI$126,"CL")</f>
        <v>0</v>
      </c>
      <c r="AP126" s="8">
        <f>COUNTIF($E$126:$AI$126,"SL")</f>
        <v>0</v>
      </c>
      <c r="AQ126" s="8">
        <f>COUNTIF($E$126:$AI$126,"EL")</f>
        <v>0</v>
      </c>
      <c r="AR126" s="8">
        <f>COUNTIF($E$126:$AI$126,"H")</f>
        <v>0</v>
      </c>
      <c r="AS126" s="8"/>
      <c r="AT126" s="11" t="s">
        <v>10</v>
      </c>
    </row>
    <row r="127" spans="1:46" ht="15.1" customHeight="1">
      <c r="A127" s="8"/>
      <c r="B127" s="9"/>
      <c r="C127" s="8"/>
      <c r="D127" s="9"/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11" t="s">
        <v>10</v>
      </c>
    </row>
    <row r="128" spans="1:46" ht="15.1" customHeight="1">
      <c r="A128" s="8"/>
      <c r="B128" s="9"/>
      <c r="C128" s="8"/>
      <c r="D128" s="9"/>
      <c r="E128" s="8">
        <v>7</v>
      </c>
      <c r="F128" s="8">
        <v>3</v>
      </c>
      <c r="G128" s="8">
        <v>13</v>
      </c>
      <c r="H128" s="8">
        <v>5</v>
      </c>
      <c r="I128" s="8">
        <v>7</v>
      </c>
      <c r="J128" s="8">
        <v>7</v>
      </c>
      <c r="K128" s="8">
        <v>7</v>
      </c>
      <c r="L128" s="8">
        <v>3</v>
      </c>
      <c r="M128" s="8">
        <v>5</v>
      </c>
      <c r="N128" s="8">
        <v>17</v>
      </c>
      <c r="O128" s="8">
        <v>7</v>
      </c>
      <c r="P128" s="8">
        <v>7</v>
      </c>
      <c r="Q128" s="8">
        <v>7</v>
      </c>
      <c r="R128" s="8">
        <v>7</v>
      </c>
      <c r="S128" s="8">
        <v>7</v>
      </c>
      <c r="T128" s="8">
        <v>5</v>
      </c>
      <c r="U128" s="8">
        <v>13</v>
      </c>
      <c r="V128" s="8">
        <v>5</v>
      </c>
      <c r="W128" s="8">
        <v>5</v>
      </c>
      <c r="X128" s="8">
        <v>5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11" t="s">
        <v>10</v>
      </c>
    </row>
    <row r="129" spans="1:46" ht="15.1" customHeight="1">
      <c r="A129" s="8">
        <v>42</v>
      </c>
      <c r="B129" s="9" t="s">
        <v>148</v>
      </c>
      <c r="C129" s="8" t="s">
        <v>149</v>
      </c>
      <c r="D129" s="9" t="s">
        <v>66</v>
      </c>
      <c r="E129" s="8" t="s">
        <v>54</v>
      </c>
      <c r="F129" s="8" t="s">
        <v>54</v>
      </c>
      <c r="G129" s="10" t="s">
        <v>67</v>
      </c>
      <c r="H129" s="8" t="s">
        <v>54</v>
      </c>
      <c r="I129" s="8" t="s">
        <v>54</v>
      </c>
      <c r="J129" s="8" t="s">
        <v>54</v>
      </c>
      <c r="K129" s="8" t="s">
        <v>54</v>
      </c>
      <c r="L129" s="8" t="s">
        <v>54</v>
      </c>
      <c r="M129" s="8" t="s">
        <v>54</v>
      </c>
      <c r="N129" s="10" t="s">
        <v>67</v>
      </c>
      <c r="O129" s="8" t="s">
        <v>54</v>
      </c>
      <c r="P129" s="8" t="s">
        <v>54</v>
      </c>
      <c r="Q129" s="8" t="s">
        <v>54</v>
      </c>
      <c r="R129" s="8" t="s">
        <v>54</v>
      </c>
      <c r="S129" s="8" t="s">
        <v>54</v>
      </c>
      <c r="T129" s="8" t="s">
        <v>54</v>
      </c>
      <c r="U129" s="10" t="s">
        <v>67</v>
      </c>
      <c r="V129" s="8" t="s">
        <v>54</v>
      </c>
      <c r="W129" s="8" t="s">
        <v>54</v>
      </c>
      <c r="X129" s="8" t="s">
        <v>54</v>
      </c>
      <c r="Y129" s="8" t="s">
        <v>54</v>
      </c>
      <c r="Z129" s="8" t="s">
        <v>54</v>
      </c>
      <c r="AA129" s="8" t="s">
        <v>54</v>
      </c>
      <c r="AB129" s="10" t="s">
        <v>67</v>
      </c>
      <c r="AC129" s="8" t="s">
        <v>54</v>
      </c>
      <c r="AD129" s="12" t="s">
        <v>55</v>
      </c>
      <c r="AE129" s="12" t="s">
        <v>55</v>
      </c>
      <c r="AF129" s="12" t="s">
        <v>55</v>
      </c>
      <c r="AG129" s="12" t="s">
        <v>55</v>
      </c>
      <c r="AH129" s="12" t="s">
        <v>55</v>
      </c>
      <c r="AI129" s="10" t="s">
        <v>67</v>
      </c>
      <c r="AJ129" s="8">
        <f>COUNTIF($E$129:$AI$129,"P")</f>
        <v>21</v>
      </c>
      <c r="AK129" s="8">
        <f>COUNTIF($E$129:$AI$129,"A")</f>
        <v>5</v>
      </c>
      <c r="AL129" s="8">
        <f>SUM($E$130:$AI$130)</f>
        <v>0</v>
      </c>
      <c r="AM129" s="8">
        <f>SUM($E$131:$AI$131)</f>
        <v>121</v>
      </c>
      <c r="AN129" s="8">
        <f>AL129+AM129</f>
        <v>121</v>
      </c>
      <c r="AO129" s="8">
        <f>COUNTIF($E$129:$AI$129,"CL")</f>
        <v>0</v>
      </c>
      <c r="AP129" s="8">
        <f>COUNTIF($E$129:$AI$129,"SL")</f>
        <v>0</v>
      </c>
      <c r="AQ129" s="8">
        <f>COUNTIF($E$129:$AI$129,"EL")</f>
        <v>0</v>
      </c>
      <c r="AR129" s="8">
        <f>COUNTIF($E$129:$AI$129,"H")</f>
        <v>0</v>
      </c>
      <c r="AS129" s="8"/>
      <c r="AT129" s="11" t="s">
        <v>10</v>
      </c>
    </row>
    <row r="130" spans="1:46" ht="15.1" customHeight="1">
      <c r="A130" s="8"/>
      <c r="B130" s="9"/>
      <c r="C130" s="8"/>
      <c r="D130" s="9"/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11" t="s">
        <v>10</v>
      </c>
    </row>
    <row r="131" spans="1:46" ht="15.1" customHeight="1">
      <c r="A131" s="8"/>
      <c r="B131" s="9"/>
      <c r="C131" s="8"/>
      <c r="D131" s="9"/>
      <c r="E131" s="8">
        <v>3</v>
      </c>
      <c r="F131" s="8">
        <v>3</v>
      </c>
      <c r="G131" s="8">
        <v>13</v>
      </c>
      <c r="H131" s="8">
        <v>3</v>
      </c>
      <c r="I131" s="8">
        <v>7</v>
      </c>
      <c r="J131" s="8">
        <v>7</v>
      </c>
      <c r="K131" s="8">
        <v>3</v>
      </c>
      <c r="L131" s="8">
        <v>3</v>
      </c>
      <c r="M131" s="8">
        <v>4</v>
      </c>
      <c r="N131" s="8">
        <v>15</v>
      </c>
      <c r="O131" s="8">
        <v>5</v>
      </c>
      <c r="P131" s="8">
        <v>7</v>
      </c>
      <c r="Q131" s="8">
        <v>6</v>
      </c>
      <c r="R131" s="8">
        <v>7</v>
      </c>
      <c r="S131" s="8">
        <v>7</v>
      </c>
      <c r="T131" s="8">
        <v>3</v>
      </c>
      <c r="U131" s="8">
        <v>10</v>
      </c>
      <c r="V131" s="8">
        <v>5</v>
      </c>
      <c r="W131" s="8">
        <v>5</v>
      </c>
      <c r="X131" s="8">
        <v>5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11" t="s">
        <v>10</v>
      </c>
    </row>
    <row r="132" spans="1:46" ht="15.1" customHeight="1">
      <c r="A132" s="8">
        <v>43</v>
      </c>
      <c r="B132" s="9" t="s">
        <v>150</v>
      </c>
      <c r="C132" s="8" t="s">
        <v>151</v>
      </c>
      <c r="D132" s="9" t="s">
        <v>66</v>
      </c>
      <c r="E132" s="8" t="s">
        <v>54</v>
      </c>
      <c r="F132" s="8" t="s">
        <v>54</v>
      </c>
      <c r="G132" s="10" t="s">
        <v>67</v>
      </c>
      <c r="H132" s="8" t="s">
        <v>54</v>
      </c>
      <c r="I132" s="8" t="s">
        <v>54</v>
      </c>
      <c r="J132" s="8" t="s">
        <v>54</v>
      </c>
      <c r="K132" s="8" t="s">
        <v>54</v>
      </c>
      <c r="L132" s="8" t="s">
        <v>54</v>
      </c>
      <c r="M132" s="8" t="s">
        <v>54</v>
      </c>
      <c r="N132" s="10" t="s">
        <v>67</v>
      </c>
      <c r="O132" s="8" t="s">
        <v>54</v>
      </c>
      <c r="P132" s="8" t="s">
        <v>54</v>
      </c>
      <c r="Q132" s="8" t="s">
        <v>54</v>
      </c>
      <c r="R132" s="8" t="s">
        <v>54</v>
      </c>
      <c r="S132" s="8" t="s">
        <v>54</v>
      </c>
      <c r="T132" s="8" t="s">
        <v>54</v>
      </c>
      <c r="U132" s="10" t="s">
        <v>67</v>
      </c>
      <c r="V132" s="8" t="s">
        <v>54</v>
      </c>
      <c r="W132" s="8" t="s">
        <v>54</v>
      </c>
      <c r="X132" s="8" t="s">
        <v>54</v>
      </c>
      <c r="Y132" s="8" t="s">
        <v>54</v>
      </c>
      <c r="Z132" s="8" t="s">
        <v>54</v>
      </c>
      <c r="AA132" s="8" t="s">
        <v>54</v>
      </c>
      <c r="AB132" s="10" t="s">
        <v>67</v>
      </c>
      <c r="AC132" s="8" t="s">
        <v>54</v>
      </c>
      <c r="AD132" s="8" t="s">
        <v>54</v>
      </c>
      <c r="AE132" s="8" t="s">
        <v>54</v>
      </c>
      <c r="AF132" s="8" t="s">
        <v>54</v>
      </c>
      <c r="AG132" s="8" t="s">
        <v>54</v>
      </c>
      <c r="AH132" s="8" t="s">
        <v>54</v>
      </c>
      <c r="AI132" s="10" t="s">
        <v>67</v>
      </c>
      <c r="AJ132" s="8">
        <f>COUNTIF($E$132:$AI$132,"P")</f>
        <v>26</v>
      </c>
      <c r="AK132" s="8">
        <f>COUNTIF($E$132:$AI$132,"A")</f>
        <v>0</v>
      </c>
      <c r="AL132" s="8">
        <f>SUM($E$133:$AI$133)</f>
        <v>0</v>
      </c>
      <c r="AM132" s="8">
        <f>SUM($E$134:$AI$134)</f>
        <v>144</v>
      </c>
      <c r="AN132" s="8">
        <f>AL132+AM132</f>
        <v>144</v>
      </c>
      <c r="AO132" s="8">
        <f>COUNTIF($E$132:$AI$132,"CL")</f>
        <v>0</v>
      </c>
      <c r="AP132" s="8">
        <f>COUNTIF($E$132:$AI$132,"SL")</f>
        <v>0</v>
      </c>
      <c r="AQ132" s="8">
        <f>COUNTIF($E$132:$AI$132,"EL")</f>
        <v>0</v>
      </c>
      <c r="AR132" s="8">
        <f>COUNTIF($E$132:$AI$132,"H")</f>
        <v>0</v>
      </c>
      <c r="AS132" s="8"/>
      <c r="AT132" s="11" t="s">
        <v>10</v>
      </c>
    </row>
    <row r="133" spans="1:46" ht="15.1" customHeight="1">
      <c r="A133" s="8"/>
      <c r="B133" s="9"/>
      <c r="C133" s="8"/>
      <c r="D133" s="9"/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11" t="s">
        <v>10</v>
      </c>
    </row>
    <row r="134" spans="1:46" ht="15.1" customHeight="1">
      <c r="A134" s="8"/>
      <c r="B134" s="9"/>
      <c r="C134" s="8"/>
      <c r="D134" s="9"/>
      <c r="E134" s="8">
        <v>7</v>
      </c>
      <c r="F134" s="8">
        <v>3</v>
      </c>
      <c r="G134" s="8">
        <v>14</v>
      </c>
      <c r="H134" s="8">
        <v>3</v>
      </c>
      <c r="I134" s="8">
        <v>7</v>
      </c>
      <c r="J134" s="8">
        <v>7</v>
      </c>
      <c r="K134" s="8">
        <v>7</v>
      </c>
      <c r="L134" s="8">
        <v>3</v>
      </c>
      <c r="M134" s="8">
        <v>4</v>
      </c>
      <c r="N134" s="8">
        <v>17</v>
      </c>
      <c r="O134" s="8">
        <v>7</v>
      </c>
      <c r="P134" s="8">
        <v>7</v>
      </c>
      <c r="Q134" s="8">
        <v>7</v>
      </c>
      <c r="R134" s="8">
        <v>7</v>
      </c>
      <c r="S134" s="8">
        <v>7</v>
      </c>
      <c r="T134" s="8">
        <v>3</v>
      </c>
      <c r="U134" s="8">
        <v>10</v>
      </c>
      <c r="V134" s="8">
        <v>5</v>
      </c>
      <c r="W134" s="8">
        <v>5</v>
      </c>
      <c r="X134" s="8">
        <v>5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3</v>
      </c>
      <c r="AF134" s="8">
        <v>3</v>
      </c>
      <c r="AG134" s="8">
        <v>3</v>
      </c>
      <c r="AH134" s="8">
        <v>0</v>
      </c>
      <c r="AI134" s="8">
        <v>0</v>
      </c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11" t="s">
        <v>10</v>
      </c>
    </row>
    <row r="135" spans="1:46" ht="15.1" customHeight="1">
      <c r="A135" s="8">
        <v>44</v>
      </c>
      <c r="B135" s="9" t="s">
        <v>152</v>
      </c>
      <c r="C135" s="8" t="s">
        <v>153</v>
      </c>
      <c r="D135" s="9" t="s">
        <v>66</v>
      </c>
      <c r="E135" s="8" t="s">
        <v>54</v>
      </c>
      <c r="F135" s="8" t="s">
        <v>54</v>
      </c>
      <c r="G135" s="10" t="s">
        <v>67</v>
      </c>
      <c r="H135" s="8" t="s">
        <v>54</v>
      </c>
      <c r="I135" s="8" t="s">
        <v>54</v>
      </c>
      <c r="J135" s="8" t="s">
        <v>54</v>
      </c>
      <c r="K135" s="8" t="s">
        <v>54</v>
      </c>
      <c r="L135" s="8" t="s">
        <v>54</v>
      </c>
      <c r="M135" s="8" t="s">
        <v>54</v>
      </c>
      <c r="N135" s="10" t="s">
        <v>67</v>
      </c>
      <c r="O135" s="8" t="s">
        <v>54</v>
      </c>
      <c r="P135" s="8" t="s">
        <v>54</v>
      </c>
      <c r="Q135" s="8" t="s">
        <v>54</v>
      </c>
      <c r="R135" s="8" t="s">
        <v>54</v>
      </c>
      <c r="S135" s="8" t="s">
        <v>54</v>
      </c>
      <c r="T135" s="8" t="s">
        <v>54</v>
      </c>
      <c r="U135" s="10" t="s">
        <v>67</v>
      </c>
      <c r="V135" s="8" t="s">
        <v>54</v>
      </c>
      <c r="W135" s="8" t="s">
        <v>54</v>
      </c>
      <c r="X135" s="8" t="s">
        <v>54</v>
      </c>
      <c r="Y135" s="8" t="s">
        <v>54</v>
      </c>
      <c r="Z135" s="8" t="s">
        <v>54</v>
      </c>
      <c r="AA135" s="8" t="s">
        <v>54</v>
      </c>
      <c r="AB135" s="10" t="s">
        <v>67</v>
      </c>
      <c r="AC135" s="8" t="s">
        <v>54</v>
      </c>
      <c r="AD135" s="8" t="s">
        <v>54</v>
      </c>
      <c r="AE135" s="8" t="s">
        <v>54</v>
      </c>
      <c r="AF135" s="8" t="s">
        <v>54</v>
      </c>
      <c r="AG135" s="8" t="s">
        <v>54</v>
      </c>
      <c r="AH135" s="8" t="s">
        <v>54</v>
      </c>
      <c r="AI135" s="10" t="s">
        <v>67</v>
      </c>
      <c r="AJ135" s="8">
        <f>COUNTIF($E$135:$AI$135,"P")</f>
        <v>26</v>
      </c>
      <c r="AK135" s="8">
        <f>COUNTIF($E$135:$AI$135,"A")</f>
        <v>0</v>
      </c>
      <c r="AL135" s="8">
        <f>SUM($E$136:$AI$136)</f>
        <v>0</v>
      </c>
      <c r="AM135" s="8">
        <f>SUM($E$137:$AI$137)</f>
        <v>106</v>
      </c>
      <c r="AN135" s="8">
        <f>AL135+AM135</f>
        <v>106</v>
      </c>
      <c r="AO135" s="8">
        <f>COUNTIF($E$135:$AI$135,"CL")</f>
        <v>0</v>
      </c>
      <c r="AP135" s="8">
        <f>COUNTIF($E$135:$AI$135,"SL")</f>
        <v>0</v>
      </c>
      <c r="AQ135" s="8">
        <f>COUNTIF($E$135:$AI$135,"EL")</f>
        <v>0</v>
      </c>
      <c r="AR135" s="8">
        <f>COUNTIF($E$135:$AI$135,"H")</f>
        <v>0</v>
      </c>
      <c r="AS135" s="8"/>
      <c r="AT135" s="11" t="s">
        <v>10</v>
      </c>
    </row>
    <row r="136" spans="1:46" ht="15.1" customHeight="1">
      <c r="A136" s="8"/>
      <c r="B136" s="9"/>
      <c r="C136" s="8"/>
      <c r="D136" s="9"/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11" t="s">
        <v>10</v>
      </c>
    </row>
    <row r="137" spans="1:46" ht="15.1" customHeight="1">
      <c r="A137" s="8"/>
      <c r="B137" s="9"/>
      <c r="C137" s="8"/>
      <c r="D137" s="9"/>
      <c r="E137" s="8">
        <v>3</v>
      </c>
      <c r="F137" s="8">
        <v>0</v>
      </c>
      <c r="G137" s="8">
        <v>13</v>
      </c>
      <c r="H137" s="8">
        <v>3</v>
      </c>
      <c r="I137" s="8">
        <v>5</v>
      </c>
      <c r="J137" s="8">
        <v>3</v>
      </c>
      <c r="K137" s="8">
        <v>5</v>
      </c>
      <c r="L137" s="8">
        <v>3</v>
      </c>
      <c r="M137" s="8">
        <v>3</v>
      </c>
      <c r="N137" s="8">
        <v>17</v>
      </c>
      <c r="O137" s="8">
        <v>7</v>
      </c>
      <c r="P137" s="8">
        <v>3</v>
      </c>
      <c r="Q137" s="8">
        <v>3</v>
      </c>
      <c r="R137" s="8">
        <v>5</v>
      </c>
      <c r="S137" s="8">
        <v>5</v>
      </c>
      <c r="T137" s="8">
        <v>5</v>
      </c>
      <c r="U137" s="8">
        <v>8</v>
      </c>
      <c r="V137" s="8">
        <v>5</v>
      </c>
      <c r="W137" s="8">
        <v>5</v>
      </c>
      <c r="X137" s="8">
        <v>5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11" t="s">
        <v>10</v>
      </c>
    </row>
    <row r="138" spans="1:46" ht="15.1" customHeight="1">
      <c r="A138" s="8">
        <v>45</v>
      </c>
      <c r="B138" s="9" t="s">
        <v>154</v>
      </c>
      <c r="C138" s="8" t="s">
        <v>155</v>
      </c>
      <c r="D138" s="9" t="s">
        <v>66</v>
      </c>
      <c r="E138" s="8" t="s">
        <v>54</v>
      </c>
      <c r="F138" s="8" t="s">
        <v>54</v>
      </c>
      <c r="G138" s="10" t="s">
        <v>67</v>
      </c>
      <c r="H138" s="12" t="s">
        <v>55</v>
      </c>
      <c r="I138" s="8" t="s">
        <v>54</v>
      </c>
      <c r="J138" s="8" t="s">
        <v>54</v>
      </c>
      <c r="K138" s="8" t="s">
        <v>54</v>
      </c>
      <c r="L138" s="8" t="s">
        <v>54</v>
      </c>
      <c r="M138" s="8" t="s">
        <v>54</v>
      </c>
      <c r="N138" s="10" t="s">
        <v>67</v>
      </c>
      <c r="O138" s="8" t="s">
        <v>54</v>
      </c>
      <c r="P138" s="12" t="s">
        <v>55</v>
      </c>
      <c r="Q138" s="12" t="s">
        <v>55</v>
      </c>
      <c r="R138" s="8" t="s">
        <v>54</v>
      </c>
      <c r="S138" s="8" t="s">
        <v>54</v>
      </c>
      <c r="T138" s="8" t="s">
        <v>54</v>
      </c>
      <c r="U138" s="10" t="s">
        <v>67</v>
      </c>
      <c r="V138" s="8" t="s">
        <v>54</v>
      </c>
      <c r="W138" s="8" t="s">
        <v>54</v>
      </c>
      <c r="X138" s="8" t="s">
        <v>54</v>
      </c>
      <c r="Y138" s="8" t="s">
        <v>54</v>
      </c>
      <c r="Z138" s="8" t="s">
        <v>54</v>
      </c>
      <c r="AA138" s="8" t="s">
        <v>54</v>
      </c>
      <c r="AB138" s="10" t="s">
        <v>67</v>
      </c>
      <c r="AC138" s="8" t="s">
        <v>54</v>
      </c>
      <c r="AD138" s="8" t="s">
        <v>54</v>
      </c>
      <c r="AE138" s="8" t="s">
        <v>54</v>
      </c>
      <c r="AF138" s="8" t="s">
        <v>54</v>
      </c>
      <c r="AG138" s="8" t="s">
        <v>54</v>
      </c>
      <c r="AH138" s="8" t="s">
        <v>54</v>
      </c>
      <c r="AI138" s="10" t="s">
        <v>67</v>
      </c>
      <c r="AJ138" s="8">
        <f>COUNTIF($E$138:$AI$138,"P")</f>
        <v>23</v>
      </c>
      <c r="AK138" s="8">
        <f>COUNTIF($E$138:$AI$138,"A")</f>
        <v>3</v>
      </c>
      <c r="AL138" s="8">
        <f>SUM($E$139:$AI$139)</f>
        <v>0</v>
      </c>
      <c r="AM138" s="8">
        <f>SUM($E$140:$AI$140)</f>
        <v>92</v>
      </c>
      <c r="AN138" s="8">
        <f>AL138+AM138</f>
        <v>92</v>
      </c>
      <c r="AO138" s="8">
        <f>COUNTIF($E$138:$AI$138,"CL")</f>
        <v>0</v>
      </c>
      <c r="AP138" s="8">
        <f>COUNTIF($E$138:$AI$138,"SL")</f>
        <v>0</v>
      </c>
      <c r="AQ138" s="8">
        <f>COUNTIF($E$138:$AI$138,"EL")</f>
        <v>0</v>
      </c>
      <c r="AR138" s="8">
        <f>COUNTIF($E$138:$AI$138,"H")</f>
        <v>0</v>
      </c>
      <c r="AS138" s="8"/>
      <c r="AT138" s="11" t="s">
        <v>10</v>
      </c>
    </row>
    <row r="139" spans="1:46" ht="15.1" customHeight="1">
      <c r="A139" s="8"/>
      <c r="B139" s="9"/>
      <c r="C139" s="8"/>
      <c r="D139" s="9"/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11" t="s">
        <v>10</v>
      </c>
    </row>
    <row r="140" spans="1:46" ht="15.1" customHeight="1">
      <c r="A140" s="8"/>
      <c r="B140" s="9"/>
      <c r="C140" s="8"/>
      <c r="D140" s="9"/>
      <c r="E140" s="8">
        <v>2.5</v>
      </c>
      <c r="F140" s="8">
        <v>3</v>
      </c>
      <c r="G140" s="8">
        <v>10</v>
      </c>
      <c r="H140" s="8">
        <v>0</v>
      </c>
      <c r="I140" s="8">
        <v>3.5</v>
      </c>
      <c r="J140" s="8">
        <v>4.5</v>
      </c>
      <c r="K140" s="8">
        <v>3</v>
      </c>
      <c r="L140" s="8">
        <v>3</v>
      </c>
      <c r="M140" s="8">
        <v>3</v>
      </c>
      <c r="N140" s="8">
        <v>13</v>
      </c>
      <c r="O140" s="8">
        <v>5</v>
      </c>
      <c r="P140" s="8">
        <v>0</v>
      </c>
      <c r="Q140" s="8">
        <v>0</v>
      </c>
      <c r="R140" s="8">
        <v>5</v>
      </c>
      <c r="S140" s="8">
        <v>5</v>
      </c>
      <c r="T140" s="8">
        <v>3.5</v>
      </c>
      <c r="U140" s="8">
        <v>11.5</v>
      </c>
      <c r="V140" s="8">
        <v>4.5</v>
      </c>
      <c r="W140" s="8">
        <v>5</v>
      </c>
      <c r="X140" s="8">
        <v>4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3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11" t="s">
        <v>10</v>
      </c>
    </row>
    <row r="141" spans="1:46" ht="15.1" customHeight="1">
      <c r="A141" s="8">
        <v>46</v>
      </c>
      <c r="B141" s="9" t="s">
        <v>156</v>
      </c>
      <c r="C141" s="8" t="s">
        <v>157</v>
      </c>
      <c r="D141" s="9" t="s">
        <v>66</v>
      </c>
      <c r="E141" s="8" t="s">
        <v>54</v>
      </c>
      <c r="F141" s="8" t="s">
        <v>54</v>
      </c>
      <c r="G141" s="10" t="s">
        <v>67</v>
      </c>
      <c r="H141" s="8" t="s">
        <v>54</v>
      </c>
      <c r="I141" s="8" t="s">
        <v>54</v>
      </c>
      <c r="J141" s="8" t="s">
        <v>54</v>
      </c>
      <c r="K141" s="8" t="s">
        <v>54</v>
      </c>
      <c r="L141" s="8" t="s">
        <v>54</v>
      </c>
      <c r="M141" s="8" t="s">
        <v>54</v>
      </c>
      <c r="N141" s="10" t="s">
        <v>67</v>
      </c>
      <c r="O141" s="8" t="s">
        <v>54</v>
      </c>
      <c r="P141" s="8" t="s">
        <v>54</v>
      </c>
      <c r="Q141" s="8" t="s">
        <v>54</v>
      </c>
      <c r="R141" s="8" t="s">
        <v>54</v>
      </c>
      <c r="S141" s="8" t="s">
        <v>54</v>
      </c>
      <c r="T141" s="8" t="s">
        <v>54</v>
      </c>
      <c r="U141" s="10" t="s">
        <v>67</v>
      </c>
      <c r="V141" s="12" t="s">
        <v>55</v>
      </c>
      <c r="W141" s="12" t="s">
        <v>55</v>
      </c>
      <c r="X141" s="8" t="s">
        <v>54</v>
      </c>
      <c r="Y141" s="8" t="s">
        <v>54</v>
      </c>
      <c r="Z141" s="8" t="s">
        <v>54</v>
      </c>
      <c r="AA141" s="8" t="s">
        <v>54</v>
      </c>
      <c r="AB141" s="10" t="s">
        <v>67</v>
      </c>
      <c r="AC141" s="8" t="s">
        <v>54</v>
      </c>
      <c r="AD141" s="8" t="s">
        <v>54</v>
      </c>
      <c r="AE141" s="8" t="s">
        <v>54</v>
      </c>
      <c r="AF141" s="8" t="s">
        <v>54</v>
      </c>
      <c r="AG141" s="8" t="s">
        <v>54</v>
      </c>
      <c r="AH141" s="8" t="s">
        <v>54</v>
      </c>
      <c r="AI141" s="10" t="s">
        <v>67</v>
      </c>
      <c r="AJ141" s="8">
        <f>COUNTIF($E$141:$AI$141,"P")</f>
        <v>24</v>
      </c>
      <c r="AK141" s="8">
        <f>COUNTIF($E$141:$AI$141,"A")</f>
        <v>2</v>
      </c>
      <c r="AL141" s="8">
        <f>SUM($E$142:$AI$142)</f>
        <v>0</v>
      </c>
      <c r="AM141" s="8">
        <f>SUM($E$143:$AI$143)</f>
        <v>95</v>
      </c>
      <c r="AN141" s="8">
        <f>AL141+AM141</f>
        <v>95</v>
      </c>
      <c r="AO141" s="8">
        <f>COUNTIF($E$141:$AI$141,"CL")</f>
        <v>0</v>
      </c>
      <c r="AP141" s="8">
        <f>COUNTIF($E$141:$AI$141,"SL")</f>
        <v>0</v>
      </c>
      <c r="AQ141" s="8">
        <f>COUNTIF($E$141:$AI$141,"EL")</f>
        <v>0</v>
      </c>
      <c r="AR141" s="8">
        <f>COUNTIF($E$141:$AI$141,"H")</f>
        <v>0</v>
      </c>
      <c r="AS141" s="8"/>
      <c r="AT141" s="11" t="s">
        <v>10</v>
      </c>
    </row>
    <row r="142" spans="1:46" ht="15.1" customHeight="1">
      <c r="A142" s="8"/>
      <c r="B142" s="9"/>
      <c r="C142" s="8"/>
      <c r="D142" s="9"/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11" t="s">
        <v>10</v>
      </c>
    </row>
    <row r="143" spans="1:46" ht="15.1" customHeight="1">
      <c r="A143" s="8"/>
      <c r="B143" s="9"/>
      <c r="C143" s="8"/>
      <c r="D143" s="9"/>
      <c r="E143" s="8">
        <v>3</v>
      </c>
      <c r="F143" s="8">
        <v>3</v>
      </c>
      <c r="G143" s="8">
        <v>13</v>
      </c>
      <c r="H143" s="8">
        <v>3</v>
      </c>
      <c r="I143" s="8">
        <v>7</v>
      </c>
      <c r="J143" s="8">
        <v>7</v>
      </c>
      <c r="K143" s="8">
        <v>7</v>
      </c>
      <c r="L143" s="8">
        <v>7</v>
      </c>
      <c r="M143" s="8">
        <v>5</v>
      </c>
      <c r="N143" s="8">
        <v>16.5</v>
      </c>
      <c r="O143" s="8">
        <v>1.5</v>
      </c>
      <c r="P143" s="8">
        <v>3</v>
      </c>
      <c r="Q143" s="8">
        <v>3</v>
      </c>
      <c r="R143" s="8">
        <v>3</v>
      </c>
      <c r="S143" s="8">
        <v>5</v>
      </c>
      <c r="T143" s="8">
        <v>2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3</v>
      </c>
      <c r="AE143" s="8">
        <v>0</v>
      </c>
      <c r="AF143" s="8">
        <v>3</v>
      </c>
      <c r="AG143" s="8">
        <v>0</v>
      </c>
      <c r="AH143" s="8">
        <v>0</v>
      </c>
      <c r="AI143" s="8">
        <v>0</v>
      </c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11" t="s">
        <v>10</v>
      </c>
    </row>
    <row r="144" spans="1:46" ht="15.1" customHeight="1">
      <c r="A144" s="8">
        <v>47</v>
      </c>
      <c r="B144" s="9" t="s">
        <v>158</v>
      </c>
      <c r="C144" s="8" t="s">
        <v>159</v>
      </c>
      <c r="D144" s="9" t="s">
        <v>66</v>
      </c>
      <c r="E144" s="8" t="s">
        <v>54</v>
      </c>
      <c r="F144" s="8" t="s">
        <v>54</v>
      </c>
      <c r="G144" s="10" t="s">
        <v>67</v>
      </c>
      <c r="H144" s="8" t="s">
        <v>54</v>
      </c>
      <c r="I144" s="8" t="s">
        <v>54</v>
      </c>
      <c r="J144" s="8" t="s">
        <v>54</v>
      </c>
      <c r="K144" s="8" t="s">
        <v>54</v>
      </c>
      <c r="L144" s="8" t="s">
        <v>54</v>
      </c>
      <c r="M144" s="8" t="s">
        <v>54</v>
      </c>
      <c r="N144" s="10" t="s">
        <v>67</v>
      </c>
      <c r="O144" s="8" t="s">
        <v>54</v>
      </c>
      <c r="P144" s="8" t="s">
        <v>54</v>
      </c>
      <c r="Q144" s="8" t="s">
        <v>54</v>
      </c>
      <c r="R144" s="8" t="s">
        <v>54</v>
      </c>
      <c r="S144" s="8" t="s">
        <v>54</v>
      </c>
      <c r="T144" s="8" t="s">
        <v>54</v>
      </c>
      <c r="U144" s="10" t="s">
        <v>67</v>
      </c>
      <c r="V144" s="8" t="s">
        <v>54</v>
      </c>
      <c r="W144" s="8" t="s">
        <v>54</v>
      </c>
      <c r="X144" s="8" t="s">
        <v>54</v>
      </c>
      <c r="Y144" s="8" t="s">
        <v>54</v>
      </c>
      <c r="Z144" s="8" t="s">
        <v>54</v>
      </c>
      <c r="AA144" s="8" t="s">
        <v>54</v>
      </c>
      <c r="AB144" s="10" t="s">
        <v>67</v>
      </c>
      <c r="AC144" s="8" t="s">
        <v>54</v>
      </c>
      <c r="AD144" s="8" t="s">
        <v>54</v>
      </c>
      <c r="AE144" s="8" t="s">
        <v>54</v>
      </c>
      <c r="AF144" s="8" t="s">
        <v>54</v>
      </c>
      <c r="AG144" s="8" t="s">
        <v>54</v>
      </c>
      <c r="AH144" s="8" t="s">
        <v>54</v>
      </c>
      <c r="AI144" s="10" t="s">
        <v>67</v>
      </c>
      <c r="AJ144" s="8">
        <f>COUNTIF($E$144:$AI$144,"P")</f>
        <v>26</v>
      </c>
      <c r="AK144" s="8">
        <f>COUNTIF($E$144:$AI$144,"A")</f>
        <v>0</v>
      </c>
      <c r="AL144" s="8">
        <f>SUM($E$145:$AI$145)</f>
        <v>0</v>
      </c>
      <c r="AM144" s="8">
        <f>SUM($E$146:$AI$146)</f>
        <v>116.5</v>
      </c>
      <c r="AN144" s="8">
        <f>AL144+AM144</f>
        <v>116.5</v>
      </c>
      <c r="AO144" s="8">
        <f>COUNTIF($E$144:$AI$144,"CL")</f>
        <v>0</v>
      </c>
      <c r="AP144" s="8">
        <f>COUNTIF($E$144:$AI$144,"SL")</f>
        <v>0</v>
      </c>
      <c r="AQ144" s="8">
        <f>COUNTIF($E$144:$AI$144,"EL")</f>
        <v>0</v>
      </c>
      <c r="AR144" s="8">
        <f>COUNTIF($E$144:$AI$144,"H")</f>
        <v>0</v>
      </c>
      <c r="AS144" s="8"/>
      <c r="AT144" s="11" t="s">
        <v>10</v>
      </c>
    </row>
    <row r="145" spans="1:46" ht="15.1" customHeight="1">
      <c r="A145" s="8"/>
      <c r="B145" s="9"/>
      <c r="C145" s="8"/>
      <c r="D145" s="9"/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11" t="s">
        <v>10</v>
      </c>
    </row>
    <row r="146" spans="1:46" ht="15.1" customHeight="1">
      <c r="A146" s="8"/>
      <c r="B146" s="9"/>
      <c r="C146" s="8"/>
      <c r="D146" s="9"/>
      <c r="E146" s="8">
        <v>3</v>
      </c>
      <c r="F146" s="8">
        <v>3</v>
      </c>
      <c r="G146" s="8">
        <v>13</v>
      </c>
      <c r="H146" s="8">
        <v>3</v>
      </c>
      <c r="I146" s="8">
        <v>7</v>
      </c>
      <c r="J146" s="8">
        <v>7</v>
      </c>
      <c r="K146" s="8">
        <v>7</v>
      </c>
      <c r="L146" s="8">
        <v>7</v>
      </c>
      <c r="M146" s="8">
        <v>5</v>
      </c>
      <c r="N146" s="8">
        <v>12.5</v>
      </c>
      <c r="O146" s="8">
        <v>7</v>
      </c>
      <c r="P146" s="8">
        <v>7</v>
      </c>
      <c r="Q146" s="8">
        <v>5</v>
      </c>
      <c r="R146" s="8">
        <v>5</v>
      </c>
      <c r="S146" s="8">
        <v>5</v>
      </c>
      <c r="T146" s="8">
        <v>2</v>
      </c>
      <c r="U146" s="8">
        <v>8</v>
      </c>
      <c r="V146" s="8">
        <v>5</v>
      </c>
      <c r="W146" s="8">
        <v>5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11" t="s">
        <v>10</v>
      </c>
    </row>
    <row r="147" spans="1:46" ht="15.1" customHeight="1">
      <c r="A147" s="8">
        <v>48</v>
      </c>
      <c r="B147" s="9" t="s">
        <v>160</v>
      </c>
      <c r="C147" s="8" t="s">
        <v>161</v>
      </c>
      <c r="D147" s="9" t="s">
        <v>66</v>
      </c>
      <c r="E147" s="8" t="s">
        <v>54</v>
      </c>
      <c r="F147" s="8" t="s">
        <v>54</v>
      </c>
      <c r="G147" s="10" t="s">
        <v>67</v>
      </c>
      <c r="H147" s="8" t="s">
        <v>54</v>
      </c>
      <c r="I147" s="8" t="s">
        <v>54</v>
      </c>
      <c r="J147" s="8" t="s">
        <v>54</v>
      </c>
      <c r="K147" s="8" t="s">
        <v>54</v>
      </c>
      <c r="L147" s="8" t="s">
        <v>54</v>
      </c>
      <c r="M147" s="8" t="s">
        <v>54</v>
      </c>
      <c r="N147" s="10" t="s">
        <v>67</v>
      </c>
      <c r="O147" s="8" t="s">
        <v>54</v>
      </c>
      <c r="P147" s="12" t="s">
        <v>55</v>
      </c>
      <c r="Q147" s="8" t="s">
        <v>54</v>
      </c>
      <c r="R147" s="8" t="s">
        <v>54</v>
      </c>
      <c r="S147" s="8" t="s">
        <v>54</v>
      </c>
      <c r="T147" s="8" t="s">
        <v>54</v>
      </c>
      <c r="U147" s="10" t="s">
        <v>67</v>
      </c>
      <c r="V147" s="8" t="s">
        <v>54</v>
      </c>
      <c r="W147" s="8" t="s">
        <v>54</v>
      </c>
      <c r="X147" s="8" t="s">
        <v>54</v>
      </c>
      <c r="Y147" s="8" t="s">
        <v>54</v>
      </c>
      <c r="Z147" s="8" t="s">
        <v>54</v>
      </c>
      <c r="AA147" s="8" t="s">
        <v>54</v>
      </c>
      <c r="AB147" s="10" t="s">
        <v>67</v>
      </c>
      <c r="AC147" s="8" t="s">
        <v>54</v>
      </c>
      <c r="AD147" s="8" t="s">
        <v>54</v>
      </c>
      <c r="AE147" s="8" t="s">
        <v>54</v>
      </c>
      <c r="AF147" s="8" t="s">
        <v>54</v>
      </c>
      <c r="AG147" s="8" t="s">
        <v>54</v>
      </c>
      <c r="AH147" s="8" t="s">
        <v>54</v>
      </c>
      <c r="AI147" s="10" t="s">
        <v>67</v>
      </c>
      <c r="AJ147" s="8">
        <f>COUNTIF($E$147:$AI$147,"P")</f>
        <v>25</v>
      </c>
      <c r="AK147" s="8">
        <f>COUNTIF($E$147:$AI$147,"A")</f>
        <v>1</v>
      </c>
      <c r="AL147" s="8">
        <f>SUM($E$148:$AI$148)</f>
        <v>0</v>
      </c>
      <c r="AM147" s="8">
        <f>SUM($E$149:$AI$149)</f>
        <v>85</v>
      </c>
      <c r="AN147" s="8">
        <f>AL147+AM147</f>
        <v>85</v>
      </c>
      <c r="AO147" s="8">
        <f>COUNTIF($E$147:$AI$147,"CL")</f>
        <v>0</v>
      </c>
      <c r="AP147" s="8">
        <f>COUNTIF($E$147:$AI$147,"SL")</f>
        <v>0</v>
      </c>
      <c r="AQ147" s="8">
        <f>COUNTIF($E$147:$AI$147,"EL")</f>
        <v>0</v>
      </c>
      <c r="AR147" s="8">
        <f>COUNTIF($E$147:$AI$147,"H")</f>
        <v>0</v>
      </c>
      <c r="AS147" s="8"/>
      <c r="AT147" s="11" t="s">
        <v>10</v>
      </c>
    </row>
    <row r="148" spans="1:46" ht="15.1" customHeight="1">
      <c r="A148" s="8"/>
      <c r="B148" s="9"/>
      <c r="C148" s="8"/>
      <c r="D148" s="9"/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11" t="s">
        <v>10</v>
      </c>
    </row>
    <row r="149" spans="1:46" ht="15.1" customHeight="1">
      <c r="A149" s="8"/>
      <c r="B149" s="9"/>
      <c r="C149" s="8"/>
      <c r="D149" s="9"/>
      <c r="E149" s="8">
        <v>3</v>
      </c>
      <c r="F149" s="8">
        <v>3</v>
      </c>
      <c r="G149" s="8">
        <v>8</v>
      </c>
      <c r="H149" s="8">
        <v>3</v>
      </c>
      <c r="I149" s="8">
        <v>7</v>
      </c>
      <c r="J149" s="8">
        <v>3</v>
      </c>
      <c r="K149" s="8">
        <v>5</v>
      </c>
      <c r="L149" s="8">
        <v>7</v>
      </c>
      <c r="M149" s="8">
        <v>5</v>
      </c>
      <c r="N149" s="8">
        <v>17</v>
      </c>
      <c r="O149" s="8">
        <v>7</v>
      </c>
      <c r="P149" s="8">
        <v>0</v>
      </c>
      <c r="Q149" s="8">
        <v>3</v>
      </c>
      <c r="R149" s="8">
        <v>3</v>
      </c>
      <c r="S149" s="8">
        <v>3</v>
      </c>
      <c r="T149" s="8">
        <v>2</v>
      </c>
      <c r="U149" s="8">
        <v>0</v>
      </c>
      <c r="V149" s="8">
        <v>1</v>
      </c>
      <c r="W149" s="8">
        <v>5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11" t="s">
        <v>10</v>
      </c>
    </row>
    <row r="150" spans="1:46" ht="15.1" customHeight="1">
      <c r="A150" s="8">
        <v>49</v>
      </c>
      <c r="B150" s="9" t="s">
        <v>162</v>
      </c>
      <c r="C150" s="8" t="s">
        <v>163</v>
      </c>
      <c r="D150" s="9" t="s">
        <v>66</v>
      </c>
      <c r="E150" s="8" t="s">
        <v>54</v>
      </c>
      <c r="F150" s="8" t="s">
        <v>54</v>
      </c>
      <c r="G150" s="10" t="s">
        <v>67</v>
      </c>
      <c r="H150" s="8" t="s">
        <v>54</v>
      </c>
      <c r="I150" s="8" t="s">
        <v>54</v>
      </c>
      <c r="J150" s="8" t="s">
        <v>54</v>
      </c>
      <c r="K150" s="8" t="s">
        <v>54</v>
      </c>
      <c r="L150" s="8" t="s">
        <v>54</v>
      </c>
      <c r="M150" s="8" t="s">
        <v>54</v>
      </c>
      <c r="N150" s="10" t="s">
        <v>67</v>
      </c>
      <c r="O150" s="8" t="s">
        <v>54</v>
      </c>
      <c r="P150" s="12" t="s">
        <v>55</v>
      </c>
      <c r="Q150" s="8" t="s">
        <v>54</v>
      </c>
      <c r="R150" s="8" t="s">
        <v>54</v>
      </c>
      <c r="S150" s="8" t="s">
        <v>54</v>
      </c>
      <c r="T150" s="8" t="s">
        <v>54</v>
      </c>
      <c r="U150" s="10" t="s">
        <v>67</v>
      </c>
      <c r="V150" s="8" t="s">
        <v>54</v>
      </c>
      <c r="W150" s="8" t="s">
        <v>54</v>
      </c>
      <c r="X150" s="8" t="s">
        <v>54</v>
      </c>
      <c r="Y150" s="8" t="s">
        <v>54</v>
      </c>
      <c r="Z150" s="8" t="s">
        <v>54</v>
      </c>
      <c r="AA150" s="8" t="s">
        <v>54</v>
      </c>
      <c r="AB150" s="10" t="s">
        <v>67</v>
      </c>
      <c r="AC150" s="8" t="s">
        <v>54</v>
      </c>
      <c r="AD150" s="8" t="s">
        <v>54</v>
      </c>
      <c r="AE150" s="8" t="s">
        <v>54</v>
      </c>
      <c r="AF150" s="8" t="s">
        <v>54</v>
      </c>
      <c r="AG150" s="8" t="s">
        <v>54</v>
      </c>
      <c r="AH150" s="8" t="s">
        <v>54</v>
      </c>
      <c r="AI150" s="10" t="s">
        <v>67</v>
      </c>
      <c r="AJ150" s="8">
        <f>COUNTIF($E$150:$AI$150,"P")</f>
        <v>25</v>
      </c>
      <c r="AK150" s="8">
        <f>COUNTIF($E$150:$AI$150,"A")</f>
        <v>1</v>
      </c>
      <c r="AL150" s="8">
        <f>SUM($E$151:$AI$151)</f>
        <v>0</v>
      </c>
      <c r="AM150" s="8">
        <f>SUM($E$152:$AI$152)</f>
        <v>75</v>
      </c>
      <c r="AN150" s="8">
        <f>AL150+AM150</f>
        <v>75</v>
      </c>
      <c r="AO150" s="8">
        <f>COUNTIF($E$150:$AI$150,"CL")</f>
        <v>0</v>
      </c>
      <c r="AP150" s="8">
        <f>COUNTIF($E$150:$AI$150,"SL")</f>
        <v>0</v>
      </c>
      <c r="AQ150" s="8">
        <f>COUNTIF($E$150:$AI$150,"EL")</f>
        <v>0</v>
      </c>
      <c r="AR150" s="8">
        <f>COUNTIF($E$150:$AI$150,"H")</f>
        <v>0</v>
      </c>
      <c r="AS150" s="8"/>
      <c r="AT150" s="11" t="s">
        <v>11</v>
      </c>
    </row>
    <row r="151" spans="1:46" ht="15.1" customHeight="1">
      <c r="A151" s="8"/>
      <c r="B151" s="9"/>
      <c r="C151" s="8"/>
      <c r="D151" s="9"/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11" t="s">
        <v>11</v>
      </c>
    </row>
    <row r="152" spans="1:46" ht="15.1" customHeight="1">
      <c r="A152" s="8"/>
      <c r="B152" s="9"/>
      <c r="C152" s="8"/>
      <c r="D152" s="9"/>
      <c r="E152" s="8">
        <v>4.5</v>
      </c>
      <c r="F152" s="8">
        <v>0</v>
      </c>
      <c r="G152" s="8">
        <v>0</v>
      </c>
      <c r="H152" s="8">
        <v>5</v>
      </c>
      <c r="I152" s="8">
        <v>7</v>
      </c>
      <c r="J152" s="8">
        <v>0</v>
      </c>
      <c r="K152" s="8">
        <v>3</v>
      </c>
      <c r="L152" s="8">
        <v>5</v>
      </c>
      <c r="M152" s="8">
        <v>3</v>
      </c>
      <c r="N152" s="8">
        <v>12.5</v>
      </c>
      <c r="O152" s="8">
        <v>9</v>
      </c>
      <c r="P152" s="8">
        <v>0</v>
      </c>
      <c r="Q152" s="8">
        <v>5</v>
      </c>
      <c r="R152" s="8">
        <v>3</v>
      </c>
      <c r="S152" s="8">
        <v>3</v>
      </c>
      <c r="T152" s="8">
        <v>3</v>
      </c>
      <c r="U152" s="8">
        <v>0</v>
      </c>
      <c r="V152" s="8">
        <v>0</v>
      </c>
      <c r="W152" s="8">
        <v>7</v>
      </c>
      <c r="X152" s="8">
        <v>5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11" t="s">
        <v>11</v>
      </c>
    </row>
    <row r="153" spans="1:46" ht="15.1" customHeight="1">
      <c r="A153" s="8">
        <v>50</v>
      </c>
      <c r="B153" s="9" t="s">
        <v>164</v>
      </c>
      <c r="C153" s="8" t="s">
        <v>165</v>
      </c>
      <c r="D153" s="9" t="s">
        <v>66</v>
      </c>
      <c r="E153" s="12" t="s">
        <v>55</v>
      </c>
      <c r="F153" s="12" t="s">
        <v>55</v>
      </c>
      <c r="G153" s="10" t="s">
        <v>67</v>
      </c>
      <c r="H153" s="12" t="s">
        <v>55</v>
      </c>
      <c r="I153" s="12" t="s">
        <v>55</v>
      </c>
      <c r="J153" s="12" t="s">
        <v>55</v>
      </c>
      <c r="K153" s="12" t="s">
        <v>55</v>
      </c>
      <c r="L153" s="12" t="s">
        <v>55</v>
      </c>
      <c r="M153" s="12" t="s">
        <v>55</v>
      </c>
      <c r="N153" s="10" t="s">
        <v>67</v>
      </c>
      <c r="O153" s="12" t="s">
        <v>55</v>
      </c>
      <c r="P153" s="12" t="s">
        <v>55</v>
      </c>
      <c r="Q153" s="12" t="s">
        <v>55</v>
      </c>
      <c r="R153" s="12" t="s">
        <v>55</v>
      </c>
      <c r="S153" s="12" t="s">
        <v>55</v>
      </c>
      <c r="T153" s="12" t="s">
        <v>55</v>
      </c>
      <c r="U153" s="10" t="s">
        <v>67</v>
      </c>
      <c r="V153" s="12" t="s">
        <v>55</v>
      </c>
      <c r="W153" s="12" t="s">
        <v>55</v>
      </c>
      <c r="X153" s="12" t="s">
        <v>55</v>
      </c>
      <c r="Y153" s="12" t="s">
        <v>55</v>
      </c>
      <c r="Z153" s="12" t="s">
        <v>55</v>
      </c>
      <c r="AA153" s="12" t="s">
        <v>55</v>
      </c>
      <c r="AB153" s="10" t="s">
        <v>67</v>
      </c>
      <c r="AC153" s="12" t="s">
        <v>55</v>
      </c>
      <c r="AD153" s="12" t="s">
        <v>55</v>
      </c>
      <c r="AE153" s="12" t="s">
        <v>55</v>
      </c>
      <c r="AF153" s="12" t="s">
        <v>55</v>
      </c>
      <c r="AG153" s="12" t="s">
        <v>55</v>
      </c>
      <c r="AH153" s="12" t="s">
        <v>55</v>
      </c>
      <c r="AI153" s="10" t="s">
        <v>67</v>
      </c>
      <c r="AJ153" s="8">
        <f>COUNTIF($E$153:$AI$153,"P")</f>
        <v>0</v>
      </c>
      <c r="AK153" s="8">
        <f>COUNTIF($E$153:$AI$153,"A")</f>
        <v>26</v>
      </c>
      <c r="AL153" s="8">
        <f>SUM($E$154:$AI$154)</f>
        <v>0</v>
      </c>
      <c r="AM153" s="8">
        <f>SUM($E$155:$AI$155)</f>
        <v>0</v>
      </c>
      <c r="AN153" s="8">
        <f>AL153+AM153</f>
        <v>0</v>
      </c>
      <c r="AO153" s="8">
        <f>COUNTIF($E$153:$AI$153,"CL")</f>
        <v>0</v>
      </c>
      <c r="AP153" s="8">
        <f>COUNTIF($E$153:$AI$153,"SL")</f>
        <v>0</v>
      </c>
      <c r="AQ153" s="8">
        <f>COUNTIF($E$153:$AI$153,"EL")</f>
        <v>0</v>
      </c>
      <c r="AR153" s="8">
        <f>COUNTIF($E$153:$AI$153,"H")</f>
        <v>0</v>
      </c>
      <c r="AS153" s="8"/>
      <c r="AT153" s="11" t="s">
        <v>11</v>
      </c>
    </row>
    <row r="154" spans="1:46" ht="15.1" customHeight="1">
      <c r="A154" s="8"/>
      <c r="B154" s="9"/>
      <c r="C154" s="8"/>
      <c r="D154" s="9"/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11" t="s">
        <v>11</v>
      </c>
    </row>
    <row r="155" spans="1:46" ht="15.1" customHeight="1">
      <c r="A155" s="8"/>
      <c r="B155" s="9"/>
      <c r="C155" s="8"/>
      <c r="D155" s="9"/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11" t="s">
        <v>11</v>
      </c>
    </row>
    <row r="156" spans="1:46" ht="15.1" customHeight="1">
      <c r="A156" s="8">
        <v>51</v>
      </c>
      <c r="B156" s="9" t="s">
        <v>166</v>
      </c>
      <c r="C156" s="8" t="s">
        <v>167</v>
      </c>
      <c r="D156" s="9" t="s">
        <v>66</v>
      </c>
      <c r="E156" s="8" t="s">
        <v>54</v>
      </c>
      <c r="F156" s="8" t="s">
        <v>54</v>
      </c>
      <c r="G156" s="10" t="s">
        <v>67</v>
      </c>
      <c r="H156" s="8" t="s">
        <v>54</v>
      </c>
      <c r="I156" s="8" t="s">
        <v>54</v>
      </c>
      <c r="J156" s="8" t="s">
        <v>54</v>
      </c>
      <c r="K156" s="8" t="s">
        <v>54</v>
      </c>
      <c r="L156" s="8" t="s">
        <v>54</v>
      </c>
      <c r="M156" s="8" t="s">
        <v>54</v>
      </c>
      <c r="N156" s="10" t="s">
        <v>67</v>
      </c>
      <c r="O156" s="8" t="s">
        <v>54</v>
      </c>
      <c r="P156" s="8" t="s">
        <v>54</v>
      </c>
      <c r="Q156" s="8" t="s">
        <v>54</v>
      </c>
      <c r="R156" s="8" t="s">
        <v>54</v>
      </c>
      <c r="S156" s="8" t="s">
        <v>54</v>
      </c>
      <c r="T156" s="8" t="s">
        <v>54</v>
      </c>
      <c r="U156" s="10" t="s">
        <v>67</v>
      </c>
      <c r="V156" s="8" t="s">
        <v>54</v>
      </c>
      <c r="W156" s="8" t="s">
        <v>54</v>
      </c>
      <c r="X156" s="8" t="s">
        <v>54</v>
      </c>
      <c r="Y156" s="8" t="s">
        <v>54</v>
      </c>
      <c r="Z156" s="8" t="s">
        <v>54</v>
      </c>
      <c r="AA156" s="8" t="s">
        <v>54</v>
      </c>
      <c r="AB156" s="10" t="s">
        <v>67</v>
      </c>
      <c r="AC156" s="8" t="s">
        <v>54</v>
      </c>
      <c r="AD156" s="8" t="s">
        <v>54</v>
      </c>
      <c r="AE156" s="8" t="s">
        <v>54</v>
      </c>
      <c r="AF156" s="8" t="s">
        <v>54</v>
      </c>
      <c r="AG156" s="8" t="s">
        <v>54</v>
      </c>
      <c r="AH156" s="8" t="s">
        <v>54</v>
      </c>
      <c r="AI156" s="10" t="s">
        <v>67</v>
      </c>
      <c r="AJ156" s="8">
        <f>COUNTIF($E$156:$AI$156,"P")</f>
        <v>26</v>
      </c>
      <c r="AK156" s="8">
        <f>COUNTIF($E$156:$AI$156,"A")</f>
        <v>0</v>
      </c>
      <c r="AL156" s="8">
        <f>SUM($E$157:$AI$157)</f>
        <v>0</v>
      </c>
      <c r="AM156" s="8">
        <f>SUM($E$158:$AI$158)</f>
        <v>51.5</v>
      </c>
      <c r="AN156" s="8">
        <f>AL156+AM156</f>
        <v>51.5</v>
      </c>
      <c r="AO156" s="8">
        <f>COUNTIF($E$156:$AI$156,"CL")</f>
        <v>0</v>
      </c>
      <c r="AP156" s="8">
        <f>COUNTIF($E$156:$AI$156,"SL")</f>
        <v>0</v>
      </c>
      <c r="AQ156" s="8">
        <f>COUNTIF($E$156:$AI$156,"EL")</f>
        <v>0</v>
      </c>
      <c r="AR156" s="8">
        <f>COUNTIF($E$156:$AI$156,"H")</f>
        <v>0</v>
      </c>
      <c r="AS156" s="8"/>
      <c r="AT156" s="11" t="s">
        <v>11</v>
      </c>
    </row>
    <row r="157" spans="1:46" ht="15.1" customHeight="1">
      <c r="A157" s="8"/>
      <c r="B157" s="9"/>
      <c r="C157" s="8"/>
      <c r="D157" s="9"/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11" t="s">
        <v>11</v>
      </c>
    </row>
    <row r="158" spans="1:46" ht="15.1" customHeight="1">
      <c r="A158" s="8"/>
      <c r="B158" s="9"/>
      <c r="C158" s="8"/>
      <c r="D158" s="9"/>
      <c r="E158" s="8">
        <v>5</v>
      </c>
      <c r="F158" s="8">
        <v>3</v>
      </c>
      <c r="G158" s="8">
        <v>8</v>
      </c>
      <c r="H158" s="8">
        <v>3</v>
      </c>
      <c r="I158" s="8">
        <v>2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5</v>
      </c>
      <c r="P158" s="8">
        <v>5</v>
      </c>
      <c r="Q158" s="8">
        <v>5</v>
      </c>
      <c r="R158" s="8">
        <v>3</v>
      </c>
      <c r="S158" s="8">
        <v>2</v>
      </c>
      <c r="T158" s="8">
        <v>1.5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3</v>
      </c>
      <c r="AF158" s="8">
        <v>0</v>
      </c>
      <c r="AG158" s="8">
        <v>3</v>
      </c>
      <c r="AH158" s="8">
        <v>3</v>
      </c>
      <c r="AI158" s="8">
        <v>0</v>
      </c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11" t="s">
        <v>11</v>
      </c>
    </row>
    <row r="159" spans="1:46" ht="15.1" customHeight="1">
      <c r="A159" s="8">
        <v>52</v>
      </c>
      <c r="B159" s="9" t="s">
        <v>168</v>
      </c>
      <c r="C159" s="8" t="s">
        <v>169</v>
      </c>
      <c r="D159" s="9" t="s">
        <v>66</v>
      </c>
      <c r="E159" s="8" t="s">
        <v>54</v>
      </c>
      <c r="F159" s="8" t="s">
        <v>54</v>
      </c>
      <c r="G159" s="10" t="s">
        <v>67</v>
      </c>
      <c r="H159" s="8" t="s">
        <v>54</v>
      </c>
      <c r="I159" s="8" t="s">
        <v>54</v>
      </c>
      <c r="J159" s="8" t="s">
        <v>54</v>
      </c>
      <c r="K159" s="8" t="s">
        <v>54</v>
      </c>
      <c r="L159" s="8" t="s">
        <v>54</v>
      </c>
      <c r="M159" s="8" t="s">
        <v>54</v>
      </c>
      <c r="N159" s="10" t="s">
        <v>67</v>
      </c>
      <c r="O159" s="8" t="s">
        <v>54</v>
      </c>
      <c r="P159" s="8" t="s">
        <v>54</v>
      </c>
      <c r="Q159" s="8" t="s">
        <v>54</v>
      </c>
      <c r="R159" s="8" t="s">
        <v>54</v>
      </c>
      <c r="S159" s="8" t="s">
        <v>54</v>
      </c>
      <c r="T159" s="8" t="s">
        <v>54</v>
      </c>
      <c r="U159" s="10" t="s">
        <v>67</v>
      </c>
      <c r="V159" s="8" t="s">
        <v>54</v>
      </c>
      <c r="W159" s="8" t="s">
        <v>54</v>
      </c>
      <c r="X159" s="8" t="s">
        <v>54</v>
      </c>
      <c r="Y159" s="8" t="s">
        <v>54</v>
      </c>
      <c r="Z159" s="8" t="s">
        <v>54</v>
      </c>
      <c r="AA159" s="8" t="s">
        <v>54</v>
      </c>
      <c r="AB159" s="10" t="s">
        <v>67</v>
      </c>
      <c r="AC159" s="8" t="s">
        <v>54</v>
      </c>
      <c r="AD159" s="8" t="s">
        <v>54</v>
      </c>
      <c r="AE159" s="8" t="s">
        <v>54</v>
      </c>
      <c r="AF159" s="8" t="s">
        <v>54</v>
      </c>
      <c r="AG159" s="8" t="s">
        <v>54</v>
      </c>
      <c r="AH159" s="8" t="s">
        <v>54</v>
      </c>
      <c r="AI159" s="10" t="s">
        <v>67</v>
      </c>
      <c r="AJ159" s="8">
        <f>COUNTIF($E$159:$AI$159,"P")</f>
        <v>26</v>
      </c>
      <c r="AK159" s="8">
        <f>COUNTIF($E$159:$AI$159,"A")</f>
        <v>0</v>
      </c>
      <c r="AL159" s="8">
        <f>SUM($E$160:$AI$160)</f>
        <v>0</v>
      </c>
      <c r="AM159" s="8">
        <f>SUM($E$161:$AI$161)</f>
        <v>48.5</v>
      </c>
      <c r="AN159" s="8">
        <f>AL159+AM159</f>
        <v>48.5</v>
      </c>
      <c r="AO159" s="8">
        <f>COUNTIF($E$159:$AI$159,"CL")</f>
        <v>0</v>
      </c>
      <c r="AP159" s="8">
        <f>COUNTIF($E$159:$AI$159,"SL")</f>
        <v>0</v>
      </c>
      <c r="AQ159" s="8">
        <f>COUNTIF($E$159:$AI$159,"EL")</f>
        <v>0</v>
      </c>
      <c r="AR159" s="8">
        <f>COUNTIF($E$159:$AI$159,"H")</f>
        <v>0</v>
      </c>
      <c r="AS159" s="8"/>
      <c r="AT159" s="11" t="s">
        <v>11</v>
      </c>
    </row>
    <row r="160" spans="1:46" ht="15.1" customHeight="1">
      <c r="A160" s="8"/>
      <c r="B160" s="9"/>
      <c r="C160" s="8"/>
      <c r="D160" s="9"/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11" t="s">
        <v>11</v>
      </c>
    </row>
    <row r="161" spans="1:46" ht="15.1" customHeight="1">
      <c r="A161" s="8"/>
      <c r="B161" s="9"/>
      <c r="C161" s="8"/>
      <c r="D161" s="9"/>
      <c r="E161" s="8">
        <v>5</v>
      </c>
      <c r="F161" s="8">
        <v>3</v>
      </c>
      <c r="G161" s="8">
        <v>8</v>
      </c>
      <c r="H161" s="8">
        <v>3</v>
      </c>
      <c r="I161" s="8">
        <v>2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5</v>
      </c>
      <c r="P161" s="8">
        <v>5</v>
      </c>
      <c r="Q161" s="8">
        <v>5</v>
      </c>
      <c r="R161" s="8">
        <v>3</v>
      </c>
      <c r="S161" s="8">
        <v>2</v>
      </c>
      <c r="T161" s="8">
        <v>1.5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3</v>
      </c>
      <c r="AH161" s="8">
        <v>3</v>
      </c>
      <c r="AI161" s="8">
        <v>0</v>
      </c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11" t="s">
        <v>11</v>
      </c>
    </row>
    <row r="162" spans="1:46" ht="15.1" customHeight="1">
      <c r="A162" s="8">
        <v>53</v>
      </c>
      <c r="B162" s="9" t="s">
        <v>170</v>
      </c>
      <c r="C162" s="8" t="s">
        <v>171</v>
      </c>
      <c r="D162" s="9" t="s">
        <v>66</v>
      </c>
      <c r="E162" s="8" t="s">
        <v>54</v>
      </c>
      <c r="F162" s="8" t="s">
        <v>54</v>
      </c>
      <c r="G162" s="10" t="s">
        <v>67</v>
      </c>
      <c r="H162" s="8" t="s">
        <v>54</v>
      </c>
      <c r="I162" s="8" t="s">
        <v>54</v>
      </c>
      <c r="J162" s="8" t="s">
        <v>54</v>
      </c>
      <c r="K162" s="8" t="s">
        <v>54</v>
      </c>
      <c r="L162" s="12" t="s">
        <v>55</v>
      </c>
      <c r="M162" s="12" t="s">
        <v>55</v>
      </c>
      <c r="N162" s="10" t="s">
        <v>67</v>
      </c>
      <c r="O162" s="8" t="s">
        <v>54</v>
      </c>
      <c r="P162" s="8" t="s">
        <v>54</v>
      </c>
      <c r="Q162" s="8" t="s">
        <v>54</v>
      </c>
      <c r="R162" s="8" t="s">
        <v>54</v>
      </c>
      <c r="S162" s="8" t="s">
        <v>54</v>
      </c>
      <c r="T162" s="8" t="s">
        <v>54</v>
      </c>
      <c r="U162" s="10" t="s">
        <v>67</v>
      </c>
      <c r="V162" s="8" t="s">
        <v>54</v>
      </c>
      <c r="W162" s="8" t="s">
        <v>54</v>
      </c>
      <c r="X162" s="8" t="s">
        <v>54</v>
      </c>
      <c r="Y162" s="8" t="s">
        <v>54</v>
      </c>
      <c r="Z162" s="8" t="s">
        <v>54</v>
      </c>
      <c r="AA162" s="12" t="s">
        <v>55</v>
      </c>
      <c r="AB162" s="10" t="s">
        <v>67</v>
      </c>
      <c r="AC162" s="12" t="s">
        <v>55</v>
      </c>
      <c r="AD162" s="12" t="s">
        <v>55</v>
      </c>
      <c r="AE162" s="12" t="s">
        <v>55</v>
      </c>
      <c r="AF162" s="12" t="s">
        <v>55</v>
      </c>
      <c r="AG162" s="12" t="s">
        <v>55</v>
      </c>
      <c r="AH162" s="12" t="s">
        <v>55</v>
      </c>
      <c r="AI162" s="10" t="s">
        <v>67</v>
      </c>
      <c r="AJ162" s="8">
        <f>COUNTIF($E$162:$AI$162,"P")</f>
        <v>17</v>
      </c>
      <c r="AK162" s="8">
        <f>COUNTIF($E$162:$AI$162,"A")</f>
        <v>9</v>
      </c>
      <c r="AL162" s="8">
        <f>SUM($E$163:$AI$163)</f>
        <v>0</v>
      </c>
      <c r="AM162" s="8">
        <f>SUM($E$164:$AI$164)</f>
        <v>39</v>
      </c>
      <c r="AN162" s="8">
        <f>AL162+AM162</f>
        <v>39</v>
      </c>
      <c r="AO162" s="8">
        <f>COUNTIF($E$162:$AI$162,"CL")</f>
        <v>0</v>
      </c>
      <c r="AP162" s="8">
        <f>COUNTIF($E$162:$AI$162,"SL")</f>
        <v>0</v>
      </c>
      <c r="AQ162" s="8">
        <f>COUNTIF($E$162:$AI$162,"EL")</f>
        <v>0</v>
      </c>
      <c r="AR162" s="8">
        <f>COUNTIF($E$162:$AI$162,"H")</f>
        <v>0</v>
      </c>
      <c r="AS162" s="8"/>
      <c r="AT162" s="11" t="s">
        <v>11</v>
      </c>
    </row>
    <row r="163" spans="1:46" ht="15.1" customHeight="1">
      <c r="A163" s="8"/>
      <c r="B163" s="9"/>
      <c r="C163" s="8"/>
      <c r="D163" s="9"/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11" t="s">
        <v>11</v>
      </c>
    </row>
    <row r="164" spans="1:46" ht="15.1" customHeight="1">
      <c r="A164" s="8"/>
      <c r="B164" s="9"/>
      <c r="C164" s="8"/>
      <c r="D164" s="9"/>
      <c r="E164" s="8">
        <v>5</v>
      </c>
      <c r="F164" s="8">
        <v>3</v>
      </c>
      <c r="G164" s="8">
        <v>8</v>
      </c>
      <c r="H164" s="8">
        <v>3</v>
      </c>
      <c r="I164" s="8">
        <v>3</v>
      </c>
      <c r="J164" s="8">
        <v>3</v>
      </c>
      <c r="K164" s="8">
        <v>3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3</v>
      </c>
      <c r="R164" s="8">
        <v>0</v>
      </c>
      <c r="S164" s="8">
        <v>3</v>
      </c>
      <c r="T164" s="8">
        <v>5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11" t="s">
        <v>11</v>
      </c>
    </row>
    <row r="165" spans="1:46" ht="15.1" customHeight="1">
      <c r="A165" s="8">
        <v>54</v>
      </c>
      <c r="B165" s="9" t="s">
        <v>172</v>
      </c>
      <c r="C165" s="8" t="s">
        <v>173</v>
      </c>
      <c r="D165" s="9" t="s">
        <v>66</v>
      </c>
      <c r="E165" s="8" t="s">
        <v>54</v>
      </c>
      <c r="F165" s="8" t="s">
        <v>54</v>
      </c>
      <c r="G165" s="10" t="s">
        <v>67</v>
      </c>
      <c r="H165" s="8" t="s">
        <v>54</v>
      </c>
      <c r="I165" s="8" t="s">
        <v>54</v>
      </c>
      <c r="J165" s="8" t="s">
        <v>54</v>
      </c>
      <c r="K165" s="8" t="s">
        <v>54</v>
      </c>
      <c r="L165" s="8" t="s">
        <v>54</v>
      </c>
      <c r="M165" s="8" t="s">
        <v>54</v>
      </c>
      <c r="N165" s="10" t="s">
        <v>67</v>
      </c>
      <c r="O165" s="8" t="s">
        <v>54</v>
      </c>
      <c r="P165" s="8" t="s">
        <v>54</v>
      </c>
      <c r="Q165" s="8" t="s">
        <v>54</v>
      </c>
      <c r="R165" s="8" t="s">
        <v>54</v>
      </c>
      <c r="S165" s="8" t="s">
        <v>54</v>
      </c>
      <c r="T165" s="8" t="s">
        <v>54</v>
      </c>
      <c r="U165" s="10" t="s">
        <v>67</v>
      </c>
      <c r="V165" s="8" t="s">
        <v>54</v>
      </c>
      <c r="W165" s="8" t="s">
        <v>54</v>
      </c>
      <c r="X165" s="8" t="s">
        <v>54</v>
      </c>
      <c r="Y165" s="8" t="s">
        <v>54</v>
      </c>
      <c r="Z165" s="8" t="s">
        <v>54</v>
      </c>
      <c r="AA165" s="8" t="s">
        <v>54</v>
      </c>
      <c r="AB165" s="10" t="s">
        <v>67</v>
      </c>
      <c r="AC165" s="8" t="s">
        <v>54</v>
      </c>
      <c r="AD165" s="8" t="s">
        <v>54</v>
      </c>
      <c r="AE165" s="8" t="s">
        <v>54</v>
      </c>
      <c r="AF165" s="8" t="s">
        <v>54</v>
      </c>
      <c r="AG165" s="8" t="s">
        <v>54</v>
      </c>
      <c r="AH165" s="8" t="s">
        <v>54</v>
      </c>
      <c r="AI165" s="10" t="s">
        <v>67</v>
      </c>
      <c r="AJ165" s="8">
        <f>COUNTIF($E$165:$AI$165,"P")</f>
        <v>26</v>
      </c>
      <c r="AK165" s="8">
        <f>COUNTIF($E$165:$AI$165,"A")</f>
        <v>0</v>
      </c>
      <c r="AL165" s="8">
        <f>SUM($E$166:$AI$166)</f>
        <v>0</v>
      </c>
      <c r="AM165" s="8">
        <f>SUM($E$167:$AI$167)</f>
        <v>48</v>
      </c>
      <c r="AN165" s="8">
        <f>AL165+AM165</f>
        <v>48</v>
      </c>
      <c r="AO165" s="8">
        <f>COUNTIF($E$165:$AI$165,"CL")</f>
        <v>0</v>
      </c>
      <c r="AP165" s="8">
        <f>COUNTIF($E$165:$AI$165,"SL")</f>
        <v>0</v>
      </c>
      <c r="AQ165" s="8">
        <f>COUNTIF($E$165:$AI$165,"EL")</f>
        <v>0</v>
      </c>
      <c r="AR165" s="8">
        <f>COUNTIF($E$165:$AI$165,"H")</f>
        <v>0</v>
      </c>
      <c r="AS165" s="8"/>
      <c r="AT165" s="11" t="s">
        <v>11</v>
      </c>
    </row>
    <row r="166" spans="1:46" ht="15.1" customHeight="1">
      <c r="A166" s="8"/>
      <c r="B166" s="9"/>
      <c r="C166" s="8"/>
      <c r="D166" s="9"/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11" t="s">
        <v>11</v>
      </c>
    </row>
    <row r="167" spans="1:46" ht="15.1" customHeight="1">
      <c r="A167" s="8"/>
      <c r="B167" s="9"/>
      <c r="C167" s="8"/>
      <c r="D167" s="9"/>
      <c r="E167" s="8">
        <v>5</v>
      </c>
      <c r="F167" s="8">
        <v>3</v>
      </c>
      <c r="G167" s="8">
        <v>8</v>
      </c>
      <c r="H167" s="8">
        <v>0</v>
      </c>
      <c r="I167" s="8">
        <v>3</v>
      </c>
      <c r="J167" s="8">
        <v>0</v>
      </c>
      <c r="K167" s="8">
        <v>3</v>
      </c>
      <c r="L167" s="8">
        <v>0</v>
      </c>
      <c r="M167" s="8">
        <v>3</v>
      </c>
      <c r="N167" s="8">
        <v>0</v>
      </c>
      <c r="O167" s="8">
        <v>5</v>
      </c>
      <c r="P167" s="8">
        <v>0</v>
      </c>
      <c r="Q167" s="8">
        <v>5</v>
      </c>
      <c r="R167" s="8">
        <v>0</v>
      </c>
      <c r="S167" s="8">
        <v>5</v>
      </c>
      <c r="T167" s="8">
        <v>5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3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11" t="s">
        <v>11</v>
      </c>
    </row>
    <row r="168" spans="1:46" ht="15.1" customHeight="1">
      <c r="A168" s="8">
        <v>55</v>
      </c>
      <c r="B168" s="9" t="s">
        <v>174</v>
      </c>
      <c r="C168" s="8" t="s">
        <v>175</v>
      </c>
      <c r="D168" s="9" t="s">
        <v>66</v>
      </c>
      <c r="E168" s="8" t="s">
        <v>54</v>
      </c>
      <c r="F168" s="8" t="s">
        <v>54</v>
      </c>
      <c r="G168" s="10" t="s">
        <v>67</v>
      </c>
      <c r="H168" s="8" t="s">
        <v>54</v>
      </c>
      <c r="I168" s="8" t="s">
        <v>54</v>
      </c>
      <c r="J168" s="8" t="s">
        <v>54</v>
      </c>
      <c r="K168" s="8" t="s">
        <v>54</v>
      </c>
      <c r="L168" s="8" t="s">
        <v>54</v>
      </c>
      <c r="M168" s="8" t="s">
        <v>54</v>
      </c>
      <c r="N168" s="10" t="s">
        <v>67</v>
      </c>
      <c r="O168" s="8" t="s">
        <v>54</v>
      </c>
      <c r="P168" s="8" t="s">
        <v>54</v>
      </c>
      <c r="Q168" s="8" t="s">
        <v>54</v>
      </c>
      <c r="R168" s="8" t="s">
        <v>54</v>
      </c>
      <c r="S168" s="8" t="s">
        <v>54</v>
      </c>
      <c r="T168" s="8" t="s">
        <v>54</v>
      </c>
      <c r="U168" s="10" t="s">
        <v>67</v>
      </c>
      <c r="V168" s="8" t="s">
        <v>54</v>
      </c>
      <c r="W168" s="8" t="s">
        <v>54</v>
      </c>
      <c r="X168" s="8" t="s">
        <v>54</v>
      </c>
      <c r="Y168" s="8" t="s">
        <v>54</v>
      </c>
      <c r="Z168" s="8" t="s">
        <v>54</v>
      </c>
      <c r="AA168" s="8" t="s">
        <v>54</v>
      </c>
      <c r="AB168" s="10" t="s">
        <v>67</v>
      </c>
      <c r="AC168" s="8" t="s">
        <v>54</v>
      </c>
      <c r="AD168" s="8" t="s">
        <v>54</v>
      </c>
      <c r="AE168" s="8" t="s">
        <v>54</v>
      </c>
      <c r="AF168" s="8" t="s">
        <v>54</v>
      </c>
      <c r="AG168" s="8" t="s">
        <v>54</v>
      </c>
      <c r="AH168" s="8" t="s">
        <v>54</v>
      </c>
      <c r="AI168" s="10" t="s">
        <v>67</v>
      </c>
      <c r="AJ168" s="8">
        <f>COUNTIF($E$168:$AI$168,"P")</f>
        <v>26</v>
      </c>
      <c r="AK168" s="8">
        <f>COUNTIF($E$168:$AI$168,"A")</f>
        <v>0</v>
      </c>
      <c r="AL168" s="8">
        <f>SUM($E$169:$AI$169)</f>
        <v>0</v>
      </c>
      <c r="AM168" s="8">
        <f>SUM($E$170:$AI$170)</f>
        <v>49.5</v>
      </c>
      <c r="AN168" s="8">
        <f>AL168+AM168</f>
        <v>49.5</v>
      </c>
      <c r="AO168" s="8">
        <f>COUNTIF($E$168:$AI$168,"CL")</f>
        <v>0</v>
      </c>
      <c r="AP168" s="8">
        <f>COUNTIF($E$168:$AI$168,"SL")</f>
        <v>0</v>
      </c>
      <c r="AQ168" s="8">
        <f>COUNTIF($E$168:$AI$168,"EL")</f>
        <v>0</v>
      </c>
      <c r="AR168" s="8">
        <f>COUNTIF($E$168:$AI$168,"H")</f>
        <v>0</v>
      </c>
      <c r="AS168" s="8"/>
      <c r="AT168" s="11" t="s">
        <v>11</v>
      </c>
    </row>
    <row r="169" spans="1:46" ht="15.1" customHeight="1">
      <c r="A169" s="8"/>
      <c r="B169" s="9"/>
      <c r="C169" s="8"/>
      <c r="D169" s="9"/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11" t="s">
        <v>11</v>
      </c>
    </row>
    <row r="170" spans="1:46" ht="15.1" customHeight="1">
      <c r="A170" s="8"/>
      <c r="B170" s="9"/>
      <c r="C170" s="8"/>
      <c r="D170" s="9"/>
      <c r="E170" s="8">
        <v>6</v>
      </c>
      <c r="F170" s="8">
        <v>3</v>
      </c>
      <c r="G170" s="8">
        <v>8</v>
      </c>
      <c r="H170" s="8">
        <v>3</v>
      </c>
      <c r="I170" s="8">
        <v>3</v>
      </c>
      <c r="J170" s="8">
        <v>0</v>
      </c>
      <c r="K170" s="8">
        <v>3</v>
      </c>
      <c r="L170" s="8">
        <v>3</v>
      </c>
      <c r="M170" s="8">
        <v>0</v>
      </c>
      <c r="N170" s="8">
        <v>0</v>
      </c>
      <c r="O170" s="8">
        <v>2</v>
      </c>
      <c r="P170" s="8">
        <v>0</v>
      </c>
      <c r="Q170" s="8">
        <v>0</v>
      </c>
      <c r="R170" s="8">
        <v>3.5</v>
      </c>
      <c r="S170" s="8">
        <v>4</v>
      </c>
      <c r="T170" s="8">
        <v>2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3</v>
      </c>
      <c r="AE170" s="8">
        <v>0</v>
      </c>
      <c r="AF170" s="8">
        <v>3</v>
      </c>
      <c r="AG170" s="8">
        <v>0</v>
      </c>
      <c r="AH170" s="8">
        <v>3</v>
      </c>
      <c r="AI170" s="8">
        <v>0</v>
      </c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11" t="s">
        <v>11</v>
      </c>
    </row>
    <row r="171" spans="1:46" ht="15.1" customHeight="1">
      <c r="A171" s="8">
        <v>56</v>
      </c>
      <c r="B171" s="9" t="s">
        <v>176</v>
      </c>
      <c r="C171" s="8" t="s">
        <v>177</v>
      </c>
      <c r="D171" s="9" t="s">
        <v>66</v>
      </c>
      <c r="E171" s="8" t="s">
        <v>54</v>
      </c>
      <c r="F171" s="8" t="s">
        <v>54</v>
      </c>
      <c r="G171" s="10" t="s">
        <v>67</v>
      </c>
      <c r="H171" s="8" t="s">
        <v>54</v>
      </c>
      <c r="I171" s="8" t="s">
        <v>54</v>
      </c>
      <c r="J171" s="8" t="s">
        <v>54</v>
      </c>
      <c r="K171" s="8" t="s">
        <v>54</v>
      </c>
      <c r="L171" s="8" t="s">
        <v>54</v>
      </c>
      <c r="M171" s="8" t="s">
        <v>54</v>
      </c>
      <c r="N171" s="10" t="s">
        <v>67</v>
      </c>
      <c r="O171" s="8" t="s">
        <v>54</v>
      </c>
      <c r="P171" s="8" t="s">
        <v>54</v>
      </c>
      <c r="Q171" s="8" t="s">
        <v>54</v>
      </c>
      <c r="R171" s="8" t="s">
        <v>54</v>
      </c>
      <c r="S171" s="8" t="s">
        <v>54</v>
      </c>
      <c r="T171" s="8" t="s">
        <v>54</v>
      </c>
      <c r="U171" s="10" t="s">
        <v>67</v>
      </c>
      <c r="V171" s="8" t="s">
        <v>54</v>
      </c>
      <c r="W171" s="8" t="s">
        <v>54</v>
      </c>
      <c r="X171" s="8" t="s">
        <v>54</v>
      </c>
      <c r="Y171" s="8" t="s">
        <v>54</v>
      </c>
      <c r="Z171" s="8" t="s">
        <v>54</v>
      </c>
      <c r="AA171" s="8" t="s">
        <v>54</v>
      </c>
      <c r="AB171" s="10" t="s">
        <v>67</v>
      </c>
      <c r="AC171" s="8" t="s">
        <v>54</v>
      </c>
      <c r="AD171" s="8" t="s">
        <v>54</v>
      </c>
      <c r="AE171" s="8" t="s">
        <v>54</v>
      </c>
      <c r="AF171" s="8" t="s">
        <v>54</v>
      </c>
      <c r="AG171" s="8" t="s">
        <v>54</v>
      </c>
      <c r="AH171" s="8" t="s">
        <v>54</v>
      </c>
      <c r="AI171" s="10" t="s">
        <v>67</v>
      </c>
      <c r="AJ171" s="8">
        <f>COUNTIF($E$171:$AI$171,"P")</f>
        <v>26</v>
      </c>
      <c r="AK171" s="8">
        <f>COUNTIF($E$171:$AI$171,"A")</f>
        <v>0</v>
      </c>
      <c r="AL171" s="8">
        <f>SUM($E$172:$AI$172)</f>
        <v>0</v>
      </c>
      <c r="AM171" s="8">
        <f>SUM($E$173:$AI$173)</f>
        <v>120.5</v>
      </c>
      <c r="AN171" s="8">
        <f>AL171+AM171</f>
        <v>120.5</v>
      </c>
      <c r="AO171" s="8">
        <f>COUNTIF($E$171:$AI$171,"CL")</f>
        <v>0</v>
      </c>
      <c r="AP171" s="8">
        <f>COUNTIF($E$171:$AI$171,"SL")</f>
        <v>0</v>
      </c>
      <c r="AQ171" s="8">
        <f>COUNTIF($E$171:$AI$171,"EL")</f>
        <v>0</v>
      </c>
      <c r="AR171" s="8">
        <f>COUNTIF($E$171:$AI$171,"H")</f>
        <v>0</v>
      </c>
      <c r="AS171" s="8"/>
      <c r="AT171" s="11" t="s">
        <v>12</v>
      </c>
    </row>
    <row r="172" spans="1:46" ht="15.1" customHeight="1">
      <c r="A172" s="8"/>
      <c r="B172" s="9"/>
      <c r="C172" s="8"/>
      <c r="D172" s="9"/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11" t="s">
        <v>12</v>
      </c>
    </row>
    <row r="173" spans="1:46" ht="15.1" customHeight="1">
      <c r="A173" s="8"/>
      <c r="B173" s="9"/>
      <c r="C173" s="8"/>
      <c r="D173" s="9"/>
      <c r="E173" s="8">
        <v>4</v>
      </c>
      <c r="F173" s="8">
        <v>3</v>
      </c>
      <c r="G173" s="8">
        <v>14</v>
      </c>
      <c r="H173" s="8">
        <v>5</v>
      </c>
      <c r="I173" s="8">
        <v>6</v>
      </c>
      <c r="J173" s="8">
        <v>7</v>
      </c>
      <c r="K173" s="8">
        <v>7</v>
      </c>
      <c r="L173" s="8">
        <v>7</v>
      </c>
      <c r="M173" s="8">
        <v>5</v>
      </c>
      <c r="N173" s="8">
        <v>9.5</v>
      </c>
      <c r="O173" s="8">
        <v>7</v>
      </c>
      <c r="P173" s="8">
        <v>7</v>
      </c>
      <c r="Q173" s="8">
        <v>5</v>
      </c>
      <c r="R173" s="8">
        <v>7</v>
      </c>
      <c r="S173" s="8">
        <v>7</v>
      </c>
      <c r="T173" s="8">
        <v>3</v>
      </c>
      <c r="U173" s="8">
        <v>0</v>
      </c>
      <c r="V173" s="8">
        <v>7</v>
      </c>
      <c r="W173" s="8">
        <v>7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3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11" t="s">
        <v>12</v>
      </c>
    </row>
    <row r="174" spans="1:46" ht="15.1" customHeight="1">
      <c r="A174" s="8">
        <v>57</v>
      </c>
      <c r="B174" s="9" t="s">
        <v>178</v>
      </c>
      <c r="C174" s="8" t="s">
        <v>179</v>
      </c>
      <c r="D174" s="9" t="s">
        <v>66</v>
      </c>
      <c r="E174" s="8" t="s">
        <v>54</v>
      </c>
      <c r="F174" s="8" t="s">
        <v>54</v>
      </c>
      <c r="G174" s="10" t="s">
        <v>67</v>
      </c>
      <c r="H174" s="8" t="s">
        <v>54</v>
      </c>
      <c r="I174" s="8" t="s">
        <v>54</v>
      </c>
      <c r="J174" s="8" t="s">
        <v>54</v>
      </c>
      <c r="K174" s="8" t="s">
        <v>54</v>
      </c>
      <c r="L174" s="8" t="s">
        <v>54</v>
      </c>
      <c r="M174" s="8" t="s">
        <v>54</v>
      </c>
      <c r="N174" s="10" t="s">
        <v>67</v>
      </c>
      <c r="O174" s="8" t="s">
        <v>54</v>
      </c>
      <c r="P174" s="8" t="s">
        <v>54</v>
      </c>
      <c r="Q174" s="8" t="s">
        <v>54</v>
      </c>
      <c r="R174" s="8" t="s">
        <v>54</v>
      </c>
      <c r="S174" s="8" t="s">
        <v>54</v>
      </c>
      <c r="T174" s="8" t="s">
        <v>54</v>
      </c>
      <c r="U174" s="10" t="s">
        <v>67</v>
      </c>
      <c r="V174" s="8" t="s">
        <v>54</v>
      </c>
      <c r="W174" s="8" t="s">
        <v>54</v>
      </c>
      <c r="X174" s="8" t="s">
        <v>54</v>
      </c>
      <c r="Y174" s="8" t="s">
        <v>54</v>
      </c>
      <c r="Z174" s="8" t="s">
        <v>54</v>
      </c>
      <c r="AA174" s="8" t="s">
        <v>54</v>
      </c>
      <c r="AB174" s="10" t="s">
        <v>67</v>
      </c>
      <c r="AC174" s="8" t="s">
        <v>54</v>
      </c>
      <c r="AD174" s="8" t="s">
        <v>54</v>
      </c>
      <c r="AE174" s="8" t="s">
        <v>54</v>
      </c>
      <c r="AF174" s="8" t="s">
        <v>54</v>
      </c>
      <c r="AG174" s="8" t="s">
        <v>54</v>
      </c>
      <c r="AH174" s="8" t="s">
        <v>54</v>
      </c>
      <c r="AI174" s="10" t="s">
        <v>67</v>
      </c>
      <c r="AJ174" s="8">
        <f>COUNTIF($E$174:$AI$174,"P")</f>
        <v>26</v>
      </c>
      <c r="AK174" s="8">
        <f>COUNTIF($E$174:$AI$174,"A")</f>
        <v>0</v>
      </c>
      <c r="AL174" s="8">
        <f>SUM($E$175:$AI$175)</f>
        <v>0</v>
      </c>
      <c r="AM174" s="8">
        <f>SUM($E$176:$AI$176)</f>
        <v>142</v>
      </c>
      <c r="AN174" s="8">
        <f>AL174+AM174</f>
        <v>142</v>
      </c>
      <c r="AO174" s="8">
        <f>COUNTIF($E$174:$AI$174,"CL")</f>
        <v>0</v>
      </c>
      <c r="AP174" s="8">
        <f>COUNTIF($E$174:$AI$174,"SL")</f>
        <v>0</v>
      </c>
      <c r="AQ174" s="8">
        <f>COUNTIF($E$174:$AI$174,"EL")</f>
        <v>0</v>
      </c>
      <c r="AR174" s="8">
        <f>COUNTIF($E$174:$AI$174,"H")</f>
        <v>0</v>
      </c>
      <c r="AS174" s="8"/>
      <c r="AT174" s="11" t="s">
        <v>12</v>
      </c>
    </row>
    <row r="175" spans="1:46" ht="15.1" customHeight="1">
      <c r="A175" s="8"/>
      <c r="B175" s="9"/>
      <c r="C175" s="8"/>
      <c r="D175" s="9"/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11" t="s">
        <v>12</v>
      </c>
    </row>
    <row r="176" spans="1:46" ht="15.1" customHeight="1">
      <c r="A176" s="8"/>
      <c r="B176" s="9"/>
      <c r="C176" s="8"/>
      <c r="D176" s="9"/>
      <c r="E176" s="8">
        <v>4</v>
      </c>
      <c r="F176" s="8">
        <v>3</v>
      </c>
      <c r="G176" s="8">
        <v>14</v>
      </c>
      <c r="H176" s="8">
        <v>5</v>
      </c>
      <c r="I176" s="8">
        <v>7</v>
      </c>
      <c r="J176" s="8">
        <v>7</v>
      </c>
      <c r="K176" s="8">
        <v>7</v>
      </c>
      <c r="L176" s="8">
        <v>7</v>
      </c>
      <c r="M176" s="8">
        <v>5</v>
      </c>
      <c r="N176" s="8">
        <v>17</v>
      </c>
      <c r="O176" s="8">
        <v>7</v>
      </c>
      <c r="P176" s="8">
        <v>7</v>
      </c>
      <c r="Q176" s="8">
        <v>5</v>
      </c>
      <c r="R176" s="8">
        <v>7</v>
      </c>
      <c r="S176" s="8">
        <v>7</v>
      </c>
      <c r="T176" s="8">
        <v>3</v>
      </c>
      <c r="U176" s="8">
        <v>13</v>
      </c>
      <c r="V176" s="8">
        <v>7</v>
      </c>
      <c r="W176" s="8">
        <v>7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3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11" t="s">
        <v>12</v>
      </c>
    </row>
    <row r="177" spans="1:46" ht="15.1" customHeight="1">
      <c r="A177" s="8">
        <v>58</v>
      </c>
      <c r="B177" s="9" t="s">
        <v>180</v>
      </c>
      <c r="C177" s="8" t="s">
        <v>181</v>
      </c>
      <c r="D177" s="9" t="s">
        <v>66</v>
      </c>
      <c r="E177" s="8" t="s">
        <v>54</v>
      </c>
      <c r="F177" s="8" t="s">
        <v>54</v>
      </c>
      <c r="G177" s="10" t="s">
        <v>67</v>
      </c>
      <c r="H177" s="8" t="s">
        <v>54</v>
      </c>
      <c r="I177" s="8" t="s">
        <v>54</v>
      </c>
      <c r="J177" s="8" t="s">
        <v>54</v>
      </c>
      <c r="K177" s="8" t="s">
        <v>54</v>
      </c>
      <c r="L177" s="8" t="s">
        <v>54</v>
      </c>
      <c r="M177" s="8" t="s">
        <v>54</v>
      </c>
      <c r="N177" s="10" t="s">
        <v>67</v>
      </c>
      <c r="O177" s="8" t="s">
        <v>54</v>
      </c>
      <c r="P177" s="8" t="s">
        <v>54</v>
      </c>
      <c r="Q177" s="8" t="s">
        <v>54</v>
      </c>
      <c r="R177" s="8" t="s">
        <v>54</v>
      </c>
      <c r="S177" s="8" t="s">
        <v>54</v>
      </c>
      <c r="T177" s="8" t="s">
        <v>54</v>
      </c>
      <c r="U177" s="10" t="s">
        <v>67</v>
      </c>
      <c r="V177" s="8" t="s">
        <v>54</v>
      </c>
      <c r="W177" s="8" t="s">
        <v>54</v>
      </c>
      <c r="X177" s="8" t="s">
        <v>54</v>
      </c>
      <c r="Y177" s="8" t="s">
        <v>54</v>
      </c>
      <c r="Z177" s="8" t="s">
        <v>54</v>
      </c>
      <c r="AA177" s="8" t="s">
        <v>54</v>
      </c>
      <c r="AB177" s="10" t="s">
        <v>67</v>
      </c>
      <c r="AC177" s="8" t="s">
        <v>54</v>
      </c>
      <c r="AD177" s="8" t="s">
        <v>54</v>
      </c>
      <c r="AE177" s="8" t="s">
        <v>54</v>
      </c>
      <c r="AF177" s="8" t="s">
        <v>54</v>
      </c>
      <c r="AG177" s="8" t="s">
        <v>54</v>
      </c>
      <c r="AH177" s="8" t="s">
        <v>54</v>
      </c>
      <c r="AI177" s="10" t="s">
        <v>67</v>
      </c>
      <c r="AJ177" s="8">
        <f>COUNTIF($E$177:$AI$177,"P")</f>
        <v>26</v>
      </c>
      <c r="AK177" s="8">
        <f>COUNTIF($E$177:$AI$177,"A")</f>
        <v>0</v>
      </c>
      <c r="AL177" s="8">
        <f>SUM($E$178:$AI$178)</f>
        <v>0</v>
      </c>
      <c r="AM177" s="8">
        <f>SUM($E$179:$AI$179)</f>
        <v>138</v>
      </c>
      <c r="AN177" s="8">
        <f>AL177+AM177</f>
        <v>138</v>
      </c>
      <c r="AO177" s="8">
        <f>COUNTIF($E$177:$AI$177,"CL")</f>
        <v>0</v>
      </c>
      <c r="AP177" s="8">
        <f>COUNTIF($E$177:$AI$177,"SL")</f>
        <v>0</v>
      </c>
      <c r="AQ177" s="8">
        <f>COUNTIF($E$177:$AI$177,"EL")</f>
        <v>0</v>
      </c>
      <c r="AR177" s="8">
        <f>COUNTIF($E$177:$AI$177,"H")</f>
        <v>0</v>
      </c>
      <c r="AS177" s="8"/>
      <c r="AT177" s="11" t="s">
        <v>12</v>
      </c>
    </row>
    <row r="178" spans="1:46" ht="15.1" customHeight="1">
      <c r="A178" s="8"/>
      <c r="B178" s="9"/>
      <c r="C178" s="8"/>
      <c r="D178" s="9"/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11" t="s">
        <v>12</v>
      </c>
    </row>
    <row r="179" spans="1:46" ht="15.1" customHeight="1">
      <c r="A179" s="8"/>
      <c r="B179" s="9"/>
      <c r="C179" s="8"/>
      <c r="D179" s="9"/>
      <c r="E179" s="8">
        <v>4</v>
      </c>
      <c r="F179" s="8">
        <v>0</v>
      </c>
      <c r="G179" s="8">
        <v>14</v>
      </c>
      <c r="H179" s="8">
        <v>5</v>
      </c>
      <c r="I179" s="8">
        <v>7</v>
      </c>
      <c r="J179" s="8">
        <v>7</v>
      </c>
      <c r="K179" s="8">
        <v>7</v>
      </c>
      <c r="L179" s="8">
        <v>7</v>
      </c>
      <c r="M179" s="8">
        <v>5</v>
      </c>
      <c r="N179" s="8">
        <v>16.5</v>
      </c>
      <c r="O179" s="8">
        <v>7</v>
      </c>
      <c r="P179" s="8">
        <v>7</v>
      </c>
      <c r="Q179" s="8">
        <v>5</v>
      </c>
      <c r="R179" s="8">
        <v>7</v>
      </c>
      <c r="S179" s="8">
        <v>7</v>
      </c>
      <c r="T179" s="8">
        <v>3</v>
      </c>
      <c r="U179" s="8">
        <v>12.5</v>
      </c>
      <c r="V179" s="8">
        <v>7</v>
      </c>
      <c r="W179" s="8">
        <v>7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3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11" t="s">
        <v>12</v>
      </c>
    </row>
    <row r="180" spans="1:46" ht="15.1" customHeight="1">
      <c r="A180" s="8">
        <v>59</v>
      </c>
      <c r="B180" s="9" t="s">
        <v>182</v>
      </c>
      <c r="C180" s="8" t="s">
        <v>183</v>
      </c>
      <c r="D180" s="9" t="s">
        <v>66</v>
      </c>
      <c r="E180" s="8" t="s">
        <v>54</v>
      </c>
      <c r="F180" s="8" t="s">
        <v>54</v>
      </c>
      <c r="G180" s="10" t="s">
        <v>67</v>
      </c>
      <c r="H180" s="8" t="s">
        <v>54</v>
      </c>
      <c r="I180" s="8" t="s">
        <v>54</v>
      </c>
      <c r="J180" s="8" t="s">
        <v>54</v>
      </c>
      <c r="K180" s="8" t="s">
        <v>54</v>
      </c>
      <c r="L180" s="8" t="s">
        <v>54</v>
      </c>
      <c r="M180" s="8" t="s">
        <v>54</v>
      </c>
      <c r="N180" s="10" t="s">
        <v>67</v>
      </c>
      <c r="O180" s="8" t="s">
        <v>54</v>
      </c>
      <c r="P180" s="12" t="s">
        <v>55</v>
      </c>
      <c r="Q180" s="8" t="s">
        <v>54</v>
      </c>
      <c r="R180" s="8" t="s">
        <v>54</v>
      </c>
      <c r="S180" s="8" t="s">
        <v>54</v>
      </c>
      <c r="T180" s="8" t="s">
        <v>54</v>
      </c>
      <c r="U180" s="10" t="s">
        <v>67</v>
      </c>
      <c r="V180" s="8" t="s">
        <v>54</v>
      </c>
      <c r="W180" s="8" t="s">
        <v>54</v>
      </c>
      <c r="X180" s="8" t="s">
        <v>54</v>
      </c>
      <c r="Y180" s="8" t="s">
        <v>54</v>
      </c>
      <c r="Z180" s="8" t="s">
        <v>54</v>
      </c>
      <c r="AA180" s="8" t="s">
        <v>54</v>
      </c>
      <c r="AB180" s="10" t="s">
        <v>67</v>
      </c>
      <c r="AC180" s="8" t="s">
        <v>54</v>
      </c>
      <c r="AD180" s="8" t="s">
        <v>54</v>
      </c>
      <c r="AE180" s="8" t="s">
        <v>54</v>
      </c>
      <c r="AF180" s="8" t="s">
        <v>54</v>
      </c>
      <c r="AG180" s="8" t="s">
        <v>54</v>
      </c>
      <c r="AH180" s="12" t="s">
        <v>55</v>
      </c>
      <c r="AI180" s="10" t="s">
        <v>67</v>
      </c>
      <c r="AJ180" s="8">
        <f>COUNTIF($E$180:$AI$180,"P")</f>
        <v>24</v>
      </c>
      <c r="AK180" s="8">
        <f>COUNTIF($E$180:$AI$180,"A")</f>
        <v>2</v>
      </c>
      <c r="AL180" s="8">
        <f>SUM($E$181:$AI$181)</f>
        <v>0</v>
      </c>
      <c r="AM180" s="8">
        <f>SUM($E$182:$AI$182)</f>
        <v>123</v>
      </c>
      <c r="AN180" s="8">
        <f>AL180+AM180</f>
        <v>123</v>
      </c>
      <c r="AO180" s="8">
        <f>COUNTIF($E$180:$AI$180,"CL")</f>
        <v>0</v>
      </c>
      <c r="AP180" s="8">
        <f>COUNTIF($E$180:$AI$180,"SL")</f>
        <v>0</v>
      </c>
      <c r="AQ180" s="8">
        <f>COUNTIF($E$180:$AI$180,"EL")</f>
        <v>0</v>
      </c>
      <c r="AR180" s="8">
        <f>COUNTIF($E$180:$AI$180,"H")</f>
        <v>0</v>
      </c>
      <c r="AS180" s="8"/>
      <c r="AT180" s="11" t="s">
        <v>13</v>
      </c>
    </row>
    <row r="181" spans="1:46" ht="15.1" customHeight="1">
      <c r="A181" s="8"/>
      <c r="B181" s="9"/>
      <c r="C181" s="8"/>
      <c r="D181" s="9"/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11" t="s">
        <v>13</v>
      </c>
    </row>
    <row r="182" spans="1:46" ht="15.1" customHeight="1">
      <c r="A182" s="8"/>
      <c r="B182" s="9"/>
      <c r="C182" s="8"/>
      <c r="D182" s="9"/>
      <c r="E182" s="8">
        <v>6</v>
      </c>
      <c r="F182" s="8">
        <v>3</v>
      </c>
      <c r="G182" s="8">
        <v>15</v>
      </c>
      <c r="H182" s="8">
        <v>0</v>
      </c>
      <c r="I182" s="8">
        <v>7</v>
      </c>
      <c r="J182" s="8">
        <v>6</v>
      </c>
      <c r="K182" s="8">
        <v>5</v>
      </c>
      <c r="L182" s="8">
        <v>7</v>
      </c>
      <c r="M182" s="8">
        <v>5</v>
      </c>
      <c r="N182" s="8">
        <v>17</v>
      </c>
      <c r="O182" s="8">
        <v>7</v>
      </c>
      <c r="P182" s="8">
        <v>0</v>
      </c>
      <c r="Q182" s="8">
        <v>7</v>
      </c>
      <c r="R182" s="8">
        <v>7</v>
      </c>
      <c r="S182" s="8">
        <v>7</v>
      </c>
      <c r="T182" s="8">
        <v>5</v>
      </c>
      <c r="U182" s="8">
        <v>0</v>
      </c>
      <c r="V182" s="8">
        <v>7</v>
      </c>
      <c r="W182" s="8">
        <v>7</v>
      </c>
      <c r="X182" s="8">
        <v>5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11" t="s">
        <v>13</v>
      </c>
    </row>
    <row r="183" spans="1:46" ht="15.1" customHeight="1">
      <c r="A183" s="8">
        <v>60</v>
      </c>
      <c r="B183" s="9" t="s">
        <v>184</v>
      </c>
      <c r="C183" s="8" t="s">
        <v>185</v>
      </c>
      <c r="D183" s="9" t="s">
        <v>66</v>
      </c>
      <c r="E183" s="12" t="s">
        <v>55</v>
      </c>
      <c r="F183" s="12" t="s">
        <v>55</v>
      </c>
      <c r="G183" s="10" t="s">
        <v>67</v>
      </c>
      <c r="H183" s="12" t="s">
        <v>55</v>
      </c>
      <c r="I183" s="8" t="s">
        <v>54</v>
      </c>
      <c r="J183" s="8" t="s">
        <v>54</v>
      </c>
      <c r="K183" s="8" t="s">
        <v>54</v>
      </c>
      <c r="L183" s="8" t="s">
        <v>54</v>
      </c>
      <c r="M183" s="8" t="s">
        <v>54</v>
      </c>
      <c r="N183" s="10" t="s">
        <v>67</v>
      </c>
      <c r="O183" s="8" t="s">
        <v>54</v>
      </c>
      <c r="P183" s="12" t="s">
        <v>55</v>
      </c>
      <c r="Q183" s="8" t="s">
        <v>54</v>
      </c>
      <c r="R183" s="8" t="s">
        <v>54</v>
      </c>
      <c r="S183" s="8" t="s">
        <v>54</v>
      </c>
      <c r="T183" s="8" t="s">
        <v>54</v>
      </c>
      <c r="U183" s="10" t="s">
        <v>67</v>
      </c>
      <c r="V183" s="8" t="s">
        <v>54</v>
      </c>
      <c r="W183" s="12" t="s">
        <v>55</v>
      </c>
      <c r="X183" s="12" t="s">
        <v>55</v>
      </c>
      <c r="Y183" s="12" t="s">
        <v>55</v>
      </c>
      <c r="Z183" s="12" t="s">
        <v>55</v>
      </c>
      <c r="AA183" s="12" t="s">
        <v>55</v>
      </c>
      <c r="AB183" s="10" t="s">
        <v>67</v>
      </c>
      <c r="AC183" s="12" t="s">
        <v>55</v>
      </c>
      <c r="AD183" s="12" t="s">
        <v>55</v>
      </c>
      <c r="AE183" s="12" t="s">
        <v>55</v>
      </c>
      <c r="AF183" s="12" t="s">
        <v>55</v>
      </c>
      <c r="AG183" s="12" t="s">
        <v>55</v>
      </c>
      <c r="AH183" s="12" t="s">
        <v>55</v>
      </c>
      <c r="AI183" s="10" t="s">
        <v>67</v>
      </c>
      <c r="AJ183" s="8">
        <f>COUNTIF($E$183:$AI$183,"P")</f>
        <v>11</v>
      </c>
      <c r="AK183" s="8">
        <f>COUNTIF($E$183:$AI$183,"A")</f>
        <v>15</v>
      </c>
      <c r="AL183" s="8">
        <f>SUM($E$184:$AI$184)</f>
        <v>0</v>
      </c>
      <c r="AM183" s="8">
        <f>SUM($E$185:$AI$185)</f>
        <v>91</v>
      </c>
      <c r="AN183" s="8">
        <f>AL183+AM183</f>
        <v>91</v>
      </c>
      <c r="AO183" s="8">
        <f>COUNTIF($E$183:$AI$183,"CL")</f>
        <v>0</v>
      </c>
      <c r="AP183" s="8">
        <f>COUNTIF($E$183:$AI$183,"SL")</f>
        <v>0</v>
      </c>
      <c r="AQ183" s="8">
        <f>COUNTIF($E$183:$AI$183,"EL")</f>
        <v>0</v>
      </c>
      <c r="AR183" s="8">
        <f>COUNTIF($E$183:$AI$183,"H")</f>
        <v>0</v>
      </c>
      <c r="AS183" s="8"/>
      <c r="AT183" s="11" t="s">
        <v>13</v>
      </c>
    </row>
    <row r="184" spans="1:46" ht="15.1" customHeight="1">
      <c r="A184" s="8"/>
      <c r="B184" s="9"/>
      <c r="C184" s="8"/>
      <c r="D184" s="9"/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11" t="s">
        <v>13</v>
      </c>
    </row>
    <row r="185" spans="1:46" ht="15.1" customHeight="1">
      <c r="A185" s="8"/>
      <c r="B185" s="9"/>
      <c r="C185" s="8"/>
      <c r="D185" s="9"/>
      <c r="E185" s="8">
        <v>0</v>
      </c>
      <c r="F185" s="8">
        <v>0</v>
      </c>
      <c r="G185" s="8">
        <v>0</v>
      </c>
      <c r="H185" s="8">
        <v>0</v>
      </c>
      <c r="I185" s="8">
        <v>7</v>
      </c>
      <c r="J185" s="8">
        <v>11</v>
      </c>
      <c r="K185" s="8">
        <v>7</v>
      </c>
      <c r="L185" s="8">
        <v>7</v>
      </c>
      <c r="M185" s="8">
        <v>5</v>
      </c>
      <c r="N185" s="8">
        <v>16.5</v>
      </c>
      <c r="O185" s="8">
        <v>7</v>
      </c>
      <c r="P185" s="8">
        <v>0</v>
      </c>
      <c r="Q185" s="8">
        <v>11</v>
      </c>
      <c r="R185" s="8">
        <v>1</v>
      </c>
      <c r="S185" s="8">
        <v>7</v>
      </c>
      <c r="T185" s="8">
        <v>6.5</v>
      </c>
      <c r="U185" s="8">
        <v>0</v>
      </c>
      <c r="V185" s="8">
        <v>5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11" t="s">
        <v>13</v>
      </c>
    </row>
    <row r="186" spans="1:46" ht="15.1" customHeight="1">
      <c r="A186" s="8">
        <v>61</v>
      </c>
      <c r="B186" s="9" t="s">
        <v>186</v>
      </c>
      <c r="C186" s="8" t="s">
        <v>187</v>
      </c>
      <c r="D186" s="9" t="s">
        <v>66</v>
      </c>
      <c r="E186" s="8" t="s">
        <v>54</v>
      </c>
      <c r="F186" s="8" t="s">
        <v>54</v>
      </c>
      <c r="G186" s="10" t="s">
        <v>67</v>
      </c>
      <c r="H186" s="8" t="s">
        <v>54</v>
      </c>
      <c r="I186" s="8" t="s">
        <v>54</v>
      </c>
      <c r="J186" s="8" t="s">
        <v>54</v>
      </c>
      <c r="K186" s="8" t="s">
        <v>54</v>
      </c>
      <c r="L186" s="8" t="s">
        <v>54</v>
      </c>
      <c r="M186" s="8" t="s">
        <v>54</v>
      </c>
      <c r="N186" s="10" t="s">
        <v>67</v>
      </c>
      <c r="O186" s="8" t="s">
        <v>54</v>
      </c>
      <c r="P186" s="8" t="s">
        <v>54</v>
      </c>
      <c r="Q186" s="8" t="s">
        <v>54</v>
      </c>
      <c r="R186" s="8" t="s">
        <v>54</v>
      </c>
      <c r="S186" s="12" t="s">
        <v>55</v>
      </c>
      <c r="T186" s="8" t="s">
        <v>54</v>
      </c>
      <c r="U186" s="10" t="s">
        <v>67</v>
      </c>
      <c r="V186" s="8" t="s">
        <v>54</v>
      </c>
      <c r="W186" s="8" t="s">
        <v>54</v>
      </c>
      <c r="X186" s="8" t="s">
        <v>54</v>
      </c>
      <c r="Y186" s="8" t="s">
        <v>54</v>
      </c>
      <c r="Z186" s="8" t="s">
        <v>54</v>
      </c>
      <c r="AA186" s="8" t="s">
        <v>54</v>
      </c>
      <c r="AB186" s="10" t="s">
        <v>67</v>
      </c>
      <c r="AC186" s="8" t="s">
        <v>54</v>
      </c>
      <c r="AD186" s="8" t="s">
        <v>54</v>
      </c>
      <c r="AE186" s="8" t="s">
        <v>54</v>
      </c>
      <c r="AF186" s="8" t="s">
        <v>54</v>
      </c>
      <c r="AG186" s="8" t="s">
        <v>54</v>
      </c>
      <c r="AH186" s="12" t="s">
        <v>55</v>
      </c>
      <c r="AI186" s="10" t="s">
        <v>67</v>
      </c>
      <c r="AJ186" s="8">
        <f>COUNTIF($E$186:$AI$186,"P")</f>
        <v>24</v>
      </c>
      <c r="AK186" s="8">
        <f>COUNTIF($E$186:$AI$186,"A")</f>
        <v>2</v>
      </c>
      <c r="AL186" s="8">
        <f>SUM($E$187:$AI$187)</f>
        <v>0</v>
      </c>
      <c r="AM186" s="8">
        <f>SUM($E$188:$AI$188)</f>
        <v>164</v>
      </c>
      <c r="AN186" s="8">
        <f>AL186+AM186</f>
        <v>164</v>
      </c>
      <c r="AO186" s="8">
        <f>COUNTIF($E$186:$AI$186,"CL")</f>
        <v>0</v>
      </c>
      <c r="AP186" s="8">
        <f>COUNTIF($E$186:$AI$186,"SL")</f>
        <v>0</v>
      </c>
      <c r="AQ186" s="8">
        <f>COUNTIF($E$186:$AI$186,"EL")</f>
        <v>0</v>
      </c>
      <c r="AR186" s="8">
        <f>COUNTIF($E$186:$AI$186,"H")</f>
        <v>0</v>
      </c>
      <c r="AS186" s="8"/>
      <c r="AT186" s="11" t="s">
        <v>13</v>
      </c>
    </row>
    <row r="187" spans="1:46" ht="15.1" customHeight="1">
      <c r="A187" s="8"/>
      <c r="B187" s="9"/>
      <c r="C187" s="8"/>
      <c r="D187" s="9"/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11" t="s">
        <v>13</v>
      </c>
    </row>
    <row r="188" spans="1:46" ht="15.1" customHeight="1">
      <c r="A188" s="8"/>
      <c r="B188" s="9"/>
      <c r="C188" s="8"/>
      <c r="D188" s="9"/>
      <c r="E188" s="8">
        <v>7</v>
      </c>
      <c r="F188" s="8">
        <v>3</v>
      </c>
      <c r="G188" s="8">
        <v>15</v>
      </c>
      <c r="H188" s="8">
        <v>7</v>
      </c>
      <c r="I188" s="8">
        <v>7</v>
      </c>
      <c r="J188" s="8">
        <v>11</v>
      </c>
      <c r="K188" s="8">
        <v>7</v>
      </c>
      <c r="L188" s="8">
        <v>7</v>
      </c>
      <c r="M188" s="8">
        <v>5</v>
      </c>
      <c r="N188" s="8">
        <v>17</v>
      </c>
      <c r="O188" s="8">
        <v>10.5</v>
      </c>
      <c r="P188" s="8">
        <v>6</v>
      </c>
      <c r="Q188" s="8">
        <v>0</v>
      </c>
      <c r="R188" s="8">
        <v>7</v>
      </c>
      <c r="S188" s="8">
        <v>0</v>
      </c>
      <c r="T188" s="8">
        <v>6.5</v>
      </c>
      <c r="U188" s="8">
        <v>13</v>
      </c>
      <c r="V188" s="8">
        <v>7</v>
      </c>
      <c r="W188" s="8">
        <v>7</v>
      </c>
      <c r="X188" s="8">
        <v>11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10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11" t="s">
        <v>13</v>
      </c>
    </row>
    <row r="189" spans="1:46" ht="15.1" customHeight="1">
      <c r="A189" s="8">
        <v>62</v>
      </c>
      <c r="B189" s="9" t="s">
        <v>188</v>
      </c>
      <c r="C189" s="8" t="s">
        <v>189</v>
      </c>
      <c r="D189" s="9" t="s">
        <v>66</v>
      </c>
      <c r="E189" s="8" t="s">
        <v>54</v>
      </c>
      <c r="F189" s="8" t="s">
        <v>54</v>
      </c>
      <c r="G189" s="10" t="s">
        <v>67</v>
      </c>
      <c r="H189" s="8" t="s">
        <v>54</v>
      </c>
      <c r="I189" s="8" t="s">
        <v>54</v>
      </c>
      <c r="J189" s="8" t="s">
        <v>54</v>
      </c>
      <c r="K189" s="8" t="s">
        <v>54</v>
      </c>
      <c r="L189" s="8" t="s">
        <v>54</v>
      </c>
      <c r="M189" s="8" t="s">
        <v>54</v>
      </c>
      <c r="N189" s="10" t="s">
        <v>67</v>
      </c>
      <c r="O189" s="8" t="s">
        <v>54</v>
      </c>
      <c r="P189" s="8" t="s">
        <v>54</v>
      </c>
      <c r="Q189" s="8" t="s">
        <v>54</v>
      </c>
      <c r="R189" s="8" t="s">
        <v>54</v>
      </c>
      <c r="S189" s="8" t="s">
        <v>54</v>
      </c>
      <c r="T189" s="8" t="s">
        <v>54</v>
      </c>
      <c r="U189" s="10" t="s">
        <v>67</v>
      </c>
      <c r="V189" s="8" t="s">
        <v>54</v>
      </c>
      <c r="W189" s="8" t="s">
        <v>54</v>
      </c>
      <c r="X189" s="8" t="s">
        <v>54</v>
      </c>
      <c r="Y189" s="8" t="s">
        <v>54</v>
      </c>
      <c r="Z189" s="8" t="s">
        <v>54</v>
      </c>
      <c r="AA189" s="8" t="s">
        <v>54</v>
      </c>
      <c r="AB189" s="10" t="s">
        <v>67</v>
      </c>
      <c r="AC189" s="8" t="s">
        <v>54</v>
      </c>
      <c r="AD189" s="8" t="s">
        <v>54</v>
      </c>
      <c r="AE189" s="8" t="s">
        <v>54</v>
      </c>
      <c r="AF189" s="8" t="s">
        <v>54</v>
      </c>
      <c r="AG189" s="8" t="s">
        <v>54</v>
      </c>
      <c r="AH189" s="12" t="s">
        <v>55</v>
      </c>
      <c r="AI189" s="10" t="s">
        <v>67</v>
      </c>
      <c r="AJ189" s="8">
        <f>COUNTIF($E$189:$AI$189,"P")</f>
        <v>25</v>
      </c>
      <c r="AK189" s="8">
        <f>COUNTIF($E$189:$AI$189,"A")</f>
        <v>1</v>
      </c>
      <c r="AL189" s="8">
        <f>SUM($E$190:$AI$190)</f>
        <v>0</v>
      </c>
      <c r="AM189" s="8">
        <f>SUM($E$191:$AI$191)</f>
        <v>141</v>
      </c>
      <c r="AN189" s="8">
        <f>AL189+AM189</f>
        <v>141</v>
      </c>
      <c r="AO189" s="8">
        <f>COUNTIF($E$189:$AI$189,"CL")</f>
        <v>0</v>
      </c>
      <c r="AP189" s="8">
        <f>COUNTIF($E$189:$AI$189,"SL")</f>
        <v>0</v>
      </c>
      <c r="AQ189" s="8">
        <f>COUNTIF($E$189:$AI$189,"EL")</f>
        <v>0</v>
      </c>
      <c r="AR189" s="8">
        <f>COUNTIF($E$189:$AI$189,"H")</f>
        <v>0</v>
      </c>
      <c r="AS189" s="8"/>
      <c r="AT189" s="11" t="s">
        <v>14</v>
      </c>
    </row>
    <row r="190" spans="1:46" ht="15.1" customHeight="1">
      <c r="A190" s="8"/>
      <c r="B190" s="9"/>
      <c r="C190" s="8"/>
      <c r="D190" s="9"/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11" t="s">
        <v>14</v>
      </c>
    </row>
    <row r="191" spans="1:46" ht="15.1" customHeight="1">
      <c r="A191" s="8"/>
      <c r="B191" s="9"/>
      <c r="C191" s="8"/>
      <c r="D191" s="9"/>
      <c r="E191" s="8">
        <v>4</v>
      </c>
      <c r="F191" s="8">
        <v>3</v>
      </c>
      <c r="G191" s="8">
        <v>15</v>
      </c>
      <c r="H191" s="8">
        <v>5</v>
      </c>
      <c r="I191" s="8">
        <v>5</v>
      </c>
      <c r="J191" s="8">
        <v>5</v>
      </c>
      <c r="K191" s="8">
        <v>5</v>
      </c>
      <c r="L191" s="8">
        <v>7</v>
      </c>
      <c r="M191" s="8">
        <v>5</v>
      </c>
      <c r="N191" s="8">
        <v>17</v>
      </c>
      <c r="O191" s="8">
        <v>7</v>
      </c>
      <c r="P191" s="8">
        <v>7</v>
      </c>
      <c r="Q191" s="8">
        <v>7</v>
      </c>
      <c r="R191" s="8">
        <v>7</v>
      </c>
      <c r="S191" s="8">
        <v>7</v>
      </c>
      <c r="T191" s="8">
        <v>5</v>
      </c>
      <c r="U191" s="8">
        <v>13</v>
      </c>
      <c r="V191" s="8">
        <v>5</v>
      </c>
      <c r="W191" s="8">
        <v>7</v>
      </c>
      <c r="X191" s="8">
        <v>5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11" t="s">
        <v>14</v>
      </c>
    </row>
    <row r="192" spans="1:46" ht="15.1" customHeight="1">
      <c r="A192" s="8">
        <v>63</v>
      </c>
      <c r="B192" s="9" t="s">
        <v>178</v>
      </c>
      <c r="C192" s="8" t="s">
        <v>190</v>
      </c>
      <c r="D192" s="9" t="s">
        <v>66</v>
      </c>
      <c r="E192" s="8" t="s">
        <v>54</v>
      </c>
      <c r="F192" s="8" t="s">
        <v>54</v>
      </c>
      <c r="G192" s="10" t="s">
        <v>67</v>
      </c>
      <c r="H192" s="8" t="s">
        <v>54</v>
      </c>
      <c r="I192" s="8" t="s">
        <v>54</v>
      </c>
      <c r="J192" s="8" t="s">
        <v>54</v>
      </c>
      <c r="K192" s="8" t="s">
        <v>54</v>
      </c>
      <c r="L192" s="8" t="s">
        <v>54</v>
      </c>
      <c r="M192" s="8" t="s">
        <v>54</v>
      </c>
      <c r="N192" s="10" t="s">
        <v>67</v>
      </c>
      <c r="O192" s="8" t="s">
        <v>54</v>
      </c>
      <c r="P192" s="8" t="s">
        <v>54</v>
      </c>
      <c r="Q192" s="8" t="s">
        <v>54</v>
      </c>
      <c r="R192" s="8" t="s">
        <v>54</v>
      </c>
      <c r="S192" s="8" t="s">
        <v>54</v>
      </c>
      <c r="T192" s="8" t="s">
        <v>54</v>
      </c>
      <c r="U192" s="10" t="s">
        <v>67</v>
      </c>
      <c r="V192" s="8" t="s">
        <v>54</v>
      </c>
      <c r="W192" s="8" t="s">
        <v>54</v>
      </c>
      <c r="X192" s="8" t="s">
        <v>54</v>
      </c>
      <c r="Y192" s="8" t="s">
        <v>54</v>
      </c>
      <c r="Z192" s="8" t="s">
        <v>54</v>
      </c>
      <c r="AA192" s="8" t="s">
        <v>54</v>
      </c>
      <c r="AB192" s="10" t="s">
        <v>67</v>
      </c>
      <c r="AC192" s="8" t="s">
        <v>54</v>
      </c>
      <c r="AD192" s="8" t="s">
        <v>54</v>
      </c>
      <c r="AE192" s="8" t="s">
        <v>54</v>
      </c>
      <c r="AF192" s="8" t="s">
        <v>54</v>
      </c>
      <c r="AG192" s="8" t="s">
        <v>54</v>
      </c>
      <c r="AH192" s="8" t="s">
        <v>54</v>
      </c>
      <c r="AI192" s="10" t="s">
        <v>67</v>
      </c>
      <c r="AJ192" s="8">
        <f>COUNTIF($E$192:$AI$192,"P")</f>
        <v>26</v>
      </c>
      <c r="AK192" s="8">
        <f>COUNTIF($E$192:$AI$192,"A")</f>
        <v>0</v>
      </c>
      <c r="AL192" s="8">
        <f>SUM($E$193:$AI$193)</f>
        <v>0</v>
      </c>
      <c r="AM192" s="8">
        <f>SUM($E$194:$AI$194)</f>
        <v>131</v>
      </c>
      <c r="AN192" s="8">
        <f>AL192+AM192</f>
        <v>131</v>
      </c>
      <c r="AO192" s="8">
        <f>COUNTIF($E$192:$AI$192,"CL")</f>
        <v>0</v>
      </c>
      <c r="AP192" s="8">
        <f>COUNTIF($E$192:$AI$192,"SL")</f>
        <v>0</v>
      </c>
      <c r="AQ192" s="8">
        <f>COUNTIF($E$192:$AI$192,"EL")</f>
        <v>0</v>
      </c>
      <c r="AR192" s="8">
        <f>COUNTIF($E$192:$AI$192,"H")</f>
        <v>0</v>
      </c>
      <c r="AS192" s="8"/>
      <c r="AT192" s="11" t="s">
        <v>15</v>
      </c>
    </row>
    <row r="193" spans="1:46" ht="15.1" customHeight="1">
      <c r="A193" s="8"/>
      <c r="B193" s="9"/>
      <c r="C193" s="8"/>
      <c r="D193" s="9"/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11" t="s">
        <v>15</v>
      </c>
    </row>
    <row r="194" spans="1:46" ht="15.1" customHeight="1">
      <c r="A194" s="8"/>
      <c r="B194" s="9"/>
      <c r="C194" s="8"/>
      <c r="D194" s="9"/>
      <c r="E194" s="8">
        <v>4.5</v>
      </c>
      <c r="F194" s="8">
        <v>3</v>
      </c>
      <c r="G194" s="8">
        <v>14</v>
      </c>
      <c r="H194" s="8">
        <v>5</v>
      </c>
      <c r="I194" s="8">
        <v>7</v>
      </c>
      <c r="J194" s="8">
        <v>7</v>
      </c>
      <c r="K194" s="8">
        <v>7</v>
      </c>
      <c r="L194" s="8">
        <v>7</v>
      </c>
      <c r="M194" s="8">
        <v>5</v>
      </c>
      <c r="N194" s="8">
        <v>17</v>
      </c>
      <c r="O194" s="8">
        <v>7</v>
      </c>
      <c r="P194" s="8">
        <v>9.5</v>
      </c>
      <c r="Q194" s="8">
        <v>3</v>
      </c>
      <c r="R194" s="8">
        <v>7</v>
      </c>
      <c r="S194" s="8">
        <v>0</v>
      </c>
      <c r="T194" s="8">
        <v>3</v>
      </c>
      <c r="U194" s="8">
        <v>13</v>
      </c>
      <c r="V194" s="8">
        <v>7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5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11" t="s">
        <v>15</v>
      </c>
    </row>
    <row r="195" spans="1:46" ht="15.1" customHeight="1">
      <c r="A195" s="8">
        <v>64</v>
      </c>
      <c r="B195" s="9" t="s">
        <v>191</v>
      </c>
      <c r="C195" s="8" t="s">
        <v>192</v>
      </c>
      <c r="D195" s="9" t="s">
        <v>66</v>
      </c>
      <c r="E195" s="8" t="s">
        <v>54</v>
      </c>
      <c r="F195" s="8" t="s">
        <v>54</v>
      </c>
      <c r="G195" s="10" t="s">
        <v>67</v>
      </c>
      <c r="H195" s="12" t="s">
        <v>55</v>
      </c>
      <c r="I195" s="8" t="s">
        <v>54</v>
      </c>
      <c r="J195" s="12" t="s">
        <v>55</v>
      </c>
      <c r="K195" s="12" t="s">
        <v>55</v>
      </c>
      <c r="L195" s="8" t="s">
        <v>54</v>
      </c>
      <c r="M195" s="8" t="s">
        <v>54</v>
      </c>
      <c r="N195" s="10" t="s">
        <v>67</v>
      </c>
      <c r="O195" s="8" t="s">
        <v>54</v>
      </c>
      <c r="P195" s="12" t="s">
        <v>55</v>
      </c>
      <c r="Q195" s="8" t="s">
        <v>54</v>
      </c>
      <c r="R195" s="8" t="s">
        <v>54</v>
      </c>
      <c r="S195" s="8" t="s">
        <v>54</v>
      </c>
      <c r="T195" s="8" t="s">
        <v>54</v>
      </c>
      <c r="U195" s="10" t="s">
        <v>67</v>
      </c>
      <c r="V195" s="8" t="s">
        <v>54</v>
      </c>
      <c r="W195" s="8" t="s">
        <v>54</v>
      </c>
      <c r="X195" s="8" t="s">
        <v>54</v>
      </c>
      <c r="Y195" s="8" t="s">
        <v>54</v>
      </c>
      <c r="Z195" s="8" t="s">
        <v>54</v>
      </c>
      <c r="AA195" s="8" t="s">
        <v>54</v>
      </c>
      <c r="AB195" s="10" t="s">
        <v>67</v>
      </c>
      <c r="AC195" s="8" t="s">
        <v>54</v>
      </c>
      <c r="AD195" s="8" t="s">
        <v>54</v>
      </c>
      <c r="AE195" s="8" t="s">
        <v>54</v>
      </c>
      <c r="AF195" s="8" t="s">
        <v>54</v>
      </c>
      <c r="AG195" s="8" t="s">
        <v>54</v>
      </c>
      <c r="AH195" s="8" t="s">
        <v>54</v>
      </c>
      <c r="AI195" s="10" t="s">
        <v>67</v>
      </c>
      <c r="AJ195" s="8">
        <f>COUNTIF($E$195:$AI$195,"P")</f>
        <v>22</v>
      </c>
      <c r="AK195" s="8">
        <f>COUNTIF($E$195:$AI$195,"A")</f>
        <v>4</v>
      </c>
      <c r="AL195" s="8">
        <f>SUM($E$196:$AI$196)</f>
        <v>0</v>
      </c>
      <c r="AM195" s="8">
        <f>SUM($E$197:$AI$197)</f>
        <v>66</v>
      </c>
      <c r="AN195" s="8">
        <f>AL195+AM195</f>
        <v>66</v>
      </c>
      <c r="AO195" s="8">
        <f>COUNTIF($E$195:$AI$195,"CL")</f>
        <v>0</v>
      </c>
      <c r="AP195" s="8">
        <f>COUNTIF($E$195:$AI$195,"SL")</f>
        <v>0</v>
      </c>
      <c r="AQ195" s="8">
        <f>COUNTIF($E$195:$AI$195,"EL")</f>
        <v>0</v>
      </c>
      <c r="AR195" s="8">
        <f>COUNTIF($E$195:$AI$195,"H")</f>
        <v>0</v>
      </c>
      <c r="AS195" s="8"/>
      <c r="AT195" s="11" t="s">
        <v>15</v>
      </c>
    </row>
    <row r="196" spans="1:46" ht="15.1" customHeight="1">
      <c r="A196" s="8"/>
      <c r="B196" s="9"/>
      <c r="C196" s="8"/>
      <c r="D196" s="9"/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11" t="s">
        <v>15</v>
      </c>
    </row>
    <row r="197" spans="1:46" ht="15.1" customHeight="1">
      <c r="A197" s="8"/>
      <c r="B197" s="9"/>
      <c r="C197" s="8"/>
      <c r="D197" s="9"/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6</v>
      </c>
      <c r="M197" s="8">
        <v>5</v>
      </c>
      <c r="N197" s="8">
        <v>17</v>
      </c>
      <c r="O197" s="8">
        <v>0</v>
      </c>
      <c r="P197" s="8">
        <v>0</v>
      </c>
      <c r="Q197" s="8">
        <v>4</v>
      </c>
      <c r="R197" s="8">
        <v>5</v>
      </c>
      <c r="S197" s="8">
        <v>3</v>
      </c>
      <c r="T197" s="8">
        <v>3</v>
      </c>
      <c r="U197" s="8">
        <v>13</v>
      </c>
      <c r="V197" s="8">
        <v>7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3</v>
      </c>
      <c r="AI197" s="8">
        <v>0</v>
      </c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11" t="s">
        <v>15</v>
      </c>
    </row>
    <row r="198" spans="1:46" ht="15.1" customHeight="1">
      <c r="A198" s="8">
        <v>65</v>
      </c>
      <c r="B198" s="9" t="s">
        <v>193</v>
      </c>
      <c r="C198" s="8" t="s">
        <v>194</v>
      </c>
      <c r="D198" s="9" t="s">
        <v>66</v>
      </c>
      <c r="E198" s="8" t="s">
        <v>54</v>
      </c>
      <c r="F198" s="8" t="s">
        <v>54</v>
      </c>
      <c r="G198" s="10" t="s">
        <v>67</v>
      </c>
      <c r="H198" s="8" t="s">
        <v>54</v>
      </c>
      <c r="I198" s="8" t="s">
        <v>54</v>
      </c>
      <c r="J198" s="8" t="s">
        <v>54</v>
      </c>
      <c r="K198" s="8" t="s">
        <v>54</v>
      </c>
      <c r="L198" s="8" t="s">
        <v>54</v>
      </c>
      <c r="M198" s="8" t="s">
        <v>54</v>
      </c>
      <c r="N198" s="10" t="s">
        <v>67</v>
      </c>
      <c r="O198" s="8" t="s">
        <v>54</v>
      </c>
      <c r="P198" s="8" t="s">
        <v>54</v>
      </c>
      <c r="Q198" s="8" t="s">
        <v>54</v>
      </c>
      <c r="R198" s="8" t="s">
        <v>54</v>
      </c>
      <c r="S198" s="8" t="s">
        <v>54</v>
      </c>
      <c r="T198" s="8" t="s">
        <v>54</v>
      </c>
      <c r="U198" s="10" t="s">
        <v>67</v>
      </c>
      <c r="V198" s="8" t="s">
        <v>54</v>
      </c>
      <c r="W198" s="8" t="s">
        <v>54</v>
      </c>
      <c r="X198" s="8" t="s">
        <v>54</v>
      </c>
      <c r="Y198" s="8" t="s">
        <v>54</v>
      </c>
      <c r="Z198" s="8" t="s">
        <v>54</v>
      </c>
      <c r="AA198" s="8" t="s">
        <v>54</v>
      </c>
      <c r="AB198" s="10" t="s">
        <v>67</v>
      </c>
      <c r="AC198" s="8" t="s">
        <v>54</v>
      </c>
      <c r="AD198" s="8" t="s">
        <v>54</v>
      </c>
      <c r="AE198" s="8" t="s">
        <v>54</v>
      </c>
      <c r="AF198" s="8" t="s">
        <v>54</v>
      </c>
      <c r="AG198" s="8" t="s">
        <v>54</v>
      </c>
      <c r="AH198" s="8" t="s">
        <v>54</v>
      </c>
      <c r="AI198" s="10" t="s">
        <v>67</v>
      </c>
      <c r="AJ198" s="8">
        <f>COUNTIF($E$198:$AI$198,"P")</f>
        <v>26</v>
      </c>
      <c r="AK198" s="8">
        <f>COUNTIF($E$198:$AI$198,"A")</f>
        <v>0</v>
      </c>
      <c r="AL198" s="8">
        <f>SUM($E$199:$AI$199)</f>
        <v>0</v>
      </c>
      <c r="AM198" s="8">
        <f>SUM($E$200:$AI$200)</f>
        <v>135</v>
      </c>
      <c r="AN198" s="8">
        <f>AL198+AM198</f>
        <v>135</v>
      </c>
      <c r="AO198" s="8">
        <f>COUNTIF($E$198:$AI$198,"CL")</f>
        <v>0</v>
      </c>
      <c r="AP198" s="8">
        <f>COUNTIF($E$198:$AI$198,"SL")</f>
        <v>0</v>
      </c>
      <c r="AQ198" s="8">
        <f>COUNTIF($E$198:$AI$198,"EL")</f>
        <v>0</v>
      </c>
      <c r="AR198" s="8">
        <f>COUNTIF($E$198:$AI$198,"H")</f>
        <v>0</v>
      </c>
      <c r="AS198" s="8"/>
      <c r="AT198" s="11" t="s">
        <v>15</v>
      </c>
    </row>
    <row r="199" spans="1:46" ht="15.1" customHeight="1">
      <c r="A199" s="8"/>
      <c r="B199" s="9"/>
      <c r="C199" s="8"/>
      <c r="D199" s="9"/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11" t="s">
        <v>15</v>
      </c>
    </row>
    <row r="200" spans="1:46" ht="15.1" customHeight="1">
      <c r="A200" s="8"/>
      <c r="B200" s="9"/>
      <c r="C200" s="8"/>
      <c r="D200" s="9"/>
      <c r="E200" s="8">
        <v>5</v>
      </c>
      <c r="F200" s="8">
        <v>3</v>
      </c>
      <c r="G200" s="8">
        <v>14</v>
      </c>
      <c r="H200" s="8">
        <v>5</v>
      </c>
      <c r="I200" s="8">
        <v>7</v>
      </c>
      <c r="J200" s="8">
        <v>7</v>
      </c>
      <c r="K200" s="8">
        <v>7</v>
      </c>
      <c r="L200" s="8">
        <v>7</v>
      </c>
      <c r="M200" s="8">
        <v>5</v>
      </c>
      <c r="N200" s="8">
        <v>16.5</v>
      </c>
      <c r="O200" s="8">
        <v>7</v>
      </c>
      <c r="P200" s="8">
        <v>0</v>
      </c>
      <c r="Q200" s="8">
        <v>5</v>
      </c>
      <c r="R200" s="8">
        <v>7</v>
      </c>
      <c r="S200" s="8">
        <v>7</v>
      </c>
      <c r="T200" s="8">
        <v>3</v>
      </c>
      <c r="U200" s="8">
        <v>12.5</v>
      </c>
      <c r="V200" s="8">
        <v>7</v>
      </c>
      <c r="W200" s="8">
        <v>8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2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11" t="s">
        <v>15</v>
      </c>
    </row>
    <row r="201" spans="1:46" ht="15.1" customHeight="1">
      <c r="A201" s="8">
        <v>66</v>
      </c>
      <c r="B201" s="9" t="s">
        <v>195</v>
      </c>
      <c r="C201" s="8" t="s">
        <v>196</v>
      </c>
      <c r="D201" s="9" t="s">
        <v>66</v>
      </c>
      <c r="E201" s="12" t="s">
        <v>55</v>
      </c>
      <c r="F201" s="8" t="s">
        <v>54</v>
      </c>
      <c r="G201" s="10" t="s">
        <v>67</v>
      </c>
      <c r="H201" s="8" t="s">
        <v>54</v>
      </c>
      <c r="I201" s="8" t="s">
        <v>54</v>
      </c>
      <c r="J201" s="8" t="s">
        <v>54</v>
      </c>
      <c r="K201" s="8" t="s">
        <v>54</v>
      </c>
      <c r="L201" s="8" t="s">
        <v>54</v>
      </c>
      <c r="M201" s="8" t="s">
        <v>54</v>
      </c>
      <c r="N201" s="10" t="s">
        <v>67</v>
      </c>
      <c r="O201" s="8" t="s">
        <v>54</v>
      </c>
      <c r="P201" s="8" t="s">
        <v>54</v>
      </c>
      <c r="Q201" s="8" t="s">
        <v>54</v>
      </c>
      <c r="R201" s="8" t="s">
        <v>54</v>
      </c>
      <c r="S201" s="8" t="s">
        <v>54</v>
      </c>
      <c r="T201" s="8" t="s">
        <v>54</v>
      </c>
      <c r="U201" s="10" t="s">
        <v>67</v>
      </c>
      <c r="V201" s="8" t="s">
        <v>54</v>
      </c>
      <c r="W201" s="8" t="s">
        <v>54</v>
      </c>
      <c r="X201" s="8" t="s">
        <v>54</v>
      </c>
      <c r="Y201" s="8" t="s">
        <v>54</v>
      </c>
      <c r="Z201" s="8" t="s">
        <v>54</v>
      </c>
      <c r="AA201" s="8" t="s">
        <v>54</v>
      </c>
      <c r="AB201" s="10" t="s">
        <v>67</v>
      </c>
      <c r="AC201" s="8" t="s">
        <v>54</v>
      </c>
      <c r="AD201" s="8" t="s">
        <v>54</v>
      </c>
      <c r="AE201" s="8" t="s">
        <v>54</v>
      </c>
      <c r="AF201" s="8" t="s">
        <v>54</v>
      </c>
      <c r="AG201" s="8" t="s">
        <v>54</v>
      </c>
      <c r="AH201" s="8" t="s">
        <v>54</v>
      </c>
      <c r="AI201" s="10" t="s">
        <v>67</v>
      </c>
      <c r="AJ201" s="8">
        <f>COUNTIF($E$201:$AI$201,"P")</f>
        <v>25</v>
      </c>
      <c r="AK201" s="8">
        <f>COUNTIF($E$201:$AI$201,"A")</f>
        <v>1</v>
      </c>
      <c r="AL201" s="8">
        <f>SUM($E$202:$AI$202)</f>
        <v>0</v>
      </c>
      <c r="AM201" s="8">
        <f>SUM($E$203:$AI$203)</f>
        <v>139.5</v>
      </c>
      <c r="AN201" s="8">
        <f>AL201+AM201</f>
        <v>139.5</v>
      </c>
      <c r="AO201" s="8">
        <f>COUNTIF($E$201:$AI$201,"CL")</f>
        <v>0</v>
      </c>
      <c r="AP201" s="8">
        <f>COUNTIF($E$201:$AI$201,"SL")</f>
        <v>0</v>
      </c>
      <c r="AQ201" s="8">
        <f>COUNTIF($E$201:$AI$201,"EL")</f>
        <v>0</v>
      </c>
      <c r="AR201" s="8">
        <f>COUNTIF($E$201:$AI$201,"H")</f>
        <v>0</v>
      </c>
      <c r="AS201" s="8"/>
      <c r="AT201" s="11" t="s">
        <v>15</v>
      </c>
    </row>
    <row r="202" spans="1:46" ht="15.1" customHeight="1">
      <c r="A202" s="8"/>
      <c r="B202" s="9"/>
      <c r="C202" s="8"/>
      <c r="D202" s="9"/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11" t="s">
        <v>15</v>
      </c>
    </row>
    <row r="203" spans="1:46" ht="15.1" customHeight="1">
      <c r="A203" s="8"/>
      <c r="B203" s="9"/>
      <c r="C203" s="8"/>
      <c r="D203" s="9"/>
      <c r="E203" s="8">
        <v>0</v>
      </c>
      <c r="F203" s="8">
        <v>3</v>
      </c>
      <c r="G203" s="8">
        <v>14</v>
      </c>
      <c r="H203" s="8">
        <v>5</v>
      </c>
      <c r="I203" s="8">
        <v>11</v>
      </c>
      <c r="J203" s="8">
        <v>7</v>
      </c>
      <c r="K203" s="8">
        <v>7</v>
      </c>
      <c r="L203" s="8">
        <v>7</v>
      </c>
      <c r="M203" s="8">
        <v>5</v>
      </c>
      <c r="N203" s="8">
        <v>17</v>
      </c>
      <c r="O203" s="8">
        <v>7</v>
      </c>
      <c r="P203" s="8">
        <v>7</v>
      </c>
      <c r="Q203" s="8">
        <v>5</v>
      </c>
      <c r="R203" s="8">
        <v>7</v>
      </c>
      <c r="S203" s="8">
        <v>7</v>
      </c>
      <c r="T203" s="8">
        <v>3</v>
      </c>
      <c r="U203" s="8">
        <v>10</v>
      </c>
      <c r="V203" s="8">
        <v>7</v>
      </c>
      <c r="W203" s="8">
        <v>7.5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3</v>
      </c>
      <c r="AI203" s="8">
        <v>0</v>
      </c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11" t="s">
        <v>15</v>
      </c>
    </row>
    <row r="204" spans="1:46" ht="15.1" customHeight="1">
      <c r="A204" s="8">
        <v>67</v>
      </c>
      <c r="B204" s="9" t="s">
        <v>197</v>
      </c>
      <c r="C204" s="8" t="s">
        <v>198</v>
      </c>
      <c r="D204" s="9" t="s">
        <v>66</v>
      </c>
      <c r="E204" s="8" t="s">
        <v>54</v>
      </c>
      <c r="F204" s="8" t="s">
        <v>54</v>
      </c>
      <c r="G204" s="10" t="s">
        <v>67</v>
      </c>
      <c r="H204" s="8" t="s">
        <v>54</v>
      </c>
      <c r="I204" s="8" t="s">
        <v>54</v>
      </c>
      <c r="J204" s="8" t="s">
        <v>54</v>
      </c>
      <c r="K204" s="8" t="s">
        <v>54</v>
      </c>
      <c r="L204" s="8" t="s">
        <v>54</v>
      </c>
      <c r="M204" s="8" t="s">
        <v>54</v>
      </c>
      <c r="N204" s="10" t="s">
        <v>67</v>
      </c>
      <c r="O204" s="8" t="s">
        <v>54</v>
      </c>
      <c r="P204" s="8" t="s">
        <v>54</v>
      </c>
      <c r="Q204" s="8" t="s">
        <v>54</v>
      </c>
      <c r="R204" s="8" t="s">
        <v>54</v>
      </c>
      <c r="S204" s="8" t="s">
        <v>54</v>
      </c>
      <c r="T204" s="8" t="s">
        <v>54</v>
      </c>
      <c r="U204" s="10" t="s">
        <v>67</v>
      </c>
      <c r="V204" s="8" t="s">
        <v>54</v>
      </c>
      <c r="W204" s="8" t="s">
        <v>54</v>
      </c>
      <c r="X204" s="8" t="s">
        <v>54</v>
      </c>
      <c r="Y204" s="8" t="s">
        <v>54</v>
      </c>
      <c r="Z204" s="8" t="s">
        <v>54</v>
      </c>
      <c r="AA204" s="8" t="s">
        <v>54</v>
      </c>
      <c r="AB204" s="10" t="s">
        <v>67</v>
      </c>
      <c r="AC204" s="8" t="s">
        <v>54</v>
      </c>
      <c r="AD204" s="8" t="s">
        <v>54</v>
      </c>
      <c r="AE204" s="8" t="s">
        <v>54</v>
      </c>
      <c r="AF204" s="8" t="s">
        <v>54</v>
      </c>
      <c r="AG204" s="8" t="s">
        <v>54</v>
      </c>
      <c r="AH204" s="8" t="s">
        <v>54</v>
      </c>
      <c r="AI204" s="10" t="s">
        <v>67</v>
      </c>
      <c r="AJ204" s="8">
        <f>COUNTIF($E$204:$AI$204,"P")</f>
        <v>26</v>
      </c>
      <c r="AK204" s="8">
        <f>COUNTIF($E$204:$AI$204,"A")</f>
        <v>0</v>
      </c>
      <c r="AL204" s="8">
        <f>SUM($E$205:$AI$205)</f>
        <v>0</v>
      </c>
      <c r="AM204" s="8">
        <f>SUM($E$206:$AI$206)</f>
        <v>144</v>
      </c>
      <c r="AN204" s="8">
        <f>AL204+AM204</f>
        <v>144</v>
      </c>
      <c r="AO204" s="8">
        <f>COUNTIF($E$204:$AI$204,"CL")</f>
        <v>0</v>
      </c>
      <c r="AP204" s="8">
        <f>COUNTIF($E$204:$AI$204,"SL")</f>
        <v>0</v>
      </c>
      <c r="AQ204" s="8">
        <f>COUNTIF($E$204:$AI$204,"EL")</f>
        <v>0</v>
      </c>
      <c r="AR204" s="8">
        <f>COUNTIF($E$204:$AI$204,"H")</f>
        <v>0</v>
      </c>
      <c r="AS204" s="8"/>
      <c r="AT204" s="11" t="s">
        <v>15</v>
      </c>
    </row>
    <row r="205" spans="1:46" ht="15.1" customHeight="1">
      <c r="A205" s="8"/>
      <c r="B205" s="9"/>
      <c r="C205" s="8"/>
      <c r="D205" s="9"/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11" t="s">
        <v>15</v>
      </c>
    </row>
    <row r="206" spans="1:46" ht="15.1" customHeight="1">
      <c r="A206" s="8"/>
      <c r="B206" s="9"/>
      <c r="C206" s="8"/>
      <c r="D206" s="9"/>
      <c r="E206" s="8">
        <v>5</v>
      </c>
      <c r="F206" s="8">
        <v>3</v>
      </c>
      <c r="G206" s="8">
        <v>14</v>
      </c>
      <c r="H206" s="8">
        <v>5</v>
      </c>
      <c r="I206" s="8">
        <v>7</v>
      </c>
      <c r="J206" s="8">
        <v>7</v>
      </c>
      <c r="K206" s="8">
        <v>7</v>
      </c>
      <c r="L206" s="8">
        <v>7</v>
      </c>
      <c r="M206" s="8">
        <v>5</v>
      </c>
      <c r="N206" s="8">
        <v>17</v>
      </c>
      <c r="O206" s="8">
        <v>7</v>
      </c>
      <c r="P206" s="8">
        <v>7</v>
      </c>
      <c r="Q206" s="8">
        <v>5</v>
      </c>
      <c r="R206" s="8">
        <v>7</v>
      </c>
      <c r="S206" s="8">
        <v>7</v>
      </c>
      <c r="T206" s="8">
        <v>3</v>
      </c>
      <c r="U206" s="8">
        <v>13</v>
      </c>
      <c r="V206" s="8">
        <v>7</v>
      </c>
      <c r="W206" s="8">
        <v>8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3</v>
      </c>
      <c r="AI206" s="8">
        <v>0</v>
      </c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11" t="s">
        <v>15</v>
      </c>
    </row>
    <row r="207" spans="1:46" ht="15.1" customHeight="1">
      <c r="A207" s="8">
        <v>68</v>
      </c>
      <c r="B207" s="9" t="s">
        <v>199</v>
      </c>
      <c r="C207" s="8" t="s">
        <v>200</v>
      </c>
      <c r="D207" s="9" t="s">
        <v>66</v>
      </c>
      <c r="E207" s="8" t="s">
        <v>54</v>
      </c>
      <c r="F207" s="8" t="s">
        <v>54</v>
      </c>
      <c r="G207" s="10" t="s">
        <v>67</v>
      </c>
      <c r="H207" s="8" t="s">
        <v>54</v>
      </c>
      <c r="I207" s="8" t="s">
        <v>54</v>
      </c>
      <c r="J207" s="8" t="s">
        <v>54</v>
      </c>
      <c r="K207" s="8" t="s">
        <v>54</v>
      </c>
      <c r="L207" s="8" t="s">
        <v>54</v>
      </c>
      <c r="M207" s="8" t="s">
        <v>54</v>
      </c>
      <c r="N207" s="10" t="s">
        <v>67</v>
      </c>
      <c r="O207" s="12" t="s">
        <v>55</v>
      </c>
      <c r="P207" s="8" t="s">
        <v>54</v>
      </c>
      <c r="Q207" s="8" t="s">
        <v>54</v>
      </c>
      <c r="R207" s="8" t="s">
        <v>54</v>
      </c>
      <c r="S207" s="8" t="s">
        <v>54</v>
      </c>
      <c r="T207" s="8" t="s">
        <v>54</v>
      </c>
      <c r="U207" s="10" t="s">
        <v>67</v>
      </c>
      <c r="V207" s="12" t="s">
        <v>55</v>
      </c>
      <c r="W207" s="12" t="s">
        <v>55</v>
      </c>
      <c r="X207" s="8" t="s">
        <v>54</v>
      </c>
      <c r="Y207" s="8" t="s">
        <v>54</v>
      </c>
      <c r="Z207" s="8" t="s">
        <v>54</v>
      </c>
      <c r="AA207" s="8" t="s">
        <v>54</v>
      </c>
      <c r="AB207" s="10" t="s">
        <v>67</v>
      </c>
      <c r="AC207" s="8" t="s">
        <v>54</v>
      </c>
      <c r="AD207" s="8" t="s">
        <v>54</v>
      </c>
      <c r="AE207" s="8" t="s">
        <v>54</v>
      </c>
      <c r="AF207" s="8" t="s">
        <v>54</v>
      </c>
      <c r="AG207" s="8" t="s">
        <v>54</v>
      </c>
      <c r="AH207" s="8" t="s">
        <v>54</v>
      </c>
      <c r="AI207" s="10" t="s">
        <v>67</v>
      </c>
      <c r="AJ207" s="8">
        <f>COUNTIF($E$207:$AI$207,"P")</f>
        <v>23</v>
      </c>
      <c r="AK207" s="8">
        <f>COUNTIF($E$207:$AI$207,"A")</f>
        <v>3</v>
      </c>
      <c r="AL207" s="8">
        <f>SUM($E$208:$AI$208)</f>
        <v>0</v>
      </c>
      <c r="AM207" s="8">
        <f>SUM($E$209:$AI$209)</f>
        <v>121.5</v>
      </c>
      <c r="AN207" s="8">
        <f>AL207+AM207</f>
        <v>121.5</v>
      </c>
      <c r="AO207" s="8">
        <f>COUNTIF($E$207:$AI$207,"CL")</f>
        <v>0</v>
      </c>
      <c r="AP207" s="8">
        <f>COUNTIF($E$207:$AI$207,"SL")</f>
        <v>0</v>
      </c>
      <c r="AQ207" s="8">
        <f>COUNTIF($E$207:$AI$207,"EL")</f>
        <v>0</v>
      </c>
      <c r="AR207" s="8">
        <f>COUNTIF($E$207:$AI$207,"H")</f>
        <v>0</v>
      </c>
      <c r="AS207" s="8"/>
      <c r="AT207" s="11" t="s">
        <v>15</v>
      </c>
    </row>
    <row r="208" spans="1:46" ht="15.1" customHeight="1">
      <c r="A208" s="8"/>
      <c r="B208" s="9"/>
      <c r="C208" s="8"/>
      <c r="D208" s="9"/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11" t="s">
        <v>15</v>
      </c>
    </row>
    <row r="209" spans="1:46" ht="15.1" customHeight="1">
      <c r="A209" s="8"/>
      <c r="B209" s="9"/>
      <c r="C209" s="8"/>
      <c r="D209" s="9"/>
      <c r="E209" s="8">
        <v>5</v>
      </c>
      <c r="F209" s="8">
        <v>3</v>
      </c>
      <c r="G209" s="8">
        <v>13.5</v>
      </c>
      <c r="H209" s="8">
        <v>5</v>
      </c>
      <c r="I209" s="8">
        <v>11</v>
      </c>
      <c r="J209" s="8">
        <v>7</v>
      </c>
      <c r="K209" s="8">
        <v>7</v>
      </c>
      <c r="L209" s="8">
        <v>7</v>
      </c>
      <c r="M209" s="8">
        <v>5</v>
      </c>
      <c r="N209" s="8">
        <v>16.5</v>
      </c>
      <c r="O209" s="8">
        <v>0</v>
      </c>
      <c r="P209" s="8">
        <v>7</v>
      </c>
      <c r="Q209" s="8">
        <v>5</v>
      </c>
      <c r="R209" s="8">
        <v>7</v>
      </c>
      <c r="S209" s="8">
        <v>7</v>
      </c>
      <c r="T209" s="8">
        <v>3</v>
      </c>
      <c r="U209" s="8">
        <v>12.5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11" t="s">
        <v>15</v>
      </c>
    </row>
    <row r="210" spans="1:46" ht="15.1" customHeight="1">
      <c r="A210" s="8">
        <v>69</v>
      </c>
      <c r="B210" s="9" t="s">
        <v>201</v>
      </c>
      <c r="C210" s="8" t="s">
        <v>202</v>
      </c>
      <c r="D210" s="9" t="s">
        <v>66</v>
      </c>
      <c r="E210" s="8" t="s">
        <v>54</v>
      </c>
      <c r="F210" s="8" t="s">
        <v>54</v>
      </c>
      <c r="G210" s="10" t="s">
        <v>67</v>
      </c>
      <c r="H210" s="8" t="s">
        <v>54</v>
      </c>
      <c r="I210" s="8" t="s">
        <v>54</v>
      </c>
      <c r="J210" s="8" t="s">
        <v>54</v>
      </c>
      <c r="K210" s="8" t="s">
        <v>54</v>
      </c>
      <c r="L210" s="8" t="s">
        <v>54</v>
      </c>
      <c r="M210" s="8" t="s">
        <v>54</v>
      </c>
      <c r="N210" s="10" t="s">
        <v>67</v>
      </c>
      <c r="O210" s="12" t="s">
        <v>55</v>
      </c>
      <c r="P210" s="12" t="s">
        <v>55</v>
      </c>
      <c r="Q210" s="8" t="s">
        <v>54</v>
      </c>
      <c r="R210" s="8" t="s">
        <v>54</v>
      </c>
      <c r="S210" s="8" t="s">
        <v>54</v>
      </c>
      <c r="T210" s="8" t="s">
        <v>54</v>
      </c>
      <c r="U210" s="10" t="s">
        <v>67</v>
      </c>
      <c r="V210" s="8" t="s">
        <v>54</v>
      </c>
      <c r="W210" s="8" t="s">
        <v>54</v>
      </c>
      <c r="X210" s="8" t="s">
        <v>54</v>
      </c>
      <c r="Y210" s="8" t="s">
        <v>54</v>
      </c>
      <c r="Z210" s="8" t="s">
        <v>54</v>
      </c>
      <c r="AA210" s="8" t="s">
        <v>54</v>
      </c>
      <c r="AB210" s="10" t="s">
        <v>67</v>
      </c>
      <c r="AC210" s="8" t="s">
        <v>54</v>
      </c>
      <c r="AD210" s="8" t="s">
        <v>54</v>
      </c>
      <c r="AE210" s="8" t="s">
        <v>54</v>
      </c>
      <c r="AF210" s="8" t="s">
        <v>54</v>
      </c>
      <c r="AG210" s="8" t="s">
        <v>54</v>
      </c>
      <c r="AH210" s="8" t="s">
        <v>54</v>
      </c>
      <c r="AI210" s="10" t="s">
        <v>67</v>
      </c>
      <c r="AJ210" s="8">
        <f>COUNTIF($E$210:$AI$210,"P")</f>
        <v>24</v>
      </c>
      <c r="AK210" s="8">
        <f>COUNTIF($E$210:$AI$210,"A")</f>
        <v>2</v>
      </c>
      <c r="AL210" s="8">
        <f>SUM($E$211:$AI$211)</f>
        <v>0</v>
      </c>
      <c r="AM210" s="8">
        <f>SUM($E$212:$AI$212)</f>
        <v>78</v>
      </c>
      <c r="AN210" s="8">
        <f>AL210+AM210</f>
        <v>78</v>
      </c>
      <c r="AO210" s="8">
        <f>COUNTIF($E$210:$AI$210,"CL")</f>
        <v>0</v>
      </c>
      <c r="AP210" s="8">
        <f>COUNTIF($E$210:$AI$210,"SL")</f>
        <v>0</v>
      </c>
      <c r="AQ210" s="8">
        <f>COUNTIF($E$210:$AI$210,"EL")</f>
        <v>0</v>
      </c>
      <c r="AR210" s="8">
        <f>COUNTIF($E$210:$AI$210,"H")</f>
        <v>0</v>
      </c>
      <c r="AS210" s="8"/>
      <c r="AT210" s="11" t="s">
        <v>15</v>
      </c>
    </row>
    <row r="211" spans="1:46" ht="15.1" customHeight="1">
      <c r="A211" s="8"/>
      <c r="B211" s="9"/>
      <c r="C211" s="8"/>
      <c r="D211" s="9"/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11" t="s">
        <v>15</v>
      </c>
    </row>
    <row r="212" spans="1:46" ht="15.1" customHeight="1">
      <c r="A212" s="8"/>
      <c r="B212" s="9"/>
      <c r="C212" s="8"/>
      <c r="D212" s="9"/>
      <c r="E212" s="8">
        <v>5</v>
      </c>
      <c r="F212" s="8">
        <v>3</v>
      </c>
      <c r="G212" s="8">
        <v>0</v>
      </c>
      <c r="H212" s="8">
        <v>5</v>
      </c>
      <c r="I212" s="8">
        <v>7</v>
      </c>
      <c r="J212" s="8">
        <v>7</v>
      </c>
      <c r="K212" s="8">
        <v>7</v>
      </c>
      <c r="L212" s="8">
        <v>7</v>
      </c>
      <c r="M212" s="8">
        <v>5</v>
      </c>
      <c r="N212" s="8">
        <v>0</v>
      </c>
      <c r="O212" s="8">
        <v>0</v>
      </c>
      <c r="P212" s="8">
        <v>0</v>
      </c>
      <c r="Q212" s="8">
        <v>5</v>
      </c>
      <c r="R212" s="8">
        <v>7</v>
      </c>
      <c r="S212" s="8">
        <v>7</v>
      </c>
      <c r="T212" s="8">
        <v>3</v>
      </c>
      <c r="U212" s="8">
        <v>0</v>
      </c>
      <c r="V212" s="8">
        <v>7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3</v>
      </c>
      <c r="AI212" s="8">
        <v>0</v>
      </c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11" t="s">
        <v>15</v>
      </c>
    </row>
    <row r="213" spans="1:46" ht="15.1" customHeight="1">
      <c r="A213" s="8">
        <v>70</v>
      </c>
      <c r="B213" s="9" t="s">
        <v>203</v>
      </c>
      <c r="C213" s="8" t="s">
        <v>204</v>
      </c>
      <c r="D213" s="9" t="s">
        <v>66</v>
      </c>
      <c r="E213" s="8" t="s">
        <v>54</v>
      </c>
      <c r="F213" s="8" t="s">
        <v>54</v>
      </c>
      <c r="G213" s="10" t="s">
        <v>67</v>
      </c>
      <c r="H213" s="8" t="s">
        <v>54</v>
      </c>
      <c r="I213" s="8" t="s">
        <v>54</v>
      </c>
      <c r="J213" s="8" t="s">
        <v>54</v>
      </c>
      <c r="K213" s="8" t="s">
        <v>54</v>
      </c>
      <c r="L213" s="8" t="s">
        <v>54</v>
      </c>
      <c r="M213" s="8" t="s">
        <v>54</v>
      </c>
      <c r="N213" s="10" t="s">
        <v>67</v>
      </c>
      <c r="O213" s="8" t="s">
        <v>54</v>
      </c>
      <c r="P213" s="8" t="s">
        <v>54</v>
      </c>
      <c r="Q213" s="8" t="s">
        <v>54</v>
      </c>
      <c r="R213" s="8" t="s">
        <v>54</v>
      </c>
      <c r="S213" s="8" t="s">
        <v>54</v>
      </c>
      <c r="T213" s="8" t="s">
        <v>54</v>
      </c>
      <c r="U213" s="10" t="s">
        <v>67</v>
      </c>
      <c r="V213" s="8" t="s">
        <v>54</v>
      </c>
      <c r="W213" s="8" t="s">
        <v>54</v>
      </c>
      <c r="X213" s="8" t="s">
        <v>54</v>
      </c>
      <c r="Y213" s="8" t="s">
        <v>54</v>
      </c>
      <c r="Z213" s="8" t="s">
        <v>54</v>
      </c>
      <c r="AA213" s="8" t="s">
        <v>54</v>
      </c>
      <c r="AB213" s="10" t="s">
        <v>67</v>
      </c>
      <c r="AC213" s="8" t="s">
        <v>54</v>
      </c>
      <c r="AD213" s="8" t="s">
        <v>54</v>
      </c>
      <c r="AE213" s="8" t="s">
        <v>54</v>
      </c>
      <c r="AF213" s="8" t="s">
        <v>54</v>
      </c>
      <c r="AG213" s="8" t="s">
        <v>54</v>
      </c>
      <c r="AH213" s="8" t="s">
        <v>54</v>
      </c>
      <c r="AI213" s="10" t="s">
        <v>67</v>
      </c>
      <c r="AJ213" s="8">
        <f>COUNTIF($E$213:$AI$213,"P")</f>
        <v>26</v>
      </c>
      <c r="AK213" s="8">
        <f>COUNTIF($E$213:$AI$213,"A")</f>
        <v>0</v>
      </c>
      <c r="AL213" s="8">
        <f>SUM($E$214:$AI$214)</f>
        <v>0</v>
      </c>
      <c r="AM213" s="8">
        <f>SUM($E$215:$AI$215)</f>
        <v>103</v>
      </c>
      <c r="AN213" s="8">
        <f>AL213+AM213</f>
        <v>103</v>
      </c>
      <c r="AO213" s="8">
        <f>COUNTIF($E$213:$AI$213,"CL")</f>
        <v>0</v>
      </c>
      <c r="AP213" s="8">
        <f>COUNTIF($E$213:$AI$213,"SL")</f>
        <v>0</v>
      </c>
      <c r="AQ213" s="8">
        <f>COUNTIF($E$213:$AI$213,"EL")</f>
        <v>0</v>
      </c>
      <c r="AR213" s="8">
        <f>COUNTIF($E$213:$AI$213,"H")</f>
        <v>0</v>
      </c>
      <c r="AS213" s="8"/>
      <c r="AT213" s="11" t="s">
        <v>16</v>
      </c>
    </row>
    <row r="214" spans="1:46" ht="15.1" customHeight="1">
      <c r="A214" s="8"/>
      <c r="B214" s="9"/>
      <c r="C214" s="8"/>
      <c r="D214" s="9"/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11" t="s">
        <v>16</v>
      </c>
    </row>
    <row r="215" spans="1:46" ht="15.1" customHeight="1">
      <c r="A215" s="8"/>
      <c r="B215" s="9"/>
      <c r="C215" s="8"/>
      <c r="D215" s="9"/>
      <c r="E215" s="8">
        <v>4</v>
      </c>
      <c r="F215" s="8">
        <v>3</v>
      </c>
      <c r="G215" s="8">
        <v>14</v>
      </c>
      <c r="H215" s="8">
        <v>4</v>
      </c>
      <c r="I215" s="8">
        <v>6</v>
      </c>
      <c r="J215" s="8">
        <v>3</v>
      </c>
      <c r="K215" s="8">
        <v>3</v>
      </c>
      <c r="L215" s="8">
        <v>4.5</v>
      </c>
      <c r="M215" s="8">
        <v>3</v>
      </c>
      <c r="N215" s="8">
        <v>13</v>
      </c>
      <c r="O215" s="8">
        <v>5</v>
      </c>
      <c r="P215" s="8">
        <v>5</v>
      </c>
      <c r="Q215" s="8">
        <v>4.5</v>
      </c>
      <c r="R215" s="8">
        <v>4</v>
      </c>
      <c r="S215" s="8">
        <v>4</v>
      </c>
      <c r="T215" s="8">
        <v>3</v>
      </c>
      <c r="U215" s="8">
        <v>8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3</v>
      </c>
      <c r="AE215" s="8">
        <v>0</v>
      </c>
      <c r="AF215" s="8">
        <v>3</v>
      </c>
      <c r="AG215" s="8">
        <v>3</v>
      </c>
      <c r="AH215" s="8">
        <v>3</v>
      </c>
      <c r="AI215" s="8">
        <v>0</v>
      </c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11" t="s">
        <v>16</v>
      </c>
    </row>
    <row r="216" spans="1:46" ht="15.1" customHeight="1">
      <c r="A216" s="8">
        <v>71</v>
      </c>
      <c r="B216" s="9" t="s">
        <v>205</v>
      </c>
      <c r="C216" s="8" t="s">
        <v>206</v>
      </c>
      <c r="D216" s="9" t="s">
        <v>207</v>
      </c>
      <c r="E216" s="8" t="s">
        <v>54</v>
      </c>
      <c r="F216" s="8" t="s">
        <v>54</v>
      </c>
      <c r="G216" s="10" t="s">
        <v>67</v>
      </c>
      <c r="H216" s="8" t="s">
        <v>54</v>
      </c>
      <c r="I216" s="8" t="s">
        <v>54</v>
      </c>
      <c r="J216" s="8" t="s">
        <v>54</v>
      </c>
      <c r="K216" s="8" t="s">
        <v>54</v>
      </c>
      <c r="L216" s="8" t="s">
        <v>54</v>
      </c>
      <c r="M216" s="8" t="s">
        <v>54</v>
      </c>
      <c r="N216" s="10" t="s">
        <v>67</v>
      </c>
      <c r="O216" s="8" t="s">
        <v>54</v>
      </c>
      <c r="P216" s="8" t="s">
        <v>54</v>
      </c>
      <c r="Q216" s="8" t="s">
        <v>54</v>
      </c>
      <c r="R216" s="8" t="s">
        <v>54</v>
      </c>
      <c r="S216" s="8" t="s">
        <v>54</v>
      </c>
      <c r="T216" s="8" t="s">
        <v>54</v>
      </c>
      <c r="U216" s="10" t="s">
        <v>67</v>
      </c>
      <c r="V216" s="8" t="s">
        <v>54</v>
      </c>
      <c r="W216" s="8" t="s">
        <v>54</v>
      </c>
      <c r="X216" s="8" t="s">
        <v>54</v>
      </c>
      <c r="Y216" s="8" t="s">
        <v>54</v>
      </c>
      <c r="Z216" s="8" t="s">
        <v>54</v>
      </c>
      <c r="AA216" s="8" t="s">
        <v>54</v>
      </c>
      <c r="AB216" s="10" t="s">
        <v>67</v>
      </c>
      <c r="AC216" s="8" t="s">
        <v>54</v>
      </c>
      <c r="AD216" s="8" t="s">
        <v>54</v>
      </c>
      <c r="AE216" s="8" t="s">
        <v>54</v>
      </c>
      <c r="AF216" s="8" t="s">
        <v>54</v>
      </c>
      <c r="AG216" s="8" t="s">
        <v>54</v>
      </c>
      <c r="AH216" s="8" t="s">
        <v>54</v>
      </c>
      <c r="AI216" s="10" t="s">
        <v>67</v>
      </c>
      <c r="AJ216" s="8">
        <f>COUNTIF($E$216:$AI$216,"P")</f>
        <v>26</v>
      </c>
      <c r="AK216" s="8">
        <f>COUNTIF($E$216:$AI$216,"A")</f>
        <v>0</v>
      </c>
      <c r="AL216" s="8">
        <f>SUM($E$217:$AI$217)</f>
        <v>36</v>
      </c>
      <c r="AM216" s="8">
        <f>SUM($E$218:$AI$218)</f>
        <v>109.5</v>
      </c>
      <c r="AN216" s="8">
        <f>AL216+AM216</f>
        <v>145.5</v>
      </c>
      <c r="AO216" s="8">
        <f>COUNTIF($E$216:$AI$216,"CL")</f>
        <v>0</v>
      </c>
      <c r="AP216" s="8">
        <f>COUNTIF($E$216:$AI$216,"SL")</f>
        <v>0</v>
      </c>
      <c r="AQ216" s="8">
        <f>COUNTIF($E$216:$AI$216,"EL")</f>
        <v>0</v>
      </c>
      <c r="AR216" s="8">
        <f>COUNTIF($E$216:$AI$216,"H")</f>
        <v>0</v>
      </c>
      <c r="AS216" s="8"/>
      <c r="AT216" s="11" t="s">
        <v>17</v>
      </c>
    </row>
    <row r="217" spans="1:46" ht="15.1" customHeight="1">
      <c r="A217" s="8"/>
      <c r="B217" s="9"/>
      <c r="C217" s="8"/>
      <c r="D217" s="9"/>
      <c r="E217" s="8">
        <v>2</v>
      </c>
      <c r="F217" s="8">
        <v>0</v>
      </c>
      <c r="G217" s="8">
        <v>0</v>
      </c>
      <c r="H217" s="8">
        <v>2</v>
      </c>
      <c r="I217" s="8">
        <v>2</v>
      </c>
      <c r="J217" s="8">
        <v>2</v>
      </c>
      <c r="K217" s="8">
        <v>2</v>
      </c>
      <c r="L217" s="8">
        <v>2</v>
      </c>
      <c r="M217" s="8">
        <v>2</v>
      </c>
      <c r="N217" s="8">
        <v>0</v>
      </c>
      <c r="O217" s="8">
        <v>2</v>
      </c>
      <c r="P217" s="8">
        <v>2</v>
      </c>
      <c r="Q217" s="8">
        <v>2</v>
      </c>
      <c r="R217" s="8">
        <v>2</v>
      </c>
      <c r="S217" s="8">
        <v>2</v>
      </c>
      <c r="T217" s="8">
        <v>2</v>
      </c>
      <c r="U217" s="8">
        <v>0</v>
      </c>
      <c r="V217" s="8">
        <v>2</v>
      </c>
      <c r="W217" s="8">
        <v>2</v>
      </c>
      <c r="X217" s="8">
        <v>2</v>
      </c>
      <c r="Y217" s="8">
        <v>2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2</v>
      </c>
      <c r="AF217" s="8">
        <v>0</v>
      </c>
      <c r="AG217" s="8">
        <v>0</v>
      </c>
      <c r="AH217" s="8">
        <v>0</v>
      </c>
      <c r="AI217" s="8">
        <v>0</v>
      </c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11" t="s">
        <v>17</v>
      </c>
    </row>
    <row r="218" spans="1:46" ht="15.1" customHeight="1">
      <c r="A218" s="8"/>
      <c r="B218" s="9"/>
      <c r="C218" s="8"/>
      <c r="D218" s="9"/>
      <c r="E218" s="8">
        <v>9</v>
      </c>
      <c r="F218" s="8">
        <v>0</v>
      </c>
      <c r="G218" s="8">
        <v>0</v>
      </c>
      <c r="H218" s="8">
        <v>3</v>
      </c>
      <c r="I218" s="8">
        <v>5</v>
      </c>
      <c r="J218" s="8">
        <v>8</v>
      </c>
      <c r="K218" s="8">
        <v>10</v>
      </c>
      <c r="L218" s="8">
        <v>0</v>
      </c>
      <c r="M218" s="8">
        <v>3</v>
      </c>
      <c r="N218" s="8">
        <v>0</v>
      </c>
      <c r="O218" s="8">
        <v>3</v>
      </c>
      <c r="P218" s="8">
        <v>9</v>
      </c>
      <c r="Q218" s="8">
        <v>10</v>
      </c>
      <c r="R218" s="8">
        <v>5.5</v>
      </c>
      <c r="S218" s="8">
        <v>9</v>
      </c>
      <c r="T218" s="8">
        <v>10</v>
      </c>
      <c r="U218" s="8">
        <v>0</v>
      </c>
      <c r="V218" s="8">
        <v>9</v>
      </c>
      <c r="W218" s="8">
        <v>7</v>
      </c>
      <c r="X218" s="8">
        <v>9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11" t="s">
        <v>17</v>
      </c>
    </row>
    <row r="219" spans="1:46" ht="15.1" customHeight="1">
      <c r="A219" s="8">
        <v>72</v>
      </c>
      <c r="B219" s="9" t="s">
        <v>208</v>
      </c>
      <c r="C219" s="8" t="s">
        <v>209</v>
      </c>
      <c r="D219" s="9" t="s">
        <v>207</v>
      </c>
      <c r="E219" s="8" t="s">
        <v>54</v>
      </c>
      <c r="F219" s="8" t="s">
        <v>54</v>
      </c>
      <c r="G219" s="10" t="s">
        <v>67</v>
      </c>
      <c r="H219" s="8" t="s">
        <v>54</v>
      </c>
      <c r="I219" s="8" t="s">
        <v>54</v>
      </c>
      <c r="J219" s="8" t="s">
        <v>54</v>
      </c>
      <c r="K219" s="8" t="s">
        <v>54</v>
      </c>
      <c r="L219" s="8" t="s">
        <v>54</v>
      </c>
      <c r="M219" s="8" t="s">
        <v>54</v>
      </c>
      <c r="N219" s="10" t="s">
        <v>67</v>
      </c>
      <c r="O219" s="8" t="s">
        <v>54</v>
      </c>
      <c r="P219" s="8" t="s">
        <v>54</v>
      </c>
      <c r="Q219" s="8" t="s">
        <v>54</v>
      </c>
      <c r="R219" s="12" t="s">
        <v>55</v>
      </c>
      <c r="S219" s="8" t="s">
        <v>54</v>
      </c>
      <c r="T219" s="8" t="s">
        <v>54</v>
      </c>
      <c r="U219" s="10" t="s">
        <v>67</v>
      </c>
      <c r="V219" s="8" t="s">
        <v>54</v>
      </c>
      <c r="W219" s="12" t="s">
        <v>55</v>
      </c>
      <c r="X219" s="8" t="s">
        <v>54</v>
      </c>
      <c r="Y219" s="12" t="s">
        <v>55</v>
      </c>
      <c r="Z219" s="8" t="s">
        <v>54</v>
      </c>
      <c r="AA219" s="8" t="s">
        <v>54</v>
      </c>
      <c r="AB219" s="10" t="s">
        <v>67</v>
      </c>
      <c r="AC219" s="8" t="s">
        <v>54</v>
      </c>
      <c r="AD219" s="8" t="s">
        <v>54</v>
      </c>
      <c r="AE219" s="8" t="s">
        <v>54</v>
      </c>
      <c r="AF219" s="8" t="s">
        <v>54</v>
      </c>
      <c r="AG219" s="8" t="s">
        <v>54</v>
      </c>
      <c r="AH219" s="8" t="s">
        <v>54</v>
      </c>
      <c r="AI219" s="10" t="s">
        <v>67</v>
      </c>
      <c r="AJ219" s="8">
        <f>COUNTIF($E$219:$AI$219,"P")</f>
        <v>23</v>
      </c>
      <c r="AK219" s="8">
        <f>COUNTIF($E$219:$AI$219,"A")</f>
        <v>3</v>
      </c>
      <c r="AL219" s="8">
        <f>SUM($E$220:$AI$220)</f>
        <v>30</v>
      </c>
      <c r="AM219" s="8">
        <f>SUM($E$221:$AI$221)</f>
        <v>100.5</v>
      </c>
      <c r="AN219" s="8">
        <f>AL219+AM219</f>
        <v>130</v>
      </c>
      <c r="AO219" s="8">
        <f>COUNTIF($E$219:$AI$219,"CL")</f>
        <v>0</v>
      </c>
      <c r="AP219" s="8">
        <f>COUNTIF($E$219:$AI$219,"SL")</f>
        <v>0</v>
      </c>
      <c r="AQ219" s="8">
        <f>COUNTIF($E$219:$AI$219,"EL")</f>
        <v>0</v>
      </c>
      <c r="AR219" s="8">
        <f>COUNTIF($E$219:$AI$219,"H")</f>
        <v>0</v>
      </c>
      <c r="AS219" s="8"/>
      <c r="AT219" s="11" t="s">
        <v>17</v>
      </c>
    </row>
    <row r="220" spans="1:46" ht="15.1" customHeight="1">
      <c r="A220" s="8"/>
      <c r="B220" s="9"/>
      <c r="C220" s="8"/>
      <c r="D220" s="9"/>
      <c r="E220" s="8">
        <v>2</v>
      </c>
      <c r="F220" s="8">
        <v>0</v>
      </c>
      <c r="G220" s="8">
        <v>0</v>
      </c>
      <c r="H220" s="8">
        <v>2</v>
      </c>
      <c r="I220" s="8">
        <v>2</v>
      </c>
      <c r="J220" s="8">
        <v>2</v>
      </c>
      <c r="K220" s="8">
        <v>2</v>
      </c>
      <c r="L220" s="8">
        <v>2</v>
      </c>
      <c r="M220" s="8">
        <v>2</v>
      </c>
      <c r="N220" s="8">
        <v>0</v>
      </c>
      <c r="O220" s="8">
        <v>2</v>
      </c>
      <c r="P220" s="8">
        <v>2</v>
      </c>
      <c r="Q220" s="8">
        <v>2</v>
      </c>
      <c r="R220" s="8">
        <v>0</v>
      </c>
      <c r="S220" s="8">
        <v>2</v>
      </c>
      <c r="T220" s="8">
        <v>2</v>
      </c>
      <c r="U220" s="8">
        <v>0</v>
      </c>
      <c r="V220" s="8">
        <v>2</v>
      </c>
      <c r="W220" s="8">
        <v>0</v>
      </c>
      <c r="X220" s="8">
        <v>2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2</v>
      </c>
      <c r="AF220" s="8">
        <v>0</v>
      </c>
      <c r="AG220" s="8">
        <v>0</v>
      </c>
      <c r="AH220" s="8">
        <v>0</v>
      </c>
      <c r="AI220" s="8">
        <v>0</v>
      </c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11" t="s">
        <v>17</v>
      </c>
    </row>
    <row r="221" spans="1:46" ht="15.1" customHeight="1">
      <c r="A221" s="8"/>
      <c r="B221" s="9"/>
      <c r="C221" s="8"/>
      <c r="D221" s="9"/>
      <c r="E221" s="8">
        <v>9</v>
      </c>
      <c r="F221" s="8">
        <v>0</v>
      </c>
      <c r="G221" s="8">
        <v>0</v>
      </c>
      <c r="H221" s="8">
        <v>8</v>
      </c>
      <c r="I221" s="8">
        <v>0</v>
      </c>
      <c r="J221" s="8">
        <v>11</v>
      </c>
      <c r="K221" s="8">
        <v>10</v>
      </c>
      <c r="L221" s="8">
        <v>2</v>
      </c>
      <c r="M221" s="8">
        <v>6.5</v>
      </c>
      <c r="N221" s="8">
        <v>0</v>
      </c>
      <c r="O221" s="8">
        <v>7</v>
      </c>
      <c r="P221" s="8">
        <v>0</v>
      </c>
      <c r="Q221" s="8">
        <v>10</v>
      </c>
      <c r="R221" s="8">
        <v>0</v>
      </c>
      <c r="S221" s="8">
        <v>9</v>
      </c>
      <c r="T221" s="8">
        <v>10</v>
      </c>
      <c r="U221" s="8">
        <v>0</v>
      </c>
      <c r="V221" s="8">
        <v>9</v>
      </c>
      <c r="W221" s="8">
        <v>0</v>
      </c>
      <c r="X221" s="8">
        <v>9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11" t="s">
        <v>17</v>
      </c>
    </row>
    <row r="222" spans="1:46" ht="15.1" customHeight="1">
      <c r="A222" s="8">
        <v>73</v>
      </c>
      <c r="B222" s="9" t="s">
        <v>210</v>
      </c>
      <c r="C222" s="8" t="s">
        <v>211</v>
      </c>
      <c r="D222" s="9" t="s">
        <v>207</v>
      </c>
      <c r="E222" s="8" t="s">
        <v>54</v>
      </c>
      <c r="F222" s="8" t="s">
        <v>54</v>
      </c>
      <c r="G222" s="10" t="s">
        <v>67</v>
      </c>
      <c r="H222" s="8" t="s">
        <v>54</v>
      </c>
      <c r="I222" s="8" t="s">
        <v>54</v>
      </c>
      <c r="J222" s="8" t="s">
        <v>54</v>
      </c>
      <c r="K222" s="8" t="s">
        <v>54</v>
      </c>
      <c r="L222" s="8" t="s">
        <v>54</v>
      </c>
      <c r="M222" s="8" t="s">
        <v>54</v>
      </c>
      <c r="N222" s="10" t="s">
        <v>67</v>
      </c>
      <c r="O222" s="8" t="s">
        <v>54</v>
      </c>
      <c r="P222" s="8" t="s">
        <v>54</v>
      </c>
      <c r="Q222" s="8" t="s">
        <v>54</v>
      </c>
      <c r="R222" s="8" t="s">
        <v>54</v>
      </c>
      <c r="S222" s="8" t="s">
        <v>54</v>
      </c>
      <c r="T222" s="8" t="s">
        <v>54</v>
      </c>
      <c r="U222" s="10" t="s">
        <v>67</v>
      </c>
      <c r="V222" s="8" t="s">
        <v>54</v>
      </c>
      <c r="W222" s="8" t="s">
        <v>54</v>
      </c>
      <c r="X222" s="8" t="s">
        <v>54</v>
      </c>
      <c r="Y222" s="8" t="s">
        <v>54</v>
      </c>
      <c r="Z222" s="8" t="s">
        <v>54</v>
      </c>
      <c r="AA222" s="8" t="s">
        <v>54</v>
      </c>
      <c r="AB222" s="10" t="s">
        <v>67</v>
      </c>
      <c r="AC222" s="8" t="s">
        <v>54</v>
      </c>
      <c r="AD222" s="8" t="s">
        <v>54</v>
      </c>
      <c r="AE222" s="8" t="s">
        <v>54</v>
      </c>
      <c r="AF222" s="8" t="s">
        <v>54</v>
      </c>
      <c r="AG222" s="8" t="s">
        <v>54</v>
      </c>
      <c r="AH222" s="8" t="s">
        <v>54</v>
      </c>
      <c r="AI222" s="10" t="s">
        <v>67</v>
      </c>
      <c r="AJ222" s="8">
        <f>COUNTIF($E$222:$AI$222,"P")</f>
        <v>26</v>
      </c>
      <c r="AK222" s="8">
        <f>COUNTIF($E$222:$AI$222,"A")</f>
        <v>0</v>
      </c>
      <c r="AL222" s="8">
        <f>SUM($E$223:$AI$223)</f>
        <v>38</v>
      </c>
      <c r="AM222" s="8">
        <f>SUM($E$224:$AI$224)</f>
        <v>158</v>
      </c>
      <c r="AN222" s="8">
        <f>AL222+AM222</f>
        <v>196</v>
      </c>
      <c r="AO222" s="8">
        <f>COUNTIF($E$222:$AI$222,"CL")</f>
        <v>0</v>
      </c>
      <c r="AP222" s="8">
        <f>COUNTIF($E$222:$AI$222,"SL")</f>
        <v>0</v>
      </c>
      <c r="AQ222" s="8">
        <f>COUNTIF($E$222:$AI$222,"EL")</f>
        <v>0</v>
      </c>
      <c r="AR222" s="8">
        <f>COUNTIF($E$222:$AI$222,"H")</f>
        <v>0</v>
      </c>
      <c r="AS222" s="8"/>
      <c r="AT222" s="11" t="s">
        <v>17</v>
      </c>
    </row>
    <row r="223" spans="1:46" ht="15.1" customHeight="1">
      <c r="A223" s="8"/>
      <c r="B223" s="9"/>
      <c r="C223" s="8"/>
      <c r="D223" s="9"/>
      <c r="E223" s="8">
        <v>2</v>
      </c>
      <c r="F223" s="8">
        <v>2</v>
      </c>
      <c r="G223" s="8">
        <v>0</v>
      </c>
      <c r="H223" s="8">
        <v>2</v>
      </c>
      <c r="I223" s="8">
        <v>2</v>
      </c>
      <c r="J223" s="8">
        <v>2</v>
      </c>
      <c r="K223" s="8">
        <v>2</v>
      </c>
      <c r="L223" s="8">
        <v>2</v>
      </c>
      <c r="M223" s="8">
        <v>2</v>
      </c>
      <c r="N223" s="8">
        <v>0</v>
      </c>
      <c r="O223" s="8">
        <v>2</v>
      </c>
      <c r="P223" s="8">
        <v>2</v>
      </c>
      <c r="Q223" s="8">
        <v>2</v>
      </c>
      <c r="R223" s="8">
        <v>2</v>
      </c>
      <c r="S223" s="8">
        <v>2</v>
      </c>
      <c r="T223" s="8">
        <v>2</v>
      </c>
      <c r="U223" s="8">
        <v>0</v>
      </c>
      <c r="V223" s="8">
        <v>2</v>
      </c>
      <c r="W223" s="8">
        <v>2</v>
      </c>
      <c r="X223" s="8">
        <v>2</v>
      </c>
      <c r="Y223" s="8">
        <v>2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2</v>
      </c>
      <c r="AF223" s="8">
        <v>0</v>
      </c>
      <c r="AG223" s="8">
        <v>0</v>
      </c>
      <c r="AH223" s="8">
        <v>0</v>
      </c>
      <c r="AI223" s="8">
        <v>0</v>
      </c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11" t="s">
        <v>17</v>
      </c>
    </row>
    <row r="224" spans="1:46" ht="15.1" customHeight="1">
      <c r="A224" s="8"/>
      <c r="B224" s="9"/>
      <c r="C224" s="8"/>
      <c r="D224" s="9"/>
      <c r="E224" s="8">
        <v>8</v>
      </c>
      <c r="F224" s="8">
        <v>3</v>
      </c>
      <c r="G224" s="8">
        <v>15</v>
      </c>
      <c r="H224" s="8">
        <v>9</v>
      </c>
      <c r="I224" s="8">
        <v>8</v>
      </c>
      <c r="J224" s="8">
        <v>8</v>
      </c>
      <c r="K224" s="8">
        <v>10</v>
      </c>
      <c r="L224" s="8">
        <v>7</v>
      </c>
      <c r="M224" s="8">
        <v>7</v>
      </c>
      <c r="N224" s="8">
        <v>0</v>
      </c>
      <c r="O224" s="8">
        <v>7</v>
      </c>
      <c r="P224" s="8">
        <v>9</v>
      </c>
      <c r="Q224" s="8">
        <v>10</v>
      </c>
      <c r="R224" s="8">
        <v>7</v>
      </c>
      <c r="S224" s="8">
        <v>9</v>
      </c>
      <c r="T224" s="8">
        <v>8</v>
      </c>
      <c r="U224" s="8">
        <v>12</v>
      </c>
      <c r="V224" s="8">
        <v>11</v>
      </c>
      <c r="W224" s="8">
        <v>9</v>
      </c>
      <c r="X224" s="8">
        <v>1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11" t="s">
        <v>17</v>
      </c>
    </row>
    <row r="225" spans="1:46" ht="15.1" customHeight="1">
      <c r="A225" s="8">
        <v>74</v>
      </c>
      <c r="B225" s="9" t="s">
        <v>212</v>
      </c>
      <c r="C225" s="8" t="s">
        <v>213</v>
      </c>
      <c r="D225" s="9" t="s">
        <v>207</v>
      </c>
      <c r="E225" s="8" t="s">
        <v>54</v>
      </c>
      <c r="F225" s="8" t="s">
        <v>54</v>
      </c>
      <c r="G225" s="10" t="s">
        <v>67</v>
      </c>
      <c r="H225" s="8" t="s">
        <v>54</v>
      </c>
      <c r="I225" s="8" t="s">
        <v>54</v>
      </c>
      <c r="J225" s="12" t="s">
        <v>55</v>
      </c>
      <c r="K225" s="8" t="s">
        <v>54</v>
      </c>
      <c r="L225" s="8" t="s">
        <v>54</v>
      </c>
      <c r="M225" s="8" t="s">
        <v>54</v>
      </c>
      <c r="N225" s="10" t="s">
        <v>67</v>
      </c>
      <c r="O225" s="8" t="s">
        <v>54</v>
      </c>
      <c r="P225" s="8" t="s">
        <v>54</v>
      </c>
      <c r="Q225" s="8" t="s">
        <v>54</v>
      </c>
      <c r="R225" s="8" t="s">
        <v>54</v>
      </c>
      <c r="S225" s="12" t="s">
        <v>55</v>
      </c>
      <c r="T225" s="8" t="s">
        <v>54</v>
      </c>
      <c r="U225" s="10" t="s">
        <v>67</v>
      </c>
      <c r="V225" s="8" t="s">
        <v>54</v>
      </c>
      <c r="W225" s="8" t="s">
        <v>54</v>
      </c>
      <c r="X225" s="8" t="s">
        <v>54</v>
      </c>
      <c r="Y225" s="8" t="s">
        <v>54</v>
      </c>
      <c r="Z225" s="8" t="s">
        <v>54</v>
      </c>
      <c r="AA225" s="8" t="s">
        <v>54</v>
      </c>
      <c r="AB225" s="10" t="s">
        <v>67</v>
      </c>
      <c r="AC225" s="8" t="s">
        <v>54</v>
      </c>
      <c r="AD225" s="8" t="s">
        <v>54</v>
      </c>
      <c r="AE225" s="8" t="s">
        <v>54</v>
      </c>
      <c r="AF225" s="8" t="s">
        <v>54</v>
      </c>
      <c r="AG225" s="8" t="s">
        <v>54</v>
      </c>
      <c r="AH225" s="8" t="s">
        <v>54</v>
      </c>
      <c r="AI225" s="10" t="s">
        <v>67</v>
      </c>
      <c r="AJ225" s="8">
        <f>COUNTIF($E$225:$AI$225,"P")</f>
        <v>24</v>
      </c>
      <c r="AK225" s="8">
        <f>COUNTIF($E$225:$AI$225,"A")</f>
        <v>2</v>
      </c>
      <c r="AL225" s="8">
        <f>SUM($E$226:$AI$226)</f>
        <v>30</v>
      </c>
      <c r="AM225" s="8">
        <f>SUM($E$227:$AI$227)</f>
        <v>0</v>
      </c>
      <c r="AN225" s="8">
        <f>AL225+AM225</f>
        <v>29</v>
      </c>
      <c r="AO225" s="8">
        <f>COUNTIF($E$225:$AI$225,"CL")</f>
        <v>0</v>
      </c>
      <c r="AP225" s="8">
        <f>COUNTIF($E$225:$AI$225,"SL")</f>
        <v>0</v>
      </c>
      <c r="AQ225" s="8">
        <f>COUNTIF($E$225:$AI$225,"EL")</f>
        <v>0</v>
      </c>
      <c r="AR225" s="8">
        <f>COUNTIF($E$225:$AI$225,"H")</f>
        <v>0</v>
      </c>
      <c r="AS225" s="8"/>
      <c r="AT225" s="11" t="s">
        <v>17</v>
      </c>
    </row>
    <row r="226" spans="1:46" ht="15.1" customHeight="1">
      <c r="A226" s="8"/>
      <c r="B226" s="9"/>
      <c r="C226" s="8"/>
      <c r="D226" s="9"/>
      <c r="E226" s="8">
        <v>2</v>
      </c>
      <c r="F226" s="8">
        <v>0</v>
      </c>
      <c r="G226" s="8">
        <v>0</v>
      </c>
      <c r="H226" s="8">
        <v>2</v>
      </c>
      <c r="I226" s="8">
        <v>2</v>
      </c>
      <c r="J226" s="8">
        <v>0</v>
      </c>
      <c r="K226" s="8">
        <v>2</v>
      </c>
      <c r="L226" s="8">
        <v>2</v>
      </c>
      <c r="M226" s="8">
        <v>2</v>
      </c>
      <c r="N226" s="8">
        <v>0</v>
      </c>
      <c r="O226" s="8">
        <v>2</v>
      </c>
      <c r="P226" s="8">
        <v>2</v>
      </c>
      <c r="Q226" s="8">
        <v>2</v>
      </c>
      <c r="R226" s="8">
        <v>2</v>
      </c>
      <c r="S226" s="8">
        <v>0</v>
      </c>
      <c r="T226" s="8">
        <v>2</v>
      </c>
      <c r="U226" s="8">
        <v>0</v>
      </c>
      <c r="V226" s="8">
        <v>2</v>
      </c>
      <c r="W226" s="8">
        <v>2</v>
      </c>
      <c r="X226" s="8">
        <v>2</v>
      </c>
      <c r="Y226" s="8">
        <v>2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11" t="s">
        <v>17</v>
      </c>
    </row>
    <row r="227" spans="1:46" ht="15.1" customHeight="1">
      <c r="A227" s="8"/>
      <c r="B227" s="9"/>
      <c r="C227" s="8"/>
      <c r="D227" s="9"/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11" t="s">
        <v>17</v>
      </c>
    </row>
    <row r="228" spans="1:46" ht="15.1" customHeight="1">
      <c r="A228" s="8">
        <v>75</v>
      </c>
      <c r="B228" s="9" t="s">
        <v>214</v>
      </c>
      <c r="C228" s="8" t="s">
        <v>215</v>
      </c>
      <c r="D228" s="9" t="s">
        <v>66</v>
      </c>
      <c r="E228" s="8" t="s">
        <v>54</v>
      </c>
      <c r="F228" s="8" t="s">
        <v>54</v>
      </c>
      <c r="G228" s="10" t="s">
        <v>67</v>
      </c>
      <c r="H228" s="8" t="s">
        <v>54</v>
      </c>
      <c r="I228" s="8" t="s">
        <v>54</v>
      </c>
      <c r="J228" s="8" t="s">
        <v>54</v>
      </c>
      <c r="K228" s="8" t="s">
        <v>54</v>
      </c>
      <c r="L228" s="8" t="s">
        <v>54</v>
      </c>
      <c r="M228" s="8" t="s">
        <v>54</v>
      </c>
      <c r="N228" s="10" t="s">
        <v>67</v>
      </c>
      <c r="O228" s="8" t="s">
        <v>54</v>
      </c>
      <c r="P228" s="8" t="s">
        <v>54</v>
      </c>
      <c r="Q228" s="8" t="s">
        <v>54</v>
      </c>
      <c r="R228" s="8" t="s">
        <v>54</v>
      </c>
      <c r="S228" s="8" t="s">
        <v>54</v>
      </c>
      <c r="T228" s="8" t="s">
        <v>54</v>
      </c>
      <c r="U228" s="10" t="s">
        <v>67</v>
      </c>
      <c r="V228" s="8" t="s">
        <v>54</v>
      </c>
      <c r="W228" s="8" t="s">
        <v>54</v>
      </c>
      <c r="X228" s="8" t="s">
        <v>54</v>
      </c>
      <c r="Y228" s="8" t="s">
        <v>54</v>
      </c>
      <c r="Z228" s="8" t="s">
        <v>54</v>
      </c>
      <c r="AA228" s="8" t="s">
        <v>54</v>
      </c>
      <c r="AB228" s="10" t="s">
        <v>67</v>
      </c>
      <c r="AC228" s="8" t="s">
        <v>54</v>
      </c>
      <c r="AD228" s="8" t="s">
        <v>54</v>
      </c>
      <c r="AE228" s="8" t="s">
        <v>54</v>
      </c>
      <c r="AF228" s="8" t="s">
        <v>54</v>
      </c>
      <c r="AG228" s="8" t="s">
        <v>54</v>
      </c>
      <c r="AH228" s="8" t="s">
        <v>54</v>
      </c>
      <c r="AI228" s="10" t="s">
        <v>67</v>
      </c>
      <c r="AJ228" s="8">
        <f>COUNTIF($E$228:$AI$228,"P")</f>
        <v>26</v>
      </c>
      <c r="AK228" s="8">
        <f>COUNTIF($E$228:$AI$228,"A")</f>
        <v>0</v>
      </c>
      <c r="AL228" s="8">
        <f>SUM($E$229:$AI$229)</f>
        <v>0</v>
      </c>
      <c r="AM228" s="8">
        <f>SUM($E$230:$AI$230)</f>
        <v>75.5</v>
      </c>
      <c r="AN228" s="8">
        <f>AL228+AM228</f>
        <v>75.5</v>
      </c>
      <c r="AO228" s="8">
        <f>COUNTIF($E$228:$AI$228,"CL")</f>
        <v>0</v>
      </c>
      <c r="AP228" s="8">
        <f>COUNTIF($E$228:$AI$228,"SL")</f>
        <v>0</v>
      </c>
      <c r="AQ228" s="8">
        <f>COUNTIF($E$228:$AI$228,"EL")</f>
        <v>0</v>
      </c>
      <c r="AR228" s="8">
        <f>COUNTIF($E$228:$AI$228,"H")</f>
        <v>0</v>
      </c>
      <c r="AS228" s="8"/>
      <c r="AT228" s="11" t="s">
        <v>17</v>
      </c>
    </row>
    <row r="229" spans="1:46" ht="15.1" customHeight="1">
      <c r="A229" s="8"/>
      <c r="B229" s="9"/>
      <c r="C229" s="8"/>
      <c r="D229" s="9"/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11" t="s">
        <v>17</v>
      </c>
    </row>
    <row r="230" spans="1:46" ht="15.1" customHeight="1">
      <c r="A230" s="8"/>
      <c r="B230" s="9"/>
      <c r="C230" s="8"/>
      <c r="D230" s="9"/>
      <c r="E230" s="8">
        <v>3</v>
      </c>
      <c r="F230" s="8">
        <v>3</v>
      </c>
      <c r="G230" s="8">
        <v>13.5</v>
      </c>
      <c r="H230" s="8">
        <v>3</v>
      </c>
      <c r="I230" s="8">
        <v>3</v>
      </c>
      <c r="J230" s="8">
        <v>3</v>
      </c>
      <c r="K230" s="8">
        <v>3</v>
      </c>
      <c r="L230" s="8">
        <v>3</v>
      </c>
      <c r="M230" s="8">
        <v>5</v>
      </c>
      <c r="N230" s="8">
        <v>0</v>
      </c>
      <c r="O230" s="8">
        <v>7</v>
      </c>
      <c r="P230" s="8">
        <v>7</v>
      </c>
      <c r="Q230" s="8">
        <v>5</v>
      </c>
      <c r="R230" s="8">
        <v>7</v>
      </c>
      <c r="S230" s="8">
        <v>7</v>
      </c>
      <c r="T230" s="8">
        <v>3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11" t="s">
        <v>17</v>
      </c>
    </row>
    <row r="231" spans="1:46" ht="15.1" customHeight="1">
      <c r="A231" s="8">
        <v>76</v>
      </c>
      <c r="B231" s="9" t="s">
        <v>216</v>
      </c>
      <c r="C231" s="8" t="s">
        <v>217</v>
      </c>
      <c r="D231" s="9" t="s">
        <v>66</v>
      </c>
      <c r="E231" s="8" t="s">
        <v>54</v>
      </c>
      <c r="F231" s="8" t="s">
        <v>54</v>
      </c>
      <c r="G231" s="10" t="s">
        <v>67</v>
      </c>
      <c r="H231" s="8" t="s">
        <v>54</v>
      </c>
      <c r="I231" s="8" t="s">
        <v>54</v>
      </c>
      <c r="J231" s="8" t="s">
        <v>54</v>
      </c>
      <c r="K231" s="8" t="s">
        <v>54</v>
      </c>
      <c r="L231" s="8" t="s">
        <v>54</v>
      </c>
      <c r="M231" s="8" t="s">
        <v>54</v>
      </c>
      <c r="N231" s="10" t="s">
        <v>67</v>
      </c>
      <c r="O231" s="8" t="s">
        <v>54</v>
      </c>
      <c r="P231" s="8" t="s">
        <v>54</v>
      </c>
      <c r="Q231" s="8" t="s">
        <v>54</v>
      </c>
      <c r="R231" s="8" t="s">
        <v>54</v>
      </c>
      <c r="S231" s="8" t="s">
        <v>54</v>
      </c>
      <c r="T231" s="8" t="s">
        <v>54</v>
      </c>
      <c r="U231" s="10" t="s">
        <v>67</v>
      </c>
      <c r="V231" s="8" t="s">
        <v>54</v>
      </c>
      <c r="W231" s="8" t="s">
        <v>54</v>
      </c>
      <c r="X231" s="8" t="s">
        <v>54</v>
      </c>
      <c r="Y231" s="8" t="s">
        <v>54</v>
      </c>
      <c r="Z231" s="8" t="s">
        <v>54</v>
      </c>
      <c r="AA231" s="8" t="s">
        <v>54</v>
      </c>
      <c r="AB231" s="10" t="s">
        <v>67</v>
      </c>
      <c r="AC231" s="8" t="s">
        <v>54</v>
      </c>
      <c r="AD231" s="8" t="s">
        <v>54</v>
      </c>
      <c r="AE231" s="8" t="s">
        <v>54</v>
      </c>
      <c r="AF231" s="8" t="s">
        <v>54</v>
      </c>
      <c r="AG231" s="8" t="s">
        <v>54</v>
      </c>
      <c r="AH231" s="8" t="s">
        <v>54</v>
      </c>
      <c r="AI231" s="10" t="s">
        <v>67</v>
      </c>
      <c r="AJ231" s="8">
        <f>COUNTIF($E$231:$AI$231,"P")</f>
        <v>26</v>
      </c>
      <c r="AK231" s="8">
        <f>COUNTIF($E$231:$AI$231,"A")</f>
        <v>0</v>
      </c>
      <c r="AL231" s="8">
        <f>SUM($E$232:$AI$232)</f>
        <v>0</v>
      </c>
      <c r="AM231" s="8">
        <f>SUM($E$233:$AI$233)</f>
        <v>59</v>
      </c>
      <c r="AN231" s="8">
        <f>AL231+AM231</f>
        <v>59</v>
      </c>
      <c r="AO231" s="8">
        <f>COUNTIF($E$231:$AI$231,"CL")</f>
        <v>0</v>
      </c>
      <c r="AP231" s="8">
        <f>COUNTIF($E$231:$AI$231,"SL")</f>
        <v>0</v>
      </c>
      <c r="AQ231" s="8">
        <f>COUNTIF($E$231:$AI$231,"EL")</f>
        <v>0</v>
      </c>
      <c r="AR231" s="8">
        <f>COUNTIF($E$231:$AI$231,"H")</f>
        <v>0</v>
      </c>
      <c r="AS231" s="8"/>
      <c r="AT231" s="11" t="s">
        <v>17</v>
      </c>
    </row>
    <row r="232" spans="1:46" ht="15.1" customHeight="1">
      <c r="A232" s="8"/>
      <c r="B232" s="9"/>
      <c r="C232" s="8"/>
      <c r="D232" s="9"/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11" t="s">
        <v>17</v>
      </c>
    </row>
    <row r="233" spans="1:46" ht="15.1" customHeight="1">
      <c r="A233" s="8"/>
      <c r="B233" s="9"/>
      <c r="C233" s="8"/>
      <c r="D233" s="9"/>
      <c r="E233" s="8">
        <v>3</v>
      </c>
      <c r="F233" s="8">
        <v>3</v>
      </c>
      <c r="G233" s="8">
        <v>0</v>
      </c>
      <c r="H233" s="8">
        <v>3</v>
      </c>
      <c r="I233" s="8">
        <v>3</v>
      </c>
      <c r="J233" s="8">
        <v>3</v>
      </c>
      <c r="K233" s="8">
        <v>3</v>
      </c>
      <c r="L233" s="8">
        <v>3</v>
      </c>
      <c r="M233" s="8">
        <v>3</v>
      </c>
      <c r="N233" s="8">
        <v>13</v>
      </c>
      <c r="O233" s="8">
        <v>5</v>
      </c>
      <c r="P233" s="8">
        <v>5</v>
      </c>
      <c r="Q233" s="8">
        <v>3</v>
      </c>
      <c r="R233" s="8">
        <v>3</v>
      </c>
      <c r="S233" s="8">
        <v>3</v>
      </c>
      <c r="T233" s="8">
        <v>3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11" t="s">
        <v>17</v>
      </c>
    </row>
    <row r="234" spans="1:46" ht="15.1" customHeight="1">
      <c r="A234" s="8">
        <v>77</v>
      </c>
      <c r="B234" s="9" t="s">
        <v>218</v>
      </c>
      <c r="C234" s="8" t="s">
        <v>219</v>
      </c>
      <c r="D234" s="9" t="s">
        <v>66</v>
      </c>
      <c r="E234" s="8" t="s">
        <v>54</v>
      </c>
      <c r="F234" s="8" t="s">
        <v>54</v>
      </c>
      <c r="G234" s="10" t="s">
        <v>67</v>
      </c>
      <c r="H234" s="8" t="s">
        <v>54</v>
      </c>
      <c r="I234" s="8" t="s">
        <v>54</v>
      </c>
      <c r="J234" s="8" t="s">
        <v>54</v>
      </c>
      <c r="K234" s="8" t="s">
        <v>54</v>
      </c>
      <c r="L234" s="8" t="s">
        <v>54</v>
      </c>
      <c r="M234" s="8" t="s">
        <v>54</v>
      </c>
      <c r="N234" s="10" t="s">
        <v>67</v>
      </c>
      <c r="O234" s="8" t="s">
        <v>54</v>
      </c>
      <c r="P234" s="8" t="s">
        <v>54</v>
      </c>
      <c r="Q234" s="8" t="s">
        <v>54</v>
      </c>
      <c r="R234" s="8" t="s">
        <v>54</v>
      </c>
      <c r="S234" s="8" t="s">
        <v>54</v>
      </c>
      <c r="T234" s="8" t="s">
        <v>54</v>
      </c>
      <c r="U234" s="10" t="s">
        <v>67</v>
      </c>
      <c r="V234" s="8" t="s">
        <v>54</v>
      </c>
      <c r="W234" s="8" t="s">
        <v>54</v>
      </c>
      <c r="X234" s="8" t="s">
        <v>54</v>
      </c>
      <c r="Y234" s="8" t="s">
        <v>54</v>
      </c>
      <c r="Z234" s="8" t="s">
        <v>54</v>
      </c>
      <c r="AA234" s="8" t="s">
        <v>54</v>
      </c>
      <c r="AB234" s="10" t="s">
        <v>67</v>
      </c>
      <c r="AC234" s="8" t="s">
        <v>54</v>
      </c>
      <c r="AD234" s="8" t="s">
        <v>54</v>
      </c>
      <c r="AE234" s="8" t="s">
        <v>54</v>
      </c>
      <c r="AF234" s="8" t="s">
        <v>54</v>
      </c>
      <c r="AG234" s="8" t="s">
        <v>54</v>
      </c>
      <c r="AH234" s="8" t="s">
        <v>54</v>
      </c>
      <c r="AI234" s="10" t="s">
        <v>67</v>
      </c>
      <c r="AJ234" s="8">
        <f>COUNTIF($E$234:$AI$234,"P")</f>
        <v>26</v>
      </c>
      <c r="AK234" s="8">
        <f>COUNTIF($E$234:$AI$234,"A")</f>
        <v>0</v>
      </c>
      <c r="AL234" s="8">
        <f>SUM($E$235:$AI$235)</f>
        <v>0</v>
      </c>
      <c r="AM234" s="8">
        <f>SUM($E$236:$AI$236)</f>
        <v>49</v>
      </c>
      <c r="AN234" s="8">
        <f>AL234+AM234</f>
        <v>49</v>
      </c>
      <c r="AO234" s="8">
        <f>COUNTIF($E$234:$AI$234,"CL")</f>
        <v>0</v>
      </c>
      <c r="AP234" s="8">
        <f>COUNTIF($E$234:$AI$234,"SL")</f>
        <v>0</v>
      </c>
      <c r="AQ234" s="8">
        <f>COUNTIF($E$234:$AI$234,"EL")</f>
        <v>0</v>
      </c>
      <c r="AR234" s="8">
        <f>COUNTIF($E$234:$AI$234,"H")</f>
        <v>0</v>
      </c>
      <c r="AS234" s="8"/>
      <c r="AT234" s="11" t="s">
        <v>17</v>
      </c>
    </row>
    <row r="235" spans="1:46" ht="15.1" customHeight="1">
      <c r="A235" s="8"/>
      <c r="B235" s="9"/>
      <c r="C235" s="8"/>
      <c r="D235" s="9"/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11" t="s">
        <v>17</v>
      </c>
    </row>
    <row r="236" spans="1:46" ht="15.1" customHeight="1">
      <c r="A236" s="8"/>
      <c r="B236" s="9"/>
      <c r="C236" s="8"/>
      <c r="D236" s="9"/>
      <c r="E236" s="8">
        <v>3</v>
      </c>
      <c r="F236" s="8">
        <v>3</v>
      </c>
      <c r="G236" s="8">
        <v>0</v>
      </c>
      <c r="H236" s="8">
        <v>0</v>
      </c>
      <c r="I236" s="8">
        <v>0</v>
      </c>
      <c r="J236" s="8">
        <v>0</v>
      </c>
      <c r="K236" s="8">
        <v>3</v>
      </c>
      <c r="L236" s="8">
        <v>0</v>
      </c>
      <c r="M236" s="8">
        <v>3</v>
      </c>
      <c r="N236" s="8">
        <v>13</v>
      </c>
      <c r="O236" s="8">
        <v>5</v>
      </c>
      <c r="P236" s="8">
        <v>5</v>
      </c>
      <c r="Q236" s="8">
        <v>5</v>
      </c>
      <c r="R236" s="8">
        <v>3</v>
      </c>
      <c r="S236" s="8">
        <v>3</v>
      </c>
      <c r="T236" s="8">
        <v>3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11" t="s">
        <v>17</v>
      </c>
    </row>
    <row r="237" spans="1:46" ht="15.1" customHeight="1">
      <c r="A237" s="8">
        <v>78</v>
      </c>
      <c r="B237" s="9" t="s">
        <v>220</v>
      </c>
      <c r="C237" s="8" t="s">
        <v>221</v>
      </c>
      <c r="D237" s="9" t="s">
        <v>66</v>
      </c>
      <c r="E237" s="8" t="s">
        <v>54</v>
      </c>
      <c r="F237" s="8" t="s">
        <v>54</v>
      </c>
      <c r="G237" s="10" t="s">
        <v>67</v>
      </c>
      <c r="H237" s="8" t="s">
        <v>54</v>
      </c>
      <c r="I237" s="12" t="s">
        <v>55</v>
      </c>
      <c r="J237" s="12" t="s">
        <v>55</v>
      </c>
      <c r="K237" s="8" t="s">
        <v>54</v>
      </c>
      <c r="L237" s="8" t="s">
        <v>54</v>
      </c>
      <c r="M237" s="8" t="s">
        <v>54</v>
      </c>
      <c r="N237" s="10" t="s">
        <v>67</v>
      </c>
      <c r="O237" s="8" t="s">
        <v>54</v>
      </c>
      <c r="P237" s="8" t="s">
        <v>54</v>
      </c>
      <c r="Q237" s="8" t="s">
        <v>54</v>
      </c>
      <c r="R237" s="8" t="s">
        <v>54</v>
      </c>
      <c r="S237" s="8" t="s">
        <v>54</v>
      </c>
      <c r="T237" s="8" t="s">
        <v>54</v>
      </c>
      <c r="U237" s="10" t="s">
        <v>67</v>
      </c>
      <c r="V237" s="8" t="s">
        <v>54</v>
      </c>
      <c r="W237" s="8" t="s">
        <v>54</v>
      </c>
      <c r="X237" s="8" t="s">
        <v>54</v>
      </c>
      <c r="Y237" s="8" t="s">
        <v>54</v>
      </c>
      <c r="Z237" s="8" t="s">
        <v>54</v>
      </c>
      <c r="AA237" s="8" t="s">
        <v>54</v>
      </c>
      <c r="AB237" s="10" t="s">
        <v>67</v>
      </c>
      <c r="AC237" s="8" t="s">
        <v>54</v>
      </c>
      <c r="AD237" s="8" t="s">
        <v>54</v>
      </c>
      <c r="AE237" s="8" t="s">
        <v>54</v>
      </c>
      <c r="AF237" s="8" t="s">
        <v>54</v>
      </c>
      <c r="AG237" s="8" t="s">
        <v>54</v>
      </c>
      <c r="AH237" s="8" t="s">
        <v>54</v>
      </c>
      <c r="AI237" s="10" t="s">
        <v>67</v>
      </c>
      <c r="AJ237" s="8">
        <f>COUNTIF($E$237:$AI$237,"P")</f>
        <v>24</v>
      </c>
      <c r="AK237" s="8">
        <f>COUNTIF($E$237:$AI$237,"A")</f>
        <v>2</v>
      </c>
      <c r="AL237" s="8">
        <f>SUM($E$238:$AI$238)</f>
        <v>0</v>
      </c>
      <c r="AM237" s="8">
        <f>SUM($E$239:$AI$239)</f>
        <v>62.5</v>
      </c>
      <c r="AN237" s="8">
        <f>AL237+AM237</f>
        <v>62.5</v>
      </c>
      <c r="AO237" s="8">
        <f>COUNTIF($E$237:$AI$237,"CL")</f>
        <v>0</v>
      </c>
      <c r="AP237" s="8">
        <f>COUNTIF($E$237:$AI$237,"SL")</f>
        <v>0</v>
      </c>
      <c r="AQ237" s="8">
        <f>COUNTIF($E$237:$AI$237,"EL")</f>
        <v>0</v>
      </c>
      <c r="AR237" s="8">
        <f>COUNTIF($E$237:$AI$237,"H")</f>
        <v>0</v>
      </c>
      <c r="AS237" s="8"/>
      <c r="AT237" s="11" t="s">
        <v>17</v>
      </c>
    </row>
    <row r="238" spans="1:46" ht="15.1" customHeight="1">
      <c r="A238" s="8"/>
      <c r="B238" s="9"/>
      <c r="C238" s="8"/>
      <c r="D238" s="9"/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11" t="s">
        <v>17</v>
      </c>
    </row>
    <row r="239" spans="1:46" ht="15.1" customHeight="1">
      <c r="A239" s="8"/>
      <c r="B239" s="9"/>
      <c r="C239" s="8"/>
      <c r="D239" s="9"/>
      <c r="E239" s="8">
        <v>4</v>
      </c>
      <c r="F239" s="8">
        <v>3</v>
      </c>
      <c r="G239" s="8">
        <v>0</v>
      </c>
      <c r="H239" s="8">
        <v>3</v>
      </c>
      <c r="I239" s="8">
        <v>0</v>
      </c>
      <c r="J239" s="8">
        <v>0</v>
      </c>
      <c r="K239" s="8">
        <v>5</v>
      </c>
      <c r="L239" s="8">
        <v>5</v>
      </c>
      <c r="M239" s="8">
        <v>3</v>
      </c>
      <c r="N239" s="8">
        <v>6.5</v>
      </c>
      <c r="O239" s="8">
        <v>3</v>
      </c>
      <c r="P239" s="8">
        <v>5</v>
      </c>
      <c r="Q239" s="8">
        <v>5</v>
      </c>
      <c r="R239" s="8">
        <v>3.5</v>
      </c>
      <c r="S239" s="8">
        <v>3</v>
      </c>
      <c r="T239" s="8">
        <v>3</v>
      </c>
      <c r="U239" s="8">
        <v>0</v>
      </c>
      <c r="V239" s="8">
        <v>5</v>
      </c>
      <c r="W239" s="8">
        <v>3</v>
      </c>
      <c r="X239" s="8">
        <v>2.5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11" t="s">
        <v>17</v>
      </c>
    </row>
    <row r="240" spans="1:46" ht="15.1" customHeight="1">
      <c r="A240" s="8">
        <v>79</v>
      </c>
      <c r="B240" s="9" t="s">
        <v>222</v>
      </c>
      <c r="C240" s="8" t="s">
        <v>223</v>
      </c>
      <c r="D240" s="9" t="s">
        <v>207</v>
      </c>
      <c r="E240" s="8" t="s">
        <v>54</v>
      </c>
      <c r="F240" s="8" t="s">
        <v>54</v>
      </c>
      <c r="G240" s="10" t="s">
        <v>67</v>
      </c>
      <c r="H240" s="8" t="s">
        <v>54</v>
      </c>
      <c r="I240" s="8" t="s">
        <v>54</v>
      </c>
      <c r="J240" s="8" t="s">
        <v>54</v>
      </c>
      <c r="K240" s="8" t="s">
        <v>54</v>
      </c>
      <c r="L240" s="8" t="s">
        <v>54</v>
      </c>
      <c r="M240" s="8" t="s">
        <v>54</v>
      </c>
      <c r="N240" s="10" t="s">
        <v>67</v>
      </c>
      <c r="O240" s="8" t="s">
        <v>54</v>
      </c>
      <c r="P240" s="8" t="s">
        <v>54</v>
      </c>
      <c r="Q240" s="8" t="s">
        <v>54</v>
      </c>
      <c r="R240" s="8" t="s">
        <v>54</v>
      </c>
      <c r="S240" s="8" t="s">
        <v>54</v>
      </c>
      <c r="T240" s="8" t="s">
        <v>54</v>
      </c>
      <c r="U240" s="10" t="s">
        <v>67</v>
      </c>
      <c r="V240" s="8" t="s">
        <v>54</v>
      </c>
      <c r="W240" s="8" t="s">
        <v>54</v>
      </c>
      <c r="X240" s="8" t="s">
        <v>54</v>
      </c>
      <c r="Y240" s="8" t="s">
        <v>54</v>
      </c>
      <c r="Z240" s="8" t="s">
        <v>54</v>
      </c>
      <c r="AA240" s="8" t="s">
        <v>54</v>
      </c>
      <c r="AB240" s="10" t="s">
        <v>67</v>
      </c>
      <c r="AC240" s="8" t="s">
        <v>54</v>
      </c>
      <c r="AD240" s="8" t="s">
        <v>54</v>
      </c>
      <c r="AE240" s="8" t="s">
        <v>54</v>
      </c>
      <c r="AF240" s="8" t="s">
        <v>54</v>
      </c>
      <c r="AG240" s="8" t="s">
        <v>54</v>
      </c>
      <c r="AH240" s="8" t="s">
        <v>54</v>
      </c>
      <c r="AI240" s="10" t="s">
        <v>67</v>
      </c>
      <c r="AJ240" s="8">
        <f>COUNTIF($E$240:$AI$240,"P")</f>
        <v>26</v>
      </c>
      <c r="AK240" s="8">
        <f>COUNTIF($E$240:$AI$240,"A")</f>
        <v>0</v>
      </c>
      <c r="AL240" s="8">
        <f>SUM($E$241:$AI$241)</f>
        <v>44</v>
      </c>
      <c r="AM240" s="8">
        <f>SUM($E$242:$AI$242)</f>
        <v>172</v>
      </c>
      <c r="AN240" s="8">
        <f>AL240+AM240</f>
        <v>216</v>
      </c>
      <c r="AO240" s="8">
        <f>COUNTIF($E$240:$AI$240,"CL")</f>
        <v>0</v>
      </c>
      <c r="AP240" s="8">
        <f>COUNTIF($E$240:$AI$240,"SL")</f>
        <v>0</v>
      </c>
      <c r="AQ240" s="8">
        <f>COUNTIF($E$240:$AI$240,"EL")</f>
        <v>0</v>
      </c>
      <c r="AR240" s="8">
        <f>COUNTIF($E$240:$AI$240,"H")</f>
        <v>0</v>
      </c>
      <c r="AS240" s="8"/>
      <c r="AT240" s="11" t="s">
        <v>18</v>
      </c>
    </row>
    <row r="241" spans="1:46" ht="15.1" customHeight="1">
      <c r="A241" s="8"/>
      <c r="B241" s="9"/>
      <c r="C241" s="8"/>
      <c r="D241" s="9"/>
      <c r="E241" s="8">
        <v>2</v>
      </c>
      <c r="F241" s="8">
        <v>2</v>
      </c>
      <c r="G241" s="8">
        <v>0</v>
      </c>
      <c r="H241" s="8">
        <v>2</v>
      </c>
      <c r="I241" s="8">
        <v>2</v>
      </c>
      <c r="J241" s="8">
        <v>2</v>
      </c>
      <c r="K241" s="8">
        <v>2</v>
      </c>
      <c r="L241" s="8">
        <v>2</v>
      </c>
      <c r="M241" s="8">
        <v>2</v>
      </c>
      <c r="N241" s="8">
        <v>0</v>
      </c>
      <c r="O241" s="8">
        <v>2</v>
      </c>
      <c r="P241" s="8">
        <v>2</v>
      </c>
      <c r="Q241" s="8">
        <v>2</v>
      </c>
      <c r="R241" s="8">
        <v>2</v>
      </c>
      <c r="S241" s="8">
        <v>2</v>
      </c>
      <c r="T241" s="8">
        <v>2</v>
      </c>
      <c r="U241" s="8">
        <v>0</v>
      </c>
      <c r="V241" s="8">
        <v>2</v>
      </c>
      <c r="W241" s="8">
        <v>0</v>
      </c>
      <c r="X241" s="8">
        <v>2</v>
      </c>
      <c r="Y241" s="8">
        <v>2</v>
      </c>
      <c r="Z241" s="8">
        <v>2</v>
      </c>
      <c r="AA241" s="8">
        <v>2</v>
      </c>
      <c r="AB241" s="8">
        <v>0</v>
      </c>
      <c r="AC241" s="8">
        <v>2</v>
      </c>
      <c r="AD241" s="8">
        <v>0</v>
      </c>
      <c r="AE241" s="8">
        <v>2</v>
      </c>
      <c r="AF241" s="8">
        <v>0</v>
      </c>
      <c r="AG241" s="8">
        <v>0</v>
      </c>
      <c r="AH241" s="8">
        <v>2</v>
      </c>
      <c r="AI241" s="8">
        <v>0</v>
      </c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11" t="s">
        <v>18</v>
      </c>
    </row>
    <row r="242" spans="1:46" ht="15.1" customHeight="1">
      <c r="A242" s="8"/>
      <c r="B242" s="9"/>
      <c r="C242" s="8"/>
      <c r="D242" s="9"/>
      <c r="E242" s="8">
        <v>9</v>
      </c>
      <c r="F242" s="8">
        <v>6</v>
      </c>
      <c r="G242" s="8">
        <v>15</v>
      </c>
      <c r="H242" s="8">
        <v>9</v>
      </c>
      <c r="I242" s="8">
        <v>9.5</v>
      </c>
      <c r="J242" s="8">
        <v>8</v>
      </c>
      <c r="K242" s="8">
        <v>10</v>
      </c>
      <c r="L242" s="8">
        <v>7.5</v>
      </c>
      <c r="M242" s="8">
        <v>7</v>
      </c>
      <c r="N242" s="8">
        <v>18</v>
      </c>
      <c r="O242" s="8">
        <v>6.5</v>
      </c>
      <c r="P242" s="8">
        <v>10</v>
      </c>
      <c r="Q242" s="8">
        <v>10</v>
      </c>
      <c r="R242" s="8">
        <v>7</v>
      </c>
      <c r="S242" s="8">
        <v>10</v>
      </c>
      <c r="T242" s="8">
        <v>10</v>
      </c>
      <c r="U242" s="8">
        <v>0</v>
      </c>
      <c r="V242" s="8">
        <v>11</v>
      </c>
      <c r="W242" s="8">
        <v>0</v>
      </c>
      <c r="X242" s="8">
        <v>7</v>
      </c>
      <c r="Y242" s="8">
        <v>0</v>
      </c>
      <c r="Z242" s="8">
        <v>0</v>
      </c>
      <c r="AA242" s="8">
        <v>0.5</v>
      </c>
      <c r="AB242" s="8">
        <v>0</v>
      </c>
      <c r="AC242" s="8">
        <v>1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11" t="s">
        <v>18</v>
      </c>
    </row>
    <row r="243" spans="1:46" ht="15.1" customHeight="1">
      <c r="A243" s="8">
        <v>80</v>
      </c>
      <c r="B243" s="9" t="s">
        <v>224</v>
      </c>
      <c r="C243" s="8" t="s">
        <v>225</v>
      </c>
      <c r="D243" s="9" t="s">
        <v>207</v>
      </c>
      <c r="E243" s="8" t="s">
        <v>54</v>
      </c>
      <c r="F243" s="8" t="s">
        <v>54</v>
      </c>
      <c r="G243" s="10" t="s">
        <v>67</v>
      </c>
      <c r="H243" s="8" t="s">
        <v>54</v>
      </c>
      <c r="I243" s="8" t="s">
        <v>54</v>
      </c>
      <c r="J243" s="8" t="s">
        <v>54</v>
      </c>
      <c r="K243" s="8" t="s">
        <v>54</v>
      </c>
      <c r="L243" s="8" t="s">
        <v>54</v>
      </c>
      <c r="M243" s="8" t="s">
        <v>54</v>
      </c>
      <c r="N243" s="10" t="s">
        <v>67</v>
      </c>
      <c r="O243" s="12" t="s">
        <v>55</v>
      </c>
      <c r="P243" s="8" t="s">
        <v>54</v>
      </c>
      <c r="Q243" s="8" t="s">
        <v>54</v>
      </c>
      <c r="R243" s="8" t="s">
        <v>54</v>
      </c>
      <c r="S243" s="8" t="s">
        <v>54</v>
      </c>
      <c r="T243" s="8" t="s">
        <v>54</v>
      </c>
      <c r="U243" s="10" t="s">
        <v>67</v>
      </c>
      <c r="V243" s="8" t="s">
        <v>54</v>
      </c>
      <c r="W243" s="8" t="s">
        <v>54</v>
      </c>
      <c r="X243" s="12" t="s">
        <v>55</v>
      </c>
      <c r="Y243" s="8" t="s">
        <v>54</v>
      </c>
      <c r="Z243" s="8" t="s">
        <v>54</v>
      </c>
      <c r="AA243" s="8" t="s">
        <v>54</v>
      </c>
      <c r="AB243" s="10" t="s">
        <v>67</v>
      </c>
      <c r="AC243" s="8" t="s">
        <v>54</v>
      </c>
      <c r="AD243" s="8" t="s">
        <v>54</v>
      </c>
      <c r="AE243" s="8" t="s">
        <v>54</v>
      </c>
      <c r="AF243" s="8" t="s">
        <v>54</v>
      </c>
      <c r="AG243" s="8" t="s">
        <v>54</v>
      </c>
      <c r="AH243" s="8" t="s">
        <v>54</v>
      </c>
      <c r="AI243" s="10" t="s">
        <v>67</v>
      </c>
      <c r="AJ243" s="8">
        <f>COUNTIF($E$243:$AI$243,"P")</f>
        <v>24</v>
      </c>
      <c r="AK243" s="8">
        <f>COUNTIF($E$243:$AI$243,"A")</f>
        <v>2</v>
      </c>
      <c r="AL243" s="8">
        <f>SUM($E$244:$AI$244)</f>
        <v>40</v>
      </c>
      <c r="AM243" s="8">
        <f>SUM($E$245:$AI$245)</f>
        <v>165</v>
      </c>
      <c r="AN243" s="8">
        <f>AL243+AM243</f>
        <v>205</v>
      </c>
      <c r="AO243" s="8">
        <f>COUNTIF($E$243:$AI$243,"CL")</f>
        <v>0</v>
      </c>
      <c r="AP243" s="8">
        <f>COUNTIF($E$243:$AI$243,"SL")</f>
        <v>0</v>
      </c>
      <c r="AQ243" s="8">
        <f>COUNTIF($E$243:$AI$243,"EL")</f>
        <v>0</v>
      </c>
      <c r="AR243" s="8">
        <f>COUNTIF($E$243:$AI$243,"H")</f>
        <v>0</v>
      </c>
      <c r="AS243" s="8"/>
      <c r="AT243" s="11" t="s">
        <v>18</v>
      </c>
    </row>
    <row r="244" spans="1:46" ht="15.1" customHeight="1">
      <c r="A244" s="8"/>
      <c r="B244" s="9"/>
      <c r="C244" s="8"/>
      <c r="D244" s="9"/>
      <c r="E244" s="8">
        <v>2</v>
      </c>
      <c r="F244" s="8">
        <v>2</v>
      </c>
      <c r="G244" s="8">
        <v>0</v>
      </c>
      <c r="H244" s="8">
        <v>2</v>
      </c>
      <c r="I244" s="8">
        <v>2</v>
      </c>
      <c r="J244" s="8">
        <v>2</v>
      </c>
      <c r="K244" s="8">
        <v>2</v>
      </c>
      <c r="L244" s="8">
        <v>2</v>
      </c>
      <c r="M244" s="8">
        <v>2</v>
      </c>
      <c r="N244" s="8">
        <v>0</v>
      </c>
      <c r="O244" s="8">
        <v>0</v>
      </c>
      <c r="P244" s="8">
        <v>2</v>
      </c>
      <c r="Q244" s="8">
        <v>2</v>
      </c>
      <c r="R244" s="8">
        <v>2</v>
      </c>
      <c r="S244" s="8">
        <v>2</v>
      </c>
      <c r="T244" s="8">
        <v>2</v>
      </c>
      <c r="U244" s="8">
        <v>0</v>
      </c>
      <c r="V244" s="8">
        <v>2</v>
      </c>
      <c r="W244" s="8">
        <v>2</v>
      </c>
      <c r="X244" s="8">
        <v>0</v>
      </c>
      <c r="Y244" s="8">
        <v>2</v>
      </c>
      <c r="Z244" s="8">
        <v>2</v>
      </c>
      <c r="AA244" s="8">
        <v>2</v>
      </c>
      <c r="AB244" s="8">
        <v>0</v>
      </c>
      <c r="AC244" s="8">
        <v>0</v>
      </c>
      <c r="AD244" s="8">
        <v>2</v>
      </c>
      <c r="AE244" s="8">
        <v>0</v>
      </c>
      <c r="AF244" s="8">
        <v>0</v>
      </c>
      <c r="AG244" s="8">
        <v>0</v>
      </c>
      <c r="AH244" s="8">
        <v>2</v>
      </c>
      <c r="AI244" s="8">
        <v>0</v>
      </c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11" t="s">
        <v>18</v>
      </c>
    </row>
    <row r="245" spans="1:46" ht="15.1" customHeight="1">
      <c r="A245" s="8"/>
      <c r="B245" s="9"/>
      <c r="C245" s="8"/>
      <c r="D245" s="9"/>
      <c r="E245" s="8">
        <v>10</v>
      </c>
      <c r="F245" s="8">
        <v>4</v>
      </c>
      <c r="G245" s="8">
        <v>15</v>
      </c>
      <c r="H245" s="8">
        <v>9</v>
      </c>
      <c r="I245" s="8">
        <v>9.5</v>
      </c>
      <c r="J245" s="8">
        <v>9</v>
      </c>
      <c r="K245" s="8">
        <v>10</v>
      </c>
      <c r="L245" s="8">
        <v>6</v>
      </c>
      <c r="M245" s="8">
        <v>7</v>
      </c>
      <c r="N245" s="8">
        <v>17</v>
      </c>
      <c r="O245" s="8">
        <v>0</v>
      </c>
      <c r="P245" s="8">
        <v>10</v>
      </c>
      <c r="Q245" s="8">
        <v>8</v>
      </c>
      <c r="R245" s="8">
        <v>1</v>
      </c>
      <c r="S245" s="8">
        <v>9</v>
      </c>
      <c r="T245" s="8">
        <v>8</v>
      </c>
      <c r="U245" s="8">
        <v>11</v>
      </c>
      <c r="V245" s="8">
        <v>10.5</v>
      </c>
      <c r="W245" s="8">
        <v>1</v>
      </c>
      <c r="X245" s="8">
        <v>0</v>
      </c>
      <c r="Y245" s="8">
        <v>0</v>
      </c>
      <c r="Z245" s="8">
        <v>3</v>
      </c>
      <c r="AA245" s="8">
        <v>0</v>
      </c>
      <c r="AB245" s="8">
        <v>0</v>
      </c>
      <c r="AC245" s="8">
        <v>0</v>
      </c>
      <c r="AD245" s="8">
        <v>7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11" t="s">
        <v>18</v>
      </c>
    </row>
    <row r="246" spans="1:46" ht="15.1" customHeight="1">
      <c r="A246" s="8">
        <v>81</v>
      </c>
      <c r="B246" s="9" t="s">
        <v>226</v>
      </c>
      <c r="C246" s="8" t="s">
        <v>227</v>
      </c>
      <c r="D246" s="9" t="s">
        <v>207</v>
      </c>
      <c r="E246" s="8" t="s">
        <v>54</v>
      </c>
      <c r="F246" s="8" t="s">
        <v>54</v>
      </c>
      <c r="G246" s="10" t="s">
        <v>67</v>
      </c>
      <c r="H246" s="8" t="s">
        <v>54</v>
      </c>
      <c r="I246" s="8" t="s">
        <v>54</v>
      </c>
      <c r="J246" s="8" t="s">
        <v>54</v>
      </c>
      <c r="K246" s="8" t="s">
        <v>54</v>
      </c>
      <c r="L246" s="8" t="s">
        <v>54</v>
      </c>
      <c r="M246" s="8" t="s">
        <v>54</v>
      </c>
      <c r="N246" s="10" t="s">
        <v>67</v>
      </c>
      <c r="O246" s="8" t="s">
        <v>54</v>
      </c>
      <c r="P246" s="8" t="s">
        <v>54</v>
      </c>
      <c r="Q246" s="8" t="s">
        <v>54</v>
      </c>
      <c r="R246" s="8" t="s">
        <v>54</v>
      </c>
      <c r="S246" s="8" t="s">
        <v>54</v>
      </c>
      <c r="T246" s="8" t="s">
        <v>54</v>
      </c>
      <c r="U246" s="10" t="s">
        <v>67</v>
      </c>
      <c r="V246" s="12" t="s">
        <v>55</v>
      </c>
      <c r="W246" s="12" t="s">
        <v>55</v>
      </c>
      <c r="X246" s="12" t="s">
        <v>55</v>
      </c>
      <c r="Y246" s="12" t="s">
        <v>55</v>
      </c>
      <c r="Z246" s="12" t="s">
        <v>55</v>
      </c>
      <c r="AA246" s="12" t="s">
        <v>55</v>
      </c>
      <c r="AB246" s="10" t="s">
        <v>67</v>
      </c>
      <c r="AC246" s="12" t="s">
        <v>55</v>
      </c>
      <c r="AD246" s="12" t="s">
        <v>55</v>
      </c>
      <c r="AE246" s="12" t="s">
        <v>55</v>
      </c>
      <c r="AF246" s="12" t="s">
        <v>55</v>
      </c>
      <c r="AG246" s="12" t="s">
        <v>55</v>
      </c>
      <c r="AH246" s="12" t="s">
        <v>55</v>
      </c>
      <c r="AI246" s="10" t="s">
        <v>67</v>
      </c>
      <c r="AJ246" s="8">
        <f>COUNTIF($E$246:$AI$246,"P")</f>
        <v>14</v>
      </c>
      <c r="AK246" s="8">
        <f>COUNTIF($E$246:$AI$246,"A")</f>
        <v>12</v>
      </c>
      <c r="AL246" s="8">
        <f>SUM($E$247:$AI$247)</f>
        <v>28</v>
      </c>
      <c r="AM246" s="8">
        <f>SUM($E$248:$AI$248)</f>
        <v>146.5</v>
      </c>
      <c r="AN246" s="8">
        <f>AL246+AM246</f>
        <v>174.5</v>
      </c>
      <c r="AO246" s="8">
        <f>COUNTIF($E$246:$AI$246,"CL")</f>
        <v>0</v>
      </c>
      <c r="AP246" s="8">
        <f>COUNTIF($E$246:$AI$246,"SL")</f>
        <v>0</v>
      </c>
      <c r="AQ246" s="8">
        <f>COUNTIF($E$246:$AI$246,"EL")</f>
        <v>0</v>
      </c>
      <c r="AR246" s="8">
        <f>COUNTIF($E$246:$AI$246,"H")</f>
        <v>0</v>
      </c>
      <c r="AS246" s="8"/>
      <c r="AT246" s="11" t="s">
        <v>18</v>
      </c>
    </row>
    <row r="247" spans="1:46" ht="15.1" customHeight="1">
      <c r="A247" s="8"/>
      <c r="B247" s="9"/>
      <c r="C247" s="8"/>
      <c r="D247" s="9"/>
      <c r="E247" s="8">
        <v>2</v>
      </c>
      <c r="F247" s="8">
        <v>2</v>
      </c>
      <c r="G247" s="8">
        <v>0</v>
      </c>
      <c r="H247" s="8">
        <v>2</v>
      </c>
      <c r="I247" s="8">
        <v>2</v>
      </c>
      <c r="J247" s="8">
        <v>2</v>
      </c>
      <c r="K247" s="8">
        <v>2</v>
      </c>
      <c r="L247" s="8">
        <v>2</v>
      </c>
      <c r="M247" s="8">
        <v>2</v>
      </c>
      <c r="N247" s="8">
        <v>0</v>
      </c>
      <c r="O247" s="8">
        <v>2</v>
      </c>
      <c r="P247" s="8">
        <v>2</v>
      </c>
      <c r="Q247" s="8">
        <v>2</v>
      </c>
      <c r="R247" s="8">
        <v>2</v>
      </c>
      <c r="S247" s="8">
        <v>2</v>
      </c>
      <c r="T247" s="8">
        <v>2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11" t="s">
        <v>18</v>
      </c>
    </row>
    <row r="248" spans="1:46" ht="15.1" customHeight="1">
      <c r="A248" s="8"/>
      <c r="B248" s="9"/>
      <c r="C248" s="8"/>
      <c r="D248" s="9"/>
      <c r="E248" s="8">
        <v>9</v>
      </c>
      <c r="F248" s="8">
        <v>6</v>
      </c>
      <c r="G248" s="8">
        <v>15</v>
      </c>
      <c r="H248" s="8">
        <v>8</v>
      </c>
      <c r="I248" s="8">
        <v>9.5</v>
      </c>
      <c r="J248" s="8">
        <v>11</v>
      </c>
      <c r="K248" s="8">
        <v>10</v>
      </c>
      <c r="L248" s="8">
        <v>6</v>
      </c>
      <c r="M248" s="8">
        <v>7</v>
      </c>
      <c r="N248" s="8">
        <v>16</v>
      </c>
      <c r="O248" s="8">
        <v>7</v>
      </c>
      <c r="P248" s="8">
        <v>10</v>
      </c>
      <c r="Q248" s="8">
        <v>10</v>
      </c>
      <c r="R248" s="8">
        <v>5</v>
      </c>
      <c r="S248" s="8">
        <v>9</v>
      </c>
      <c r="T248" s="8">
        <v>8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11" t="s">
        <v>18</v>
      </c>
    </row>
    <row r="249" spans="1:46" ht="15.1" customHeight="1">
      <c r="A249" s="8">
        <v>82</v>
      </c>
      <c r="B249" s="9" t="s">
        <v>228</v>
      </c>
      <c r="C249" s="8" t="s">
        <v>229</v>
      </c>
      <c r="D249" s="9" t="s">
        <v>207</v>
      </c>
      <c r="E249" s="8" t="s">
        <v>54</v>
      </c>
      <c r="F249" s="8" t="s">
        <v>54</v>
      </c>
      <c r="G249" s="10" t="s">
        <v>67</v>
      </c>
      <c r="H249" s="8" t="s">
        <v>54</v>
      </c>
      <c r="I249" s="12" t="s">
        <v>55</v>
      </c>
      <c r="J249" s="12" t="s">
        <v>55</v>
      </c>
      <c r="K249" s="12" t="s">
        <v>55</v>
      </c>
      <c r="L249" s="8" t="s">
        <v>54</v>
      </c>
      <c r="M249" s="8" t="s">
        <v>54</v>
      </c>
      <c r="N249" s="10" t="s">
        <v>67</v>
      </c>
      <c r="O249" s="8" t="s">
        <v>54</v>
      </c>
      <c r="P249" s="8" t="s">
        <v>54</v>
      </c>
      <c r="Q249" s="8" t="s">
        <v>54</v>
      </c>
      <c r="R249" s="8" t="s">
        <v>54</v>
      </c>
      <c r="S249" s="8" t="s">
        <v>54</v>
      </c>
      <c r="T249" s="8" t="s">
        <v>54</v>
      </c>
      <c r="U249" s="10" t="s">
        <v>67</v>
      </c>
      <c r="V249" s="8" t="s">
        <v>54</v>
      </c>
      <c r="W249" s="8" t="s">
        <v>54</v>
      </c>
      <c r="X249" s="8" t="s">
        <v>54</v>
      </c>
      <c r="Y249" s="12" t="s">
        <v>55</v>
      </c>
      <c r="Z249" s="8" t="s">
        <v>54</v>
      </c>
      <c r="AA249" s="8" t="s">
        <v>54</v>
      </c>
      <c r="AB249" s="10" t="s">
        <v>67</v>
      </c>
      <c r="AC249" s="8" t="s">
        <v>54</v>
      </c>
      <c r="AD249" s="8" t="s">
        <v>54</v>
      </c>
      <c r="AE249" s="8" t="s">
        <v>54</v>
      </c>
      <c r="AF249" s="8" t="s">
        <v>54</v>
      </c>
      <c r="AG249" s="8" t="s">
        <v>54</v>
      </c>
      <c r="AH249" s="12" t="s">
        <v>55</v>
      </c>
      <c r="AI249" s="10" t="s">
        <v>67</v>
      </c>
      <c r="AJ249" s="8">
        <f>COUNTIF($E$249:$AI$249,"P")</f>
        <v>21</v>
      </c>
      <c r="AK249" s="8">
        <f>COUNTIF($E$249:$AI$249,"A")</f>
        <v>5</v>
      </c>
      <c r="AL249" s="8">
        <f>SUM($E$250:$AI$250)</f>
        <v>36</v>
      </c>
      <c r="AM249" s="8">
        <f>SUM($E$251:$AI$251)</f>
        <v>145.5</v>
      </c>
      <c r="AN249" s="8">
        <f>AL249+AM249</f>
        <v>181</v>
      </c>
      <c r="AO249" s="8">
        <f>COUNTIF($E$249:$AI$249,"CL")</f>
        <v>0</v>
      </c>
      <c r="AP249" s="8">
        <f>COUNTIF($E$249:$AI$249,"SL")</f>
        <v>0</v>
      </c>
      <c r="AQ249" s="8">
        <f>COUNTIF($E$249:$AI$249,"EL")</f>
        <v>0</v>
      </c>
      <c r="AR249" s="8">
        <f>COUNTIF($E$249:$AI$249,"H")</f>
        <v>0</v>
      </c>
      <c r="AS249" s="8"/>
      <c r="AT249" s="11" t="s">
        <v>18</v>
      </c>
    </row>
    <row r="250" spans="1:46" ht="15.1" customHeight="1">
      <c r="A250" s="8"/>
      <c r="B250" s="9"/>
      <c r="C250" s="8"/>
      <c r="D250" s="9"/>
      <c r="E250" s="8">
        <v>2</v>
      </c>
      <c r="F250" s="8">
        <v>2</v>
      </c>
      <c r="G250" s="8">
        <v>0</v>
      </c>
      <c r="H250" s="8">
        <v>2</v>
      </c>
      <c r="I250" s="8">
        <v>0</v>
      </c>
      <c r="J250" s="8">
        <v>0</v>
      </c>
      <c r="K250" s="8">
        <v>0</v>
      </c>
      <c r="L250" s="8">
        <v>2</v>
      </c>
      <c r="M250" s="8">
        <v>2</v>
      </c>
      <c r="N250" s="8">
        <v>0</v>
      </c>
      <c r="O250" s="8">
        <v>2</v>
      </c>
      <c r="P250" s="8">
        <v>2</v>
      </c>
      <c r="Q250" s="8">
        <v>2</v>
      </c>
      <c r="R250" s="8">
        <v>2</v>
      </c>
      <c r="S250" s="8">
        <v>2</v>
      </c>
      <c r="T250" s="8">
        <v>2</v>
      </c>
      <c r="U250" s="8">
        <v>0</v>
      </c>
      <c r="V250" s="8">
        <v>2</v>
      </c>
      <c r="W250" s="8">
        <v>2</v>
      </c>
      <c r="X250" s="8">
        <v>2</v>
      </c>
      <c r="Y250" s="8">
        <v>0</v>
      </c>
      <c r="Z250" s="8">
        <v>0</v>
      </c>
      <c r="AA250" s="8">
        <v>2</v>
      </c>
      <c r="AB250" s="8">
        <v>0</v>
      </c>
      <c r="AC250" s="8">
        <v>2</v>
      </c>
      <c r="AD250" s="8">
        <v>2</v>
      </c>
      <c r="AE250" s="8">
        <v>2</v>
      </c>
      <c r="AF250" s="8">
        <v>0</v>
      </c>
      <c r="AG250" s="8">
        <v>0</v>
      </c>
      <c r="AH250" s="8">
        <v>0</v>
      </c>
      <c r="AI250" s="8">
        <v>0</v>
      </c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11" t="s">
        <v>18</v>
      </c>
    </row>
    <row r="251" spans="1:46" ht="15.1" customHeight="1">
      <c r="A251" s="8"/>
      <c r="B251" s="9"/>
      <c r="C251" s="8"/>
      <c r="D251" s="9"/>
      <c r="E251" s="8">
        <v>9</v>
      </c>
      <c r="F251" s="8">
        <v>3</v>
      </c>
      <c r="G251" s="8">
        <v>8</v>
      </c>
      <c r="H251" s="8">
        <v>8</v>
      </c>
      <c r="I251" s="8">
        <v>0</v>
      </c>
      <c r="J251" s="8">
        <v>0</v>
      </c>
      <c r="K251" s="8">
        <v>0</v>
      </c>
      <c r="L251" s="8">
        <v>8</v>
      </c>
      <c r="M251" s="8">
        <v>7</v>
      </c>
      <c r="N251" s="8">
        <v>18</v>
      </c>
      <c r="O251" s="8">
        <v>7</v>
      </c>
      <c r="P251" s="8">
        <v>10</v>
      </c>
      <c r="Q251" s="8">
        <v>9</v>
      </c>
      <c r="R251" s="8">
        <v>5</v>
      </c>
      <c r="S251" s="8">
        <v>9</v>
      </c>
      <c r="T251" s="8">
        <v>10</v>
      </c>
      <c r="U251" s="8">
        <v>11</v>
      </c>
      <c r="V251" s="8">
        <v>11</v>
      </c>
      <c r="W251" s="8">
        <v>1</v>
      </c>
      <c r="X251" s="8">
        <v>9</v>
      </c>
      <c r="Y251" s="8">
        <v>0</v>
      </c>
      <c r="Z251" s="8">
        <v>0</v>
      </c>
      <c r="AA251" s="8">
        <v>0</v>
      </c>
      <c r="AB251" s="8">
        <v>0</v>
      </c>
      <c r="AC251" s="8">
        <v>1.5</v>
      </c>
      <c r="AD251" s="8">
        <v>1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11" t="s">
        <v>18</v>
      </c>
    </row>
    <row r="252" spans="1:46" ht="15.1" customHeight="1">
      <c r="A252" s="8">
        <v>83</v>
      </c>
      <c r="B252" s="9" t="s">
        <v>230</v>
      </c>
      <c r="C252" s="8" t="s">
        <v>231</v>
      </c>
      <c r="D252" s="9" t="s">
        <v>207</v>
      </c>
      <c r="E252" s="8" t="s">
        <v>54</v>
      </c>
      <c r="F252" s="8" t="s">
        <v>54</v>
      </c>
      <c r="G252" s="10" t="s">
        <v>67</v>
      </c>
      <c r="H252" s="8" t="s">
        <v>54</v>
      </c>
      <c r="I252" s="8" t="s">
        <v>54</v>
      </c>
      <c r="J252" s="8" t="s">
        <v>54</v>
      </c>
      <c r="K252" s="8" t="s">
        <v>54</v>
      </c>
      <c r="L252" s="8" t="s">
        <v>54</v>
      </c>
      <c r="M252" s="8" t="s">
        <v>54</v>
      </c>
      <c r="N252" s="10" t="s">
        <v>67</v>
      </c>
      <c r="O252" s="8" t="s">
        <v>54</v>
      </c>
      <c r="P252" s="8" t="s">
        <v>54</v>
      </c>
      <c r="Q252" s="8" t="s">
        <v>54</v>
      </c>
      <c r="R252" s="8" t="s">
        <v>54</v>
      </c>
      <c r="S252" s="8" t="s">
        <v>54</v>
      </c>
      <c r="T252" s="8" t="s">
        <v>54</v>
      </c>
      <c r="U252" s="10" t="s">
        <v>67</v>
      </c>
      <c r="V252" s="8" t="s">
        <v>54</v>
      </c>
      <c r="W252" s="8" t="s">
        <v>54</v>
      </c>
      <c r="X252" s="8" t="s">
        <v>54</v>
      </c>
      <c r="Y252" s="8" t="s">
        <v>54</v>
      </c>
      <c r="Z252" s="12" t="s">
        <v>55</v>
      </c>
      <c r="AA252" s="8" t="s">
        <v>59</v>
      </c>
      <c r="AB252" s="10" t="s">
        <v>67</v>
      </c>
      <c r="AC252" s="8" t="s">
        <v>59</v>
      </c>
      <c r="AD252" s="8" t="s">
        <v>54</v>
      </c>
      <c r="AE252" s="8" t="s">
        <v>54</v>
      </c>
      <c r="AF252" s="8" t="s">
        <v>54</v>
      </c>
      <c r="AG252" s="8" t="s">
        <v>54</v>
      </c>
      <c r="AH252" s="12" t="s">
        <v>55</v>
      </c>
      <c r="AI252" s="10" t="s">
        <v>67</v>
      </c>
      <c r="AJ252" s="8">
        <f>COUNTIF($E$252:$AI$252,"P")</f>
        <v>22</v>
      </c>
      <c r="AK252" s="8">
        <f>COUNTIF($E$252:$AI$252,"A")</f>
        <v>2</v>
      </c>
      <c r="AL252" s="8">
        <f>SUM($E$253:$AI$253)</f>
        <v>36</v>
      </c>
      <c r="AM252" s="8">
        <f>SUM($E$254:$AI$254)</f>
        <v>195.5</v>
      </c>
      <c r="AN252" s="8">
        <f>AL252+AM252</f>
        <v>231.5</v>
      </c>
      <c r="AO252" s="8">
        <f>COUNTIF($E$252:$AI$252,"CL")</f>
        <v>2</v>
      </c>
      <c r="AP252" s="8">
        <f>COUNTIF($E$252:$AI$252,"SL")</f>
        <v>0</v>
      </c>
      <c r="AQ252" s="8">
        <f>COUNTIF($E$252:$AI$252,"EL")</f>
        <v>0</v>
      </c>
      <c r="AR252" s="8">
        <f>COUNTIF($E$252:$AI$252,"H")</f>
        <v>0</v>
      </c>
      <c r="AS252" s="8"/>
      <c r="AT252" s="11" t="s">
        <v>18</v>
      </c>
    </row>
    <row r="253" spans="1:46" ht="15.1" customHeight="1">
      <c r="A253" s="8"/>
      <c r="B253" s="9"/>
      <c r="C253" s="8"/>
      <c r="D253" s="9"/>
      <c r="E253" s="8">
        <v>2</v>
      </c>
      <c r="F253" s="8">
        <v>2</v>
      </c>
      <c r="G253" s="8">
        <v>0</v>
      </c>
      <c r="H253" s="8">
        <v>2</v>
      </c>
      <c r="I253" s="8">
        <v>2</v>
      </c>
      <c r="J253" s="8">
        <v>2</v>
      </c>
      <c r="K253" s="8">
        <v>2</v>
      </c>
      <c r="L253" s="8">
        <v>2</v>
      </c>
      <c r="M253" s="8">
        <v>2</v>
      </c>
      <c r="N253" s="8">
        <v>0</v>
      </c>
      <c r="O253" s="8">
        <v>2</v>
      </c>
      <c r="P253" s="8">
        <v>2</v>
      </c>
      <c r="Q253" s="8">
        <v>2</v>
      </c>
      <c r="R253" s="8">
        <v>2</v>
      </c>
      <c r="S253" s="8">
        <v>2</v>
      </c>
      <c r="T253" s="8">
        <v>2</v>
      </c>
      <c r="U253" s="8">
        <v>0</v>
      </c>
      <c r="V253" s="8">
        <v>2</v>
      </c>
      <c r="W253" s="8">
        <v>2</v>
      </c>
      <c r="X253" s="8">
        <v>2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2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11" t="s">
        <v>18</v>
      </c>
    </row>
    <row r="254" spans="1:46" ht="15.1" customHeight="1">
      <c r="A254" s="8"/>
      <c r="B254" s="9"/>
      <c r="C254" s="8"/>
      <c r="D254" s="9"/>
      <c r="E254" s="8">
        <v>10</v>
      </c>
      <c r="F254" s="8">
        <v>5</v>
      </c>
      <c r="G254" s="8">
        <v>15.5</v>
      </c>
      <c r="H254" s="8">
        <v>9</v>
      </c>
      <c r="I254" s="8">
        <v>9.5</v>
      </c>
      <c r="J254" s="8">
        <v>9</v>
      </c>
      <c r="K254" s="8">
        <v>10</v>
      </c>
      <c r="L254" s="8">
        <v>8</v>
      </c>
      <c r="M254" s="8">
        <v>7</v>
      </c>
      <c r="N254" s="8">
        <v>18</v>
      </c>
      <c r="O254" s="8">
        <v>7</v>
      </c>
      <c r="P254" s="8">
        <v>10</v>
      </c>
      <c r="Q254" s="8">
        <v>10</v>
      </c>
      <c r="R254" s="8">
        <v>6</v>
      </c>
      <c r="S254" s="8">
        <v>10</v>
      </c>
      <c r="T254" s="8">
        <v>10</v>
      </c>
      <c r="U254" s="8">
        <v>11</v>
      </c>
      <c r="V254" s="8">
        <v>9</v>
      </c>
      <c r="W254" s="8">
        <v>11</v>
      </c>
      <c r="X254" s="8">
        <v>3.5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7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11" t="s">
        <v>18</v>
      </c>
    </row>
    <row r="255" spans="1:46" ht="15.1" customHeight="1">
      <c r="A255" s="8">
        <v>84</v>
      </c>
      <c r="B255" s="9" t="s">
        <v>232</v>
      </c>
      <c r="C255" s="8" t="s">
        <v>233</v>
      </c>
      <c r="D255" s="9" t="s">
        <v>207</v>
      </c>
      <c r="E255" s="8" t="s">
        <v>54</v>
      </c>
      <c r="F255" s="8" t="s">
        <v>54</v>
      </c>
      <c r="G255" s="10" t="s">
        <v>67</v>
      </c>
      <c r="H255" s="8" t="s">
        <v>54</v>
      </c>
      <c r="I255" s="8" t="s">
        <v>54</v>
      </c>
      <c r="J255" s="8" t="s">
        <v>54</v>
      </c>
      <c r="K255" s="8" t="s">
        <v>54</v>
      </c>
      <c r="L255" s="8" t="s">
        <v>54</v>
      </c>
      <c r="M255" s="8" t="s">
        <v>54</v>
      </c>
      <c r="N255" s="10" t="s">
        <v>67</v>
      </c>
      <c r="O255" s="8" t="s">
        <v>54</v>
      </c>
      <c r="P255" s="8" t="s">
        <v>54</v>
      </c>
      <c r="Q255" s="8" t="s">
        <v>54</v>
      </c>
      <c r="R255" s="8" t="s">
        <v>54</v>
      </c>
      <c r="S255" s="8" t="s">
        <v>54</v>
      </c>
      <c r="T255" s="8" t="s">
        <v>54</v>
      </c>
      <c r="U255" s="10" t="s">
        <v>67</v>
      </c>
      <c r="V255" s="8" t="s">
        <v>54</v>
      </c>
      <c r="W255" s="8" t="s">
        <v>54</v>
      </c>
      <c r="X255" s="8" t="s">
        <v>54</v>
      </c>
      <c r="Y255" s="8" t="s">
        <v>54</v>
      </c>
      <c r="Z255" s="8" t="s">
        <v>54</v>
      </c>
      <c r="AA255" s="8" t="s">
        <v>54</v>
      </c>
      <c r="AB255" s="10" t="s">
        <v>67</v>
      </c>
      <c r="AC255" s="8" t="s">
        <v>54</v>
      </c>
      <c r="AD255" s="8" t="s">
        <v>54</v>
      </c>
      <c r="AE255" s="8" t="s">
        <v>54</v>
      </c>
      <c r="AF255" s="8" t="s">
        <v>54</v>
      </c>
      <c r="AG255" s="8" t="s">
        <v>54</v>
      </c>
      <c r="AH255" s="12" t="s">
        <v>55</v>
      </c>
      <c r="AI255" s="10" t="s">
        <v>67</v>
      </c>
      <c r="AJ255" s="8">
        <f>COUNTIF($E$255:$AI$255,"P")</f>
        <v>25</v>
      </c>
      <c r="AK255" s="8">
        <f>COUNTIF($E$255:$AI$255,"A")</f>
        <v>1</v>
      </c>
      <c r="AL255" s="8">
        <f>SUM($E$256:$AI$256)</f>
        <v>44</v>
      </c>
      <c r="AM255" s="8">
        <f>SUM($E$257:$AI$257)</f>
        <v>178</v>
      </c>
      <c r="AN255" s="8">
        <f>AL255+AM255</f>
        <v>222</v>
      </c>
      <c r="AO255" s="8">
        <f>COUNTIF($E$255:$AI$255,"CL")</f>
        <v>0</v>
      </c>
      <c r="AP255" s="8">
        <f>COUNTIF($E$255:$AI$255,"SL")</f>
        <v>0</v>
      </c>
      <c r="AQ255" s="8">
        <f>COUNTIF($E$255:$AI$255,"EL")</f>
        <v>0</v>
      </c>
      <c r="AR255" s="8">
        <f>COUNTIF($E$255:$AI$255,"H")</f>
        <v>0</v>
      </c>
      <c r="AS255" s="8"/>
      <c r="AT255" s="11" t="s">
        <v>18</v>
      </c>
    </row>
    <row r="256" spans="1:46" ht="15.1" customHeight="1">
      <c r="A256" s="8"/>
      <c r="B256" s="9"/>
      <c r="C256" s="8"/>
      <c r="D256" s="9"/>
      <c r="E256" s="8">
        <v>2</v>
      </c>
      <c r="F256" s="8">
        <v>2</v>
      </c>
      <c r="G256" s="8">
        <v>0</v>
      </c>
      <c r="H256" s="8">
        <v>2</v>
      </c>
      <c r="I256" s="8">
        <v>2</v>
      </c>
      <c r="J256" s="8">
        <v>2</v>
      </c>
      <c r="K256" s="8">
        <v>2</v>
      </c>
      <c r="L256" s="8">
        <v>2</v>
      </c>
      <c r="M256" s="8">
        <v>2</v>
      </c>
      <c r="N256" s="8">
        <v>0</v>
      </c>
      <c r="O256" s="8">
        <v>2</v>
      </c>
      <c r="P256" s="8">
        <v>2</v>
      </c>
      <c r="Q256" s="8">
        <v>2</v>
      </c>
      <c r="R256" s="8">
        <v>2</v>
      </c>
      <c r="S256" s="8">
        <v>2</v>
      </c>
      <c r="T256" s="8">
        <v>2</v>
      </c>
      <c r="U256" s="8">
        <v>0</v>
      </c>
      <c r="V256" s="8">
        <v>2</v>
      </c>
      <c r="W256" s="8">
        <v>2</v>
      </c>
      <c r="X256" s="8">
        <v>2</v>
      </c>
      <c r="Y256" s="8">
        <v>2</v>
      </c>
      <c r="Z256" s="8">
        <v>0</v>
      </c>
      <c r="AA256" s="8">
        <v>2</v>
      </c>
      <c r="AB256" s="8">
        <v>0</v>
      </c>
      <c r="AC256" s="8">
        <v>2</v>
      </c>
      <c r="AD256" s="8">
        <v>2</v>
      </c>
      <c r="AE256" s="8">
        <v>2</v>
      </c>
      <c r="AF256" s="8">
        <v>0</v>
      </c>
      <c r="AG256" s="8">
        <v>0</v>
      </c>
      <c r="AH256" s="8">
        <v>0</v>
      </c>
      <c r="AI256" s="8">
        <v>0</v>
      </c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11" t="s">
        <v>18</v>
      </c>
    </row>
    <row r="257" spans="1:46" ht="15.1" customHeight="1">
      <c r="A257" s="8"/>
      <c r="B257" s="9"/>
      <c r="C257" s="8"/>
      <c r="D257" s="9"/>
      <c r="E257" s="8">
        <v>9.5</v>
      </c>
      <c r="F257" s="8">
        <v>3</v>
      </c>
      <c r="G257" s="8">
        <v>15</v>
      </c>
      <c r="H257" s="8">
        <v>8</v>
      </c>
      <c r="I257" s="8">
        <v>9.5</v>
      </c>
      <c r="J257" s="8">
        <v>8</v>
      </c>
      <c r="K257" s="8">
        <v>8</v>
      </c>
      <c r="L257" s="8">
        <v>6</v>
      </c>
      <c r="M257" s="8">
        <v>6</v>
      </c>
      <c r="N257" s="8">
        <v>16</v>
      </c>
      <c r="O257" s="8">
        <v>7</v>
      </c>
      <c r="P257" s="8">
        <v>9</v>
      </c>
      <c r="Q257" s="8">
        <v>10</v>
      </c>
      <c r="R257" s="8">
        <v>5</v>
      </c>
      <c r="S257" s="8">
        <v>9</v>
      </c>
      <c r="T257" s="8">
        <v>10</v>
      </c>
      <c r="U257" s="8">
        <v>12</v>
      </c>
      <c r="V257" s="8">
        <v>11</v>
      </c>
      <c r="W257" s="8">
        <v>9</v>
      </c>
      <c r="X257" s="8">
        <v>3</v>
      </c>
      <c r="Y257" s="8">
        <v>0</v>
      </c>
      <c r="Z257" s="8">
        <v>0</v>
      </c>
      <c r="AA257" s="8">
        <v>0</v>
      </c>
      <c r="AB257" s="8">
        <v>0</v>
      </c>
      <c r="AC257" s="8">
        <v>3</v>
      </c>
      <c r="AD257" s="8">
        <v>1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11" t="s">
        <v>18</v>
      </c>
    </row>
    <row r="258" spans="1:46" ht="15.1" customHeight="1">
      <c r="A258" s="8">
        <v>85</v>
      </c>
      <c r="B258" s="9" t="s">
        <v>234</v>
      </c>
      <c r="C258" s="8" t="s">
        <v>235</v>
      </c>
      <c r="D258" s="9" t="s">
        <v>207</v>
      </c>
      <c r="E258" s="8" t="s">
        <v>54</v>
      </c>
      <c r="F258" s="8" t="s">
        <v>54</v>
      </c>
      <c r="G258" s="10" t="s">
        <v>67</v>
      </c>
      <c r="H258" s="8" t="s">
        <v>54</v>
      </c>
      <c r="I258" s="8" t="s">
        <v>54</v>
      </c>
      <c r="J258" s="8" t="s">
        <v>54</v>
      </c>
      <c r="K258" s="8" t="s">
        <v>54</v>
      </c>
      <c r="L258" s="8" t="s">
        <v>54</v>
      </c>
      <c r="M258" s="8" t="s">
        <v>54</v>
      </c>
      <c r="N258" s="10" t="s">
        <v>67</v>
      </c>
      <c r="O258" s="8" t="s">
        <v>54</v>
      </c>
      <c r="P258" s="8" t="s">
        <v>54</v>
      </c>
      <c r="Q258" s="8" t="s">
        <v>54</v>
      </c>
      <c r="R258" s="8" t="s">
        <v>54</v>
      </c>
      <c r="S258" s="8" t="s">
        <v>54</v>
      </c>
      <c r="T258" s="8" t="s">
        <v>54</v>
      </c>
      <c r="U258" s="10" t="s">
        <v>67</v>
      </c>
      <c r="V258" s="8" t="s">
        <v>54</v>
      </c>
      <c r="W258" s="8" t="s">
        <v>54</v>
      </c>
      <c r="X258" s="8" t="s">
        <v>54</v>
      </c>
      <c r="Y258" s="8" t="s">
        <v>54</v>
      </c>
      <c r="Z258" s="8" t="s">
        <v>54</v>
      </c>
      <c r="AA258" s="8" t="s">
        <v>54</v>
      </c>
      <c r="AB258" s="10" t="s">
        <v>67</v>
      </c>
      <c r="AC258" s="8" t="s">
        <v>54</v>
      </c>
      <c r="AD258" s="8" t="s">
        <v>54</v>
      </c>
      <c r="AE258" s="8" t="s">
        <v>54</v>
      </c>
      <c r="AF258" s="8" t="s">
        <v>54</v>
      </c>
      <c r="AG258" s="8" t="s">
        <v>54</v>
      </c>
      <c r="AH258" s="8" t="s">
        <v>54</v>
      </c>
      <c r="AI258" s="10" t="s">
        <v>67</v>
      </c>
      <c r="AJ258" s="8">
        <f>COUNTIF($E$258:$AI$258,"P")</f>
        <v>26</v>
      </c>
      <c r="AK258" s="8">
        <f>COUNTIF($E$258:$AI$258,"A")</f>
        <v>0</v>
      </c>
      <c r="AL258" s="8">
        <f>SUM($E$259:$AI$259)</f>
        <v>47</v>
      </c>
      <c r="AM258" s="8">
        <f>SUM($E$260:$AI$260)</f>
        <v>180.5</v>
      </c>
      <c r="AN258" s="8">
        <f>AL258+AM258</f>
        <v>227</v>
      </c>
      <c r="AO258" s="8">
        <f>COUNTIF($E$258:$AI$258,"CL")</f>
        <v>0</v>
      </c>
      <c r="AP258" s="8">
        <f>COUNTIF($E$258:$AI$258,"SL")</f>
        <v>0</v>
      </c>
      <c r="AQ258" s="8">
        <f>COUNTIF($E$258:$AI$258,"EL")</f>
        <v>0</v>
      </c>
      <c r="AR258" s="8">
        <f>COUNTIF($E$258:$AI$258,"H")</f>
        <v>0</v>
      </c>
      <c r="AS258" s="8"/>
      <c r="AT258" s="11" t="s">
        <v>18</v>
      </c>
    </row>
    <row r="259" spans="1:46" ht="15.1" customHeight="1">
      <c r="A259" s="8"/>
      <c r="B259" s="9"/>
      <c r="C259" s="8"/>
      <c r="D259" s="9"/>
      <c r="E259" s="8">
        <v>2</v>
      </c>
      <c r="F259" s="8">
        <v>2</v>
      </c>
      <c r="G259" s="8">
        <v>0</v>
      </c>
      <c r="H259" s="8">
        <v>2</v>
      </c>
      <c r="I259" s="8">
        <v>2</v>
      </c>
      <c r="J259" s="8">
        <v>2</v>
      </c>
      <c r="K259" s="8">
        <v>2</v>
      </c>
      <c r="L259" s="8">
        <v>2</v>
      </c>
      <c r="M259" s="8">
        <v>2</v>
      </c>
      <c r="N259" s="8">
        <v>0</v>
      </c>
      <c r="O259" s="8">
        <v>2</v>
      </c>
      <c r="P259" s="8">
        <v>2</v>
      </c>
      <c r="Q259" s="8">
        <v>2</v>
      </c>
      <c r="R259" s="8">
        <v>2</v>
      </c>
      <c r="S259" s="8">
        <v>2</v>
      </c>
      <c r="T259" s="8">
        <v>2</v>
      </c>
      <c r="U259" s="8">
        <v>0</v>
      </c>
      <c r="V259" s="8">
        <v>2</v>
      </c>
      <c r="W259" s="8">
        <v>2</v>
      </c>
      <c r="X259" s="8">
        <v>2</v>
      </c>
      <c r="Y259" s="8">
        <v>1</v>
      </c>
      <c r="Z259" s="8">
        <v>2</v>
      </c>
      <c r="AA259" s="8">
        <v>2</v>
      </c>
      <c r="AB259" s="8">
        <v>0</v>
      </c>
      <c r="AC259" s="8">
        <v>2</v>
      </c>
      <c r="AD259" s="8">
        <v>2</v>
      </c>
      <c r="AE259" s="8">
        <v>2</v>
      </c>
      <c r="AF259" s="8">
        <v>0</v>
      </c>
      <c r="AG259" s="8">
        <v>0</v>
      </c>
      <c r="AH259" s="8">
        <v>2</v>
      </c>
      <c r="AI259" s="8">
        <v>0</v>
      </c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11" t="s">
        <v>18</v>
      </c>
    </row>
    <row r="260" spans="1:46" ht="15.1" customHeight="1">
      <c r="A260" s="8"/>
      <c r="B260" s="9"/>
      <c r="C260" s="8"/>
      <c r="D260" s="9"/>
      <c r="E260" s="8">
        <v>10</v>
      </c>
      <c r="F260" s="8">
        <v>6</v>
      </c>
      <c r="G260" s="8">
        <v>15.5</v>
      </c>
      <c r="H260" s="8">
        <v>8</v>
      </c>
      <c r="I260" s="8">
        <v>11</v>
      </c>
      <c r="J260" s="8">
        <v>6</v>
      </c>
      <c r="K260" s="8">
        <v>10</v>
      </c>
      <c r="L260" s="8">
        <v>8</v>
      </c>
      <c r="M260" s="8">
        <v>7</v>
      </c>
      <c r="N260" s="8">
        <v>17</v>
      </c>
      <c r="O260" s="8">
        <v>7</v>
      </c>
      <c r="P260" s="8">
        <v>10</v>
      </c>
      <c r="Q260" s="8">
        <v>8</v>
      </c>
      <c r="R260" s="8">
        <v>7</v>
      </c>
      <c r="S260" s="8">
        <v>10</v>
      </c>
      <c r="T260" s="8">
        <v>10</v>
      </c>
      <c r="U260" s="8">
        <v>0</v>
      </c>
      <c r="V260" s="8">
        <v>11</v>
      </c>
      <c r="W260" s="8">
        <v>5</v>
      </c>
      <c r="X260" s="8">
        <v>9</v>
      </c>
      <c r="Y260" s="8">
        <v>0</v>
      </c>
      <c r="Z260" s="8">
        <v>3</v>
      </c>
      <c r="AA260" s="8">
        <v>0</v>
      </c>
      <c r="AB260" s="8">
        <v>0</v>
      </c>
      <c r="AC260" s="8">
        <v>1</v>
      </c>
      <c r="AD260" s="8">
        <v>1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11" t="s">
        <v>18</v>
      </c>
    </row>
    <row r="261" spans="1:46" ht="15.1" customHeight="1">
      <c r="A261" s="8">
        <v>86</v>
      </c>
      <c r="B261" s="9" t="s">
        <v>236</v>
      </c>
      <c r="C261" s="8" t="s">
        <v>237</v>
      </c>
      <c r="D261" s="9" t="s">
        <v>207</v>
      </c>
      <c r="E261" s="8" t="s">
        <v>54</v>
      </c>
      <c r="F261" s="8" t="s">
        <v>54</v>
      </c>
      <c r="G261" s="10" t="s">
        <v>67</v>
      </c>
      <c r="H261" s="8" t="s">
        <v>54</v>
      </c>
      <c r="I261" s="8" t="s">
        <v>54</v>
      </c>
      <c r="J261" s="8" t="s">
        <v>54</v>
      </c>
      <c r="K261" s="8" t="s">
        <v>54</v>
      </c>
      <c r="L261" s="8" t="s">
        <v>54</v>
      </c>
      <c r="M261" s="8" t="s">
        <v>54</v>
      </c>
      <c r="N261" s="10" t="s">
        <v>67</v>
      </c>
      <c r="O261" s="8" t="s">
        <v>54</v>
      </c>
      <c r="P261" s="8" t="s">
        <v>54</v>
      </c>
      <c r="Q261" s="8" t="s">
        <v>54</v>
      </c>
      <c r="R261" s="8" t="s">
        <v>54</v>
      </c>
      <c r="S261" s="8" t="s">
        <v>54</v>
      </c>
      <c r="T261" s="8" t="s">
        <v>54</v>
      </c>
      <c r="U261" s="10" t="s">
        <v>67</v>
      </c>
      <c r="V261" s="8" t="s">
        <v>54</v>
      </c>
      <c r="W261" s="8" t="s">
        <v>54</v>
      </c>
      <c r="X261" s="8" t="s">
        <v>54</v>
      </c>
      <c r="Y261" s="8" t="s">
        <v>54</v>
      </c>
      <c r="Z261" s="8" t="s">
        <v>54</v>
      </c>
      <c r="AA261" s="8" t="s">
        <v>54</v>
      </c>
      <c r="AB261" s="10" t="s">
        <v>67</v>
      </c>
      <c r="AC261" s="8" t="s">
        <v>54</v>
      </c>
      <c r="AD261" s="8" t="s">
        <v>54</v>
      </c>
      <c r="AE261" s="8" t="s">
        <v>54</v>
      </c>
      <c r="AF261" s="8" t="s">
        <v>54</v>
      </c>
      <c r="AG261" s="8" t="s">
        <v>54</v>
      </c>
      <c r="AH261" s="8" t="s">
        <v>54</v>
      </c>
      <c r="AI261" s="10" t="s">
        <v>67</v>
      </c>
      <c r="AJ261" s="8">
        <f>COUNTIF($E$261:$AI$261,"P")</f>
        <v>26</v>
      </c>
      <c r="AK261" s="8">
        <f>COUNTIF($E$261:$AI$261,"A")</f>
        <v>0</v>
      </c>
      <c r="AL261" s="8">
        <f>SUM($E$262:$AI$262)</f>
        <v>41</v>
      </c>
      <c r="AM261" s="8">
        <f>SUM($E$263:$AI$263)</f>
        <v>191.5</v>
      </c>
      <c r="AN261" s="8">
        <f>AL261+AM261</f>
        <v>232</v>
      </c>
      <c r="AO261" s="8">
        <f>COUNTIF($E$261:$AI$261,"CL")</f>
        <v>0</v>
      </c>
      <c r="AP261" s="8">
        <f>COUNTIF($E$261:$AI$261,"SL")</f>
        <v>0</v>
      </c>
      <c r="AQ261" s="8">
        <f>COUNTIF($E$261:$AI$261,"EL")</f>
        <v>0</v>
      </c>
      <c r="AR261" s="8">
        <f>COUNTIF($E$261:$AI$261,"H")</f>
        <v>0</v>
      </c>
      <c r="AS261" s="8"/>
      <c r="AT261" s="11" t="s">
        <v>18</v>
      </c>
    </row>
    <row r="262" spans="1:46" ht="15.1" customHeight="1">
      <c r="A262" s="8"/>
      <c r="B262" s="9"/>
      <c r="C262" s="8"/>
      <c r="D262" s="9"/>
      <c r="E262" s="8">
        <v>2</v>
      </c>
      <c r="F262" s="8">
        <v>2</v>
      </c>
      <c r="G262" s="8">
        <v>0</v>
      </c>
      <c r="H262" s="8">
        <v>2</v>
      </c>
      <c r="I262" s="8">
        <v>2</v>
      </c>
      <c r="J262" s="8">
        <v>2</v>
      </c>
      <c r="K262" s="8">
        <v>2</v>
      </c>
      <c r="L262" s="8">
        <v>2</v>
      </c>
      <c r="M262" s="8">
        <v>2</v>
      </c>
      <c r="N262" s="8">
        <v>0</v>
      </c>
      <c r="O262" s="8">
        <v>2</v>
      </c>
      <c r="P262" s="8">
        <v>2</v>
      </c>
      <c r="Q262" s="8">
        <v>2</v>
      </c>
      <c r="R262" s="8">
        <v>2</v>
      </c>
      <c r="S262" s="8">
        <v>2</v>
      </c>
      <c r="T262" s="8">
        <v>2</v>
      </c>
      <c r="U262" s="8">
        <v>0</v>
      </c>
      <c r="V262" s="8">
        <v>2</v>
      </c>
      <c r="W262" s="8">
        <v>2</v>
      </c>
      <c r="X262" s="8">
        <v>2</v>
      </c>
      <c r="Y262" s="8">
        <v>1</v>
      </c>
      <c r="Z262" s="8">
        <v>0</v>
      </c>
      <c r="AA262" s="8">
        <v>2</v>
      </c>
      <c r="AB262" s="8">
        <v>0</v>
      </c>
      <c r="AC262" s="8">
        <v>0</v>
      </c>
      <c r="AD262" s="8">
        <v>2</v>
      </c>
      <c r="AE262" s="8">
        <v>0</v>
      </c>
      <c r="AF262" s="8">
        <v>0</v>
      </c>
      <c r="AG262" s="8">
        <v>0</v>
      </c>
      <c r="AH262" s="8">
        <v>2</v>
      </c>
      <c r="AI262" s="8">
        <v>0</v>
      </c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11" t="s">
        <v>18</v>
      </c>
    </row>
    <row r="263" spans="1:46" ht="15.1" customHeight="1">
      <c r="A263" s="8"/>
      <c r="B263" s="9"/>
      <c r="C263" s="8"/>
      <c r="D263" s="9"/>
      <c r="E263" s="8">
        <v>9</v>
      </c>
      <c r="F263" s="8">
        <v>3</v>
      </c>
      <c r="G263" s="8">
        <v>15</v>
      </c>
      <c r="H263" s="8">
        <v>8</v>
      </c>
      <c r="I263" s="8">
        <v>9.5</v>
      </c>
      <c r="J263" s="8">
        <v>11</v>
      </c>
      <c r="K263" s="8">
        <v>10</v>
      </c>
      <c r="L263" s="8">
        <v>6</v>
      </c>
      <c r="M263" s="8">
        <v>7</v>
      </c>
      <c r="N263" s="8">
        <v>17.5</v>
      </c>
      <c r="O263" s="8">
        <v>7</v>
      </c>
      <c r="P263" s="8">
        <v>9</v>
      </c>
      <c r="Q263" s="8">
        <v>10</v>
      </c>
      <c r="R263" s="8">
        <v>7</v>
      </c>
      <c r="S263" s="8">
        <v>9</v>
      </c>
      <c r="T263" s="8">
        <v>10</v>
      </c>
      <c r="U263" s="8">
        <v>12</v>
      </c>
      <c r="V263" s="8">
        <v>11</v>
      </c>
      <c r="W263" s="8">
        <v>6</v>
      </c>
      <c r="X263" s="8">
        <v>9</v>
      </c>
      <c r="Y263" s="8">
        <v>0</v>
      </c>
      <c r="Z263" s="8">
        <v>0</v>
      </c>
      <c r="AA263" s="8">
        <v>0.5</v>
      </c>
      <c r="AB263" s="8">
        <v>0</v>
      </c>
      <c r="AC263" s="8">
        <v>0</v>
      </c>
      <c r="AD263" s="8">
        <v>5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11" t="s">
        <v>18</v>
      </c>
    </row>
    <row r="264" spans="1:46" ht="15.1" customHeight="1">
      <c r="A264" s="8">
        <v>87</v>
      </c>
      <c r="B264" s="9" t="s">
        <v>128</v>
      </c>
      <c r="C264" s="8" t="s">
        <v>238</v>
      </c>
      <c r="D264" s="9" t="s">
        <v>207</v>
      </c>
      <c r="E264" s="8" t="s">
        <v>54</v>
      </c>
      <c r="F264" s="8" t="s">
        <v>54</v>
      </c>
      <c r="G264" s="10" t="s">
        <v>67</v>
      </c>
      <c r="H264" s="8" t="s">
        <v>54</v>
      </c>
      <c r="I264" s="8" t="s">
        <v>54</v>
      </c>
      <c r="J264" s="8" t="s">
        <v>54</v>
      </c>
      <c r="K264" s="8" t="s">
        <v>54</v>
      </c>
      <c r="L264" s="8" t="s">
        <v>54</v>
      </c>
      <c r="M264" s="8" t="s">
        <v>54</v>
      </c>
      <c r="N264" s="10" t="s">
        <v>67</v>
      </c>
      <c r="O264" s="8" t="s">
        <v>54</v>
      </c>
      <c r="P264" s="8" t="s">
        <v>54</v>
      </c>
      <c r="Q264" s="8" t="s">
        <v>54</v>
      </c>
      <c r="R264" s="8" t="s">
        <v>54</v>
      </c>
      <c r="S264" s="8" t="s">
        <v>54</v>
      </c>
      <c r="T264" s="8" t="s">
        <v>54</v>
      </c>
      <c r="U264" s="10" t="s">
        <v>67</v>
      </c>
      <c r="V264" s="8" t="s">
        <v>54</v>
      </c>
      <c r="W264" s="8" t="s">
        <v>54</v>
      </c>
      <c r="X264" s="8" t="s">
        <v>54</v>
      </c>
      <c r="Y264" s="8" t="s">
        <v>54</v>
      </c>
      <c r="Z264" s="8" t="s">
        <v>54</v>
      </c>
      <c r="AA264" s="8" t="s">
        <v>54</v>
      </c>
      <c r="AB264" s="10" t="s">
        <v>67</v>
      </c>
      <c r="AC264" s="8" t="s">
        <v>54</v>
      </c>
      <c r="AD264" s="8" t="s">
        <v>54</v>
      </c>
      <c r="AE264" s="8" t="s">
        <v>54</v>
      </c>
      <c r="AF264" s="8" t="s">
        <v>54</v>
      </c>
      <c r="AG264" s="8" t="s">
        <v>54</v>
      </c>
      <c r="AH264" s="12" t="s">
        <v>55</v>
      </c>
      <c r="AI264" s="10" t="s">
        <v>67</v>
      </c>
      <c r="AJ264" s="8">
        <f>COUNTIF($E$264:$AI$264,"P")</f>
        <v>25</v>
      </c>
      <c r="AK264" s="8">
        <f>COUNTIF($E$264:$AI$264,"A")</f>
        <v>1</v>
      </c>
      <c r="AL264" s="8">
        <f>SUM($E$265:$AI$265)</f>
        <v>36</v>
      </c>
      <c r="AM264" s="8">
        <f>SUM($E$266:$AI$266)</f>
        <v>154.5</v>
      </c>
      <c r="AN264" s="8">
        <f>AL264+AM264</f>
        <v>190.5</v>
      </c>
      <c r="AO264" s="8">
        <f>COUNTIF($E$264:$AI$264,"CL")</f>
        <v>0</v>
      </c>
      <c r="AP264" s="8">
        <f>COUNTIF($E$264:$AI$264,"SL")</f>
        <v>0</v>
      </c>
      <c r="AQ264" s="8">
        <f>COUNTIF($E$264:$AI$264,"EL")</f>
        <v>0</v>
      </c>
      <c r="AR264" s="8">
        <f>COUNTIF($E$264:$AI$264,"H")</f>
        <v>0</v>
      </c>
      <c r="AS264" s="8"/>
      <c r="AT264" s="11" t="s">
        <v>18</v>
      </c>
    </row>
    <row r="265" spans="1:46" ht="15.1" customHeight="1">
      <c r="A265" s="8"/>
      <c r="B265" s="9"/>
      <c r="C265" s="8"/>
      <c r="D265" s="9"/>
      <c r="E265" s="8">
        <v>2</v>
      </c>
      <c r="F265" s="8">
        <v>2</v>
      </c>
      <c r="G265" s="8">
        <v>0</v>
      </c>
      <c r="H265" s="8">
        <v>2</v>
      </c>
      <c r="I265" s="8">
        <v>2</v>
      </c>
      <c r="J265" s="8">
        <v>2</v>
      </c>
      <c r="K265" s="8">
        <v>2</v>
      </c>
      <c r="L265" s="8">
        <v>2</v>
      </c>
      <c r="M265" s="8">
        <v>2</v>
      </c>
      <c r="N265" s="8">
        <v>0</v>
      </c>
      <c r="O265" s="8">
        <v>2</v>
      </c>
      <c r="P265" s="8">
        <v>2</v>
      </c>
      <c r="Q265" s="8">
        <v>2</v>
      </c>
      <c r="R265" s="8">
        <v>0</v>
      </c>
      <c r="S265" s="8">
        <v>2</v>
      </c>
      <c r="T265" s="8">
        <v>2</v>
      </c>
      <c r="U265" s="8">
        <v>0</v>
      </c>
      <c r="V265" s="8">
        <v>2</v>
      </c>
      <c r="W265" s="8">
        <v>2</v>
      </c>
      <c r="X265" s="8">
        <v>2</v>
      </c>
      <c r="Y265" s="8">
        <v>0</v>
      </c>
      <c r="Z265" s="8">
        <v>0</v>
      </c>
      <c r="AA265" s="8">
        <v>2</v>
      </c>
      <c r="AB265" s="8">
        <v>0</v>
      </c>
      <c r="AC265" s="8">
        <v>0</v>
      </c>
      <c r="AD265" s="8">
        <v>2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11" t="s">
        <v>18</v>
      </c>
    </row>
    <row r="266" spans="1:46" ht="15.1" customHeight="1">
      <c r="A266" s="8"/>
      <c r="B266" s="9"/>
      <c r="C266" s="8"/>
      <c r="D266" s="9"/>
      <c r="E266" s="8">
        <v>8</v>
      </c>
      <c r="F266" s="8">
        <v>3</v>
      </c>
      <c r="G266" s="8">
        <v>0</v>
      </c>
      <c r="H266" s="8">
        <v>6</v>
      </c>
      <c r="I266" s="8">
        <v>9.5</v>
      </c>
      <c r="J266" s="8">
        <v>8</v>
      </c>
      <c r="K266" s="8">
        <v>10</v>
      </c>
      <c r="L266" s="8">
        <v>7</v>
      </c>
      <c r="M266" s="8">
        <v>7</v>
      </c>
      <c r="N266" s="8">
        <v>17</v>
      </c>
      <c r="O266" s="8">
        <v>7</v>
      </c>
      <c r="P266" s="8">
        <v>9</v>
      </c>
      <c r="Q266" s="8">
        <v>10</v>
      </c>
      <c r="R266" s="8">
        <v>0</v>
      </c>
      <c r="S266" s="8">
        <v>0</v>
      </c>
      <c r="T266" s="8">
        <v>10</v>
      </c>
      <c r="U266" s="8">
        <v>11</v>
      </c>
      <c r="V266" s="8">
        <v>11</v>
      </c>
      <c r="W266" s="8">
        <v>5</v>
      </c>
      <c r="X266" s="8">
        <v>9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7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11" t="s">
        <v>18</v>
      </c>
    </row>
    <row r="267" spans="1:46" ht="15.1" customHeight="1">
      <c r="A267" s="8">
        <v>88</v>
      </c>
      <c r="B267" s="9" t="s">
        <v>239</v>
      </c>
      <c r="C267" s="8" t="s">
        <v>240</v>
      </c>
      <c r="D267" s="9" t="s">
        <v>207</v>
      </c>
      <c r="E267" s="12" t="s">
        <v>55</v>
      </c>
      <c r="F267" s="12" t="s">
        <v>55</v>
      </c>
      <c r="G267" s="10" t="s">
        <v>67</v>
      </c>
      <c r="H267" s="8" t="s">
        <v>54</v>
      </c>
      <c r="I267" s="12" t="s">
        <v>55</v>
      </c>
      <c r="J267" s="8" t="s">
        <v>54</v>
      </c>
      <c r="K267" s="8"/>
      <c r="L267" s="8"/>
      <c r="M267" s="8"/>
      <c r="N267" s="10"/>
      <c r="O267" s="8"/>
      <c r="P267" s="8"/>
      <c r="Q267" s="8"/>
      <c r="R267" s="8"/>
      <c r="S267" s="8"/>
      <c r="T267" s="8"/>
      <c r="U267" s="10"/>
      <c r="V267" s="8"/>
      <c r="W267" s="8"/>
      <c r="X267" s="8"/>
      <c r="Y267" s="8"/>
      <c r="Z267" s="8"/>
      <c r="AA267" s="8"/>
      <c r="AB267" s="10"/>
      <c r="AC267" s="8"/>
      <c r="AD267" s="8"/>
      <c r="AE267" s="8"/>
      <c r="AF267" s="8"/>
      <c r="AG267" s="8"/>
      <c r="AH267" s="8"/>
      <c r="AI267" s="10"/>
      <c r="AJ267" s="8">
        <f>COUNTIF($E$267:$AI$267,"P")</f>
        <v>2</v>
      </c>
      <c r="AK267" s="8">
        <f>COUNTIF($E$267:$AI$267,"A")</f>
        <v>3</v>
      </c>
      <c r="AL267" s="8">
        <f>SUM($E$268:$AI$268)</f>
        <v>2</v>
      </c>
      <c r="AM267" s="8">
        <f>SUM($E$269:$AI$269)</f>
        <v>9</v>
      </c>
      <c r="AN267" s="8">
        <f>AL267+AM267</f>
        <v>11</v>
      </c>
      <c r="AO267" s="8">
        <f>COUNTIF($E$267:$AI$267,"CL")</f>
        <v>0</v>
      </c>
      <c r="AP267" s="8">
        <f>COUNTIF($E$267:$AI$267,"SL")</f>
        <v>0</v>
      </c>
      <c r="AQ267" s="8">
        <f>COUNTIF($E$267:$AI$267,"EL")</f>
        <v>0</v>
      </c>
      <c r="AR267" s="8">
        <f>COUNTIF($E$267:$AI$267,"H")</f>
        <v>0</v>
      </c>
      <c r="AS267" s="8"/>
      <c r="AT267" s="11" t="s">
        <v>18</v>
      </c>
    </row>
    <row r="268" spans="1:46" ht="15.1" customHeight="1">
      <c r="A268" s="8"/>
      <c r="B268" s="9"/>
      <c r="C268" s="8"/>
      <c r="D268" s="9"/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2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11" t="s">
        <v>18</v>
      </c>
    </row>
    <row r="269" spans="1:46" ht="15.1" customHeight="1">
      <c r="A269" s="8"/>
      <c r="B269" s="9"/>
      <c r="C269" s="8"/>
      <c r="D269" s="9"/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9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11" t="s">
        <v>18</v>
      </c>
    </row>
    <row r="270" spans="1:46" ht="15.1" customHeight="1">
      <c r="A270" s="8">
        <v>89</v>
      </c>
      <c r="B270" s="9" t="s">
        <v>241</v>
      </c>
      <c r="C270" s="8" t="s">
        <v>242</v>
      </c>
      <c r="D270" s="9" t="s">
        <v>207</v>
      </c>
      <c r="E270" s="8" t="s">
        <v>54</v>
      </c>
      <c r="F270" s="8" t="s">
        <v>54</v>
      </c>
      <c r="G270" s="10" t="s">
        <v>67</v>
      </c>
      <c r="H270" s="8" t="s">
        <v>54</v>
      </c>
      <c r="I270" s="8" t="s">
        <v>54</v>
      </c>
      <c r="J270" s="8" t="s">
        <v>54</v>
      </c>
      <c r="K270" s="8" t="s">
        <v>54</v>
      </c>
      <c r="L270" s="8" t="s">
        <v>54</v>
      </c>
      <c r="M270" s="8" t="s">
        <v>54</v>
      </c>
      <c r="N270" s="10" t="s">
        <v>67</v>
      </c>
      <c r="O270" s="8" t="s">
        <v>54</v>
      </c>
      <c r="P270" s="8" t="s">
        <v>54</v>
      </c>
      <c r="Q270" s="8" t="s">
        <v>54</v>
      </c>
      <c r="R270" s="8" t="s">
        <v>54</v>
      </c>
      <c r="S270" s="8" t="s">
        <v>54</v>
      </c>
      <c r="T270" s="8" t="s">
        <v>54</v>
      </c>
      <c r="U270" s="10" t="s">
        <v>67</v>
      </c>
      <c r="V270" s="8" t="s">
        <v>54</v>
      </c>
      <c r="W270" s="8" t="s">
        <v>54</v>
      </c>
      <c r="X270" s="8" t="s">
        <v>54</v>
      </c>
      <c r="Y270" s="8" t="s">
        <v>54</v>
      </c>
      <c r="Z270" s="8" t="s">
        <v>54</v>
      </c>
      <c r="AA270" s="8" t="s">
        <v>54</v>
      </c>
      <c r="AB270" s="10" t="s">
        <v>67</v>
      </c>
      <c r="AC270" s="8" t="s">
        <v>54</v>
      </c>
      <c r="AD270" s="8" t="s">
        <v>54</v>
      </c>
      <c r="AE270" s="8" t="s">
        <v>54</v>
      </c>
      <c r="AF270" s="8" t="s">
        <v>54</v>
      </c>
      <c r="AG270" s="8" t="s">
        <v>54</v>
      </c>
      <c r="AH270" s="12" t="s">
        <v>55</v>
      </c>
      <c r="AI270" s="10" t="s">
        <v>67</v>
      </c>
      <c r="AJ270" s="8">
        <f>COUNTIF($E$270:$AI$270,"P")</f>
        <v>25</v>
      </c>
      <c r="AK270" s="8">
        <f>COUNTIF($E$270:$AI$270,"A")</f>
        <v>1</v>
      </c>
      <c r="AL270" s="8">
        <f>SUM($E$271:$AI$271)</f>
        <v>42</v>
      </c>
      <c r="AM270" s="8">
        <f>SUM($E$272:$AI$272)</f>
        <v>194.5</v>
      </c>
      <c r="AN270" s="8">
        <f>AL270+AM270</f>
        <v>236.5</v>
      </c>
      <c r="AO270" s="8">
        <f>COUNTIF($E$270:$AI$270,"CL")</f>
        <v>0</v>
      </c>
      <c r="AP270" s="8">
        <f>COUNTIF($E$270:$AI$270,"SL")</f>
        <v>0</v>
      </c>
      <c r="AQ270" s="8">
        <f>COUNTIF($E$270:$AI$270,"EL")</f>
        <v>0</v>
      </c>
      <c r="AR270" s="8">
        <f>COUNTIF($E$270:$AI$270,"H")</f>
        <v>0</v>
      </c>
      <c r="AS270" s="8"/>
      <c r="AT270" s="11" t="s">
        <v>18</v>
      </c>
    </row>
    <row r="271" spans="1:46" ht="15.1" customHeight="1">
      <c r="A271" s="8"/>
      <c r="B271" s="9"/>
      <c r="C271" s="8"/>
      <c r="D271" s="9"/>
      <c r="E271" s="8">
        <v>2</v>
      </c>
      <c r="F271" s="8">
        <v>2</v>
      </c>
      <c r="G271" s="8">
        <v>0</v>
      </c>
      <c r="H271" s="8">
        <v>2</v>
      </c>
      <c r="I271" s="8">
        <v>2</v>
      </c>
      <c r="J271" s="8">
        <v>2</v>
      </c>
      <c r="K271" s="8">
        <v>2</v>
      </c>
      <c r="L271" s="8">
        <v>2</v>
      </c>
      <c r="M271" s="8">
        <v>2</v>
      </c>
      <c r="N271" s="8">
        <v>0</v>
      </c>
      <c r="O271" s="8">
        <v>2</v>
      </c>
      <c r="P271" s="8">
        <v>2</v>
      </c>
      <c r="Q271" s="8">
        <v>2</v>
      </c>
      <c r="R271" s="8">
        <v>2</v>
      </c>
      <c r="S271" s="8">
        <v>2</v>
      </c>
      <c r="T271" s="8">
        <v>2</v>
      </c>
      <c r="U271" s="8">
        <v>0</v>
      </c>
      <c r="V271" s="8">
        <v>2</v>
      </c>
      <c r="W271" s="8">
        <v>2</v>
      </c>
      <c r="X271" s="8">
        <v>2</v>
      </c>
      <c r="Y271" s="8">
        <v>2</v>
      </c>
      <c r="Z271" s="8">
        <v>2</v>
      </c>
      <c r="AA271" s="8">
        <v>2</v>
      </c>
      <c r="AB271" s="8">
        <v>0</v>
      </c>
      <c r="AC271" s="8">
        <v>0</v>
      </c>
      <c r="AD271" s="8">
        <v>2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11" t="s">
        <v>18</v>
      </c>
    </row>
    <row r="272" spans="1:46" ht="15.1" customHeight="1">
      <c r="A272" s="8"/>
      <c r="B272" s="9"/>
      <c r="C272" s="8"/>
      <c r="D272" s="9"/>
      <c r="E272" s="8">
        <v>9</v>
      </c>
      <c r="F272" s="8">
        <v>6</v>
      </c>
      <c r="G272" s="8">
        <v>15</v>
      </c>
      <c r="H272" s="8">
        <v>9</v>
      </c>
      <c r="I272" s="8">
        <v>9.5</v>
      </c>
      <c r="J272" s="8">
        <v>8</v>
      </c>
      <c r="K272" s="8">
        <v>10</v>
      </c>
      <c r="L272" s="8">
        <v>7.5</v>
      </c>
      <c r="M272" s="8">
        <v>7</v>
      </c>
      <c r="N272" s="8">
        <v>17.5</v>
      </c>
      <c r="O272" s="8">
        <v>7</v>
      </c>
      <c r="P272" s="8">
        <v>9</v>
      </c>
      <c r="Q272" s="8">
        <v>10</v>
      </c>
      <c r="R272" s="8">
        <v>7</v>
      </c>
      <c r="S272" s="8">
        <v>9</v>
      </c>
      <c r="T272" s="8">
        <v>10</v>
      </c>
      <c r="U272" s="8">
        <v>12.5</v>
      </c>
      <c r="V272" s="8">
        <v>11</v>
      </c>
      <c r="W272" s="8">
        <v>9</v>
      </c>
      <c r="X272" s="8">
        <v>3.5</v>
      </c>
      <c r="Y272" s="8">
        <v>0</v>
      </c>
      <c r="Z272" s="8">
        <v>3</v>
      </c>
      <c r="AA272" s="8">
        <v>0</v>
      </c>
      <c r="AB272" s="8">
        <v>0</v>
      </c>
      <c r="AC272" s="8">
        <v>0</v>
      </c>
      <c r="AD272" s="8">
        <v>5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11" t="s">
        <v>18</v>
      </c>
    </row>
  </sheetData>
  <sheetProtection password="EC95" sheet="1" objects="1" scenarios="1" formatColumns="0" formatRows="0" autoFilter="0"/>
  <autoFilter ref="A5:AT272"/>
  <mergeCells count="1249">
    <mergeCell ref="A1:AS1"/>
    <mergeCell ref="A2:AS2"/>
    <mergeCell ref="A3:AS3"/>
    <mergeCell ref="A6:A8"/>
    <mergeCell ref="B6:B8"/>
    <mergeCell ref="C6:C8"/>
    <mergeCell ref="D6:D8"/>
    <mergeCell ref="AJ6:AJ8"/>
    <mergeCell ref="AK6:AK8"/>
    <mergeCell ref="AL6:AL8"/>
    <mergeCell ref="AM6:AM8"/>
    <mergeCell ref="AN6:AN8"/>
    <mergeCell ref="AO6:AO8"/>
    <mergeCell ref="AP6:AP8"/>
    <mergeCell ref="AQ6:AQ8"/>
    <mergeCell ref="AR6:AR8"/>
    <mergeCell ref="AS6:AS8"/>
    <mergeCell ref="A9:A11"/>
    <mergeCell ref="B9:B11"/>
    <mergeCell ref="C9:C11"/>
    <mergeCell ref="D9:D11"/>
    <mergeCell ref="AJ9:AJ11"/>
    <mergeCell ref="AK9:AK11"/>
    <mergeCell ref="AL9:AL11"/>
    <mergeCell ref="AM9:AM11"/>
    <mergeCell ref="AN9:AN11"/>
    <mergeCell ref="AO9:AO11"/>
    <mergeCell ref="AP9:AP11"/>
    <mergeCell ref="AQ9:AQ11"/>
    <mergeCell ref="AR9:AR11"/>
    <mergeCell ref="AS9:AS11"/>
    <mergeCell ref="A12:A14"/>
    <mergeCell ref="B12:B14"/>
    <mergeCell ref="C12:C14"/>
    <mergeCell ref="D12:D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15:A17"/>
    <mergeCell ref="B15:B17"/>
    <mergeCell ref="C15:C17"/>
    <mergeCell ref="D15:D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AR15:AR17"/>
    <mergeCell ref="AS15:AS17"/>
    <mergeCell ref="A18:A20"/>
    <mergeCell ref="B18:B20"/>
    <mergeCell ref="C18:C20"/>
    <mergeCell ref="D18:D20"/>
    <mergeCell ref="AJ18:AJ20"/>
    <mergeCell ref="AK18:AK20"/>
    <mergeCell ref="AL18:AL20"/>
    <mergeCell ref="AM18:AM20"/>
    <mergeCell ref="AN18:AN20"/>
    <mergeCell ref="AO18:AO20"/>
    <mergeCell ref="AP18:AP20"/>
    <mergeCell ref="AQ18:AQ20"/>
    <mergeCell ref="AR18:AR20"/>
    <mergeCell ref="AS18:AS20"/>
    <mergeCell ref="A21:A23"/>
    <mergeCell ref="B21:B23"/>
    <mergeCell ref="C21:C23"/>
    <mergeCell ref="D21:D23"/>
    <mergeCell ref="AJ21:AJ23"/>
    <mergeCell ref="AK21:AK23"/>
    <mergeCell ref="AL21:AL23"/>
    <mergeCell ref="AM21:AM23"/>
    <mergeCell ref="AN21:AN23"/>
    <mergeCell ref="AO21:AO23"/>
    <mergeCell ref="AP21:AP23"/>
    <mergeCell ref="AQ21:AQ23"/>
    <mergeCell ref="AR21:AR23"/>
    <mergeCell ref="AS21:AS23"/>
    <mergeCell ref="A24:A26"/>
    <mergeCell ref="B24:B26"/>
    <mergeCell ref="C24:C26"/>
    <mergeCell ref="D24:D26"/>
    <mergeCell ref="AJ24:AJ26"/>
    <mergeCell ref="AK24:AK26"/>
    <mergeCell ref="AL24:AL26"/>
    <mergeCell ref="AM24:AM26"/>
    <mergeCell ref="AN24:AN26"/>
    <mergeCell ref="AO24:AO26"/>
    <mergeCell ref="AP24:AP26"/>
    <mergeCell ref="AQ24:AQ26"/>
    <mergeCell ref="AR24:AR26"/>
    <mergeCell ref="AS24:AS26"/>
    <mergeCell ref="A27:A29"/>
    <mergeCell ref="B27:B29"/>
    <mergeCell ref="C27:C29"/>
    <mergeCell ref="D27:D29"/>
    <mergeCell ref="AJ27:AJ29"/>
    <mergeCell ref="AK27:AK29"/>
    <mergeCell ref="AL27:AL29"/>
    <mergeCell ref="AM27:AM29"/>
    <mergeCell ref="AN27:AN29"/>
    <mergeCell ref="AO27:AO29"/>
    <mergeCell ref="AP27:AP29"/>
    <mergeCell ref="AQ27:AQ29"/>
    <mergeCell ref="AR27:AR29"/>
    <mergeCell ref="AS27:AS29"/>
    <mergeCell ref="A30:A32"/>
    <mergeCell ref="B30:B32"/>
    <mergeCell ref="C30:C32"/>
    <mergeCell ref="D30:D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33:A35"/>
    <mergeCell ref="B33:B35"/>
    <mergeCell ref="C33:C35"/>
    <mergeCell ref="D33:D35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S33:AS35"/>
    <mergeCell ref="A36:A38"/>
    <mergeCell ref="B36:B38"/>
    <mergeCell ref="C36:C38"/>
    <mergeCell ref="D36:D38"/>
    <mergeCell ref="AJ36:AJ38"/>
    <mergeCell ref="AK36:AK38"/>
    <mergeCell ref="AL36:AL38"/>
    <mergeCell ref="AM36:AM38"/>
    <mergeCell ref="AN36:AN38"/>
    <mergeCell ref="AO36:AO38"/>
    <mergeCell ref="AP36:AP38"/>
    <mergeCell ref="AQ36:AQ38"/>
    <mergeCell ref="AR36:AR38"/>
    <mergeCell ref="AS36:AS38"/>
    <mergeCell ref="A39:A41"/>
    <mergeCell ref="B39:B41"/>
    <mergeCell ref="C39:C41"/>
    <mergeCell ref="D39:D41"/>
    <mergeCell ref="AJ39:AJ41"/>
    <mergeCell ref="AK39:AK41"/>
    <mergeCell ref="AL39:AL41"/>
    <mergeCell ref="AM39:AM41"/>
    <mergeCell ref="AN39:AN41"/>
    <mergeCell ref="AO39:AO41"/>
    <mergeCell ref="AP39:AP41"/>
    <mergeCell ref="AQ39:AQ41"/>
    <mergeCell ref="AR39:AR41"/>
    <mergeCell ref="AS39:AS41"/>
    <mergeCell ref="A42:A44"/>
    <mergeCell ref="B42:B44"/>
    <mergeCell ref="C42:C44"/>
    <mergeCell ref="D42:D44"/>
    <mergeCell ref="AJ42:AJ44"/>
    <mergeCell ref="AK42:AK44"/>
    <mergeCell ref="AL42:AL44"/>
    <mergeCell ref="AM42:AM44"/>
    <mergeCell ref="AN42:AN44"/>
    <mergeCell ref="AO42:AO44"/>
    <mergeCell ref="AP42:AP44"/>
    <mergeCell ref="AQ42:AQ44"/>
    <mergeCell ref="AR42:AR44"/>
    <mergeCell ref="AS42:AS44"/>
    <mergeCell ref="A45:A47"/>
    <mergeCell ref="B45:B47"/>
    <mergeCell ref="C45:C47"/>
    <mergeCell ref="D45:D47"/>
    <mergeCell ref="AJ45:AJ47"/>
    <mergeCell ref="AK45:AK47"/>
    <mergeCell ref="AL45:AL47"/>
    <mergeCell ref="AM45:AM47"/>
    <mergeCell ref="AN45:AN47"/>
    <mergeCell ref="AO45:AO47"/>
    <mergeCell ref="AP45:AP47"/>
    <mergeCell ref="AQ45:AQ47"/>
    <mergeCell ref="AR45:AR47"/>
    <mergeCell ref="AS45:AS47"/>
    <mergeCell ref="A48:A50"/>
    <mergeCell ref="B48:B50"/>
    <mergeCell ref="C48:C50"/>
    <mergeCell ref="D48:D50"/>
    <mergeCell ref="AJ48:AJ50"/>
    <mergeCell ref="AK48:AK50"/>
    <mergeCell ref="AL48:AL50"/>
    <mergeCell ref="AM48:AM50"/>
    <mergeCell ref="AN48:AN50"/>
    <mergeCell ref="AO48:AO50"/>
    <mergeCell ref="AP48:AP50"/>
    <mergeCell ref="AQ48:AQ50"/>
    <mergeCell ref="AR48:AR50"/>
    <mergeCell ref="AS48:AS50"/>
    <mergeCell ref="A51:A53"/>
    <mergeCell ref="B51:B53"/>
    <mergeCell ref="C51:C53"/>
    <mergeCell ref="D51:D53"/>
    <mergeCell ref="AJ51:AJ53"/>
    <mergeCell ref="AK51:AK53"/>
    <mergeCell ref="AL51:AL53"/>
    <mergeCell ref="AM51:AM53"/>
    <mergeCell ref="AN51:AN53"/>
    <mergeCell ref="AO51:AO53"/>
    <mergeCell ref="AP51:AP53"/>
    <mergeCell ref="AQ51:AQ53"/>
    <mergeCell ref="AR51:AR53"/>
    <mergeCell ref="AS51:AS53"/>
    <mergeCell ref="A54:A56"/>
    <mergeCell ref="B54:B56"/>
    <mergeCell ref="C54:C56"/>
    <mergeCell ref="D54:D56"/>
    <mergeCell ref="AJ54:AJ56"/>
    <mergeCell ref="AK54:AK56"/>
    <mergeCell ref="AL54:AL56"/>
    <mergeCell ref="AM54:AM56"/>
    <mergeCell ref="AN54:AN56"/>
    <mergeCell ref="AO54:AO56"/>
    <mergeCell ref="AP54:AP56"/>
    <mergeCell ref="AQ54:AQ56"/>
    <mergeCell ref="AR54:AR56"/>
    <mergeCell ref="AS54:AS56"/>
    <mergeCell ref="A57:A59"/>
    <mergeCell ref="B57:B59"/>
    <mergeCell ref="C57:C59"/>
    <mergeCell ref="D57:D59"/>
    <mergeCell ref="AJ57:AJ59"/>
    <mergeCell ref="AK57:AK59"/>
    <mergeCell ref="AL57:AL59"/>
    <mergeCell ref="AM57:AM59"/>
    <mergeCell ref="AN57:AN59"/>
    <mergeCell ref="AO57:AO59"/>
    <mergeCell ref="AP57:AP59"/>
    <mergeCell ref="AQ57:AQ59"/>
    <mergeCell ref="AR57:AR59"/>
    <mergeCell ref="AS57:AS59"/>
    <mergeCell ref="A60:A62"/>
    <mergeCell ref="B60:B62"/>
    <mergeCell ref="C60:C62"/>
    <mergeCell ref="D60:D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63:A65"/>
    <mergeCell ref="B63:B65"/>
    <mergeCell ref="C63:C65"/>
    <mergeCell ref="D63:D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66:A68"/>
    <mergeCell ref="B66:B68"/>
    <mergeCell ref="C66:C68"/>
    <mergeCell ref="D66:D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69:A71"/>
    <mergeCell ref="B69:B71"/>
    <mergeCell ref="C69:C71"/>
    <mergeCell ref="D69:D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72:A74"/>
    <mergeCell ref="B72:B74"/>
    <mergeCell ref="C72:C74"/>
    <mergeCell ref="D72:D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75:A77"/>
    <mergeCell ref="B75:B77"/>
    <mergeCell ref="C75:C77"/>
    <mergeCell ref="D75:D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78:A80"/>
    <mergeCell ref="B78:B80"/>
    <mergeCell ref="C78:C80"/>
    <mergeCell ref="D78:D80"/>
    <mergeCell ref="AJ78:AJ80"/>
    <mergeCell ref="AK78:AK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81:A83"/>
    <mergeCell ref="B81:B83"/>
    <mergeCell ref="C81:C83"/>
    <mergeCell ref="D81:D83"/>
    <mergeCell ref="AJ81:AJ83"/>
    <mergeCell ref="AK81:AK83"/>
    <mergeCell ref="AL81:AL83"/>
    <mergeCell ref="AM81:AM83"/>
    <mergeCell ref="AN81:AN83"/>
    <mergeCell ref="AO81:AO83"/>
    <mergeCell ref="AP81:AP83"/>
    <mergeCell ref="AQ81:AQ83"/>
    <mergeCell ref="AR81:AR83"/>
    <mergeCell ref="AS81:AS83"/>
    <mergeCell ref="A84:A86"/>
    <mergeCell ref="B84:B86"/>
    <mergeCell ref="C84:C86"/>
    <mergeCell ref="D84:D86"/>
    <mergeCell ref="AJ84:AJ86"/>
    <mergeCell ref="AK84:AK86"/>
    <mergeCell ref="AL84:AL86"/>
    <mergeCell ref="AM84:AM86"/>
    <mergeCell ref="AN84:AN86"/>
    <mergeCell ref="AO84:AO86"/>
    <mergeCell ref="AP84:AP86"/>
    <mergeCell ref="AQ84:AQ86"/>
    <mergeCell ref="AR84:AR86"/>
    <mergeCell ref="AS84:AS86"/>
    <mergeCell ref="A87:A89"/>
    <mergeCell ref="B87:B89"/>
    <mergeCell ref="C87:C89"/>
    <mergeCell ref="D87:D89"/>
    <mergeCell ref="AJ87:AJ89"/>
    <mergeCell ref="AK87:AK89"/>
    <mergeCell ref="AL87:AL89"/>
    <mergeCell ref="AM87:AM89"/>
    <mergeCell ref="AN87:AN89"/>
    <mergeCell ref="AO87:AO89"/>
    <mergeCell ref="AP87:AP89"/>
    <mergeCell ref="AQ87:AQ89"/>
    <mergeCell ref="AR87:AR89"/>
    <mergeCell ref="AS87:AS89"/>
    <mergeCell ref="A90:A92"/>
    <mergeCell ref="B90:B92"/>
    <mergeCell ref="C90:C92"/>
    <mergeCell ref="D90:D92"/>
    <mergeCell ref="AJ90:AJ92"/>
    <mergeCell ref="AK90:AK92"/>
    <mergeCell ref="AL90:AL92"/>
    <mergeCell ref="AM90:AM92"/>
    <mergeCell ref="AN90:AN92"/>
    <mergeCell ref="AO90:AO92"/>
    <mergeCell ref="AP90:AP92"/>
    <mergeCell ref="AQ90:AQ92"/>
    <mergeCell ref="AR90:AR92"/>
    <mergeCell ref="AS90:AS92"/>
    <mergeCell ref="A93:A95"/>
    <mergeCell ref="B93:B95"/>
    <mergeCell ref="C93:C95"/>
    <mergeCell ref="D93:D95"/>
    <mergeCell ref="AJ93:AJ95"/>
    <mergeCell ref="AK93:AK95"/>
    <mergeCell ref="AL93:AL95"/>
    <mergeCell ref="AM93:AM95"/>
    <mergeCell ref="AN93:AN95"/>
    <mergeCell ref="AO93:AO95"/>
    <mergeCell ref="AP93:AP95"/>
    <mergeCell ref="AQ93:AQ95"/>
    <mergeCell ref="AR93:AR95"/>
    <mergeCell ref="AS93:AS95"/>
    <mergeCell ref="A96:A98"/>
    <mergeCell ref="B96:B98"/>
    <mergeCell ref="C96:C98"/>
    <mergeCell ref="D96:D98"/>
    <mergeCell ref="AJ96:AJ98"/>
    <mergeCell ref="AK96:AK98"/>
    <mergeCell ref="AL96:AL98"/>
    <mergeCell ref="AM96:AM98"/>
    <mergeCell ref="AN96:AN98"/>
    <mergeCell ref="AO96:AO98"/>
    <mergeCell ref="AP96:AP98"/>
    <mergeCell ref="AQ96:AQ98"/>
    <mergeCell ref="AR96:AR98"/>
    <mergeCell ref="AS96:AS98"/>
    <mergeCell ref="A99:A101"/>
    <mergeCell ref="B99:B101"/>
    <mergeCell ref="C99:C101"/>
    <mergeCell ref="D99:D101"/>
    <mergeCell ref="AJ99:AJ101"/>
    <mergeCell ref="AK99:AK101"/>
    <mergeCell ref="AL99:AL101"/>
    <mergeCell ref="AM99:AM101"/>
    <mergeCell ref="AN99:AN101"/>
    <mergeCell ref="AO99:AO101"/>
    <mergeCell ref="AP99:AP101"/>
    <mergeCell ref="AQ99:AQ101"/>
    <mergeCell ref="AR99:AR101"/>
    <mergeCell ref="AS99:AS101"/>
    <mergeCell ref="A102:A104"/>
    <mergeCell ref="B102:B104"/>
    <mergeCell ref="C102:C104"/>
    <mergeCell ref="D102:D104"/>
    <mergeCell ref="AJ102:AJ104"/>
    <mergeCell ref="AK102:AK104"/>
    <mergeCell ref="AL102:AL104"/>
    <mergeCell ref="AM102:AM104"/>
    <mergeCell ref="AN102:AN104"/>
    <mergeCell ref="AO102:AO104"/>
    <mergeCell ref="AP102:AP104"/>
    <mergeCell ref="AQ102:AQ104"/>
    <mergeCell ref="AR102:AR104"/>
    <mergeCell ref="AS102:AS104"/>
    <mergeCell ref="A105:A107"/>
    <mergeCell ref="B105:B107"/>
    <mergeCell ref="C105:C107"/>
    <mergeCell ref="D105:D107"/>
    <mergeCell ref="AJ105:AJ107"/>
    <mergeCell ref="AK105:AK107"/>
    <mergeCell ref="AL105:AL107"/>
    <mergeCell ref="AM105:AM107"/>
    <mergeCell ref="AN105:AN107"/>
    <mergeCell ref="AO105:AO107"/>
    <mergeCell ref="AP105:AP107"/>
    <mergeCell ref="AQ105:AQ107"/>
    <mergeCell ref="AR105:AR107"/>
    <mergeCell ref="AS105:AS107"/>
    <mergeCell ref="A108:A110"/>
    <mergeCell ref="B108:B110"/>
    <mergeCell ref="C108:C110"/>
    <mergeCell ref="D108:D110"/>
    <mergeCell ref="AJ108:AJ110"/>
    <mergeCell ref="AK108:AK110"/>
    <mergeCell ref="AL108:AL110"/>
    <mergeCell ref="AM108:AM110"/>
    <mergeCell ref="AN108:AN110"/>
    <mergeCell ref="AO108:AO110"/>
    <mergeCell ref="AP108:AP110"/>
    <mergeCell ref="AQ108:AQ110"/>
    <mergeCell ref="AR108:AR110"/>
    <mergeCell ref="AS108:AS110"/>
    <mergeCell ref="A111:A113"/>
    <mergeCell ref="B111:B113"/>
    <mergeCell ref="C111:C113"/>
    <mergeCell ref="D111:D113"/>
    <mergeCell ref="AJ111:AJ113"/>
    <mergeCell ref="AK111:AK113"/>
    <mergeCell ref="AL111:AL113"/>
    <mergeCell ref="AM111:AM113"/>
    <mergeCell ref="AN111:AN113"/>
    <mergeCell ref="AO111:AO113"/>
    <mergeCell ref="AP111:AP113"/>
    <mergeCell ref="AQ111:AQ113"/>
    <mergeCell ref="AR111:AR113"/>
    <mergeCell ref="AS111:AS113"/>
    <mergeCell ref="A114:A116"/>
    <mergeCell ref="B114:B116"/>
    <mergeCell ref="C114:C116"/>
    <mergeCell ref="D114:D116"/>
    <mergeCell ref="AJ114:AJ116"/>
    <mergeCell ref="AK114:AK116"/>
    <mergeCell ref="AL114:AL116"/>
    <mergeCell ref="AM114:AM116"/>
    <mergeCell ref="AN114:AN116"/>
    <mergeCell ref="AO114:AO116"/>
    <mergeCell ref="AP114:AP116"/>
    <mergeCell ref="AQ114:AQ116"/>
    <mergeCell ref="AR114:AR116"/>
    <mergeCell ref="AS114:AS116"/>
    <mergeCell ref="A117:A119"/>
    <mergeCell ref="B117:B119"/>
    <mergeCell ref="C117:C119"/>
    <mergeCell ref="D117:D119"/>
    <mergeCell ref="AJ117:AJ119"/>
    <mergeCell ref="AK117:AK119"/>
    <mergeCell ref="AL117:AL119"/>
    <mergeCell ref="AM117:AM119"/>
    <mergeCell ref="AN117:AN119"/>
    <mergeCell ref="AO117:AO119"/>
    <mergeCell ref="AP117:AP119"/>
    <mergeCell ref="AQ117:AQ119"/>
    <mergeCell ref="AR117:AR119"/>
    <mergeCell ref="AS117:AS119"/>
    <mergeCell ref="A120:A122"/>
    <mergeCell ref="B120:B122"/>
    <mergeCell ref="C120:C122"/>
    <mergeCell ref="D120:D122"/>
    <mergeCell ref="AJ120:AJ122"/>
    <mergeCell ref="AK120:AK122"/>
    <mergeCell ref="AL120:AL122"/>
    <mergeCell ref="AM120:AM122"/>
    <mergeCell ref="AN120:AN122"/>
    <mergeCell ref="AO120:AO122"/>
    <mergeCell ref="AP120:AP122"/>
    <mergeCell ref="AQ120:AQ122"/>
    <mergeCell ref="AR120:AR122"/>
    <mergeCell ref="AS120:AS122"/>
    <mergeCell ref="A123:A125"/>
    <mergeCell ref="B123:B125"/>
    <mergeCell ref="C123:C125"/>
    <mergeCell ref="D123:D125"/>
    <mergeCell ref="AJ123:AJ125"/>
    <mergeCell ref="AK123:AK125"/>
    <mergeCell ref="AL123:AL125"/>
    <mergeCell ref="AM123:AM125"/>
    <mergeCell ref="AN123:AN125"/>
    <mergeCell ref="AO123:AO125"/>
    <mergeCell ref="AP123:AP125"/>
    <mergeCell ref="AQ123:AQ125"/>
    <mergeCell ref="AR123:AR125"/>
    <mergeCell ref="AS123:AS125"/>
    <mergeCell ref="A126:A128"/>
    <mergeCell ref="B126:B128"/>
    <mergeCell ref="C126:C128"/>
    <mergeCell ref="D126:D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129:A131"/>
    <mergeCell ref="B129:B131"/>
    <mergeCell ref="C129:C131"/>
    <mergeCell ref="D129:D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132:A134"/>
    <mergeCell ref="B132:B134"/>
    <mergeCell ref="C132:C134"/>
    <mergeCell ref="D132:D134"/>
    <mergeCell ref="AJ132:AJ134"/>
    <mergeCell ref="AK132:AK134"/>
    <mergeCell ref="AL132:AL134"/>
    <mergeCell ref="AM132:AM134"/>
    <mergeCell ref="AN132:AN134"/>
    <mergeCell ref="AO132:AO134"/>
    <mergeCell ref="AP132:AP134"/>
    <mergeCell ref="AQ132:AQ134"/>
    <mergeCell ref="AR132:AR134"/>
    <mergeCell ref="AS132:AS134"/>
    <mergeCell ref="A135:A137"/>
    <mergeCell ref="B135:B137"/>
    <mergeCell ref="C135:C137"/>
    <mergeCell ref="D135:D137"/>
    <mergeCell ref="AJ135:AJ137"/>
    <mergeCell ref="AK135:AK137"/>
    <mergeCell ref="AL135:AL137"/>
    <mergeCell ref="AM135:AM137"/>
    <mergeCell ref="AN135:AN137"/>
    <mergeCell ref="AO135:AO137"/>
    <mergeCell ref="AP135:AP137"/>
    <mergeCell ref="AQ135:AQ137"/>
    <mergeCell ref="AR135:AR137"/>
    <mergeCell ref="AS135:AS137"/>
    <mergeCell ref="A138:A140"/>
    <mergeCell ref="B138:B140"/>
    <mergeCell ref="C138:C140"/>
    <mergeCell ref="D138:D140"/>
    <mergeCell ref="AJ138:AJ140"/>
    <mergeCell ref="AK138:AK140"/>
    <mergeCell ref="AL138:AL140"/>
    <mergeCell ref="AM138:AM140"/>
    <mergeCell ref="AN138:AN140"/>
    <mergeCell ref="AO138:AO140"/>
    <mergeCell ref="AP138:AP140"/>
    <mergeCell ref="AQ138:AQ140"/>
    <mergeCell ref="AR138:AR140"/>
    <mergeCell ref="AS138:AS140"/>
    <mergeCell ref="A141:A143"/>
    <mergeCell ref="B141:B143"/>
    <mergeCell ref="C141:C143"/>
    <mergeCell ref="D141:D143"/>
    <mergeCell ref="AJ141:AJ143"/>
    <mergeCell ref="AK141:AK143"/>
    <mergeCell ref="AL141:AL143"/>
    <mergeCell ref="AM141:AM143"/>
    <mergeCell ref="AN141:AN143"/>
    <mergeCell ref="AO141:AO143"/>
    <mergeCell ref="AP141:AP143"/>
    <mergeCell ref="AQ141:AQ143"/>
    <mergeCell ref="AR141:AR143"/>
    <mergeCell ref="AS141:AS143"/>
    <mergeCell ref="A144:A146"/>
    <mergeCell ref="B144:B146"/>
    <mergeCell ref="C144:C146"/>
    <mergeCell ref="D144:D146"/>
    <mergeCell ref="AJ144:AJ146"/>
    <mergeCell ref="AK144:AK146"/>
    <mergeCell ref="AL144:AL146"/>
    <mergeCell ref="AM144:AM146"/>
    <mergeCell ref="AN144:AN146"/>
    <mergeCell ref="AO144:AO146"/>
    <mergeCell ref="AP144:AP146"/>
    <mergeCell ref="AQ144:AQ146"/>
    <mergeCell ref="AR144:AR146"/>
    <mergeCell ref="AS144:AS146"/>
    <mergeCell ref="A147:A149"/>
    <mergeCell ref="B147:B149"/>
    <mergeCell ref="C147:C149"/>
    <mergeCell ref="D147:D149"/>
    <mergeCell ref="AJ147:AJ149"/>
    <mergeCell ref="AK147:AK149"/>
    <mergeCell ref="AL147:AL149"/>
    <mergeCell ref="AM147:AM149"/>
    <mergeCell ref="AN147:AN149"/>
    <mergeCell ref="AO147:AO149"/>
    <mergeCell ref="AP147:AP149"/>
    <mergeCell ref="AQ147:AQ149"/>
    <mergeCell ref="AR147:AR149"/>
    <mergeCell ref="AS147:AS149"/>
    <mergeCell ref="A150:A152"/>
    <mergeCell ref="B150:B152"/>
    <mergeCell ref="C150:C152"/>
    <mergeCell ref="D150:D152"/>
    <mergeCell ref="AJ150:AJ152"/>
    <mergeCell ref="AK150:AK152"/>
    <mergeCell ref="AL150:AL152"/>
    <mergeCell ref="AM150:AM152"/>
    <mergeCell ref="AN150:AN152"/>
    <mergeCell ref="AO150:AO152"/>
    <mergeCell ref="AP150:AP152"/>
    <mergeCell ref="AQ150:AQ152"/>
    <mergeCell ref="AR150:AR152"/>
    <mergeCell ref="AS150:AS152"/>
    <mergeCell ref="A153:A155"/>
    <mergeCell ref="B153:B155"/>
    <mergeCell ref="C153:C155"/>
    <mergeCell ref="D153:D155"/>
    <mergeCell ref="AJ153:AJ155"/>
    <mergeCell ref="AK153:AK155"/>
    <mergeCell ref="AL153:AL155"/>
    <mergeCell ref="AM153:AM155"/>
    <mergeCell ref="AN153:AN155"/>
    <mergeCell ref="AO153:AO155"/>
    <mergeCell ref="AP153:AP155"/>
    <mergeCell ref="AQ153:AQ155"/>
    <mergeCell ref="AR153:AR155"/>
    <mergeCell ref="AS153:AS155"/>
    <mergeCell ref="A156:A158"/>
    <mergeCell ref="B156:B158"/>
    <mergeCell ref="C156:C158"/>
    <mergeCell ref="D156:D158"/>
    <mergeCell ref="AJ156:AJ158"/>
    <mergeCell ref="AK156:AK158"/>
    <mergeCell ref="AL156:AL158"/>
    <mergeCell ref="AM156:AM158"/>
    <mergeCell ref="AN156:AN158"/>
    <mergeCell ref="AO156:AO158"/>
    <mergeCell ref="AP156:AP158"/>
    <mergeCell ref="AQ156:AQ158"/>
    <mergeCell ref="AR156:AR158"/>
    <mergeCell ref="AS156:AS158"/>
    <mergeCell ref="A159:A161"/>
    <mergeCell ref="B159:B161"/>
    <mergeCell ref="C159:C161"/>
    <mergeCell ref="D159:D161"/>
    <mergeCell ref="AJ159:AJ161"/>
    <mergeCell ref="AK159:AK161"/>
    <mergeCell ref="AL159:AL161"/>
    <mergeCell ref="AM159:AM161"/>
    <mergeCell ref="AN159:AN161"/>
    <mergeCell ref="AO159:AO161"/>
    <mergeCell ref="AP159:AP161"/>
    <mergeCell ref="AQ159:AQ161"/>
    <mergeCell ref="AR159:AR161"/>
    <mergeCell ref="AS159:AS161"/>
    <mergeCell ref="A162:A164"/>
    <mergeCell ref="B162:B164"/>
    <mergeCell ref="C162:C164"/>
    <mergeCell ref="D162:D164"/>
    <mergeCell ref="AJ162:AJ164"/>
    <mergeCell ref="AK162:AK164"/>
    <mergeCell ref="AL162:AL164"/>
    <mergeCell ref="AM162:AM164"/>
    <mergeCell ref="AN162:AN164"/>
    <mergeCell ref="AO162:AO164"/>
    <mergeCell ref="AP162:AP164"/>
    <mergeCell ref="AQ162:AQ164"/>
    <mergeCell ref="AR162:AR164"/>
    <mergeCell ref="AS162:AS164"/>
    <mergeCell ref="A165:A167"/>
    <mergeCell ref="B165:B167"/>
    <mergeCell ref="C165:C167"/>
    <mergeCell ref="D165:D167"/>
    <mergeCell ref="AJ165:AJ167"/>
    <mergeCell ref="AK165:AK167"/>
    <mergeCell ref="AL165:AL167"/>
    <mergeCell ref="AM165:AM167"/>
    <mergeCell ref="AN165:AN167"/>
    <mergeCell ref="AO165:AO167"/>
    <mergeCell ref="AP165:AP167"/>
    <mergeCell ref="AQ165:AQ167"/>
    <mergeCell ref="AR165:AR167"/>
    <mergeCell ref="AS165:AS167"/>
    <mergeCell ref="A168:A170"/>
    <mergeCell ref="B168:B170"/>
    <mergeCell ref="C168:C170"/>
    <mergeCell ref="D168:D170"/>
    <mergeCell ref="AJ168:AJ170"/>
    <mergeCell ref="AK168:AK170"/>
    <mergeCell ref="AL168:AL170"/>
    <mergeCell ref="AM168:AM170"/>
    <mergeCell ref="AN168:AN170"/>
    <mergeCell ref="AO168:AO170"/>
    <mergeCell ref="AP168:AP170"/>
    <mergeCell ref="AQ168:AQ170"/>
    <mergeCell ref="AR168:AR170"/>
    <mergeCell ref="AS168:AS170"/>
    <mergeCell ref="A171:A173"/>
    <mergeCell ref="B171:B173"/>
    <mergeCell ref="C171:C173"/>
    <mergeCell ref="D171:D173"/>
    <mergeCell ref="AJ171:AJ173"/>
    <mergeCell ref="AK171:AK173"/>
    <mergeCell ref="AL171:AL173"/>
    <mergeCell ref="AM171:AM173"/>
    <mergeCell ref="AN171:AN173"/>
    <mergeCell ref="AO171:AO173"/>
    <mergeCell ref="AP171:AP173"/>
    <mergeCell ref="AQ171:AQ173"/>
    <mergeCell ref="AR171:AR173"/>
    <mergeCell ref="AS171:AS173"/>
    <mergeCell ref="A174:A176"/>
    <mergeCell ref="B174:B176"/>
    <mergeCell ref="C174:C176"/>
    <mergeCell ref="D174:D176"/>
    <mergeCell ref="AJ174:AJ176"/>
    <mergeCell ref="AK174:AK176"/>
    <mergeCell ref="AL174:AL176"/>
    <mergeCell ref="AM174:AM176"/>
    <mergeCell ref="AN174:AN176"/>
    <mergeCell ref="AO174:AO176"/>
    <mergeCell ref="AP174:AP176"/>
    <mergeCell ref="AQ174:AQ176"/>
    <mergeCell ref="AR174:AR176"/>
    <mergeCell ref="AS174:AS176"/>
    <mergeCell ref="A177:A179"/>
    <mergeCell ref="B177:B179"/>
    <mergeCell ref="C177:C179"/>
    <mergeCell ref="D177:D179"/>
    <mergeCell ref="AJ177:AJ179"/>
    <mergeCell ref="AK177:AK179"/>
    <mergeCell ref="AL177:AL179"/>
    <mergeCell ref="AM177:AM179"/>
    <mergeCell ref="AN177:AN179"/>
    <mergeCell ref="AO177:AO179"/>
    <mergeCell ref="AP177:AP179"/>
    <mergeCell ref="AQ177:AQ179"/>
    <mergeCell ref="AR177:AR179"/>
    <mergeCell ref="AS177:AS179"/>
    <mergeCell ref="A180:A182"/>
    <mergeCell ref="B180:B182"/>
    <mergeCell ref="C180:C182"/>
    <mergeCell ref="D180:D182"/>
    <mergeCell ref="AJ180:AJ182"/>
    <mergeCell ref="AK180:AK182"/>
    <mergeCell ref="AL180:AL182"/>
    <mergeCell ref="AM180:AM182"/>
    <mergeCell ref="AN180:AN182"/>
    <mergeCell ref="AO180:AO182"/>
    <mergeCell ref="AP180:AP182"/>
    <mergeCell ref="AQ180:AQ182"/>
    <mergeCell ref="AR180:AR182"/>
    <mergeCell ref="AS180:AS182"/>
    <mergeCell ref="A183:A185"/>
    <mergeCell ref="B183:B185"/>
    <mergeCell ref="C183:C185"/>
    <mergeCell ref="D183:D185"/>
    <mergeCell ref="AJ183:AJ185"/>
    <mergeCell ref="AK183:AK185"/>
    <mergeCell ref="AL183:AL185"/>
    <mergeCell ref="AM183:AM185"/>
    <mergeCell ref="AN183:AN185"/>
    <mergeCell ref="AO183:AO185"/>
    <mergeCell ref="AP183:AP185"/>
    <mergeCell ref="AQ183:AQ185"/>
    <mergeCell ref="AR183:AR185"/>
    <mergeCell ref="AS183:AS185"/>
    <mergeCell ref="A186:A188"/>
    <mergeCell ref="B186:B188"/>
    <mergeCell ref="C186:C188"/>
    <mergeCell ref="D186:D188"/>
    <mergeCell ref="AJ186:AJ188"/>
    <mergeCell ref="AK186:AK188"/>
    <mergeCell ref="AL186:AL188"/>
    <mergeCell ref="AM186:AM188"/>
    <mergeCell ref="AN186:AN188"/>
    <mergeCell ref="AO186:AO188"/>
    <mergeCell ref="AP186:AP188"/>
    <mergeCell ref="AQ186:AQ188"/>
    <mergeCell ref="AR186:AR188"/>
    <mergeCell ref="AS186:AS188"/>
    <mergeCell ref="A189:A191"/>
    <mergeCell ref="B189:B191"/>
    <mergeCell ref="C189:C191"/>
    <mergeCell ref="D189:D191"/>
    <mergeCell ref="AJ189:AJ191"/>
    <mergeCell ref="AK189:AK191"/>
    <mergeCell ref="AL189:AL191"/>
    <mergeCell ref="AM189:AM191"/>
    <mergeCell ref="AN189:AN191"/>
    <mergeCell ref="AO189:AO191"/>
    <mergeCell ref="AP189:AP191"/>
    <mergeCell ref="AQ189:AQ191"/>
    <mergeCell ref="AR189:AR191"/>
    <mergeCell ref="AS189:AS191"/>
    <mergeCell ref="A192:A194"/>
    <mergeCell ref="B192:B194"/>
    <mergeCell ref="C192:C194"/>
    <mergeCell ref="D192:D194"/>
    <mergeCell ref="AJ192:AJ194"/>
    <mergeCell ref="AK192:AK194"/>
    <mergeCell ref="AL192:AL194"/>
    <mergeCell ref="AM192:AM194"/>
    <mergeCell ref="AN192:AN194"/>
    <mergeCell ref="AO192:AO194"/>
    <mergeCell ref="AP192:AP194"/>
    <mergeCell ref="AQ192:AQ194"/>
    <mergeCell ref="AR192:AR194"/>
    <mergeCell ref="AS192:AS194"/>
    <mergeCell ref="A195:A197"/>
    <mergeCell ref="B195:B197"/>
    <mergeCell ref="C195:C197"/>
    <mergeCell ref="D195:D197"/>
    <mergeCell ref="AJ195:AJ197"/>
    <mergeCell ref="AK195:AK197"/>
    <mergeCell ref="AL195:AL197"/>
    <mergeCell ref="AM195:AM197"/>
    <mergeCell ref="AN195:AN197"/>
    <mergeCell ref="AO195:AO197"/>
    <mergeCell ref="AP195:AP197"/>
    <mergeCell ref="AQ195:AQ197"/>
    <mergeCell ref="AR195:AR197"/>
    <mergeCell ref="AS195:AS197"/>
    <mergeCell ref="A198:A200"/>
    <mergeCell ref="B198:B200"/>
    <mergeCell ref="C198:C200"/>
    <mergeCell ref="D198:D200"/>
    <mergeCell ref="AJ198:AJ200"/>
    <mergeCell ref="AK198:AK200"/>
    <mergeCell ref="AL198:AL200"/>
    <mergeCell ref="AM198:AM200"/>
    <mergeCell ref="AN198:AN200"/>
    <mergeCell ref="AO198:AO200"/>
    <mergeCell ref="AP198:AP200"/>
    <mergeCell ref="AQ198:AQ200"/>
    <mergeCell ref="AR198:AR200"/>
    <mergeCell ref="AS198:AS200"/>
    <mergeCell ref="A201:A203"/>
    <mergeCell ref="B201:B203"/>
    <mergeCell ref="C201:C203"/>
    <mergeCell ref="D201:D203"/>
    <mergeCell ref="AJ201:AJ203"/>
    <mergeCell ref="AK201:AK203"/>
    <mergeCell ref="AL201:AL203"/>
    <mergeCell ref="AM201:AM203"/>
    <mergeCell ref="AN201:AN203"/>
    <mergeCell ref="AO201:AO203"/>
    <mergeCell ref="AP201:AP203"/>
    <mergeCell ref="AQ201:AQ203"/>
    <mergeCell ref="AR201:AR203"/>
    <mergeCell ref="AS201:AS203"/>
    <mergeCell ref="A204:A206"/>
    <mergeCell ref="B204:B206"/>
    <mergeCell ref="C204:C206"/>
    <mergeCell ref="D204:D206"/>
    <mergeCell ref="AJ204:AJ206"/>
    <mergeCell ref="AK204:AK206"/>
    <mergeCell ref="AL204:AL206"/>
    <mergeCell ref="AM204:AM206"/>
    <mergeCell ref="AN204:AN206"/>
    <mergeCell ref="AO204:AO206"/>
    <mergeCell ref="AP204:AP206"/>
    <mergeCell ref="AQ204:AQ206"/>
    <mergeCell ref="AR204:AR206"/>
    <mergeCell ref="AS204:AS206"/>
    <mergeCell ref="A207:A209"/>
    <mergeCell ref="B207:B209"/>
    <mergeCell ref="C207:C209"/>
    <mergeCell ref="D207:D209"/>
    <mergeCell ref="AJ207:AJ209"/>
    <mergeCell ref="AK207:AK209"/>
    <mergeCell ref="AL207:AL209"/>
    <mergeCell ref="AM207:AM209"/>
    <mergeCell ref="AN207:AN209"/>
    <mergeCell ref="AO207:AO209"/>
    <mergeCell ref="AP207:AP209"/>
    <mergeCell ref="AQ207:AQ209"/>
    <mergeCell ref="AR207:AR209"/>
    <mergeCell ref="AS207:AS209"/>
    <mergeCell ref="A210:A212"/>
    <mergeCell ref="B210:B212"/>
    <mergeCell ref="C210:C212"/>
    <mergeCell ref="D210:D212"/>
    <mergeCell ref="AJ210:AJ212"/>
    <mergeCell ref="AK210:AK212"/>
    <mergeCell ref="AL210:AL212"/>
    <mergeCell ref="AM210:AM212"/>
    <mergeCell ref="AN210:AN212"/>
    <mergeCell ref="AO210:AO212"/>
    <mergeCell ref="AP210:AP212"/>
    <mergeCell ref="AQ210:AQ212"/>
    <mergeCell ref="AR210:AR212"/>
    <mergeCell ref="AS210:AS212"/>
    <mergeCell ref="A213:A215"/>
    <mergeCell ref="B213:B215"/>
    <mergeCell ref="C213:C215"/>
    <mergeCell ref="D213:D215"/>
    <mergeCell ref="AJ213:AJ215"/>
    <mergeCell ref="AK213:AK215"/>
    <mergeCell ref="AL213:AL215"/>
    <mergeCell ref="AM213:AM215"/>
    <mergeCell ref="AN213:AN215"/>
    <mergeCell ref="AO213:AO215"/>
    <mergeCell ref="AP213:AP215"/>
    <mergeCell ref="AQ213:AQ215"/>
    <mergeCell ref="AR213:AR215"/>
    <mergeCell ref="AS213:AS215"/>
    <mergeCell ref="A216:A218"/>
    <mergeCell ref="B216:B218"/>
    <mergeCell ref="C216:C218"/>
    <mergeCell ref="D216:D218"/>
    <mergeCell ref="AJ216:AJ218"/>
    <mergeCell ref="AK216:AK218"/>
    <mergeCell ref="AL216:AL218"/>
    <mergeCell ref="AM216:AM218"/>
    <mergeCell ref="AN216:AN218"/>
    <mergeCell ref="AO216:AO218"/>
    <mergeCell ref="AP216:AP218"/>
    <mergeCell ref="AQ216:AQ218"/>
    <mergeCell ref="AR216:AR218"/>
    <mergeCell ref="AS216:AS218"/>
    <mergeCell ref="A219:A221"/>
    <mergeCell ref="B219:B221"/>
    <mergeCell ref="C219:C221"/>
    <mergeCell ref="D219:D221"/>
    <mergeCell ref="AJ219:AJ221"/>
    <mergeCell ref="AK219:AK221"/>
    <mergeCell ref="AL219:AL221"/>
    <mergeCell ref="AM219:AM221"/>
    <mergeCell ref="AN219:AN221"/>
    <mergeCell ref="AO219:AO221"/>
    <mergeCell ref="AP219:AP221"/>
    <mergeCell ref="AQ219:AQ221"/>
    <mergeCell ref="AR219:AR221"/>
    <mergeCell ref="AS219:AS221"/>
    <mergeCell ref="A222:A224"/>
    <mergeCell ref="B222:B224"/>
    <mergeCell ref="C222:C224"/>
    <mergeCell ref="D222:D224"/>
    <mergeCell ref="AJ222:AJ224"/>
    <mergeCell ref="AK222:AK224"/>
    <mergeCell ref="AL222:AL224"/>
    <mergeCell ref="AM222:AM224"/>
    <mergeCell ref="AN222:AN224"/>
    <mergeCell ref="AO222:AO224"/>
    <mergeCell ref="AP222:AP224"/>
    <mergeCell ref="AQ222:AQ224"/>
    <mergeCell ref="AR222:AR224"/>
    <mergeCell ref="AS222:AS224"/>
    <mergeCell ref="A225:A227"/>
    <mergeCell ref="B225:B227"/>
    <mergeCell ref="C225:C227"/>
    <mergeCell ref="D225:D227"/>
    <mergeCell ref="AJ225:AJ227"/>
    <mergeCell ref="AK225:AK227"/>
    <mergeCell ref="AL225:AL227"/>
    <mergeCell ref="AM225:AM227"/>
    <mergeCell ref="AN225:AN227"/>
    <mergeCell ref="AO225:AO227"/>
    <mergeCell ref="AP225:AP227"/>
    <mergeCell ref="AQ225:AQ227"/>
    <mergeCell ref="AR225:AR227"/>
    <mergeCell ref="AS225:AS227"/>
    <mergeCell ref="A228:A230"/>
    <mergeCell ref="B228:B230"/>
    <mergeCell ref="C228:C230"/>
    <mergeCell ref="D228:D230"/>
    <mergeCell ref="AJ228:AJ230"/>
    <mergeCell ref="AK228:AK230"/>
    <mergeCell ref="AL228:AL230"/>
    <mergeCell ref="AM228:AM230"/>
    <mergeCell ref="AN228:AN230"/>
    <mergeCell ref="AO228:AO230"/>
    <mergeCell ref="AP228:AP230"/>
    <mergeCell ref="AQ228:AQ230"/>
    <mergeCell ref="AR228:AR230"/>
    <mergeCell ref="AS228:AS230"/>
    <mergeCell ref="A231:A233"/>
    <mergeCell ref="B231:B233"/>
    <mergeCell ref="C231:C233"/>
    <mergeCell ref="D231:D233"/>
    <mergeCell ref="AJ231:AJ233"/>
    <mergeCell ref="AK231:AK233"/>
    <mergeCell ref="AL231:AL233"/>
    <mergeCell ref="AM231:AM233"/>
    <mergeCell ref="AN231:AN233"/>
    <mergeCell ref="AO231:AO233"/>
    <mergeCell ref="AP231:AP233"/>
    <mergeCell ref="AQ231:AQ233"/>
    <mergeCell ref="AR231:AR233"/>
    <mergeCell ref="AS231:AS233"/>
    <mergeCell ref="A234:A236"/>
    <mergeCell ref="B234:B236"/>
    <mergeCell ref="C234:C236"/>
    <mergeCell ref="D234:D236"/>
    <mergeCell ref="AJ234:AJ236"/>
    <mergeCell ref="AK234:AK236"/>
    <mergeCell ref="AL234:AL236"/>
    <mergeCell ref="AM234:AM236"/>
    <mergeCell ref="AN234:AN236"/>
    <mergeCell ref="AO234:AO236"/>
    <mergeCell ref="AP234:AP236"/>
    <mergeCell ref="AQ234:AQ236"/>
    <mergeCell ref="AR234:AR236"/>
    <mergeCell ref="AS234:AS236"/>
    <mergeCell ref="A237:A239"/>
    <mergeCell ref="B237:B239"/>
    <mergeCell ref="C237:C239"/>
    <mergeCell ref="D237:D239"/>
    <mergeCell ref="AJ237:AJ239"/>
    <mergeCell ref="AK237:AK239"/>
    <mergeCell ref="AL237:AL239"/>
    <mergeCell ref="AM237:AM239"/>
    <mergeCell ref="AN237:AN239"/>
    <mergeCell ref="AO237:AO239"/>
    <mergeCell ref="AP237:AP239"/>
    <mergeCell ref="AQ237:AQ239"/>
    <mergeCell ref="AR237:AR239"/>
    <mergeCell ref="AS237:AS239"/>
    <mergeCell ref="A240:A242"/>
    <mergeCell ref="B240:B242"/>
    <mergeCell ref="C240:C242"/>
    <mergeCell ref="D240:D242"/>
    <mergeCell ref="AJ240:AJ242"/>
    <mergeCell ref="AK240:AK242"/>
    <mergeCell ref="AL240:AL242"/>
    <mergeCell ref="AM240:AM242"/>
    <mergeCell ref="AN240:AN242"/>
    <mergeCell ref="AO240:AO242"/>
    <mergeCell ref="AP240:AP242"/>
    <mergeCell ref="AQ240:AQ242"/>
    <mergeCell ref="AR240:AR242"/>
    <mergeCell ref="AS240:AS242"/>
    <mergeCell ref="A243:A245"/>
    <mergeCell ref="B243:B245"/>
    <mergeCell ref="C243:C245"/>
    <mergeCell ref="D243:D245"/>
    <mergeCell ref="AJ243:AJ245"/>
    <mergeCell ref="AK243:AK245"/>
    <mergeCell ref="AL243:AL245"/>
    <mergeCell ref="AM243:AM245"/>
    <mergeCell ref="AN243:AN245"/>
    <mergeCell ref="AO243:AO245"/>
    <mergeCell ref="AP243:AP245"/>
    <mergeCell ref="AQ243:AQ245"/>
    <mergeCell ref="AR243:AR245"/>
    <mergeCell ref="AS243:AS245"/>
    <mergeCell ref="A246:A248"/>
    <mergeCell ref="B246:B248"/>
    <mergeCell ref="C246:C248"/>
    <mergeCell ref="D246:D248"/>
    <mergeCell ref="AJ246:AJ248"/>
    <mergeCell ref="AK246:AK248"/>
    <mergeCell ref="AL246:AL248"/>
    <mergeCell ref="AM246:AM248"/>
    <mergeCell ref="AN246:AN248"/>
    <mergeCell ref="AO246:AO248"/>
    <mergeCell ref="AP246:AP248"/>
    <mergeCell ref="AQ246:AQ248"/>
    <mergeCell ref="AR246:AR248"/>
    <mergeCell ref="AS246:AS248"/>
    <mergeCell ref="A249:A251"/>
    <mergeCell ref="B249:B251"/>
    <mergeCell ref="C249:C251"/>
    <mergeCell ref="D249:D251"/>
    <mergeCell ref="AJ249:AJ251"/>
    <mergeCell ref="AK249:AK251"/>
    <mergeCell ref="AL249:AL251"/>
    <mergeCell ref="AM249:AM251"/>
    <mergeCell ref="AN249:AN251"/>
    <mergeCell ref="AO249:AO251"/>
    <mergeCell ref="AP249:AP251"/>
    <mergeCell ref="AQ249:AQ251"/>
    <mergeCell ref="AR249:AR251"/>
    <mergeCell ref="AS249:AS251"/>
    <mergeCell ref="A252:A254"/>
    <mergeCell ref="B252:B254"/>
    <mergeCell ref="C252:C254"/>
    <mergeCell ref="D252:D254"/>
    <mergeCell ref="AJ252:AJ254"/>
    <mergeCell ref="AK252:AK254"/>
    <mergeCell ref="AL252:AL254"/>
    <mergeCell ref="AM252:AM254"/>
    <mergeCell ref="AN252:AN254"/>
    <mergeCell ref="AO252:AO254"/>
    <mergeCell ref="AP252:AP254"/>
    <mergeCell ref="AQ252:AQ254"/>
    <mergeCell ref="AR252:AR254"/>
    <mergeCell ref="AS252:AS254"/>
    <mergeCell ref="A255:A257"/>
    <mergeCell ref="B255:B257"/>
    <mergeCell ref="C255:C257"/>
    <mergeCell ref="D255:D257"/>
    <mergeCell ref="AJ255:AJ257"/>
    <mergeCell ref="AK255:AK257"/>
    <mergeCell ref="AL255:AL257"/>
    <mergeCell ref="AM255:AM257"/>
    <mergeCell ref="AN255:AN257"/>
    <mergeCell ref="AO255:AO257"/>
    <mergeCell ref="AP255:AP257"/>
    <mergeCell ref="AQ255:AQ257"/>
    <mergeCell ref="AR255:AR257"/>
    <mergeCell ref="AS255:AS257"/>
    <mergeCell ref="A258:A260"/>
    <mergeCell ref="B258:B260"/>
    <mergeCell ref="C258:C260"/>
    <mergeCell ref="D258:D260"/>
    <mergeCell ref="AJ258:AJ260"/>
    <mergeCell ref="AK258:AK260"/>
    <mergeCell ref="AL258:AL260"/>
    <mergeCell ref="AM258:AM260"/>
    <mergeCell ref="AN258:AN260"/>
    <mergeCell ref="AO258:AO260"/>
    <mergeCell ref="AP258:AP260"/>
    <mergeCell ref="AQ258:AQ260"/>
    <mergeCell ref="AR258:AR260"/>
    <mergeCell ref="AS258:AS260"/>
    <mergeCell ref="A261:A263"/>
    <mergeCell ref="B261:B263"/>
    <mergeCell ref="C261:C263"/>
    <mergeCell ref="D261:D263"/>
    <mergeCell ref="AJ261:AJ263"/>
    <mergeCell ref="AK261:AK263"/>
    <mergeCell ref="AL261:AL263"/>
    <mergeCell ref="AM261:AM263"/>
    <mergeCell ref="AN261:AN263"/>
    <mergeCell ref="AO261:AO263"/>
    <mergeCell ref="AP261:AP263"/>
    <mergeCell ref="AQ261:AQ263"/>
    <mergeCell ref="AR261:AR263"/>
    <mergeCell ref="AS261:AS263"/>
    <mergeCell ref="A264:A266"/>
    <mergeCell ref="B264:B266"/>
    <mergeCell ref="C264:C266"/>
    <mergeCell ref="D264:D266"/>
    <mergeCell ref="AJ264:AJ266"/>
    <mergeCell ref="AK264:AK266"/>
    <mergeCell ref="AL264:AL266"/>
    <mergeCell ref="AM264:AM266"/>
    <mergeCell ref="AN264:AN266"/>
    <mergeCell ref="AO264:AO266"/>
    <mergeCell ref="AP264:AP266"/>
    <mergeCell ref="AQ264:AQ266"/>
    <mergeCell ref="AR264:AR266"/>
    <mergeCell ref="AS264:AS266"/>
    <mergeCell ref="A267:A269"/>
    <mergeCell ref="B267:B269"/>
    <mergeCell ref="C267:C269"/>
    <mergeCell ref="D267:D269"/>
    <mergeCell ref="AJ267:AJ269"/>
    <mergeCell ref="AK267:AK269"/>
    <mergeCell ref="AL267:AL269"/>
    <mergeCell ref="AM267:AM269"/>
    <mergeCell ref="AN267:AN269"/>
    <mergeCell ref="AO267:AO269"/>
    <mergeCell ref="AP267:AP269"/>
    <mergeCell ref="AQ267:AQ269"/>
    <mergeCell ref="AR267:AR269"/>
    <mergeCell ref="AS267:AS269"/>
    <mergeCell ref="A270:A272"/>
    <mergeCell ref="B270:B272"/>
    <mergeCell ref="C270:C272"/>
    <mergeCell ref="D270:D272"/>
    <mergeCell ref="AJ270:AJ272"/>
    <mergeCell ref="AK270:AK272"/>
    <mergeCell ref="AL270:AL272"/>
    <mergeCell ref="AM270:AM272"/>
    <mergeCell ref="AN270:AN272"/>
    <mergeCell ref="AO270:AO272"/>
    <mergeCell ref="AP270:AP272"/>
    <mergeCell ref="AQ270:AQ272"/>
    <mergeCell ref="AR270:AR272"/>
    <mergeCell ref="AS270:AS272"/>
  </mergeCells>
  <dataValidations count="1">
    <dataValidation type="list" allowBlank="1" showInputMessage="1" showErrorMessage="1" promptTitle="Sub Section" prompt="Pick one subsection (automatic filtering uses the macro file). For several, use the check boxes in the SubSection Filter column; the label will show them joined with +." sqref="A4">
      <formula1>$AW$2:$AW$16</formula1>
    </dataValidation>
  </dataValidations>
  <printOptions horizontalCentered="1"/>
  <pageMargins left="0.25" right="0.25" top="0.25" bottom="0.75" header="0.3" footer="0.35"/>
  <pageSetup paperSize="9" fitToHeight="0" pageOrder="overThenDown" orientation="landscape"/>
  <headerFooter>
    <oddFooter>&amp;L&amp;9Prepared by: ______________________&amp;C&amp;9Checked by: ______________________&amp;R&amp;9Approved by: ______________________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2792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20.7109375" customWidth="1"/>
    <col min="3" max="3" width="8.85546875" customWidth="1"/>
    <col min="4" max="4" width="14.7109375" hidden="1" customWidth="1"/>
    <col min="5" max="35" width="2.5703125" customWidth="1"/>
    <col min="36" max="37" width="3.5703125" customWidth="1"/>
    <col min="38" max="38" width="3.85546875" customWidth="1"/>
    <col min="39" max="40" width="5.28515625" customWidth="1"/>
    <col min="41" max="44" width="3.5703125" customWidth="1"/>
    <col min="45" max="45" width="8.7109375" customWidth="1"/>
    <col min="46" max="46" width="15.7109375" customWidth="1"/>
    <col min="47" max="50" width="9.140625" hidden="1"/>
  </cols>
  <sheetData>
    <row r="1" spans="1:50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W1" s="2" t="s">
        <v>3</v>
      </c>
    </row>
    <row r="2" spans="1:50" ht="17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W2" t="s">
        <v>4</v>
      </c>
      <c r="AX2" t="s">
        <v>2088</v>
      </c>
    </row>
    <row r="3" spans="1:50" ht="17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W3" t="s">
        <v>5</v>
      </c>
    </row>
    <row r="4" spans="1:50" ht="42" customHeight="1">
      <c r="A4" s="5">
        <f>"Sub Section: "&amp;IF(AND(SUBTOTAL(103,$A$6:$A$2792)&lt;COUNTA($A$6:$A$2792),_xlfn.TEXTJOIN(" + ",TRUE,AV6:AV38)&lt;&gt;""),_xlfn.TEXTJOIN(" + ",TRUE,AV6:AV38),"All")</f>
        <v>0</v>
      </c>
      <c r="AW4" t="s">
        <v>6</v>
      </c>
    </row>
    <row r="5" spans="1:50" ht="32" customHeight="1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7" t="s">
        <v>25</v>
      </c>
      <c r="H5" s="6" t="s">
        <v>26</v>
      </c>
      <c r="I5" s="6" t="s">
        <v>27</v>
      </c>
      <c r="J5" s="6" t="s">
        <v>28</v>
      </c>
      <c r="K5" s="6" t="s">
        <v>29</v>
      </c>
      <c r="L5" s="6" t="s">
        <v>30</v>
      </c>
      <c r="M5" s="6" t="s">
        <v>31</v>
      </c>
      <c r="N5" s="7" t="s">
        <v>32</v>
      </c>
      <c r="O5" s="6" t="s">
        <v>33</v>
      </c>
      <c r="P5" s="6" t="s">
        <v>34</v>
      </c>
      <c r="Q5" s="6" t="s">
        <v>35</v>
      </c>
      <c r="R5" s="6" t="s">
        <v>36</v>
      </c>
      <c r="S5" s="6" t="s">
        <v>37</v>
      </c>
      <c r="T5" s="6" t="s">
        <v>38</v>
      </c>
      <c r="U5" s="7" t="s">
        <v>39</v>
      </c>
      <c r="V5" s="6" t="s">
        <v>40</v>
      </c>
      <c r="W5" s="6" t="s">
        <v>41</v>
      </c>
      <c r="X5" s="6" t="s">
        <v>42</v>
      </c>
      <c r="Y5" s="6" t="s">
        <v>43</v>
      </c>
      <c r="Z5" s="6" t="s">
        <v>44</v>
      </c>
      <c r="AA5" s="6" t="s">
        <v>45</v>
      </c>
      <c r="AB5" s="7" t="s">
        <v>46</v>
      </c>
      <c r="AC5" s="6" t="s">
        <v>47</v>
      </c>
      <c r="AD5" s="6" t="s">
        <v>48</v>
      </c>
      <c r="AE5" s="6" t="s">
        <v>49</v>
      </c>
      <c r="AF5" s="6" t="s">
        <v>50</v>
      </c>
      <c r="AG5" s="6" t="s">
        <v>51</v>
      </c>
      <c r="AH5" s="6" t="s">
        <v>52</v>
      </c>
      <c r="AI5" s="7" t="s">
        <v>53</v>
      </c>
      <c r="AJ5" s="6" t="s">
        <v>54</v>
      </c>
      <c r="AK5" s="6" t="s">
        <v>55</v>
      </c>
      <c r="AL5" s="6" t="s">
        <v>56</v>
      </c>
      <c r="AM5" s="6" t="s">
        <v>57</v>
      </c>
      <c r="AN5" s="6" t="s">
        <v>58</v>
      </c>
      <c r="AO5" s="6" t="s">
        <v>59</v>
      </c>
      <c r="AP5" s="6" t="s">
        <v>19</v>
      </c>
      <c r="AQ5" s="6" t="s">
        <v>60</v>
      </c>
      <c r="AR5" s="6" t="s">
        <v>61</v>
      </c>
      <c r="AS5" s="6" t="s">
        <v>62</v>
      </c>
      <c r="AT5" s="6" t="s">
        <v>63</v>
      </c>
      <c r="AW5" t="s">
        <v>7</v>
      </c>
    </row>
    <row r="6" spans="1:50" ht="15.1" customHeight="1">
      <c r="A6" s="8">
        <v>1</v>
      </c>
      <c r="B6" s="9" t="s">
        <v>264</v>
      </c>
      <c r="C6" s="8" t="s">
        <v>265</v>
      </c>
      <c r="D6" s="9" t="s">
        <v>266</v>
      </c>
      <c r="E6" s="12" t="s">
        <v>55</v>
      </c>
      <c r="F6" s="8" t="s">
        <v>54</v>
      </c>
      <c r="G6" s="10" t="s">
        <v>67</v>
      </c>
      <c r="H6" s="8" t="s">
        <v>54</v>
      </c>
      <c r="I6" s="8" t="s">
        <v>54</v>
      </c>
      <c r="J6" s="8" t="s">
        <v>54</v>
      </c>
      <c r="K6" s="8" t="s">
        <v>54</v>
      </c>
      <c r="L6" s="8" t="s">
        <v>54</v>
      </c>
      <c r="M6" s="8" t="s">
        <v>54</v>
      </c>
      <c r="N6" s="10" t="s">
        <v>67</v>
      </c>
      <c r="O6" s="8" t="s">
        <v>54</v>
      </c>
      <c r="P6" s="8" t="s">
        <v>54</v>
      </c>
      <c r="Q6" s="8" t="s">
        <v>54</v>
      </c>
      <c r="R6" s="8" t="s">
        <v>54</v>
      </c>
      <c r="S6" s="8" t="s">
        <v>54</v>
      </c>
      <c r="T6" s="8" t="s">
        <v>54</v>
      </c>
      <c r="U6" s="10" t="s">
        <v>67</v>
      </c>
      <c r="V6" s="8" t="s">
        <v>54</v>
      </c>
      <c r="W6" s="8" t="s">
        <v>54</v>
      </c>
      <c r="X6" s="8" t="s">
        <v>54</v>
      </c>
      <c r="Y6" s="8" t="s">
        <v>54</v>
      </c>
      <c r="Z6" s="8" t="s">
        <v>54</v>
      </c>
      <c r="AA6" s="8" t="s">
        <v>54</v>
      </c>
      <c r="AB6" s="10" t="s">
        <v>67</v>
      </c>
      <c r="AC6" s="8" t="s">
        <v>54</v>
      </c>
      <c r="AD6" s="8" t="s">
        <v>54</v>
      </c>
      <c r="AE6" s="8" t="s">
        <v>54</v>
      </c>
      <c r="AF6" s="8" t="s">
        <v>54</v>
      </c>
      <c r="AG6" s="8" t="s">
        <v>54</v>
      </c>
      <c r="AH6" s="8" t="s">
        <v>54</v>
      </c>
      <c r="AI6" s="10" t="s">
        <v>67</v>
      </c>
      <c r="AJ6" s="8">
        <f>COUNTIF($E$6:$AI$6,"P")</f>
        <v>25</v>
      </c>
      <c r="AK6" s="8">
        <f>COUNTIF($E$6:$AI$6,"A")</f>
        <v>1</v>
      </c>
      <c r="AL6" s="8">
        <f>SUM($E$7:$AI$7)</f>
        <v>36</v>
      </c>
      <c r="AM6" s="8">
        <f>SUM($E$8:$AI$8)</f>
        <v>114.5</v>
      </c>
      <c r="AN6" s="8">
        <f>AL6+AM6</f>
        <v>150.5</v>
      </c>
      <c r="AO6" s="8">
        <f>COUNTIF($E$6:$AI$6,"CL")</f>
        <v>0</v>
      </c>
      <c r="AP6" s="8">
        <f>COUNTIF($E$6:$AI$6,"SL")</f>
        <v>0</v>
      </c>
      <c r="AQ6" s="8">
        <f>COUNTIF($E$6:$AI$6,"EL")</f>
        <v>0</v>
      </c>
      <c r="AR6" s="8">
        <f>COUNTIF($E$6:$AI$6,"H")</f>
        <v>0</v>
      </c>
      <c r="AS6" s="8"/>
      <c r="AT6" s="11" t="s">
        <v>5</v>
      </c>
      <c r="AU6" t="s">
        <v>5</v>
      </c>
      <c r="AV6">
        <f>IF(SUMPRODUCT(SUBTOTAL(103,OFFSET($A$6,ROW($A$6:$A$2792)-ROW($A$6),0)),--($AT$6:$AT$2792=$AU$6))&gt;0,$AU$6,"")</f>
        <v>0</v>
      </c>
      <c r="AW6" t="s">
        <v>8</v>
      </c>
    </row>
    <row r="7" spans="1:50" ht="15.1" customHeight="1">
      <c r="A7" s="8"/>
      <c r="B7" s="9"/>
      <c r="C7" s="8"/>
      <c r="D7" s="9"/>
      <c r="E7" s="8">
        <v>0</v>
      </c>
      <c r="F7" s="8">
        <v>2</v>
      </c>
      <c r="G7" s="8">
        <v>0</v>
      </c>
      <c r="H7" s="8">
        <v>2</v>
      </c>
      <c r="I7" s="8">
        <v>2</v>
      </c>
      <c r="J7" s="8">
        <v>2</v>
      </c>
      <c r="K7" s="8">
        <v>2</v>
      </c>
      <c r="L7" s="8">
        <v>2</v>
      </c>
      <c r="M7" s="8">
        <v>2</v>
      </c>
      <c r="N7" s="8">
        <v>0</v>
      </c>
      <c r="O7" s="8">
        <v>2</v>
      </c>
      <c r="P7" s="8">
        <v>2</v>
      </c>
      <c r="Q7" s="8">
        <v>2</v>
      </c>
      <c r="R7" s="8">
        <v>2</v>
      </c>
      <c r="S7" s="8">
        <v>2</v>
      </c>
      <c r="T7" s="8">
        <v>2</v>
      </c>
      <c r="U7" s="8">
        <v>0</v>
      </c>
      <c r="V7" s="8">
        <v>2</v>
      </c>
      <c r="W7" s="8">
        <v>2</v>
      </c>
      <c r="X7" s="8">
        <v>2</v>
      </c>
      <c r="Y7" s="8">
        <v>0</v>
      </c>
      <c r="Z7" s="8">
        <v>0</v>
      </c>
      <c r="AA7" s="8">
        <v>0</v>
      </c>
      <c r="AB7" s="8">
        <v>0</v>
      </c>
      <c r="AC7" s="8">
        <v>2</v>
      </c>
      <c r="AD7" s="8">
        <v>2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11" t="s">
        <v>5</v>
      </c>
      <c r="AU7" t="s">
        <v>6</v>
      </c>
      <c r="AV7">
        <f>IF(SUMPRODUCT(SUBTOTAL(103,OFFSET($A$6,ROW($A$6:$A$2792)-ROW($A$6),0)),--($AT$6:$AT$2792=$AU$7))&gt;0,$AU$7,"")</f>
        <v>0</v>
      </c>
      <c r="AW7" t="s">
        <v>10</v>
      </c>
    </row>
    <row r="8" spans="1:50" ht="15.1" customHeight="1">
      <c r="A8" s="8"/>
      <c r="B8" s="9"/>
      <c r="C8" s="8"/>
      <c r="D8" s="9"/>
      <c r="E8" s="8">
        <v>0</v>
      </c>
      <c r="F8" s="8">
        <v>2</v>
      </c>
      <c r="G8" s="8">
        <v>13.5</v>
      </c>
      <c r="H8" s="8">
        <v>4</v>
      </c>
      <c r="I8" s="8">
        <v>6</v>
      </c>
      <c r="J8" s="8">
        <v>5</v>
      </c>
      <c r="K8" s="8">
        <v>7</v>
      </c>
      <c r="L8" s="8">
        <v>5</v>
      </c>
      <c r="M8" s="8">
        <v>4</v>
      </c>
      <c r="N8" s="8">
        <v>16.5</v>
      </c>
      <c r="O8" s="8">
        <v>7</v>
      </c>
      <c r="P8" s="8">
        <v>7</v>
      </c>
      <c r="Q8" s="8">
        <v>5</v>
      </c>
      <c r="R8" s="8">
        <v>5</v>
      </c>
      <c r="S8" s="8">
        <v>3</v>
      </c>
      <c r="T8" s="8">
        <v>3</v>
      </c>
      <c r="U8" s="8">
        <v>12.5</v>
      </c>
      <c r="V8" s="8">
        <v>0</v>
      </c>
      <c r="W8" s="8">
        <v>6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3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11" t="s">
        <v>5</v>
      </c>
      <c r="AU8" t="s">
        <v>7</v>
      </c>
      <c r="AV8">
        <f>IF(SUMPRODUCT(SUBTOTAL(103,OFFSET($A$6,ROW($A$6:$A$2792)-ROW($A$6),0)),--($AT$6:$AT$2792=$AU$8))&gt;0,$AU$8,"")</f>
        <v>0</v>
      </c>
      <c r="AW8" t="s">
        <v>11</v>
      </c>
    </row>
    <row r="9" spans="1:50" ht="15.1" customHeight="1">
      <c r="A9" s="8">
        <v>2</v>
      </c>
      <c r="B9" s="9" t="s">
        <v>267</v>
      </c>
      <c r="C9" s="8" t="s">
        <v>268</v>
      </c>
      <c r="D9" s="9" t="s">
        <v>266</v>
      </c>
      <c r="E9" s="8" t="s">
        <v>54</v>
      </c>
      <c r="F9" s="8" t="s">
        <v>54</v>
      </c>
      <c r="G9" s="10" t="s">
        <v>67</v>
      </c>
      <c r="H9" s="8" t="s">
        <v>54</v>
      </c>
      <c r="I9" s="8" t="s">
        <v>54</v>
      </c>
      <c r="J9" s="8" t="s">
        <v>54</v>
      </c>
      <c r="K9" s="8" t="s">
        <v>54</v>
      </c>
      <c r="L9" s="8" t="s">
        <v>54</v>
      </c>
      <c r="M9" s="8" t="s">
        <v>54</v>
      </c>
      <c r="N9" s="10" t="s">
        <v>67</v>
      </c>
      <c r="O9" s="8" t="s">
        <v>54</v>
      </c>
      <c r="P9" s="8" t="s">
        <v>54</v>
      </c>
      <c r="Q9" s="8" t="s">
        <v>54</v>
      </c>
      <c r="R9" s="8" t="s">
        <v>54</v>
      </c>
      <c r="S9" s="8" t="s">
        <v>54</v>
      </c>
      <c r="T9" s="8" t="s">
        <v>54</v>
      </c>
      <c r="U9" s="10" t="s">
        <v>67</v>
      </c>
      <c r="V9" s="8" t="s">
        <v>54</v>
      </c>
      <c r="W9" s="8" t="s">
        <v>54</v>
      </c>
      <c r="X9" s="8" t="s">
        <v>54</v>
      </c>
      <c r="Y9" s="8" t="s">
        <v>54</v>
      </c>
      <c r="Z9" s="8" t="s">
        <v>54</v>
      </c>
      <c r="AA9" s="8" t="s">
        <v>54</v>
      </c>
      <c r="AB9" s="10" t="s">
        <v>67</v>
      </c>
      <c r="AC9" s="8" t="s">
        <v>54</v>
      </c>
      <c r="AD9" s="8" t="s">
        <v>54</v>
      </c>
      <c r="AE9" s="8" t="s">
        <v>54</v>
      </c>
      <c r="AF9" s="8" t="s">
        <v>54</v>
      </c>
      <c r="AG9" s="8" t="s">
        <v>54</v>
      </c>
      <c r="AH9" s="8" t="s">
        <v>54</v>
      </c>
      <c r="AI9" s="10" t="s">
        <v>67</v>
      </c>
      <c r="AJ9" s="8">
        <f>COUNTIF($E$9:$AI$9,"P")</f>
        <v>26</v>
      </c>
      <c r="AK9" s="8">
        <f>COUNTIF($E$9:$AI$9,"A")</f>
        <v>0</v>
      </c>
      <c r="AL9" s="8">
        <f>SUM($E$10:$AI$10)</f>
        <v>38</v>
      </c>
      <c r="AM9" s="8">
        <f>SUM($E$11:$AI$11)</f>
        <v>116</v>
      </c>
      <c r="AN9" s="8">
        <f>AL9+AM9</f>
        <v>154</v>
      </c>
      <c r="AO9" s="8">
        <f>COUNTIF($E$9:$AI$9,"CL")</f>
        <v>0</v>
      </c>
      <c r="AP9" s="8">
        <f>COUNTIF($E$9:$AI$9,"SL")</f>
        <v>0</v>
      </c>
      <c r="AQ9" s="8">
        <f>COUNTIF($E$9:$AI$9,"EL")</f>
        <v>0</v>
      </c>
      <c r="AR9" s="8">
        <f>COUNTIF($E$9:$AI$9,"H")</f>
        <v>0</v>
      </c>
      <c r="AS9" s="8"/>
      <c r="AT9" s="11" t="s">
        <v>5</v>
      </c>
      <c r="AU9" t="s">
        <v>8</v>
      </c>
      <c r="AV9">
        <f>IF(SUMPRODUCT(SUBTOTAL(103,OFFSET($A$6,ROW($A$6:$A$2792)-ROW($A$6),0)),--($AT$6:$AT$2792=$AU$9))&gt;0,$AU$9,"")</f>
        <v>0</v>
      </c>
      <c r="AW9" t="s">
        <v>12</v>
      </c>
    </row>
    <row r="10" spans="1:50" ht="15.1" customHeight="1">
      <c r="A10" s="8"/>
      <c r="B10" s="9"/>
      <c r="C10" s="8"/>
      <c r="D10" s="9"/>
      <c r="E10" s="8">
        <v>2</v>
      </c>
      <c r="F10" s="8">
        <v>2</v>
      </c>
      <c r="G10" s="8">
        <v>0</v>
      </c>
      <c r="H10" s="8">
        <v>2</v>
      </c>
      <c r="I10" s="8">
        <v>2</v>
      </c>
      <c r="J10" s="8">
        <v>2</v>
      </c>
      <c r="K10" s="8">
        <v>2</v>
      </c>
      <c r="L10" s="8">
        <v>2</v>
      </c>
      <c r="M10" s="8">
        <v>2</v>
      </c>
      <c r="N10" s="8">
        <v>0</v>
      </c>
      <c r="O10" s="8">
        <v>2</v>
      </c>
      <c r="P10" s="8">
        <v>2</v>
      </c>
      <c r="Q10" s="8">
        <v>2</v>
      </c>
      <c r="R10" s="8">
        <v>2</v>
      </c>
      <c r="S10" s="8">
        <v>2</v>
      </c>
      <c r="T10" s="8">
        <v>2</v>
      </c>
      <c r="U10" s="8">
        <v>0</v>
      </c>
      <c r="V10" s="8">
        <v>2</v>
      </c>
      <c r="W10" s="8">
        <v>2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2</v>
      </c>
      <c r="AD10" s="8">
        <v>2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1" t="s">
        <v>5</v>
      </c>
      <c r="AU10" t="s">
        <v>10</v>
      </c>
      <c r="AV10">
        <f>IF(SUMPRODUCT(SUBTOTAL(103,OFFSET($A$6,ROW($A$6:$A$2792)-ROW($A$6),0)),--($AT$6:$AT$2792=$AU$10))&gt;0,$AU$10,"")</f>
        <v>0</v>
      </c>
      <c r="AW10" t="s">
        <v>13</v>
      </c>
    </row>
    <row r="11" spans="1:50" ht="15.1" customHeight="1">
      <c r="A11" s="8"/>
      <c r="B11" s="9"/>
      <c r="C11" s="8"/>
      <c r="D11" s="9"/>
      <c r="E11" s="8">
        <v>4</v>
      </c>
      <c r="F11" s="8">
        <v>2</v>
      </c>
      <c r="G11" s="8">
        <v>14</v>
      </c>
      <c r="H11" s="8">
        <v>4</v>
      </c>
      <c r="I11" s="8">
        <v>6</v>
      </c>
      <c r="J11" s="8">
        <v>5</v>
      </c>
      <c r="K11" s="8">
        <v>3</v>
      </c>
      <c r="L11" s="8">
        <v>5</v>
      </c>
      <c r="M11" s="8">
        <v>4</v>
      </c>
      <c r="N11" s="8">
        <v>17</v>
      </c>
      <c r="O11" s="8">
        <v>7</v>
      </c>
      <c r="P11" s="8">
        <v>7</v>
      </c>
      <c r="Q11" s="8">
        <v>5</v>
      </c>
      <c r="R11" s="8">
        <v>5</v>
      </c>
      <c r="S11" s="8">
        <v>3</v>
      </c>
      <c r="T11" s="8">
        <v>3</v>
      </c>
      <c r="U11" s="8">
        <v>13</v>
      </c>
      <c r="V11" s="8">
        <v>0</v>
      </c>
      <c r="W11" s="8">
        <v>6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3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11" t="s">
        <v>5</v>
      </c>
      <c r="AU11" t="s">
        <v>11</v>
      </c>
      <c r="AV11">
        <f>IF(SUMPRODUCT(SUBTOTAL(103,OFFSET($A$6,ROW($A$6:$A$2792)-ROW($A$6),0)),--($AT$6:$AT$2792=$AU$11))&gt;0,$AU$11,"")</f>
        <v>0</v>
      </c>
      <c r="AW11" t="s">
        <v>14</v>
      </c>
    </row>
    <row r="12" spans="1:50" ht="15.1" customHeight="1">
      <c r="A12" s="8">
        <v>3</v>
      </c>
      <c r="B12" s="9" t="s">
        <v>269</v>
      </c>
      <c r="C12" s="8" t="s">
        <v>270</v>
      </c>
      <c r="D12" s="9" t="s">
        <v>266</v>
      </c>
      <c r="E12" s="8" t="s">
        <v>54</v>
      </c>
      <c r="F12" s="8" t="s">
        <v>54</v>
      </c>
      <c r="G12" s="10" t="s">
        <v>67</v>
      </c>
      <c r="H12" s="8" t="s">
        <v>54</v>
      </c>
      <c r="I12" s="12" t="s">
        <v>55</v>
      </c>
      <c r="J12" s="12" t="s">
        <v>55</v>
      </c>
      <c r="K12" s="8" t="s">
        <v>54</v>
      </c>
      <c r="L12" s="8" t="s">
        <v>54</v>
      </c>
      <c r="M12" s="8" t="s">
        <v>54</v>
      </c>
      <c r="N12" s="10" t="s">
        <v>67</v>
      </c>
      <c r="O12" s="8" t="s">
        <v>54</v>
      </c>
      <c r="P12" s="8" t="s">
        <v>54</v>
      </c>
      <c r="Q12" s="8" t="s">
        <v>54</v>
      </c>
      <c r="R12" s="8" t="s">
        <v>54</v>
      </c>
      <c r="S12" s="8" t="s">
        <v>54</v>
      </c>
      <c r="T12" s="8" t="s">
        <v>54</v>
      </c>
      <c r="U12" s="10" t="s">
        <v>67</v>
      </c>
      <c r="V12" s="8" t="s">
        <v>54</v>
      </c>
      <c r="W12" s="8" t="s">
        <v>54</v>
      </c>
      <c r="X12" s="8" t="s">
        <v>54</v>
      </c>
      <c r="Y12" s="8" t="s">
        <v>54</v>
      </c>
      <c r="Z12" s="8" t="s">
        <v>54</v>
      </c>
      <c r="AA12" s="8" t="s">
        <v>54</v>
      </c>
      <c r="AB12" s="10" t="s">
        <v>67</v>
      </c>
      <c r="AC12" s="8" t="s">
        <v>54</v>
      </c>
      <c r="AD12" s="8" t="s">
        <v>54</v>
      </c>
      <c r="AE12" s="8" t="s">
        <v>54</v>
      </c>
      <c r="AF12" s="8" t="s">
        <v>54</v>
      </c>
      <c r="AG12" s="8" t="s">
        <v>54</v>
      </c>
      <c r="AH12" s="8" t="s">
        <v>54</v>
      </c>
      <c r="AI12" s="10" t="s">
        <v>67</v>
      </c>
      <c r="AJ12" s="8">
        <f>COUNTIF($E$12:$AI$12,"P")</f>
        <v>24</v>
      </c>
      <c r="AK12" s="8">
        <f>COUNTIF($E$12:$AI$12,"A")</f>
        <v>2</v>
      </c>
      <c r="AL12" s="8">
        <f>SUM($E$13:$AI$13)</f>
        <v>34</v>
      </c>
      <c r="AM12" s="8">
        <f>SUM($E$14:$AI$14)</f>
        <v>104.5</v>
      </c>
      <c r="AN12" s="8">
        <f>AL12+AM12</f>
        <v>138.5</v>
      </c>
      <c r="AO12" s="8">
        <f>COUNTIF($E$12:$AI$12,"CL")</f>
        <v>0</v>
      </c>
      <c r="AP12" s="8">
        <f>COUNTIF($E$12:$AI$12,"SL")</f>
        <v>0</v>
      </c>
      <c r="AQ12" s="8">
        <f>COUNTIF($E$12:$AI$12,"EL")</f>
        <v>0</v>
      </c>
      <c r="AR12" s="8">
        <f>COUNTIF($E$12:$AI$12,"H")</f>
        <v>0</v>
      </c>
      <c r="AS12" s="8"/>
      <c r="AT12" s="11" t="s">
        <v>5</v>
      </c>
      <c r="AU12" t="s">
        <v>12</v>
      </c>
      <c r="AV12">
        <f>IF(SUMPRODUCT(SUBTOTAL(103,OFFSET($A$6,ROW($A$6:$A$2792)-ROW($A$6),0)),--($AT$6:$AT$2792=$AU$12))&gt;0,$AU$12,"")</f>
        <v>0</v>
      </c>
      <c r="AW12" t="s">
        <v>244</v>
      </c>
    </row>
    <row r="13" spans="1:50" ht="15.1" customHeight="1">
      <c r="A13" s="8"/>
      <c r="B13" s="9"/>
      <c r="C13" s="8"/>
      <c r="D13" s="9"/>
      <c r="E13" s="8">
        <v>2</v>
      </c>
      <c r="F13" s="8">
        <v>2</v>
      </c>
      <c r="G13" s="8">
        <v>0</v>
      </c>
      <c r="H13" s="8">
        <v>2</v>
      </c>
      <c r="I13" s="8">
        <v>0</v>
      </c>
      <c r="J13" s="8">
        <v>0</v>
      </c>
      <c r="K13" s="8">
        <v>2</v>
      </c>
      <c r="L13" s="8">
        <v>2</v>
      </c>
      <c r="M13" s="8">
        <v>2</v>
      </c>
      <c r="N13" s="8">
        <v>0</v>
      </c>
      <c r="O13" s="8">
        <v>2</v>
      </c>
      <c r="P13" s="8">
        <v>2</v>
      </c>
      <c r="Q13" s="8">
        <v>2</v>
      </c>
      <c r="R13" s="8">
        <v>2</v>
      </c>
      <c r="S13" s="8">
        <v>2</v>
      </c>
      <c r="T13" s="8">
        <v>2</v>
      </c>
      <c r="U13" s="8">
        <v>0</v>
      </c>
      <c r="V13" s="8">
        <v>2</v>
      </c>
      <c r="W13" s="8">
        <v>2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2</v>
      </c>
      <c r="AD13" s="8">
        <v>2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1" t="s">
        <v>5</v>
      </c>
      <c r="AU13" t="s">
        <v>13</v>
      </c>
      <c r="AV13">
        <f>IF(SUMPRODUCT(SUBTOTAL(103,OFFSET($A$6,ROW($A$6:$A$2792)-ROW($A$6),0)),--($AT$6:$AT$2792=$AU$13))&gt;0,$AU$13,"")</f>
        <v>0</v>
      </c>
      <c r="AW13" t="s">
        <v>15</v>
      </c>
    </row>
    <row r="14" spans="1:50" ht="15.1" customHeight="1">
      <c r="A14" s="8"/>
      <c r="B14" s="9"/>
      <c r="C14" s="8"/>
      <c r="D14" s="9"/>
      <c r="E14" s="8">
        <v>4</v>
      </c>
      <c r="F14" s="8">
        <v>2</v>
      </c>
      <c r="G14" s="8">
        <v>13.5</v>
      </c>
      <c r="H14" s="8">
        <v>5</v>
      </c>
      <c r="I14" s="8">
        <v>0</v>
      </c>
      <c r="J14" s="8">
        <v>0</v>
      </c>
      <c r="K14" s="8">
        <v>3</v>
      </c>
      <c r="L14" s="8">
        <v>5</v>
      </c>
      <c r="M14" s="8">
        <v>4</v>
      </c>
      <c r="N14" s="8">
        <v>16.5</v>
      </c>
      <c r="O14" s="8">
        <v>7</v>
      </c>
      <c r="P14" s="8">
        <v>7</v>
      </c>
      <c r="Q14" s="8">
        <v>5</v>
      </c>
      <c r="R14" s="8">
        <v>5</v>
      </c>
      <c r="S14" s="8">
        <v>3</v>
      </c>
      <c r="T14" s="8">
        <v>3</v>
      </c>
      <c r="U14" s="8">
        <v>12.5</v>
      </c>
      <c r="V14" s="8">
        <v>0</v>
      </c>
      <c r="W14" s="8">
        <v>6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3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1" t="s">
        <v>5</v>
      </c>
      <c r="AU14" t="s">
        <v>14</v>
      </c>
      <c r="AV14">
        <f>IF(SUMPRODUCT(SUBTOTAL(103,OFFSET($A$6,ROW($A$6:$A$2792)-ROW($A$6),0)),--($AT$6:$AT$2792=$AU$14))&gt;0,$AU$14,"")</f>
        <v>0</v>
      </c>
      <c r="AW14" t="s">
        <v>16</v>
      </c>
    </row>
    <row r="15" spans="1:50" ht="15.1" customHeight="1">
      <c r="A15" s="8">
        <v>4</v>
      </c>
      <c r="B15" s="9" t="s">
        <v>271</v>
      </c>
      <c r="C15" s="8" t="s">
        <v>272</v>
      </c>
      <c r="D15" s="9" t="s">
        <v>266</v>
      </c>
      <c r="E15" s="8" t="s">
        <v>54</v>
      </c>
      <c r="F15" s="8" t="s">
        <v>54</v>
      </c>
      <c r="G15" s="10" t="s">
        <v>67</v>
      </c>
      <c r="H15" s="12" t="s">
        <v>55</v>
      </c>
      <c r="I15" s="8" t="s">
        <v>54</v>
      </c>
      <c r="J15" s="8" t="s">
        <v>54</v>
      </c>
      <c r="K15" s="8" t="s">
        <v>54</v>
      </c>
      <c r="L15" s="8" t="s">
        <v>54</v>
      </c>
      <c r="M15" s="8" t="s">
        <v>54</v>
      </c>
      <c r="N15" s="10" t="s">
        <v>67</v>
      </c>
      <c r="O15" s="8" t="s">
        <v>54</v>
      </c>
      <c r="P15" s="8" t="s">
        <v>54</v>
      </c>
      <c r="Q15" s="8" t="s">
        <v>54</v>
      </c>
      <c r="R15" s="8" t="s">
        <v>54</v>
      </c>
      <c r="S15" s="8" t="s">
        <v>54</v>
      </c>
      <c r="T15" s="8" t="s">
        <v>54</v>
      </c>
      <c r="U15" s="10" t="s">
        <v>67</v>
      </c>
      <c r="V15" s="8" t="s">
        <v>54</v>
      </c>
      <c r="W15" s="8" t="s">
        <v>54</v>
      </c>
      <c r="X15" s="8" t="s">
        <v>54</v>
      </c>
      <c r="Y15" s="8" t="s">
        <v>54</v>
      </c>
      <c r="Z15" s="12" t="s">
        <v>55</v>
      </c>
      <c r="AA15" s="12" t="s">
        <v>55</v>
      </c>
      <c r="AB15" s="10" t="s">
        <v>67</v>
      </c>
      <c r="AC15" s="8" t="s">
        <v>54</v>
      </c>
      <c r="AD15" s="8" t="s">
        <v>54</v>
      </c>
      <c r="AE15" s="8" t="s">
        <v>54</v>
      </c>
      <c r="AF15" s="8" t="s">
        <v>54</v>
      </c>
      <c r="AG15" s="8" t="s">
        <v>54</v>
      </c>
      <c r="AH15" s="8" t="s">
        <v>54</v>
      </c>
      <c r="AI15" s="10" t="s">
        <v>67</v>
      </c>
      <c r="AJ15" s="8">
        <f>COUNTIF($E$15:$AI$15,"P")</f>
        <v>23</v>
      </c>
      <c r="AK15" s="8">
        <f>COUNTIF($E$15:$AI$15,"A")</f>
        <v>3</v>
      </c>
      <c r="AL15" s="8">
        <f>SUM($E$16:$AI$16)</f>
        <v>36</v>
      </c>
      <c r="AM15" s="8">
        <f>SUM($E$17:$AI$17)</f>
        <v>112</v>
      </c>
      <c r="AN15" s="8">
        <f>AL15+AM15</f>
        <v>148</v>
      </c>
      <c r="AO15" s="8">
        <f>COUNTIF($E$15:$AI$15,"CL")</f>
        <v>0</v>
      </c>
      <c r="AP15" s="8">
        <f>COUNTIF($E$15:$AI$15,"SL")</f>
        <v>0</v>
      </c>
      <c r="AQ15" s="8">
        <f>COUNTIF($E$15:$AI$15,"EL")</f>
        <v>0</v>
      </c>
      <c r="AR15" s="8">
        <f>COUNTIF($E$15:$AI$15,"H")</f>
        <v>0</v>
      </c>
      <c r="AS15" s="8"/>
      <c r="AT15" s="11" t="s">
        <v>5</v>
      </c>
      <c r="AU15" t="s">
        <v>244</v>
      </c>
      <c r="AV15">
        <f>IF(SUMPRODUCT(SUBTOTAL(103,OFFSET($A$6,ROW($A$6:$A$2792)-ROW($A$6),0)),--($AT$6:$AT$2792=$AU$15))&gt;0,$AU$15,"")</f>
        <v>0</v>
      </c>
      <c r="AW15" t="s">
        <v>17</v>
      </c>
    </row>
    <row r="16" spans="1:50" ht="15.1" customHeight="1">
      <c r="A16" s="8"/>
      <c r="B16" s="9"/>
      <c r="C16" s="8"/>
      <c r="D16" s="9"/>
      <c r="E16" s="8">
        <v>2</v>
      </c>
      <c r="F16" s="8">
        <v>2</v>
      </c>
      <c r="G16" s="8">
        <v>0</v>
      </c>
      <c r="H16" s="8">
        <v>0</v>
      </c>
      <c r="I16" s="8">
        <v>2</v>
      </c>
      <c r="J16" s="8">
        <v>2</v>
      </c>
      <c r="K16" s="8">
        <v>2</v>
      </c>
      <c r="L16" s="8">
        <v>2</v>
      </c>
      <c r="M16" s="8">
        <v>2</v>
      </c>
      <c r="N16" s="8">
        <v>0</v>
      </c>
      <c r="O16" s="8">
        <v>2</v>
      </c>
      <c r="P16" s="8">
        <v>2</v>
      </c>
      <c r="Q16" s="8">
        <v>2</v>
      </c>
      <c r="R16" s="8">
        <v>2</v>
      </c>
      <c r="S16" s="8">
        <v>2</v>
      </c>
      <c r="T16" s="8">
        <v>2</v>
      </c>
      <c r="U16" s="8">
        <v>0</v>
      </c>
      <c r="V16" s="8">
        <v>2</v>
      </c>
      <c r="W16" s="8">
        <v>2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2</v>
      </c>
      <c r="AD16" s="8">
        <v>2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11" t="s">
        <v>5</v>
      </c>
      <c r="AU16" t="s">
        <v>15</v>
      </c>
      <c r="AV16">
        <f>IF(SUMPRODUCT(SUBTOTAL(103,OFFSET($A$6,ROW($A$6:$A$2792)-ROW($A$6),0)),--($AT$6:$AT$2792=$AU$16))&gt;0,$AU$16,"")</f>
        <v>0</v>
      </c>
      <c r="AW16" t="s">
        <v>245</v>
      </c>
    </row>
    <row r="17" spans="1:49" ht="15.1" customHeight="1">
      <c r="A17" s="8"/>
      <c r="B17" s="9"/>
      <c r="C17" s="8"/>
      <c r="D17" s="9"/>
      <c r="E17" s="8">
        <v>4</v>
      </c>
      <c r="F17" s="8">
        <v>2</v>
      </c>
      <c r="G17" s="8">
        <v>14</v>
      </c>
      <c r="H17" s="8">
        <v>0</v>
      </c>
      <c r="I17" s="8">
        <v>6</v>
      </c>
      <c r="J17" s="8">
        <v>5</v>
      </c>
      <c r="K17" s="8">
        <v>3</v>
      </c>
      <c r="L17" s="8">
        <v>5</v>
      </c>
      <c r="M17" s="8">
        <v>4</v>
      </c>
      <c r="N17" s="8">
        <v>17</v>
      </c>
      <c r="O17" s="8">
        <v>7</v>
      </c>
      <c r="P17" s="8">
        <v>7</v>
      </c>
      <c r="Q17" s="8">
        <v>5</v>
      </c>
      <c r="R17" s="8">
        <v>5</v>
      </c>
      <c r="S17" s="8">
        <v>3</v>
      </c>
      <c r="T17" s="8">
        <v>3</v>
      </c>
      <c r="U17" s="8">
        <v>13</v>
      </c>
      <c r="V17" s="8">
        <v>0</v>
      </c>
      <c r="W17" s="8">
        <v>6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3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11" t="s">
        <v>5</v>
      </c>
      <c r="AU17" t="s">
        <v>16</v>
      </c>
      <c r="AV17">
        <f>IF(SUMPRODUCT(SUBTOTAL(103,OFFSET($A$6,ROW($A$6:$A$2792)-ROW($A$6),0)),--($AT$6:$AT$2792=$AU$17))&gt;0,$AU$17,"")</f>
        <v>0</v>
      </c>
      <c r="AW17" t="s">
        <v>246</v>
      </c>
    </row>
    <row r="18" spans="1:49" ht="15.1" customHeight="1">
      <c r="A18" s="8">
        <v>5</v>
      </c>
      <c r="B18" s="9" t="s">
        <v>273</v>
      </c>
      <c r="C18" s="8" t="s">
        <v>274</v>
      </c>
      <c r="D18" s="9" t="s">
        <v>266</v>
      </c>
      <c r="E18" s="8" t="s">
        <v>54</v>
      </c>
      <c r="F18" s="8" t="s">
        <v>54</v>
      </c>
      <c r="G18" s="10" t="s">
        <v>67</v>
      </c>
      <c r="H18" s="8" t="s">
        <v>54</v>
      </c>
      <c r="I18" s="8" t="s">
        <v>54</v>
      </c>
      <c r="J18" s="8" t="s">
        <v>54</v>
      </c>
      <c r="K18" s="8" t="s">
        <v>54</v>
      </c>
      <c r="L18" s="8" t="s">
        <v>54</v>
      </c>
      <c r="M18" s="8" t="s">
        <v>54</v>
      </c>
      <c r="N18" s="10" t="s">
        <v>67</v>
      </c>
      <c r="O18" s="8" t="s">
        <v>54</v>
      </c>
      <c r="P18" s="8" t="s">
        <v>54</v>
      </c>
      <c r="Q18" s="8" t="s">
        <v>54</v>
      </c>
      <c r="R18" s="8" t="s">
        <v>54</v>
      </c>
      <c r="S18" s="8" t="s">
        <v>54</v>
      </c>
      <c r="T18" s="8" t="s">
        <v>54</v>
      </c>
      <c r="U18" s="10" t="s">
        <v>67</v>
      </c>
      <c r="V18" s="8" t="s">
        <v>54</v>
      </c>
      <c r="W18" s="8" t="s">
        <v>54</v>
      </c>
      <c r="X18" s="8" t="s">
        <v>54</v>
      </c>
      <c r="Y18" s="8" t="s">
        <v>54</v>
      </c>
      <c r="Z18" s="8" t="s">
        <v>54</v>
      </c>
      <c r="AA18" s="8" t="s">
        <v>54</v>
      </c>
      <c r="AB18" s="10" t="s">
        <v>67</v>
      </c>
      <c r="AC18" s="8" t="s">
        <v>54</v>
      </c>
      <c r="AD18" s="8" t="s">
        <v>54</v>
      </c>
      <c r="AE18" s="8" t="s">
        <v>54</v>
      </c>
      <c r="AF18" s="8" t="s">
        <v>54</v>
      </c>
      <c r="AG18" s="8" t="s">
        <v>54</v>
      </c>
      <c r="AH18" s="8" t="s">
        <v>54</v>
      </c>
      <c r="AI18" s="10" t="s">
        <v>67</v>
      </c>
      <c r="AJ18" s="8">
        <f>COUNTIF($E$18:$AI$18,"P")</f>
        <v>26</v>
      </c>
      <c r="AK18" s="8">
        <f>COUNTIF($E$18:$AI$18,"A")</f>
        <v>0</v>
      </c>
      <c r="AL18" s="8">
        <f>SUM($E$19:$AI$19)</f>
        <v>38</v>
      </c>
      <c r="AM18" s="8">
        <f>SUM($E$20:$AI$20)</f>
        <v>114.5</v>
      </c>
      <c r="AN18" s="8">
        <f>AL18+AM18</f>
        <v>152.5</v>
      </c>
      <c r="AO18" s="8">
        <f>COUNTIF($E$18:$AI$18,"CL")</f>
        <v>0</v>
      </c>
      <c r="AP18" s="8">
        <f>COUNTIF($E$18:$AI$18,"SL")</f>
        <v>0</v>
      </c>
      <c r="AQ18" s="8">
        <f>COUNTIF($E$18:$AI$18,"EL")</f>
        <v>0</v>
      </c>
      <c r="AR18" s="8">
        <f>COUNTIF($E$18:$AI$18,"H")</f>
        <v>0</v>
      </c>
      <c r="AS18" s="8"/>
      <c r="AT18" s="11" t="s">
        <v>5</v>
      </c>
      <c r="AU18" t="s">
        <v>17</v>
      </c>
      <c r="AV18">
        <f>IF(SUMPRODUCT(SUBTOTAL(103,OFFSET($A$6,ROW($A$6:$A$2792)-ROW($A$6),0)),--($AT$6:$AT$2792=$AU$18))&gt;0,$AU$18,"")</f>
        <v>0</v>
      </c>
      <c r="AW18" t="s">
        <v>247</v>
      </c>
    </row>
    <row r="19" spans="1:49" ht="15.1" customHeight="1">
      <c r="A19" s="8"/>
      <c r="B19" s="9"/>
      <c r="C19" s="8"/>
      <c r="D19" s="9"/>
      <c r="E19" s="8">
        <v>2</v>
      </c>
      <c r="F19" s="8">
        <v>2</v>
      </c>
      <c r="G19" s="8">
        <v>0</v>
      </c>
      <c r="H19" s="8">
        <v>2</v>
      </c>
      <c r="I19" s="8">
        <v>2</v>
      </c>
      <c r="J19" s="8">
        <v>2</v>
      </c>
      <c r="K19" s="8">
        <v>2</v>
      </c>
      <c r="L19" s="8">
        <v>2</v>
      </c>
      <c r="M19" s="8">
        <v>2</v>
      </c>
      <c r="N19" s="8">
        <v>0</v>
      </c>
      <c r="O19" s="8">
        <v>2</v>
      </c>
      <c r="P19" s="8">
        <v>2</v>
      </c>
      <c r="Q19" s="8">
        <v>2</v>
      </c>
      <c r="R19" s="8">
        <v>2</v>
      </c>
      <c r="S19" s="8">
        <v>2</v>
      </c>
      <c r="T19" s="8">
        <v>2</v>
      </c>
      <c r="U19" s="8">
        <v>0</v>
      </c>
      <c r="V19" s="8">
        <v>2</v>
      </c>
      <c r="W19" s="8">
        <v>2</v>
      </c>
      <c r="X19" s="8">
        <v>2</v>
      </c>
      <c r="Y19" s="8">
        <v>0</v>
      </c>
      <c r="Z19" s="8">
        <v>0</v>
      </c>
      <c r="AA19" s="8">
        <v>0</v>
      </c>
      <c r="AB19" s="8">
        <v>0</v>
      </c>
      <c r="AC19" s="8">
        <v>2</v>
      </c>
      <c r="AD19" s="8">
        <v>2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11" t="s">
        <v>5</v>
      </c>
      <c r="AU19" t="s">
        <v>245</v>
      </c>
      <c r="AV19">
        <f>IF(SUMPRODUCT(SUBTOTAL(103,OFFSET($A$6,ROW($A$6:$A$2792)-ROW($A$6),0)),--($AT$6:$AT$2792=$AU$19))&gt;0,$AU$19,"")</f>
        <v>0</v>
      </c>
      <c r="AW19" t="s">
        <v>248</v>
      </c>
    </row>
    <row r="20" spans="1:49" ht="15.1" customHeight="1">
      <c r="A20" s="8"/>
      <c r="B20" s="9"/>
      <c r="C20" s="8"/>
      <c r="D20" s="9"/>
      <c r="E20" s="8">
        <v>4</v>
      </c>
      <c r="F20" s="8">
        <v>2</v>
      </c>
      <c r="G20" s="8">
        <v>13.5</v>
      </c>
      <c r="H20" s="8">
        <v>4</v>
      </c>
      <c r="I20" s="8">
        <v>6</v>
      </c>
      <c r="J20" s="8">
        <v>5</v>
      </c>
      <c r="K20" s="8">
        <v>3</v>
      </c>
      <c r="L20" s="8">
        <v>5</v>
      </c>
      <c r="M20" s="8">
        <v>4</v>
      </c>
      <c r="N20" s="8">
        <v>16.5</v>
      </c>
      <c r="O20" s="8">
        <v>7</v>
      </c>
      <c r="P20" s="8">
        <v>7</v>
      </c>
      <c r="Q20" s="8">
        <v>5</v>
      </c>
      <c r="R20" s="8">
        <v>5</v>
      </c>
      <c r="S20" s="8">
        <v>3</v>
      </c>
      <c r="T20" s="8">
        <v>3</v>
      </c>
      <c r="U20" s="8">
        <v>12.5</v>
      </c>
      <c r="V20" s="8">
        <v>0</v>
      </c>
      <c r="W20" s="8">
        <v>6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3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1" t="s">
        <v>5</v>
      </c>
      <c r="AU20" t="s">
        <v>246</v>
      </c>
      <c r="AV20">
        <f>IF(SUMPRODUCT(SUBTOTAL(103,OFFSET($A$6,ROW($A$6:$A$2792)-ROW($A$6),0)),--($AT$6:$AT$2792=$AU$20))&gt;0,$AU$20,"")</f>
        <v>0</v>
      </c>
      <c r="AW20" t="s">
        <v>249</v>
      </c>
    </row>
    <row r="21" spans="1:49" ht="15.1" customHeight="1">
      <c r="A21" s="8">
        <v>6</v>
      </c>
      <c r="B21" s="9" t="s">
        <v>275</v>
      </c>
      <c r="C21" s="8" t="s">
        <v>276</v>
      </c>
      <c r="D21" s="9" t="s">
        <v>266</v>
      </c>
      <c r="E21" s="8" t="s">
        <v>54</v>
      </c>
      <c r="F21" s="8" t="s">
        <v>54</v>
      </c>
      <c r="G21" s="10" t="s">
        <v>67</v>
      </c>
      <c r="H21" s="8" t="s">
        <v>54</v>
      </c>
      <c r="I21" s="8" t="s">
        <v>54</v>
      </c>
      <c r="J21" s="8" t="s">
        <v>54</v>
      </c>
      <c r="K21" s="8" t="s">
        <v>54</v>
      </c>
      <c r="L21" s="8" t="s">
        <v>54</v>
      </c>
      <c r="M21" s="8" t="s">
        <v>54</v>
      </c>
      <c r="N21" s="10" t="s">
        <v>67</v>
      </c>
      <c r="O21" s="8" t="s">
        <v>54</v>
      </c>
      <c r="P21" s="8" t="s">
        <v>54</v>
      </c>
      <c r="Q21" s="8" t="s">
        <v>54</v>
      </c>
      <c r="R21" s="8" t="s">
        <v>54</v>
      </c>
      <c r="S21" s="8" t="s">
        <v>54</v>
      </c>
      <c r="T21" s="8" t="s">
        <v>54</v>
      </c>
      <c r="U21" s="10" t="s">
        <v>67</v>
      </c>
      <c r="V21" s="8" t="s">
        <v>54</v>
      </c>
      <c r="W21" s="8" t="s">
        <v>54</v>
      </c>
      <c r="X21" s="8" t="s">
        <v>54</v>
      </c>
      <c r="Y21" s="8" t="s">
        <v>54</v>
      </c>
      <c r="Z21" s="12" t="s">
        <v>55</v>
      </c>
      <c r="AA21" s="12" t="s">
        <v>55</v>
      </c>
      <c r="AB21" s="10" t="s">
        <v>67</v>
      </c>
      <c r="AC21" s="8" t="s">
        <v>54</v>
      </c>
      <c r="AD21" s="8" t="s">
        <v>54</v>
      </c>
      <c r="AE21" s="8" t="s">
        <v>54</v>
      </c>
      <c r="AF21" s="8" t="s">
        <v>54</v>
      </c>
      <c r="AG21" s="12" t="s">
        <v>55</v>
      </c>
      <c r="AH21" s="12" t="s">
        <v>55</v>
      </c>
      <c r="AI21" s="10" t="s">
        <v>67</v>
      </c>
      <c r="AJ21" s="8">
        <f>COUNTIF($E$21:$AI$21,"P")</f>
        <v>22</v>
      </c>
      <c r="AK21" s="8">
        <f>COUNTIF($E$21:$AI$21,"A")</f>
        <v>4</v>
      </c>
      <c r="AL21" s="8">
        <f>SUM($E$22:$AI$22)</f>
        <v>38</v>
      </c>
      <c r="AM21" s="8">
        <f>SUM($E$23:$AI$23)</f>
        <v>101</v>
      </c>
      <c r="AN21" s="8">
        <f>AL21+AM21</f>
        <v>139</v>
      </c>
      <c r="AO21" s="8">
        <f>COUNTIF($E$21:$AI$21,"CL")</f>
        <v>0</v>
      </c>
      <c r="AP21" s="8">
        <f>COUNTIF($E$21:$AI$21,"SL")</f>
        <v>0</v>
      </c>
      <c r="AQ21" s="8">
        <f>COUNTIF($E$21:$AI$21,"EL")</f>
        <v>0</v>
      </c>
      <c r="AR21" s="8">
        <f>COUNTIF($E$21:$AI$21,"H")</f>
        <v>0</v>
      </c>
      <c r="AS21" s="8"/>
      <c r="AT21" s="11" t="s">
        <v>5</v>
      </c>
      <c r="AU21" t="s">
        <v>247</v>
      </c>
      <c r="AV21">
        <f>IF(SUMPRODUCT(SUBTOTAL(103,OFFSET($A$6,ROW($A$6:$A$2792)-ROW($A$6),0)),--($AT$6:$AT$2792=$AU$21))&gt;0,$AU$21,"")</f>
        <v>0</v>
      </c>
      <c r="AW21" t="s">
        <v>250</v>
      </c>
    </row>
    <row r="22" spans="1:49" ht="15.1" customHeight="1">
      <c r="A22" s="8"/>
      <c r="B22" s="9"/>
      <c r="C22" s="8"/>
      <c r="D22" s="9"/>
      <c r="E22" s="8">
        <v>2</v>
      </c>
      <c r="F22" s="8">
        <v>2</v>
      </c>
      <c r="G22" s="8">
        <v>0</v>
      </c>
      <c r="H22" s="8">
        <v>2</v>
      </c>
      <c r="I22" s="8">
        <v>2</v>
      </c>
      <c r="J22" s="8">
        <v>2</v>
      </c>
      <c r="K22" s="8">
        <v>2</v>
      </c>
      <c r="L22" s="8">
        <v>2</v>
      </c>
      <c r="M22" s="8">
        <v>2</v>
      </c>
      <c r="N22" s="8">
        <v>0</v>
      </c>
      <c r="O22" s="8">
        <v>2</v>
      </c>
      <c r="P22" s="8">
        <v>2</v>
      </c>
      <c r="Q22" s="8">
        <v>2</v>
      </c>
      <c r="R22" s="8">
        <v>2</v>
      </c>
      <c r="S22" s="8">
        <v>2</v>
      </c>
      <c r="T22" s="8">
        <v>2</v>
      </c>
      <c r="U22" s="8">
        <v>0</v>
      </c>
      <c r="V22" s="8">
        <v>2</v>
      </c>
      <c r="W22" s="8">
        <v>2</v>
      </c>
      <c r="X22" s="8">
        <v>2</v>
      </c>
      <c r="Y22" s="8">
        <v>0</v>
      </c>
      <c r="Z22" s="8">
        <v>0</v>
      </c>
      <c r="AA22" s="8">
        <v>0</v>
      </c>
      <c r="AB22" s="8">
        <v>0</v>
      </c>
      <c r="AC22" s="8">
        <v>2</v>
      </c>
      <c r="AD22" s="8">
        <v>2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1" t="s">
        <v>5</v>
      </c>
      <c r="AU22" t="s">
        <v>248</v>
      </c>
      <c r="AV22">
        <f>IF(SUMPRODUCT(SUBTOTAL(103,OFFSET($A$6,ROW($A$6:$A$2792)-ROW($A$6),0)),--($AT$6:$AT$2792=$AU$22))&gt;0,$AU$22,"")</f>
        <v>0</v>
      </c>
      <c r="AW22" t="s">
        <v>251</v>
      </c>
    </row>
    <row r="23" spans="1:49" ht="15.1" customHeight="1">
      <c r="A23" s="8"/>
      <c r="B23" s="9"/>
      <c r="C23" s="8"/>
      <c r="D23" s="9"/>
      <c r="E23" s="8">
        <v>4</v>
      </c>
      <c r="F23" s="8">
        <v>2</v>
      </c>
      <c r="G23" s="8">
        <v>13.5</v>
      </c>
      <c r="H23" s="8">
        <v>4</v>
      </c>
      <c r="I23" s="8">
        <v>6</v>
      </c>
      <c r="J23" s="8">
        <v>5</v>
      </c>
      <c r="K23" s="8">
        <v>3</v>
      </c>
      <c r="L23" s="8">
        <v>5</v>
      </c>
      <c r="M23" s="8">
        <v>4</v>
      </c>
      <c r="N23" s="8">
        <v>16</v>
      </c>
      <c r="O23" s="8">
        <v>7</v>
      </c>
      <c r="P23" s="8">
        <v>7</v>
      </c>
      <c r="Q23" s="8">
        <v>5</v>
      </c>
      <c r="R23" s="8">
        <v>5</v>
      </c>
      <c r="S23" s="8">
        <v>3</v>
      </c>
      <c r="T23" s="8">
        <v>2.5</v>
      </c>
      <c r="U23" s="8">
        <v>0</v>
      </c>
      <c r="V23" s="8">
        <v>0</v>
      </c>
      <c r="W23" s="8">
        <v>6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3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1" t="s">
        <v>5</v>
      </c>
      <c r="AU23" t="s">
        <v>249</v>
      </c>
      <c r="AV23">
        <f>IF(SUMPRODUCT(SUBTOTAL(103,OFFSET($A$6,ROW($A$6:$A$2792)-ROW($A$6),0)),--($AT$6:$AT$2792=$AU$23))&gt;0,$AU$23,"")</f>
        <v>0</v>
      </c>
      <c r="AW23" t="s">
        <v>252</v>
      </c>
    </row>
    <row r="24" spans="1:49" ht="15.1" customHeight="1">
      <c r="A24" s="8">
        <v>7</v>
      </c>
      <c r="B24" s="9" t="s">
        <v>277</v>
      </c>
      <c r="C24" s="8" t="s">
        <v>278</v>
      </c>
      <c r="D24" s="9" t="s">
        <v>266</v>
      </c>
      <c r="E24" s="8" t="s">
        <v>54</v>
      </c>
      <c r="F24" s="8" t="s">
        <v>54</v>
      </c>
      <c r="G24" s="10" t="s">
        <v>67</v>
      </c>
      <c r="H24" s="8" t="s">
        <v>54</v>
      </c>
      <c r="I24" s="8" t="s">
        <v>54</v>
      </c>
      <c r="J24" s="8" t="s">
        <v>54</v>
      </c>
      <c r="K24" s="8" t="s">
        <v>54</v>
      </c>
      <c r="L24" s="8" t="s">
        <v>54</v>
      </c>
      <c r="M24" s="8" t="s">
        <v>54</v>
      </c>
      <c r="N24" s="10" t="s">
        <v>67</v>
      </c>
      <c r="O24" s="8" t="s">
        <v>54</v>
      </c>
      <c r="P24" s="8" t="s">
        <v>54</v>
      </c>
      <c r="Q24" s="8" t="s">
        <v>54</v>
      </c>
      <c r="R24" s="8" t="s">
        <v>54</v>
      </c>
      <c r="S24" s="8" t="s">
        <v>54</v>
      </c>
      <c r="T24" s="8" t="s">
        <v>54</v>
      </c>
      <c r="U24" s="10" t="s">
        <v>67</v>
      </c>
      <c r="V24" s="8" t="s">
        <v>54</v>
      </c>
      <c r="W24" s="8" t="s">
        <v>54</v>
      </c>
      <c r="X24" s="8" t="s">
        <v>54</v>
      </c>
      <c r="Y24" s="8" t="s">
        <v>54</v>
      </c>
      <c r="Z24" s="8" t="s">
        <v>54</v>
      </c>
      <c r="AA24" s="8" t="s">
        <v>54</v>
      </c>
      <c r="AB24" s="10" t="s">
        <v>67</v>
      </c>
      <c r="AC24" s="8" t="s">
        <v>54</v>
      </c>
      <c r="AD24" s="8" t="s">
        <v>54</v>
      </c>
      <c r="AE24" s="8" t="s">
        <v>54</v>
      </c>
      <c r="AF24" s="8" t="s">
        <v>54</v>
      </c>
      <c r="AG24" s="8" t="s">
        <v>54</v>
      </c>
      <c r="AH24" s="8" t="s">
        <v>54</v>
      </c>
      <c r="AI24" s="10" t="s">
        <v>67</v>
      </c>
      <c r="AJ24" s="8">
        <f>COUNTIF($E$24:$AI$24,"P")</f>
        <v>26</v>
      </c>
      <c r="AK24" s="8">
        <f>COUNTIF($E$24:$AI$24,"A")</f>
        <v>0</v>
      </c>
      <c r="AL24" s="8">
        <f>SUM($E$25:$AI$25)</f>
        <v>38</v>
      </c>
      <c r="AM24" s="8">
        <f>SUM($E$26:$AI$26)</f>
        <v>113</v>
      </c>
      <c r="AN24" s="8">
        <f>AL24+AM24</f>
        <v>151</v>
      </c>
      <c r="AO24" s="8">
        <f>COUNTIF($E$24:$AI$24,"CL")</f>
        <v>0</v>
      </c>
      <c r="AP24" s="8">
        <f>COUNTIF($E$24:$AI$24,"SL")</f>
        <v>0</v>
      </c>
      <c r="AQ24" s="8">
        <f>COUNTIF($E$24:$AI$24,"EL")</f>
        <v>0</v>
      </c>
      <c r="AR24" s="8">
        <f>COUNTIF($E$24:$AI$24,"H")</f>
        <v>0</v>
      </c>
      <c r="AS24" s="8"/>
      <c r="AT24" s="11" t="s">
        <v>5</v>
      </c>
      <c r="AU24" t="s">
        <v>250</v>
      </c>
      <c r="AV24">
        <f>IF(SUMPRODUCT(SUBTOTAL(103,OFFSET($A$6,ROW($A$6:$A$2792)-ROW($A$6),0)),--($AT$6:$AT$2792=$AU$24))&gt;0,$AU$24,"")</f>
        <v>0</v>
      </c>
      <c r="AW24" t="s">
        <v>253</v>
      </c>
    </row>
    <row r="25" spans="1:49" ht="15.1" customHeight="1">
      <c r="A25" s="8"/>
      <c r="B25" s="9"/>
      <c r="C25" s="8"/>
      <c r="D25" s="9"/>
      <c r="E25" s="8">
        <v>2</v>
      </c>
      <c r="F25" s="8">
        <v>2</v>
      </c>
      <c r="G25" s="8">
        <v>0</v>
      </c>
      <c r="H25" s="8">
        <v>2</v>
      </c>
      <c r="I25" s="8">
        <v>2</v>
      </c>
      <c r="J25" s="8">
        <v>2</v>
      </c>
      <c r="K25" s="8">
        <v>2</v>
      </c>
      <c r="L25" s="8">
        <v>2</v>
      </c>
      <c r="M25" s="8">
        <v>2</v>
      </c>
      <c r="N25" s="8">
        <v>0</v>
      </c>
      <c r="O25" s="8">
        <v>2</v>
      </c>
      <c r="P25" s="8">
        <v>2</v>
      </c>
      <c r="Q25" s="8">
        <v>2</v>
      </c>
      <c r="R25" s="8">
        <v>2</v>
      </c>
      <c r="S25" s="8">
        <v>2</v>
      </c>
      <c r="T25" s="8">
        <v>2</v>
      </c>
      <c r="U25" s="8">
        <v>0</v>
      </c>
      <c r="V25" s="8">
        <v>2</v>
      </c>
      <c r="W25" s="8">
        <v>2</v>
      </c>
      <c r="X25" s="8">
        <v>2</v>
      </c>
      <c r="Y25" s="8">
        <v>0</v>
      </c>
      <c r="Z25" s="8">
        <v>0</v>
      </c>
      <c r="AA25" s="8">
        <v>0</v>
      </c>
      <c r="AB25" s="8">
        <v>0</v>
      </c>
      <c r="AC25" s="8">
        <v>2</v>
      </c>
      <c r="AD25" s="8">
        <v>2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1" t="s">
        <v>5</v>
      </c>
      <c r="AU25" t="s">
        <v>251</v>
      </c>
      <c r="AV25">
        <f>IF(SUMPRODUCT(SUBTOTAL(103,OFFSET($A$6,ROW($A$6:$A$2792)-ROW($A$6),0)),--($AT$6:$AT$2792=$AU$25))&gt;0,$AU$25,"")</f>
        <v>0</v>
      </c>
      <c r="AW25" t="s">
        <v>254</v>
      </c>
    </row>
    <row r="26" spans="1:49" ht="15.1" customHeight="1">
      <c r="A26" s="8"/>
      <c r="B26" s="9"/>
      <c r="C26" s="8"/>
      <c r="D26" s="9"/>
      <c r="E26" s="8">
        <v>4</v>
      </c>
      <c r="F26" s="8">
        <v>2</v>
      </c>
      <c r="G26" s="8">
        <v>14</v>
      </c>
      <c r="H26" s="8">
        <v>4</v>
      </c>
      <c r="I26" s="8">
        <v>6</v>
      </c>
      <c r="J26" s="8">
        <v>5</v>
      </c>
      <c r="K26" s="8">
        <v>3</v>
      </c>
      <c r="L26" s="8">
        <v>4</v>
      </c>
      <c r="M26" s="8">
        <v>4</v>
      </c>
      <c r="N26" s="8">
        <v>16.5</v>
      </c>
      <c r="O26" s="8">
        <v>7</v>
      </c>
      <c r="P26" s="8">
        <v>6.5</v>
      </c>
      <c r="Q26" s="8">
        <v>4.5</v>
      </c>
      <c r="R26" s="8">
        <v>5</v>
      </c>
      <c r="S26" s="8">
        <v>3</v>
      </c>
      <c r="T26" s="8">
        <v>2.5</v>
      </c>
      <c r="U26" s="8">
        <v>13</v>
      </c>
      <c r="V26" s="8">
        <v>0</v>
      </c>
      <c r="W26" s="8">
        <v>6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3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1" t="s">
        <v>5</v>
      </c>
      <c r="AU26" t="s">
        <v>252</v>
      </c>
      <c r="AV26">
        <f>IF(SUMPRODUCT(SUBTOTAL(103,OFFSET($A$6,ROW($A$6:$A$2792)-ROW($A$6),0)),--($AT$6:$AT$2792=$AU$26))&gt;0,$AU$26,"")</f>
        <v>0</v>
      </c>
      <c r="AW26" t="s">
        <v>255</v>
      </c>
    </row>
    <row r="27" spans="1:49" ht="15.1" customHeight="1">
      <c r="A27" s="8">
        <v>8</v>
      </c>
      <c r="B27" s="9" t="s">
        <v>279</v>
      </c>
      <c r="C27" s="8" t="s">
        <v>280</v>
      </c>
      <c r="D27" s="9" t="s">
        <v>266</v>
      </c>
      <c r="E27" s="8" t="s">
        <v>54</v>
      </c>
      <c r="F27" s="8" t="s">
        <v>54</v>
      </c>
      <c r="G27" s="10" t="s">
        <v>67</v>
      </c>
      <c r="H27" s="8" t="s">
        <v>54</v>
      </c>
      <c r="I27" s="8" t="s">
        <v>54</v>
      </c>
      <c r="J27" s="8" t="s">
        <v>54</v>
      </c>
      <c r="K27" s="8" t="s">
        <v>54</v>
      </c>
      <c r="L27" s="8" t="s">
        <v>54</v>
      </c>
      <c r="M27" s="8" t="s">
        <v>54</v>
      </c>
      <c r="N27" s="10" t="s">
        <v>67</v>
      </c>
      <c r="O27" s="8" t="s">
        <v>54</v>
      </c>
      <c r="P27" s="8" t="s">
        <v>54</v>
      </c>
      <c r="Q27" s="8" t="s">
        <v>54</v>
      </c>
      <c r="R27" s="8" t="s">
        <v>54</v>
      </c>
      <c r="S27" s="8" t="s">
        <v>54</v>
      </c>
      <c r="T27" s="8" t="s">
        <v>54</v>
      </c>
      <c r="U27" s="10" t="s">
        <v>67</v>
      </c>
      <c r="V27" s="8" t="s">
        <v>54</v>
      </c>
      <c r="W27" s="8" t="s">
        <v>54</v>
      </c>
      <c r="X27" s="8" t="s">
        <v>54</v>
      </c>
      <c r="Y27" s="8" t="s">
        <v>54</v>
      </c>
      <c r="Z27" s="8" t="s">
        <v>54</v>
      </c>
      <c r="AA27" s="12" t="s">
        <v>55</v>
      </c>
      <c r="AB27" s="10" t="s">
        <v>67</v>
      </c>
      <c r="AC27" s="8" t="s">
        <v>54</v>
      </c>
      <c r="AD27" s="8" t="s">
        <v>54</v>
      </c>
      <c r="AE27" s="8" t="s">
        <v>54</v>
      </c>
      <c r="AF27" s="8" t="s">
        <v>54</v>
      </c>
      <c r="AG27" s="8" t="s">
        <v>54</v>
      </c>
      <c r="AH27" s="8" t="s">
        <v>54</v>
      </c>
      <c r="AI27" s="10" t="s">
        <v>67</v>
      </c>
      <c r="AJ27" s="8">
        <f>COUNTIF($E$27:$AI$27,"P")</f>
        <v>25</v>
      </c>
      <c r="AK27" s="8">
        <f>COUNTIF($E$27:$AI$27,"A")</f>
        <v>1</v>
      </c>
      <c r="AL27" s="8">
        <f>SUM($E$28:$AI$28)</f>
        <v>38</v>
      </c>
      <c r="AM27" s="8">
        <f>SUM($E$29:$AI$29)</f>
        <v>118.5</v>
      </c>
      <c r="AN27" s="8">
        <f>AL27+AM27</f>
        <v>156.5</v>
      </c>
      <c r="AO27" s="8">
        <f>COUNTIF($E$27:$AI$27,"CL")</f>
        <v>0</v>
      </c>
      <c r="AP27" s="8">
        <f>COUNTIF($E$27:$AI$27,"SL")</f>
        <v>0</v>
      </c>
      <c r="AQ27" s="8">
        <f>COUNTIF($E$27:$AI$27,"EL")</f>
        <v>0</v>
      </c>
      <c r="AR27" s="8">
        <f>COUNTIF($E$27:$AI$27,"H")</f>
        <v>0</v>
      </c>
      <c r="AS27" s="8"/>
      <c r="AT27" s="11" t="s">
        <v>5</v>
      </c>
      <c r="AU27" t="s">
        <v>253</v>
      </c>
      <c r="AV27">
        <f>IF(SUMPRODUCT(SUBTOTAL(103,OFFSET($A$6,ROW($A$6:$A$2792)-ROW($A$6),0)),--($AT$6:$AT$2792=$AU$27))&gt;0,$AU$27,"")</f>
        <v>0</v>
      </c>
      <c r="AW27" t="s">
        <v>256</v>
      </c>
    </row>
    <row r="28" spans="1:49" ht="15.1" customHeight="1">
      <c r="A28" s="8"/>
      <c r="B28" s="9"/>
      <c r="C28" s="8"/>
      <c r="D28" s="9"/>
      <c r="E28" s="8">
        <v>2</v>
      </c>
      <c r="F28" s="8">
        <v>2</v>
      </c>
      <c r="G28" s="8">
        <v>0</v>
      </c>
      <c r="H28" s="8">
        <v>2</v>
      </c>
      <c r="I28" s="8">
        <v>2</v>
      </c>
      <c r="J28" s="8">
        <v>2</v>
      </c>
      <c r="K28" s="8">
        <v>2</v>
      </c>
      <c r="L28" s="8">
        <v>2</v>
      </c>
      <c r="M28" s="8">
        <v>2</v>
      </c>
      <c r="N28" s="8">
        <v>0</v>
      </c>
      <c r="O28" s="8">
        <v>2</v>
      </c>
      <c r="P28" s="8">
        <v>2</v>
      </c>
      <c r="Q28" s="8">
        <v>2</v>
      </c>
      <c r="R28" s="8">
        <v>2</v>
      </c>
      <c r="S28" s="8">
        <v>2</v>
      </c>
      <c r="T28" s="8">
        <v>2</v>
      </c>
      <c r="U28" s="8">
        <v>0</v>
      </c>
      <c r="V28" s="8">
        <v>2</v>
      </c>
      <c r="W28" s="8">
        <v>2</v>
      </c>
      <c r="X28" s="8">
        <v>2</v>
      </c>
      <c r="Y28" s="8">
        <v>0</v>
      </c>
      <c r="Z28" s="8">
        <v>0</v>
      </c>
      <c r="AA28" s="8">
        <v>0</v>
      </c>
      <c r="AB28" s="8">
        <v>0</v>
      </c>
      <c r="AC28" s="8">
        <v>2</v>
      </c>
      <c r="AD28" s="8">
        <v>2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11" t="s">
        <v>5</v>
      </c>
      <c r="AU28" t="s">
        <v>254</v>
      </c>
      <c r="AV28">
        <f>IF(SUMPRODUCT(SUBTOTAL(103,OFFSET($A$6,ROW($A$6:$A$2792)-ROW($A$6),0)),--($AT$6:$AT$2792=$AU$28))&gt;0,$AU$28,"")</f>
        <v>0</v>
      </c>
      <c r="AW28" t="s">
        <v>257</v>
      </c>
    </row>
    <row r="29" spans="1:49" ht="15.1" customHeight="1">
      <c r="A29" s="8"/>
      <c r="B29" s="9"/>
      <c r="C29" s="8"/>
      <c r="D29" s="9"/>
      <c r="E29" s="8">
        <v>4</v>
      </c>
      <c r="F29" s="8">
        <v>2</v>
      </c>
      <c r="G29" s="8">
        <v>13.5</v>
      </c>
      <c r="H29" s="8">
        <v>4</v>
      </c>
      <c r="I29" s="8">
        <v>6</v>
      </c>
      <c r="J29" s="8">
        <v>5</v>
      </c>
      <c r="K29" s="8">
        <v>7</v>
      </c>
      <c r="L29" s="8">
        <v>5</v>
      </c>
      <c r="M29" s="8">
        <v>4</v>
      </c>
      <c r="N29" s="8">
        <v>16.5</v>
      </c>
      <c r="O29" s="8">
        <v>7</v>
      </c>
      <c r="P29" s="8">
        <v>7</v>
      </c>
      <c r="Q29" s="8">
        <v>5</v>
      </c>
      <c r="R29" s="8">
        <v>5</v>
      </c>
      <c r="S29" s="8">
        <v>3</v>
      </c>
      <c r="T29" s="8">
        <v>3</v>
      </c>
      <c r="U29" s="8">
        <v>12.5</v>
      </c>
      <c r="V29" s="8">
        <v>0</v>
      </c>
      <c r="W29" s="8">
        <v>6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3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1" t="s">
        <v>5</v>
      </c>
      <c r="AU29" t="s">
        <v>255</v>
      </c>
      <c r="AV29">
        <f>IF(SUMPRODUCT(SUBTOTAL(103,OFFSET($A$6,ROW($A$6:$A$2792)-ROW($A$6),0)),--($AT$6:$AT$2792=$AU$29))&gt;0,$AU$29,"")</f>
        <v>0</v>
      </c>
      <c r="AW29" t="s">
        <v>258</v>
      </c>
    </row>
    <row r="30" spans="1:49" ht="15.1" customHeight="1">
      <c r="A30" s="8">
        <v>9</v>
      </c>
      <c r="B30" s="9" t="s">
        <v>281</v>
      </c>
      <c r="C30" s="8" t="s">
        <v>282</v>
      </c>
      <c r="D30" s="9" t="s">
        <v>266</v>
      </c>
      <c r="E30" s="8" t="s">
        <v>54</v>
      </c>
      <c r="F30" s="8" t="s">
        <v>54</v>
      </c>
      <c r="G30" s="10" t="s">
        <v>67</v>
      </c>
      <c r="H30" s="8" t="s">
        <v>54</v>
      </c>
      <c r="I30" s="8" t="s">
        <v>54</v>
      </c>
      <c r="J30" s="8" t="s">
        <v>54</v>
      </c>
      <c r="K30" s="8" t="s">
        <v>54</v>
      </c>
      <c r="L30" s="8" t="s">
        <v>54</v>
      </c>
      <c r="M30" s="12" t="s">
        <v>55</v>
      </c>
      <c r="N30" s="10" t="s">
        <v>67</v>
      </c>
      <c r="O30" s="8" t="s">
        <v>54</v>
      </c>
      <c r="P30" s="8" t="s">
        <v>54</v>
      </c>
      <c r="Q30" s="8" t="s">
        <v>54</v>
      </c>
      <c r="R30" s="8" t="s">
        <v>54</v>
      </c>
      <c r="S30" s="8" t="s">
        <v>54</v>
      </c>
      <c r="T30" s="8" t="s">
        <v>54</v>
      </c>
      <c r="U30" s="10" t="s">
        <v>67</v>
      </c>
      <c r="V30" s="8" t="s">
        <v>54</v>
      </c>
      <c r="W30" s="8" t="s">
        <v>54</v>
      </c>
      <c r="X30" s="8" t="s">
        <v>54</v>
      </c>
      <c r="Y30" s="8" t="s">
        <v>54</v>
      </c>
      <c r="Z30" s="8" t="s">
        <v>54</v>
      </c>
      <c r="AA30" s="8" t="s">
        <v>54</v>
      </c>
      <c r="AB30" s="10" t="s">
        <v>67</v>
      </c>
      <c r="AC30" s="8" t="s">
        <v>54</v>
      </c>
      <c r="AD30" s="8" t="s">
        <v>54</v>
      </c>
      <c r="AE30" s="8" t="s">
        <v>54</v>
      </c>
      <c r="AF30" s="8" t="s">
        <v>54</v>
      </c>
      <c r="AG30" s="8" t="s">
        <v>54</v>
      </c>
      <c r="AH30" s="12" t="s">
        <v>55</v>
      </c>
      <c r="AI30" s="10" t="s">
        <v>67</v>
      </c>
      <c r="AJ30" s="8">
        <f>COUNTIF($E$30:$AI$30,"P")</f>
        <v>24</v>
      </c>
      <c r="AK30" s="8">
        <f>COUNTIF($E$30:$AI$30,"A")</f>
        <v>2</v>
      </c>
      <c r="AL30" s="8">
        <f>SUM($E$31:$AI$31)</f>
        <v>36</v>
      </c>
      <c r="AM30" s="8">
        <f>SUM($E$32:$AI$32)</f>
        <v>89</v>
      </c>
      <c r="AN30" s="8">
        <f>AL30+AM30</f>
        <v>125</v>
      </c>
      <c r="AO30" s="8">
        <f>COUNTIF($E$30:$AI$30,"CL")</f>
        <v>0</v>
      </c>
      <c r="AP30" s="8">
        <f>COUNTIF($E$30:$AI$30,"SL")</f>
        <v>0</v>
      </c>
      <c r="AQ30" s="8">
        <f>COUNTIF($E$30:$AI$30,"EL")</f>
        <v>0</v>
      </c>
      <c r="AR30" s="8">
        <f>COUNTIF($E$30:$AI$30,"H")</f>
        <v>0</v>
      </c>
      <c r="AS30" s="8"/>
      <c r="AT30" s="11" t="s">
        <v>5</v>
      </c>
      <c r="AU30" t="s">
        <v>256</v>
      </c>
      <c r="AV30">
        <f>IF(SUMPRODUCT(SUBTOTAL(103,OFFSET($A$6,ROW($A$6:$A$2792)-ROW($A$6),0)),--($AT$6:$AT$2792=$AU$30))&gt;0,$AU$30,"")</f>
        <v>0</v>
      </c>
      <c r="AW30" t="s">
        <v>259</v>
      </c>
    </row>
    <row r="31" spans="1:49" ht="15.1" customHeight="1">
      <c r="A31" s="8"/>
      <c r="B31" s="9"/>
      <c r="C31" s="8"/>
      <c r="D31" s="9"/>
      <c r="E31" s="8">
        <v>2</v>
      </c>
      <c r="F31" s="8">
        <v>2</v>
      </c>
      <c r="G31" s="8">
        <v>0</v>
      </c>
      <c r="H31" s="8">
        <v>2</v>
      </c>
      <c r="I31" s="8">
        <v>2</v>
      </c>
      <c r="J31" s="8">
        <v>2</v>
      </c>
      <c r="K31" s="8">
        <v>2</v>
      </c>
      <c r="L31" s="8">
        <v>2</v>
      </c>
      <c r="M31" s="8">
        <v>0</v>
      </c>
      <c r="N31" s="8">
        <v>0</v>
      </c>
      <c r="O31" s="8">
        <v>2</v>
      </c>
      <c r="P31" s="8">
        <v>2</v>
      </c>
      <c r="Q31" s="8">
        <v>2</v>
      </c>
      <c r="R31" s="8">
        <v>2</v>
      </c>
      <c r="S31" s="8">
        <v>2</v>
      </c>
      <c r="T31" s="8">
        <v>2</v>
      </c>
      <c r="U31" s="8">
        <v>0</v>
      </c>
      <c r="V31" s="8">
        <v>2</v>
      </c>
      <c r="W31" s="8">
        <v>2</v>
      </c>
      <c r="X31" s="8">
        <v>2</v>
      </c>
      <c r="Y31" s="8">
        <v>0</v>
      </c>
      <c r="Z31" s="8">
        <v>0</v>
      </c>
      <c r="AA31" s="8">
        <v>0</v>
      </c>
      <c r="AB31" s="8">
        <v>0</v>
      </c>
      <c r="AC31" s="8">
        <v>2</v>
      </c>
      <c r="AD31" s="8">
        <v>2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1" t="s">
        <v>5</v>
      </c>
      <c r="AU31" t="s">
        <v>257</v>
      </c>
      <c r="AV31">
        <f>IF(SUMPRODUCT(SUBTOTAL(103,OFFSET($A$6,ROW($A$6:$A$2792)-ROW($A$6),0)),--($AT$6:$AT$2792=$AU$31))&gt;0,$AU$31,"")</f>
        <v>0</v>
      </c>
      <c r="AW31" t="s">
        <v>18</v>
      </c>
    </row>
    <row r="32" spans="1:49" ht="15.1" customHeight="1">
      <c r="A32" s="8"/>
      <c r="B32" s="9"/>
      <c r="C32" s="8"/>
      <c r="D32" s="9"/>
      <c r="E32" s="8">
        <v>4</v>
      </c>
      <c r="F32" s="8">
        <v>2</v>
      </c>
      <c r="G32" s="8">
        <v>13.5</v>
      </c>
      <c r="H32" s="8">
        <v>4</v>
      </c>
      <c r="I32" s="8">
        <v>6</v>
      </c>
      <c r="J32" s="8">
        <v>5</v>
      </c>
      <c r="K32" s="8">
        <v>3</v>
      </c>
      <c r="L32" s="8">
        <v>0</v>
      </c>
      <c r="M32" s="8">
        <v>0</v>
      </c>
      <c r="N32" s="8">
        <v>0</v>
      </c>
      <c r="O32" s="8">
        <v>7</v>
      </c>
      <c r="P32" s="8">
        <v>7</v>
      </c>
      <c r="Q32" s="8">
        <v>5</v>
      </c>
      <c r="R32" s="8">
        <v>5</v>
      </c>
      <c r="S32" s="8">
        <v>3</v>
      </c>
      <c r="T32" s="8">
        <v>3</v>
      </c>
      <c r="U32" s="8">
        <v>12.5</v>
      </c>
      <c r="V32" s="8">
        <v>0</v>
      </c>
      <c r="W32" s="8">
        <v>6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3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1" t="s">
        <v>5</v>
      </c>
      <c r="AU32" t="s">
        <v>258</v>
      </c>
      <c r="AV32">
        <f>IF(SUMPRODUCT(SUBTOTAL(103,OFFSET($A$6,ROW($A$6:$A$2792)-ROW($A$6),0)),--($AT$6:$AT$2792=$AU$32))&gt;0,$AU$32,"")</f>
        <v>0</v>
      </c>
      <c r="AW32" t="s">
        <v>260</v>
      </c>
    </row>
    <row r="33" spans="1:49" ht="15.1" customHeight="1">
      <c r="A33" s="8">
        <v>10</v>
      </c>
      <c r="B33" s="9" t="s">
        <v>283</v>
      </c>
      <c r="C33" s="8" t="s">
        <v>284</v>
      </c>
      <c r="D33" s="9" t="s">
        <v>266</v>
      </c>
      <c r="E33" s="8" t="s">
        <v>54</v>
      </c>
      <c r="F33" s="8" t="s">
        <v>54</v>
      </c>
      <c r="G33" s="10" t="s">
        <v>67</v>
      </c>
      <c r="H33" s="8" t="s">
        <v>54</v>
      </c>
      <c r="I33" s="8" t="s">
        <v>54</v>
      </c>
      <c r="J33" s="8" t="s">
        <v>54</v>
      </c>
      <c r="K33" s="8" t="s">
        <v>54</v>
      </c>
      <c r="L33" s="8" t="s">
        <v>54</v>
      </c>
      <c r="M33" s="8" t="s">
        <v>54</v>
      </c>
      <c r="N33" s="10" t="s">
        <v>67</v>
      </c>
      <c r="O33" s="8" t="s">
        <v>54</v>
      </c>
      <c r="P33" s="8" t="s">
        <v>54</v>
      </c>
      <c r="Q33" s="8" t="s">
        <v>54</v>
      </c>
      <c r="R33" s="8" t="s">
        <v>54</v>
      </c>
      <c r="S33" s="8" t="s">
        <v>54</v>
      </c>
      <c r="T33" s="8" t="s">
        <v>54</v>
      </c>
      <c r="U33" s="10" t="s">
        <v>67</v>
      </c>
      <c r="V33" s="8" t="s">
        <v>54</v>
      </c>
      <c r="W33" s="8" t="s">
        <v>54</v>
      </c>
      <c r="X33" s="8" t="s">
        <v>54</v>
      </c>
      <c r="Y33" s="8" t="s">
        <v>54</v>
      </c>
      <c r="Z33" s="8" t="s">
        <v>54</v>
      </c>
      <c r="AA33" s="8" t="s">
        <v>54</v>
      </c>
      <c r="AB33" s="10" t="s">
        <v>67</v>
      </c>
      <c r="AC33" s="8" t="s">
        <v>54</v>
      </c>
      <c r="AD33" s="8" t="s">
        <v>54</v>
      </c>
      <c r="AE33" s="8" t="s">
        <v>54</v>
      </c>
      <c r="AF33" s="8" t="s">
        <v>54</v>
      </c>
      <c r="AG33" s="8" t="s">
        <v>54</v>
      </c>
      <c r="AH33" s="8" t="s">
        <v>54</v>
      </c>
      <c r="AI33" s="10" t="s">
        <v>67</v>
      </c>
      <c r="AJ33" s="8">
        <f>COUNTIF($E$33:$AI$33,"P")</f>
        <v>26</v>
      </c>
      <c r="AK33" s="8">
        <f>COUNTIF($E$33:$AI$33,"A")</f>
        <v>0</v>
      </c>
      <c r="AL33" s="8">
        <f>SUM($E$34:$AI$34)</f>
        <v>38</v>
      </c>
      <c r="AM33" s="8">
        <f>SUM($E$35:$AI$35)</f>
        <v>108.5</v>
      </c>
      <c r="AN33" s="8">
        <f>AL33+AM33</f>
        <v>146</v>
      </c>
      <c r="AO33" s="8">
        <f>COUNTIF($E$33:$AI$33,"CL")</f>
        <v>0</v>
      </c>
      <c r="AP33" s="8">
        <f>COUNTIF($E$33:$AI$33,"SL")</f>
        <v>0</v>
      </c>
      <c r="AQ33" s="8">
        <f>COUNTIF($E$33:$AI$33,"EL")</f>
        <v>0</v>
      </c>
      <c r="AR33" s="8">
        <f>COUNTIF($E$33:$AI$33,"H")</f>
        <v>0</v>
      </c>
      <c r="AS33" s="8"/>
      <c r="AT33" s="11" t="s">
        <v>5</v>
      </c>
      <c r="AU33" t="s">
        <v>259</v>
      </c>
      <c r="AV33">
        <f>IF(SUMPRODUCT(SUBTOTAL(103,OFFSET($A$6,ROW($A$6:$A$2792)-ROW($A$6),0)),--($AT$6:$AT$2792=$AU$33))&gt;0,$AU$33,"")</f>
        <v>0</v>
      </c>
      <c r="AW33" t="s">
        <v>261</v>
      </c>
    </row>
    <row r="34" spans="1:49" ht="15.1" customHeight="1">
      <c r="A34" s="8"/>
      <c r="B34" s="9"/>
      <c r="C34" s="8"/>
      <c r="D34" s="9"/>
      <c r="E34" s="8">
        <v>2</v>
      </c>
      <c r="F34" s="8">
        <v>2</v>
      </c>
      <c r="G34" s="8">
        <v>0</v>
      </c>
      <c r="H34" s="8">
        <v>2</v>
      </c>
      <c r="I34" s="8">
        <v>2</v>
      </c>
      <c r="J34" s="8">
        <v>2</v>
      </c>
      <c r="K34" s="8">
        <v>2</v>
      </c>
      <c r="L34" s="8">
        <v>2</v>
      </c>
      <c r="M34" s="8">
        <v>2</v>
      </c>
      <c r="N34" s="8">
        <v>0</v>
      </c>
      <c r="O34" s="8">
        <v>2</v>
      </c>
      <c r="P34" s="8">
        <v>2</v>
      </c>
      <c r="Q34" s="8">
        <v>2</v>
      </c>
      <c r="R34" s="8">
        <v>2</v>
      </c>
      <c r="S34" s="8">
        <v>2</v>
      </c>
      <c r="T34" s="8">
        <v>2</v>
      </c>
      <c r="U34" s="8">
        <v>0</v>
      </c>
      <c r="V34" s="8">
        <v>2</v>
      </c>
      <c r="W34" s="8">
        <v>2</v>
      </c>
      <c r="X34" s="8">
        <v>2</v>
      </c>
      <c r="Y34" s="8">
        <v>0</v>
      </c>
      <c r="Z34" s="8">
        <v>0</v>
      </c>
      <c r="AA34" s="8">
        <v>0</v>
      </c>
      <c r="AB34" s="8">
        <v>0</v>
      </c>
      <c r="AC34" s="8">
        <v>2</v>
      </c>
      <c r="AD34" s="8">
        <v>2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1" t="s">
        <v>5</v>
      </c>
      <c r="AU34" t="s">
        <v>18</v>
      </c>
      <c r="AV34">
        <f>IF(SUMPRODUCT(SUBTOTAL(103,OFFSET($A$6,ROW($A$6:$A$2792)-ROW($A$6),0)),--($AT$6:$AT$2792=$AU$34))&gt;0,$AU$34,"")</f>
        <v>0</v>
      </c>
      <c r="AW34" t="s">
        <v>262</v>
      </c>
    </row>
    <row r="35" spans="1:49" ht="15.1" customHeight="1">
      <c r="A35" s="8"/>
      <c r="B35" s="9"/>
      <c r="C35" s="8"/>
      <c r="D35" s="9"/>
      <c r="E35" s="8">
        <v>4</v>
      </c>
      <c r="F35" s="8">
        <v>2</v>
      </c>
      <c r="G35" s="8">
        <v>14</v>
      </c>
      <c r="H35" s="8">
        <v>4</v>
      </c>
      <c r="I35" s="8">
        <v>6</v>
      </c>
      <c r="J35" s="8">
        <v>5</v>
      </c>
      <c r="K35" s="8">
        <v>3</v>
      </c>
      <c r="L35" s="8">
        <v>5</v>
      </c>
      <c r="M35" s="8">
        <v>4</v>
      </c>
      <c r="N35" s="8">
        <v>16.5</v>
      </c>
      <c r="O35" s="8">
        <v>7</v>
      </c>
      <c r="P35" s="8">
        <v>0</v>
      </c>
      <c r="Q35" s="8">
        <v>5</v>
      </c>
      <c r="R35" s="8">
        <v>5</v>
      </c>
      <c r="S35" s="8">
        <v>3</v>
      </c>
      <c r="T35" s="8">
        <v>3</v>
      </c>
      <c r="U35" s="8">
        <v>13</v>
      </c>
      <c r="V35" s="8">
        <v>0</v>
      </c>
      <c r="W35" s="8">
        <v>6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3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1" t="s">
        <v>5</v>
      </c>
      <c r="AU35" t="s">
        <v>260</v>
      </c>
      <c r="AV35">
        <f>IF(SUMPRODUCT(SUBTOTAL(103,OFFSET($A$6,ROW($A$6:$A$2792)-ROW($A$6),0)),--($AT$6:$AT$2792=$AU$35))&gt;0,$AU$35,"")</f>
        <v>0</v>
      </c>
      <c r="AW35" t="s">
        <v>263</v>
      </c>
    </row>
    <row r="36" spans="1:49" ht="15.1" customHeight="1">
      <c r="A36" s="8">
        <v>11</v>
      </c>
      <c r="B36" s="9" t="s">
        <v>285</v>
      </c>
      <c r="C36" s="8" t="s">
        <v>286</v>
      </c>
      <c r="D36" s="9" t="s">
        <v>266</v>
      </c>
      <c r="E36" s="8" t="s">
        <v>54</v>
      </c>
      <c r="F36" s="8" t="s">
        <v>54</v>
      </c>
      <c r="G36" s="10" t="s">
        <v>67</v>
      </c>
      <c r="H36" s="8" t="s">
        <v>54</v>
      </c>
      <c r="I36" s="8" t="s">
        <v>54</v>
      </c>
      <c r="J36" s="8" t="s">
        <v>54</v>
      </c>
      <c r="K36" s="8" t="s">
        <v>54</v>
      </c>
      <c r="L36" s="8" t="s">
        <v>54</v>
      </c>
      <c r="M36" s="8" t="s">
        <v>54</v>
      </c>
      <c r="N36" s="10" t="s">
        <v>67</v>
      </c>
      <c r="O36" s="8" t="s">
        <v>54</v>
      </c>
      <c r="P36" s="8" t="s">
        <v>54</v>
      </c>
      <c r="Q36" s="8" t="s">
        <v>54</v>
      </c>
      <c r="R36" s="8" t="s">
        <v>54</v>
      </c>
      <c r="S36" s="8" t="s">
        <v>54</v>
      </c>
      <c r="T36" s="8" t="s">
        <v>54</v>
      </c>
      <c r="U36" s="10" t="s">
        <v>67</v>
      </c>
      <c r="V36" s="8" t="s">
        <v>54</v>
      </c>
      <c r="W36" s="8" t="s">
        <v>54</v>
      </c>
      <c r="X36" s="8" t="s">
        <v>54</v>
      </c>
      <c r="Y36" s="8" t="s">
        <v>54</v>
      </c>
      <c r="Z36" s="8" t="s">
        <v>54</v>
      </c>
      <c r="AA36" s="8" t="s">
        <v>54</v>
      </c>
      <c r="AB36" s="10" t="s">
        <v>67</v>
      </c>
      <c r="AC36" s="8" t="s">
        <v>54</v>
      </c>
      <c r="AD36" s="8" t="s">
        <v>54</v>
      </c>
      <c r="AE36" s="8" t="s">
        <v>54</v>
      </c>
      <c r="AF36" s="8" t="s">
        <v>54</v>
      </c>
      <c r="AG36" s="8" t="s">
        <v>54</v>
      </c>
      <c r="AH36" s="8" t="s">
        <v>54</v>
      </c>
      <c r="AI36" s="10" t="s">
        <v>67</v>
      </c>
      <c r="AJ36" s="8">
        <f>COUNTIF($E$36:$AI$36,"P")</f>
        <v>26</v>
      </c>
      <c r="AK36" s="8">
        <f>COUNTIF($E$36:$AI$36,"A")</f>
        <v>0</v>
      </c>
      <c r="AL36" s="8">
        <f>SUM($E$37:$AI$37)</f>
        <v>36</v>
      </c>
      <c r="AM36" s="8">
        <f>SUM($E$38:$AI$38)</f>
        <v>130.5</v>
      </c>
      <c r="AN36" s="8">
        <f>AL36+AM36</f>
        <v>166.5</v>
      </c>
      <c r="AO36" s="8">
        <f>COUNTIF($E$36:$AI$36,"CL")</f>
        <v>0</v>
      </c>
      <c r="AP36" s="8">
        <f>COUNTIF($E$36:$AI$36,"SL")</f>
        <v>0</v>
      </c>
      <c r="AQ36" s="8">
        <f>COUNTIF($E$36:$AI$36,"EL")</f>
        <v>0</v>
      </c>
      <c r="AR36" s="8">
        <f>COUNTIF($E$36:$AI$36,"H")</f>
        <v>0</v>
      </c>
      <c r="AS36" s="8"/>
      <c r="AT36" s="11" t="s">
        <v>6</v>
      </c>
      <c r="AU36" t="s">
        <v>261</v>
      </c>
      <c r="AV36">
        <f>IF(SUMPRODUCT(SUBTOTAL(103,OFFSET($A$6,ROW($A$6:$A$2792)-ROW($A$6),0)),--($AT$6:$AT$2792=$AU$36))&gt;0,$AU$36,"")</f>
        <v>0</v>
      </c>
    </row>
    <row r="37" spans="1:49" ht="15.1" customHeight="1">
      <c r="A37" s="8"/>
      <c r="B37" s="9"/>
      <c r="C37" s="8"/>
      <c r="D37" s="9"/>
      <c r="E37" s="8">
        <v>2</v>
      </c>
      <c r="F37" s="8">
        <v>2</v>
      </c>
      <c r="G37" s="8">
        <v>0</v>
      </c>
      <c r="H37" s="8">
        <v>2</v>
      </c>
      <c r="I37" s="8">
        <v>2</v>
      </c>
      <c r="J37" s="8">
        <v>2</v>
      </c>
      <c r="K37" s="8">
        <v>2</v>
      </c>
      <c r="L37" s="8">
        <v>2</v>
      </c>
      <c r="M37" s="8">
        <v>2</v>
      </c>
      <c r="N37" s="8">
        <v>0</v>
      </c>
      <c r="O37" s="8">
        <v>2</v>
      </c>
      <c r="P37" s="8">
        <v>2</v>
      </c>
      <c r="Q37" s="8">
        <v>2</v>
      </c>
      <c r="R37" s="8">
        <v>2</v>
      </c>
      <c r="S37" s="8">
        <v>2</v>
      </c>
      <c r="T37" s="8">
        <v>2</v>
      </c>
      <c r="U37" s="8">
        <v>0</v>
      </c>
      <c r="V37" s="8">
        <v>2</v>
      </c>
      <c r="W37" s="8">
        <v>2</v>
      </c>
      <c r="X37" s="8">
        <v>2</v>
      </c>
      <c r="Y37" s="8">
        <v>0</v>
      </c>
      <c r="Z37" s="8">
        <v>0</v>
      </c>
      <c r="AA37" s="8">
        <v>0</v>
      </c>
      <c r="AB37" s="8">
        <v>0</v>
      </c>
      <c r="AC37" s="8">
        <v>2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11" t="s">
        <v>6</v>
      </c>
      <c r="AU37" t="s">
        <v>262</v>
      </c>
      <c r="AV37">
        <f>IF(SUMPRODUCT(SUBTOTAL(103,OFFSET($A$6,ROW($A$6:$A$2792)-ROW($A$6),0)),--($AT$6:$AT$2792=$AU$37))&gt;0,$AU$37,"")</f>
        <v>0</v>
      </c>
    </row>
    <row r="38" spans="1:49" ht="15.1" customHeight="1">
      <c r="A38" s="8"/>
      <c r="B38" s="9"/>
      <c r="C38" s="8"/>
      <c r="D38" s="9"/>
      <c r="E38" s="8">
        <v>5</v>
      </c>
      <c r="F38" s="8">
        <v>3</v>
      </c>
      <c r="G38" s="8">
        <v>14</v>
      </c>
      <c r="H38" s="8">
        <v>5</v>
      </c>
      <c r="I38" s="8">
        <v>4.5</v>
      </c>
      <c r="J38" s="8">
        <v>7</v>
      </c>
      <c r="K38" s="8">
        <v>7</v>
      </c>
      <c r="L38" s="8">
        <v>7</v>
      </c>
      <c r="M38" s="8">
        <v>5</v>
      </c>
      <c r="N38" s="8">
        <v>17</v>
      </c>
      <c r="O38" s="8">
        <v>7</v>
      </c>
      <c r="P38" s="8">
        <v>7</v>
      </c>
      <c r="Q38" s="8">
        <v>5</v>
      </c>
      <c r="R38" s="8">
        <v>7</v>
      </c>
      <c r="S38" s="8">
        <v>7</v>
      </c>
      <c r="T38" s="8">
        <v>3</v>
      </c>
      <c r="U38" s="8">
        <v>13</v>
      </c>
      <c r="V38" s="8">
        <v>7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11" t="s">
        <v>6</v>
      </c>
      <c r="AU38" t="s">
        <v>263</v>
      </c>
      <c r="AV38">
        <f>IF(SUMPRODUCT(SUBTOTAL(103,OFFSET($A$6,ROW($A$6:$A$2792)-ROW($A$6),0)),--($AT$6:$AT$2792=$AU$38))&gt;0,$AU$38,"")</f>
        <v>0</v>
      </c>
    </row>
    <row r="39" spans="1:49" ht="15.1" customHeight="1">
      <c r="A39" s="8">
        <v>12</v>
      </c>
      <c r="B39" s="9" t="s">
        <v>287</v>
      </c>
      <c r="C39" s="8" t="s">
        <v>288</v>
      </c>
      <c r="D39" s="9" t="s">
        <v>266</v>
      </c>
      <c r="E39" s="8" t="s">
        <v>54</v>
      </c>
      <c r="F39" s="8" t="s">
        <v>54</v>
      </c>
      <c r="G39" s="10" t="s">
        <v>67</v>
      </c>
      <c r="H39" s="8" t="s">
        <v>54</v>
      </c>
      <c r="I39" s="8" t="s">
        <v>54</v>
      </c>
      <c r="J39" s="8" t="s">
        <v>54</v>
      </c>
      <c r="K39" s="8" t="s">
        <v>54</v>
      </c>
      <c r="L39" s="8" t="s">
        <v>54</v>
      </c>
      <c r="M39" s="8" t="s">
        <v>54</v>
      </c>
      <c r="N39" s="10" t="s">
        <v>67</v>
      </c>
      <c r="O39" s="8" t="s">
        <v>54</v>
      </c>
      <c r="P39" s="8" t="s">
        <v>54</v>
      </c>
      <c r="Q39" s="8" t="s">
        <v>54</v>
      </c>
      <c r="R39" s="8" t="s">
        <v>54</v>
      </c>
      <c r="S39" s="8" t="s">
        <v>54</v>
      </c>
      <c r="T39" s="8" t="s">
        <v>54</v>
      </c>
      <c r="U39" s="10" t="s">
        <v>67</v>
      </c>
      <c r="V39" s="8" t="s">
        <v>54</v>
      </c>
      <c r="W39" s="8" t="s">
        <v>54</v>
      </c>
      <c r="X39" s="8" t="s">
        <v>54</v>
      </c>
      <c r="Y39" s="8" t="s">
        <v>54</v>
      </c>
      <c r="Z39" s="8" t="s">
        <v>54</v>
      </c>
      <c r="AA39" s="8" t="s">
        <v>54</v>
      </c>
      <c r="AB39" s="10" t="s">
        <v>67</v>
      </c>
      <c r="AC39" s="8" t="s">
        <v>54</v>
      </c>
      <c r="AD39" s="8" t="s">
        <v>54</v>
      </c>
      <c r="AE39" s="8" t="s">
        <v>54</v>
      </c>
      <c r="AF39" s="8" t="s">
        <v>54</v>
      </c>
      <c r="AG39" s="8" t="s">
        <v>54</v>
      </c>
      <c r="AH39" s="8" t="s">
        <v>54</v>
      </c>
      <c r="AI39" s="10" t="s">
        <v>67</v>
      </c>
      <c r="AJ39" s="8">
        <f>COUNTIF($E$39:$AI$39,"P")</f>
        <v>26</v>
      </c>
      <c r="AK39" s="8">
        <f>COUNTIF($E$39:$AI$39,"A")</f>
        <v>0</v>
      </c>
      <c r="AL39" s="8">
        <f>SUM($E$40:$AI$40)</f>
        <v>39</v>
      </c>
      <c r="AM39" s="8">
        <f>SUM($E$41:$AI$41)</f>
        <v>138</v>
      </c>
      <c r="AN39" s="8">
        <f>AL39+AM39</f>
        <v>177</v>
      </c>
      <c r="AO39" s="8">
        <f>COUNTIF($E$39:$AI$39,"CL")</f>
        <v>0</v>
      </c>
      <c r="AP39" s="8">
        <f>COUNTIF($E$39:$AI$39,"SL")</f>
        <v>0</v>
      </c>
      <c r="AQ39" s="8">
        <f>COUNTIF($E$39:$AI$39,"EL")</f>
        <v>0</v>
      </c>
      <c r="AR39" s="8">
        <f>COUNTIF($E$39:$AI$39,"H")</f>
        <v>0</v>
      </c>
      <c r="AS39" s="8"/>
      <c r="AT39" s="11" t="s">
        <v>6</v>
      </c>
    </row>
    <row r="40" spans="1:49" ht="15.1" customHeight="1">
      <c r="A40" s="8"/>
      <c r="B40" s="9"/>
      <c r="C40" s="8"/>
      <c r="D40" s="9"/>
      <c r="E40" s="8">
        <v>2</v>
      </c>
      <c r="F40" s="8">
        <v>2</v>
      </c>
      <c r="G40" s="8">
        <v>0</v>
      </c>
      <c r="H40" s="8">
        <v>2</v>
      </c>
      <c r="I40" s="8">
        <v>2</v>
      </c>
      <c r="J40" s="8">
        <v>2</v>
      </c>
      <c r="K40" s="8">
        <v>2</v>
      </c>
      <c r="L40" s="8">
        <v>2</v>
      </c>
      <c r="M40" s="8">
        <v>2</v>
      </c>
      <c r="N40" s="8">
        <v>0</v>
      </c>
      <c r="O40" s="8">
        <v>2</v>
      </c>
      <c r="P40" s="8">
        <v>2</v>
      </c>
      <c r="Q40" s="8">
        <v>2</v>
      </c>
      <c r="R40" s="8">
        <v>2</v>
      </c>
      <c r="S40" s="8">
        <v>2</v>
      </c>
      <c r="T40" s="8">
        <v>2</v>
      </c>
      <c r="U40" s="8">
        <v>0</v>
      </c>
      <c r="V40" s="8">
        <v>2</v>
      </c>
      <c r="W40" s="8">
        <v>2</v>
      </c>
      <c r="X40" s="8">
        <v>2</v>
      </c>
      <c r="Y40" s="8">
        <v>0</v>
      </c>
      <c r="Z40" s="8">
        <v>0</v>
      </c>
      <c r="AA40" s="8">
        <v>0</v>
      </c>
      <c r="AB40" s="8">
        <v>0</v>
      </c>
      <c r="AC40" s="8">
        <v>2</v>
      </c>
      <c r="AD40" s="8">
        <v>2</v>
      </c>
      <c r="AE40" s="8">
        <v>0</v>
      </c>
      <c r="AF40" s="8">
        <v>0</v>
      </c>
      <c r="AG40" s="8">
        <v>1</v>
      </c>
      <c r="AH40" s="8">
        <v>0</v>
      </c>
      <c r="AI40" s="8">
        <v>0</v>
      </c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11" t="s">
        <v>6</v>
      </c>
    </row>
    <row r="41" spans="1:49" ht="15.1" customHeight="1">
      <c r="A41" s="8"/>
      <c r="B41" s="9"/>
      <c r="C41" s="8"/>
      <c r="D41" s="9"/>
      <c r="E41" s="8">
        <v>5</v>
      </c>
      <c r="F41" s="8">
        <v>3</v>
      </c>
      <c r="G41" s="8">
        <v>14</v>
      </c>
      <c r="H41" s="8">
        <v>4.5</v>
      </c>
      <c r="I41" s="8">
        <v>7</v>
      </c>
      <c r="J41" s="8">
        <v>7</v>
      </c>
      <c r="K41" s="8">
        <v>7</v>
      </c>
      <c r="L41" s="8">
        <v>7</v>
      </c>
      <c r="M41" s="8">
        <v>5</v>
      </c>
      <c r="N41" s="8">
        <v>16.5</v>
      </c>
      <c r="O41" s="8">
        <v>7</v>
      </c>
      <c r="P41" s="8">
        <v>7</v>
      </c>
      <c r="Q41" s="8">
        <v>5</v>
      </c>
      <c r="R41" s="8">
        <v>7</v>
      </c>
      <c r="S41" s="8">
        <v>7</v>
      </c>
      <c r="T41" s="8">
        <v>3</v>
      </c>
      <c r="U41" s="8">
        <v>12</v>
      </c>
      <c r="V41" s="8">
        <v>7</v>
      </c>
      <c r="W41" s="8">
        <v>7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11" t="s">
        <v>6</v>
      </c>
    </row>
    <row r="42" spans="1:49" ht="15.1" customHeight="1">
      <c r="A42" s="8">
        <v>13</v>
      </c>
      <c r="B42" s="9" t="s">
        <v>267</v>
      </c>
      <c r="C42" s="8" t="s">
        <v>289</v>
      </c>
      <c r="D42" s="9" t="s">
        <v>266</v>
      </c>
      <c r="E42" s="12" t="s">
        <v>55</v>
      </c>
      <c r="F42" s="8" t="s">
        <v>54</v>
      </c>
      <c r="G42" s="10" t="s">
        <v>67</v>
      </c>
      <c r="H42" s="8" t="s">
        <v>54</v>
      </c>
      <c r="I42" s="12" t="s">
        <v>55</v>
      </c>
      <c r="J42" s="8" t="s">
        <v>54</v>
      </c>
      <c r="K42" s="8" t="s">
        <v>54</v>
      </c>
      <c r="L42" s="8" t="s">
        <v>54</v>
      </c>
      <c r="M42" s="8" t="s">
        <v>54</v>
      </c>
      <c r="N42" s="10" t="s">
        <v>67</v>
      </c>
      <c r="O42" s="8" t="s">
        <v>54</v>
      </c>
      <c r="P42" s="8" t="s">
        <v>54</v>
      </c>
      <c r="Q42" s="8" t="s">
        <v>54</v>
      </c>
      <c r="R42" s="8" t="s">
        <v>54</v>
      </c>
      <c r="S42" s="8" t="s">
        <v>54</v>
      </c>
      <c r="T42" s="8" t="s">
        <v>54</v>
      </c>
      <c r="U42" s="10" t="s">
        <v>67</v>
      </c>
      <c r="V42" s="8" t="s">
        <v>54</v>
      </c>
      <c r="W42" s="8" t="s">
        <v>54</v>
      </c>
      <c r="X42" s="12" t="s">
        <v>55</v>
      </c>
      <c r="Y42" s="8" t="s">
        <v>54</v>
      </c>
      <c r="Z42" s="8" t="s">
        <v>54</v>
      </c>
      <c r="AA42" s="8" t="s">
        <v>54</v>
      </c>
      <c r="AB42" s="10" t="s">
        <v>67</v>
      </c>
      <c r="AC42" s="8" t="s">
        <v>54</v>
      </c>
      <c r="AD42" s="8" t="s">
        <v>54</v>
      </c>
      <c r="AE42" s="8" t="s">
        <v>54</v>
      </c>
      <c r="AF42" s="8" t="s">
        <v>54</v>
      </c>
      <c r="AG42" s="8" t="s">
        <v>54</v>
      </c>
      <c r="AH42" s="8" t="s">
        <v>54</v>
      </c>
      <c r="AI42" s="10" t="s">
        <v>67</v>
      </c>
      <c r="AJ42" s="8">
        <f>COUNTIF($E$42:$AI$42,"P")</f>
        <v>23</v>
      </c>
      <c r="AK42" s="8">
        <f>COUNTIF($E$42:$AI$42,"A")</f>
        <v>3</v>
      </c>
      <c r="AL42" s="8">
        <f>SUM($E$43:$AI$43)</f>
        <v>29</v>
      </c>
      <c r="AM42" s="8">
        <f>SUM($E$44:$AI$44)</f>
        <v>128</v>
      </c>
      <c r="AN42" s="8">
        <f>AL42+AM42</f>
        <v>157</v>
      </c>
      <c r="AO42" s="8">
        <f>COUNTIF($E$42:$AI$42,"CL")</f>
        <v>0</v>
      </c>
      <c r="AP42" s="8">
        <f>COUNTIF($E$42:$AI$42,"SL")</f>
        <v>0</v>
      </c>
      <c r="AQ42" s="8">
        <f>COUNTIF($E$42:$AI$42,"EL")</f>
        <v>0</v>
      </c>
      <c r="AR42" s="8">
        <f>COUNTIF($E$42:$AI$42,"H")</f>
        <v>0</v>
      </c>
      <c r="AS42" s="8"/>
      <c r="AT42" s="11" t="s">
        <v>6</v>
      </c>
    </row>
    <row r="43" spans="1:49" ht="15.1" customHeight="1">
      <c r="A43" s="8"/>
      <c r="B43" s="9"/>
      <c r="C43" s="8"/>
      <c r="D43" s="9"/>
      <c r="E43" s="8">
        <v>0</v>
      </c>
      <c r="F43" s="8">
        <v>2</v>
      </c>
      <c r="G43" s="8">
        <v>0</v>
      </c>
      <c r="H43" s="8">
        <v>2</v>
      </c>
      <c r="I43" s="8">
        <v>0</v>
      </c>
      <c r="J43" s="8">
        <v>2</v>
      </c>
      <c r="K43" s="8">
        <v>2</v>
      </c>
      <c r="L43" s="8">
        <v>2</v>
      </c>
      <c r="M43" s="8">
        <v>2</v>
      </c>
      <c r="N43" s="8">
        <v>0</v>
      </c>
      <c r="O43" s="8">
        <v>2</v>
      </c>
      <c r="P43" s="8">
        <v>2</v>
      </c>
      <c r="Q43" s="8">
        <v>2</v>
      </c>
      <c r="R43" s="8">
        <v>2</v>
      </c>
      <c r="S43" s="8">
        <v>2</v>
      </c>
      <c r="T43" s="8">
        <v>2</v>
      </c>
      <c r="U43" s="8">
        <v>0</v>
      </c>
      <c r="V43" s="8">
        <v>2</v>
      </c>
      <c r="W43" s="8">
        <v>2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1</v>
      </c>
      <c r="AH43" s="8">
        <v>0</v>
      </c>
      <c r="AI43" s="8">
        <v>0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11" t="s">
        <v>6</v>
      </c>
    </row>
    <row r="44" spans="1:49" ht="15.1" customHeight="1">
      <c r="A44" s="8"/>
      <c r="B44" s="9"/>
      <c r="C44" s="8"/>
      <c r="D44" s="9"/>
      <c r="E44" s="8">
        <v>0</v>
      </c>
      <c r="F44" s="8">
        <v>3</v>
      </c>
      <c r="G44" s="8">
        <v>14</v>
      </c>
      <c r="H44" s="8">
        <v>5</v>
      </c>
      <c r="I44" s="8">
        <v>0</v>
      </c>
      <c r="J44" s="8">
        <v>7</v>
      </c>
      <c r="K44" s="8">
        <v>7</v>
      </c>
      <c r="L44" s="8">
        <v>7</v>
      </c>
      <c r="M44" s="8">
        <v>5</v>
      </c>
      <c r="N44" s="8">
        <v>17</v>
      </c>
      <c r="O44" s="8">
        <v>7</v>
      </c>
      <c r="P44" s="8">
        <v>7</v>
      </c>
      <c r="Q44" s="8">
        <v>5</v>
      </c>
      <c r="R44" s="8">
        <v>7</v>
      </c>
      <c r="S44" s="8">
        <v>7</v>
      </c>
      <c r="T44" s="8">
        <v>3</v>
      </c>
      <c r="U44" s="8">
        <v>13</v>
      </c>
      <c r="V44" s="8">
        <v>7</v>
      </c>
      <c r="W44" s="8">
        <v>7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11" t="s">
        <v>6</v>
      </c>
    </row>
    <row r="45" spans="1:49" ht="15.1" customHeight="1">
      <c r="A45" s="8">
        <v>14</v>
      </c>
      <c r="B45" s="9" t="s">
        <v>290</v>
      </c>
      <c r="C45" s="8" t="s">
        <v>291</v>
      </c>
      <c r="D45" s="9" t="s">
        <v>266</v>
      </c>
      <c r="E45" s="8" t="s">
        <v>54</v>
      </c>
      <c r="F45" s="8" t="s">
        <v>54</v>
      </c>
      <c r="G45" s="10" t="s">
        <v>67</v>
      </c>
      <c r="H45" s="8" t="s">
        <v>54</v>
      </c>
      <c r="I45" s="8" t="s">
        <v>54</v>
      </c>
      <c r="J45" s="8" t="s">
        <v>54</v>
      </c>
      <c r="K45" s="8" t="s">
        <v>54</v>
      </c>
      <c r="L45" s="8" t="s">
        <v>54</v>
      </c>
      <c r="M45" s="8" t="s">
        <v>54</v>
      </c>
      <c r="N45" s="10" t="s">
        <v>67</v>
      </c>
      <c r="O45" s="8" t="s">
        <v>54</v>
      </c>
      <c r="P45" s="8" t="s">
        <v>54</v>
      </c>
      <c r="Q45" s="8" t="s">
        <v>54</v>
      </c>
      <c r="R45" s="8" t="s">
        <v>54</v>
      </c>
      <c r="S45" s="8" t="s">
        <v>54</v>
      </c>
      <c r="T45" s="8" t="s">
        <v>54</v>
      </c>
      <c r="U45" s="10" t="s">
        <v>67</v>
      </c>
      <c r="V45" s="8" t="s">
        <v>54</v>
      </c>
      <c r="W45" s="8" t="s">
        <v>54</v>
      </c>
      <c r="X45" s="8" t="s">
        <v>54</v>
      </c>
      <c r="Y45" s="8" t="s">
        <v>54</v>
      </c>
      <c r="Z45" s="8" t="s">
        <v>54</v>
      </c>
      <c r="AA45" s="8" t="s">
        <v>54</v>
      </c>
      <c r="AB45" s="10" t="s">
        <v>67</v>
      </c>
      <c r="AC45" s="8" t="s">
        <v>54</v>
      </c>
      <c r="AD45" s="8" t="s">
        <v>54</v>
      </c>
      <c r="AE45" s="8" t="s">
        <v>54</v>
      </c>
      <c r="AF45" s="8" t="s">
        <v>54</v>
      </c>
      <c r="AG45" s="8" t="s">
        <v>54</v>
      </c>
      <c r="AH45" s="8" t="s">
        <v>54</v>
      </c>
      <c r="AI45" s="10" t="s">
        <v>67</v>
      </c>
      <c r="AJ45" s="8">
        <f>COUNTIF($E$45:$AI$45,"P")</f>
        <v>26</v>
      </c>
      <c r="AK45" s="8">
        <f>COUNTIF($E$45:$AI$45,"A")</f>
        <v>0</v>
      </c>
      <c r="AL45" s="8">
        <f>SUM($E$46:$AI$46)</f>
        <v>39</v>
      </c>
      <c r="AM45" s="8">
        <f>SUM($E$47:$AI$47)</f>
        <v>122.5</v>
      </c>
      <c r="AN45" s="8">
        <f>AL45+AM45</f>
        <v>161.5</v>
      </c>
      <c r="AO45" s="8">
        <f>COUNTIF($E$45:$AI$45,"CL")</f>
        <v>0</v>
      </c>
      <c r="AP45" s="8">
        <f>COUNTIF($E$45:$AI$45,"SL")</f>
        <v>0</v>
      </c>
      <c r="AQ45" s="8">
        <f>COUNTIF($E$45:$AI$45,"EL")</f>
        <v>0</v>
      </c>
      <c r="AR45" s="8">
        <f>COUNTIF($E$45:$AI$45,"H")</f>
        <v>0</v>
      </c>
      <c r="AS45" s="8"/>
      <c r="AT45" s="11" t="s">
        <v>6</v>
      </c>
    </row>
    <row r="46" spans="1:49" ht="15.1" customHeight="1">
      <c r="A46" s="8"/>
      <c r="B46" s="9"/>
      <c r="C46" s="8"/>
      <c r="D46" s="9"/>
      <c r="E46" s="8">
        <v>2</v>
      </c>
      <c r="F46" s="8">
        <v>2</v>
      </c>
      <c r="G46" s="8">
        <v>0</v>
      </c>
      <c r="H46" s="8">
        <v>2</v>
      </c>
      <c r="I46" s="8">
        <v>2</v>
      </c>
      <c r="J46" s="8">
        <v>2</v>
      </c>
      <c r="K46" s="8">
        <v>2</v>
      </c>
      <c r="L46" s="8">
        <v>2</v>
      </c>
      <c r="M46" s="8">
        <v>2</v>
      </c>
      <c r="N46" s="8">
        <v>0</v>
      </c>
      <c r="O46" s="8">
        <v>2</v>
      </c>
      <c r="P46" s="8">
        <v>2</v>
      </c>
      <c r="Q46" s="8">
        <v>2</v>
      </c>
      <c r="R46" s="8">
        <v>2</v>
      </c>
      <c r="S46" s="8">
        <v>2</v>
      </c>
      <c r="T46" s="8">
        <v>2</v>
      </c>
      <c r="U46" s="8">
        <v>0</v>
      </c>
      <c r="V46" s="8">
        <v>2</v>
      </c>
      <c r="W46" s="8">
        <v>2</v>
      </c>
      <c r="X46" s="8">
        <v>2</v>
      </c>
      <c r="Y46" s="8">
        <v>0</v>
      </c>
      <c r="Z46" s="8">
        <v>0</v>
      </c>
      <c r="AA46" s="8">
        <v>0</v>
      </c>
      <c r="AB46" s="8">
        <v>0</v>
      </c>
      <c r="AC46" s="8">
        <v>2</v>
      </c>
      <c r="AD46" s="8">
        <v>2</v>
      </c>
      <c r="AE46" s="8">
        <v>0</v>
      </c>
      <c r="AF46" s="8">
        <v>0</v>
      </c>
      <c r="AG46" s="8">
        <v>1</v>
      </c>
      <c r="AH46" s="8">
        <v>0</v>
      </c>
      <c r="AI46" s="8">
        <v>0</v>
      </c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11" t="s">
        <v>6</v>
      </c>
    </row>
    <row r="47" spans="1:49" ht="15.1" customHeight="1">
      <c r="A47" s="8"/>
      <c r="B47" s="9"/>
      <c r="C47" s="8"/>
      <c r="D47" s="9"/>
      <c r="E47" s="8">
        <v>5</v>
      </c>
      <c r="F47" s="8">
        <v>3</v>
      </c>
      <c r="G47" s="8">
        <v>13.5</v>
      </c>
      <c r="H47" s="8">
        <v>5</v>
      </c>
      <c r="I47" s="8">
        <v>7</v>
      </c>
      <c r="J47" s="8">
        <v>7</v>
      </c>
      <c r="K47" s="8">
        <v>7</v>
      </c>
      <c r="L47" s="8">
        <v>7</v>
      </c>
      <c r="M47" s="8">
        <v>5</v>
      </c>
      <c r="N47" s="8">
        <v>0</v>
      </c>
      <c r="O47" s="8">
        <v>7</v>
      </c>
      <c r="P47" s="8">
        <v>7</v>
      </c>
      <c r="Q47" s="8">
        <v>5</v>
      </c>
      <c r="R47" s="8">
        <v>7</v>
      </c>
      <c r="S47" s="8">
        <v>7</v>
      </c>
      <c r="T47" s="8">
        <v>3</v>
      </c>
      <c r="U47" s="8">
        <v>13</v>
      </c>
      <c r="V47" s="8">
        <v>7</v>
      </c>
      <c r="W47" s="8">
        <v>7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11" t="s">
        <v>6</v>
      </c>
    </row>
    <row r="48" spans="1:49" ht="15.1" customHeight="1">
      <c r="A48" s="8">
        <v>15</v>
      </c>
      <c r="B48" s="9" t="s">
        <v>292</v>
      </c>
      <c r="C48" s="8" t="s">
        <v>293</v>
      </c>
      <c r="D48" s="9" t="s">
        <v>266</v>
      </c>
      <c r="E48" s="8" t="s">
        <v>54</v>
      </c>
      <c r="F48" s="8" t="s">
        <v>54</v>
      </c>
      <c r="G48" s="10" t="s">
        <v>67</v>
      </c>
      <c r="H48" s="8" t="s">
        <v>54</v>
      </c>
      <c r="I48" s="8" t="s">
        <v>54</v>
      </c>
      <c r="J48" s="12" t="s">
        <v>55</v>
      </c>
      <c r="K48" s="8" t="s">
        <v>54</v>
      </c>
      <c r="L48" s="8" t="s">
        <v>54</v>
      </c>
      <c r="M48" s="8" t="s">
        <v>54</v>
      </c>
      <c r="N48" s="10" t="s">
        <v>67</v>
      </c>
      <c r="O48" s="8" t="s">
        <v>54</v>
      </c>
      <c r="P48" s="8" t="s">
        <v>54</v>
      </c>
      <c r="Q48" s="8" t="s">
        <v>54</v>
      </c>
      <c r="R48" s="8" t="s">
        <v>54</v>
      </c>
      <c r="S48" s="8" t="s">
        <v>54</v>
      </c>
      <c r="T48" s="8" t="s">
        <v>54</v>
      </c>
      <c r="U48" s="10" t="s">
        <v>67</v>
      </c>
      <c r="V48" s="8" t="s">
        <v>54</v>
      </c>
      <c r="W48" s="8" t="s">
        <v>54</v>
      </c>
      <c r="X48" s="8" t="s">
        <v>54</v>
      </c>
      <c r="Y48" s="8" t="s">
        <v>54</v>
      </c>
      <c r="Z48" s="8" t="s">
        <v>54</v>
      </c>
      <c r="AA48" s="8" t="s">
        <v>54</v>
      </c>
      <c r="AB48" s="10" t="s">
        <v>67</v>
      </c>
      <c r="AC48" s="8" t="s">
        <v>54</v>
      </c>
      <c r="AD48" s="8" t="s">
        <v>54</v>
      </c>
      <c r="AE48" s="8" t="s">
        <v>54</v>
      </c>
      <c r="AF48" s="8" t="s">
        <v>54</v>
      </c>
      <c r="AG48" s="12" t="s">
        <v>55</v>
      </c>
      <c r="AH48" s="12" t="s">
        <v>55</v>
      </c>
      <c r="AI48" s="10" t="s">
        <v>67</v>
      </c>
      <c r="AJ48" s="8">
        <f>COUNTIF($E$48:$AI$48,"P")</f>
        <v>23</v>
      </c>
      <c r="AK48" s="8">
        <f>COUNTIF($E$48:$AI$48,"A")</f>
        <v>3</v>
      </c>
      <c r="AL48" s="8">
        <f>SUM($E$49:$AI$49)</f>
        <v>36</v>
      </c>
      <c r="AM48" s="8">
        <f>SUM($E$50:$AI$50)</f>
        <v>133</v>
      </c>
      <c r="AN48" s="8">
        <f>AL48+AM48</f>
        <v>169</v>
      </c>
      <c r="AO48" s="8">
        <f>COUNTIF($E$48:$AI$48,"CL")</f>
        <v>0</v>
      </c>
      <c r="AP48" s="8">
        <f>COUNTIF($E$48:$AI$48,"SL")</f>
        <v>0</v>
      </c>
      <c r="AQ48" s="8">
        <f>COUNTIF($E$48:$AI$48,"EL")</f>
        <v>0</v>
      </c>
      <c r="AR48" s="8">
        <f>COUNTIF($E$48:$AI$48,"H")</f>
        <v>0</v>
      </c>
      <c r="AS48" s="8"/>
      <c r="AT48" s="11" t="s">
        <v>6</v>
      </c>
    </row>
    <row r="49" spans="1:46" ht="15.1" customHeight="1">
      <c r="A49" s="8"/>
      <c r="B49" s="9"/>
      <c r="C49" s="8"/>
      <c r="D49" s="9"/>
      <c r="E49" s="8">
        <v>2</v>
      </c>
      <c r="F49" s="8">
        <v>2</v>
      </c>
      <c r="G49" s="8">
        <v>0</v>
      </c>
      <c r="H49" s="8">
        <v>2</v>
      </c>
      <c r="I49" s="8">
        <v>2</v>
      </c>
      <c r="J49" s="8">
        <v>0</v>
      </c>
      <c r="K49" s="8">
        <v>2</v>
      </c>
      <c r="L49" s="8">
        <v>2</v>
      </c>
      <c r="M49" s="8">
        <v>2</v>
      </c>
      <c r="N49" s="8">
        <v>0</v>
      </c>
      <c r="O49" s="8">
        <v>2</v>
      </c>
      <c r="P49" s="8">
        <v>2</v>
      </c>
      <c r="Q49" s="8">
        <v>2</v>
      </c>
      <c r="R49" s="8">
        <v>2</v>
      </c>
      <c r="S49" s="8">
        <v>2</v>
      </c>
      <c r="T49" s="8">
        <v>2</v>
      </c>
      <c r="U49" s="8">
        <v>0</v>
      </c>
      <c r="V49" s="8">
        <v>2</v>
      </c>
      <c r="W49" s="8">
        <v>2</v>
      </c>
      <c r="X49" s="8">
        <v>2</v>
      </c>
      <c r="Y49" s="8">
        <v>0</v>
      </c>
      <c r="Z49" s="8">
        <v>0</v>
      </c>
      <c r="AA49" s="8">
        <v>0</v>
      </c>
      <c r="AB49" s="8">
        <v>0</v>
      </c>
      <c r="AC49" s="8">
        <v>2</v>
      </c>
      <c r="AD49" s="8">
        <v>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11" t="s">
        <v>6</v>
      </c>
    </row>
    <row r="50" spans="1:46" ht="15.1" customHeight="1">
      <c r="A50" s="8"/>
      <c r="B50" s="9"/>
      <c r="C50" s="8"/>
      <c r="D50" s="9"/>
      <c r="E50" s="8">
        <v>5</v>
      </c>
      <c r="F50" s="8">
        <v>3</v>
      </c>
      <c r="G50" s="8">
        <v>14</v>
      </c>
      <c r="H50" s="8">
        <v>5</v>
      </c>
      <c r="I50" s="8">
        <v>7</v>
      </c>
      <c r="J50" s="8">
        <v>0</v>
      </c>
      <c r="K50" s="8">
        <v>7</v>
      </c>
      <c r="L50" s="8">
        <v>7</v>
      </c>
      <c r="M50" s="8">
        <v>5</v>
      </c>
      <c r="N50" s="8">
        <v>17</v>
      </c>
      <c r="O50" s="8">
        <v>7</v>
      </c>
      <c r="P50" s="8">
        <v>7</v>
      </c>
      <c r="Q50" s="8">
        <v>5</v>
      </c>
      <c r="R50" s="8">
        <v>7</v>
      </c>
      <c r="S50" s="8">
        <v>7</v>
      </c>
      <c r="T50" s="8">
        <v>3</v>
      </c>
      <c r="U50" s="8">
        <v>13</v>
      </c>
      <c r="V50" s="8">
        <v>7</v>
      </c>
      <c r="W50" s="8">
        <v>7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11" t="s">
        <v>6</v>
      </c>
    </row>
    <row r="51" spans="1:46" ht="15.1" customHeight="1">
      <c r="A51" s="8">
        <v>16</v>
      </c>
      <c r="B51" s="9" t="s">
        <v>294</v>
      </c>
      <c r="C51" s="8" t="s">
        <v>295</v>
      </c>
      <c r="D51" s="9" t="s">
        <v>266</v>
      </c>
      <c r="E51" s="8" t="s">
        <v>54</v>
      </c>
      <c r="F51" s="12" t="s">
        <v>55</v>
      </c>
      <c r="G51" s="10" t="s">
        <v>67</v>
      </c>
      <c r="H51" s="8" t="s">
        <v>54</v>
      </c>
      <c r="I51" s="8" t="s">
        <v>54</v>
      </c>
      <c r="J51" s="8" t="s">
        <v>54</v>
      </c>
      <c r="K51" s="8" t="s">
        <v>54</v>
      </c>
      <c r="L51" s="8" t="s">
        <v>54</v>
      </c>
      <c r="M51" s="12" t="s">
        <v>55</v>
      </c>
      <c r="N51" s="10" t="s">
        <v>67</v>
      </c>
      <c r="O51" s="8" t="s">
        <v>54</v>
      </c>
      <c r="P51" s="8" t="s">
        <v>54</v>
      </c>
      <c r="Q51" s="8" t="s">
        <v>54</v>
      </c>
      <c r="R51" s="12" t="s">
        <v>55</v>
      </c>
      <c r="S51" s="8" t="s">
        <v>54</v>
      </c>
      <c r="T51" s="12" t="s">
        <v>55</v>
      </c>
      <c r="U51" s="10" t="s">
        <v>67</v>
      </c>
      <c r="V51" s="8" t="s">
        <v>54</v>
      </c>
      <c r="W51" s="8" t="s">
        <v>54</v>
      </c>
      <c r="X51" s="8" t="s">
        <v>54</v>
      </c>
      <c r="Y51" s="8" t="s">
        <v>54</v>
      </c>
      <c r="Z51" s="8" t="s">
        <v>54</v>
      </c>
      <c r="AA51" s="8" t="s">
        <v>54</v>
      </c>
      <c r="AB51" s="10" t="s">
        <v>67</v>
      </c>
      <c r="AC51" s="8" t="s">
        <v>54</v>
      </c>
      <c r="AD51" s="8" t="s">
        <v>54</v>
      </c>
      <c r="AE51" s="8" t="s">
        <v>54</v>
      </c>
      <c r="AF51" s="8" t="s">
        <v>54</v>
      </c>
      <c r="AG51" s="8" t="s">
        <v>54</v>
      </c>
      <c r="AH51" s="8" t="s">
        <v>54</v>
      </c>
      <c r="AI51" s="10" t="s">
        <v>67</v>
      </c>
      <c r="AJ51" s="8">
        <f>COUNTIF($E$51:$AI$51,"P")</f>
        <v>22</v>
      </c>
      <c r="AK51" s="8">
        <f>COUNTIF($E$51:$AI$51,"A")</f>
        <v>4</v>
      </c>
      <c r="AL51" s="8">
        <f>SUM($E$52:$AI$52)</f>
        <v>31</v>
      </c>
      <c r="AM51" s="8">
        <f>SUM($E$53:$AI$53)</f>
        <v>107</v>
      </c>
      <c r="AN51" s="8">
        <f>AL51+AM51</f>
        <v>137.5</v>
      </c>
      <c r="AO51" s="8">
        <f>COUNTIF($E$51:$AI$51,"CL")</f>
        <v>0</v>
      </c>
      <c r="AP51" s="8">
        <f>COUNTIF($E$51:$AI$51,"SL")</f>
        <v>0</v>
      </c>
      <c r="AQ51" s="8">
        <f>COUNTIF($E$51:$AI$51,"EL")</f>
        <v>0</v>
      </c>
      <c r="AR51" s="8">
        <f>COUNTIF($E$51:$AI$51,"H")</f>
        <v>0</v>
      </c>
      <c r="AS51" s="8"/>
      <c r="AT51" s="11" t="s">
        <v>6</v>
      </c>
    </row>
    <row r="52" spans="1:46" ht="15.1" customHeight="1">
      <c r="A52" s="8"/>
      <c r="B52" s="9"/>
      <c r="C52" s="8"/>
      <c r="D52" s="9"/>
      <c r="E52" s="8">
        <v>2</v>
      </c>
      <c r="F52" s="8">
        <v>0</v>
      </c>
      <c r="G52" s="8">
        <v>0</v>
      </c>
      <c r="H52" s="8">
        <v>2</v>
      </c>
      <c r="I52" s="8">
        <v>2</v>
      </c>
      <c r="J52" s="8">
        <v>2</v>
      </c>
      <c r="K52" s="8">
        <v>2</v>
      </c>
      <c r="L52" s="8">
        <v>2</v>
      </c>
      <c r="M52" s="8">
        <v>0</v>
      </c>
      <c r="N52" s="8">
        <v>0</v>
      </c>
      <c r="O52" s="8">
        <v>2</v>
      </c>
      <c r="P52" s="8">
        <v>2</v>
      </c>
      <c r="Q52" s="8">
        <v>2</v>
      </c>
      <c r="R52" s="8">
        <v>0</v>
      </c>
      <c r="S52" s="8">
        <v>2</v>
      </c>
      <c r="T52" s="8">
        <v>0</v>
      </c>
      <c r="U52" s="8">
        <v>0</v>
      </c>
      <c r="V52" s="8">
        <v>2</v>
      </c>
      <c r="W52" s="8">
        <v>2</v>
      </c>
      <c r="X52" s="8">
        <v>2</v>
      </c>
      <c r="Y52" s="8">
        <v>0</v>
      </c>
      <c r="Z52" s="8">
        <v>0</v>
      </c>
      <c r="AA52" s="8">
        <v>0</v>
      </c>
      <c r="AB52" s="8">
        <v>0</v>
      </c>
      <c r="AC52" s="8">
        <v>2</v>
      </c>
      <c r="AD52" s="8">
        <v>2</v>
      </c>
      <c r="AE52" s="8">
        <v>0</v>
      </c>
      <c r="AF52" s="8">
        <v>0</v>
      </c>
      <c r="AG52" s="8">
        <v>1</v>
      </c>
      <c r="AH52" s="8">
        <v>0</v>
      </c>
      <c r="AI52" s="8">
        <v>0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11" t="s">
        <v>6</v>
      </c>
    </row>
    <row r="53" spans="1:46" ht="15.1" customHeight="1">
      <c r="A53" s="8"/>
      <c r="B53" s="9"/>
      <c r="C53" s="8"/>
      <c r="D53" s="9"/>
      <c r="E53" s="8">
        <v>5</v>
      </c>
      <c r="F53" s="8">
        <v>0</v>
      </c>
      <c r="G53" s="8">
        <v>14</v>
      </c>
      <c r="H53" s="8">
        <v>5</v>
      </c>
      <c r="I53" s="8">
        <v>7</v>
      </c>
      <c r="J53" s="8">
        <v>7</v>
      </c>
      <c r="K53" s="8">
        <v>7</v>
      </c>
      <c r="L53" s="8">
        <v>6.5</v>
      </c>
      <c r="M53" s="8">
        <v>0</v>
      </c>
      <c r="N53" s="8">
        <v>17</v>
      </c>
      <c r="O53" s="8">
        <v>7</v>
      </c>
      <c r="P53" s="8">
        <v>6.5</v>
      </c>
      <c r="Q53" s="8">
        <v>4.5</v>
      </c>
      <c r="R53" s="8">
        <v>0</v>
      </c>
      <c r="S53" s="8">
        <v>7</v>
      </c>
      <c r="T53" s="8">
        <v>0</v>
      </c>
      <c r="U53" s="8">
        <v>0</v>
      </c>
      <c r="V53" s="8">
        <v>7</v>
      </c>
      <c r="W53" s="8">
        <v>6.5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11" t="s">
        <v>6</v>
      </c>
    </row>
    <row r="54" spans="1:46" ht="15.1" customHeight="1">
      <c r="A54" s="8">
        <v>17</v>
      </c>
      <c r="B54" s="9" t="s">
        <v>296</v>
      </c>
      <c r="C54" s="8" t="s">
        <v>297</v>
      </c>
      <c r="D54" s="9" t="s">
        <v>266</v>
      </c>
      <c r="E54" s="8" t="s">
        <v>54</v>
      </c>
      <c r="F54" s="8" t="s">
        <v>54</v>
      </c>
      <c r="G54" s="10" t="s">
        <v>67</v>
      </c>
      <c r="H54" s="8" t="s">
        <v>54</v>
      </c>
      <c r="I54" s="8" t="s">
        <v>54</v>
      </c>
      <c r="J54" s="8" t="s">
        <v>54</v>
      </c>
      <c r="K54" s="8" t="s">
        <v>54</v>
      </c>
      <c r="L54" s="8" t="s">
        <v>54</v>
      </c>
      <c r="M54" s="8" t="s">
        <v>54</v>
      </c>
      <c r="N54" s="10" t="s">
        <v>67</v>
      </c>
      <c r="O54" s="8" t="s">
        <v>54</v>
      </c>
      <c r="P54" s="8" t="s">
        <v>54</v>
      </c>
      <c r="Q54" s="8" t="s">
        <v>54</v>
      </c>
      <c r="R54" s="8" t="s">
        <v>54</v>
      </c>
      <c r="S54" s="8" t="s">
        <v>54</v>
      </c>
      <c r="T54" s="8" t="s">
        <v>54</v>
      </c>
      <c r="U54" s="10" t="s">
        <v>67</v>
      </c>
      <c r="V54" s="8" t="s">
        <v>54</v>
      </c>
      <c r="W54" s="8" t="s">
        <v>54</v>
      </c>
      <c r="X54" s="8" t="s">
        <v>54</v>
      </c>
      <c r="Y54" s="8" t="s">
        <v>54</v>
      </c>
      <c r="Z54" s="8" t="s">
        <v>54</v>
      </c>
      <c r="AA54" s="8" t="s">
        <v>54</v>
      </c>
      <c r="AB54" s="10" t="s">
        <v>67</v>
      </c>
      <c r="AC54" s="8" t="s">
        <v>54</v>
      </c>
      <c r="AD54" s="8" t="s">
        <v>54</v>
      </c>
      <c r="AE54" s="8" t="s">
        <v>54</v>
      </c>
      <c r="AF54" s="8" t="s">
        <v>54</v>
      </c>
      <c r="AG54" s="8" t="s">
        <v>54</v>
      </c>
      <c r="AH54" s="8" t="s">
        <v>54</v>
      </c>
      <c r="AI54" s="10" t="s">
        <v>67</v>
      </c>
      <c r="AJ54" s="8">
        <f>COUNTIF($E$54:$AI$54,"P")</f>
        <v>26</v>
      </c>
      <c r="AK54" s="8">
        <f>COUNTIF($E$54:$AI$54,"A")</f>
        <v>0</v>
      </c>
      <c r="AL54" s="8">
        <f>SUM($E$55:$AI$55)</f>
        <v>37</v>
      </c>
      <c r="AM54" s="8">
        <f>SUM($E$56:$AI$56)</f>
        <v>140</v>
      </c>
      <c r="AN54" s="8">
        <f>AL54+AM54</f>
        <v>177</v>
      </c>
      <c r="AO54" s="8">
        <f>COUNTIF($E$54:$AI$54,"CL")</f>
        <v>0</v>
      </c>
      <c r="AP54" s="8">
        <f>COUNTIF($E$54:$AI$54,"SL")</f>
        <v>0</v>
      </c>
      <c r="AQ54" s="8">
        <f>COUNTIF($E$54:$AI$54,"EL")</f>
        <v>0</v>
      </c>
      <c r="AR54" s="8">
        <f>COUNTIF($E$54:$AI$54,"H")</f>
        <v>0</v>
      </c>
      <c r="AS54" s="8"/>
      <c r="AT54" s="11" t="s">
        <v>6</v>
      </c>
    </row>
    <row r="55" spans="1:46" ht="15.1" customHeight="1">
      <c r="A55" s="8"/>
      <c r="B55" s="9"/>
      <c r="C55" s="8"/>
      <c r="D55" s="9"/>
      <c r="E55" s="8">
        <v>2</v>
      </c>
      <c r="F55" s="8">
        <v>2</v>
      </c>
      <c r="G55" s="8">
        <v>0</v>
      </c>
      <c r="H55" s="8">
        <v>2</v>
      </c>
      <c r="I55" s="8">
        <v>2</v>
      </c>
      <c r="J55" s="8">
        <v>2</v>
      </c>
      <c r="K55" s="8">
        <v>2</v>
      </c>
      <c r="L55" s="8">
        <v>2</v>
      </c>
      <c r="M55" s="8">
        <v>2</v>
      </c>
      <c r="N55" s="8">
        <v>0</v>
      </c>
      <c r="O55" s="8">
        <v>2</v>
      </c>
      <c r="P55" s="8">
        <v>2</v>
      </c>
      <c r="Q55" s="8">
        <v>2</v>
      </c>
      <c r="R55" s="8">
        <v>2</v>
      </c>
      <c r="S55" s="8">
        <v>2</v>
      </c>
      <c r="T55" s="8">
        <v>2</v>
      </c>
      <c r="U55" s="8">
        <v>0</v>
      </c>
      <c r="V55" s="8">
        <v>2</v>
      </c>
      <c r="W55" s="8">
        <v>2</v>
      </c>
      <c r="X55" s="8">
        <v>2</v>
      </c>
      <c r="Y55" s="8">
        <v>0</v>
      </c>
      <c r="Z55" s="8">
        <v>0</v>
      </c>
      <c r="AA55" s="8">
        <v>0</v>
      </c>
      <c r="AB55" s="8">
        <v>0</v>
      </c>
      <c r="AC55" s="8">
        <v>2</v>
      </c>
      <c r="AD55" s="8">
        <v>0</v>
      </c>
      <c r="AE55" s="8">
        <v>0</v>
      </c>
      <c r="AF55" s="8">
        <v>0</v>
      </c>
      <c r="AG55" s="8">
        <v>1</v>
      </c>
      <c r="AH55" s="8">
        <v>0</v>
      </c>
      <c r="AI55" s="8">
        <v>0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11" t="s">
        <v>6</v>
      </c>
    </row>
    <row r="56" spans="1:46" ht="15.1" customHeight="1">
      <c r="A56" s="8"/>
      <c r="B56" s="9"/>
      <c r="C56" s="8"/>
      <c r="D56" s="9"/>
      <c r="E56" s="8">
        <v>5</v>
      </c>
      <c r="F56" s="8">
        <v>3</v>
      </c>
      <c r="G56" s="8">
        <v>14</v>
      </c>
      <c r="H56" s="8">
        <v>5</v>
      </c>
      <c r="I56" s="8">
        <v>7</v>
      </c>
      <c r="J56" s="8">
        <v>7</v>
      </c>
      <c r="K56" s="8">
        <v>7</v>
      </c>
      <c r="L56" s="8">
        <v>7</v>
      </c>
      <c r="M56" s="8">
        <v>5</v>
      </c>
      <c r="N56" s="8">
        <v>17</v>
      </c>
      <c r="O56" s="8">
        <v>7</v>
      </c>
      <c r="P56" s="8">
        <v>7</v>
      </c>
      <c r="Q56" s="8">
        <v>5</v>
      </c>
      <c r="R56" s="8">
        <v>7</v>
      </c>
      <c r="S56" s="8">
        <v>7</v>
      </c>
      <c r="T56" s="8">
        <v>3</v>
      </c>
      <c r="U56" s="8">
        <v>13</v>
      </c>
      <c r="V56" s="8">
        <v>7</v>
      </c>
      <c r="W56" s="8">
        <v>7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11" t="s">
        <v>6</v>
      </c>
    </row>
    <row r="57" spans="1:46" ht="15.1" customHeight="1">
      <c r="A57" s="8">
        <v>18</v>
      </c>
      <c r="B57" s="9" t="s">
        <v>298</v>
      </c>
      <c r="C57" s="8" t="s">
        <v>299</v>
      </c>
      <c r="D57" s="9" t="s">
        <v>266</v>
      </c>
      <c r="E57" s="12" t="s">
        <v>55</v>
      </c>
      <c r="F57" s="12" t="s">
        <v>55</v>
      </c>
      <c r="G57" s="10" t="s">
        <v>67</v>
      </c>
      <c r="H57" s="8" t="s">
        <v>54</v>
      </c>
      <c r="I57" s="8" t="s">
        <v>54</v>
      </c>
      <c r="J57" s="8" t="s">
        <v>54</v>
      </c>
      <c r="K57" s="12" t="s">
        <v>55</v>
      </c>
      <c r="L57" s="8" t="s">
        <v>54</v>
      </c>
      <c r="M57" s="8" t="s">
        <v>54</v>
      </c>
      <c r="N57" s="10" t="s">
        <v>67</v>
      </c>
      <c r="O57" s="8" t="s">
        <v>54</v>
      </c>
      <c r="P57" s="12" t="s">
        <v>55</v>
      </c>
      <c r="Q57" s="8" t="s">
        <v>54</v>
      </c>
      <c r="R57" s="8" t="s">
        <v>54</v>
      </c>
      <c r="S57" s="8" t="s">
        <v>54</v>
      </c>
      <c r="T57" s="8" t="s">
        <v>54</v>
      </c>
      <c r="U57" s="10" t="s">
        <v>67</v>
      </c>
      <c r="V57" s="8" t="s">
        <v>54</v>
      </c>
      <c r="W57" s="12" t="s">
        <v>55</v>
      </c>
      <c r="X57" s="8" t="s">
        <v>54</v>
      </c>
      <c r="Y57" s="8" t="s">
        <v>54</v>
      </c>
      <c r="Z57" s="12" t="s">
        <v>55</v>
      </c>
      <c r="AA57" s="8" t="s">
        <v>54</v>
      </c>
      <c r="AB57" s="10" t="s">
        <v>67</v>
      </c>
      <c r="AC57" s="8" t="s">
        <v>54</v>
      </c>
      <c r="AD57" s="8" t="s">
        <v>54</v>
      </c>
      <c r="AE57" s="8" t="s">
        <v>54</v>
      </c>
      <c r="AF57" s="8" t="s">
        <v>54</v>
      </c>
      <c r="AG57" s="8" t="s">
        <v>54</v>
      </c>
      <c r="AH57" s="8" t="s">
        <v>54</v>
      </c>
      <c r="AI57" s="10" t="s">
        <v>67</v>
      </c>
      <c r="AJ57" s="8">
        <f>COUNTIF($E$57:$AI$57,"P")</f>
        <v>20</v>
      </c>
      <c r="AK57" s="8">
        <f>COUNTIF($E$57:$AI$57,"A")</f>
        <v>6</v>
      </c>
      <c r="AL57" s="8">
        <f>SUM($E$58:$AI$58)</f>
        <v>25</v>
      </c>
      <c r="AM57" s="8">
        <f>SUM($E$59:$AI$59)</f>
        <v>106</v>
      </c>
      <c r="AN57" s="8">
        <f>AL57+AM57</f>
        <v>131</v>
      </c>
      <c r="AO57" s="8">
        <f>COUNTIF($E$57:$AI$57,"CL")</f>
        <v>0</v>
      </c>
      <c r="AP57" s="8">
        <f>COUNTIF($E$57:$AI$57,"SL")</f>
        <v>0</v>
      </c>
      <c r="AQ57" s="8">
        <f>COUNTIF($E$57:$AI$57,"EL")</f>
        <v>0</v>
      </c>
      <c r="AR57" s="8">
        <f>COUNTIF($E$57:$AI$57,"H")</f>
        <v>0</v>
      </c>
      <c r="AS57" s="8"/>
      <c r="AT57" s="11" t="s">
        <v>6</v>
      </c>
    </row>
    <row r="58" spans="1:46" ht="15.1" customHeight="1">
      <c r="A58" s="8"/>
      <c r="B58" s="9"/>
      <c r="C58" s="8"/>
      <c r="D58" s="9"/>
      <c r="E58" s="8">
        <v>0</v>
      </c>
      <c r="F58" s="8">
        <v>0</v>
      </c>
      <c r="G58" s="8">
        <v>0</v>
      </c>
      <c r="H58" s="8">
        <v>2</v>
      </c>
      <c r="I58" s="8">
        <v>2</v>
      </c>
      <c r="J58" s="8">
        <v>2</v>
      </c>
      <c r="K58" s="8">
        <v>0</v>
      </c>
      <c r="L58" s="8">
        <v>2</v>
      </c>
      <c r="M58" s="8">
        <v>2</v>
      </c>
      <c r="N58" s="8">
        <v>0</v>
      </c>
      <c r="O58" s="8">
        <v>2</v>
      </c>
      <c r="P58" s="8">
        <v>0</v>
      </c>
      <c r="Q58" s="8">
        <v>2</v>
      </c>
      <c r="R58" s="8">
        <v>2</v>
      </c>
      <c r="S58" s="8">
        <v>2</v>
      </c>
      <c r="T58" s="8">
        <v>2</v>
      </c>
      <c r="U58" s="8">
        <v>0</v>
      </c>
      <c r="V58" s="8">
        <v>2</v>
      </c>
      <c r="W58" s="8">
        <v>0</v>
      </c>
      <c r="X58" s="8">
        <v>2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1</v>
      </c>
      <c r="AH58" s="8">
        <v>0</v>
      </c>
      <c r="AI58" s="8">
        <v>0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11" t="s">
        <v>6</v>
      </c>
    </row>
    <row r="59" spans="1:46" ht="15.1" customHeight="1">
      <c r="A59" s="8"/>
      <c r="B59" s="9"/>
      <c r="C59" s="8"/>
      <c r="D59" s="9"/>
      <c r="E59" s="8">
        <v>0</v>
      </c>
      <c r="F59" s="8">
        <v>0</v>
      </c>
      <c r="G59" s="8">
        <v>13</v>
      </c>
      <c r="H59" s="8">
        <v>5</v>
      </c>
      <c r="I59" s="8">
        <v>7</v>
      </c>
      <c r="J59" s="8">
        <v>7</v>
      </c>
      <c r="K59" s="8">
        <v>0</v>
      </c>
      <c r="L59" s="8">
        <v>7</v>
      </c>
      <c r="M59" s="8">
        <v>5</v>
      </c>
      <c r="N59" s="8">
        <v>16.5</v>
      </c>
      <c r="O59" s="8">
        <v>7</v>
      </c>
      <c r="P59" s="8">
        <v>0</v>
      </c>
      <c r="Q59" s="8">
        <v>5</v>
      </c>
      <c r="R59" s="8">
        <v>7</v>
      </c>
      <c r="S59" s="8">
        <v>7</v>
      </c>
      <c r="T59" s="8">
        <v>3</v>
      </c>
      <c r="U59" s="8">
        <v>9.5</v>
      </c>
      <c r="V59" s="8">
        <v>7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11" t="s">
        <v>6</v>
      </c>
    </row>
    <row r="60" spans="1:46" ht="15.1" customHeight="1">
      <c r="A60" s="8">
        <v>19</v>
      </c>
      <c r="B60" s="9" t="s">
        <v>300</v>
      </c>
      <c r="C60" s="8" t="s">
        <v>301</v>
      </c>
      <c r="D60" s="9" t="s">
        <v>266</v>
      </c>
      <c r="E60" s="8" t="s">
        <v>54</v>
      </c>
      <c r="F60" s="8" t="s">
        <v>54</v>
      </c>
      <c r="G60" s="10" t="s">
        <v>67</v>
      </c>
      <c r="H60" s="8" t="s">
        <v>54</v>
      </c>
      <c r="I60" s="8" t="s">
        <v>54</v>
      </c>
      <c r="J60" s="8" t="s">
        <v>54</v>
      </c>
      <c r="K60" s="8" t="s">
        <v>54</v>
      </c>
      <c r="L60" s="8" t="s">
        <v>54</v>
      </c>
      <c r="M60" s="8" t="s">
        <v>54</v>
      </c>
      <c r="N60" s="10" t="s">
        <v>67</v>
      </c>
      <c r="O60" s="8" t="s">
        <v>54</v>
      </c>
      <c r="P60" s="8" t="s">
        <v>54</v>
      </c>
      <c r="Q60" s="8" t="s">
        <v>54</v>
      </c>
      <c r="R60" s="8" t="s">
        <v>54</v>
      </c>
      <c r="S60" s="8" t="s">
        <v>54</v>
      </c>
      <c r="T60" s="8" t="s">
        <v>54</v>
      </c>
      <c r="U60" s="10" t="s">
        <v>67</v>
      </c>
      <c r="V60" s="8" t="s">
        <v>54</v>
      </c>
      <c r="W60" s="8" t="s">
        <v>54</v>
      </c>
      <c r="X60" s="8" t="s">
        <v>54</v>
      </c>
      <c r="Y60" s="8" t="s">
        <v>54</v>
      </c>
      <c r="Z60" s="8" t="s">
        <v>54</v>
      </c>
      <c r="AA60" s="8" t="s">
        <v>54</v>
      </c>
      <c r="AB60" s="10" t="s">
        <v>67</v>
      </c>
      <c r="AC60" s="8" t="s">
        <v>54</v>
      </c>
      <c r="AD60" s="8" t="s">
        <v>54</v>
      </c>
      <c r="AE60" s="8" t="s">
        <v>54</v>
      </c>
      <c r="AF60" s="8" t="s">
        <v>54</v>
      </c>
      <c r="AG60" s="8" t="s">
        <v>54</v>
      </c>
      <c r="AH60" s="8" t="s">
        <v>54</v>
      </c>
      <c r="AI60" s="10" t="s">
        <v>67</v>
      </c>
      <c r="AJ60" s="8">
        <f>COUNTIF($E$60:$AI$60,"P")</f>
        <v>26</v>
      </c>
      <c r="AK60" s="8">
        <f>COUNTIF($E$60:$AI$60,"A")</f>
        <v>0</v>
      </c>
      <c r="AL60" s="8">
        <f>SUM($E$61:$AI$61)</f>
        <v>38</v>
      </c>
      <c r="AM60" s="8">
        <f>SUM($E$62:$AI$62)</f>
        <v>115</v>
      </c>
      <c r="AN60" s="8">
        <f>AL60+AM60</f>
        <v>153</v>
      </c>
      <c r="AO60" s="8">
        <f>COUNTIF($E$60:$AI$60,"CL")</f>
        <v>0</v>
      </c>
      <c r="AP60" s="8">
        <f>COUNTIF($E$60:$AI$60,"SL")</f>
        <v>0</v>
      </c>
      <c r="AQ60" s="8">
        <f>COUNTIF($E$60:$AI$60,"EL")</f>
        <v>0</v>
      </c>
      <c r="AR60" s="8">
        <f>COUNTIF($E$60:$AI$60,"H")</f>
        <v>0</v>
      </c>
      <c r="AS60" s="8"/>
      <c r="AT60" s="11" t="s">
        <v>6</v>
      </c>
    </row>
    <row r="61" spans="1:46" ht="15.1" customHeight="1">
      <c r="A61" s="8"/>
      <c r="B61" s="9"/>
      <c r="C61" s="8"/>
      <c r="D61" s="9"/>
      <c r="E61" s="8">
        <v>2</v>
      </c>
      <c r="F61" s="8">
        <v>2</v>
      </c>
      <c r="G61" s="8">
        <v>0</v>
      </c>
      <c r="H61" s="8">
        <v>2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0</v>
      </c>
      <c r="O61" s="8">
        <v>2</v>
      </c>
      <c r="P61" s="8">
        <v>2</v>
      </c>
      <c r="Q61" s="8">
        <v>2</v>
      </c>
      <c r="R61" s="8">
        <v>2</v>
      </c>
      <c r="S61" s="8">
        <v>2</v>
      </c>
      <c r="T61" s="8">
        <v>2</v>
      </c>
      <c r="U61" s="8">
        <v>0</v>
      </c>
      <c r="V61" s="8">
        <v>2</v>
      </c>
      <c r="W61" s="8">
        <v>2</v>
      </c>
      <c r="X61" s="8">
        <v>2</v>
      </c>
      <c r="Y61" s="8">
        <v>0</v>
      </c>
      <c r="Z61" s="8">
        <v>0</v>
      </c>
      <c r="AA61" s="8">
        <v>0</v>
      </c>
      <c r="AB61" s="8">
        <v>0</v>
      </c>
      <c r="AC61" s="8">
        <v>2</v>
      </c>
      <c r="AD61" s="8">
        <v>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11" t="s">
        <v>6</v>
      </c>
    </row>
    <row r="62" spans="1:46" ht="15.1" customHeight="1">
      <c r="A62" s="8"/>
      <c r="B62" s="9"/>
      <c r="C62" s="8"/>
      <c r="D62" s="9"/>
      <c r="E62" s="8">
        <v>4</v>
      </c>
      <c r="F62" s="8">
        <v>2</v>
      </c>
      <c r="G62" s="8">
        <v>14</v>
      </c>
      <c r="H62" s="8">
        <v>4</v>
      </c>
      <c r="I62" s="8">
        <v>6</v>
      </c>
      <c r="J62" s="8">
        <v>5</v>
      </c>
      <c r="K62" s="8">
        <v>3</v>
      </c>
      <c r="L62" s="8">
        <v>5</v>
      </c>
      <c r="M62" s="8">
        <v>4</v>
      </c>
      <c r="N62" s="8">
        <v>16.5</v>
      </c>
      <c r="O62" s="8">
        <v>7</v>
      </c>
      <c r="P62" s="8">
        <v>7</v>
      </c>
      <c r="Q62" s="8">
        <v>5</v>
      </c>
      <c r="R62" s="8">
        <v>5</v>
      </c>
      <c r="S62" s="8">
        <v>3</v>
      </c>
      <c r="T62" s="8">
        <v>3</v>
      </c>
      <c r="U62" s="8">
        <v>12.5</v>
      </c>
      <c r="V62" s="8">
        <v>0</v>
      </c>
      <c r="W62" s="8">
        <v>6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11" t="s">
        <v>6</v>
      </c>
    </row>
    <row r="63" spans="1:46" ht="15.1" customHeight="1">
      <c r="A63" s="8">
        <v>20</v>
      </c>
      <c r="B63" s="9" t="s">
        <v>302</v>
      </c>
      <c r="C63" s="8" t="s">
        <v>303</v>
      </c>
      <c r="D63" s="9" t="s">
        <v>266</v>
      </c>
      <c r="E63" s="8" t="s">
        <v>54</v>
      </c>
      <c r="F63" s="12" t="s">
        <v>55</v>
      </c>
      <c r="G63" s="10" t="s">
        <v>67</v>
      </c>
      <c r="H63" s="8" t="s">
        <v>54</v>
      </c>
      <c r="I63" s="8" t="s">
        <v>54</v>
      </c>
      <c r="J63" s="12" t="s">
        <v>55</v>
      </c>
      <c r="K63" s="8" t="s">
        <v>54</v>
      </c>
      <c r="L63" s="8" t="s">
        <v>54</v>
      </c>
      <c r="M63" s="8" t="s">
        <v>54</v>
      </c>
      <c r="N63" s="10" t="s">
        <v>67</v>
      </c>
      <c r="O63" s="8" t="s">
        <v>54</v>
      </c>
      <c r="P63" s="8" t="s">
        <v>54</v>
      </c>
      <c r="Q63" s="8" t="s">
        <v>54</v>
      </c>
      <c r="R63" s="12" t="s">
        <v>55</v>
      </c>
      <c r="S63" s="12" t="s">
        <v>55</v>
      </c>
      <c r="T63" s="8" t="s">
        <v>54</v>
      </c>
      <c r="U63" s="10" t="s">
        <v>67</v>
      </c>
      <c r="V63" s="8" t="s">
        <v>54</v>
      </c>
      <c r="W63" s="12" t="s">
        <v>55</v>
      </c>
      <c r="X63" s="8" t="s">
        <v>54</v>
      </c>
      <c r="Y63" s="8" t="s">
        <v>54</v>
      </c>
      <c r="Z63" s="8" t="s">
        <v>54</v>
      </c>
      <c r="AA63" s="8" t="s">
        <v>54</v>
      </c>
      <c r="AB63" s="10" t="s">
        <v>67</v>
      </c>
      <c r="AC63" s="8" t="s">
        <v>54</v>
      </c>
      <c r="AD63" s="8" t="s">
        <v>54</v>
      </c>
      <c r="AE63" s="8" t="s">
        <v>54</v>
      </c>
      <c r="AF63" s="8" t="s">
        <v>54</v>
      </c>
      <c r="AG63" s="8" t="s">
        <v>54</v>
      </c>
      <c r="AH63" s="8" t="s">
        <v>54</v>
      </c>
      <c r="AI63" s="10" t="s">
        <v>67</v>
      </c>
      <c r="AJ63" s="8">
        <f>COUNTIF($E$63:$AI$63,"P")</f>
        <v>21</v>
      </c>
      <c r="AK63" s="8">
        <f>COUNTIF($E$63:$AI$63,"A")</f>
        <v>5</v>
      </c>
      <c r="AL63" s="8">
        <f>SUM($E$64:$AI$64)</f>
        <v>25</v>
      </c>
      <c r="AM63" s="8">
        <f>SUM($E$65:$AI$65)</f>
        <v>87</v>
      </c>
      <c r="AN63" s="8">
        <f>AL63+AM63</f>
        <v>112</v>
      </c>
      <c r="AO63" s="8">
        <f>COUNTIF($E$63:$AI$63,"CL")</f>
        <v>0</v>
      </c>
      <c r="AP63" s="8">
        <f>COUNTIF($E$63:$AI$63,"SL")</f>
        <v>0</v>
      </c>
      <c r="AQ63" s="8">
        <f>COUNTIF($E$63:$AI$63,"EL")</f>
        <v>0</v>
      </c>
      <c r="AR63" s="8">
        <f>COUNTIF($E$63:$AI$63,"H")</f>
        <v>0</v>
      </c>
      <c r="AS63" s="8"/>
      <c r="AT63" s="11" t="s">
        <v>6</v>
      </c>
    </row>
    <row r="64" spans="1:46" ht="15.1" customHeight="1">
      <c r="A64" s="8"/>
      <c r="B64" s="9"/>
      <c r="C64" s="8"/>
      <c r="D64" s="9"/>
      <c r="E64" s="8">
        <v>0</v>
      </c>
      <c r="F64" s="8">
        <v>0</v>
      </c>
      <c r="G64" s="8">
        <v>0</v>
      </c>
      <c r="H64" s="8">
        <v>2</v>
      </c>
      <c r="I64" s="8">
        <v>2</v>
      </c>
      <c r="J64" s="8">
        <v>0</v>
      </c>
      <c r="K64" s="8">
        <v>2</v>
      </c>
      <c r="L64" s="8">
        <v>2</v>
      </c>
      <c r="M64" s="8">
        <v>2</v>
      </c>
      <c r="N64" s="8">
        <v>0</v>
      </c>
      <c r="O64" s="8">
        <v>2</v>
      </c>
      <c r="P64" s="8">
        <v>2</v>
      </c>
      <c r="Q64" s="8">
        <v>2</v>
      </c>
      <c r="R64" s="8">
        <v>0</v>
      </c>
      <c r="S64" s="8">
        <v>0</v>
      </c>
      <c r="T64" s="8">
        <v>2</v>
      </c>
      <c r="U64" s="8">
        <v>0</v>
      </c>
      <c r="V64" s="8">
        <v>2</v>
      </c>
      <c r="W64" s="8">
        <v>0</v>
      </c>
      <c r="X64" s="8">
        <v>2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2</v>
      </c>
      <c r="AE64" s="8">
        <v>0</v>
      </c>
      <c r="AF64" s="8">
        <v>0</v>
      </c>
      <c r="AG64" s="8">
        <v>1</v>
      </c>
      <c r="AH64" s="8">
        <v>0</v>
      </c>
      <c r="AI64" s="8">
        <v>0</v>
      </c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11" t="s">
        <v>6</v>
      </c>
    </row>
    <row r="65" spans="1:46" ht="15.1" customHeight="1">
      <c r="A65" s="8"/>
      <c r="B65" s="9"/>
      <c r="C65" s="8"/>
      <c r="D65" s="9"/>
      <c r="E65" s="8">
        <v>0</v>
      </c>
      <c r="F65" s="8">
        <v>0</v>
      </c>
      <c r="G65" s="8">
        <v>14</v>
      </c>
      <c r="H65" s="8">
        <v>5</v>
      </c>
      <c r="I65" s="8">
        <v>7</v>
      </c>
      <c r="J65" s="8">
        <v>0</v>
      </c>
      <c r="K65" s="8">
        <v>7</v>
      </c>
      <c r="L65" s="8">
        <v>7</v>
      </c>
      <c r="M65" s="8">
        <v>5</v>
      </c>
      <c r="N65" s="8">
        <v>0</v>
      </c>
      <c r="O65" s="8">
        <v>7</v>
      </c>
      <c r="P65" s="8">
        <v>7</v>
      </c>
      <c r="Q65" s="8">
        <v>5</v>
      </c>
      <c r="R65" s="8">
        <v>0</v>
      </c>
      <c r="S65" s="8">
        <v>0</v>
      </c>
      <c r="T65" s="8">
        <v>3</v>
      </c>
      <c r="U65" s="8">
        <v>13</v>
      </c>
      <c r="V65" s="8">
        <v>7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11" t="s">
        <v>6</v>
      </c>
    </row>
    <row r="66" spans="1:46" ht="15.1" customHeight="1">
      <c r="A66" s="8">
        <v>21</v>
      </c>
      <c r="B66" s="9" t="s">
        <v>304</v>
      </c>
      <c r="C66" s="8" t="s">
        <v>305</v>
      </c>
      <c r="D66" s="9" t="s">
        <v>266</v>
      </c>
      <c r="E66" s="8" t="s">
        <v>54</v>
      </c>
      <c r="F66" s="8" t="s">
        <v>54</v>
      </c>
      <c r="G66" s="10" t="s">
        <v>67</v>
      </c>
      <c r="H66" s="8" t="s">
        <v>54</v>
      </c>
      <c r="I66" s="8" t="s">
        <v>54</v>
      </c>
      <c r="J66" s="8" t="s">
        <v>54</v>
      </c>
      <c r="K66" s="8" t="s">
        <v>54</v>
      </c>
      <c r="L66" s="8" t="s">
        <v>54</v>
      </c>
      <c r="M66" s="8" t="s">
        <v>54</v>
      </c>
      <c r="N66" s="10" t="s">
        <v>67</v>
      </c>
      <c r="O66" s="8" t="s">
        <v>54</v>
      </c>
      <c r="P66" s="8" t="s">
        <v>54</v>
      </c>
      <c r="Q66" s="8" t="s">
        <v>54</v>
      </c>
      <c r="R66" s="8" t="s">
        <v>54</v>
      </c>
      <c r="S66" s="8" t="s">
        <v>54</v>
      </c>
      <c r="T66" s="8" t="s">
        <v>54</v>
      </c>
      <c r="U66" s="10" t="s">
        <v>67</v>
      </c>
      <c r="V66" s="8" t="s">
        <v>54</v>
      </c>
      <c r="W66" s="8" t="s">
        <v>54</v>
      </c>
      <c r="X66" s="8" t="s">
        <v>54</v>
      </c>
      <c r="Y66" s="8" t="s">
        <v>54</v>
      </c>
      <c r="Z66" s="8" t="s">
        <v>54</v>
      </c>
      <c r="AA66" s="8" t="s">
        <v>54</v>
      </c>
      <c r="AB66" s="10" t="s">
        <v>67</v>
      </c>
      <c r="AC66" s="8" t="s">
        <v>54</v>
      </c>
      <c r="AD66" s="8" t="s">
        <v>54</v>
      </c>
      <c r="AE66" s="8" t="s">
        <v>54</v>
      </c>
      <c r="AF66" s="8" t="s">
        <v>54</v>
      </c>
      <c r="AG66" s="8" t="s">
        <v>54</v>
      </c>
      <c r="AH66" s="8" t="s">
        <v>54</v>
      </c>
      <c r="AI66" s="10" t="s">
        <v>67</v>
      </c>
      <c r="AJ66" s="8">
        <f>COUNTIF($E$66:$AI$66,"P")</f>
        <v>26</v>
      </c>
      <c r="AK66" s="8">
        <f>COUNTIF($E$66:$AI$66,"A")</f>
        <v>0</v>
      </c>
      <c r="AL66" s="8">
        <f>SUM($E$67:$AI$67)</f>
        <v>39</v>
      </c>
      <c r="AM66" s="8">
        <f>SUM($E$68:$AI$68)</f>
        <v>141</v>
      </c>
      <c r="AN66" s="8">
        <f>AL66+AM66</f>
        <v>180</v>
      </c>
      <c r="AO66" s="8">
        <f>COUNTIF($E$66:$AI$66,"CL")</f>
        <v>0</v>
      </c>
      <c r="AP66" s="8">
        <f>COUNTIF($E$66:$AI$66,"SL")</f>
        <v>0</v>
      </c>
      <c r="AQ66" s="8">
        <f>COUNTIF($E$66:$AI$66,"EL")</f>
        <v>0</v>
      </c>
      <c r="AR66" s="8">
        <f>COUNTIF($E$66:$AI$66,"H")</f>
        <v>0</v>
      </c>
      <c r="AS66" s="8"/>
      <c r="AT66" s="11" t="s">
        <v>6</v>
      </c>
    </row>
    <row r="67" spans="1:46" ht="15.1" customHeight="1">
      <c r="A67" s="8"/>
      <c r="B67" s="9"/>
      <c r="C67" s="8"/>
      <c r="D67" s="9"/>
      <c r="E67" s="8">
        <v>2</v>
      </c>
      <c r="F67" s="8">
        <v>2</v>
      </c>
      <c r="G67" s="8">
        <v>0</v>
      </c>
      <c r="H67" s="8">
        <v>2</v>
      </c>
      <c r="I67" s="8">
        <v>2</v>
      </c>
      <c r="J67" s="8">
        <v>2</v>
      </c>
      <c r="K67" s="8">
        <v>2</v>
      </c>
      <c r="L67" s="8">
        <v>2</v>
      </c>
      <c r="M67" s="8">
        <v>2</v>
      </c>
      <c r="N67" s="8">
        <v>0</v>
      </c>
      <c r="O67" s="8">
        <v>2</v>
      </c>
      <c r="P67" s="8">
        <v>2</v>
      </c>
      <c r="Q67" s="8">
        <v>2</v>
      </c>
      <c r="R67" s="8">
        <v>2</v>
      </c>
      <c r="S67" s="8">
        <v>2</v>
      </c>
      <c r="T67" s="8">
        <v>2</v>
      </c>
      <c r="U67" s="8">
        <v>0</v>
      </c>
      <c r="V67" s="8">
        <v>2</v>
      </c>
      <c r="W67" s="8">
        <v>2</v>
      </c>
      <c r="X67" s="8">
        <v>2</v>
      </c>
      <c r="Y67" s="8">
        <v>0</v>
      </c>
      <c r="Z67" s="8">
        <v>0</v>
      </c>
      <c r="AA67" s="8">
        <v>0</v>
      </c>
      <c r="AB67" s="8">
        <v>0</v>
      </c>
      <c r="AC67" s="8">
        <v>2</v>
      </c>
      <c r="AD67" s="8">
        <v>2</v>
      </c>
      <c r="AE67" s="8">
        <v>0</v>
      </c>
      <c r="AF67" s="8">
        <v>0</v>
      </c>
      <c r="AG67" s="8">
        <v>1</v>
      </c>
      <c r="AH67" s="8">
        <v>0</v>
      </c>
      <c r="AI67" s="8">
        <v>0</v>
      </c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11" t="s">
        <v>6</v>
      </c>
    </row>
    <row r="68" spans="1:46" ht="15.1" customHeight="1">
      <c r="A68" s="8"/>
      <c r="B68" s="9"/>
      <c r="C68" s="8"/>
      <c r="D68" s="9"/>
      <c r="E68" s="8">
        <v>4.5</v>
      </c>
      <c r="F68" s="8">
        <v>3</v>
      </c>
      <c r="G68" s="8">
        <v>14</v>
      </c>
      <c r="H68" s="8">
        <v>5</v>
      </c>
      <c r="I68" s="8">
        <v>7</v>
      </c>
      <c r="J68" s="8">
        <v>7</v>
      </c>
      <c r="K68" s="8">
        <v>7</v>
      </c>
      <c r="L68" s="8">
        <v>7</v>
      </c>
      <c r="M68" s="8">
        <v>5</v>
      </c>
      <c r="N68" s="8">
        <v>17</v>
      </c>
      <c r="O68" s="8">
        <v>7</v>
      </c>
      <c r="P68" s="8">
        <v>7</v>
      </c>
      <c r="Q68" s="8">
        <v>5</v>
      </c>
      <c r="R68" s="8">
        <v>7</v>
      </c>
      <c r="S68" s="8">
        <v>7</v>
      </c>
      <c r="T68" s="8">
        <v>3</v>
      </c>
      <c r="U68" s="8">
        <v>12.5</v>
      </c>
      <c r="V68" s="8">
        <v>7</v>
      </c>
      <c r="W68" s="8">
        <v>7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2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11" t="s">
        <v>6</v>
      </c>
    </row>
    <row r="69" spans="1:46" ht="15.1" customHeight="1">
      <c r="A69" s="8">
        <v>22</v>
      </c>
      <c r="B69" s="9" t="s">
        <v>306</v>
      </c>
      <c r="C69" s="8" t="s">
        <v>307</v>
      </c>
      <c r="D69" s="9" t="s">
        <v>266</v>
      </c>
      <c r="E69" s="8" t="s">
        <v>54</v>
      </c>
      <c r="F69" s="8" t="s">
        <v>54</v>
      </c>
      <c r="G69" s="10" t="s">
        <v>67</v>
      </c>
      <c r="H69" s="12" t="s">
        <v>55</v>
      </c>
      <c r="I69" s="12" t="s">
        <v>55</v>
      </c>
      <c r="J69" s="12" t="s">
        <v>55</v>
      </c>
      <c r="K69" s="8" t="s">
        <v>54</v>
      </c>
      <c r="L69" s="8" t="s">
        <v>54</v>
      </c>
      <c r="M69" s="8" t="s">
        <v>54</v>
      </c>
      <c r="N69" s="10" t="s">
        <v>67</v>
      </c>
      <c r="O69" s="12" t="s">
        <v>55</v>
      </c>
      <c r="P69" s="8" t="s">
        <v>54</v>
      </c>
      <c r="Q69" s="8" t="s">
        <v>54</v>
      </c>
      <c r="R69" s="8" t="s">
        <v>54</v>
      </c>
      <c r="S69" s="12" t="s">
        <v>55</v>
      </c>
      <c r="T69" s="8" t="s">
        <v>54</v>
      </c>
      <c r="U69" s="10" t="s">
        <v>67</v>
      </c>
      <c r="V69" s="8" t="s">
        <v>54</v>
      </c>
      <c r="W69" s="8" t="s">
        <v>54</v>
      </c>
      <c r="X69" s="8" t="s">
        <v>54</v>
      </c>
      <c r="Y69" s="8" t="s">
        <v>54</v>
      </c>
      <c r="Z69" s="8" t="s">
        <v>54</v>
      </c>
      <c r="AA69" s="8" t="s">
        <v>54</v>
      </c>
      <c r="AB69" s="10" t="s">
        <v>67</v>
      </c>
      <c r="AC69" s="8" t="s">
        <v>54</v>
      </c>
      <c r="AD69" s="8" t="s">
        <v>54</v>
      </c>
      <c r="AE69" s="8" t="s">
        <v>54</v>
      </c>
      <c r="AF69" s="8" t="s">
        <v>54</v>
      </c>
      <c r="AG69" s="8" t="s">
        <v>54</v>
      </c>
      <c r="AH69" s="8" t="s">
        <v>54</v>
      </c>
      <c r="AI69" s="10" t="s">
        <v>67</v>
      </c>
      <c r="AJ69" s="8">
        <f>COUNTIF($E$69:$AI$69,"P")</f>
        <v>21</v>
      </c>
      <c r="AK69" s="8">
        <f>COUNTIF($E$69:$AI$69,"A")</f>
        <v>5</v>
      </c>
      <c r="AL69" s="8">
        <f>SUM($E$70:$AI$70)</f>
        <v>27</v>
      </c>
      <c r="AM69" s="8">
        <f>SUM($E$71:$AI$71)</f>
        <v>107</v>
      </c>
      <c r="AN69" s="8">
        <f>AL69+AM69</f>
        <v>134</v>
      </c>
      <c r="AO69" s="8">
        <f>COUNTIF($E$69:$AI$69,"CL")</f>
        <v>0</v>
      </c>
      <c r="AP69" s="8">
        <f>COUNTIF($E$69:$AI$69,"SL")</f>
        <v>0</v>
      </c>
      <c r="AQ69" s="8">
        <f>COUNTIF($E$69:$AI$69,"EL")</f>
        <v>0</v>
      </c>
      <c r="AR69" s="8">
        <f>COUNTIF($E$69:$AI$69,"H")</f>
        <v>0</v>
      </c>
      <c r="AS69" s="8"/>
      <c r="AT69" s="11" t="s">
        <v>6</v>
      </c>
    </row>
    <row r="70" spans="1:46" ht="15.1" customHeight="1">
      <c r="A70" s="8"/>
      <c r="B70" s="9"/>
      <c r="C70" s="8"/>
      <c r="D70" s="9"/>
      <c r="E70" s="8">
        <v>2</v>
      </c>
      <c r="F70" s="8">
        <v>2</v>
      </c>
      <c r="G70" s="8">
        <v>0</v>
      </c>
      <c r="H70" s="8">
        <v>0</v>
      </c>
      <c r="I70" s="8">
        <v>0</v>
      </c>
      <c r="J70" s="8">
        <v>0</v>
      </c>
      <c r="K70" s="8">
        <v>2</v>
      </c>
      <c r="L70" s="8">
        <v>2</v>
      </c>
      <c r="M70" s="8">
        <v>2</v>
      </c>
      <c r="N70" s="8">
        <v>0</v>
      </c>
      <c r="O70" s="8">
        <v>0</v>
      </c>
      <c r="P70" s="8">
        <v>2</v>
      </c>
      <c r="Q70" s="8">
        <v>2</v>
      </c>
      <c r="R70" s="8">
        <v>2</v>
      </c>
      <c r="S70" s="8">
        <v>0</v>
      </c>
      <c r="T70" s="8">
        <v>2</v>
      </c>
      <c r="U70" s="8">
        <v>0</v>
      </c>
      <c r="V70" s="8">
        <v>2</v>
      </c>
      <c r="W70" s="8">
        <v>2</v>
      </c>
      <c r="X70" s="8">
        <v>2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2</v>
      </c>
      <c r="AE70" s="8">
        <v>0</v>
      </c>
      <c r="AF70" s="8">
        <v>0</v>
      </c>
      <c r="AG70" s="8">
        <v>1</v>
      </c>
      <c r="AH70" s="8">
        <v>0</v>
      </c>
      <c r="AI70" s="8">
        <v>0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11" t="s">
        <v>6</v>
      </c>
    </row>
    <row r="71" spans="1:46" ht="15.1" customHeight="1">
      <c r="A71" s="8"/>
      <c r="B71" s="9"/>
      <c r="C71" s="8"/>
      <c r="D71" s="9"/>
      <c r="E71" s="8">
        <v>4.5</v>
      </c>
      <c r="F71" s="8">
        <v>3</v>
      </c>
      <c r="G71" s="8">
        <v>13.5</v>
      </c>
      <c r="H71" s="8">
        <v>0</v>
      </c>
      <c r="I71" s="8">
        <v>0</v>
      </c>
      <c r="J71" s="8">
        <v>0</v>
      </c>
      <c r="K71" s="8">
        <v>7</v>
      </c>
      <c r="L71" s="8">
        <v>7</v>
      </c>
      <c r="M71" s="8">
        <v>5</v>
      </c>
      <c r="N71" s="8">
        <v>16.5</v>
      </c>
      <c r="O71" s="8">
        <v>0</v>
      </c>
      <c r="P71" s="8">
        <v>7</v>
      </c>
      <c r="Q71" s="8">
        <v>5</v>
      </c>
      <c r="R71" s="8">
        <v>7</v>
      </c>
      <c r="S71" s="8">
        <v>0</v>
      </c>
      <c r="T71" s="8">
        <v>3</v>
      </c>
      <c r="U71" s="8">
        <v>12.5</v>
      </c>
      <c r="V71" s="8">
        <v>7</v>
      </c>
      <c r="W71" s="8">
        <v>7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2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11" t="s">
        <v>6</v>
      </c>
    </row>
    <row r="72" spans="1:46" ht="15.1" customHeight="1">
      <c r="A72" s="8">
        <v>23</v>
      </c>
      <c r="B72" s="9" t="s">
        <v>308</v>
      </c>
      <c r="C72" s="8" t="s">
        <v>309</v>
      </c>
      <c r="D72" s="9" t="s">
        <v>266</v>
      </c>
      <c r="E72" s="8" t="s">
        <v>54</v>
      </c>
      <c r="F72" s="8" t="s">
        <v>54</v>
      </c>
      <c r="G72" s="10" t="s">
        <v>67</v>
      </c>
      <c r="H72" s="8" t="s">
        <v>54</v>
      </c>
      <c r="I72" s="8" t="s">
        <v>54</v>
      </c>
      <c r="J72" s="8" t="s">
        <v>54</v>
      </c>
      <c r="K72" s="8" t="s">
        <v>54</v>
      </c>
      <c r="L72" s="8" t="s">
        <v>54</v>
      </c>
      <c r="M72" s="8" t="s">
        <v>54</v>
      </c>
      <c r="N72" s="10" t="s">
        <v>67</v>
      </c>
      <c r="O72" s="8" t="s">
        <v>54</v>
      </c>
      <c r="P72" s="8" t="s">
        <v>54</v>
      </c>
      <c r="Q72" s="8" t="s">
        <v>54</v>
      </c>
      <c r="R72" s="8" t="s">
        <v>54</v>
      </c>
      <c r="S72" s="8" t="s">
        <v>54</v>
      </c>
      <c r="T72" s="8" t="s">
        <v>54</v>
      </c>
      <c r="U72" s="10" t="s">
        <v>67</v>
      </c>
      <c r="V72" s="8" t="s">
        <v>54</v>
      </c>
      <c r="W72" s="8" t="s">
        <v>54</v>
      </c>
      <c r="X72" s="8" t="s">
        <v>54</v>
      </c>
      <c r="Y72" s="8" t="s">
        <v>54</v>
      </c>
      <c r="Z72" s="8" t="s">
        <v>54</v>
      </c>
      <c r="AA72" s="8" t="s">
        <v>54</v>
      </c>
      <c r="AB72" s="10" t="s">
        <v>67</v>
      </c>
      <c r="AC72" s="8" t="s">
        <v>54</v>
      </c>
      <c r="AD72" s="8" t="s">
        <v>54</v>
      </c>
      <c r="AE72" s="8" t="s">
        <v>54</v>
      </c>
      <c r="AF72" s="8" t="s">
        <v>54</v>
      </c>
      <c r="AG72" s="8" t="s">
        <v>54</v>
      </c>
      <c r="AH72" s="8" t="s">
        <v>54</v>
      </c>
      <c r="AI72" s="10" t="s">
        <v>67</v>
      </c>
      <c r="AJ72" s="8">
        <f>COUNTIF($E$72:$AI$72,"P")</f>
        <v>26</v>
      </c>
      <c r="AK72" s="8">
        <f>COUNTIF($E$72:$AI$72,"A")</f>
        <v>0</v>
      </c>
      <c r="AL72" s="8">
        <f>SUM($E$73:$AI$73)</f>
        <v>37</v>
      </c>
      <c r="AM72" s="8">
        <f>SUM($E$74:$AI$74)</f>
        <v>134</v>
      </c>
      <c r="AN72" s="8">
        <f>AL72+AM72</f>
        <v>171</v>
      </c>
      <c r="AO72" s="8">
        <f>COUNTIF($E$72:$AI$72,"CL")</f>
        <v>0</v>
      </c>
      <c r="AP72" s="8">
        <f>COUNTIF($E$72:$AI$72,"SL")</f>
        <v>0</v>
      </c>
      <c r="AQ72" s="8">
        <f>COUNTIF($E$72:$AI$72,"EL")</f>
        <v>0</v>
      </c>
      <c r="AR72" s="8">
        <f>COUNTIF($E$72:$AI$72,"H")</f>
        <v>0</v>
      </c>
      <c r="AS72" s="8"/>
      <c r="AT72" s="11" t="s">
        <v>6</v>
      </c>
    </row>
    <row r="73" spans="1:46" ht="15.1" customHeight="1">
      <c r="A73" s="8"/>
      <c r="B73" s="9"/>
      <c r="C73" s="8"/>
      <c r="D73" s="9"/>
      <c r="E73" s="8">
        <v>2</v>
      </c>
      <c r="F73" s="8">
        <v>2</v>
      </c>
      <c r="G73" s="8">
        <v>0</v>
      </c>
      <c r="H73" s="8">
        <v>2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0</v>
      </c>
      <c r="O73" s="8">
        <v>2</v>
      </c>
      <c r="P73" s="8">
        <v>2</v>
      </c>
      <c r="Q73" s="8">
        <v>2</v>
      </c>
      <c r="R73" s="8">
        <v>2</v>
      </c>
      <c r="S73" s="8">
        <v>2</v>
      </c>
      <c r="T73" s="8">
        <v>2</v>
      </c>
      <c r="U73" s="8">
        <v>0</v>
      </c>
      <c r="V73" s="8">
        <v>2</v>
      </c>
      <c r="W73" s="8">
        <v>2</v>
      </c>
      <c r="X73" s="8">
        <v>2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2</v>
      </c>
      <c r="AE73" s="8">
        <v>0</v>
      </c>
      <c r="AF73" s="8">
        <v>0</v>
      </c>
      <c r="AG73" s="8">
        <v>1</v>
      </c>
      <c r="AH73" s="8">
        <v>0</v>
      </c>
      <c r="AI73" s="8">
        <v>0</v>
      </c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11" t="s">
        <v>6</v>
      </c>
    </row>
    <row r="74" spans="1:46" ht="15.1" customHeight="1">
      <c r="A74" s="8"/>
      <c r="B74" s="9"/>
      <c r="C74" s="8"/>
      <c r="D74" s="9"/>
      <c r="E74" s="8">
        <v>5</v>
      </c>
      <c r="F74" s="8">
        <v>3</v>
      </c>
      <c r="G74" s="8">
        <v>14</v>
      </c>
      <c r="H74" s="8">
        <v>5</v>
      </c>
      <c r="I74" s="8">
        <v>7</v>
      </c>
      <c r="J74" s="8">
        <v>0</v>
      </c>
      <c r="K74" s="8">
        <v>7</v>
      </c>
      <c r="L74" s="8">
        <v>7</v>
      </c>
      <c r="M74" s="8">
        <v>5</v>
      </c>
      <c r="N74" s="8">
        <v>17</v>
      </c>
      <c r="O74" s="8">
        <v>6.5</v>
      </c>
      <c r="P74" s="8">
        <v>7</v>
      </c>
      <c r="Q74" s="8">
        <v>5</v>
      </c>
      <c r="R74" s="8">
        <v>7</v>
      </c>
      <c r="S74" s="8">
        <v>6.5</v>
      </c>
      <c r="T74" s="8">
        <v>3</v>
      </c>
      <c r="U74" s="8">
        <v>13</v>
      </c>
      <c r="V74" s="8">
        <v>7</v>
      </c>
      <c r="W74" s="8">
        <v>7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2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11" t="s">
        <v>6</v>
      </c>
    </row>
    <row r="75" spans="1:46" ht="15.1" customHeight="1">
      <c r="A75" s="8">
        <v>24</v>
      </c>
      <c r="B75" s="9" t="s">
        <v>310</v>
      </c>
      <c r="C75" s="8" t="s">
        <v>311</v>
      </c>
      <c r="D75" s="9" t="s">
        <v>266</v>
      </c>
      <c r="E75" s="8" t="s">
        <v>54</v>
      </c>
      <c r="F75" s="8" t="s">
        <v>54</v>
      </c>
      <c r="G75" s="10" t="s">
        <v>67</v>
      </c>
      <c r="H75" s="12" t="s">
        <v>55</v>
      </c>
      <c r="I75" s="12" t="s">
        <v>55</v>
      </c>
      <c r="J75" s="8" t="s">
        <v>54</v>
      </c>
      <c r="K75" s="8" t="s">
        <v>54</v>
      </c>
      <c r="L75" s="8" t="s">
        <v>54</v>
      </c>
      <c r="M75" s="8" t="s">
        <v>54</v>
      </c>
      <c r="N75" s="10" t="s">
        <v>67</v>
      </c>
      <c r="O75" s="8" t="s">
        <v>54</v>
      </c>
      <c r="P75" s="8" t="s">
        <v>54</v>
      </c>
      <c r="Q75" s="8" t="s">
        <v>54</v>
      </c>
      <c r="R75" s="8" t="s">
        <v>54</v>
      </c>
      <c r="S75" s="8" t="s">
        <v>54</v>
      </c>
      <c r="T75" s="8" t="s">
        <v>54</v>
      </c>
      <c r="U75" s="10" t="s">
        <v>67</v>
      </c>
      <c r="V75" s="8" t="s">
        <v>54</v>
      </c>
      <c r="W75" s="8" t="s">
        <v>54</v>
      </c>
      <c r="X75" s="8" t="s">
        <v>54</v>
      </c>
      <c r="Y75" s="8" t="s">
        <v>54</v>
      </c>
      <c r="Z75" s="8" t="s">
        <v>54</v>
      </c>
      <c r="AA75" s="8" t="s">
        <v>54</v>
      </c>
      <c r="AB75" s="10" t="s">
        <v>67</v>
      </c>
      <c r="AC75" s="8" t="s">
        <v>54</v>
      </c>
      <c r="AD75" s="8" t="s">
        <v>54</v>
      </c>
      <c r="AE75" s="8" t="s">
        <v>54</v>
      </c>
      <c r="AF75" s="8" t="s">
        <v>54</v>
      </c>
      <c r="AG75" s="8" t="s">
        <v>54</v>
      </c>
      <c r="AH75" s="8" t="s">
        <v>54</v>
      </c>
      <c r="AI75" s="10" t="s">
        <v>67</v>
      </c>
      <c r="AJ75" s="8">
        <f>COUNTIF($E$75:$AI$75,"P")</f>
        <v>24</v>
      </c>
      <c r="AK75" s="8">
        <f>COUNTIF($E$75:$AI$75,"A")</f>
        <v>2</v>
      </c>
      <c r="AL75" s="8">
        <f>SUM($E$76:$AI$76)</f>
        <v>26</v>
      </c>
      <c r="AM75" s="8">
        <f>SUM($E$77:$AI$77)</f>
        <v>99.5</v>
      </c>
      <c r="AN75" s="8">
        <f>AL75+AM75</f>
        <v>125</v>
      </c>
      <c r="AO75" s="8">
        <f>COUNTIF($E$75:$AI$75,"CL")</f>
        <v>0</v>
      </c>
      <c r="AP75" s="8">
        <f>COUNTIF($E$75:$AI$75,"SL")</f>
        <v>0</v>
      </c>
      <c r="AQ75" s="8">
        <f>COUNTIF($E$75:$AI$75,"EL")</f>
        <v>0</v>
      </c>
      <c r="AR75" s="8">
        <f>COUNTIF($E$75:$AI$75,"H")</f>
        <v>0</v>
      </c>
      <c r="AS75" s="8"/>
      <c r="AT75" s="11" t="s">
        <v>6</v>
      </c>
    </row>
    <row r="76" spans="1:46" ht="15.1" customHeight="1">
      <c r="A76" s="8"/>
      <c r="B76" s="9"/>
      <c r="C76" s="8"/>
      <c r="D76" s="9"/>
      <c r="E76" s="8">
        <v>2</v>
      </c>
      <c r="F76" s="8">
        <v>0</v>
      </c>
      <c r="G76" s="8">
        <v>0</v>
      </c>
      <c r="H76" s="8">
        <v>0</v>
      </c>
      <c r="I76" s="8">
        <v>0</v>
      </c>
      <c r="J76" s="8">
        <v>2</v>
      </c>
      <c r="K76" s="8">
        <v>2</v>
      </c>
      <c r="L76" s="8">
        <v>2</v>
      </c>
      <c r="M76" s="8">
        <v>2</v>
      </c>
      <c r="N76" s="8">
        <v>0</v>
      </c>
      <c r="O76" s="8">
        <v>2</v>
      </c>
      <c r="P76" s="8">
        <v>2</v>
      </c>
      <c r="Q76" s="8">
        <v>2</v>
      </c>
      <c r="R76" s="8">
        <v>2</v>
      </c>
      <c r="S76" s="8">
        <v>2</v>
      </c>
      <c r="T76" s="8">
        <v>2</v>
      </c>
      <c r="U76" s="8">
        <v>0</v>
      </c>
      <c r="V76" s="8">
        <v>2</v>
      </c>
      <c r="W76" s="8">
        <v>2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11" t="s">
        <v>6</v>
      </c>
    </row>
    <row r="77" spans="1:46" ht="15.1" customHeight="1">
      <c r="A77" s="8"/>
      <c r="B77" s="9"/>
      <c r="C77" s="8"/>
      <c r="D77" s="9"/>
      <c r="E77" s="8">
        <v>4.5</v>
      </c>
      <c r="F77" s="8">
        <v>0</v>
      </c>
      <c r="G77" s="8">
        <v>0</v>
      </c>
      <c r="H77" s="8">
        <v>0</v>
      </c>
      <c r="I77" s="8">
        <v>0</v>
      </c>
      <c r="J77" s="8">
        <v>6.5</v>
      </c>
      <c r="K77" s="8">
        <v>7</v>
      </c>
      <c r="L77" s="8">
        <v>7</v>
      </c>
      <c r="M77" s="8">
        <v>5</v>
      </c>
      <c r="N77" s="8">
        <v>16.5</v>
      </c>
      <c r="O77" s="8">
        <v>7</v>
      </c>
      <c r="P77" s="8">
        <v>6.5</v>
      </c>
      <c r="Q77" s="8">
        <v>5</v>
      </c>
      <c r="R77" s="8">
        <v>6.5</v>
      </c>
      <c r="S77" s="8">
        <v>6.5</v>
      </c>
      <c r="T77" s="8">
        <v>2.5</v>
      </c>
      <c r="U77" s="8">
        <v>12.5</v>
      </c>
      <c r="V77" s="8">
        <v>6.5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11" t="s">
        <v>6</v>
      </c>
    </row>
    <row r="78" spans="1:46" ht="15.1" customHeight="1">
      <c r="A78" s="8">
        <v>25</v>
      </c>
      <c r="B78" s="9" t="s">
        <v>312</v>
      </c>
      <c r="C78" s="8" t="s">
        <v>313</v>
      </c>
      <c r="D78" s="9" t="s">
        <v>266</v>
      </c>
      <c r="E78" s="8" t="s">
        <v>54</v>
      </c>
      <c r="F78" s="8" t="s">
        <v>54</v>
      </c>
      <c r="G78" s="10" t="s">
        <v>67</v>
      </c>
      <c r="H78" s="8" t="s">
        <v>54</v>
      </c>
      <c r="I78" s="8" t="s">
        <v>54</v>
      </c>
      <c r="J78" s="8" t="s">
        <v>54</v>
      </c>
      <c r="K78" s="8" t="s">
        <v>54</v>
      </c>
      <c r="L78" s="8" t="s">
        <v>54</v>
      </c>
      <c r="M78" s="8" t="s">
        <v>54</v>
      </c>
      <c r="N78" s="10" t="s">
        <v>67</v>
      </c>
      <c r="O78" s="8" t="s">
        <v>54</v>
      </c>
      <c r="P78" s="8" t="s">
        <v>54</v>
      </c>
      <c r="Q78" s="8" t="s">
        <v>54</v>
      </c>
      <c r="R78" s="8" t="s">
        <v>54</v>
      </c>
      <c r="S78" s="8" t="s">
        <v>54</v>
      </c>
      <c r="T78" s="8" t="s">
        <v>54</v>
      </c>
      <c r="U78" s="10" t="s">
        <v>67</v>
      </c>
      <c r="V78" s="8" t="s">
        <v>54</v>
      </c>
      <c r="W78" s="8" t="s">
        <v>54</v>
      </c>
      <c r="X78" s="8" t="s">
        <v>54</v>
      </c>
      <c r="Y78" s="8" t="s">
        <v>54</v>
      </c>
      <c r="Z78" s="8" t="s">
        <v>54</v>
      </c>
      <c r="AA78" s="8" t="s">
        <v>54</v>
      </c>
      <c r="AB78" s="10" t="s">
        <v>67</v>
      </c>
      <c r="AC78" s="8" t="s">
        <v>54</v>
      </c>
      <c r="AD78" s="8" t="s">
        <v>54</v>
      </c>
      <c r="AE78" s="8" t="s">
        <v>54</v>
      </c>
      <c r="AF78" s="8" t="s">
        <v>54</v>
      </c>
      <c r="AG78" s="8" t="s">
        <v>54</v>
      </c>
      <c r="AH78" s="8" t="s">
        <v>54</v>
      </c>
      <c r="AI78" s="10" t="s">
        <v>67</v>
      </c>
      <c r="AJ78" s="8">
        <f>COUNTIF($E$78:$AI$78,"P")</f>
        <v>26</v>
      </c>
      <c r="AK78" s="8">
        <f>COUNTIF($E$78:$AI$78,"A")</f>
        <v>0</v>
      </c>
      <c r="AL78" s="8">
        <f>SUM($E$79:$AI$79)</f>
        <v>37</v>
      </c>
      <c r="AM78" s="8">
        <f>SUM($E$80:$AI$80)</f>
        <v>139</v>
      </c>
      <c r="AN78" s="8">
        <f>AL78+AM78</f>
        <v>176</v>
      </c>
      <c r="AO78" s="8">
        <f>COUNTIF($E$78:$AI$78,"CL")</f>
        <v>0</v>
      </c>
      <c r="AP78" s="8">
        <f>COUNTIF($E$78:$AI$78,"SL")</f>
        <v>0</v>
      </c>
      <c r="AQ78" s="8">
        <f>COUNTIF($E$78:$AI$78,"EL")</f>
        <v>0</v>
      </c>
      <c r="AR78" s="8">
        <f>COUNTIF($E$78:$AI$78,"H")</f>
        <v>0</v>
      </c>
      <c r="AS78" s="8"/>
      <c r="AT78" s="11" t="s">
        <v>6</v>
      </c>
    </row>
    <row r="79" spans="1:46" ht="15.1" customHeight="1">
      <c r="A79" s="8"/>
      <c r="B79" s="9"/>
      <c r="C79" s="8"/>
      <c r="D79" s="9"/>
      <c r="E79" s="8">
        <v>2</v>
      </c>
      <c r="F79" s="8">
        <v>2</v>
      </c>
      <c r="G79" s="8">
        <v>0</v>
      </c>
      <c r="H79" s="8">
        <v>2</v>
      </c>
      <c r="I79" s="8">
        <v>2</v>
      </c>
      <c r="J79" s="8">
        <v>2</v>
      </c>
      <c r="K79" s="8">
        <v>2</v>
      </c>
      <c r="L79" s="8">
        <v>2</v>
      </c>
      <c r="M79" s="8">
        <v>2</v>
      </c>
      <c r="N79" s="8">
        <v>0</v>
      </c>
      <c r="O79" s="8">
        <v>2</v>
      </c>
      <c r="P79" s="8">
        <v>2</v>
      </c>
      <c r="Q79" s="8">
        <v>2</v>
      </c>
      <c r="R79" s="8">
        <v>2</v>
      </c>
      <c r="S79" s="8">
        <v>2</v>
      </c>
      <c r="T79" s="8">
        <v>2</v>
      </c>
      <c r="U79" s="8">
        <v>0</v>
      </c>
      <c r="V79" s="8">
        <v>2</v>
      </c>
      <c r="W79" s="8">
        <v>2</v>
      </c>
      <c r="X79" s="8">
        <v>2</v>
      </c>
      <c r="Y79" s="8">
        <v>0</v>
      </c>
      <c r="Z79" s="8">
        <v>0</v>
      </c>
      <c r="AA79" s="8">
        <v>0</v>
      </c>
      <c r="AB79" s="8">
        <v>0</v>
      </c>
      <c r="AC79" s="8">
        <v>2</v>
      </c>
      <c r="AD79" s="8">
        <v>0</v>
      </c>
      <c r="AE79" s="8">
        <v>0</v>
      </c>
      <c r="AF79" s="8">
        <v>0</v>
      </c>
      <c r="AG79" s="8">
        <v>1</v>
      </c>
      <c r="AH79" s="8">
        <v>0</v>
      </c>
      <c r="AI79" s="8">
        <v>0</v>
      </c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11" t="s">
        <v>6</v>
      </c>
    </row>
    <row r="80" spans="1:46" ht="15.1" customHeight="1">
      <c r="A80" s="8"/>
      <c r="B80" s="9"/>
      <c r="C80" s="8"/>
      <c r="D80" s="9"/>
      <c r="E80" s="8">
        <v>4.5</v>
      </c>
      <c r="F80" s="8">
        <v>3</v>
      </c>
      <c r="G80" s="8">
        <v>13.5</v>
      </c>
      <c r="H80" s="8">
        <v>5</v>
      </c>
      <c r="I80" s="8">
        <v>7</v>
      </c>
      <c r="J80" s="8">
        <v>7</v>
      </c>
      <c r="K80" s="8">
        <v>7</v>
      </c>
      <c r="L80" s="8">
        <v>7</v>
      </c>
      <c r="M80" s="8">
        <v>5</v>
      </c>
      <c r="N80" s="8">
        <v>17</v>
      </c>
      <c r="O80" s="8">
        <v>7</v>
      </c>
      <c r="P80" s="8">
        <v>7</v>
      </c>
      <c r="Q80" s="8">
        <v>5</v>
      </c>
      <c r="R80" s="8">
        <v>7</v>
      </c>
      <c r="S80" s="8">
        <v>7</v>
      </c>
      <c r="T80" s="8">
        <v>3</v>
      </c>
      <c r="U80" s="8">
        <v>13</v>
      </c>
      <c r="V80" s="8">
        <v>7</v>
      </c>
      <c r="W80" s="8">
        <v>7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11" t="s">
        <v>6</v>
      </c>
    </row>
    <row r="81" spans="1:46" ht="15.1" customHeight="1">
      <c r="A81" s="8">
        <v>26</v>
      </c>
      <c r="B81" s="9" t="s">
        <v>314</v>
      </c>
      <c r="C81" s="8" t="s">
        <v>315</v>
      </c>
      <c r="D81" s="9" t="s">
        <v>266</v>
      </c>
      <c r="E81" s="8" t="s">
        <v>54</v>
      </c>
      <c r="F81" s="8" t="s">
        <v>54</v>
      </c>
      <c r="G81" s="10" t="s">
        <v>67</v>
      </c>
      <c r="H81" s="8" t="s">
        <v>54</v>
      </c>
      <c r="I81" s="8" t="s">
        <v>54</v>
      </c>
      <c r="J81" s="8" t="s">
        <v>54</v>
      </c>
      <c r="K81" s="8" t="s">
        <v>54</v>
      </c>
      <c r="L81" s="8" t="s">
        <v>54</v>
      </c>
      <c r="M81" s="8" t="s">
        <v>54</v>
      </c>
      <c r="N81" s="10" t="s">
        <v>67</v>
      </c>
      <c r="O81" s="8" t="s">
        <v>54</v>
      </c>
      <c r="P81" s="8" t="s">
        <v>54</v>
      </c>
      <c r="Q81" s="8" t="s">
        <v>54</v>
      </c>
      <c r="R81" s="8" t="s">
        <v>54</v>
      </c>
      <c r="S81" s="8" t="s">
        <v>54</v>
      </c>
      <c r="T81" s="12" t="s">
        <v>55</v>
      </c>
      <c r="U81" s="10" t="s">
        <v>67</v>
      </c>
      <c r="V81" s="8" t="s">
        <v>54</v>
      </c>
      <c r="W81" s="8" t="s">
        <v>54</v>
      </c>
      <c r="X81" s="8" t="s">
        <v>54</v>
      </c>
      <c r="Y81" s="8" t="s">
        <v>54</v>
      </c>
      <c r="Z81" s="8" t="s">
        <v>54</v>
      </c>
      <c r="AA81" s="8" t="s">
        <v>54</v>
      </c>
      <c r="AB81" s="10" t="s">
        <v>67</v>
      </c>
      <c r="AC81" s="8" t="s">
        <v>54</v>
      </c>
      <c r="AD81" s="8" t="s">
        <v>54</v>
      </c>
      <c r="AE81" s="8" t="s">
        <v>54</v>
      </c>
      <c r="AF81" s="8" t="s">
        <v>54</v>
      </c>
      <c r="AG81" s="8" t="s">
        <v>54</v>
      </c>
      <c r="AH81" s="8" t="s">
        <v>54</v>
      </c>
      <c r="AI81" s="10" t="s">
        <v>67</v>
      </c>
      <c r="AJ81" s="8">
        <f>COUNTIF($E$81:$AI$81,"P")</f>
        <v>25</v>
      </c>
      <c r="AK81" s="8">
        <f>COUNTIF($E$81:$AI$81,"A")</f>
        <v>1</v>
      </c>
      <c r="AL81" s="8">
        <f>SUM($E$82:$AI$82)</f>
        <v>33</v>
      </c>
      <c r="AM81" s="8">
        <f>SUM($E$83:$AI$83)</f>
        <v>115</v>
      </c>
      <c r="AN81" s="8">
        <f>AL81+AM81</f>
        <v>148</v>
      </c>
      <c r="AO81" s="8">
        <f>COUNTIF($E$81:$AI$81,"CL")</f>
        <v>0</v>
      </c>
      <c r="AP81" s="8">
        <f>COUNTIF($E$81:$AI$81,"SL")</f>
        <v>0</v>
      </c>
      <c r="AQ81" s="8">
        <f>COUNTIF($E$81:$AI$81,"EL")</f>
        <v>0</v>
      </c>
      <c r="AR81" s="8">
        <f>COUNTIF($E$81:$AI$81,"H")</f>
        <v>0</v>
      </c>
      <c r="AS81" s="8"/>
      <c r="AT81" s="11" t="s">
        <v>6</v>
      </c>
    </row>
    <row r="82" spans="1:46" ht="15.1" customHeight="1">
      <c r="A82" s="8"/>
      <c r="B82" s="9"/>
      <c r="C82" s="8"/>
      <c r="D82" s="9"/>
      <c r="E82" s="8">
        <v>2</v>
      </c>
      <c r="F82" s="8">
        <v>2</v>
      </c>
      <c r="G82" s="8">
        <v>0</v>
      </c>
      <c r="H82" s="8">
        <v>2</v>
      </c>
      <c r="I82" s="8">
        <v>2</v>
      </c>
      <c r="J82" s="8">
        <v>2</v>
      </c>
      <c r="K82" s="8">
        <v>2</v>
      </c>
      <c r="L82" s="8">
        <v>2</v>
      </c>
      <c r="M82" s="8">
        <v>2</v>
      </c>
      <c r="N82" s="8">
        <v>0</v>
      </c>
      <c r="O82" s="8">
        <v>2</v>
      </c>
      <c r="P82" s="8">
        <v>2</v>
      </c>
      <c r="Q82" s="8">
        <v>2</v>
      </c>
      <c r="R82" s="8">
        <v>2</v>
      </c>
      <c r="S82" s="8">
        <v>0</v>
      </c>
      <c r="T82" s="8">
        <v>0</v>
      </c>
      <c r="U82" s="8">
        <v>0</v>
      </c>
      <c r="V82" s="8">
        <v>2</v>
      </c>
      <c r="W82" s="8">
        <v>2</v>
      </c>
      <c r="X82" s="8">
        <v>2</v>
      </c>
      <c r="Y82" s="8">
        <v>0</v>
      </c>
      <c r="Z82" s="8">
        <v>0</v>
      </c>
      <c r="AA82" s="8">
        <v>0</v>
      </c>
      <c r="AB82" s="8">
        <v>0</v>
      </c>
      <c r="AC82" s="8">
        <v>2</v>
      </c>
      <c r="AD82" s="8">
        <v>0</v>
      </c>
      <c r="AE82" s="8">
        <v>0</v>
      </c>
      <c r="AF82" s="8">
        <v>0</v>
      </c>
      <c r="AG82" s="8">
        <v>1</v>
      </c>
      <c r="AH82" s="8">
        <v>0</v>
      </c>
      <c r="AI82" s="8">
        <v>0</v>
      </c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11" t="s">
        <v>6</v>
      </c>
    </row>
    <row r="83" spans="1:46" ht="15.1" customHeight="1">
      <c r="A83" s="8"/>
      <c r="B83" s="9"/>
      <c r="C83" s="8"/>
      <c r="D83" s="9"/>
      <c r="E83" s="8">
        <v>4.5</v>
      </c>
      <c r="F83" s="8">
        <v>3</v>
      </c>
      <c r="G83" s="8">
        <v>14</v>
      </c>
      <c r="H83" s="8">
        <v>5</v>
      </c>
      <c r="I83" s="8">
        <v>7</v>
      </c>
      <c r="J83" s="8">
        <v>6</v>
      </c>
      <c r="K83" s="8">
        <v>7</v>
      </c>
      <c r="L83" s="8">
        <v>7</v>
      </c>
      <c r="M83" s="8">
        <v>5</v>
      </c>
      <c r="N83" s="8">
        <v>17</v>
      </c>
      <c r="O83" s="8">
        <v>7</v>
      </c>
      <c r="P83" s="8">
        <v>7</v>
      </c>
      <c r="Q83" s="8">
        <v>4.5</v>
      </c>
      <c r="R83" s="8">
        <v>7</v>
      </c>
      <c r="S83" s="8">
        <v>0</v>
      </c>
      <c r="T83" s="8">
        <v>0</v>
      </c>
      <c r="U83" s="8">
        <v>0</v>
      </c>
      <c r="V83" s="8">
        <v>7</v>
      </c>
      <c r="W83" s="8">
        <v>7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11" t="s">
        <v>6</v>
      </c>
    </row>
    <row r="84" spans="1:46" ht="15.1" customHeight="1">
      <c r="A84" s="8">
        <v>27</v>
      </c>
      <c r="B84" s="9" t="s">
        <v>316</v>
      </c>
      <c r="C84" s="8" t="s">
        <v>317</v>
      </c>
      <c r="D84" s="9" t="s">
        <v>266</v>
      </c>
      <c r="E84" s="8" t="s">
        <v>54</v>
      </c>
      <c r="F84" s="8" t="s">
        <v>54</v>
      </c>
      <c r="G84" s="10" t="s">
        <v>67</v>
      </c>
      <c r="H84" s="8" t="s">
        <v>54</v>
      </c>
      <c r="I84" s="8" t="s">
        <v>54</v>
      </c>
      <c r="J84" s="8" t="s">
        <v>54</v>
      </c>
      <c r="K84" s="8" t="s">
        <v>54</v>
      </c>
      <c r="L84" s="8" t="s">
        <v>54</v>
      </c>
      <c r="M84" s="8" t="s">
        <v>54</v>
      </c>
      <c r="N84" s="10" t="s">
        <v>67</v>
      </c>
      <c r="O84" s="8" t="s">
        <v>54</v>
      </c>
      <c r="P84" s="12" t="s">
        <v>55</v>
      </c>
      <c r="Q84" s="8" t="s">
        <v>54</v>
      </c>
      <c r="R84" s="8" t="s">
        <v>54</v>
      </c>
      <c r="S84" s="8" t="s">
        <v>54</v>
      </c>
      <c r="T84" s="8" t="s">
        <v>54</v>
      </c>
      <c r="U84" s="10" t="s">
        <v>67</v>
      </c>
      <c r="V84" s="12" t="s">
        <v>55</v>
      </c>
      <c r="W84" s="12" t="s">
        <v>55</v>
      </c>
      <c r="X84" s="12" t="s">
        <v>55</v>
      </c>
      <c r="Y84" s="8" t="s">
        <v>54</v>
      </c>
      <c r="Z84" s="8" t="s">
        <v>54</v>
      </c>
      <c r="AA84" s="8" t="s">
        <v>54</v>
      </c>
      <c r="AB84" s="10" t="s">
        <v>67</v>
      </c>
      <c r="AC84" s="12" t="s">
        <v>55</v>
      </c>
      <c r="AD84" s="12" t="s">
        <v>55</v>
      </c>
      <c r="AE84" s="8" t="s">
        <v>54</v>
      </c>
      <c r="AF84" s="12" t="s">
        <v>55</v>
      </c>
      <c r="AG84" s="12" t="s">
        <v>55</v>
      </c>
      <c r="AH84" s="8" t="s">
        <v>54</v>
      </c>
      <c r="AI84" s="10" t="s">
        <v>67</v>
      </c>
      <c r="AJ84" s="8">
        <f>COUNTIF($E$84:$AI$84,"P")</f>
        <v>18</v>
      </c>
      <c r="AK84" s="8">
        <f>COUNTIF($E$84:$AI$84,"A")</f>
        <v>8</v>
      </c>
      <c r="AL84" s="8">
        <f>SUM($E$85:$AI$85)</f>
        <v>26</v>
      </c>
      <c r="AM84" s="8">
        <f>SUM($E$86:$AI$86)</f>
        <v>119</v>
      </c>
      <c r="AN84" s="8">
        <f>AL84+AM84</f>
        <v>145</v>
      </c>
      <c r="AO84" s="8">
        <f>COUNTIF($E$84:$AI$84,"CL")</f>
        <v>0</v>
      </c>
      <c r="AP84" s="8">
        <f>COUNTIF($E$84:$AI$84,"SL")</f>
        <v>0</v>
      </c>
      <c r="AQ84" s="8">
        <f>COUNTIF($E$84:$AI$84,"EL")</f>
        <v>0</v>
      </c>
      <c r="AR84" s="8">
        <f>COUNTIF($E$84:$AI$84,"H")</f>
        <v>0</v>
      </c>
      <c r="AS84" s="8"/>
      <c r="AT84" s="11" t="s">
        <v>6</v>
      </c>
    </row>
    <row r="85" spans="1:46" ht="15.1" customHeight="1">
      <c r="A85" s="8"/>
      <c r="B85" s="9"/>
      <c r="C85" s="8"/>
      <c r="D85" s="9"/>
      <c r="E85" s="8">
        <v>2</v>
      </c>
      <c r="F85" s="8">
        <v>2</v>
      </c>
      <c r="G85" s="8">
        <v>0</v>
      </c>
      <c r="H85" s="8">
        <v>2</v>
      </c>
      <c r="I85" s="8">
        <v>2</v>
      </c>
      <c r="J85" s="8">
        <v>2</v>
      </c>
      <c r="K85" s="8">
        <v>2</v>
      </c>
      <c r="L85" s="8">
        <v>2</v>
      </c>
      <c r="M85" s="8">
        <v>2</v>
      </c>
      <c r="N85" s="8">
        <v>0</v>
      </c>
      <c r="O85" s="8">
        <v>2</v>
      </c>
      <c r="P85" s="8">
        <v>0</v>
      </c>
      <c r="Q85" s="8">
        <v>2</v>
      </c>
      <c r="R85" s="8">
        <v>2</v>
      </c>
      <c r="S85" s="8">
        <v>2</v>
      </c>
      <c r="T85" s="8">
        <v>2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11" t="s">
        <v>6</v>
      </c>
    </row>
    <row r="86" spans="1:46" ht="15.1" customHeight="1">
      <c r="A86" s="8"/>
      <c r="B86" s="9"/>
      <c r="C86" s="8"/>
      <c r="D86" s="9"/>
      <c r="E86" s="8">
        <v>5</v>
      </c>
      <c r="F86" s="8">
        <v>3</v>
      </c>
      <c r="G86" s="8">
        <v>14</v>
      </c>
      <c r="H86" s="8">
        <v>5</v>
      </c>
      <c r="I86" s="8">
        <v>7</v>
      </c>
      <c r="J86" s="8">
        <v>7</v>
      </c>
      <c r="K86" s="8">
        <v>7</v>
      </c>
      <c r="L86" s="8">
        <v>7</v>
      </c>
      <c r="M86" s="8">
        <v>5</v>
      </c>
      <c r="N86" s="8">
        <v>17</v>
      </c>
      <c r="O86" s="8">
        <v>7</v>
      </c>
      <c r="P86" s="8">
        <v>0</v>
      </c>
      <c r="Q86" s="8">
        <v>5</v>
      </c>
      <c r="R86" s="8">
        <v>7</v>
      </c>
      <c r="S86" s="8">
        <v>7</v>
      </c>
      <c r="T86" s="8">
        <v>3</v>
      </c>
      <c r="U86" s="8">
        <v>13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11" t="s">
        <v>6</v>
      </c>
    </row>
    <row r="87" spans="1:46" ht="15.1" customHeight="1">
      <c r="A87" s="8">
        <v>28</v>
      </c>
      <c r="B87" s="9" t="s">
        <v>318</v>
      </c>
      <c r="C87" s="8" t="s">
        <v>319</v>
      </c>
      <c r="D87" s="9" t="s">
        <v>266</v>
      </c>
      <c r="E87" s="8" t="s">
        <v>54</v>
      </c>
      <c r="F87" s="8" t="s">
        <v>54</v>
      </c>
      <c r="G87" s="10" t="s">
        <v>67</v>
      </c>
      <c r="H87" s="8" t="s">
        <v>54</v>
      </c>
      <c r="I87" s="8" t="s">
        <v>54</v>
      </c>
      <c r="J87" s="8" t="s">
        <v>54</v>
      </c>
      <c r="K87" s="8" t="s">
        <v>54</v>
      </c>
      <c r="L87" s="8" t="s">
        <v>54</v>
      </c>
      <c r="M87" s="8" t="s">
        <v>54</v>
      </c>
      <c r="N87" s="10" t="s">
        <v>67</v>
      </c>
      <c r="O87" s="12" t="s">
        <v>55</v>
      </c>
      <c r="P87" s="8" t="s">
        <v>54</v>
      </c>
      <c r="Q87" s="8" t="s">
        <v>54</v>
      </c>
      <c r="R87" s="8" t="s">
        <v>54</v>
      </c>
      <c r="S87" s="8" t="s">
        <v>54</v>
      </c>
      <c r="T87" s="8" t="s">
        <v>54</v>
      </c>
      <c r="U87" s="10" t="s">
        <v>67</v>
      </c>
      <c r="V87" s="12" t="s">
        <v>55</v>
      </c>
      <c r="W87" s="8" t="s">
        <v>54</v>
      </c>
      <c r="X87" s="8" t="s">
        <v>54</v>
      </c>
      <c r="Y87" s="8" t="s">
        <v>54</v>
      </c>
      <c r="Z87" s="8" t="s">
        <v>54</v>
      </c>
      <c r="AA87" s="8" t="s">
        <v>54</v>
      </c>
      <c r="AB87" s="10" t="s">
        <v>67</v>
      </c>
      <c r="AC87" s="8" t="s">
        <v>54</v>
      </c>
      <c r="AD87" s="8" t="s">
        <v>54</v>
      </c>
      <c r="AE87" s="8" t="s">
        <v>54</v>
      </c>
      <c r="AF87" s="12" t="s">
        <v>55</v>
      </c>
      <c r="AG87" s="8" t="s">
        <v>54</v>
      </c>
      <c r="AH87" s="8" t="s">
        <v>54</v>
      </c>
      <c r="AI87" s="10" t="s">
        <v>67</v>
      </c>
      <c r="AJ87" s="8">
        <f>COUNTIF($E$87:$AI$87,"P")</f>
        <v>23</v>
      </c>
      <c r="AK87" s="8">
        <f>COUNTIF($E$87:$AI$87,"A")</f>
        <v>3</v>
      </c>
      <c r="AL87" s="8">
        <f>SUM($E$88:$AI$88)</f>
        <v>28</v>
      </c>
      <c r="AM87" s="8">
        <f>SUM($E$89:$AI$89)</f>
        <v>111.5</v>
      </c>
      <c r="AN87" s="8">
        <f>AL87+AM87</f>
        <v>139.5</v>
      </c>
      <c r="AO87" s="8">
        <f>COUNTIF($E$87:$AI$87,"CL")</f>
        <v>0</v>
      </c>
      <c r="AP87" s="8">
        <f>COUNTIF($E$87:$AI$87,"SL")</f>
        <v>0</v>
      </c>
      <c r="AQ87" s="8">
        <f>COUNTIF($E$87:$AI$87,"EL")</f>
        <v>0</v>
      </c>
      <c r="AR87" s="8">
        <f>COUNTIF($E$87:$AI$87,"H")</f>
        <v>0</v>
      </c>
      <c r="AS87" s="8"/>
      <c r="AT87" s="11" t="s">
        <v>6</v>
      </c>
    </row>
    <row r="88" spans="1:46" ht="15.1" customHeight="1">
      <c r="A88" s="8"/>
      <c r="B88" s="9"/>
      <c r="C88" s="8"/>
      <c r="D88" s="9"/>
      <c r="E88" s="8">
        <v>2</v>
      </c>
      <c r="F88" s="8">
        <v>2</v>
      </c>
      <c r="G88" s="8">
        <v>0</v>
      </c>
      <c r="H88" s="8">
        <v>2</v>
      </c>
      <c r="I88" s="8">
        <v>2</v>
      </c>
      <c r="J88" s="8">
        <v>2</v>
      </c>
      <c r="K88" s="8">
        <v>2</v>
      </c>
      <c r="L88" s="8">
        <v>2</v>
      </c>
      <c r="M88" s="8">
        <v>2</v>
      </c>
      <c r="N88" s="8">
        <v>0</v>
      </c>
      <c r="O88" s="8">
        <v>0</v>
      </c>
      <c r="P88" s="8">
        <v>2</v>
      </c>
      <c r="Q88" s="8">
        <v>2</v>
      </c>
      <c r="R88" s="8">
        <v>2</v>
      </c>
      <c r="S88" s="8">
        <v>2</v>
      </c>
      <c r="T88" s="8">
        <v>2</v>
      </c>
      <c r="U88" s="8">
        <v>0</v>
      </c>
      <c r="V88" s="8">
        <v>0</v>
      </c>
      <c r="W88" s="8">
        <v>2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11" t="s">
        <v>6</v>
      </c>
    </row>
    <row r="89" spans="1:46" ht="15.1" customHeight="1">
      <c r="A89" s="8"/>
      <c r="B89" s="9"/>
      <c r="C89" s="8"/>
      <c r="D89" s="9"/>
      <c r="E89" s="8">
        <v>5</v>
      </c>
      <c r="F89" s="8">
        <v>3</v>
      </c>
      <c r="G89" s="8">
        <v>14</v>
      </c>
      <c r="H89" s="8">
        <v>5</v>
      </c>
      <c r="I89" s="8">
        <v>7</v>
      </c>
      <c r="J89" s="8">
        <v>7</v>
      </c>
      <c r="K89" s="8">
        <v>7</v>
      </c>
      <c r="L89" s="8">
        <v>7</v>
      </c>
      <c r="M89" s="8">
        <v>5</v>
      </c>
      <c r="N89" s="8">
        <v>17</v>
      </c>
      <c r="O89" s="8">
        <v>0</v>
      </c>
      <c r="P89" s="8">
        <v>7</v>
      </c>
      <c r="Q89" s="8">
        <v>5</v>
      </c>
      <c r="R89" s="8">
        <v>7</v>
      </c>
      <c r="S89" s="8">
        <v>0</v>
      </c>
      <c r="T89" s="8">
        <v>3</v>
      </c>
      <c r="U89" s="8">
        <v>12.5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11" t="s">
        <v>6</v>
      </c>
    </row>
    <row r="90" spans="1:46" ht="15.1" customHeight="1">
      <c r="A90" s="8">
        <v>29</v>
      </c>
      <c r="B90" s="9" t="s">
        <v>320</v>
      </c>
      <c r="C90" s="8" t="s">
        <v>321</v>
      </c>
      <c r="D90" s="9" t="s">
        <v>266</v>
      </c>
      <c r="E90" s="8" t="s">
        <v>54</v>
      </c>
      <c r="F90" s="8" t="s">
        <v>54</v>
      </c>
      <c r="G90" s="10" t="s">
        <v>67</v>
      </c>
      <c r="H90" s="8" t="s">
        <v>54</v>
      </c>
      <c r="I90" s="8" t="s">
        <v>54</v>
      </c>
      <c r="J90" s="8" t="s">
        <v>54</v>
      </c>
      <c r="K90" s="8" t="s">
        <v>54</v>
      </c>
      <c r="L90" s="8" t="s">
        <v>54</v>
      </c>
      <c r="M90" s="8" t="s">
        <v>54</v>
      </c>
      <c r="N90" s="10" t="s">
        <v>67</v>
      </c>
      <c r="O90" s="8" t="s">
        <v>54</v>
      </c>
      <c r="P90" s="8" t="s">
        <v>54</v>
      </c>
      <c r="Q90" s="8" t="s">
        <v>54</v>
      </c>
      <c r="R90" s="8" t="s">
        <v>54</v>
      </c>
      <c r="S90" s="8" t="s">
        <v>54</v>
      </c>
      <c r="T90" s="8" t="s">
        <v>54</v>
      </c>
      <c r="U90" s="10" t="s">
        <v>67</v>
      </c>
      <c r="V90" s="8" t="s">
        <v>54</v>
      </c>
      <c r="W90" s="8" t="s">
        <v>54</v>
      </c>
      <c r="X90" s="8" t="s">
        <v>54</v>
      </c>
      <c r="Y90" s="8" t="s">
        <v>54</v>
      </c>
      <c r="Z90" s="8" t="s">
        <v>54</v>
      </c>
      <c r="AA90" s="8" t="s">
        <v>54</v>
      </c>
      <c r="AB90" s="10" t="s">
        <v>67</v>
      </c>
      <c r="AC90" s="8" t="s">
        <v>54</v>
      </c>
      <c r="AD90" s="8" t="s">
        <v>54</v>
      </c>
      <c r="AE90" s="8" t="s">
        <v>54</v>
      </c>
      <c r="AF90" s="8" t="s">
        <v>54</v>
      </c>
      <c r="AG90" s="8" t="s">
        <v>54</v>
      </c>
      <c r="AH90" s="8" t="s">
        <v>54</v>
      </c>
      <c r="AI90" s="10" t="s">
        <v>67</v>
      </c>
      <c r="AJ90" s="8">
        <f>COUNTIF($E$90:$AI$90,"P")</f>
        <v>26</v>
      </c>
      <c r="AK90" s="8">
        <f>COUNTIF($E$90:$AI$90,"A")</f>
        <v>0</v>
      </c>
      <c r="AL90" s="8">
        <f>SUM($E$91:$AI$91)</f>
        <v>37</v>
      </c>
      <c r="AM90" s="8">
        <f>SUM($E$92:$AI$92)</f>
        <v>138.5</v>
      </c>
      <c r="AN90" s="8">
        <f>AL90+AM90</f>
        <v>175.5</v>
      </c>
      <c r="AO90" s="8">
        <f>COUNTIF($E$90:$AI$90,"CL")</f>
        <v>0</v>
      </c>
      <c r="AP90" s="8">
        <f>COUNTIF($E$90:$AI$90,"SL")</f>
        <v>0</v>
      </c>
      <c r="AQ90" s="8">
        <f>COUNTIF($E$90:$AI$90,"EL")</f>
        <v>0</v>
      </c>
      <c r="AR90" s="8">
        <f>COUNTIF($E$90:$AI$90,"H")</f>
        <v>0</v>
      </c>
      <c r="AS90" s="8"/>
      <c r="AT90" s="11" t="s">
        <v>6</v>
      </c>
    </row>
    <row r="91" spans="1:46" ht="15.1" customHeight="1">
      <c r="A91" s="8"/>
      <c r="B91" s="9"/>
      <c r="C91" s="8"/>
      <c r="D91" s="9"/>
      <c r="E91" s="8">
        <v>2</v>
      </c>
      <c r="F91" s="8">
        <v>2</v>
      </c>
      <c r="G91" s="8">
        <v>0</v>
      </c>
      <c r="H91" s="8">
        <v>2</v>
      </c>
      <c r="I91" s="8">
        <v>2</v>
      </c>
      <c r="J91" s="8">
        <v>2</v>
      </c>
      <c r="K91" s="8">
        <v>2</v>
      </c>
      <c r="L91" s="8">
        <v>2</v>
      </c>
      <c r="M91" s="8">
        <v>2</v>
      </c>
      <c r="N91" s="8">
        <v>0</v>
      </c>
      <c r="O91" s="8">
        <v>2</v>
      </c>
      <c r="P91" s="8">
        <v>2</v>
      </c>
      <c r="Q91" s="8">
        <v>2</v>
      </c>
      <c r="R91" s="8">
        <v>2</v>
      </c>
      <c r="S91" s="8">
        <v>2</v>
      </c>
      <c r="T91" s="8">
        <v>2</v>
      </c>
      <c r="U91" s="8">
        <v>0</v>
      </c>
      <c r="V91" s="8">
        <v>2</v>
      </c>
      <c r="W91" s="8">
        <v>2</v>
      </c>
      <c r="X91" s="8">
        <v>2</v>
      </c>
      <c r="Y91" s="8">
        <v>0</v>
      </c>
      <c r="Z91" s="8">
        <v>0</v>
      </c>
      <c r="AA91" s="8">
        <v>0</v>
      </c>
      <c r="AB91" s="8">
        <v>0</v>
      </c>
      <c r="AC91" s="8">
        <v>2</v>
      </c>
      <c r="AD91" s="8">
        <v>0</v>
      </c>
      <c r="AE91" s="8">
        <v>0</v>
      </c>
      <c r="AF91" s="8">
        <v>0</v>
      </c>
      <c r="AG91" s="8">
        <v>1</v>
      </c>
      <c r="AH91" s="8">
        <v>0</v>
      </c>
      <c r="AI91" s="8">
        <v>0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11" t="s">
        <v>6</v>
      </c>
    </row>
    <row r="92" spans="1:46" ht="15.1" customHeight="1">
      <c r="A92" s="8"/>
      <c r="B92" s="9"/>
      <c r="C92" s="8"/>
      <c r="D92" s="9"/>
      <c r="E92" s="8">
        <v>5</v>
      </c>
      <c r="F92" s="8">
        <v>3</v>
      </c>
      <c r="G92" s="8">
        <v>14</v>
      </c>
      <c r="H92" s="8">
        <v>5</v>
      </c>
      <c r="I92" s="8">
        <v>7</v>
      </c>
      <c r="J92" s="8">
        <v>7</v>
      </c>
      <c r="K92" s="8">
        <v>7</v>
      </c>
      <c r="L92" s="8">
        <v>7</v>
      </c>
      <c r="M92" s="8">
        <v>5</v>
      </c>
      <c r="N92" s="8">
        <v>16.5</v>
      </c>
      <c r="O92" s="8">
        <v>7</v>
      </c>
      <c r="P92" s="8">
        <v>7</v>
      </c>
      <c r="Q92" s="8">
        <v>5</v>
      </c>
      <c r="R92" s="8">
        <v>7</v>
      </c>
      <c r="S92" s="8">
        <v>7</v>
      </c>
      <c r="T92" s="8">
        <v>2.5</v>
      </c>
      <c r="U92" s="8">
        <v>13</v>
      </c>
      <c r="V92" s="8">
        <v>6.5</v>
      </c>
      <c r="W92" s="8">
        <v>7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11" t="s">
        <v>6</v>
      </c>
    </row>
    <row r="93" spans="1:46" ht="15.1" customHeight="1">
      <c r="A93" s="8">
        <v>30</v>
      </c>
      <c r="B93" s="9" t="s">
        <v>322</v>
      </c>
      <c r="C93" s="8" t="s">
        <v>323</v>
      </c>
      <c r="D93" s="9" t="s">
        <v>266</v>
      </c>
      <c r="E93" s="8" t="s">
        <v>54</v>
      </c>
      <c r="F93" s="8" t="s">
        <v>54</v>
      </c>
      <c r="G93" s="10" t="s">
        <v>67</v>
      </c>
      <c r="H93" s="8" t="s">
        <v>54</v>
      </c>
      <c r="I93" s="8" t="s">
        <v>54</v>
      </c>
      <c r="J93" s="8" t="s">
        <v>54</v>
      </c>
      <c r="K93" s="8" t="s">
        <v>54</v>
      </c>
      <c r="L93" s="8" t="s">
        <v>54</v>
      </c>
      <c r="M93" s="12" t="s">
        <v>55</v>
      </c>
      <c r="N93" s="10" t="s">
        <v>67</v>
      </c>
      <c r="O93" s="8" t="s">
        <v>54</v>
      </c>
      <c r="P93" s="12" t="s">
        <v>55</v>
      </c>
      <c r="Q93" s="8" t="s">
        <v>54</v>
      </c>
      <c r="R93" s="8" t="s">
        <v>54</v>
      </c>
      <c r="S93" s="8" t="s">
        <v>54</v>
      </c>
      <c r="T93" s="8" t="s">
        <v>54</v>
      </c>
      <c r="U93" s="10" t="s">
        <v>67</v>
      </c>
      <c r="V93" s="8" t="s">
        <v>54</v>
      </c>
      <c r="W93" s="8" t="s">
        <v>54</v>
      </c>
      <c r="X93" s="8" t="s">
        <v>54</v>
      </c>
      <c r="Y93" s="8" t="s">
        <v>54</v>
      </c>
      <c r="Z93" s="8" t="s">
        <v>54</v>
      </c>
      <c r="AA93" s="8" t="s">
        <v>54</v>
      </c>
      <c r="AB93" s="10" t="s">
        <v>67</v>
      </c>
      <c r="AC93" s="8" t="s">
        <v>54</v>
      </c>
      <c r="AD93" s="8" t="s">
        <v>54</v>
      </c>
      <c r="AE93" s="8" t="s">
        <v>54</v>
      </c>
      <c r="AF93" s="8" t="s">
        <v>54</v>
      </c>
      <c r="AG93" s="8" t="s">
        <v>54</v>
      </c>
      <c r="AH93" s="8" t="s">
        <v>54</v>
      </c>
      <c r="AI93" s="10" t="s">
        <v>67</v>
      </c>
      <c r="AJ93" s="8">
        <f>COUNTIF($E$93:$AI$93,"P")</f>
        <v>24</v>
      </c>
      <c r="AK93" s="8">
        <f>COUNTIF($E$93:$AI$93,"A")</f>
        <v>2</v>
      </c>
      <c r="AL93" s="8">
        <f>SUM($E$94:$AI$94)</f>
        <v>29</v>
      </c>
      <c r="AM93" s="8">
        <f>SUM($E$95:$AI$95)</f>
        <v>115</v>
      </c>
      <c r="AN93" s="8">
        <f>AL93+AM93</f>
        <v>144</v>
      </c>
      <c r="AO93" s="8">
        <f>COUNTIF($E$93:$AI$93,"CL")</f>
        <v>0</v>
      </c>
      <c r="AP93" s="8">
        <f>COUNTIF($E$93:$AI$93,"SL")</f>
        <v>0</v>
      </c>
      <c r="AQ93" s="8">
        <f>COUNTIF($E$93:$AI$93,"EL")</f>
        <v>0</v>
      </c>
      <c r="AR93" s="8">
        <f>COUNTIF($E$93:$AI$93,"H")</f>
        <v>0</v>
      </c>
      <c r="AS93" s="8"/>
      <c r="AT93" s="11" t="s">
        <v>6</v>
      </c>
    </row>
    <row r="94" spans="1:46" ht="15.1" customHeight="1">
      <c r="A94" s="8"/>
      <c r="B94" s="9"/>
      <c r="C94" s="8"/>
      <c r="D94" s="9"/>
      <c r="E94" s="8">
        <v>2</v>
      </c>
      <c r="F94" s="8">
        <v>2</v>
      </c>
      <c r="G94" s="8">
        <v>0</v>
      </c>
      <c r="H94" s="8">
        <v>2</v>
      </c>
      <c r="I94" s="8">
        <v>2</v>
      </c>
      <c r="J94" s="8">
        <v>2</v>
      </c>
      <c r="K94" s="8">
        <v>2</v>
      </c>
      <c r="L94" s="8">
        <v>2</v>
      </c>
      <c r="M94" s="8">
        <v>0</v>
      </c>
      <c r="N94" s="8">
        <v>0</v>
      </c>
      <c r="O94" s="8">
        <v>0</v>
      </c>
      <c r="P94" s="8">
        <v>0</v>
      </c>
      <c r="Q94" s="8">
        <v>2</v>
      </c>
      <c r="R94" s="8">
        <v>2</v>
      </c>
      <c r="S94" s="8">
        <v>2</v>
      </c>
      <c r="T94" s="8">
        <v>2</v>
      </c>
      <c r="U94" s="8">
        <v>0</v>
      </c>
      <c r="V94" s="8">
        <v>2</v>
      </c>
      <c r="W94" s="8">
        <v>2</v>
      </c>
      <c r="X94" s="8">
        <v>2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1</v>
      </c>
      <c r="AH94" s="8">
        <v>0</v>
      </c>
      <c r="AI94" s="8">
        <v>0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11" t="s">
        <v>6</v>
      </c>
    </row>
    <row r="95" spans="1:46" ht="15.1" customHeight="1">
      <c r="A95" s="8"/>
      <c r="B95" s="9"/>
      <c r="C95" s="8"/>
      <c r="D95" s="9"/>
      <c r="E95" s="8">
        <v>4.5</v>
      </c>
      <c r="F95" s="8">
        <v>3</v>
      </c>
      <c r="G95" s="8">
        <v>14</v>
      </c>
      <c r="H95" s="8">
        <v>5</v>
      </c>
      <c r="I95" s="8">
        <v>7</v>
      </c>
      <c r="J95" s="8">
        <v>7</v>
      </c>
      <c r="K95" s="8">
        <v>7</v>
      </c>
      <c r="L95" s="8">
        <v>7</v>
      </c>
      <c r="M95" s="8">
        <v>0</v>
      </c>
      <c r="N95" s="8">
        <v>16.5</v>
      </c>
      <c r="O95" s="8">
        <v>0</v>
      </c>
      <c r="P95" s="8">
        <v>0</v>
      </c>
      <c r="Q95" s="8">
        <v>5</v>
      </c>
      <c r="R95" s="8">
        <v>7</v>
      </c>
      <c r="S95" s="8">
        <v>7</v>
      </c>
      <c r="T95" s="8">
        <v>3</v>
      </c>
      <c r="U95" s="8">
        <v>8</v>
      </c>
      <c r="V95" s="8">
        <v>7</v>
      </c>
      <c r="W95" s="8">
        <v>7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11" t="s">
        <v>6</v>
      </c>
    </row>
    <row r="96" spans="1:46" ht="15.1" customHeight="1">
      <c r="A96" s="8">
        <v>31</v>
      </c>
      <c r="B96" s="9" t="s">
        <v>324</v>
      </c>
      <c r="C96" s="8" t="s">
        <v>325</v>
      </c>
      <c r="D96" s="9" t="s">
        <v>266</v>
      </c>
      <c r="E96" s="8" t="s">
        <v>54</v>
      </c>
      <c r="F96" s="8" t="s">
        <v>54</v>
      </c>
      <c r="G96" s="10" t="s">
        <v>67</v>
      </c>
      <c r="H96" s="8" t="s">
        <v>54</v>
      </c>
      <c r="I96" s="8" t="s">
        <v>54</v>
      </c>
      <c r="J96" s="8" t="s">
        <v>54</v>
      </c>
      <c r="K96" s="8" t="s">
        <v>54</v>
      </c>
      <c r="L96" s="8" t="s">
        <v>54</v>
      </c>
      <c r="M96" s="8" t="s">
        <v>54</v>
      </c>
      <c r="N96" s="10" t="s">
        <v>67</v>
      </c>
      <c r="O96" s="8" t="s">
        <v>54</v>
      </c>
      <c r="P96" s="8" t="s">
        <v>54</v>
      </c>
      <c r="Q96" s="8" t="s">
        <v>54</v>
      </c>
      <c r="R96" s="8" t="s">
        <v>54</v>
      </c>
      <c r="S96" s="8" t="s">
        <v>54</v>
      </c>
      <c r="T96" s="8" t="s">
        <v>54</v>
      </c>
      <c r="U96" s="10" t="s">
        <v>67</v>
      </c>
      <c r="V96" s="8" t="s">
        <v>54</v>
      </c>
      <c r="W96" s="8" t="s">
        <v>54</v>
      </c>
      <c r="X96" s="8" t="s">
        <v>54</v>
      </c>
      <c r="Y96" s="8" t="s">
        <v>54</v>
      </c>
      <c r="Z96" s="8" t="s">
        <v>54</v>
      </c>
      <c r="AA96" s="8" t="s">
        <v>54</v>
      </c>
      <c r="AB96" s="10" t="s">
        <v>67</v>
      </c>
      <c r="AC96" s="8" t="s">
        <v>54</v>
      </c>
      <c r="AD96" s="8" t="s">
        <v>54</v>
      </c>
      <c r="AE96" s="8" t="s">
        <v>54</v>
      </c>
      <c r="AF96" s="8" t="s">
        <v>54</v>
      </c>
      <c r="AG96" s="8" t="s">
        <v>54</v>
      </c>
      <c r="AH96" s="8" t="s">
        <v>54</v>
      </c>
      <c r="AI96" s="10" t="s">
        <v>67</v>
      </c>
      <c r="AJ96" s="8">
        <f>COUNTIF($E$96:$AI$96,"P")</f>
        <v>26</v>
      </c>
      <c r="AK96" s="8">
        <f>COUNTIF($E$96:$AI$96,"A")</f>
        <v>0</v>
      </c>
      <c r="AL96" s="8">
        <f>SUM($E$97:$AI$97)</f>
        <v>37</v>
      </c>
      <c r="AM96" s="8">
        <f>SUM($E$98:$AI$98)</f>
        <v>135</v>
      </c>
      <c r="AN96" s="8">
        <f>AL96+AM96</f>
        <v>172</v>
      </c>
      <c r="AO96" s="8">
        <f>COUNTIF($E$96:$AI$96,"CL")</f>
        <v>0</v>
      </c>
      <c r="AP96" s="8">
        <f>COUNTIF($E$96:$AI$96,"SL")</f>
        <v>0</v>
      </c>
      <c r="AQ96" s="8">
        <f>COUNTIF($E$96:$AI$96,"EL")</f>
        <v>0</v>
      </c>
      <c r="AR96" s="8">
        <f>COUNTIF($E$96:$AI$96,"H")</f>
        <v>0</v>
      </c>
      <c r="AS96" s="8"/>
      <c r="AT96" s="11" t="s">
        <v>6</v>
      </c>
    </row>
    <row r="97" spans="1:46" ht="15.1" customHeight="1">
      <c r="A97" s="8"/>
      <c r="B97" s="9"/>
      <c r="C97" s="8"/>
      <c r="D97" s="9"/>
      <c r="E97" s="8">
        <v>2</v>
      </c>
      <c r="F97" s="8">
        <v>2</v>
      </c>
      <c r="G97" s="8">
        <v>0</v>
      </c>
      <c r="H97" s="8">
        <v>2</v>
      </c>
      <c r="I97" s="8">
        <v>2</v>
      </c>
      <c r="J97" s="8">
        <v>2</v>
      </c>
      <c r="K97" s="8">
        <v>2</v>
      </c>
      <c r="L97" s="8">
        <v>2</v>
      </c>
      <c r="M97" s="8">
        <v>2</v>
      </c>
      <c r="N97" s="8">
        <v>0</v>
      </c>
      <c r="O97" s="8">
        <v>2</v>
      </c>
      <c r="P97" s="8">
        <v>2</v>
      </c>
      <c r="Q97" s="8">
        <v>2</v>
      </c>
      <c r="R97" s="8">
        <v>2</v>
      </c>
      <c r="S97" s="8">
        <v>2</v>
      </c>
      <c r="T97" s="8">
        <v>2</v>
      </c>
      <c r="U97" s="8">
        <v>0</v>
      </c>
      <c r="V97" s="8">
        <v>2</v>
      </c>
      <c r="W97" s="8">
        <v>2</v>
      </c>
      <c r="X97" s="8">
        <v>2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2</v>
      </c>
      <c r="AE97" s="8">
        <v>0</v>
      </c>
      <c r="AF97" s="8">
        <v>0</v>
      </c>
      <c r="AG97" s="8">
        <v>1</v>
      </c>
      <c r="AH97" s="8">
        <v>0</v>
      </c>
      <c r="AI97" s="8">
        <v>0</v>
      </c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11" t="s">
        <v>6</v>
      </c>
    </row>
    <row r="98" spans="1:46" ht="15.1" customHeight="1">
      <c r="A98" s="8"/>
      <c r="B98" s="9"/>
      <c r="C98" s="8"/>
      <c r="D98" s="9"/>
      <c r="E98" s="8">
        <v>5</v>
      </c>
      <c r="F98" s="8">
        <v>3</v>
      </c>
      <c r="G98" s="8">
        <v>13.5</v>
      </c>
      <c r="H98" s="8">
        <v>5</v>
      </c>
      <c r="I98" s="8">
        <v>7</v>
      </c>
      <c r="J98" s="8">
        <v>7</v>
      </c>
      <c r="K98" s="8">
        <v>7</v>
      </c>
      <c r="L98" s="8">
        <v>7</v>
      </c>
      <c r="M98" s="8">
        <v>5</v>
      </c>
      <c r="N98" s="8">
        <v>17</v>
      </c>
      <c r="O98" s="8">
        <v>3</v>
      </c>
      <c r="P98" s="8">
        <v>7</v>
      </c>
      <c r="Q98" s="8">
        <v>5</v>
      </c>
      <c r="R98" s="8">
        <v>7</v>
      </c>
      <c r="S98" s="8">
        <v>7</v>
      </c>
      <c r="T98" s="8">
        <v>3</v>
      </c>
      <c r="U98" s="8">
        <v>12.5</v>
      </c>
      <c r="V98" s="8">
        <v>7</v>
      </c>
      <c r="W98" s="8">
        <v>7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11" t="s">
        <v>6</v>
      </c>
    </row>
    <row r="99" spans="1:46" ht="15.1" customHeight="1">
      <c r="A99" s="8">
        <v>32</v>
      </c>
      <c r="B99" s="9" t="s">
        <v>326</v>
      </c>
      <c r="C99" s="8" t="s">
        <v>327</v>
      </c>
      <c r="D99" s="9" t="s">
        <v>266</v>
      </c>
      <c r="E99" s="8" t="s">
        <v>54</v>
      </c>
      <c r="F99" s="8" t="s">
        <v>54</v>
      </c>
      <c r="G99" s="10" t="s">
        <v>67</v>
      </c>
      <c r="H99" s="8" t="s">
        <v>54</v>
      </c>
      <c r="I99" s="8" t="s">
        <v>54</v>
      </c>
      <c r="J99" s="8" t="s">
        <v>54</v>
      </c>
      <c r="K99" s="8" t="s">
        <v>54</v>
      </c>
      <c r="L99" s="8" t="s">
        <v>54</v>
      </c>
      <c r="M99" s="8" t="s">
        <v>54</v>
      </c>
      <c r="N99" s="10" t="s">
        <v>67</v>
      </c>
      <c r="O99" s="8" t="s">
        <v>54</v>
      </c>
      <c r="P99" s="8" t="s">
        <v>54</v>
      </c>
      <c r="Q99" s="8" t="s">
        <v>54</v>
      </c>
      <c r="R99" s="8" t="s">
        <v>54</v>
      </c>
      <c r="S99" s="8" t="s">
        <v>54</v>
      </c>
      <c r="T99" s="8" t="s">
        <v>54</v>
      </c>
      <c r="U99" s="10" t="s">
        <v>67</v>
      </c>
      <c r="V99" s="8" t="s">
        <v>54</v>
      </c>
      <c r="W99" s="8" t="s">
        <v>54</v>
      </c>
      <c r="X99" s="8" t="s">
        <v>54</v>
      </c>
      <c r="Y99" s="8" t="s">
        <v>54</v>
      </c>
      <c r="Z99" s="8" t="s">
        <v>54</v>
      </c>
      <c r="AA99" s="8" t="s">
        <v>54</v>
      </c>
      <c r="AB99" s="10" t="s">
        <v>67</v>
      </c>
      <c r="AC99" s="8" t="s">
        <v>54</v>
      </c>
      <c r="AD99" s="8" t="s">
        <v>54</v>
      </c>
      <c r="AE99" s="8" t="s">
        <v>54</v>
      </c>
      <c r="AF99" s="8" t="s">
        <v>54</v>
      </c>
      <c r="AG99" s="8" t="s">
        <v>54</v>
      </c>
      <c r="AH99" s="8" t="s">
        <v>54</v>
      </c>
      <c r="AI99" s="10" t="s">
        <v>67</v>
      </c>
      <c r="AJ99" s="8">
        <f>COUNTIF($E$99:$AI$99,"P")</f>
        <v>26</v>
      </c>
      <c r="AK99" s="8">
        <f>COUNTIF($E$99:$AI$99,"A")</f>
        <v>0</v>
      </c>
      <c r="AL99" s="8">
        <f>SUM($E$100:$AI$100)</f>
        <v>37</v>
      </c>
      <c r="AM99" s="8">
        <f>SUM($E$101:$AI$101)</f>
        <v>140</v>
      </c>
      <c r="AN99" s="8">
        <f>AL99+AM99</f>
        <v>177</v>
      </c>
      <c r="AO99" s="8">
        <f>COUNTIF($E$99:$AI$99,"CL")</f>
        <v>0</v>
      </c>
      <c r="AP99" s="8">
        <f>COUNTIF($E$99:$AI$99,"SL")</f>
        <v>0</v>
      </c>
      <c r="AQ99" s="8">
        <f>COUNTIF($E$99:$AI$99,"EL")</f>
        <v>0</v>
      </c>
      <c r="AR99" s="8">
        <f>COUNTIF($E$99:$AI$99,"H")</f>
        <v>0</v>
      </c>
      <c r="AS99" s="8"/>
      <c r="AT99" s="11" t="s">
        <v>6</v>
      </c>
    </row>
    <row r="100" spans="1:46" ht="15.1" customHeight="1">
      <c r="A100" s="8"/>
      <c r="B100" s="9"/>
      <c r="C100" s="8"/>
      <c r="D100" s="9"/>
      <c r="E100" s="8">
        <v>2</v>
      </c>
      <c r="F100" s="8">
        <v>2</v>
      </c>
      <c r="G100" s="8">
        <v>0</v>
      </c>
      <c r="H100" s="8">
        <v>2</v>
      </c>
      <c r="I100" s="8">
        <v>2</v>
      </c>
      <c r="J100" s="8">
        <v>2</v>
      </c>
      <c r="K100" s="8">
        <v>2</v>
      </c>
      <c r="L100" s="8">
        <v>2</v>
      </c>
      <c r="M100" s="8">
        <v>2</v>
      </c>
      <c r="N100" s="8">
        <v>0</v>
      </c>
      <c r="O100" s="8">
        <v>2</v>
      </c>
      <c r="P100" s="8">
        <v>2</v>
      </c>
      <c r="Q100" s="8">
        <v>2</v>
      </c>
      <c r="R100" s="8">
        <v>2</v>
      </c>
      <c r="S100" s="8">
        <v>2</v>
      </c>
      <c r="T100" s="8">
        <v>2</v>
      </c>
      <c r="U100" s="8">
        <v>0</v>
      </c>
      <c r="V100" s="8">
        <v>2</v>
      </c>
      <c r="W100" s="8">
        <v>2</v>
      </c>
      <c r="X100" s="8">
        <v>2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2</v>
      </c>
      <c r="AE100" s="8">
        <v>0</v>
      </c>
      <c r="AF100" s="8">
        <v>0</v>
      </c>
      <c r="AG100" s="8">
        <v>1</v>
      </c>
      <c r="AH100" s="8">
        <v>0</v>
      </c>
      <c r="AI100" s="8">
        <v>0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11" t="s">
        <v>6</v>
      </c>
    </row>
    <row r="101" spans="1:46" ht="15.1" customHeight="1">
      <c r="A101" s="8"/>
      <c r="B101" s="9"/>
      <c r="C101" s="8"/>
      <c r="D101" s="9"/>
      <c r="E101" s="8">
        <v>5</v>
      </c>
      <c r="F101" s="8">
        <v>3</v>
      </c>
      <c r="G101" s="8">
        <v>14</v>
      </c>
      <c r="H101" s="8">
        <v>5</v>
      </c>
      <c r="I101" s="8">
        <v>7</v>
      </c>
      <c r="J101" s="8">
        <v>7</v>
      </c>
      <c r="K101" s="8">
        <v>7</v>
      </c>
      <c r="L101" s="8">
        <v>7</v>
      </c>
      <c r="M101" s="8">
        <v>5</v>
      </c>
      <c r="N101" s="8">
        <v>17</v>
      </c>
      <c r="O101" s="8">
        <v>7</v>
      </c>
      <c r="P101" s="8">
        <v>7</v>
      </c>
      <c r="Q101" s="8">
        <v>5</v>
      </c>
      <c r="R101" s="8">
        <v>7</v>
      </c>
      <c r="S101" s="8">
        <v>7</v>
      </c>
      <c r="T101" s="8">
        <v>3</v>
      </c>
      <c r="U101" s="8">
        <v>13</v>
      </c>
      <c r="V101" s="8">
        <v>7</v>
      </c>
      <c r="W101" s="8">
        <v>7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11" t="s">
        <v>6</v>
      </c>
    </row>
    <row r="102" spans="1:46" ht="15.1" customHeight="1">
      <c r="A102" s="8">
        <v>33</v>
      </c>
      <c r="B102" s="9" t="s">
        <v>328</v>
      </c>
      <c r="C102" s="8" t="s">
        <v>329</v>
      </c>
      <c r="D102" s="9" t="s">
        <v>266</v>
      </c>
      <c r="E102" s="8" t="s">
        <v>54</v>
      </c>
      <c r="F102" s="8" t="s">
        <v>54</v>
      </c>
      <c r="G102" s="10" t="s">
        <v>67</v>
      </c>
      <c r="H102" s="8" t="s">
        <v>54</v>
      </c>
      <c r="I102" s="8" t="s">
        <v>54</v>
      </c>
      <c r="J102" s="8" t="s">
        <v>54</v>
      </c>
      <c r="K102" s="8" t="s">
        <v>54</v>
      </c>
      <c r="L102" s="8" t="s">
        <v>54</v>
      </c>
      <c r="M102" s="8" t="s">
        <v>54</v>
      </c>
      <c r="N102" s="10" t="s">
        <v>67</v>
      </c>
      <c r="O102" s="8" t="s">
        <v>54</v>
      </c>
      <c r="P102" s="8" t="s">
        <v>54</v>
      </c>
      <c r="Q102" s="8" t="s">
        <v>54</v>
      </c>
      <c r="R102" s="8" t="s">
        <v>54</v>
      </c>
      <c r="S102" s="8" t="s">
        <v>54</v>
      </c>
      <c r="T102" s="8" t="s">
        <v>54</v>
      </c>
      <c r="U102" s="10" t="s">
        <v>67</v>
      </c>
      <c r="V102" s="8" t="s">
        <v>54</v>
      </c>
      <c r="W102" s="8" t="s">
        <v>54</v>
      </c>
      <c r="X102" s="8" t="s">
        <v>54</v>
      </c>
      <c r="Y102" s="8" t="s">
        <v>54</v>
      </c>
      <c r="Z102" s="8" t="s">
        <v>54</v>
      </c>
      <c r="AA102" s="8" t="s">
        <v>54</v>
      </c>
      <c r="AB102" s="10" t="s">
        <v>67</v>
      </c>
      <c r="AC102" s="8" t="s">
        <v>54</v>
      </c>
      <c r="AD102" s="8" t="s">
        <v>54</v>
      </c>
      <c r="AE102" s="8" t="s">
        <v>54</v>
      </c>
      <c r="AF102" s="8" t="s">
        <v>54</v>
      </c>
      <c r="AG102" s="8" t="s">
        <v>54</v>
      </c>
      <c r="AH102" s="8" t="s">
        <v>54</v>
      </c>
      <c r="AI102" s="10" t="s">
        <v>67</v>
      </c>
      <c r="AJ102" s="8">
        <f>COUNTIF($E$102:$AI$102,"P")</f>
        <v>26</v>
      </c>
      <c r="AK102" s="8">
        <f>COUNTIF($E$102:$AI$102,"A")</f>
        <v>0</v>
      </c>
      <c r="AL102" s="8">
        <f>SUM($E$103:$AI$103)</f>
        <v>34</v>
      </c>
      <c r="AM102" s="8">
        <f>SUM($E$104:$AI$104)</f>
        <v>129</v>
      </c>
      <c r="AN102" s="8">
        <f>AL102+AM102</f>
        <v>163</v>
      </c>
      <c r="AO102" s="8">
        <f>COUNTIF($E$102:$AI$102,"CL")</f>
        <v>0</v>
      </c>
      <c r="AP102" s="8">
        <f>COUNTIF($E$102:$AI$102,"SL")</f>
        <v>0</v>
      </c>
      <c r="AQ102" s="8">
        <f>COUNTIF($E$102:$AI$102,"EL")</f>
        <v>0</v>
      </c>
      <c r="AR102" s="8">
        <f>COUNTIF($E$102:$AI$102,"H")</f>
        <v>0</v>
      </c>
      <c r="AS102" s="8"/>
      <c r="AT102" s="11" t="s">
        <v>7</v>
      </c>
    </row>
    <row r="103" spans="1:46" ht="15.1" customHeight="1">
      <c r="A103" s="8"/>
      <c r="B103" s="9"/>
      <c r="C103" s="8"/>
      <c r="D103" s="9"/>
      <c r="E103" s="8">
        <v>2</v>
      </c>
      <c r="F103" s="8">
        <v>2</v>
      </c>
      <c r="G103" s="8">
        <v>0</v>
      </c>
      <c r="H103" s="8">
        <v>2</v>
      </c>
      <c r="I103" s="8">
        <v>2</v>
      </c>
      <c r="J103" s="8">
        <v>2</v>
      </c>
      <c r="K103" s="8">
        <v>2</v>
      </c>
      <c r="L103" s="8">
        <v>2</v>
      </c>
      <c r="M103" s="8">
        <v>2</v>
      </c>
      <c r="N103" s="8">
        <v>0</v>
      </c>
      <c r="O103" s="8">
        <v>2</v>
      </c>
      <c r="P103" s="8">
        <v>2</v>
      </c>
      <c r="Q103" s="8">
        <v>2</v>
      </c>
      <c r="R103" s="8">
        <v>2</v>
      </c>
      <c r="S103" s="8">
        <v>2</v>
      </c>
      <c r="T103" s="8">
        <v>2</v>
      </c>
      <c r="U103" s="8">
        <v>0</v>
      </c>
      <c r="V103" s="8">
        <v>2</v>
      </c>
      <c r="W103" s="8">
        <v>2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2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11" t="s">
        <v>7</v>
      </c>
    </row>
    <row r="104" spans="1:46" ht="15.1" customHeight="1">
      <c r="A104" s="8"/>
      <c r="B104" s="9"/>
      <c r="C104" s="8"/>
      <c r="D104" s="9"/>
      <c r="E104" s="8">
        <v>5</v>
      </c>
      <c r="F104" s="8">
        <v>3</v>
      </c>
      <c r="G104" s="8">
        <v>13.5</v>
      </c>
      <c r="H104" s="8">
        <v>5</v>
      </c>
      <c r="I104" s="8">
        <v>4.5</v>
      </c>
      <c r="J104" s="8">
        <v>7</v>
      </c>
      <c r="K104" s="8">
        <v>7</v>
      </c>
      <c r="L104" s="8">
        <v>7</v>
      </c>
      <c r="M104" s="8">
        <v>5</v>
      </c>
      <c r="N104" s="8">
        <v>16.5</v>
      </c>
      <c r="O104" s="8">
        <v>7</v>
      </c>
      <c r="P104" s="8">
        <v>7</v>
      </c>
      <c r="Q104" s="8">
        <v>5</v>
      </c>
      <c r="R104" s="8">
        <v>7</v>
      </c>
      <c r="S104" s="8">
        <v>7</v>
      </c>
      <c r="T104" s="8">
        <v>3</v>
      </c>
      <c r="U104" s="8">
        <v>12.5</v>
      </c>
      <c r="V104" s="8">
        <v>7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11" t="s">
        <v>7</v>
      </c>
    </row>
    <row r="105" spans="1:46" ht="15.1" customHeight="1">
      <c r="A105" s="8">
        <v>34</v>
      </c>
      <c r="B105" s="9" t="s">
        <v>330</v>
      </c>
      <c r="C105" s="8" t="s">
        <v>331</v>
      </c>
      <c r="D105" s="9" t="s">
        <v>266</v>
      </c>
      <c r="E105" s="8" t="s">
        <v>54</v>
      </c>
      <c r="F105" s="8" t="s">
        <v>54</v>
      </c>
      <c r="G105" s="10" t="s">
        <v>67</v>
      </c>
      <c r="H105" s="8" t="s">
        <v>54</v>
      </c>
      <c r="I105" s="8" t="s">
        <v>54</v>
      </c>
      <c r="J105" s="8" t="s">
        <v>54</v>
      </c>
      <c r="K105" s="8" t="s">
        <v>54</v>
      </c>
      <c r="L105" s="8" t="s">
        <v>54</v>
      </c>
      <c r="M105" s="8" t="s">
        <v>54</v>
      </c>
      <c r="N105" s="10" t="s">
        <v>67</v>
      </c>
      <c r="O105" s="8" t="s">
        <v>54</v>
      </c>
      <c r="P105" s="8" t="s">
        <v>54</v>
      </c>
      <c r="Q105" s="8" t="s">
        <v>54</v>
      </c>
      <c r="R105" s="8" t="s">
        <v>54</v>
      </c>
      <c r="S105" s="8" t="s">
        <v>54</v>
      </c>
      <c r="T105" s="8" t="s">
        <v>54</v>
      </c>
      <c r="U105" s="10" t="s">
        <v>67</v>
      </c>
      <c r="V105" s="8" t="s">
        <v>54</v>
      </c>
      <c r="W105" s="8" t="s">
        <v>54</v>
      </c>
      <c r="X105" s="8" t="s">
        <v>54</v>
      </c>
      <c r="Y105" s="8" t="s">
        <v>54</v>
      </c>
      <c r="Z105" s="8" t="s">
        <v>54</v>
      </c>
      <c r="AA105" s="8" t="s">
        <v>54</v>
      </c>
      <c r="AB105" s="10" t="s">
        <v>67</v>
      </c>
      <c r="AC105" s="8" t="s">
        <v>54</v>
      </c>
      <c r="AD105" s="8" t="s">
        <v>54</v>
      </c>
      <c r="AE105" s="8" t="s">
        <v>54</v>
      </c>
      <c r="AF105" s="8" t="s">
        <v>54</v>
      </c>
      <c r="AG105" s="8" t="s">
        <v>54</v>
      </c>
      <c r="AH105" s="8" t="s">
        <v>54</v>
      </c>
      <c r="AI105" s="10" t="s">
        <v>67</v>
      </c>
      <c r="AJ105" s="8">
        <f>COUNTIF($E$105:$AI$105,"P")</f>
        <v>26</v>
      </c>
      <c r="AK105" s="8">
        <f>COUNTIF($E$105:$AI$105,"A")</f>
        <v>0</v>
      </c>
      <c r="AL105" s="8">
        <f>SUM($E$106:$AI$106)</f>
        <v>36</v>
      </c>
      <c r="AM105" s="8">
        <f>SUM($E$107:$AI$107)</f>
        <v>132.5</v>
      </c>
      <c r="AN105" s="8">
        <f>AL105+AM105</f>
        <v>168.5</v>
      </c>
      <c r="AO105" s="8">
        <f>COUNTIF($E$105:$AI$105,"CL")</f>
        <v>0</v>
      </c>
      <c r="AP105" s="8">
        <f>COUNTIF($E$105:$AI$105,"SL")</f>
        <v>0</v>
      </c>
      <c r="AQ105" s="8">
        <f>COUNTIF($E$105:$AI$105,"EL")</f>
        <v>0</v>
      </c>
      <c r="AR105" s="8">
        <f>COUNTIF($E$105:$AI$105,"H")</f>
        <v>0</v>
      </c>
      <c r="AS105" s="8"/>
      <c r="AT105" s="11" t="s">
        <v>7</v>
      </c>
    </row>
    <row r="106" spans="1:46" ht="15.1" customHeight="1">
      <c r="A106" s="8"/>
      <c r="B106" s="9"/>
      <c r="C106" s="8"/>
      <c r="D106" s="9"/>
      <c r="E106" s="8">
        <v>2</v>
      </c>
      <c r="F106" s="8">
        <v>2</v>
      </c>
      <c r="G106" s="8">
        <v>0</v>
      </c>
      <c r="H106" s="8">
        <v>2</v>
      </c>
      <c r="I106" s="8">
        <v>2</v>
      </c>
      <c r="J106" s="8">
        <v>2</v>
      </c>
      <c r="K106" s="8">
        <v>2</v>
      </c>
      <c r="L106" s="8">
        <v>2</v>
      </c>
      <c r="M106" s="8">
        <v>2</v>
      </c>
      <c r="N106" s="8">
        <v>0</v>
      </c>
      <c r="O106" s="8">
        <v>2</v>
      </c>
      <c r="P106" s="8">
        <v>2</v>
      </c>
      <c r="Q106" s="8">
        <v>2</v>
      </c>
      <c r="R106" s="8">
        <v>2</v>
      </c>
      <c r="S106" s="8">
        <v>2</v>
      </c>
      <c r="T106" s="8">
        <v>2</v>
      </c>
      <c r="U106" s="8">
        <v>0</v>
      </c>
      <c r="V106" s="8">
        <v>2</v>
      </c>
      <c r="W106" s="8">
        <v>2</v>
      </c>
      <c r="X106" s="8">
        <v>2</v>
      </c>
      <c r="Y106" s="8">
        <v>0</v>
      </c>
      <c r="Z106" s="8">
        <v>0</v>
      </c>
      <c r="AA106" s="8">
        <v>0</v>
      </c>
      <c r="AB106" s="8">
        <v>0</v>
      </c>
      <c r="AC106" s="8">
        <v>2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11" t="s">
        <v>7</v>
      </c>
    </row>
    <row r="107" spans="1:46" ht="15.1" customHeight="1">
      <c r="A107" s="8"/>
      <c r="B107" s="9"/>
      <c r="C107" s="8"/>
      <c r="D107" s="9"/>
      <c r="E107" s="8">
        <v>5</v>
      </c>
      <c r="F107" s="8">
        <v>3</v>
      </c>
      <c r="G107" s="8">
        <v>14</v>
      </c>
      <c r="H107" s="8">
        <v>5</v>
      </c>
      <c r="I107" s="8">
        <v>4.5</v>
      </c>
      <c r="J107" s="8">
        <v>7</v>
      </c>
      <c r="K107" s="8">
        <v>7</v>
      </c>
      <c r="L107" s="8">
        <v>7</v>
      </c>
      <c r="M107" s="8">
        <v>5</v>
      </c>
      <c r="N107" s="8">
        <v>16.5</v>
      </c>
      <c r="O107" s="8">
        <v>7</v>
      </c>
      <c r="P107" s="8">
        <v>7</v>
      </c>
      <c r="Q107" s="8">
        <v>5</v>
      </c>
      <c r="R107" s="8">
        <v>7</v>
      </c>
      <c r="S107" s="8">
        <v>7</v>
      </c>
      <c r="T107" s="8">
        <v>3</v>
      </c>
      <c r="U107" s="8">
        <v>12.5</v>
      </c>
      <c r="V107" s="8">
        <v>7</v>
      </c>
      <c r="W107" s="8">
        <v>3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11" t="s">
        <v>7</v>
      </c>
    </row>
    <row r="108" spans="1:46" ht="15.1" customHeight="1">
      <c r="A108" s="8">
        <v>35</v>
      </c>
      <c r="B108" s="9" t="s">
        <v>332</v>
      </c>
      <c r="C108" s="8" t="s">
        <v>333</v>
      </c>
      <c r="D108" s="9" t="s">
        <v>266</v>
      </c>
      <c r="E108" s="8" t="s">
        <v>54</v>
      </c>
      <c r="F108" s="8" t="s">
        <v>54</v>
      </c>
      <c r="G108" s="10" t="s">
        <v>67</v>
      </c>
      <c r="H108" s="8" t="s">
        <v>54</v>
      </c>
      <c r="I108" s="8" t="s">
        <v>54</v>
      </c>
      <c r="J108" s="8" t="s">
        <v>54</v>
      </c>
      <c r="K108" s="8" t="s">
        <v>54</v>
      </c>
      <c r="L108" s="8" t="s">
        <v>54</v>
      </c>
      <c r="M108" s="8" t="s">
        <v>54</v>
      </c>
      <c r="N108" s="10" t="s">
        <v>67</v>
      </c>
      <c r="O108" s="8" t="s">
        <v>54</v>
      </c>
      <c r="P108" s="8" t="s">
        <v>54</v>
      </c>
      <c r="Q108" s="8" t="s">
        <v>54</v>
      </c>
      <c r="R108" s="12" t="s">
        <v>55</v>
      </c>
      <c r="S108" s="12" t="s">
        <v>55</v>
      </c>
      <c r="T108" s="12" t="s">
        <v>55</v>
      </c>
      <c r="U108" s="10" t="s">
        <v>67</v>
      </c>
      <c r="V108" s="8" t="s">
        <v>54</v>
      </c>
      <c r="W108" s="8" t="s">
        <v>54</v>
      </c>
      <c r="X108" s="8" t="s">
        <v>54</v>
      </c>
      <c r="Y108" s="8" t="s">
        <v>54</v>
      </c>
      <c r="Z108" s="8" t="s">
        <v>54</v>
      </c>
      <c r="AA108" s="8" t="s">
        <v>54</v>
      </c>
      <c r="AB108" s="10" t="s">
        <v>67</v>
      </c>
      <c r="AC108" s="8" t="s">
        <v>54</v>
      </c>
      <c r="AD108" s="8" t="s">
        <v>54</v>
      </c>
      <c r="AE108" s="8" t="s">
        <v>54</v>
      </c>
      <c r="AF108" s="8" t="s">
        <v>54</v>
      </c>
      <c r="AG108" s="8" t="s">
        <v>54</v>
      </c>
      <c r="AH108" s="8" t="s">
        <v>54</v>
      </c>
      <c r="AI108" s="10" t="s">
        <v>67</v>
      </c>
      <c r="AJ108" s="8">
        <f>COUNTIF($E$108:$AI$108,"P")</f>
        <v>23</v>
      </c>
      <c r="AK108" s="8">
        <f>COUNTIF($E$108:$AI$108,"A")</f>
        <v>3</v>
      </c>
      <c r="AL108" s="8">
        <f>SUM($E$109:$AI$109)</f>
        <v>26</v>
      </c>
      <c r="AM108" s="8">
        <f>SUM($E$110:$AI$110)</f>
        <v>112</v>
      </c>
      <c r="AN108" s="8">
        <f>AL108+AM108</f>
        <v>138</v>
      </c>
      <c r="AO108" s="8">
        <f>COUNTIF($E$108:$AI$108,"CL")</f>
        <v>0</v>
      </c>
      <c r="AP108" s="8">
        <f>COUNTIF($E$108:$AI$108,"SL")</f>
        <v>0</v>
      </c>
      <c r="AQ108" s="8">
        <f>COUNTIF($E$108:$AI$108,"EL")</f>
        <v>0</v>
      </c>
      <c r="AR108" s="8">
        <f>COUNTIF($E$108:$AI$108,"H")</f>
        <v>0</v>
      </c>
      <c r="AS108" s="8"/>
      <c r="AT108" s="11" t="s">
        <v>7</v>
      </c>
    </row>
    <row r="109" spans="1:46" ht="15.1" customHeight="1">
      <c r="A109" s="8"/>
      <c r="B109" s="9"/>
      <c r="C109" s="8"/>
      <c r="D109" s="9"/>
      <c r="E109" s="8">
        <v>2</v>
      </c>
      <c r="F109" s="8">
        <v>2</v>
      </c>
      <c r="G109" s="8">
        <v>0</v>
      </c>
      <c r="H109" s="8">
        <v>2</v>
      </c>
      <c r="I109" s="8">
        <v>2</v>
      </c>
      <c r="J109" s="8">
        <v>2</v>
      </c>
      <c r="K109" s="8">
        <v>2</v>
      </c>
      <c r="L109" s="8">
        <v>2</v>
      </c>
      <c r="M109" s="8">
        <v>2</v>
      </c>
      <c r="N109" s="8">
        <v>0</v>
      </c>
      <c r="O109" s="8">
        <v>2</v>
      </c>
      <c r="P109" s="8">
        <v>2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2</v>
      </c>
      <c r="W109" s="8">
        <v>2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2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11" t="s">
        <v>7</v>
      </c>
    </row>
    <row r="110" spans="1:46" ht="15.1" customHeight="1">
      <c r="A110" s="8"/>
      <c r="B110" s="9"/>
      <c r="C110" s="8"/>
      <c r="D110" s="9"/>
      <c r="E110" s="8">
        <v>5</v>
      </c>
      <c r="F110" s="8">
        <v>3</v>
      </c>
      <c r="G110" s="8">
        <v>14</v>
      </c>
      <c r="H110" s="8">
        <v>5</v>
      </c>
      <c r="I110" s="8">
        <v>6</v>
      </c>
      <c r="J110" s="8">
        <v>7</v>
      </c>
      <c r="K110" s="8">
        <v>7</v>
      </c>
      <c r="L110" s="8">
        <v>7</v>
      </c>
      <c r="M110" s="8">
        <v>5</v>
      </c>
      <c r="N110" s="8">
        <v>16</v>
      </c>
      <c r="O110" s="8">
        <v>7</v>
      </c>
      <c r="P110" s="8">
        <v>7</v>
      </c>
      <c r="Q110" s="8">
        <v>0</v>
      </c>
      <c r="R110" s="8">
        <v>0</v>
      </c>
      <c r="S110" s="8">
        <v>0</v>
      </c>
      <c r="T110" s="8">
        <v>0</v>
      </c>
      <c r="U110" s="8">
        <v>13</v>
      </c>
      <c r="V110" s="8">
        <v>7</v>
      </c>
      <c r="W110" s="8">
        <v>3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11" t="s">
        <v>7</v>
      </c>
    </row>
    <row r="111" spans="1:46" ht="15.1" customHeight="1">
      <c r="A111" s="8">
        <v>36</v>
      </c>
      <c r="B111" s="9" t="s">
        <v>334</v>
      </c>
      <c r="C111" s="8" t="s">
        <v>335</v>
      </c>
      <c r="D111" s="9" t="s">
        <v>266</v>
      </c>
      <c r="E111" s="8" t="s">
        <v>54</v>
      </c>
      <c r="F111" s="8" t="s">
        <v>54</v>
      </c>
      <c r="G111" s="10" t="s">
        <v>67</v>
      </c>
      <c r="H111" s="8" t="s">
        <v>54</v>
      </c>
      <c r="I111" s="8" t="s">
        <v>54</v>
      </c>
      <c r="J111" s="8" t="s">
        <v>54</v>
      </c>
      <c r="K111" s="8" t="s">
        <v>54</v>
      </c>
      <c r="L111" s="8" t="s">
        <v>54</v>
      </c>
      <c r="M111" s="8" t="s">
        <v>54</v>
      </c>
      <c r="N111" s="10" t="s">
        <v>67</v>
      </c>
      <c r="O111" s="8" t="s">
        <v>54</v>
      </c>
      <c r="P111" s="8" t="s">
        <v>54</v>
      </c>
      <c r="Q111" s="8" t="s">
        <v>54</v>
      </c>
      <c r="R111" s="8" t="s">
        <v>54</v>
      </c>
      <c r="S111" s="8" t="s">
        <v>54</v>
      </c>
      <c r="T111" s="8" t="s">
        <v>54</v>
      </c>
      <c r="U111" s="10" t="s">
        <v>67</v>
      </c>
      <c r="V111" s="8" t="s">
        <v>54</v>
      </c>
      <c r="W111" s="8" t="s">
        <v>54</v>
      </c>
      <c r="X111" s="8" t="s">
        <v>54</v>
      </c>
      <c r="Y111" s="8" t="s">
        <v>54</v>
      </c>
      <c r="Z111" s="8" t="s">
        <v>54</v>
      </c>
      <c r="AA111" s="8" t="s">
        <v>54</v>
      </c>
      <c r="AB111" s="10" t="s">
        <v>67</v>
      </c>
      <c r="AC111" s="8" t="s">
        <v>54</v>
      </c>
      <c r="AD111" s="8" t="s">
        <v>54</v>
      </c>
      <c r="AE111" s="8" t="s">
        <v>54</v>
      </c>
      <c r="AF111" s="8" t="s">
        <v>54</v>
      </c>
      <c r="AG111" s="8" t="s">
        <v>54</v>
      </c>
      <c r="AH111" s="8" t="s">
        <v>54</v>
      </c>
      <c r="AI111" s="10" t="s">
        <v>67</v>
      </c>
      <c r="AJ111" s="8">
        <f>COUNTIF($E$111:$AI$111,"P")</f>
        <v>26</v>
      </c>
      <c r="AK111" s="8">
        <f>COUNTIF($E$111:$AI$111,"A")</f>
        <v>0</v>
      </c>
      <c r="AL111" s="8">
        <f>SUM($E$112:$AI$112)</f>
        <v>32</v>
      </c>
      <c r="AM111" s="8">
        <f>SUM($E$113:$AI$113)</f>
        <v>116.5</v>
      </c>
      <c r="AN111" s="8">
        <f>AL111+AM111</f>
        <v>148.5</v>
      </c>
      <c r="AO111" s="8">
        <f>COUNTIF($E$111:$AI$111,"CL")</f>
        <v>0</v>
      </c>
      <c r="AP111" s="8">
        <f>COUNTIF($E$111:$AI$111,"SL")</f>
        <v>0</v>
      </c>
      <c r="AQ111" s="8">
        <f>COUNTIF($E$111:$AI$111,"EL")</f>
        <v>0</v>
      </c>
      <c r="AR111" s="8">
        <f>COUNTIF($E$111:$AI$111,"H")</f>
        <v>0</v>
      </c>
      <c r="AS111" s="8"/>
      <c r="AT111" s="11" t="s">
        <v>7</v>
      </c>
    </row>
    <row r="112" spans="1:46" ht="15.1" customHeight="1">
      <c r="A112" s="8"/>
      <c r="B112" s="9"/>
      <c r="C112" s="8"/>
      <c r="D112" s="9"/>
      <c r="E112" s="8">
        <v>2</v>
      </c>
      <c r="F112" s="8">
        <v>2</v>
      </c>
      <c r="G112" s="8">
        <v>0</v>
      </c>
      <c r="H112" s="8">
        <v>2</v>
      </c>
      <c r="I112" s="8">
        <v>2</v>
      </c>
      <c r="J112" s="8">
        <v>2</v>
      </c>
      <c r="K112" s="8">
        <v>2</v>
      </c>
      <c r="L112" s="8">
        <v>2</v>
      </c>
      <c r="M112" s="8">
        <v>2</v>
      </c>
      <c r="N112" s="8">
        <v>0</v>
      </c>
      <c r="O112" s="8">
        <v>2</v>
      </c>
      <c r="P112" s="8">
        <v>2</v>
      </c>
      <c r="Q112" s="8">
        <v>2</v>
      </c>
      <c r="R112" s="8">
        <v>2</v>
      </c>
      <c r="S112" s="8">
        <v>2</v>
      </c>
      <c r="T112" s="8">
        <v>2</v>
      </c>
      <c r="U112" s="8">
        <v>0</v>
      </c>
      <c r="V112" s="8">
        <v>2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2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11" t="s">
        <v>7</v>
      </c>
    </row>
    <row r="113" spans="1:46" ht="15.1" customHeight="1">
      <c r="A113" s="8"/>
      <c r="B113" s="9"/>
      <c r="C113" s="8"/>
      <c r="D113" s="9"/>
      <c r="E113" s="8">
        <v>5</v>
      </c>
      <c r="F113" s="8">
        <v>3</v>
      </c>
      <c r="G113" s="8">
        <v>9.5</v>
      </c>
      <c r="H113" s="8">
        <v>5</v>
      </c>
      <c r="I113" s="8">
        <v>4.5</v>
      </c>
      <c r="J113" s="8">
        <v>7</v>
      </c>
      <c r="K113" s="8">
        <v>7</v>
      </c>
      <c r="L113" s="8">
        <v>7</v>
      </c>
      <c r="M113" s="8">
        <v>5</v>
      </c>
      <c r="N113" s="8">
        <v>14.5</v>
      </c>
      <c r="O113" s="8">
        <v>6.5</v>
      </c>
      <c r="P113" s="8">
        <v>7</v>
      </c>
      <c r="Q113" s="8">
        <v>5</v>
      </c>
      <c r="R113" s="8">
        <v>6.5</v>
      </c>
      <c r="S113" s="8">
        <v>6.5</v>
      </c>
      <c r="T113" s="8">
        <v>3</v>
      </c>
      <c r="U113" s="8">
        <v>8</v>
      </c>
      <c r="V113" s="8">
        <v>6.5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11" t="s">
        <v>7</v>
      </c>
    </row>
    <row r="114" spans="1:46" ht="15.1" customHeight="1">
      <c r="A114" s="8">
        <v>37</v>
      </c>
      <c r="B114" s="9" t="s">
        <v>336</v>
      </c>
      <c r="C114" s="8" t="s">
        <v>337</v>
      </c>
      <c r="D114" s="9" t="s">
        <v>266</v>
      </c>
      <c r="E114" s="8" t="s">
        <v>54</v>
      </c>
      <c r="F114" s="8" t="s">
        <v>54</v>
      </c>
      <c r="G114" s="10" t="s">
        <v>67</v>
      </c>
      <c r="H114" s="8" t="s">
        <v>54</v>
      </c>
      <c r="I114" s="8" t="s">
        <v>54</v>
      </c>
      <c r="J114" s="8" t="s">
        <v>54</v>
      </c>
      <c r="K114" s="8" t="s">
        <v>54</v>
      </c>
      <c r="L114" s="8" t="s">
        <v>54</v>
      </c>
      <c r="M114" s="8" t="s">
        <v>54</v>
      </c>
      <c r="N114" s="10" t="s">
        <v>67</v>
      </c>
      <c r="O114" s="8" t="s">
        <v>54</v>
      </c>
      <c r="P114" s="8" t="s">
        <v>54</v>
      </c>
      <c r="Q114" s="8" t="s">
        <v>54</v>
      </c>
      <c r="R114" s="8" t="s">
        <v>54</v>
      </c>
      <c r="S114" s="8" t="s">
        <v>54</v>
      </c>
      <c r="T114" s="8" t="s">
        <v>54</v>
      </c>
      <c r="U114" s="10" t="s">
        <v>67</v>
      </c>
      <c r="V114" s="8" t="s">
        <v>54</v>
      </c>
      <c r="W114" s="8" t="s">
        <v>54</v>
      </c>
      <c r="X114" s="8" t="s">
        <v>54</v>
      </c>
      <c r="Y114" s="8" t="s">
        <v>54</v>
      </c>
      <c r="Z114" s="8" t="s">
        <v>54</v>
      </c>
      <c r="AA114" s="8" t="s">
        <v>54</v>
      </c>
      <c r="AB114" s="10" t="s">
        <v>67</v>
      </c>
      <c r="AC114" s="8" t="s">
        <v>54</v>
      </c>
      <c r="AD114" s="8" t="s">
        <v>54</v>
      </c>
      <c r="AE114" s="8" t="s">
        <v>54</v>
      </c>
      <c r="AF114" s="8" t="s">
        <v>54</v>
      </c>
      <c r="AG114" s="8" t="s">
        <v>54</v>
      </c>
      <c r="AH114" s="8" t="s">
        <v>54</v>
      </c>
      <c r="AI114" s="10" t="s">
        <v>67</v>
      </c>
      <c r="AJ114" s="8">
        <f>COUNTIF($E$114:$AI$114,"P")</f>
        <v>26</v>
      </c>
      <c r="AK114" s="8">
        <f>COUNTIF($E$114:$AI$114,"A")</f>
        <v>0</v>
      </c>
      <c r="AL114" s="8">
        <f>SUM($E$115:$AI$115)</f>
        <v>34</v>
      </c>
      <c r="AM114" s="8">
        <f>SUM($E$116:$AI$116)</f>
        <v>124</v>
      </c>
      <c r="AN114" s="8">
        <f>AL114+AM114</f>
        <v>158</v>
      </c>
      <c r="AO114" s="8">
        <f>COUNTIF($E$114:$AI$114,"CL")</f>
        <v>0</v>
      </c>
      <c r="AP114" s="8">
        <f>COUNTIF($E$114:$AI$114,"SL")</f>
        <v>0</v>
      </c>
      <c r="AQ114" s="8">
        <f>COUNTIF($E$114:$AI$114,"EL")</f>
        <v>0</v>
      </c>
      <c r="AR114" s="8">
        <f>COUNTIF($E$114:$AI$114,"H")</f>
        <v>0</v>
      </c>
      <c r="AS114" s="8"/>
      <c r="AT114" s="11" t="s">
        <v>7</v>
      </c>
    </row>
    <row r="115" spans="1:46" ht="15.1" customHeight="1">
      <c r="A115" s="8"/>
      <c r="B115" s="9"/>
      <c r="C115" s="8"/>
      <c r="D115" s="9"/>
      <c r="E115" s="8">
        <v>2</v>
      </c>
      <c r="F115" s="8">
        <v>2</v>
      </c>
      <c r="G115" s="8">
        <v>0</v>
      </c>
      <c r="H115" s="8">
        <v>2</v>
      </c>
      <c r="I115" s="8">
        <v>2</v>
      </c>
      <c r="J115" s="8">
        <v>2</v>
      </c>
      <c r="K115" s="8">
        <v>2</v>
      </c>
      <c r="L115" s="8">
        <v>2</v>
      </c>
      <c r="M115" s="8">
        <v>2</v>
      </c>
      <c r="N115" s="8">
        <v>0</v>
      </c>
      <c r="O115" s="8">
        <v>2</v>
      </c>
      <c r="P115" s="8">
        <v>2</v>
      </c>
      <c r="Q115" s="8">
        <v>2</v>
      </c>
      <c r="R115" s="8">
        <v>2</v>
      </c>
      <c r="S115" s="8">
        <v>2</v>
      </c>
      <c r="T115" s="8">
        <v>2</v>
      </c>
      <c r="U115" s="8">
        <v>0</v>
      </c>
      <c r="V115" s="8">
        <v>2</v>
      </c>
      <c r="W115" s="8">
        <v>2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2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11" t="s">
        <v>7</v>
      </c>
    </row>
    <row r="116" spans="1:46" ht="15.1" customHeight="1">
      <c r="A116" s="8"/>
      <c r="B116" s="9"/>
      <c r="C116" s="8"/>
      <c r="D116" s="9"/>
      <c r="E116" s="8">
        <v>5</v>
      </c>
      <c r="F116" s="8">
        <v>3</v>
      </c>
      <c r="G116" s="8">
        <v>13.5</v>
      </c>
      <c r="H116" s="8">
        <v>3</v>
      </c>
      <c r="I116" s="8">
        <v>4.5</v>
      </c>
      <c r="J116" s="8">
        <v>7</v>
      </c>
      <c r="K116" s="8">
        <v>7</v>
      </c>
      <c r="L116" s="8">
        <v>7</v>
      </c>
      <c r="M116" s="8">
        <v>5</v>
      </c>
      <c r="N116" s="8">
        <v>16.5</v>
      </c>
      <c r="O116" s="8">
        <v>7</v>
      </c>
      <c r="P116" s="8">
        <v>7</v>
      </c>
      <c r="Q116" s="8">
        <v>5</v>
      </c>
      <c r="R116" s="8">
        <v>7</v>
      </c>
      <c r="S116" s="8">
        <v>7</v>
      </c>
      <c r="T116" s="8">
        <v>3</v>
      </c>
      <c r="U116" s="8">
        <v>9.5</v>
      </c>
      <c r="V116" s="8">
        <v>7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11" t="s">
        <v>7</v>
      </c>
    </row>
    <row r="117" spans="1:46" ht="15.1" customHeight="1">
      <c r="A117" s="8">
        <v>38</v>
      </c>
      <c r="B117" s="9" t="s">
        <v>338</v>
      </c>
      <c r="C117" s="8" t="s">
        <v>339</v>
      </c>
      <c r="D117" s="9" t="s">
        <v>266</v>
      </c>
      <c r="E117" s="8" t="s">
        <v>54</v>
      </c>
      <c r="F117" s="8" t="s">
        <v>54</v>
      </c>
      <c r="G117" s="10" t="s">
        <v>67</v>
      </c>
      <c r="H117" s="8" t="s">
        <v>54</v>
      </c>
      <c r="I117" s="8" t="s">
        <v>54</v>
      </c>
      <c r="J117" s="8" t="s">
        <v>54</v>
      </c>
      <c r="K117" s="8" t="s">
        <v>54</v>
      </c>
      <c r="L117" s="8" t="s">
        <v>54</v>
      </c>
      <c r="M117" s="8" t="s">
        <v>54</v>
      </c>
      <c r="N117" s="10" t="s">
        <v>67</v>
      </c>
      <c r="O117" s="8" t="s">
        <v>54</v>
      </c>
      <c r="P117" s="8" t="s">
        <v>54</v>
      </c>
      <c r="Q117" s="8" t="s">
        <v>54</v>
      </c>
      <c r="R117" s="8" t="s">
        <v>54</v>
      </c>
      <c r="S117" s="8" t="s">
        <v>54</v>
      </c>
      <c r="T117" s="8" t="s">
        <v>54</v>
      </c>
      <c r="U117" s="10" t="s">
        <v>67</v>
      </c>
      <c r="V117" s="8" t="s">
        <v>54</v>
      </c>
      <c r="W117" s="8" t="s">
        <v>54</v>
      </c>
      <c r="X117" s="8" t="s">
        <v>54</v>
      </c>
      <c r="Y117" s="8" t="s">
        <v>54</v>
      </c>
      <c r="Z117" s="8" t="s">
        <v>54</v>
      </c>
      <c r="AA117" s="8" t="s">
        <v>54</v>
      </c>
      <c r="AB117" s="10" t="s">
        <v>67</v>
      </c>
      <c r="AC117" s="8" t="s">
        <v>54</v>
      </c>
      <c r="AD117" s="8" t="s">
        <v>54</v>
      </c>
      <c r="AE117" s="8" t="s">
        <v>54</v>
      </c>
      <c r="AF117" s="8" t="s">
        <v>54</v>
      </c>
      <c r="AG117" s="8" t="s">
        <v>54</v>
      </c>
      <c r="AH117" s="8" t="s">
        <v>54</v>
      </c>
      <c r="AI117" s="10" t="s">
        <v>67</v>
      </c>
      <c r="AJ117" s="8">
        <f>COUNTIF($E$117:$AI$117,"P")</f>
        <v>26</v>
      </c>
      <c r="AK117" s="8">
        <f>COUNTIF($E$117:$AI$117,"A")</f>
        <v>0</v>
      </c>
      <c r="AL117" s="8">
        <f>SUM($E$118:$AI$118)</f>
        <v>34</v>
      </c>
      <c r="AM117" s="8">
        <f>SUM($E$119:$AI$119)</f>
        <v>110.5</v>
      </c>
      <c r="AN117" s="8">
        <f>AL117+AM117</f>
        <v>144.5</v>
      </c>
      <c r="AO117" s="8">
        <f>COUNTIF($E$117:$AI$117,"CL")</f>
        <v>0</v>
      </c>
      <c r="AP117" s="8">
        <f>COUNTIF($E$117:$AI$117,"SL")</f>
        <v>0</v>
      </c>
      <c r="AQ117" s="8">
        <f>COUNTIF($E$117:$AI$117,"EL")</f>
        <v>0</v>
      </c>
      <c r="AR117" s="8">
        <f>COUNTIF($E$117:$AI$117,"H")</f>
        <v>0</v>
      </c>
      <c r="AS117" s="8"/>
      <c r="AT117" s="11" t="s">
        <v>7</v>
      </c>
    </row>
    <row r="118" spans="1:46" ht="15.1" customHeight="1">
      <c r="A118" s="8"/>
      <c r="B118" s="9"/>
      <c r="C118" s="8"/>
      <c r="D118" s="9"/>
      <c r="E118" s="8">
        <v>2</v>
      </c>
      <c r="F118" s="8">
        <v>2</v>
      </c>
      <c r="G118" s="8">
        <v>0</v>
      </c>
      <c r="H118" s="8">
        <v>2</v>
      </c>
      <c r="I118" s="8">
        <v>2</v>
      </c>
      <c r="J118" s="8">
        <v>2</v>
      </c>
      <c r="K118" s="8">
        <v>2</v>
      </c>
      <c r="L118" s="8">
        <v>2</v>
      </c>
      <c r="M118" s="8">
        <v>2</v>
      </c>
      <c r="N118" s="8">
        <v>0</v>
      </c>
      <c r="O118" s="8">
        <v>2</v>
      </c>
      <c r="P118" s="8">
        <v>2</v>
      </c>
      <c r="Q118" s="8">
        <v>2</v>
      </c>
      <c r="R118" s="8">
        <v>2</v>
      </c>
      <c r="S118" s="8">
        <v>2</v>
      </c>
      <c r="T118" s="8">
        <v>2</v>
      </c>
      <c r="U118" s="8">
        <v>0</v>
      </c>
      <c r="V118" s="8">
        <v>2</v>
      </c>
      <c r="W118" s="8">
        <v>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2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11" t="s">
        <v>7</v>
      </c>
    </row>
    <row r="119" spans="1:46" ht="15.1" customHeight="1">
      <c r="A119" s="8"/>
      <c r="B119" s="9"/>
      <c r="C119" s="8"/>
      <c r="D119" s="9"/>
      <c r="E119" s="8">
        <v>5</v>
      </c>
      <c r="F119" s="8">
        <v>3</v>
      </c>
      <c r="G119" s="8">
        <v>13.5</v>
      </c>
      <c r="H119" s="8">
        <v>5</v>
      </c>
      <c r="I119" s="8">
        <v>4.5</v>
      </c>
      <c r="J119" s="8">
        <v>5</v>
      </c>
      <c r="K119" s="8">
        <v>5</v>
      </c>
      <c r="L119" s="8">
        <v>5</v>
      </c>
      <c r="M119" s="8">
        <v>5</v>
      </c>
      <c r="N119" s="8">
        <v>14.5</v>
      </c>
      <c r="O119" s="8">
        <v>5</v>
      </c>
      <c r="P119" s="8">
        <v>5</v>
      </c>
      <c r="Q119" s="8">
        <v>5</v>
      </c>
      <c r="R119" s="8">
        <v>5</v>
      </c>
      <c r="S119" s="8">
        <v>5</v>
      </c>
      <c r="T119" s="8">
        <v>3</v>
      </c>
      <c r="U119" s="8">
        <v>12</v>
      </c>
      <c r="V119" s="8">
        <v>5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11" t="s">
        <v>7</v>
      </c>
    </row>
    <row r="120" spans="1:46" ht="15.1" customHeight="1">
      <c r="A120" s="8">
        <v>39</v>
      </c>
      <c r="B120" s="9" t="s">
        <v>340</v>
      </c>
      <c r="C120" s="8" t="s">
        <v>341</v>
      </c>
      <c r="D120" s="9" t="s">
        <v>266</v>
      </c>
      <c r="E120" s="8" t="s">
        <v>54</v>
      </c>
      <c r="F120" s="12" t="s">
        <v>55</v>
      </c>
      <c r="G120" s="10" t="s">
        <v>67</v>
      </c>
      <c r="H120" s="12" t="s">
        <v>55</v>
      </c>
      <c r="I120" s="12" t="s">
        <v>55</v>
      </c>
      <c r="J120" s="8" t="s">
        <v>54</v>
      </c>
      <c r="K120" s="8" t="s">
        <v>54</v>
      </c>
      <c r="L120" s="8" t="s">
        <v>54</v>
      </c>
      <c r="M120" s="8" t="s">
        <v>54</v>
      </c>
      <c r="N120" s="10" t="s">
        <v>67</v>
      </c>
      <c r="O120" s="8" t="s">
        <v>54</v>
      </c>
      <c r="P120" s="12" t="s">
        <v>55</v>
      </c>
      <c r="Q120" s="8" t="s">
        <v>54</v>
      </c>
      <c r="R120" s="8" t="s">
        <v>54</v>
      </c>
      <c r="S120" s="8" t="s">
        <v>54</v>
      </c>
      <c r="T120" s="8" t="s">
        <v>54</v>
      </c>
      <c r="U120" s="10" t="s">
        <v>67</v>
      </c>
      <c r="V120" s="8" t="s">
        <v>54</v>
      </c>
      <c r="W120" s="8" t="s">
        <v>54</v>
      </c>
      <c r="X120" s="8" t="s">
        <v>54</v>
      </c>
      <c r="Y120" s="8" t="s">
        <v>54</v>
      </c>
      <c r="Z120" s="8" t="s">
        <v>54</v>
      </c>
      <c r="AA120" s="8" t="s">
        <v>54</v>
      </c>
      <c r="AB120" s="10" t="s">
        <v>67</v>
      </c>
      <c r="AC120" s="8" t="s">
        <v>54</v>
      </c>
      <c r="AD120" s="8" t="s">
        <v>54</v>
      </c>
      <c r="AE120" s="8" t="s">
        <v>54</v>
      </c>
      <c r="AF120" s="8" t="s">
        <v>54</v>
      </c>
      <c r="AG120" s="8" t="s">
        <v>54</v>
      </c>
      <c r="AH120" s="8" t="s">
        <v>54</v>
      </c>
      <c r="AI120" s="10" t="s">
        <v>67</v>
      </c>
      <c r="AJ120" s="8">
        <f>COUNTIF($E$120:$AI$120,"P")</f>
        <v>22</v>
      </c>
      <c r="AK120" s="8">
        <f>COUNTIF($E$120:$AI$120,"A")</f>
        <v>4</v>
      </c>
      <c r="AL120" s="8">
        <f>SUM($E$121:$AI$121)</f>
        <v>26</v>
      </c>
      <c r="AM120" s="8">
        <f>SUM($E$122:$AI$122)</f>
        <v>96</v>
      </c>
      <c r="AN120" s="8">
        <f>AL120+AM120</f>
        <v>122</v>
      </c>
      <c r="AO120" s="8">
        <f>COUNTIF($E$120:$AI$120,"CL")</f>
        <v>0</v>
      </c>
      <c r="AP120" s="8">
        <f>COUNTIF($E$120:$AI$120,"SL")</f>
        <v>0</v>
      </c>
      <c r="AQ120" s="8">
        <f>COUNTIF($E$120:$AI$120,"EL")</f>
        <v>0</v>
      </c>
      <c r="AR120" s="8">
        <f>COUNTIF($E$120:$AI$120,"H")</f>
        <v>0</v>
      </c>
      <c r="AS120" s="8"/>
      <c r="AT120" s="11" t="s">
        <v>7</v>
      </c>
    </row>
    <row r="121" spans="1:46" ht="15.1" customHeight="1">
      <c r="A121" s="8"/>
      <c r="B121" s="9"/>
      <c r="C121" s="8"/>
      <c r="D121" s="9"/>
      <c r="E121" s="8">
        <v>2</v>
      </c>
      <c r="F121" s="8">
        <v>0</v>
      </c>
      <c r="G121" s="8">
        <v>0</v>
      </c>
      <c r="H121" s="8">
        <v>0</v>
      </c>
      <c r="I121" s="8">
        <v>0</v>
      </c>
      <c r="J121" s="8">
        <v>2</v>
      </c>
      <c r="K121" s="8">
        <v>2</v>
      </c>
      <c r="L121" s="8">
        <v>2</v>
      </c>
      <c r="M121" s="8">
        <v>2</v>
      </c>
      <c r="N121" s="8">
        <v>0</v>
      </c>
      <c r="O121" s="8">
        <v>2</v>
      </c>
      <c r="P121" s="8">
        <v>0</v>
      </c>
      <c r="Q121" s="8">
        <v>2</v>
      </c>
      <c r="R121" s="8">
        <v>2</v>
      </c>
      <c r="S121" s="8">
        <v>2</v>
      </c>
      <c r="T121" s="8">
        <v>2</v>
      </c>
      <c r="U121" s="8">
        <v>0</v>
      </c>
      <c r="V121" s="8">
        <v>2</v>
      </c>
      <c r="W121" s="8">
        <v>2</v>
      </c>
      <c r="X121" s="8">
        <v>2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11" t="s">
        <v>7</v>
      </c>
    </row>
    <row r="122" spans="1:46" ht="15.1" customHeight="1">
      <c r="A122" s="8"/>
      <c r="B122" s="9"/>
      <c r="C122" s="8"/>
      <c r="D122" s="9"/>
      <c r="E122" s="8">
        <v>1</v>
      </c>
      <c r="F122" s="8">
        <v>0</v>
      </c>
      <c r="G122" s="8">
        <v>0</v>
      </c>
      <c r="H122" s="8">
        <v>0</v>
      </c>
      <c r="I122" s="8">
        <v>0</v>
      </c>
      <c r="J122" s="8">
        <v>7</v>
      </c>
      <c r="K122" s="8">
        <v>7</v>
      </c>
      <c r="L122" s="8">
        <v>7</v>
      </c>
      <c r="M122" s="8">
        <v>5</v>
      </c>
      <c r="N122" s="8">
        <v>17</v>
      </c>
      <c r="O122" s="8">
        <v>7</v>
      </c>
      <c r="P122" s="8">
        <v>0</v>
      </c>
      <c r="Q122" s="8">
        <v>5</v>
      </c>
      <c r="R122" s="8">
        <v>7</v>
      </c>
      <c r="S122" s="8">
        <v>7</v>
      </c>
      <c r="T122" s="8">
        <v>3</v>
      </c>
      <c r="U122" s="8">
        <v>13</v>
      </c>
      <c r="V122" s="8">
        <v>7</v>
      </c>
      <c r="W122" s="8">
        <v>3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11" t="s">
        <v>7</v>
      </c>
    </row>
    <row r="123" spans="1:46" ht="15.1" customHeight="1">
      <c r="A123" s="8">
        <v>40</v>
      </c>
      <c r="B123" s="9" t="s">
        <v>342</v>
      </c>
      <c r="C123" s="8" t="s">
        <v>343</v>
      </c>
      <c r="D123" s="9" t="s">
        <v>266</v>
      </c>
      <c r="E123" s="8" t="s">
        <v>54</v>
      </c>
      <c r="F123" s="8" t="s">
        <v>54</v>
      </c>
      <c r="G123" s="10" t="s">
        <v>67</v>
      </c>
      <c r="H123" s="8" t="s">
        <v>54</v>
      </c>
      <c r="I123" s="8" t="s">
        <v>54</v>
      </c>
      <c r="J123" s="8" t="s">
        <v>54</v>
      </c>
      <c r="K123" s="8" t="s">
        <v>54</v>
      </c>
      <c r="L123" s="8" t="s">
        <v>54</v>
      </c>
      <c r="M123" s="8" t="s">
        <v>54</v>
      </c>
      <c r="N123" s="10" t="s">
        <v>67</v>
      </c>
      <c r="O123" s="8" t="s">
        <v>54</v>
      </c>
      <c r="P123" s="8" t="s">
        <v>54</v>
      </c>
      <c r="Q123" s="8" t="s">
        <v>54</v>
      </c>
      <c r="R123" s="8" t="s">
        <v>54</v>
      </c>
      <c r="S123" s="8" t="s">
        <v>54</v>
      </c>
      <c r="T123" s="8" t="s">
        <v>54</v>
      </c>
      <c r="U123" s="10" t="s">
        <v>67</v>
      </c>
      <c r="V123" s="8" t="s">
        <v>54</v>
      </c>
      <c r="W123" s="8" t="s">
        <v>54</v>
      </c>
      <c r="X123" s="8" t="s">
        <v>54</v>
      </c>
      <c r="Y123" s="8" t="s">
        <v>54</v>
      </c>
      <c r="Z123" s="8" t="s">
        <v>54</v>
      </c>
      <c r="AA123" s="8" t="s">
        <v>54</v>
      </c>
      <c r="AB123" s="10" t="s">
        <v>67</v>
      </c>
      <c r="AC123" s="8" t="s">
        <v>54</v>
      </c>
      <c r="AD123" s="8" t="s">
        <v>54</v>
      </c>
      <c r="AE123" s="8" t="s">
        <v>54</v>
      </c>
      <c r="AF123" s="8" t="s">
        <v>54</v>
      </c>
      <c r="AG123" s="8" t="s">
        <v>54</v>
      </c>
      <c r="AH123" s="8" t="s">
        <v>54</v>
      </c>
      <c r="AI123" s="10" t="s">
        <v>67</v>
      </c>
      <c r="AJ123" s="8">
        <f>COUNTIF($E$123:$AI$123,"P")</f>
        <v>26</v>
      </c>
      <c r="AK123" s="8">
        <f>COUNTIF($E$123:$AI$123,"A")</f>
        <v>0</v>
      </c>
      <c r="AL123" s="8">
        <f>SUM($E$124:$AI$124)</f>
        <v>34</v>
      </c>
      <c r="AM123" s="8">
        <f>SUM($E$125:$AI$125)</f>
        <v>129.5</v>
      </c>
      <c r="AN123" s="8">
        <f>AL123+AM123</f>
        <v>163.5</v>
      </c>
      <c r="AO123" s="8">
        <f>COUNTIF($E$123:$AI$123,"CL")</f>
        <v>0</v>
      </c>
      <c r="AP123" s="8">
        <f>COUNTIF($E$123:$AI$123,"SL")</f>
        <v>0</v>
      </c>
      <c r="AQ123" s="8">
        <f>COUNTIF($E$123:$AI$123,"EL")</f>
        <v>0</v>
      </c>
      <c r="AR123" s="8">
        <f>COUNTIF($E$123:$AI$123,"H")</f>
        <v>0</v>
      </c>
      <c r="AS123" s="8"/>
      <c r="AT123" s="11" t="s">
        <v>7</v>
      </c>
    </row>
    <row r="124" spans="1:46" ht="15.1" customHeight="1">
      <c r="A124" s="8"/>
      <c r="B124" s="9"/>
      <c r="C124" s="8"/>
      <c r="D124" s="9"/>
      <c r="E124" s="8">
        <v>2</v>
      </c>
      <c r="F124" s="8">
        <v>2</v>
      </c>
      <c r="G124" s="8">
        <v>0</v>
      </c>
      <c r="H124" s="8">
        <v>2</v>
      </c>
      <c r="I124" s="8">
        <v>2</v>
      </c>
      <c r="J124" s="8">
        <v>2</v>
      </c>
      <c r="K124" s="8">
        <v>2</v>
      </c>
      <c r="L124" s="8">
        <v>2</v>
      </c>
      <c r="M124" s="8">
        <v>2</v>
      </c>
      <c r="N124" s="8">
        <v>0</v>
      </c>
      <c r="O124" s="8">
        <v>2</v>
      </c>
      <c r="P124" s="8">
        <v>2</v>
      </c>
      <c r="Q124" s="8">
        <v>2</v>
      </c>
      <c r="R124" s="8">
        <v>2</v>
      </c>
      <c r="S124" s="8">
        <v>2</v>
      </c>
      <c r="T124" s="8">
        <v>2</v>
      </c>
      <c r="U124" s="8">
        <v>0</v>
      </c>
      <c r="V124" s="8">
        <v>2</v>
      </c>
      <c r="W124" s="8">
        <v>2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2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11" t="s">
        <v>7</v>
      </c>
    </row>
    <row r="125" spans="1:46" ht="15.1" customHeight="1">
      <c r="A125" s="8"/>
      <c r="B125" s="9"/>
      <c r="C125" s="8"/>
      <c r="D125" s="9"/>
      <c r="E125" s="8">
        <v>5</v>
      </c>
      <c r="F125" s="8">
        <v>3</v>
      </c>
      <c r="G125" s="8">
        <v>13.5</v>
      </c>
      <c r="H125" s="8">
        <v>5</v>
      </c>
      <c r="I125" s="8">
        <v>4.5</v>
      </c>
      <c r="J125" s="8">
        <v>7</v>
      </c>
      <c r="K125" s="8">
        <v>7</v>
      </c>
      <c r="L125" s="8">
        <v>7</v>
      </c>
      <c r="M125" s="8">
        <v>5</v>
      </c>
      <c r="N125" s="8">
        <v>17</v>
      </c>
      <c r="O125" s="8">
        <v>7</v>
      </c>
      <c r="P125" s="8">
        <v>7</v>
      </c>
      <c r="Q125" s="8">
        <v>5</v>
      </c>
      <c r="R125" s="8">
        <v>7</v>
      </c>
      <c r="S125" s="8">
        <v>7</v>
      </c>
      <c r="T125" s="8">
        <v>3</v>
      </c>
      <c r="U125" s="8">
        <v>12.5</v>
      </c>
      <c r="V125" s="8">
        <v>7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11" t="s">
        <v>7</v>
      </c>
    </row>
    <row r="126" spans="1:46" ht="15.1" customHeight="1">
      <c r="A126" s="8">
        <v>41</v>
      </c>
      <c r="B126" s="9" t="s">
        <v>344</v>
      </c>
      <c r="C126" s="8" t="s">
        <v>345</v>
      </c>
      <c r="D126" s="9" t="s">
        <v>266</v>
      </c>
      <c r="E126" s="8" t="s">
        <v>54</v>
      </c>
      <c r="F126" s="8" t="s">
        <v>54</v>
      </c>
      <c r="G126" s="10" t="s">
        <v>67</v>
      </c>
      <c r="H126" s="8" t="s">
        <v>54</v>
      </c>
      <c r="I126" s="8" t="s">
        <v>54</v>
      </c>
      <c r="J126" s="8" t="s">
        <v>54</v>
      </c>
      <c r="K126" s="8" t="s">
        <v>54</v>
      </c>
      <c r="L126" s="8" t="s">
        <v>54</v>
      </c>
      <c r="M126" s="8" t="s">
        <v>54</v>
      </c>
      <c r="N126" s="10" t="s">
        <v>67</v>
      </c>
      <c r="O126" s="8" t="s">
        <v>54</v>
      </c>
      <c r="P126" s="8" t="s">
        <v>54</v>
      </c>
      <c r="Q126" s="8" t="s">
        <v>54</v>
      </c>
      <c r="R126" s="8" t="s">
        <v>54</v>
      </c>
      <c r="S126" s="8" t="s">
        <v>54</v>
      </c>
      <c r="T126" s="8" t="s">
        <v>54</v>
      </c>
      <c r="U126" s="10" t="s">
        <v>67</v>
      </c>
      <c r="V126" s="8" t="s">
        <v>54</v>
      </c>
      <c r="W126" s="8" t="s">
        <v>54</v>
      </c>
      <c r="X126" s="8" t="s">
        <v>54</v>
      </c>
      <c r="Y126" s="8" t="s">
        <v>54</v>
      </c>
      <c r="Z126" s="8" t="s">
        <v>54</v>
      </c>
      <c r="AA126" s="8" t="s">
        <v>54</v>
      </c>
      <c r="AB126" s="10" t="s">
        <v>67</v>
      </c>
      <c r="AC126" s="8" t="s">
        <v>54</v>
      </c>
      <c r="AD126" s="8" t="s">
        <v>54</v>
      </c>
      <c r="AE126" s="8" t="s">
        <v>54</v>
      </c>
      <c r="AF126" s="8" t="s">
        <v>54</v>
      </c>
      <c r="AG126" s="8" t="s">
        <v>54</v>
      </c>
      <c r="AH126" s="8" t="s">
        <v>54</v>
      </c>
      <c r="AI126" s="10" t="s">
        <v>67</v>
      </c>
      <c r="AJ126" s="8">
        <f>COUNTIF($E$126:$AI$126,"P")</f>
        <v>26</v>
      </c>
      <c r="AK126" s="8">
        <f>COUNTIF($E$126:$AI$126,"A")</f>
        <v>0</v>
      </c>
      <c r="AL126" s="8">
        <f>SUM($E$127:$AI$127)</f>
        <v>34</v>
      </c>
      <c r="AM126" s="8">
        <f>SUM($E$128:$AI$128)</f>
        <v>132.5</v>
      </c>
      <c r="AN126" s="8">
        <f>AL126+AM126</f>
        <v>166.5</v>
      </c>
      <c r="AO126" s="8">
        <f>COUNTIF($E$126:$AI$126,"CL")</f>
        <v>0</v>
      </c>
      <c r="AP126" s="8">
        <f>COUNTIF($E$126:$AI$126,"SL")</f>
        <v>0</v>
      </c>
      <c r="AQ126" s="8">
        <f>COUNTIF($E$126:$AI$126,"EL")</f>
        <v>0</v>
      </c>
      <c r="AR126" s="8">
        <f>COUNTIF($E$126:$AI$126,"H")</f>
        <v>0</v>
      </c>
      <c r="AS126" s="8"/>
      <c r="AT126" s="11" t="s">
        <v>7</v>
      </c>
    </row>
    <row r="127" spans="1:46" ht="15.1" customHeight="1">
      <c r="A127" s="8"/>
      <c r="B127" s="9"/>
      <c r="C127" s="8"/>
      <c r="D127" s="9"/>
      <c r="E127" s="8">
        <v>2</v>
      </c>
      <c r="F127" s="8">
        <v>2</v>
      </c>
      <c r="G127" s="8">
        <v>0</v>
      </c>
      <c r="H127" s="8">
        <v>2</v>
      </c>
      <c r="I127" s="8">
        <v>2</v>
      </c>
      <c r="J127" s="8">
        <v>2</v>
      </c>
      <c r="K127" s="8">
        <v>2</v>
      </c>
      <c r="L127" s="8">
        <v>2</v>
      </c>
      <c r="M127" s="8">
        <v>2</v>
      </c>
      <c r="N127" s="8">
        <v>0</v>
      </c>
      <c r="O127" s="8">
        <v>2</v>
      </c>
      <c r="P127" s="8">
        <v>2</v>
      </c>
      <c r="Q127" s="8">
        <v>2</v>
      </c>
      <c r="R127" s="8">
        <v>2</v>
      </c>
      <c r="S127" s="8">
        <v>2</v>
      </c>
      <c r="T127" s="8">
        <v>2</v>
      </c>
      <c r="U127" s="8">
        <v>0</v>
      </c>
      <c r="V127" s="8">
        <v>2</v>
      </c>
      <c r="W127" s="8">
        <v>2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11" t="s">
        <v>7</v>
      </c>
    </row>
    <row r="128" spans="1:46" ht="15.1" customHeight="1">
      <c r="A128" s="8"/>
      <c r="B128" s="9"/>
      <c r="C128" s="8"/>
      <c r="D128" s="9"/>
      <c r="E128" s="8">
        <v>5</v>
      </c>
      <c r="F128" s="8">
        <v>3</v>
      </c>
      <c r="G128" s="8">
        <v>14</v>
      </c>
      <c r="H128" s="8">
        <v>5</v>
      </c>
      <c r="I128" s="8">
        <v>7</v>
      </c>
      <c r="J128" s="8">
        <v>7</v>
      </c>
      <c r="K128" s="8">
        <v>7</v>
      </c>
      <c r="L128" s="8">
        <v>7</v>
      </c>
      <c r="M128" s="8">
        <v>5</v>
      </c>
      <c r="N128" s="8">
        <v>17</v>
      </c>
      <c r="O128" s="8">
        <v>7</v>
      </c>
      <c r="P128" s="8">
        <v>7</v>
      </c>
      <c r="Q128" s="8">
        <v>5</v>
      </c>
      <c r="R128" s="8">
        <v>7</v>
      </c>
      <c r="S128" s="8">
        <v>7</v>
      </c>
      <c r="T128" s="8">
        <v>3</v>
      </c>
      <c r="U128" s="8">
        <v>12.5</v>
      </c>
      <c r="V128" s="8">
        <v>7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11" t="s">
        <v>7</v>
      </c>
    </row>
    <row r="129" spans="1:46" ht="15.1" customHeight="1">
      <c r="A129" s="8">
        <v>42</v>
      </c>
      <c r="B129" s="9" t="s">
        <v>346</v>
      </c>
      <c r="C129" s="8" t="s">
        <v>347</v>
      </c>
      <c r="D129" s="9" t="s">
        <v>266</v>
      </c>
      <c r="E129" s="8" t="s">
        <v>54</v>
      </c>
      <c r="F129" s="8" t="s">
        <v>54</v>
      </c>
      <c r="G129" s="10" t="s">
        <v>67</v>
      </c>
      <c r="H129" s="8" t="s">
        <v>54</v>
      </c>
      <c r="I129" s="8" t="s">
        <v>54</v>
      </c>
      <c r="J129" s="8" t="s">
        <v>54</v>
      </c>
      <c r="K129" s="8" t="s">
        <v>54</v>
      </c>
      <c r="L129" s="8" t="s">
        <v>54</v>
      </c>
      <c r="M129" s="8" t="s">
        <v>54</v>
      </c>
      <c r="N129" s="10" t="s">
        <v>67</v>
      </c>
      <c r="O129" s="8" t="s">
        <v>54</v>
      </c>
      <c r="P129" s="8" t="s">
        <v>54</v>
      </c>
      <c r="Q129" s="8" t="s">
        <v>54</v>
      </c>
      <c r="R129" s="8" t="s">
        <v>54</v>
      </c>
      <c r="S129" s="8" t="s">
        <v>54</v>
      </c>
      <c r="T129" s="8" t="s">
        <v>54</v>
      </c>
      <c r="U129" s="10" t="s">
        <v>67</v>
      </c>
      <c r="V129" s="8" t="s">
        <v>54</v>
      </c>
      <c r="W129" s="8" t="s">
        <v>54</v>
      </c>
      <c r="X129" s="8" t="s">
        <v>54</v>
      </c>
      <c r="Y129" s="8" t="s">
        <v>54</v>
      </c>
      <c r="Z129" s="8" t="s">
        <v>54</v>
      </c>
      <c r="AA129" s="8" t="s">
        <v>54</v>
      </c>
      <c r="AB129" s="10" t="s">
        <v>67</v>
      </c>
      <c r="AC129" s="8" t="s">
        <v>54</v>
      </c>
      <c r="AD129" s="8" t="s">
        <v>54</v>
      </c>
      <c r="AE129" s="8" t="s">
        <v>54</v>
      </c>
      <c r="AF129" s="8" t="s">
        <v>54</v>
      </c>
      <c r="AG129" s="8" t="s">
        <v>54</v>
      </c>
      <c r="AH129" s="8" t="s">
        <v>54</v>
      </c>
      <c r="AI129" s="10" t="s">
        <v>67</v>
      </c>
      <c r="AJ129" s="8">
        <f>COUNTIF($E$129:$AI$129,"P")</f>
        <v>26</v>
      </c>
      <c r="AK129" s="8">
        <f>COUNTIF($E$129:$AI$129,"A")</f>
        <v>0</v>
      </c>
      <c r="AL129" s="8">
        <f>SUM($E$130:$AI$130)</f>
        <v>36</v>
      </c>
      <c r="AM129" s="8">
        <f>SUM($E$131:$AI$131)</f>
        <v>128</v>
      </c>
      <c r="AN129" s="8">
        <f>AL129+AM129</f>
        <v>163.5</v>
      </c>
      <c r="AO129" s="8">
        <f>COUNTIF($E$129:$AI$129,"CL")</f>
        <v>0</v>
      </c>
      <c r="AP129" s="8">
        <f>COUNTIF($E$129:$AI$129,"SL")</f>
        <v>0</v>
      </c>
      <c r="AQ129" s="8">
        <f>COUNTIF($E$129:$AI$129,"EL")</f>
        <v>0</v>
      </c>
      <c r="AR129" s="8">
        <f>COUNTIF($E$129:$AI$129,"H")</f>
        <v>0</v>
      </c>
      <c r="AS129" s="8"/>
      <c r="AT129" s="11" t="s">
        <v>7</v>
      </c>
    </row>
    <row r="130" spans="1:46" ht="15.1" customHeight="1">
      <c r="A130" s="8"/>
      <c r="B130" s="9"/>
      <c r="C130" s="8"/>
      <c r="D130" s="9"/>
      <c r="E130" s="8">
        <v>2</v>
      </c>
      <c r="F130" s="8">
        <v>2</v>
      </c>
      <c r="G130" s="8">
        <v>0</v>
      </c>
      <c r="H130" s="8">
        <v>2</v>
      </c>
      <c r="I130" s="8">
        <v>2</v>
      </c>
      <c r="J130" s="8">
        <v>2</v>
      </c>
      <c r="K130" s="8">
        <v>2</v>
      </c>
      <c r="L130" s="8">
        <v>2</v>
      </c>
      <c r="M130" s="8">
        <v>2</v>
      </c>
      <c r="N130" s="8">
        <v>0</v>
      </c>
      <c r="O130" s="8">
        <v>2</v>
      </c>
      <c r="P130" s="8">
        <v>2</v>
      </c>
      <c r="Q130" s="8">
        <v>2</v>
      </c>
      <c r="R130" s="8">
        <v>2</v>
      </c>
      <c r="S130" s="8">
        <v>2</v>
      </c>
      <c r="T130" s="8">
        <v>2</v>
      </c>
      <c r="U130" s="8">
        <v>0</v>
      </c>
      <c r="V130" s="8">
        <v>2</v>
      </c>
      <c r="W130" s="8">
        <v>2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2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11" t="s">
        <v>7</v>
      </c>
    </row>
    <row r="131" spans="1:46" ht="15.1" customHeight="1">
      <c r="A131" s="8"/>
      <c r="B131" s="9"/>
      <c r="C131" s="8"/>
      <c r="D131" s="9"/>
      <c r="E131" s="8">
        <v>4.5</v>
      </c>
      <c r="F131" s="8">
        <v>3</v>
      </c>
      <c r="G131" s="8">
        <v>14</v>
      </c>
      <c r="H131" s="8">
        <v>5</v>
      </c>
      <c r="I131" s="8">
        <v>4.5</v>
      </c>
      <c r="J131" s="8">
        <v>7</v>
      </c>
      <c r="K131" s="8">
        <v>6.5</v>
      </c>
      <c r="L131" s="8">
        <v>7</v>
      </c>
      <c r="M131" s="8">
        <v>5</v>
      </c>
      <c r="N131" s="8">
        <v>16.5</v>
      </c>
      <c r="O131" s="8">
        <v>7</v>
      </c>
      <c r="P131" s="8">
        <v>7</v>
      </c>
      <c r="Q131" s="8">
        <v>5</v>
      </c>
      <c r="R131" s="8">
        <v>7</v>
      </c>
      <c r="S131" s="8">
        <v>6.5</v>
      </c>
      <c r="T131" s="8">
        <v>3</v>
      </c>
      <c r="U131" s="8">
        <v>12.5</v>
      </c>
      <c r="V131" s="8">
        <v>7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11" t="s">
        <v>7</v>
      </c>
    </row>
    <row r="132" spans="1:46" ht="15.1" customHeight="1">
      <c r="A132" s="8">
        <v>43</v>
      </c>
      <c r="B132" s="9" t="s">
        <v>348</v>
      </c>
      <c r="C132" s="8" t="s">
        <v>349</v>
      </c>
      <c r="D132" s="9" t="s">
        <v>266</v>
      </c>
      <c r="E132" s="8" t="s">
        <v>54</v>
      </c>
      <c r="F132" s="8" t="s">
        <v>54</v>
      </c>
      <c r="G132" s="10" t="s">
        <v>67</v>
      </c>
      <c r="H132" s="8" t="s">
        <v>54</v>
      </c>
      <c r="I132" s="8" t="s">
        <v>54</v>
      </c>
      <c r="J132" s="8" t="s">
        <v>54</v>
      </c>
      <c r="K132" s="8" t="s">
        <v>54</v>
      </c>
      <c r="L132" s="12" t="s">
        <v>55</v>
      </c>
      <c r="M132" s="12" t="s">
        <v>55</v>
      </c>
      <c r="N132" s="10" t="s">
        <v>67</v>
      </c>
      <c r="O132" s="12" t="s">
        <v>55</v>
      </c>
      <c r="P132" s="8" t="s">
        <v>54</v>
      </c>
      <c r="Q132" s="8" t="s">
        <v>54</v>
      </c>
      <c r="R132" s="8" t="s">
        <v>54</v>
      </c>
      <c r="S132" s="8" t="s">
        <v>54</v>
      </c>
      <c r="T132" s="8" t="s">
        <v>54</v>
      </c>
      <c r="U132" s="10" t="s">
        <v>67</v>
      </c>
      <c r="V132" s="8" t="s">
        <v>54</v>
      </c>
      <c r="W132" s="8" t="s">
        <v>54</v>
      </c>
      <c r="X132" s="8" t="s">
        <v>54</v>
      </c>
      <c r="Y132" s="8" t="s">
        <v>54</v>
      </c>
      <c r="Z132" s="8" t="s">
        <v>54</v>
      </c>
      <c r="AA132" s="8" t="s">
        <v>54</v>
      </c>
      <c r="AB132" s="10" t="s">
        <v>67</v>
      </c>
      <c r="AC132" s="8" t="s">
        <v>54</v>
      </c>
      <c r="AD132" s="8" t="s">
        <v>54</v>
      </c>
      <c r="AE132" s="8" t="s">
        <v>54</v>
      </c>
      <c r="AF132" s="8" t="s">
        <v>54</v>
      </c>
      <c r="AG132" s="8" t="s">
        <v>54</v>
      </c>
      <c r="AH132" s="8" t="s">
        <v>54</v>
      </c>
      <c r="AI132" s="10" t="s">
        <v>67</v>
      </c>
      <c r="AJ132" s="8">
        <f>COUNTIF($E$132:$AI$132,"P")</f>
        <v>23</v>
      </c>
      <c r="AK132" s="8">
        <f>COUNTIF($E$132:$AI$132,"A")</f>
        <v>3</v>
      </c>
      <c r="AL132" s="8">
        <f>SUM($E$133:$AI$133)</f>
        <v>26</v>
      </c>
      <c r="AM132" s="8">
        <f>SUM($E$134:$AI$134)</f>
        <v>75.5</v>
      </c>
      <c r="AN132" s="8">
        <f>AL132+AM132</f>
        <v>101.5</v>
      </c>
      <c r="AO132" s="8">
        <f>COUNTIF($E$132:$AI$132,"CL")</f>
        <v>0</v>
      </c>
      <c r="AP132" s="8">
        <f>COUNTIF($E$132:$AI$132,"SL")</f>
        <v>0</v>
      </c>
      <c r="AQ132" s="8">
        <f>COUNTIF($E$132:$AI$132,"EL")</f>
        <v>0</v>
      </c>
      <c r="AR132" s="8">
        <f>COUNTIF($E$132:$AI$132,"H")</f>
        <v>0</v>
      </c>
      <c r="AS132" s="8"/>
      <c r="AT132" s="11" t="s">
        <v>7</v>
      </c>
    </row>
    <row r="133" spans="1:46" ht="15.1" customHeight="1">
      <c r="A133" s="8"/>
      <c r="B133" s="9"/>
      <c r="C133" s="8"/>
      <c r="D133" s="9"/>
      <c r="E133" s="8">
        <v>2</v>
      </c>
      <c r="F133" s="8">
        <v>2</v>
      </c>
      <c r="G133" s="8">
        <v>0</v>
      </c>
      <c r="H133" s="8">
        <v>2</v>
      </c>
      <c r="I133" s="8">
        <v>2</v>
      </c>
      <c r="J133" s="8">
        <v>2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2</v>
      </c>
      <c r="Q133" s="8">
        <v>2</v>
      </c>
      <c r="R133" s="8">
        <v>2</v>
      </c>
      <c r="S133" s="8">
        <v>2</v>
      </c>
      <c r="T133" s="8">
        <v>2</v>
      </c>
      <c r="U133" s="8">
        <v>0</v>
      </c>
      <c r="V133" s="8">
        <v>2</v>
      </c>
      <c r="W133" s="8">
        <v>2</v>
      </c>
      <c r="X133" s="8">
        <v>2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11" t="s">
        <v>7</v>
      </c>
    </row>
    <row r="134" spans="1:46" ht="15.1" customHeight="1">
      <c r="A134" s="8"/>
      <c r="B134" s="9"/>
      <c r="C134" s="8"/>
      <c r="D134" s="9"/>
      <c r="E134" s="8">
        <v>5</v>
      </c>
      <c r="F134" s="8">
        <v>3</v>
      </c>
      <c r="G134" s="8">
        <v>0</v>
      </c>
      <c r="H134" s="8">
        <v>5</v>
      </c>
      <c r="I134" s="8">
        <v>7</v>
      </c>
      <c r="J134" s="8">
        <v>7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7</v>
      </c>
      <c r="Q134" s="8">
        <v>5</v>
      </c>
      <c r="R134" s="8">
        <v>7</v>
      </c>
      <c r="S134" s="8">
        <v>7</v>
      </c>
      <c r="T134" s="8">
        <v>3</v>
      </c>
      <c r="U134" s="8">
        <v>12.5</v>
      </c>
      <c r="V134" s="8">
        <v>7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11" t="s">
        <v>7</v>
      </c>
    </row>
    <row r="135" spans="1:46" ht="15.1" customHeight="1">
      <c r="A135" s="8">
        <v>44</v>
      </c>
      <c r="B135" s="9" t="s">
        <v>350</v>
      </c>
      <c r="C135" s="8" t="s">
        <v>351</v>
      </c>
      <c r="D135" s="9" t="s">
        <v>266</v>
      </c>
      <c r="E135" s="8" t="s">
        <v>54</v>
      </c>
      <c r="F135" s="8" t="s">
        <v>54</v>
      </c>
      <c r="G135" s="10" t="s">
        <v>67</v>
      </c>
      <c r="H135" s="8" t="s">
        <v>54</v>
      </c>
      <c r="I135" s="8" t="s">
        <v>54</v>
      </c>
      <c r="J135" s="8" t="s">
        <v>54</v>
      </c>
      <c r="K135" s="8" t="s">
        <v>54</v>
      </c>
      <c r="L135" s="8" t="s">
        <v>54</v>
      </c>
      <c r="M135" s="8" t="s">
        <v>54</v>
      </c>
      <c r="N135" s="10" t="s">
        <v>67</v>
      </c>
      <c r="O135" s="8" t="s">
        <v>54</v>
      </c>
      <c r="P135" s="8" t="s">
        <v>54</v>
      </c>
      <c r="Q135" s="8" t="s">
        <v>54</v>
      </c>
      <c r="R135" s="8" t="s">
        <v>54</v>
      </c>
      <c r="S135" s="8" t="s">
        <v>54</v>
      </c>
      <c r="T135" s="8" t="s">
        <v>54</v>
      </c>
      <c r="U135" s="10" t="s">
        <v>67</v>
      </c>
      <c r="V135" s="8" t="s">
        <v>54</v>
      </c>
      <c r="W135" s="8" t="s">
        <v>54</v>
      </c>
      <c r="X135" s="8" t="s">
        <v>54</v>
      </c>
      <c r="Y135" s="8" t="s">
        <v>54</v>
      </c>
      <c r="Z135" s="8" t="s">
        <v>54</v>
      </c>
      <c r="AA135" s="8" t="s">
        <v>54</v>
      </c>
      <c r="AB135" s="10" t="s">
        <v>67</v>
      </c>
      <c r="AC135" s="8" t="s">
        <v>54</v>
      </c>
      <c r="AD135" s="8" t="s">
        <v>54</v>
      </c>
      <c r="AE135" s="8" t="s">
        <v>54</v>
      </c>
      <c r="AF135" s="8" t="s">
        <v>54</v>
      </c>
      <c r="AG135" s="8" t="s">
        <v>54</v>
      </c>
      <c r="AH135" s="12" t="s">
        <v>55</v>
      </c>
      <c r="AI135" s="10" t="s">
        <v>67</v>
      </c>
      <c r="AJ135" s="8">
        <f>COUNTIF($E$135:$AI$135,"P")</f>
        <v>25</v>
      </c>
      <c r="AK135" s="8">
        <f>COUNTIF($E$135:$AI$135,"A")</f>
        <v>1</v>
      </c>
      <c r="AL135" s="8">
        <f>SUM($E$136:$AI$136)</f>
        <v>35</v>
      </c>
      <c r="AM135" s="8">
        <f>SUM($E$137:$AI$137)</f>
        <v>134.5</v>
      </c>
      <c r="AN135" s="8">
        <f>AL135+AM135</f>
        <v>169.5</v>
      </c>
      <c r="AO135" s="8">
        <f>COUNTIF($E$135:$AI$135,"CL")</f>
        <v>0</v>
      </c>
      <c r="AP135" s="8">
        <f>COUNTIF($E$135:$AI$135,"SL")</f>
        <v>0</v>
      </c>
      <c r="AQ135" s="8">
        <f>COUNTIF($E$135:$AI$135,"EL")</f>
        <v>0</v>
      </c>
      <c r="AR135" s="8">
        <f>COUNTIF($E$135:$AI$135,"H")</f>
        <v>0</v>
      </c>
      <c r="AS135" s="8"/>
      <c r="AT135" s="11" t="s">
        <v>8</v>
      </c>
    </row>
    <row r="136" spans="1:46" ht="15.1" customHeight="1">
      <c r="A136" s="8"/>
      <c r="B136" s="9"/>
      <c r="C136" s="8"/>
      <c r="D136" s="9"/>
      <c r="E136" s="8">
        <v>2</v>
      </c>
      <c r="F136" s="8">
        <v>2</v>
      </c>
      <c r="G136" s="8">
        <v>0</v>
      </c>
      <c r="H136" s="8">
        <v>2</v>
      </c>
      <c r="I136" s="8">
        <v>2</v>
      </c>
      <c r="J136" s="8">
        <v>2</v>
      </c>
      <c r="K136" s="8">
        <v>2</v>
      </c>
      <c r="L136" s="8">
        <v>2</v>
      </c>
      <c r="M136" s="8">
        <v>2</v>
      </c>
      <c r="N136" s="8">
        <v>0</v>
      </c>
      <c r="O136" s="8">
        <v>2</v>
      </c>
      <c r="P136" s="8">
        <v>2</v>
      </c>
      <c r="Q136" s="8">
        <v>2</v>
      </c>
      <c r="R136" s="8">
        <v>2</v>
      </c>
      <c r="S136" s="8">
        <v>2</v>
      </c>
      <c r="T136" s="8">
        <v>2</v>
      </c>
      <c r="U136" s="8">
        <v>0</v>
      </c>
      <c r="V136" s="8">
        <v>2</v>
      </c>
      <c r="W136" s="8">
        <v>2</v>
      </c>
      <c r="X136" s="8">
        <v>2</v>
      </c>
      <c r="Y136" s="8">
        <v>0</v>
      </c>
      <c r="Z136" s="8">
        <v>0</v>
      </c>
      <c r="AA136" s="8">
        <v>0</v>
      </c>
      <c r="AB136" s="8">
        <v>0</v>
      </c>
      <c r="AC136" s="8">
        <v>1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11" t="s">
        <v>8</v>
      </c>
    </row>
    <row r="137" spans="1:46" ht="15.1" customHeight="1">
      <c r="A137" s="8"/>
      <c r="B137" s="9"/>
      <c r="C137" s="8"/>
      <c r="D137" s="9"/>
      <c r="E137" s="8">
        <v>4</v>
      </c>
      <c r="F137" s="8">
        <v>3</v>
      </c>
      <c r="G137" s="8">
        <v>13</v>
      </c>
      <c r="H137" s="8">
        <v>6</v>
      </c>
      <c r="I137" s="8">
        <v>7</v>
      </c>
      <c r="J137" s="8">
        <v>3</v>
      </c>
      <c r="K137" s="8">
        <v>5</v>
      </c>
      <c r="L137" s="8">
        <v>7</v>
      </c>
      <c r="M137" s="8">
        <v>7</v>
      </c>
      <c r="N137" s="8">
        <v>20</v>
      </c>
      <c r="O137" s="8">
        <v>5</v>
      </c>
      <c r="P137" s="8">
        <v>7</v>
      </c>
      <c r="Q137" s="8">
        <v>10</v>
      </c>
      <c r="R137" s="8">
        <v>4</v>
      </c>
      <c r="S137" s="8">
        <v>0</v>
      </c>
      <c r="T137" s="8">
        <v>3</v>
      </c>
      <c r="U137" s="8">
        <v>13</v>
      </c>
      <c r="V137" s="8">
        <v>7</v>
      </c>
      <c r="W137" s="8">
        <v>7</v>
      </c>
      <c r="X137" s="8">
        <v>3.5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11" t="s">
        <v>8</v>
      </c>
    </row>
    <row r="138" spans="1:46" ht="15.1" customHeight="1">
      <c r="A138" s="8">
        <v>45</v>
      </c>
      <c r="B138" s="9" t="s">
        <v>352</v>
      </c>
      <c r="C138" s="8" t="s">
        <v>353</v>
      </c>
      <c r="D138" s="9" t="s">
        <v>266</v>
      </c>
      <c r="E138" s="8" t="s">
        <v>54</v>
      </c>
      <c r="F138" s="8" t="s">
        <v>54</v>
      </c>
      <c r="G138" s="10" t="s">
        <v>67</v>
      </c>
      <c r="H138" s="8" t="s">
        <v>54</v>
      </c>
      <c r="I138" s="8" t="s">
        <v>54</v>
      </c>
      <c r="J138" s="8" t="s">
        <v>54</v>
      </c>
      <c r="K138" s="8" t="s">
        <v>54</v>
      </c>
      <c r="L138" s="8" t="s">
        <v>54</v>
      </c>
      <c r="M138" s="8" t="s">
        <v>54</v>
      </c>
      <c r="N138" s="10" t="s">
        <v>67</v>
      </c>
      <c r="O138" s="8" t="s">
        <v>54</v>
      </c>
      <c r="P138" s="8" t="s">
        <v>54</v>
      </c>
      <c r="Q138" s="8" t="s">
        <v>54</v>
      </c>
      <c r="R138" s="8" t="s">
        <v>54</v>
      </c>
      <c r="S138" s="8" t="s">
        <v>54</v>
      </c>
      <c r="T138" s="8" t="s">
        <v>54</v>
      </c>
      <c r="U138" s="10" t="s">
        <v>67</v>
      </c>
      <c r="V138" s="8" t="s">
        <v>54</v>
      </c>
      <c r="W138" s="8" t="s">
        <v>54</v>
      </c>
      <c r="X138" s="8" t="s">
        <v>54</v>
      </c>
      <c r="Y138" s="8" t="s">
        <v>54</v>
      </c>
      <c r="Z138" s="8" t="s">
        <v>54</v>
      </c>
      <c r="AA138" s="8" t="s">
        <v>54</v>
      </c>
      <c r="AB138" s="10" t="s">
        <v>67</v>
      </c>
      <c r="AC138" s="8" t="s">
        <v>54</v>
      </c>
      <c r="AD138" s="8" t="s">
        <v>54</v>
      </c>
      <c r="AE138" s="8" t="s">
        <v>54</v>
      </c>
      <c r="AF138" s="8" t="s">
        <v>54</v>
      </c>
      <c r="AG138" s="8" t="s">
        <v>54</v>
      </c>
      <c r="AH138" s="12" t="s">
        <v>55</v>
      </c>
      <c r="AI138" s="10" t="s">
        <v>67</v>
      </c>
      <c r="AJ138" s="8">
        <f>COUNTIF($E$138:$AI$138,"P")</f>
        <v>25</v>
      </c>
      <c r="AK138" s="8">
        <f>COUNTIF($E$138:$AI$138,"A")</f>
        <v>1</v>
      </c>
      <c r="AL138" s="8">
        <f>SUM($E$139:$AI$139)</f>
        <v>34</v>
      </c>
      <c r="AM138" s="8">
        <f>SUM($E$140:$AI$140)</f>
        <v>138.5</v>
      </c>
      <c r="AN138" s="8">
        <f>AL138+AM138</f>
        <v>172.5</v>
      </c>
      <c r="AO138" s="8">
        <f>COUNTIF($E$138:$AI$138,"CL")</f>
        <v>0</v>
      </c>
      <c r="AP138" s="8">
        <f>COUNTIF($E$138:$AI$138,"SL")</f>
        <v>0</v>
      </c>
      <c r="AQ138" s="8">
        <f>COUNTIF($E$138:$AI$138,"EL")</f>
        <v>0</v>
      </c>
      <c r="AR138" s="8">
        <f>COUNTIF($E$138:$AI$138,"H")</f>
        <v>0</v>
      </c>
      <c r="AS138" s="8"/>
      <c r="AT138" s="11" t="s">
        <v>8</v>
      </c>
    </row>
    <row r="139" spans="1:46" ht="15.1" customHeight="1">
      <c r="A139" s="8"/>
      <c r="B139" s="9"/>
      <c r="C139" s="8"/>
      <c r="D139" s="9"/>
      <c r="E139" s="8">
        <v>0</v>
      </c>
      <c r="F139" s="8">
        <v>2</v>
      </c>
      <c r="G139" s="8">
        <v>0</v>
      </c>
      <c r="H139" s="8">
        <v>2</v>
      </c>
      <c r="I139" s="8">
        <v>2</v>
      </c>
      <c r="J139" s="8">
        <v>2</v>
      </c>
      <c r="K139" s="8">
        <v>2</v>
      </c>
      <c r="L139" s="8">
        <v>2</v>
      </c>
      <c r="M139" s="8">
        <v>2</v>
      </c>
      <c r="N139" s="8">
        <v>0</v>
      </c>
      <c r="O139" s="8">
        <v>2</v>
      </c>
      <c r="P139" s="8">
        <v>2</v>
      </c>
      <c r="Q139" s="8">
        <v>2</v>
      </c>
      <c r="R139" s="8">
        <v>2</v>
      </c>
      <c r="S139" s="8">
        <v>2</v>
      </c>
      <c r="T139" s="8">
        <v>2</v>
      </c>
      <c r="U139" s="8">
        <v>0</v>
      </c>
      <c r="V139" s="8">
        <v>2</v>
      </c>
      <c r="W139" s="8">
        <v>2</v>
      </c>
      <c r="X139" s="8">
        <v>2</v>
      </c>
      <c r="Y139" s="8">
        <v>0</v>
      </c>
      <c r="Z139" s="8">
        <v>0</v>
      </c>
      <c r="AA139" s="8">
        <v>0</v>
      </c>
      <c r="AB139" s="8">
        <v>0</v>
      </c>
      <c r="AC139" s="8">
        <v>2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11" t="s">
        <v>8</v>
      </c>
    </row>
    <row r="140" spans="1:46" ht="15.1" customHeight="1">
      <c r="A140" s="8"/>
      <c r="B140" s="9"/>
      <c r="C140" s="8"/>
      <c r="D140" s="9"/>
      <c r="E140" s="8">
        <v>0</v>
      </c>
      <c r="F140" s="8">
        <v>3</v>
      </c>
      <c r="G140" s="8">
        <v>14.5</v>
      </c>
      <c r="H140" s="8">
        <v>7</v>
      </c>
      <c r="I140" s="8">
        <v>11</v>
      </c>
      <c r="J140" s="8">
        <v>0</v>
      </c>
      <c r="K140" s="8">
        <v>7</v>
      </c>
      <c r="L140" s="8">
        <v>7</v>
      </c>
      <c r="M140" s="8">
        <v>7</v>
      </c>
      <c r="N140" s="8">
        <v>20</v>
      </c>
      <c r="O140" s="8">
        <v>1</v>
      </c>
      <c r="P140" s="8">
        <v>7</v>
      </c>
      <c r="Q140" s="8">
        <v>7</v>
      </c>
      <c r="R140" s="8">
        <v>10</v>
      </c>
      <c r="S140" s="8">
        <v>1</v>
      </c>
      <c r="T140" s="8">
        <v>5</v>
      </c>
      <c r="U140" s="8">
        <v>13</v>
      </c>
      <c r="V140" s="8">
        <v>11</v>
      </c>
      <c r="W140" s="8">
        <v>1</v>
      </c>
      <c r="X140" s="8">
        <v>6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11" t="s">
        <v>8</v>
      </c>
    </row>
    <row r="141" spans="1:46" ht="15.1" customHeight="1">
      <c r="A141" s="8">
        <v>46</v>
      </c>
      <c r="B141" s="9" t="s">
        <v>354</v>
      </c>
      <c r="C141" s="8" t="s">
        <v>355</v>
      </c>
      <c r="D141" s="9" t="s">
        <v>266</v>
      </c>
      <c r="E141" s="8" t="s">
        <v>54</v>
      </c>
      <c r="F141" s="8" t="s">
        <v>54</v>
      </c>
      <c r="G141" s="10" t="s">
        <v>67</v>
      </c>
      <c r="H141" s="8" t="s">
        <v>54</v>
      </c>
      <c r="I141" s="8" t="s">
        <v>54</v>
      </c>
      <c r="J141" s="8" t="s">
        <v>54</v>
      </c>
      <c r="K141" s="8" t="s">
        <v>54</v>
      </c>
      <c r="L141" s="8" t="s">
        <v>54</v>
      </c>
      <c r="M141" s="8" t="s">
        <v>54</v>
      </c>
      <c r="N141" s="10" t="s">
        <v>67</v>
      </c>
      <c r="O141" s="8" t="s">
        <v>54</v>
      </c>
      <c r="P141" s="8" t="s">
        <v>54</v>
      </c>
      <c r="Q141" s="8" t="s">
        <v>54</v>
      </c>
      <c r="R141" s="8" t="s">
        <v>54</v>
      </c>
      <c r="S141" s="8" t="s">
        <v>54</v>
      </c>
      <c r="T141" s="8" t="s">
        <v>54</v>
      </c>
      <c r="U141" s="10" t="s">
        <v>67</v>
      </c>
      <c r="V141" s="8" t="s">
        <v>54</v>
      </c>
      <c r="W141" s="8" t="s">
        <v>54</v>
      </c>
      <c r="X141" s="8" t="s">
        <v>54</v>
      </c>
      <c r="Y141" s="8" t="s">
        <v>54</v>
      </c>
      <c r="Z141" s="8" t="s">
        <v>54</v>
      </c>
      <c r="AA141" s="8" t="s">
        <v>54</v>
      </c>
      <c r="AB141" s="10" t="s">
        <v>67</v>
      </c>
      <c r="AC141" s="8" t="s">
        <v>54</v>
      </c>
      <c r="AD141" s="8" t="s">
        <v>54</v>
      </c>
      <c r="AE141" s="8" t="s">
        <v>54</v>
      </c>
      <c r="AF141" s="8" t="s">
        <v>54</v>
      </c>
      <c r="AG141" s="8" t="s">
        <v>54</v>
      </c>
      <c r="AH141" s="8" t="s">
        <v>54</v>
      </c>
      <c r="AI141" s="10" t="s">
        <v>67</v>
      </c>
      <c r="AJ141" s="8">
        <f>COUNTIF($E$141:$AI$141,"P")</f>
        <v>26</v>
      </c>
      <c r="AK141" s="8">
        <f>COUNTIF($E$141:$AI$141,"A")</f>
        <v>0</v>
      </c>
      <c r="AL141" s="8">
        <f>SUM($E$142:$AI$142)</f>
        <v>35</v>
      </c>
      <c r="AM141" s="8">
        <f>SUM($E$143:$AI$143)</f>
        <v>125</v>
      </c>
      <c r="AN141" s="8">
        <f>AL141+AM141</f>
        <v>160</v>
      </c>
      <c r="AO141" s="8">
        <f>COUNTIF($E$141:$AI$141,"CL")</f>
        <v>0</v>
      </c>
      <c r="AP141" s="8">
        <f>COUNTIF($E$141:$AI$141,"SL")</f>
        <v>0</v>
      </c>
      <c r="AQ141" s="8">
        <f>COUNTIF($E$141:$AI$141,"EL")</f>
        <v>0</v>
      </c>
      <c r="AR141" s="8">
        <f>COUNTIF($E$141:$AI$141,"H")</f>
        <v>0</v>
      </c>
      <c r="AS141" s="8"/>
      <c r="AT141" s="11" t="s">
        <v>8</v>
      </c>
    </row>
    <row r="142" spans="1:46" ht="15.1" customHeight="1">
      <c r="A142" s="8"/>
      <c r="B142" s="9"/>
      <c r="C142" s="8"/>
      <c r="D142" s="9"/>
      <c r="E142" s="8">
        <v>2</v>
      </c>
      <c r="F142" s="8">
        <v>2</v>
      </c>
      <c r="G142" s="8">
        <v>0</v>
      </c>
      <c r="H142" s="8">
        <v>2</v>
      </c>
      <c r="I142" s="8">
        <v>2</v>
      </c>
      <c r="J142" s="8">
        <v>2</v>
      </c>
      <c r="K142" s="8">
        <v>2</v>
      </c>
      <c r="L142" s="8">
        <v>2</v>
      </c>
      <c r="M142" s="8">
        <v>2</v>
      </c>
      <c r="N142" s="8">
        <v>0</v>
      </c>
      <c r="O142" s="8">
        <v>0</v>
      </c>
      <c r="P142" s="8">
        <v>2</v>
      </c>
      <c r="Q142" s="8">
        <v>2</v>
      </c>
      <c r="R142" s="8">
        <v>2</v>
      </c>
      <c r="S142" s="8">
        <v>2</v>
      </c>
      <c r="T142" s="8">
        <v>2</v>
      </c>
      <c r="U142" s="8">
        <v>0</v>
      </c>
      <c r="V142" s="8">
        <v>2</v>
      </c>
      <c r="W142" s="8">
        <v>2</v>
      </c>
      <c r="X142" s="8">
        <v>2</v>
      </c>
      <c r="Y142" s="8">
        <v>0</v>
      </c>
      <c r="Z142" s="8">
        <v>0</v>
      </c>
      <c r="AA142" s="8">
        <v>0</v>
      </c>
      <c r="AB142" s="8">
        <v>0</v>
      </c>
      <c r="AC142" s="8">
        <v>1</v>
      </c>
      <c r="AD142" s="8">
        <v>2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11" t="s">
        <v>8</v>
      </c>
    </row>
    <row r="143" spans="1:46" ht="15.1" customHeight="1">
      <c r="A143" s="8"/>
      <c r="B143" s="9"/>
      <c r="C143" s="8"/>
      <c r="D143" s="9"/>
      <c r="E143" s="8">
        <v>4</v>
      </c>
      <c r="F143" s="8">
        <v>3</v>
      </c>
      <c r="G143" s="8">
        <v>13</v>
      </c>
      <c r="H143" s="8">
        <v>6</v>
      </c>
      <c r="I143" s="8">
        <v>7</v>
      </c>
      <c r="J143" s="8">
        <v>5</v>
      </c>
      <c r="K143" s="8">
        <v>0</v>
      </c>
      <c r="L143" s="8">
        <v>7</v>
      </c>
      <c r="M143" s="8">
        <v>11</v>
      </c>
      <c r="N143" s="8">
        <v>0</v>
      </c>
      <c r="O143" s="8">
        <v>0</v>
      </c>
      <c r="P143" s="8">
        <v>7</v>
      </c>
      <c r="Q143" s="8">
        <v>7</v>
      </c>
      <c r="R143" s="8">
        <v>11</v>
      </c>
      <c r="S143" s="8">
        <v>7</v>
      </c>
      <c r="T143" s="8">
        <v>3</v>
      </c>
      <c r="U143" s="8">
        <v>13</v>
      </c>
      <c r="V143" s="8">
        <v>7</v>
      </c>
      <c r="W143" s="8">
        <v>7</v>
      </c>
      <c r="X143" s="8">
        <v>5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2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11" t="s">
        <v>8</v>
      </c>
    </row>
    <row r="144" spans="1:46" ht="15.1" customHeight="1">
      <c r="A144" s="8">
        <v>47</v>
      </c>
      <c r="B144" s="9" t="s">
        <v>356</v>
      </c>
      <c r="C144" s="8" t="s">
        <v>357</v>
      </c>
      <c r="D144" s="9" t="s">
        <v>266</v>
      </c>
      <c r="E144" s="8" t="s">
        <v>54</v>
      </c>
      <c r="F144" s="8" t="s">
        <v>54</v>
      </c>
      <c r="G144" s="10" t="s">
        <v>67</v>
      </c>
      <c r="H144" s="8" t="s">
        <v>54</v>
      </c>
      <c r="I144" s="8" t="s">
        <v>54</v>
      </c>
      <c r="J144" s="8" t="s">
        <v>54</v>
      </c>
      <c r="K144" s="8" t="s">
        <v>54</v>
      </c>
      <c r="L144" s="8" t="s">
        <v>54</v>
      </c>
      <c r="M144" s="8" t="s">
        <v>54</v>
      </c>
      <c r="N144" s="10" t="s">
        <v>67</v>
      </c>
      <c r="O144" s="8" t="s">
        <v>54</v>
      </c>
      <c r="P144" s="8" t="s">
        <v>54</v>
      </c>
      <c r="Q144" s="8" t="s">
        <v>54</v>
      </c>
      <c r="R144" s="8" t="s">
        <v>54</v>
      </c>
      <c r="S144" s="12" t="s">
        <v>55</v>
      </c>
      <c r="T144" s="8" t="s">
        <v>54</v>
      </c>
      <c r="U144" s="10" t="s">
        <v>67</v>
      </c>
      <c r="V144" s="8" t="s">
        <v>54</v>
      </c>
      <c r="W144" s="8" t="s">
        <v>54</v>
      </c>
      <c r="X144" s="8" t="s">
        <v>54</v>
      </c>
      <c r="Y144" s="8" t="s">
        <v>54</v>
      </c>
      <c r="Z144" s="8" t="s">
        <v>54</v>
      </c>
      <c r="AA144" s="8" t="s">
        <v>54</v>
      </c>
      <c r="AB144" s="10" t="s">
        <v>67</v>
      </c>
      <c r="AC144" s="8" t="s">
        <v>54</v>
      </c>
      <c r="AD144" s="8" t="s">
        <v>54</v>
      </c>
      <c r="AE144" s="8" t="s">
        <v>54</v>
      </c>
      <c r="AF144" s="8" t="s">
        <v>54</v>
      </c>
      <c r="AG144" s="8" t="s">
        <v>54</v>
      </c>
      <c r="AH144" s="8" t="s">
        <v>54</v>
      </c>
      <c r="AI144" s="10" t="s">
        <v>67</v>
      </c>
      <c r="AJ144" s="8">
        <f>COUNTIF($E$144:$AI$144,"P")</f>
        <v>25</v>
      </c>
      <c r="AK144" s="8">
        <f>COUNTIF($E$144:$AI$144,"A")</f>
        <v>1</v>
      </c>
      <c r="AL144" s="8">
        <f>SUM($E$145:$AI$145)</f>
        <v>32</v>
      </c>
      <c r="AM144" s="8">
        <f>SUM($E$146:$AI$146)</f>
        <v>138.5</v>
      </c>
      <c r="AN144" s="8">
        <f>AL144+AM144</f>
        <v>169.5</v>
      </c>
      <c r="AO144" s="8">
        <f>COUNTIF($E$144:$AI$144,"CL")</f>
        <v>0</v>
      </c>
      <c r="AP144" s="8">
        <f>COUNTIF($E$144:$AI$144,"SL")</f>
        <v>0</v>
      </c>
      <c r="AQ144" s="8">
        <f>COUNTIF($E$144:$AI$144,"EL")</f>
        <v>0</v>
      </c>
      <c r="AR144" s="8">
        <f>COUNTIF($E$144:$AI$144,"H")</f>
        <v>0</v>
      </c>
      <c r="AS144" s="8"/>
      <c r="AT144" s="11" t="s">
        <v>8</v>
      </c>
    </row>
    <row r="145" spans="1:46" ht="15.1" customHeight="1">
      <c r="A145" s="8"/>
      <c r="B145" s="9"/>
      <c r="C145" s="8"/>
      <c r="D145" s="9"/>
      <c r="E145" s="8">
        <v>2</v>
      </c>
      <c r="F145" s="8">
        <v>2</v>
      </c>
      <c r="G145" s="8">
        <v>0</v>
      </c>
      <c r="H145" s="8">
        <v>2</v>
      </c>
      <c r="I145" s="8">
        <v>2</v>
      </c>
      <c r="J145" s="8">
        <v>0</v>
      </c>
      <c r="K145" s="8">
        <v>2</v>
      </c>
      <c r="L145" s="8">
        <v>2</v>
      </c>
      <c r="M145" s="8">
        <v>2</v>
      </c>
      <c r="N145" s="8">
        <v>0</v>
      </c>
      <c r="O145" s="8">
        <v>2</v>
      </c>
      <c r="P145" s="8">
        <v>2</v>
      </c>
      <c r="Q145" s="8">
        <v>2</v>
      </c>
      <c r="R145" s="8">
        <v>0</v>
      </c>
      <c r="S145" s="8">
        <v>0</v>
      </c>
      <c r="T145" s="8">
        <v>2</v>
      </c>
      <c r="U145" s="8">
        <v>0</v>
      </c>
      <c r="V145" s="8">
        <v>2</v>
      </c>
      <c r="W145" s="8">
        <v>2</v>
      </c>
      <c r="X145" s="8">
        <v>2</v>
      </c>
      <c r="Y145" s="8">
        <v>0</v>
      </c>
      <c r="Z145" s="8">
        <v>0</v>
      </c>
      <c r="AA145" s="8">
        <v>1</v>
      </c>
      <c r="AB145" s="8">
        <v>0</v>
      </c>
      <c r="AC145" s="8">
        <v>1</v>
      </c>
      <c r="AD145" s="8">
        <v>2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11" t="s">
        <v>8</v>
      </c>
    </row>
    <row r="146" spans="1:46" ht="15.1" customHeight="1">
      <c r="A146" s="8"/>
      <c r="B146" s="9"/>
      <c r="C146" s="8"/>
      <c r="D146" s="9"/>
      <c r="E146" s="8">
        <v>5</v>
      </c>
      <c r="F146" s="8">
        <v>3</v>
      </c>
      <c r="G146" s="8">
        <v>13</v>
      </c>
      <c r="H146" s="8">
        <v>6</v>
      </c>
      <c r="I146" s="8">
        <v>11</v>
      </c>
      <c r="J146" s="8">
        <v>0</v>
      </c>
      <c r="K146" s="8">
        <v>7</v>
      </c>
      <c r="L146" s="8">
        <v>7</v>
      </c>
      <c r="M146" s="8">
        <v>7</v>
      </c>
      <c r="N146" s="8">
        <v>18.5</v>
      </c>
      <c r="O146" s="8">
        <v>7</v>
      </c>
      <c r="P146" s="8">
        <v>11</v>
      </c>
      <c r="Q146" s="8">
        <v>4</v>
      </c>
      <c r="R146" s="8">
        <v>0</v>
      </c>
      <c r="S146" s="8">
        <v>0</v>
      </c>
      <c r="T146" s="8">
        <v>3</v>
      </c>
      <c r="U146" s="8">
        <v>13</v>
      </c>
      <c r="V146" s="8">
        <v>7</v>
      </c>
      <c r="W146" s="8">
        <v>10</v>
      </c>
      <c r="X146" s="8">
        <v>5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1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11" t="s">
        <v>8</v>
      </c>
    </row>
    <row r="147" spans="1:46" ht="15.1" customHeight="1">
      <c r="A147" s="8">
        <v>48</v>
      </c>
      <c r="B147" s="9" t="s">
        <v>358</v>
      </c>
      <c r="C147" s="8" t="s">
        <v>359</v>
      </c>
      <c r="D147" s="9" t="s">
        <v>266</v>
      </c>
      <c r="E147" s="8" t="s">
        <v>54</v>
      </c>
      <c r="F147" s="8" t="s">
        <v>54</v>
      </c>
      <c r="G147" s="10" t="s">
        <v>67</v>
      </c>
      <c r="H147" s="8" t="s">
        <v>54</v>
      </c>
      <c r="I147" s="8" t="s">
        <v>54</v>
      </c>
      <c r="J147" s="8" t="s">
        <v>54</v>
      </c>
      <c r="K147" s="8" t="s">
        <v>54</v>
      </c>
      <c r="L147" s="8" t="s">
        <v>54</v>
      </c>
      <c r="M147" s="8" t="s">
        <v>54</v>
      </c>
      <c r="N147" s="10" t="s">
        <v>67</v>
      </c>
      <c r="O147" s="8" t="s">
        <v>54</v>
      </c>
      <c r="P147" s="8" t="s">
        <v>54</v>
      </c>
      <c r="Q147" s="8" t="s">
        <v>54</v>
      </c>
      <c r="R147" s="8" t="s">
        <v>54</v>
      </c>
      <c r="S147" s="8" t="s">
        <v>54</v>
      </c>
      <c r="T147" s="8" t="s">
        <v>54</v>
      </c>
      <c r="U147" s="10" t="s">
        <v>67</v>
      </c>
      <c r="V147" s="8" t="s">
        <v>54</v>
      </c>
      <c r="W147" s="8" t="s">
        <v>54</v>
      </c>
      <c r="X147" s="8" t="s">
        <v>54</v>
      </c>
      <c r="Y147" s="8" t="s">
        <v>54</v>
      </c>
      <c r="Z147" s="8" t="s">
        <v>54</v>
      </c>
      <c r="AA147" s="8" t="s">
        <v>54</v>
      </c>
      <c r="AB147" s="10" t="s">
        <v>67</v>
      </c>
      <c r="AC147" s="8" t="s">
        <v>54</v>
      </c>
      <c r="AD147" s="8" t="s">
        <v>54</v>
      </c>
      <c r="AE147" s="8" t="s">
        <v>54</v>
      </c>
      <c r="AF147" s="8" t="s">
        <v>54</v>
      </c>
      <c r="AG147" s="8" t="s">
        <v>54</v>
      </c>
      <c r="AH147" s="8" t="s">
        <v>54</v>
      </c>
      <c r="AI147" s="10" t="s">
        <v>67</v>
      </c>
      <c r="AJ147" s="8">
        <f>COUNTIF($E$147:$AI$147,"P")</f>
        <v>26</v>
      </c>
      <c r="AK147" s="8">
        <f>COUNTIF($E$147:$AI$147,"A")</f>
        <v>0</v>
      </c>
      <c r="AL147" s="8">
        <f>SUM($E$148:$AI$148)</f>
        <v>32</v>
      </c>
      <c r="AM147" s="8">
        <f>SUM($E$149:$AI$149)</f>
        <v>74</v>
      </c>
      <c r="AN147" s="8">
        <f>AL147+AM147</f>
        <v>106</v>
      </c>
      <c r="AO147" s="8">
        <f>COUNTIF($E$147:$AI$147,"CL")</f>
        <v>0</v>
      </c>
      <c r="AP147" s="8">
        <f>COUNTIF($E$147:$AI$147,"SL")</f>
        <v>0</v>
      </c>
      <c r="AQ147" s="8">
        <f>COUNTIF($E$147:$AI$147,"EL")</f>
        <v>0</v>
      </c>
      <c r="AR147" s="8">
        <f>COUNTIF($E$147:$AI$147,"H")</f>
        <v>0</v>
      </c>
      <c r="AS147" s="8"/>
      <c r="AT147" s="11" t="s">
        <v>10</v>
      </c>
    </row>
    <row r="148" spans="1:46" ht="15.1" customHeight="1">
      <c r="A148" s="8"/>
      <c r="B148" s="9"/>
      <c r="C148" s="8"/>
      <c r="D148" s="9"/>
      <c r="E148" s="8">
        <v>2</v>
      </c>
      <c r="F148" s="8">
        <v>2</v>
      </c>
      <c r="G148" s="8">
        <v>0</v>
      </c>
      <c r="H148" s="8">
        <v>2</v>
      </c>
      <c r="I148" s="8">
        <v>2</v>
      </c>
      <c r="J148" s="8">
        <v>2</v>
      </c>
      <c r="K148" s="8">
        <v>2</v>
      </c>
      <c r="L148" s="8">
        <v>2</v>
      </c>
      <c r="M148" s="8">
        <v>2</v>
      </c>
      <c r="N148" s="8">
        <v>0</v>
      </c>
      <c r="O148" s="8">
        <v>2</v>
      </c>
      <c r="P148" s="8">
        <v>2</v>
      </c>
      <c r="Q148" s="8">
        <v>2</v>
      </c>
      <c r="R148" s="8">
        <v>2</v>
      </c>
      <c r="S148" s="8">
        <v>2</v>
      </c>
      <c r="T148" s="8">
        <v>2</v>
      </c>
      <c r="U148" s="8">
        <v>0</v>
      </c>
      <c r="V148" s="8">
        <v>2</v>
      </c>
      <c r="W148" s="8">
        <v>2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11" t="s">
        <v>10</v>
      </c>
    </row>
    <row r="149" spans="1:46" ht="15.1" customHeight="1">
      <c r="A149" s="8"/>
      <c r="B149" s="9"/>
      <c r="C149" s="8"/>
      <c r="D149" s="9"/>
      <c r="E149" s="8">
        <v>0</v>
      </c>
      <c r="F149" s="8">
        <v>2</v>
      </c>
      <c r="G149" s="8">
        <v>0</v>
      </c>
      <c r="H149" s="8">
        <v>3</v>
      </c>
      <c r="I149" s="8">
        <v>3</v>
      </c>
      <c r="J149" s="8">
        <v>3</v>
      </c>
      <c r="K149" s="8">
        <v>5</v>
      </c>
      <c r="L149" s="8">
        <v>5</v>
      </c>
      <c r="M149" s="8">
        <v>3</v>
      </c>
      <c r="N149" s="8">
        <v>13</v>
      </c>
      <c r="O149" s="8">
        <v>7</v>
      </c>
      <c r="P149" s="8">
        <v>5</v>
      </c>
      <c r="Q149" s="8">
        <v>3</v>
      </c>
      <c r="R149" s="8">
        <v>3</v>
      </c>
      <c r="S149" s="8">
        <v>3</v>
      </c>
      <c r="T149" s="8">
        <v>3</v>
      </c>
      <c r="U149" s="8">
        <v>8</v>
      </c>
      <c r="V149" s="8">
        <v>0</v>
      </c>
      <c r="W149" s="8">
        <v>5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11" t="s">
        <v>10</v>
      </c>
    </row>
    <row r="150" spans="1:46" ht="15.1" customHeight="1">
      <c r="A150" s="8">
        <v>49</v>
      </c>
      <c r="B150" s="9" t="s">
        <v>360</v>
      </c>
      <c r="C150" s="8" t="s">
        <v>361</v>
      </c>
      <c r="D150" s="9" t="s">
        <v>266</v>
      </c>
      <c r="E150" s="8" t="s">
        <v>54</v>
      </c>
      <c r="F150" s="8" t="s">
        <v>54</v>
      </c>
      <c r="G150" s="10" t="s">
        <v>67</v>
      </c>
      <c r="H150" s="8" t="s">
        <v>54</v>
      </c>
      <c r="I150" s="8" t="s">
        <v>54</v>
      </c>
      <c r="J150" s="8" t="s">
        <v>54</v>
      </c>
      <c r="K150" s="8" t="s">
        <v>54</v>
      </c>
      <c r="L150" s="8" t="s">
        <v>54</v>
      </c>
      <c r="M150" s="8" t="s">
        <v>54</v>
      </c>
      <c r="N150" s="10" t="s">
        <v>67</v>
      </c>
      <c r="O150" s="8" t="s">
        <v>54</v>
      </c>
      <c r="P150" s="8" t="s">
        <v>54</v>
      </c>
      <c r="Q150" s="8" t="s">
        <v>54</v>
      </c>
      <c r="R150" s="8" t="s">
        <v>54</v>
      </c>
      <c r="S150" s="8" t="s">
        <v>54</v>
      </c>
      <c r="T150" s="8" t="s">
        <v>54</v>
      </c>
      <c r="U150" s="10" t="s">
        <v>67</v>
      </c>
      <c r="V150" s="8" t="s">
        <v>54</v>
      </c>
      <c r="W150" s="8" t="s">
        <v>54</v>
      </c>
      <c r="X150" s="8" t="s">
        <v>54</v>
      </c>
      <c r="Y150" s="8" t="s">
        <v>54</v>
      </c>
      <c r="Z150" s="8" t="s">
        <v>54</v>
      </c>
      <c r="AA150" s="8" t="s">
        <v>54</v>
      </c>
      <c r="AB150" s="10" t="s">
        <v>67</v>
      </c>
      <c r="AC150" s="8" t="s">
        <v>54</v>
      </c>
      <c r="AD150" s="8" t="s">
        <v>54</v>
      </c>
      <c r="AE150" s="8" t="s">
        <v>54</v>
      </c>
      <c r="AF150" s="8" t="s">
        <v>54</v>
      </c>
      <c r="AG150" s="8" t="s">
        <v>54</v>
      </c>
      <c r="AH150" s="8" t="s">
        <v>54</v>
      </c>
      <c r="AI150" s="10" t="s">
        <v>67</v>
      </c>
      <c r="AJ150" s="8">
        <f>COUNTIF($E$150:$AI$150,"P")</f>
        <v>26</v>
      </c>
      <c r="AK150" s="8">
        <f>COUNTIF($E$150:$AI$150,"A")</f>
        <v>0</v>
      </c>
      <c r="AL150" s="8">
        <f>SUM($E$151:$AI$151)</f>
        <v>30</v>
      </c>
      <c r="AM150" s="8">
        <f>SUM($E$152:$AI$152)</f>
        <v>72</v>
      </c>
      <c r="AN150" s="8">
        <f>AL150+AM150</f>
        <v>102</v>
      </c>
      <c r="AO150" s="8">
        <f>COUNTIF($E$150:$AI$150,"CL")</f>
        <v>0</v>
      </c>
      <c r="AP150" s="8">
        <f>COUNTIF($E$150:$AI$150,"SL")</f>
        <v>0</v>
      </c>
      <c r="AQ150" s="8">
        <f>COUNTIF($E$150:$AI$150,"EL")</f>
        <v>0</v>
      </c>
      <c r="AR150" s="8">
        <f>COUNTIF($E$150:$AI$150,"H")</f>
        <v>0</v>
      </c>
      <c r="AS150" s="8"/>
      <c r="AT150" s="11" t="s">
        <v>10</v>
      </c>
    </row>
    <row r="151" spans="1:46" ht="15.1" customHeight="1">
      <c r="A151" s="8"/>
      <c r="B151" s="9"/>
      <c r="C151" s="8"/>
      <c r="D151" s="9"/>
      <c r="E151" s="8">
        <v>2</v>
      </c>
      <c r="F151" s="8">
        <v>0</v>
      </c>
      <c r="G151" s="8">
        <v>0</v>
      </c>
      <c r="H151" s="8">
        <v>2</v>
      </c>
      <c r="I151" s="8">
        <v>2</v>
      </c>
      <c r="J151" s="8">
        <v>2</v>
      </c>
      <c r="K151" s="8">
        <v>2</v>
      </c>
      <c r="L151" s="8">
        <v>2</v>
      </c>
      <c r="M151" s="8">
        <v>2</v>
      </c>
      <c r="N151" s="8">
        <v>0</v>
      </c>
      <c r="O151" s="8">
        <v>2</v>
      </c>
      <c r="P151" s="8">
        <v>2</v>
      </c>
      <c r="Q151" s="8">
        <v>2</v>
      </c>
      <c r="R151" s="8">
        <v>2</v>
      </c>
      <c r="S151" s="8">
        <v>2</v>
      </c>
      <c r="T151" s="8">
        <v>2</v>
      </c>
      <c r="U151" s="8">
        <v>0</v>
      </c>
      <c r="V151" s="8">
        <v>2</v>
      </c>
      <c r="W151" s="8">
        <v>2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11" t="s">
        <v>10</v>
      </c>
    </row>
    <row r="152" spans="1:46" ht="15.1" customHeight="1">
      <c r="A152" s="8"/>
      <c r="B152" s="9"/>
      <c r="C152" s="8"/>
      <c r="D152" s="9"/>
      <c r="E152" s="8">
        <v>0</v>
      </c>
      <c r="F152" s="8">
        <v>0</v>
      </c>
      <c r="G152" s="8">
        <v>0</v>
      </c>
      <c r="H152" s="8">
        <v>3</v>
      </c>
      <c r="I152" s="8">
        <v>3</v>
      </c>
      <c r="J152" s="8">
        <v>3</v>
      </c>
      <c r="K152" s="8">
        <v>5</v>
      </c>
      <c r="L152" s="8">
        <v>5</v>
      </c>
      <c r="M152" s="8">
        <v>3</v>
      </c>
      <c r="N152" s="8">
        <v>13</v>
      </c>
      <c r="O152" s="8">
        <v>7</v>
      </c>
      <c r="P152" s="8">
        <v>5</v>
      </c>
      <c r="Q152" s="8">
        <v>3</v>
      </c>
      <c r="R152" s="8">
        <v>3</v>
      </c>
      <c r="S152" s="8">
        <v>3</v>
      </c>
      <c r="T152" s="8">
        <v>3</v>
      </c>
      <c r="U152" s="8">
        <v>8</v>
      </c>
      <c r="V152" s="8">
        <v>0</v>
      </c>
      <c r="W152" s="8">
        <v>5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11" t="s">
        <v>10</v>
      </c>
    </row>
    <row r="153" spans="1:46" ht="15.1" customHeight="1">
      <c r="A153" s="8">
        <v>50</v>
      </c>
      <c r="B153" s="9" t="s">
        <v>362</v>
      </c>
      <c r="C153" s="8" t="s">
        <v>363</v>
      </c>
      <c r="D153" s="9" t="s">
        <v>266</v>
      </c>
      <c r="E153" s="8" t="s">
        <v>54</v>
      </c>
      <c r="F153" s="8" t="s">
        <v>54</v>
      </c>
      <c r="G153" s="10" t="s">
        <v>67</v>
      </c>
      <c r="H153" s="8" t="s">
        <v>54</v>
      </c>
      <c r="I153" s="8" t="s">
        <v>54</v>
      </c>
      <c r="J153" s="8" t="s">
        <v>54</v>
      </c>
      <c r="K153" s="8" t="s">
        <v>54</v>
      </c>
      <c r="L153" s="8" t="s">
        <v>54</v>
      </c>
      <c r="M153" s="8" t="s">
        <v>54</v>
      </c>
      <c r="N153" s="10" t="s">
        <v>67</v>
      </c>
      <c r="O153" s="8" t="s">
        <v>54</v>
      </c>
      <c r="P153" s="8" t="s">
        <v>54</v>
      </c>
      <c r="Q153" s="8" t="s">
        <v>54</v>
      </c>
      <c r="R153" s="8" t="s">
        <v>54</v>
      </c>
      <c r="S153" s="8" t="s">
        <v>54</v>
      </c>
      <c r="T153" s="8" t="s">
        <v>54</v>
      </c>
      <c r="U153" s="10" t="s">
        <v>67</v>
      </c>
      <c r="V153" s="8" t="s">
        <v>54</v>
      </c>
      <c r="W153" s="8" t="s">
        <v>54</v>
      </c>
      <c r="X153" s="8" t="s">
        <v>54</v>
      </c>
      <c r="Y153" s="8" t="s">
        <v>54</v>
      </c>
      <c r="Z153" s="8" t="s">
        <v>54</v>
      </c>
      <c r="AA153" s="8" t="s">
        <v>54</v>
      </c>
      <c r="AB153" s="10" t="s">
        <v>67</v>
      </c>
      <c r="AC153" s="8" t="s">
        <v>54</v>
      </c>
      <c r="AD153" s="8" t="s">
        <v>54</v>
      </c>
      <c r="AE153" s="8" t="s">
        <v>54</v>
      </c>
      <c r="AF153" s="8" t="s">
        <v>54</v>
      </c>
      <c r="AG153" s="8" t="s">
        <v>54</v>
      </c>
      <c r="AH153" s="8" t="s">
        <v>54</v>
      </c>
      <c r="AI153" s="10" t="s">
        <v>67</v>
      </c>
      <c r="AJ153" s="8">
        <f>COUNTIF($E$153:$AI$153,"P")</f>
        <v>26</v>
      </c>
      <c r="AK153" s="8">
        <f>COUNTIF($E$153:$AI$153,"A")</f>
        <v>0</v>
      </c>
      <c r="AL153" s="8">
        <f>SUM($E$154:$AI$154)</f>
        <v>30</v>
      </c>
      <c r="AM153" s="8">
        <f>SUM($E$155:$AI$155)</f>
        <v>69</v>
      </c>
      <c r="AN153" s="8">
        <f>AL153+AM153</f>
        <v>99</v>
      </c>
      <c r="AO153" s="8">
        <f>COUNTIF($E$153:$AI$153,"CL")</f>
        <v>0</v>
      </c>
      <c r="AP153" s="8">
        <f>COUNTIF($E$153:$AI$153,"SL")</f>
        <v>0</v>
      </c>
      <c r="AQ153" s="8">
        <f>COUNTIF($E$153:$AI$153,"EL")</f>
        <v>0</v>
      </c>
      <c r="AR153" s="8">
        <f>COUNTIF($E$153:$AI$153,"H")</f>
        <v>0</v>
      </c>
      <c r="AS153" s="8"/>
      <c r="AT153" s="11" t="s">
        <v>10</v>
      </c>
    </row>
    <row r="154" spans="1:46" ht="15.1" customHeight="1">
      <c r="A154" s="8"/>
      <c r="B154" s="9"/>
      <c r="C154" s="8"/>
      <c r="D154" s="9"/>
      <c r="E154" s="8">
        <v>2</v>
      </c>
      <c r="F154" s="8">
        <v>2</v>
      </c>
      <c r="G154" s="8">
        <v>0</v>
      </c>
      <c r="H154" s="8">
        <v>2</v>
      </c>
      <c r="I154" s="8">
        <v>2</v>
      </c>
      <c r="J154" s="8">
        <v>2</v>
      </c>
      <c r="K154" s="8">
        <v>2</v>
      </c>
      <c r="L154" s="8">
        <v>2</v>
      </c>
      <c r="M154" s="8">
        <v>2</v>
      </c>
      <c r="N154" s="8">
        <v>0</v>
      </c>
      <c r="O154" s="8">
        <v>2</v>
      </c>
      <c r="P154" s="8">
        <v>2</v>
      </c>
      <c r="Q154" s="8">
        <v>2</v>
      </c>
      <c r="R154" s="8">
        <v>2</v>
      </c>
      <c r="S154" s="8">
        <v>2</v>
      </c>
      <c r="T154" s="8">
        <v>2</v>
      </c>
      <c r="U154" s="8">
        <v>0</v>
      </c>
      <c r="V154" s="8">
        <v>0</v>
      </c>
      <c r="W154" s="8">
        <v>2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11" t="s">
        <v>10</v>
      </c>
    </row>
    <row r="155" spans="1:46" ht="15.1" customHeight="1">
      <c r="A155" s="8"/>
      <c r="B155" s="9"/>
      <c r="C155" s="8"/>
      <c r="D155" s="9"/>
      <c r="E155" s="8">
        <v>0</v>
      </c>
      <c r="F155" s="8">
        <v>2</v>
      </c>
      <c r="G155" s="8">
        <v>0</v>
      </c>
      <c r="H155" s="8">
        <v>3</v>
      </c>
      <c r="I155" s="8">
        <v>3</v>
      </c>
      <c r="J155" s="8">
        <v>3</v>
      </c>
      <c r="K155" s="8">
        <v>5</v>
      </c>
      <c r="L155" s="8">
        <v>5</v>
      </c>
      <c r="M155" s="8">
        <v>3</v>
      </c>
      <c r="N155" s="8">
        <v>13</v>
      </c>
      <c r="O155" s="8">
        <v>7</v>
      </c>
      <c r="P155" s="8">
        <v>5</v>
      </c>
      <c r="Q155" s="8">
        <v>3</v>
      </c>
      <c r="R155" s="8">
        <v>3</v>
      </c>
      <c r="S155" s="8">
        <v>3</v>
      </c>
      <c r="T155" s="8">
        <v>3</v>
      </c>
      <c r="U155" s="8">
        <v>8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11" t="s">
        <v>10</v>
      </c>
    </row>
    <row r="156" spans="1:46" ht="15.1" customHeight="1">
      <c r="A156" s="8">
        <v>51</v>
      </c>
      <c r="B156" s="9" t="s">
        <v>364</v>
      </c>
      <c r="C156" s="8" t="s">
        <v>365</v>
      </c>
      <c r="D156" s="9" t="s">
        <v>266</v>
      </c>
      <c r="E156" s="8" t="s">
        <v>54</v>
      </c>
      <c r="F156" s="8" t="s">
        <v>54</v>
      </c>
      <c r="G156" s="10" t="s">
        <v>67</v>
      </c>
      <c r="H156" s="8" t="s">
        <v>54</v>
      </c>
      <c r="I156" s="8" t="s">
        <v>54</v>
      </c>
      <c r="J156" s="8" t="s">
        <v>54</v>
      </c>
      <c r="K156" s="8" t="s">
        <v>54</v>
      </c>
      <c r="L156" s="8" t="s">
        <v>54</v>
      </c>
      <c r="M156" s="8" t="s">
        <v>54</v>
      </c>
      <c r="N156" s="10" t="s">
        <v>67</v>
      </c>
      <c r="O156" s="8" t="s">
        <v>54</v>
      </c>
      <c r="P156" s="12" t="s">
        <v>55</v>
      </c>
      <c r="Q156" s="12" t="s">
        <v>55</v>
      </c>
      <c r="R156" s="8" t="s">
        <v>54</v>
      </c>
      <c r="S156" s="8" t="s">
        <v>54</v>
      </c>
      <c r="T156" s="8" t="s">
        <v>54</v>
      </c>
      <c r="U156" s="10" t="s">
        <v>67</v>
      </c>
      <c r="V156" s="8" t="s">
        <v>54</v>
      </c>
      <c r="W156" s="8" t="s">
        <v>54</v>
      </c>
      <c r="X156" s="8" t="s">
        <v>54</v>
      </c>
      <c r="Y156" s="8" t="s">
        <v>54</v>
      </c>
      <c r="Z156" s="8" t="s">
        <v>54</v>
      </c>
      <c r="AA156" s="8" t="s">
        <v>54</v>
      </c>
      <c r="AB156" s="10" t="s">
        <v>67</v>
      </c>
      <c r="AC156" s="8" t="s">
        <v>54</v>
      </c>
      <c r="AD156" s="8" t="s">
        <v>60</v>
      </c>
      <c r="AE156" s="8" t="s">
        <v>60</v>
      </c>
      <c r="AF156" s="8" t="s">
        <v>60</v>
      </c>
      <c r="AG156" s="8" t="s">
        <v>60</v>
      </c>
      <c r="AH156" s="8" t="s">
        <v>60</v>
      </c>
      <c r="AI156" s="10" t="s">
        <v>67</v>
      </c>
      <c r="AJ156" s="8">
        <f>COUNTIF($E$156:$AI$156,"P")</f>
        <v>19</v>
      </c>
      <c r="AK156" s="8">
        <f>COUNTIF($E$156:$AI$156,"A")</f>
        <v>2</v>
      </c>
      <c r="AL156" s="8">
        <f>SUM($E$157:$AI$157)</f>
        <v>30</v>
      </c>
      <c r="AM156" s="8">
        <f>SUM($E$158:$AI$158)</f>
        <v>66.5</v>
      </c>
      <c r="AN156" s="8">
        <f>AL156+AM156</f>
        <v>96.5</v>
      </c>
      <c r="AO156" s="8">
        <f>COUNTIF($E$156:$AI$156,"CL")</f>
        <v>0</v>
      </c>
      <c r="AP156" s="8">
        <f>COUNTIF($E$156:$AI$156,"SL")</f>
        <v>0</v>
      </c>
      <c r="AQ156" s="8">
        <f>COUNTIF($E$156:$AI$156,"EL")</f>
        <v>5</v>
      </c>
      <c r="AR156" s="8">
        <f>COUNTIF($E$156:$AI$156,"H")</f>
        <v>0</v>
      </c>
      <c r="AS156" s="8"/>
      <c r="AT156" s="11" t="s">
        <v>10</v>
      </c>
    </row>
    <row r="157" spans="1:46" ht="15.1" customHeight="1">
      <c r="A157" s="8"/>
      <c r="B157" s="9"/>
      <c r="C157" s="8"/>
      <c r="D157" s="9"/>
      <c r="E157" s="8">
        <v>2</v>
      </c>
      <c r="F157" s="8">
        <v>2</v>
      </c>
      <c r="G157" s="8">
        <v>0</v>
      </c>
      <c r="H157" s="8">
        <v>2</v>
      </c>
      <c r="I157" s="8">
        <v>2</v>
      </c>
      <c r="J157" s="8">
        <v>2</v>
      </c>
      <c r="K157" s="8">
        <v>2</v>
      </c>
      <c r="L157" s="8">
        <v>2</v>
      </c>
      <c r="M157" s="8">
        <v>2</v>
      </c>
      <c r="N157" s="8">
        <v>0</v>
      </c>
      <c r="O157" s="8">
        <v>2</v>
      </c>
      <c r="P157" s="8">
        <v>0</v>
      </c>
      <c r="Q157" s="8">
        <v>0</v>
      </c>
      <c r="R157" s="8">
        <v>2</v>
      </c>
      <c r="S157" s="8">
        <v>2</v>
      </c>
      <c r="T157" s="8">
        <v>2</v>
      </c>
      <c r="U157" s="8">
        <v>0</v>
      </c>
      <c r="V157" s="8">
        <v>2</v>
      </c>
      <c r="W157" s="8">
        <v>2</v>
      </c>
      <c r="X157" s="8">
        <v>2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11" t="s">
        <v>10</v>
      </c>
    </row>
    <row r="158" spans="1:46" ht="15.1" customHeight="1">
      <c r="A158" s="8"/>
      <c r="B158" s="9"/>
      <c r="C158" s="8"/>
      <c r="D158" s="9"/>
      <c r="E158" s="8">
        <v>2.5</v>
      </c>
      <c r="F158" s="8">
        <v>3</v>
      </c>
      <c r="G158" s="8">
        <v>7.5</v>
      </c>
      <c r="H158" s="8">
        <v>3</v>
      </c>
      <c r="I158" s="8">
        <v>5</v>
      </c>
      <c r="J158" s="8">
        <v>3</v>
      </c>
      <c r="K158" s="8">
        <v>5</v>
      </c>
      <c r="L158" s="8">
        <v>5</v>
      </c>
      <c r="M158" s="8">
        <v>3</v>
      </c>
      <c r="N158" s="8">
        <v>12.5</v>
      </c>
      <c r="O158" s="8">
        <v>5</v>
      </c>
      <c r="P158" s="8">
        <v>0</v>
      </c>
      <c r="Q158" s="8">
        <v>0</v>
      </c>
      <c r="R158" s="8">
        <v>3</v>
      </c>
      <c r="S158" s="8">
        <v>3</v>
      </c>
      <c r="T158" s="8">
        <v>3</v>
      </c>
      <c r="U158" s="8">
        <v>0</v>
      </c>
      <c r="V158" s="8">
        <v>0</v>
      </c>
      <c r="W158" s="8">
        <v>3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11" t="s">
        <v>10</v>
      </c>
    </row>
    <row r="159" spans="1:46" ht="15.1" customHeight="1">
      <c r="A159" s="8">
        <v>52</v>
      </c>
      <c r="B159" s="9" t="s">
        <v>366</v>
      </c>
      <c r="C159" s="8" t="s">
        <v>367</v>
      </c>
      <c r="D159" s="9" t="s">
        <v>266</v>
      </c>
      <c r="E159" s="8" t="s">
        <v>54</v>
      </c>
      <c r="F159" s="8" t="s">
        <v>54</v>
      </c>
      <c r="G159" s="10" t="s">
        <v>67</v>
      </c>
      <c r="H159" s="8" t="s">
        <v>54</v>
      </c>
      <c r="I159" s="8" t="s">
        <v>54</v>
      </c>
      <c r="J159" s="8" t="s">
        <v>54</v>
      </c>
      <c r="K159" s="8" t="s">
        <v>54</v>
      </c>
      <c r="L159" s="8" t="s">
        <v>54</v>
      </c>
      <c r="M159" s="8" t="s">
        <v>54</v>
      </c>
      <c r="N159" s="10" t="s">
        <v>67</v>
      </c>
      <c r="O159" s="8" t="s">
        <v>54</v>
      </c>
      <c r="P159" s="8" t="s">
        <v>54</v>
      </c>
      <c r="Q159" s="8" t="s">
        <v>54</v>
      </c>
      <c r="R159" s="8" t="s">
        <v>54</v>
      </c>
      <c r="S159" s="8" t="s">
        <v>54</v>
      </c>
      <c r="T159" s="8" t="s">
        <v>54</v>
      </c>
      <c r="U159" s="10" t="s">
        <v>67</v>
      </c>
      <c r="V159" s="8" t="s">
        <v>54</v>
      </c>
      <c r="W159" s="8" t="s">
        <v>54</v>
      </c>
      <c r="X159" s="8" t="s">
        <v>54</v>
      </c>
      <c r="Y159" s="8" t="s">
        <v>54</v>
      </c>
      <c r="Z159" s="8" t="s">
        <v>54</v>
      </c>
      <c r="AA159" s="8" t="s">
        <v>54</v>
      </c>
      <c r="AB159" s="10" t="s">
        <v>67</v>
      </c>
      <c r="AC159" s="8" t="s">
        <v>54</v>
      </c>
      <c r="AD159" s="8" t="s">
        <v>54</v>
      </c>
      <c r="AE159" s="8" t="s">
        <v>54</v>
      </c>
      <c r="AF159" s="8" t="s">
        <v>54</v>
      </c>
      <c r="AG159" s="8" t="s">
        <v>54</v>
      </c>
      <c r="AH159" s="8" t="s">
        <v>54</v>
      </c>
      <c r="AI159" s="10" t="s">
        <v>67</v>
      </c>
      <c r="AJ159" s="8">
        <f>COUNTIF($E$159:$AI$159,"P")</f>
        <v>26</v>
      </c>
      <c r="AK159" s="8">
        <f>COUNTIF($E$159:$AI$159,"A")</f>
        <v>0</v>
      </c>
      <c r="AL159" s="8">
        <f>SUM($E$160:$AI$160)</f>
        <v>32</v>
      </c>
      <c r="AM159" s="8">
        <f>SUM($E$161:$AI$161)</f>
        <v>74</v>
      </c>
      <c r="AN159" s="8">
        <f>AL159+AM159</f>
        <v>106</v>
      </c>
      <c r="AO159" s="8">
        <f>COUNTIF($E$159:$AI$159,"CL")</f>
        <v>0</v>
      </c>
      <c r="AP159" s="8">
        <f>COUNTIF($E$159:$AI$159,"SL")</f>
        <v>0</v>
      </c>
      <c r="AQ159" s="8">
        <f>COUNTIF($E$159:$AI$159,"EL")</f>
        <v>0</v>
      </c>
      <c r="AR159" s="8">
        <f>COUNTIF($E$159:$AI$159,"H")</f>
        <v>0</v>
      </c>
      <c r="AS159" s="8"/>
      <c r="AT159" s="11" t="s">
        <v>10</v>
      </c>
    </row>
    <row r="160" spans="1:46" ht="15.1" customHeight="1">
      <c r="A160" s="8"/>
      <c r="B160" s="9"/>
      <c r="C160" s="8"/>
      <c r="D160" s="9"/>
      <c r="E160" s="8">
        <v>2</v>
      </c>
      <c r="F160" s="8">
        <v>2</v>
      </c>
      <c r="G160" s="8">
        <v>0</v>
      </c>
      <c r="H160" s="8">
        <v>2</v>
      </c>
      <c r="I160" s="8">
        <v>2</v>
      </c>
      <c r="J160" s="8">
        <v>2</v>
      </c>
      <c r="K160" s="8">
        <v>2</v>
      </c>
      <c r="L160" s="8">
        <v>2</v>
      </c>
      <c r="M160" s="8">
        <v>2</v>
      </c>
      <c r="N160" s="8">
        <v>0</v>
      </c>
      <c r="O160" s="8">
        <v>2</v>
      </c>
      <c r="P160" s="8">
        <v>2</v>
      </c>
      <c r="Q160" s="8">
        <v>2</v>
      </c>
      <c r="R160" s="8">
        <v>2</v>
      </c>
      <c r="S160" s="8">
        <v>2</v>
      </c>
      <c r="T160" s="8">
        <v>2</v>
      </c>
      <c r="U160" s="8">
        <v>0</v>
      </c>
      <c r="V160" s="8">
        <v>2</v>
      </c>
      <c r="W160" s="8">
        <v>2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11" t="s">
        <v>10</v>
      </c>
    </row>
    <row r="161" spans="1:46" ht="15.1" customHeight="1">
      <c r="A161" s="8"/>
      <c r="B161" s="9"/>
      <c r="C161" s="8"/>
      <c r="D161" s="9"/>
      <c r="E161" s="8">
        <v>0</v>
      </c>
      <c r="F161" s="8">
        <v>2</v>
      </c>
      <c r="G161" s="8">
        <v>0</v>
      </c>
      <c r="H161" s="8">
        <v>3</v>
      </c>
      <c r="I161" s="8">
        <v>3</v>
      </c>
      <c r="J161" s="8">
        <v>3</v>
      </c>
      <c r="K161" s="8">
        <v>5</v>
      </c>
      <c r="L161" s="8">
        <v>5</v>
      </c>
      <c r="M161" s="8">
        <v>3</v>
      </c>
      <c r="N161" s="8">
        <v>13</v>
      </c>
      <c r="O161" s="8">
        <v>7</v>
      </c>
      <c r="P161" s="8">
        <v>5</v>
      </c>
      <c r="Q161" s="8">
        <v>3</v>
      </c>
      <c r="R161" s="8">
        <v>3</v>
      </c>
      <c r="S161" s="8">
        <v>3</v>
      </c>
      <c r="T161" s="8">
        <v>3</v>
      </c>
      <c r="U161" s="8">
        <v>8</v>
      </c>
      <c r="V161" s="8">
        <v>0</v>
      </c>
      <c r="W161" s="8">
        <v>5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11" t="s">
        <v>10</v>
      </c>
    </row>
    <row r="162" spans="1:46" ht="15.1" customHeight="1">
      <c r="A162" s="8">
        <v>53</v>
      </c>
      <c r="B162" s="9" t="s">
        <v>368</v>
      </c>
      <c r="C162" s="8" t="s">
        <v>369</v>
      </c>
      <c r="D162" s="9" t="s">
        <v>266</v>
      </c>
      <c r="E162" s="8" t="s">
        <v>54</v>
      </c>
      <c r="F162" s="8" t="s">
        <v>54</v>
      </c>
      <c r="G162" s="10" t="s">
        <v>67</v>
      </c>
      <c r="H162" s="8" t="s">
        <v>54</v>
      </c>
      <c r="I162" s="8" t="s">
        <v>54</v>
      </c>
      <c r="J162" s="8" t="s">
        <v>54</v>
      </c>
      <c r="K162" s="8" t="s">
        <v>54</v>
      </c>
      <c r="L162" s="8" t="s">
        <v>54</v>
      </c>
      <c r="M162" s="8" t="s">
        <v>54</v>
      </c>
      <c r="N162" s="10" t="s">
        <v>67</v>
      </c>
      <c r="O162" s="8" t="s">
        <v>54</v>
      </c>
      <c r="P162" s="8" t="s">
        <v>54</v>
      </c>
      <c r="Q162" s="8" t="s">
        <v>54</v>
      </c>
      <c r="R162" s="8" t="s">
        <v>54</v>
      </c>
      <c r="S162" s="8" t="s">
        <v>54</v>
      </c>
      <c r="T162" s="8" t="s">
        <v>54</v>
      </c>
      <c r="U162" s="10" t="s">
        <v>67</v>
      </c>
      <c r="V162" s="8" t="s">
        <v>54</v>
      </c>
      <c r="W162" s="8" t="s">
        <v>54</v>
      </c>
      <c r="X162" s="8" t="s">
        <v>54</v>
      </c>
      <c r="Y162" s="8" t="s">
        <v>54</v>
      </c>
      <c r="Z162" s="8" t="s">
        <v>54</v>
      </c>
      <c r="AA162" s="8" t="s">
        <v>54</v>
      </c>
      <c r="AB162" s="10" t="s">
        <v>67</v>
      </c>
      <c r="AC162" s="8" t="s">
        <v>54</v>
      </c>
      <c r="AD162" s="8" t="s">
        <v>54</v>
      </c>
      <c r="AE162" s="8" t="s">
        <v>54</v>
      </c>
      <c r="AF162" s="8" t="s">
        <v>54</v>
      </c>
      <c r="AG162" s="8" t="s">
        <v>54</v>
      </c>
      <c r="AH162" s="8" t="s">
        <v>54</v>
      </c>
      <c r="AI162" s="10" t="s">
        <v>67</v>
      </c>
      <c r="AJ162" s="8">
        <f>COUNTIF($E$162:$AI$162,"P")</f>
        <v>26</v>
      </c>
      <c r="AK162" s="8">
        <f>COUNTIF($E$162:$AI$162,"A")</f>
        <v>0</v>
      </c>
      <c r="AL162" s="8">
        <f>SUM($E$163:$AI$163)</f>
        <v>32</v>
      </c>
      <c r="AM162" s="8">
        <f>SUM($E$164:$AI$164)</f>
        <v>78</v>
      </c>
      <c r="AN162" s="8">
        <f>AL162+AM162</f>
        <v>110</v>
      </c>
      <c r="AO162" s="8">
        <f>COUNTIF($E$162:$AI$162,"CL")</f>
        <v>0</v>
      </c>
      <c r="AP162" s="8">
        <f>COUNTIF($E$162:$AI$162,"SL")</f>
        <v>0</v>
      </c>
      <c r="AQ162" s="8">
        <f>COUNTIF($E$162:$AI$162,"EL")</f>
        <v>0</v>
      </c>
      <c r="AR162" s="8">
        <f>COUNTIF($E$162:$AI$162,"H")</f>
        <v>0</v>
      </c>
      <c r="AS162" s="8"/>
      <c r="AT162" s="11" t="s">
        <v>10</v>
      </c>
    </row>
    <row r="163" spans="1:46" ht="15.1" customHeight="1">
      <c r="A163" s="8"/>
      <c r="B163" s="9"/>
      <c r="C163" s="8"/>
      <c r="D163" s="9"/>
      <c r="E163" s="8">
        <v>2</v>
      </c>
      <c r="F163" s="8">
        <v>2</v>
      </c>
      <c r="G163" s="8">
        <v>0</v>
      </c>
      <c r="H163" s="8">
        <v>2</v>
      </c>
      <c r="I163" s="8">
        <v>2</v>
      </c>
      <c r="J163" s="8">
        <v>2</v>
      </c>
      <c r="K163" s="8">
        <v>2</v>
      </c>
      <c r="L163" s="8">
        <v>2</v>
      </c>
      <c r="M163" s="8">
        <v>2</v>
      </c>
      <c r="N163" s="8">
        <v>0</v>
      </c>
      <c r="O163" s="8">
        <v>2</v>
      </c>
      <c r="P163" s="8">
        <v>2</v>
      </c>
      <c r="Q163" s="8">
        <v>2</v>
      </c>
      <c r="R163" s="8">
        <v>2</v>
      </c>
      <c r="S163" s="8">
        <v>2</v>
      </c>
      <c r="T163" s="8">
        <v>2</v>
      </c>
      <c r="U163" s="8">
        <v>0</v>
      </c>
      <c r="V163" s="8">
        <v>2</v>
      </c>
      <c r="W163" s="8">
        <v>2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11" t="s">
        <v>10</v>
      </c>
    </row>
    <row r="164" spans="1:46" ht="15.1" customHeight="1">
      <c r="A164" s="8"/>
      <c r="B164" s="9"/>
      <c r="C164" s="8"/>
      <c r="D164" s="9"/>
      <c r="E164" s="8">
        <v>0</v>
      </c>
      <c r="F164" s="8">
        <v>2</v>
      </c>
      <c r="G164" s="8">
        <v>0</v>
      </c>
      <c r="H164" s="8">
        <v>3</v>
      </c>
      <c r="I164" s="8">
        <v>3</v>
      </c>
      <c r="J164" s="8">
        <v>3</v>
      </c>
      <c r="K164" s="8">
        <v>5</v>
      </c>
      <c r="L164" s="8">
        <v>5</v>
      </c>
      <c r="M164" s="8">
        <v>3</v>
      </c>
      <c r="N164" s="8">
        <v>13</v>
      </c>
      <c r="O164" s="8">
        <v>7</v>
      </c>
      <c r="P164" s="8">
        <v>5</v>
      </c>
      <c r="Q164" s="8">
        <v>3</v>
      </c>
      <c r="R164" s="8">
        <v>3</v>
      </c>
      <c r="S164" s="8">
        <v>7</v>
      </c>
      <c r="T164" s="8">
        <v>3</v>
      </c>
      <c r="U164" s="8">
        <v>8</v>
      </c>
      <c r="V164" s="8">
        <v>5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11" t="s">
        <v>10</v>
      </c>
    </row>
    <row r="165" spans="1:46" ht="15.1" customHeight="1">
      <c r="A165" s="8">
        <v>54</v>
      </c>
      <c r="B165" s="9" t="s">
        <v>370</v>
      </c>
      <c r="C165" s="8" t="s">
        <v>371</v>
      </c>
      <c r="D165" s="9" t="s">
        <v>266</v>
      </c>
      <c r="E165" s="8" t="s">
        <v>54</v>
      </c>
      <c r="F165" s="8" t="s">
        <v>54</v>
      </c>
      <c r="G165" s="10" t="s">
        <v>67</v>
      </c>
      <c r="H165" s="8" t="s">
        <v>54</v>
      </c>
      <c r="I165" s="8" t="s">
        <v>54</v>
      </c>
      <c r="J165" s="8" t="s">
        <v>54</v>
      </c>
      <c r="K165" s="8" t="s">
        <v>54</v>
      </c>
      <c r="L165" s="8" t="s">
        <v>54</v>
      </c>
      <c r="M165" s="8" t="s">
        <v>54</v>
      </c>
      <c r="N165" s="10" t="s">
        <v>67</v>
      </c>
      <c r="O165" s="8" t="s">
        <v>54</v>
      </c>
      <c r="P165" s="8" t="s">
        <v>54</v>
      </c>
      <c r="Q165" s="8" t="s">
        <v>54</v>
      </c>
      <c r="R165" s="8" t="s">
        <v>54</v>
      </c>
      <c r="S165" s="8" t="s">
        <v>54</v>
      </c>
      <c r="T165" s="8" t="s">
        <v>54</v>
      </c>
      <c r="U165" s="10" t="s">
        <v>67</v>
      </c>
      <c r="V165" s="8" t="s">
        <v>54</v>
      </c>
      <c r="W165" s="8" t="s">
        <v>54</v>
      </c>
      <c r="X165" s="8" t="s">
        <v>54</v>
      </c>
      <c r="Y165" s="8" t="s">
        <v>54</v>
      </c>
      <c r="Z165" s="8" t="s">
        <v>54</v>
      </c>
      <c r="AA165" s="8" t="s">
        <v>54</v>
      </c>
      <c r="AB165" s="10" t="s">
        <v>67</v>
      </c>
      <c r="AC165" s="8" t="s">
        <v>54</v>
      </c>
      <c r="AD165" s="8" t="s">
        <v>54</v>
      </c>
      <c r="AE165" s="8" t="s">
        <v>54</v>
      </c>
      <c r="AF165" s="8" t="s">
        <v>54</v>
      </c>
      <c r="AG165" s="8" t="s">
        <v>54</v>
      </c>
      <c r="AH165" s="8" t="s">
        <v>54</v>
      </c>
      <c r="AI165" s="10" t="s">
        <v>67</v>
      </c>
      <c r="AJ165" s="8">
        <f>COUNTIF($E$165:$AI$165,"P")</f>
        <v>26</v>
      </c>
      <c r="AK165" s="8">
        <f>COUNTIF($E$165:$AI$165,"A")</f>
        <v>0</v>
      </c>
      <c r="AL165" s="8">
        <f>SUM($E$166:$AI$166)</f>
        <v>34</v>
      </c>
      <c r="AM165" s="8">
        <f>SUM($E$167:$AI$167)</f>
        <v>73</v>
      </c>
      <c r="AN165" s="8">
        <f>AL165+AM165</f>
        <v>107</v>
      </c>
      <c r="AO165" s="8">
        <f>COUNTIF($E$165:$AI$165,"CL")</f>
        <v>0</v>
      </c>
      <c r="AP165" s="8">
        <f>COUNTIF($E$165:$AI$165,"SL")</f>
        <v>0</v>
      </c>
      <c r="AQ165" s="8">
        <f>COUNTIF($E$165:$AI$165,"EL")</f>
        <v>0</v>
      </c>
      <c r="AR165" s="8">
        <f>COUNTIF($E$165:$AI$165,"H")</f>
        <v>0</v>
      </c>
      <c r="AS165" s="8"/>
      <c r="AT165" s="11" t="s">
        <v>10</v>
      </c>
    </row>
    <row r="166" spans="1:46" ht="15.1" customHeight="1">
      <c r="A166" s="8"/>
      <c r="B166" s="9"/>
      <c r="C166" s="8"/>
      <c r="D166" s="9"/>
      <c r="E166" s="8">
        <v>2</v>
      </c>
      <c r="F166" s="8">
        <v>2</v>
      </c>
      <c r="G166" s="8">
        <v>0</v>
      </c>
      <c r="H166" s="8">
        <v>2</v>
      </c>
      <c r="I166" s="8">
        <v>2</v>
      </c>
      <c r="J166" s="8">
        <v>2</v>
      </c>
      <c r="K166" s="8">
        <v>2</v>
      </c>
      <c r="L166" s="8">
        <v>2</v>
      </c>
      <c r="M166" s="8">
        <v>2</v>
      </c>
      <c r="N166" s="8">
        <v>0</v>
      </c>
      <c r="O166" s="8">
        <v>2</v>
      </c>
      <c r="P166" s="8">
        <v>2</v>
      </c>
      <c r="Q166" s="8">
        <v>2</v>
      </c>
      <c r="R166" s="8">
        <v>2</v>
      </c>
      <c r="S166" s="8">
        <v>2</v>
      </c>
      <c r="T166" s="8">
        <v>2</v>
      </c>
      <c r="U166" s="8">
        <v>0</v>
      </c>
      <c r="V166" s="8">
        <v>2</v>
      </c>
      <c r="W166" s="8">
        <v>2</v>
      </c>
      <c r="X166" s="8">
        <v>2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11" t="s">
        <v>10</v>
      </c>
    </row>
    <row r="167" spans="1:46" ht="15.1" customHeight="1">
      <c r="A167" s="8"/>
      <c r="B167" s="9"/>
      <c r="C167" s="8"/>
      <c r="D167" s="9"/>
      <c r="E167" s="8">
        <v>3</v>
      </c>
      <c r="F167" s="8">
        <v>3</v>
      </c>
      <c r="G167" s="8">
        <v>0</v>
      </c>
      <c r="H167" s="8">
        <v>3</v>
      </c>
      <c r="I167" s="8">
        <v>5</v>
      </c>
      <c r="J167" s="8">
        <v>3</v>
      </c>
      <c r="K167" s="8">
        <v>3</v>
      </c>
      <c r="L167" s="8">
        <v>3</v>
      </c>
      <c r="M167" s="8">
        <v>3</v>
      </c>
      <c r="N167" s="8">
        <v>0</v>
      </c>
      <c r="O167" s="8">
        <v>5</v>
      </c>
      <c r="P167" s="8">
        <v>3</v>
      </c>
      <c r="Q167" s="8">
        <v>3</v>
      </c>
      <c r="R167" s="8">
        <v>5</v>
      </c>
      <c r="S167" s="8">
        <v>3</v>
      </c>
      <c r="T167" s="8">
        <v>5</v>
      </c>
      <c r="U167" s="8">
        <v>8</v>
      </c>
      <c r="V167" s="8">
        <v>5</v>
      </c>
      <c r="W167" s="8">
        <v>5</v>
      </c>
      <c r="X167" s="8">
        <v>5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11" t="s">
        <v>10</v>
      </c>
    </row>
    <row r="168" spans="1:46" ht="15.1" customHeight="1">
      <c r="A168" s="8">
        <v>55</v>
      </c>
      <c r="B168" s="9" t="s">
        <v>372</v>
      </c>
      <c r="C168" s="8" t="s">
        <v>373</v>
      </c>
      <c r="D168" s="9" t="s">
        <v>266</v>
      </c>
      <c r="E168" s="8" t="s">
        <v>54</v>
      </c>
      <c r="F168" s="8" t="s">
        <v>54</v>
      </c>
      <c r="G168" s="10" t="s">
        <v>67</v>
      </c>
      <c r="H168" s="8" t="s">
        <v>54</v>
      </c>
      <c r="I168" s="8" t="s">
        <v>54</v>
      </c>
      <c r="J168" s="8" t="s">
        <v>54</v>
      </c>
      <c r="K168" s="8" t="s">
        <v>54</v>
      </c>
      <c r="L168" s="8" t="s">
        <v>54</v>
      </c>
      <c r="M168" s="8" t="s">
        <v>54</v>
      </c>
      <c r="N168" s="10" t="s">
        <v>67</v>
      </c>
      <c r="O168" s="8" t="s">
        <v>54</v>
      </c>
      <c r="P168" s="8" t="s">
        <v>54</v>
      </c>
      <c r="Q168" s="8" t="s">
        <v>54</v>
      </c>
      <c r="R168" s="8" t="s">
        <v>54</v>
      </c>
      <c r="S168" s="8" t="s">
        <v>54</v>
      </c>
      <c r="T168" s="8" t="s">
        <v>54</v>
      </c>
      <c r="U168" s="10" t="s">
        <v>67</v>
      </c>
      <c r="V168" s="8" t="s">
        <v>54</v>
      </c>
      <c r="W168" s="8" t="s">
        <v>54</v>
      </c>
      <c r="X168" s="8" t="s">
        <v>54</v>
      </c>
      <c r="Y168" s="8" t="s">
        <v>54</v>
      </c>
      <c r="Z168" s="8" t="s">
        <v>54</v>
      </c>
      <c r="AA168" s="8" t="s">
        <v>54</v>
      </c>
      <c r="AB168" s="10" t="s">
        <v>67</v>
      </c>
      <c r="AC168" s="8" t="s">
        <v>54</v>
      </c>
      <c r="AD168" s="8" t="s">
        <v>54</v>
      </c>
      <c r="AE168" s="8" t="s">
        <v>54</v>
      </c>
      <c r="AF168" s="8" t="s">
        <v>54</v>
      </c>
      <c r="AG168" s="8" t="s">
        <v>54</v>
      </c>
      <c r="AH168" s="8" t="s">
        <v>54</v>
      </c>
      <c r="AI168" s="10" t="s">
        <v>67</v>
      </c>
      <c r="AJ168" s="8">
        <f>COUNTIF($E$168:$AI$168,"P")</f>
        <v>26</v>
      </c>
      <c r="AK168" s="8">
        <f>COUNTIF($E$168:$AI$168,"A")</f>
        <v>0</v>
      </c>
      <c r="AL168" s="8">
        <f>SUM($E$169:$AI$169)</f>
        <v>32</v>
      </c>
      <c r="AM168" s="8">
        <f>SUM($E$170:$AI$170)</f>
        <v>100</v>
      </c>
      <c r="AN168" s="8">
        <f>AL168+AM168</f>
        <v>132</v>
      </c>
      <c r="AO168" s="8">
        <f>COUNTIF($E$168:$AI$168,"CL")</f>
        <v>0</v>
      </c>
      <c r="AP168" s="8">
        <f>COUNTIF($E$168:$AI$168,"SL")</f>
        <v>0</v>
      </c>
      <c r="AQ168" s="8">
        <f>COUNTIF($E$168:$AI$168,"EL")</f>
        <v>0</v>
      </c>
      <c r="AR168" s="8">
        <f>COUNTIF($E$168:$AI$168,"H")</f>
        <v>0</v>
      </c>
      <c r="AS168" s="8"/>
      <c r="AT168" s="11" t="s">
        <v>10</v>
      </c>
    </row>
    <row r="169" spans="1:46" ht="15.1" customHeight="1">
      <c r="A169" s="8"/>
      <c r="B169" s="9"/>
      <c r="C169" s="8"/>
      <c r="D169" s="9"/>
      <c r="E169" s="8">
        <v>2</v>
      </c>
      <c r="F169" s="8">
        <v>2</v>
      </c>
      <c r="G169" s="8">
        <v>0</v>
      </c>
      <c r="H169" s="8">
        <v>2</v>
      </c>
      <c r="I169" s="8">
        <v>2</v>
      </c>
      <c r="J169" s="8">
        <v>2</v>
      </c>
      <c r="K169" s="8">
        <v>2</v>
      </c>
      <c r="L169" s="8">
        <v>2</v>
      </c>
      <c r="M169" s="8">
        <v>2</v>
      </c>
      <c r="N169" s="8">
        <v>0</v>
      </c>
      <c r="O169" s="8">
        <v>0</v>
      </c>
      <c r="P169" s="8">
        <v>2</v>
      </c>
      <c r="Q169" s="8">
        <v>2</v>
      </c>
      <c r="R169" s="8">
        <v>2</v>
      </c>
      <c r="S169" s="8">
        <v>2</v>
      </c>
      <c r="T169" s="8">
        <v>2</v>
      </c>
      <c r="U169" s="8">
        <v>0</v>
      </c>
      <c r="V169" s="8">
        <v>2</v>
      </c>
      <c r="W169" s="8">
        <v>2</v>
      </c>
      <c r="X169" s="8">
        <v>2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11" t="s">
        <v>10</v>
      </c>
    </row>
    <row r="170" spans="1:46" ht="15.1" customHeight="1">
      <c r="A170" s="8"/>
      <c r="B170" s="9"/>
      <c r="C170" s="8"/>
      <c r="D170" s="9"/>
      <c r="E170" s="8">
        <v>3</v>
      </c>
      <c r="F170" s="8">
        <v>3</v>
      </c>
      <c r="G170" s="8">
        <v>13</v>
      </c>
      <c r="H170" s="8">
        <v>3</v>
      </c>
      <c r="I170" s="8">
        <v>7</v>
      </c>
      <c r="J170" s="8">
        <v>3</v>
      </c>
      <c r="K170" s="8">
        <v>3</v>
      </c>
      <c r="L170" s="8">
        <v>3</v>
      </c>
      <c r="M170" s="8">
        <v>3</v>
      </c>
      <c r="N170" s="8">
        <v>15</v>
      </c>
      <c r="O170" s="8">
        <v>0</v>
      </c>
      <c r="P170" s="8">
        <v>5</v>
      </c>
      <c r="Q170" s="8">
        <v>3</v>
      </c>
      <c r="R170" s="8">
        <v>5</v>
      </c>
      <c r="S170" s="8">
        <v>3</v>
      </c>
      <c r="T170" s="8">
        <v>5</v>
      </c>
      <c r="U170" s="8">
        <v>8</v>
      </c>
      <c r="V170" s="8">
        <v>5</v>
      </c>
      <c r="W170" s="8">
        <v>5</v>
      </c>
      <c r="X170" s="8">
        <v>5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11" t="s">
        <v>10</v>
      </c>
    </row>
    <row r="171" spans="1:46" ht="15.1" customHeight="1">
      <c r="A171" s="8">
        <v>56</v>
      </c>
      <c r="B171" s="9" t="s">
        <v>374</v>
      </c>
      <c r="C171" s="8" t="s">
        <v>375</v>
      </c>
      <c r="D171" s="9" t="s">
        <v>266</v>
      </c>
      <c r="E171" s="8" t="s">
        <v>54</v>
      </c>
      <c r="F171" s="8" t="s">
        <v>54</v>
      </c>
      <c r="G171" s="10" t="s">
        <v>67</v>
      </c>
      <c r="H171" s="8" t="s">
        <v>54</v>
      </c>
      <c r="I171" s="8" t="s">
        <v>54</v>
      </c>
      <c r="J171" s="8" t="s">
        <v>54</v>
      </c>
      <c r="K171" s="8" t="s">
        <v>54</v>
      </c>
      <c r="L171" s="8" t="s">
        <v>54</v>
      </c>
      <c r="M171" s="8" t="s">
        <v>54</v>
      </c>
      <c r="N171" s="10" t="s">
        <v>67</v>
      </c>
      <c r="O171" s="8" t="s">
        <v>54</v>
      </c>
      <c r="P171" s="8" t="s">
        <v>54</v>
      </c>
      <c r="Q171" s="8" t="s">
        <v>54</v>
      </c>
      <c r="R171" s="8" t="s">
        <v>54</v>
      </c>
      <c r="S171" s="8" t="s">
        <v>54</v>
      </c>
      <c r="T171" s="8" t="s">
        <v>54</v>
      </c>
      <c r="U171" s="10" t="s">
        <v>67</v>
      </c>
      <c r="V171" s="8" t="s">
        <v>54</v>
      </c>
      <c r="W171" s="8" t="s">
        <v>54</v>
      </c>
      <c r="X171" s="8" t="s">
        <v>54</v>
      </c>
      <c r="Y171" s="8" t="s">
        <v>54</v>
      </c>
      <c r="Z171" s="8" t="s">
        <v>54</v>
      </c>
      <c r="AA171" s="8" t="s">
        <v>54</v>
      </c>
      <c r="AB171" s="10" t="s">
        <v>67</v>
      </c>
      <c r="AC171" s="8" t="s">
        <v>54</v>
      </c>
      <c r="AD171" s="8" t="s">
        <v>54</v>
      </c>
      <c r="AE171" s="8" t="s">
        <v>54</v>
      </c>
      <c r="AF171" s="8" t="s">
        <v>54</v>
      </c>
      <c r="AG171" s="8" t="s">
        <v>54</v>
      </c>
      <c r="AH171" s="8" t="s">
        <v>54</v>
      </c>
      <c r="AI171" s="10" t="s">
        <v>67</v>
      </c>
      <c r="AJ171" s="8">
        <f>COUNTIF($E$171:$AI$171,"P")</f>
        <v>26</v>
      </c>
      <c r="AK171" s="8">
        <f>COUNTIF($E$171:$AI$171,"A")</f>
        <v>0</v>
      </c>
      <c r="AL171" s="8">
        <f>SUM($E$172:$AI$172)</f>
        <v>34</v>
      </c>
      <c r="AM171" s="8">
        <f>SUM($E$173:$AI$173)</f>
        <v>90</v>
      </c>
      <c r="AN171" s="8">
        <f>AL171+AM171</f>
        <v>124</v>
      </c>
      <c r="AO171" s="8">
        <f>COUNTIF($E$171:$AI$171,"CL")</f>
        <v>0</v>
      </c>
      <c r="AP171" s="8">
        <f>COUNTIF($E$171:$AI$171,"SL")</f>
        <v>0</v>
      </c>
      <c r="AQ171" s="8">
        <f>COUNTIF($E$171:$AI$171,"EL")</f>
        <v>0</v>
      </c>
      <c r="AR171" s="8">
        <f>COUNTIF($E$171:$AI$171,"H")</f>
        <v>0</v>
      </c>
      <c r="AS171" s="8"/>
      <c r="AT171" s="11" t="s">
        <v>10</v>
      </c>
    </row>
    <row r="172" spans="1:46" ht="15.1" customHeight="1">
      <c r="A172" s="8"/>
      <c r="B172" s="9"/>
      <c r="C172" s="8"/>
      <c r="D172" s="9"/>
      <c r="E172" s="8">
        <v>2</v>
      </c>
      <c r="F172" s="8">
        <v>2</v>
      </c>
      <c r="G172" s="8">
        <v>0</v>
      </c>
      <c r="H172" s="8">
        <v>2</v>
      </c>
      <c r="I172" s="8">
        <v>2</v>
      </c>
      <c r="J172" s="8">
        <v>2</v>
      </c>
      <c r="K172" s="8">
        <v>2</v>
      </c>
      <c r="L172" s="8">
        <v>2</v>
      </c>
      <c r="M172" s="8">
        <v>2</v>
      </c>
      <c r="N172" s="8">
        <v>0</v>
      </c>
      <c r="O172" s="8">
        <v>2</v>
      </c>
      <c r="P172" s="8">
        <v>2</v>
      </c>
      <c r="Q172" s="8">
        <v>2</v>
      </c>
      <c r="R172" s="8">
        <v>2</v>
      </c>
      <c r="S172" s="8">
        <v>2</v>
      </c>
      <c r="T172" s="8">
        <v>2</v>
      </c>
      <c r="U172" s="8">
        <v>0</v>
      </c>
      <c r="V172" s="8">
        <v>2</v>
      </c>
      <c r="W172" s="8">
        <v>2</v>
      </c>
      <c r="X172" s="8">
        <v>2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11" t="s">
        <v>10</v>
      </c>
    </row>
    <row r="173" spans="1:46" ht="15.1" customHeight="1">
      <c r="A173" s="8"/>
      <c r="B173" s="9"/>
      <c r="C173" s="8"/>
      <c r="D173" s="9"/>
      <c r="E173" s="8">
        <v>3</v>
      </c>
      <c r="F173" s="8">
        <v>3</v>
      </c>
      <c r="G173" s="8">
        <v>0</v>
      </c>
      <c r="H173" s="8">
        <v>3</v>
      </c>
      <c r="I173" s="8">
        <v>6</v>
      </c>
      <c r="J173" s="8">
        <v>3</v>
      </c>
      <c r="K173" s="8">
        <v>5</v>
      </c>
      <c r="L173" s="8">
        <v>3</v>
      </c>
      <c r="M173" s="8">
        <v>4</v>
      </c>
      <c r="N173" s="8">
        <v>8</v>
      </c>
      <c r="O173" s="8">
        <v>7</v>
      </c>
      <c r="P173" s="8">
        <v>7</v>
      </c>
      <c r="Q173" s="8">
        <v>5</v>
      </c>
      <c r="R173" s="8">
        <v>5</v>
      </c>
      <c r="S173" s="8">
        <v>5</v>
      </c>
      <c r="T173" s="8">
        <v>5</v>
      </c>
      <c r="U173" s="8">
        <v>8</v>
      </c>
      <c r="V173" s="8">
        <v>5</v>
      </c>
      <c r="W173" s="8">
        <v>5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11" t="s">
        <v>10</v>
      </c>
    </row>
    <row r="174" spans="1:46" ht="15.1" customHeight="1">
      <c r="A174" s="8">
        <v>57</v>
      </c>
      <c r="B174" s="9" t="s">
        <v>376</v>
      </c>
      <c r="C174" s="8" t="s">
        <v>377</v>
      </c>
      <c r="D174" s="9" t="s">
        <v>266</v>
      </c>
      <c r="E174" s="8" t="s">
        <v>54</v>
      </c>
      <c r="F174" s="8" t="s">
        <v>54</v>
      </c>
      <c r="G174" s="10" t="s">
        <v>67</v>
      </c>
      <c r="H174" s="8" t="s">
        <v>54</v>
      </c>
      <c r="I174" s="8" t="s">
        <v>54</v>
      </c>
      <c r="J174" s="8" t="s">
        <v>54</v>
      </c>
      <c r="K174" s="8" t="s">
        <v>54</v>
      </c>
      <c r="L174" s="8" t="s">
        <v>54</v>
      </c>
      <c r="M174" s="8" t="s">
        <v>54</v>
      </c>
      <c r="N174" s="10" t="s">
        <v>67</v>
      </c>
      <c r="O174" s="8" t="s">
        <v>54</v>
      </c>
      <c r="P174" s="8" t="s">
        <v>54</v>
      </c>
      <c r="Q174" s="8" t="s">
        <v>54</v>
      </c>
      <c r="R174" s="8" t="s">
        <v>54</v>
      </c>
      <c r="S174" s="8" t="s">
        <v>54</v>
      </c>
      <c r="T174" s="8" t="s">
        <v>54</v>
      </c>
      <c r="U174" s="10" t="s">
        <v>67</v>
      </c>
      <c r="V174" s="8" t="s">
        <v>54</v>
      </c>
      <c r="W174" s="8" t="s">
        <v>54</v>
      </c>
      <c r="X174" s="8" t="s">
        <v>54</v>
      </c>
      <c r="Y174" s="8" t="s">
        <v>54</v>
      </c>
      <c r="Z174" s="8" t="s">
        <v>54</v>
      </c>
      <c r="AA174" s="8" t="s">
        <v>54</v>
      </c>
      <c r="AB174" s="10" t="s">
        <v>67</v>
      </c>
      <c r="AC174" s="8" t="s">
        <v>54</v>
      </c>
      <c r="AD174" s="8" t="s">
        <v>54</v>
      </c>
      <c r="AE174" s="8" t="s">
        <v>54</v>
      </c>
      <c r="AF174" s="8" t="s">
        <v>54</v>
      </c>
      <c r="AG174" s="8" t="s">
        <v>54</v>
      </c>
      <c r="AH174" s="8" t="s">
        <v>54</v>
      </c>
      <c r="AI174" s="10" t="s">
        <v>67</v>
      </c>
      <c r="AJ174" s="8">
        <f>COUNTIF($E$174:$AI$174,"P")</f>
        <v>26</v>
      </c>
      <c r="AK174" s="8">
        <f>COUNTIF($E$174:$AI$174,"A")</f>
        <v>0</v>
      </c>
      <c r="AL174" s="8">
        <f>SUM($E$175:$AI$175)</f>
        <v>34</v>
      </c>
      <c r="AM174" s="8">
        <f>SUM($E$176:$AI$176)</f>
        <v>120</v>
      </c>
      <c r="AN174" s="8">
        <f>AL174+AM174</f>
        <v>154</v>
      </c>
      <c r="AO174" s="8">
        <f>COUNTIF($E$174:$AI$174,"CL")</f>
        <v>0</v>
      </c>
      <c r="AP174" s="8">
        <f>COUNTIF($E$174:$AI$174,"SL")</f>
        <v>0</v>
      </c>
      <c r="AQ174" s="8">
        <f>COUNTIF($E$174:$AI$174,"EL")</f>
        <v>0</v>
      </c>
      <c r="AR174" s="8">
        <f>COUNTIF($E$174:$AI$174,"H")</f>
        <v>0</v>
      </c>
      <c r="AS174" s="8"/>
      <c r="AT174" s="11" t="s">
        <v>10</v>
      </c>
    </row>
    <row r="175" spans="1:46" ht="15.1" customHeight="1">
      <c r="A175" s="8"/>
      <c r="B175" s="9"/>
      <c r="C175" s="8"/>
      <c r="D175" s="9"/>
      <c r="E175" s="8">
        <v>2</v>
      </c>
      <c r="F175" s="8">
        <v>2</v>
      </c>
      <c r="G175" s="8">
        <v>0</v>
      </c>
      <c r="H175" s="8">
        <v>2</v>
      </c>
      <c r="I175" s="8">
        <v>2</v>
      </c>
      <c r="J175" s="8">
        <v>2</v>
      </c>
      <c r="K175" s="8">
        <v>2</v>
      </c>
      <c r="L175" s="8">
        <v>2</v>
      </c>
      <c r="M175" s="8">
        <v>2</v>
      </c>
      <c r="N175" s="8">
        <v>0</v>
      </c>
      <c r="O175" s="8">
        <v>2</v>
      </c>
      <c r="P175" s="8">
        <v>2</v>
      </c>
      <c r="Q175" s="8">
        <v>2</v>
      </c>
      <c r="R175" s="8">
        <v>2</v>
      </c>
      <c r="S175" s="8">
        <v>2</v>
      </c>
      <c r="T175" s="8">
        <v>2</v>
      </c>
      <c r="U175" s="8">
        <v>0</v>
      </c>
      <c r="V175" s="8">
        <v>2</v>
      </c>
      <c r="W175" s="8">
        <v>2</v>
      </c>
      <c r="X175" s="8">
        <v>2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11" t="s">
        <v>10</v>
      </c>
    </row>
    <row r="176" spans="1:46" ht="15.1" customHeight="1">
      <c r="A176" s="8"/>
      <c r="B176" s="9"/>
      <c r="C176" s="8"/>
      <c r="D176" s="9"/>
      <c r="E176" s="8">
        <v>7</v>
      </c>
      <c r="F176" s="8">
        <v>3</v>
      </c>
      <c r="G176" s="8">
        <v>13</v>
      </c>
      <c r="H176" s="8">
        <v>3</v>
      </c>
      <c r="I176" s="8">
        <v>7</v>
      </c>
      <c r="J176" s="8">
        <v>5</v>
      </c>
      <c r="K176" s="8">
        <v>3</v>
      </c>
      <c r="L176" s="8">
        <v>3</v>
      </c>
      <c r="M176" s="8">
        <v>4</v>
      </c>
      <c r="N176" s="8">
        <v>13</v>
      </c>
      <c r="O176" s="8">
        <v>6</v>
      </c>
      <c r="P176" s="8">
        <v>7</v>
      </c>
      <c r="Q176" s="8">
        <v>6</v>
      </c>
      <c r="R176" s="8">
        <v>5</v>
      </c>
      <c r="S176" s="8">
        <v>7</v>
      </c>
      <c r="T176" s="8">
        <v>5</v>
      </c>
      <c r="U176" s="8">
        <v>8</v>
      </c>
      <c r="V176" s="8">
        <v>5</v>
      </c>
      <c r="W176" s="8">
        <v>5</v>
      </c>
      <c r="X176" s="8">
        <v>5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11" t="s">
        <v>10</v>
      </c>
    </row>
    <row r="177" spans="1:46" ht="15.1" customHeight="1">
      <c r="A177" s="8">
        <v>58</v>
      </c>
      <c r="B177" s="9" t="s">
        <v>378</v>
      </c>
      <c r="C177" s="8" t="s">
        <v>379</v>
      </c>
      <c r="D177" s="9" t="s">
        <v>266</v>
      </c>
      <c r="E177" s="8" t="s">
        <v>54</v>
      </c>
      <c r="F177" s="8" t="s">
        <v>54</v>
      </c>
      <c r="G177" s="10" t="s">
        <v>67</v>
      </c>
      <c r="H177" s="8" t="s">
        <v>54</v>
      </c>
      <c r="I177" s="8" t="s">
        <v>54</v>
      </c>
      <c r="J177" s="8" t="s">
        <v>54</v>
      </c>
      <c r="K177" s="8" t="s">
        <v>54</v>
      </c>
      <c r="L177" s="8" t="s">
        <v>54</v>
      </c>
      <c r="M177" s="8" t="s">
        <v>54</v>
      </c>
      <c r="N177" s="10" t="s">
        <v>67</v>
      </c>
      <c r="O177" s="8" t="s">
        <v>54</v>
      </c>
      <c r="P177" s="8" t="s">
        <v>54</v>
      </c>
      <c r="Q177" s="8" t="s">
        <v>54</v>
      </c>
      <c r="R177" s="8" t="s">
        <v>54</v>
      </c>
      <c r="S177" s="8" t="s">
        <v>54</v>
      </c>
      <c r="T177" s="8" t="s">
        <v>54</v>
      </c>
      <c r="U177" s="10" t="s">
        <v>67</v>
      </c>
      <c r="V177" s="8" t="s">
        <v>54</v>
      </c>
      <c r="W177" s="8" t="s">
        <v>54</v>
      </c>
      <c r="X177" s="8" t="s">
        <v>54</v>
      </c>
      <c r="Y177" s="8" t="s">
        <v>54</v>
      </c>
      <c r="Z177" s="8" t="s">
        <v>54</v>
      </c>
      <c r="AA177" s="8" t="s">
        <v>54</v>
      </c>
      <c r="AB177" s="10" t="s">
        <v>67</v>
      </c>
      <c r="AC177" s="8" t="s">
        <v>54</v>
      </c>
      <c r="AD177" s="8" t="s">
        <v>54</v>
      </c>
      <c r="AE177" s="8" t="s">
        <v>54</v>
      </c>
      <c r="AF177" s="8" t="s">
        <v>54</v>
      </c>
      <c r="AG177" s="8" t="s">
        <v>54</v>
      </c>
      <c r="AH177" s="8" t="s">
        <v>54</v>
      </c>
      <c r="AI177" s="10" t="s">
        <v>67</v>
      </c>
      <c r="AJ177" s="8">
        <f>COUNTIF($E$177:$AI$177,"P")</f>
        <v>26</v>
      </c>
      <c r="AK177" s="8">
        <f>COUNTIF($E$177:$AI$177,"A")</f>
        <v>0</v>
      </c>
      <c r="AL177" s="8">
        <f>SUM($E$178:$AI$178)</f>
        <v>34</v>
      </c>
      <c r="AM177" s="8">
        <f>SUM($E$179:$AI$179)</f>
        <v>135.5</v>
      </c>
      <c r="AN177" s="8">
        <f>AL177+AM177</f>
        <v>169.5</v>
      </c>
      <c r="AO177" s="8">
        <f>COUNTIF($E$177:$AI$177,"CL")</f>
        <v>0</v>
      </c>
      <c r="AP177" s="8">
        <f>COUNTIF($E$177:$AI$177,"SL")</f>
        <v>0</v>
      </c>
      <c r="AQ177" s="8">
        <f>COUNTIF($E$177:$AI$177,"EL")</f>
        <v>0</v>
      </c>
      <c r="AR177" s="8">
        <f>COUNTIF($E$177:$AI$177,"H")</f>
        <v>0</v>
      </c>
      <c r="AS177" s="8"/>
      <c r="AT177" s="11" t="s">
        <v>10</v>
      </c>
    </row>
    <row r="178" spans="1:46" ht="15.1" customHeight="1">
      <c r="A178" s="8"/>
      <c r="B178" s="9"/>
      <c r="C178" s="8"/>
      <c r="D178" s="9"/>
      <c r="E178" s="8">
        <v>2</v>
      </c>
      <c r="F178" s="8">
        <v>2</v>
      </c>
      <c r="G178" s="8">
        <v>0</v>
      </c>
      <c r="H178" s="8">
        <v>2</v>
      </c>
      <c r="I178" s="8">
        <v>2</v>
      </c>
      <c r="J178" s="8">
        <v>2</v>
      </c>
      <c r="K178" s="8">
        <v>2</v>
      </c>
      <c r="L178" s="8">
        <v>2</v>
      </c>
      <c r="M178" s="8">
        <v>2</v>
      </c>
      <c r="N178" s="8">
        <v>0</v>
      </c>
      <c r="O178" s="8">
        <v>2</v>
      </c>
      <c r="P178" s="8">
        <v>2</v>
      </c>
      <c r="Q178" s="8">
        <v>2</v>
      </c>
      <c r="R178" s="8">
        <v>2</v>
      </c>
      <c r="S178" s="8">
        <v>2</v>
      </c>
      <c r="T178" s="8">
        <v>2</v>
      </c>
      <c r="U178" s="8">
        <v>0</v>
      </c>
      <c r="V178" s="8">
        <v>2</v>
      </c>
      <c r="W178" s="8">
        <v>2</v>
      </c>
      <c r="X178" s="8">
        <v>2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11" t="s">
        <v>10</v>
      </c>
    </row>
    <row r="179" spans="1:46" ht="15.1" customHeight="1">
      <c r="A179" s="8"/>
      <c r="B179" s="9"/>
      <c r="C179" s="8"/>
      <c r="D179" s="9"/>
      <c r="E179" s="8">
        <v>7</v>
      </c>
      <c r="F179" s="8">
        <v>3</v>
      </c>
      <c r="G179" s="8">
        <v>13</v>
      </c>
      <c r="H179" s="8">
        <v>5</v>
      </c>
      <c r="I179" s="8">
        <v>7</v>
      </c>
      <c r="J179" s="8">
        <v>7</v>
      </c>
      <c r="K179" s="8">
        <v>7</v>
      </c>
      <c r="L179" s="8">
        <v>7</v>
      </c>
      <c r="M179" s="8">
        <v>5</v>
      </c>
      <c r="N179" s="8">
        <v>16.5</v>
      </c>
      <c r="O179" s="8">
        <v>7</v>
      </c>
      <c r="P179" s="8">
        <v>3</v>
      </c>
      <c r="Q179" s="8">
        <v>4</v>
      </c>
      <c r="R179" s="8">
        <v>7</v>
      </c>
      <c r="S179" s="8">
        <v>7</v>
      </c>
      <c r="T179" s="8">
        <v>5</v>
      </c>
      <c r="U179" s="8">
        <v>8</v>
      </c>
      <c r="V179" s="8">
        <v>5</v>
      </c>
      <c r="W179" s="8">
        <v>7</v>
      </c>
      <c r="X179" s="8">
        <v>5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11" t="s">
        <v>10</v>
      </c>
    </row>
    <row r="180" spans="1:46" ht="15.1" customHeight="1">
      <c r="A180" s="8">
        <v>59</v>
      </c>
      <c r="B180" s="9" t="s">
        <v>380</v>
      </c>
      <c r="C180" s="8" t="s">
        <v>381</v>
      </c>
      <c r="D180" s="9" t="s">
        <v>266</v>
      </c>
      <c r="E180" s="8" t="s">
        <v>54</v>
      </c>
      <c r="F180" s="8" t="s">
        <v>54</v>
      </c>
      <c r="G180" s="10" t="s">
        <v>67</v>
      </c>
      <c r="H180" s="8" t="s">
        <v>54</v>
      </c>
      <c r="I180" s="8" t="s">
        <v>54</v>
      </c>
      <c r="J180" s="8" t="s">
        <v>54</v>
      </c>
      <c r="K180" s="8" t="s">
        <v>54</v>
      </c>
      <c r="L180" s="8" t="s">
        <v>54</v>
      </c>
      <c r="M180" s="8" t="s">
        <v>54</v>
      </c>
      <c r="N180" s="10" t="s">
        <v>67</v>
      </c>
      <c r="O180" s="8" t="s">
        <v>54</v>
      </c>
      <c r="P180" s="8" t="s">
        <v>54</v>
      </c>
      <c r="Q180" s="8" t="s">
        <v>54</v>
      </c>
      <c r="R180" s="8" t="s">
        <v>54</v>
      </c>
      <c r="S180" s="8" t="s">
        <v>54</v>
      </c>
      <c r="T180" s="8" t="s">
        <v>54</v>
      </c>
      <c r="U180" s="10" t="s">
        <v>67</v>
      </c>
      <c r="V180" s="8" t="s">
        <v>54</v>
      </c>
      <c r="W180" s="8" t="s">
        <v>54</v>
      </c>
      <c r="X180" s="8" t="s">
        <v>54</v>
      </c>
      <c r="Y180" s="8" t="s">
        <v>54</v>
      </c>
      <c r="Z180" s="8" t="s">
        <v>54</v>
      </c>
      <c r="AA180" s="8" t="s">
        <v>54</v>
      </c>
      <c r="AB180" s="10" t="s">
        <v>67</v>
      </c>
      <c r="AC180" s="8" t="s">
        <v>54</v>
      </c>
      <c r="AD180" s="8" t="s">
        <v>54</v>
      </c>
      <c r="AE180" s="8" t="s">
        <v>54</v>
      </c>
      <c r="AF180" s="8" t="s">
        <v>54</v>
      </c>
      <c r="AG180" s="8" t="s">
        <v>54</v>
      </c>
      <c r="AH180" s="8" t="s">
        <v>54</v>
      </c>
      <c r="AI180" s="10" t="s">
        <v>67</v>
      </c>
      <c r="AJ180" s="8">
        <f>COUNTIF($E$180:$AI$180,"P")</f>
        <v>26</v>
      </c>
      <c r="AK180" s="8">
        <f>COUNTIF($E$180:$AI$180,"A")</f>
        <v>0</v>
      </c>
      <c r="AL180" s="8">
        <f>SUM($E$181:$AI$181)</f>
        <v>33</v>
      </c>
      <c r="AM180" s="8">
        <f>SUM($E$182:$AI$182)</f>
        <v>62</v>
      </c>
      <c r="AN180" s="8">
        <f>AL180+AM180</f>
        <v>94.5</v>
      </c>
      <c r="AO180" s="8">
        <f>COUNTIF($E$180:$AI$180,"CL")</f>
        <v>0</v>
      </c>
      <c r="AP180" s="8">
        <f>COUNTIF($E$180:$AI$180,"SL")</f>
        <v>0</v>
      </c>
      <c r="AQ180" s="8">
        <f>COUNTIF($E$180:$AI$180,"EL")</f>
        <v>0</v>
      </c>
      <c r="AR180" s="8">
        <f>COUNTIF($E$180:$AI$180,"H")</f>
        <v>0</v>
      </c>
      <c r="AS180" s="8"/>
      <c r="AT180" s="11" t="s">
        <v>10</v>
      </c>
    </row>
    <row r="181" spans="1:46" ht="15.1" customHeight="1">
      <c r="A181" s="8"/>
      <c r="B181" s="9"/>
      <c r="C181" s="8"/>
      <c r="D181" s="9"/>
      <c r="E181" s="8">
        <v>2</v>
      </c>
      <c r="F181" s="8">
        <v>2</v>
      </c>
      <c r="G181" s="8">
        <v>0</v>
      </c>
      <c r="H181" s="8">
        <v>2</v>
      </c>
      <c r="I181" s="8">
        <v>2</v>
      </c>
      <c r="J181" s="8">
        <v>2</v>
      </c>
      <c r="K181" s="8">
        <v>2</v>
      </c>
      <c r="L181" s="8">
        <v>2</v>
      </c>
      <c r="M181" s="8">
        <v>2</v>
      </c>
      <c r="N181" s="8">
        <v>0</v>
      </c>
      <c r="O181" s="8">
        <v>2</v>
      </c>
      <c r="P181" s="8">
        <v>2</v>
      </c>
      <c r="Q181" s="8">
        <v>2</v>
      </c>
      <c r="R181" s="8">
        <v>2</v>
      </c>
      <c r="S181" s="8">
        <v>2</v>
      </c>
      <c r="T181" s="8">
        <v>2</v>
      </c>
      <c r="U181" s="8">
        <v>0</v>
      </c>
      <c r="V181" s="8">
        <v>2</v>
      </c>
      <c r="W181" s="8">
        <v>2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1</v>
      </c>
      <c r="AI181" s="8">
        <v>0</v>
      </c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11" t="s">
        <v>10</v>
      </c>
    </row>
    <row r="182" spans="1:46" ht="15.1" customHeight="1">
      <c r="A182" s="8"/>
      <c r="B182" s="9"/>
      <c r="C182" s="8"/>
      <c r="D182" s="9"/>
      <c r="E182" s="8">
        <v>0</v>
      </c>
      <c r="F182" s="8">
        <v>2</v>
      </c>
      <c r="G182" s="8">
        <v>0</v>
      </c>
      <c r="H182" s="8">
        <v>3</v>
      </c>
      <c r="I182" s="8">
        <v>3</v>
      </c>
      <c r="J182" s="8">
        <v>3</v>
      </c>
      <c r="K182" s="8">
        <v>3</v>
      </c>
      <c r="L182" s="8">
        <v>3</v>
      </c>
      <c r="M182" s="8">
        <v>3</v>
      </c>
      <c r="N182" s="8">
        <v>13</v>
      </c>
      <c r="O182" s="8">
        <v>3</v>
      </c>
      <c r="P182" s="8">
        <v>3</v>
      </c>
      <c r="Q182" s="8">
        <v>3</v>
      </c>
      <c r="R182" s="8">
        <v>3</v>
      </c>
      <c r="S182" s="8">
        <v>3</v>
      </c>
      <c r="T182" s="8">
        <v>3</v>
      </c>
      <c r="U182" s="8">
        <v>8</v>
      </c>
      <c r="V182" s="8">
        <v>3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11" t="s">
        <v>10</v>
      </c>
    </row>
    <row r="183" spans="1:46" ht="15.1" customHeight="1">
      <c r="A183" s="8">
        <v>60</v>
      </c>
      <c r="B183" s="9" t="s">
        <v>382</v>
      </c>
      <c r="C183" s="8" t="s">
        <v>383</v>
      </c>
      <c r="D183" s="9" t="s">
        <v>266</v>
      </c>
      <c r="E183" s="8" t="s">
        <v>54</v>
      </c>
      <c r="F183" s="8" t="s">
        <v>54</v>
      </c>
      <c r="G183" s="10" t="s">
        <v>67</v>
      </c>
      <c r="H183" s="8" t="s">
        <v>54</v>
      </c>
      <c r="I183" s="8" t="s">
        <v>54</v>
      </c>
      <c r="J183" s="8" t="s">
        <v>54</v>
      </c>
      <c r="K183" s="8" t="s">
        <v>54</v>
      </c>
      <c r="L183" s="8" t="s">
        <v>54</v>
      </c>
      <c r="M183" s="8" t="s">
        <v>54</v>
      </c>
      <c r="N183" s="10" t="s">
        <v>67</v>
      </c>
      <c r="O183" s="8" t="s">
        <v>54</v>
      </c>
      <c r="P183" s="8" t="s">
        <v>54</v>
      </c>
      <c r="Q183" s="8" t="s">
        <v>54</v>
      </c>
      <c r="R183" s="8" t="s">
        <v>54</v>
      </c>
      <c r="S183" s="8" t="s">
        <v>54</v>
      </c>
      <c r="T183" s="8" t="s">
        <v>54</v>
      </c>
      <c r="U183" s="10" t="s">
        <v>67</v>
      </c>
      <c r="V183" s="8" t="s">
        <v>54</v>
      </c>
      <c r="W183" s="8" t="s">
        <v>54</v>
      </c>
      <c r="X183" s="8" t="s">
        <v>54</v>
      </c>
      <c r="Y183" s="8" t="s">
        <v>54</v>
      </c>
      <c r="Z183" s="8" t="s">
        <v>54</v>
      </c>
      <c r="AA183" s="8" t="s">
        <v>54</v>
      </c>
      <c r="AB183" s="10" t="s">
        <v>67</v>
      </c>
      <c r="AC183" s="8" t="s">
        <v>54</v>
      </c>
      <c r="AD183" s="8" t="s">
        <v>54</v>
      </c>
      <c r="AE183" s="8" t="s">
        <v>54</v>
      </c>
      <c r="AF183" s="8" t="s">
        <v>54</v>
      </c>
      <c r="AG183" s="8" t="s">
        <v>54</v>
      </c>
      <c r="AH183" s="8" t="s">
        <v>54</v>
      </c>
      <c r="AI183" s="10" t="s">
        <v>67</v>
      </c>
      <c r="AJ183" s="8">
        <f>COUNTIF($E$183:$AI$183,"P")</f>
        <v>26</v>
      </c>
      <c r="AK183" s="8">
        <f>COUNTIF($E$183:$AI$183,"A")</f>
        <v>0</v>
      </c>
      <c r="AL183" s="8">
        <f>SUM($E$184:$AI$184)</f>
        <v>32</v>
      </c>
      <c r="AM183" s="8">
        <f>SUM($E$185:$AI$185)</f>
        <v>130</v>
      </c>
      <c r="AN183" s="8">
        <f>AL183+AM183</f>
        <v>162</v>
      </c>
      <c r="AO183" s="8">
        <f>COUNTIF($E$183:$AI$183,"CL")</f>
        <v>0</v>
      </c>
      <c r="AP183" s="8">
        <f>COUNTIF($E$183:$AI$183,"SL")</f>
        <v>0</v>
      </c>
      <c r="AQ183" s="8">
        <f>COUNTIF($E$183:$AI$183,"EL")</f>
        <v>0</v>
      </c>
      <c r="AR183" s="8">
        <f>COUNTIF($E$183:$AI$183,"H")</f>
        <v>0</v>
      </c>
      <c r="AS183" s="8"/>
      <c r="AT183" s="11" t="s">
        <v>10</v>
      </c>
    </row>
    <row r="184" spans="1:46" ht="15.1" customHeight="1">
      <c r="A184" s="8"/>
      <c r="B184" s="9"/>
      <c r="C184" s="8"/>
      <c r="D184" s="9"/>
      <c r="E184" s="8">
        <v>2</v>
      </c>
      <c r="F184" s="8">
        <v>2</v>
      </c>
      <c r="G184" s="8">
        <v>0</v>
      </c>
      <c r="H184" s="8">
        <v>2</v>
      </c>
      <c r="I184" s="8">
        <v>2</v>
      </c>
      <c r="J184" s="8">
        <v>2</v>
      </c>
      <c r="K184" s="8">
        <v>2</v>
      </c>
      <c r="L184" s="8">
        <v>2</v>
      </c>
      <c r="M184" s="8">
        <v>2</v>
      </c>
      <c r="N184" s="8">
        <v>0</v>
      </c>
      <c r="O184" s="8">
        <v>2</v>
      </c>
      <c r="P184" s="8">
        <v>2</v>
      </c>
      <c r="Q184" s="8">
        <v>0</v>
      </c>
      <c r="R184" s="8">
        <v>2</v>
      </c>
      <c r="S184" s="8">
        <v>2</v>
      </c>
      <c r="T184" s="8">
        <v>2</v>
      </c>
      <c r="U184" s="8">
        <v>0</v>
      </c>
      <c r="V184" s="8">
        <v>2</v>
      </c>
      <c r="W184" s="8">
        <v>2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11" t="s">
        <v>10</v>
      </c>
    </row>
    <row r="185" spans="1:46" ht="15.1" customHeight="1">
      <c r="A185" s="8"/>
      <c r="B185" s="9"/>
      <c r="C185" s="8"/>
      <c r="D185" s="9"/>
      <c r="E185" s="8">
        <v>3</v>
      </c>
      <c r="F185" s="8">
        <v>3</v>
      </c>
      <c r="G185" s="8">
        <v>13</v>
      </c>
      <c r="H185" s="8">
        <v>3</v>
      </c>
      <c r="I185" s="8">
        <v>7</v>
      </c>
      <c r="J185" s="8">
        <v>7</v>
      </c>
      <c r="K185" s="8">
        <v>6.5</v>
      </c>
      <c r="L185" s="8">
        <v>7</v>
      </c>
      <c r="M185" s="8">
        <v>5</v>
      </c>
      <c r="N185" s="8">
        <v>17</v>
      </c>
      <c r="O185" s="8">
        <v>7</v>
      </c>
      <c r="P185" s="8">
        <v>7</v>
      </c>
      <c r="Q185" s="8">
        <v>0</v>
      </c>
      <c r="R185" s="8">
        <v>7</v>
      </c>
      <c r="S185" s="8">
        <v>7</v>
      </c>
      <c r="T185" s="8">
        <v>3</v>
      </c>
      <c r="U185" s="8">
        <v>12.5</v>
      </c>
      <c r="V185" s="8">
        <v>5</v>
      </c>
      <c r="W185" s="8">
        <v>5</v>
      </c>
      <c r="X185" s="8">
        <v>5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11" t="s">
        <v>10</v>
      </c>
    </row>
    <row r="186" spans="1:46" ht="15.1" customHeight="1">
      <c r="A186" s="8">
        <v>61</v>
      </c>
      <c r="B186" s="9" t="s">
        <v>384</v>
      </c>
      <c r="C186" s="8" t="s">
        <v>385</v>
      </c>
      <c r="D186" s="9" t="s">
        <v>266</v>
      </c>
      <c r="E186" s="8" t="s">
        <v>54</v>
      </c>
      <c r="F186" s="12" t="s">
        <v>55</v>
      </c>
      <c r="G186" s="10" t="s">
        <v>67</v>
      </c>
      <c r="H186" s="12" t="s">
        <v>55</v>
      </c>
      <c r="I186" s="8" t="s">
        <v>54</v>
      </c>
      <c r="J186" s="8" t="s">
        <v>54</v>
      </c>
      <c r="K186" s="8" t="s">
        <v>54</v>
      </c>
      <c r="L186" s="8" t="s">
        <v>54</v>
      </c>
      <c r="M186" s="8" t="s">
        <v>54</v>
      </c>
      <c r="N186" s="10" t="s">
        <v>67</v>
      </c>
      <c r="O186" s="8" t="s">
        <v>54</v>
      </c>
      <c r="P186" s="8" t="s">
        <v>54</v>
      </c>
      <c r="Q186" s="8" t="s">
        <v>54</v>
      </c>
      <c r="R186" s="8" t="s">
        <v>54</v>
      </c>
      <c r="S186" s="8" t="s">
        <v>54</v>
      </c>
      <c r="T186" s="8" t="s">
        <v>54</v>
      </c>
      <c r="U186" s="10" t="s">
        <v>67</v>
      </c>
      <c r="V186" s="8" t="s">
        <v>54</v>
      </c>
      <c r="W186" s="8" t="s">
        <v>54</v>
      </c>
      <c r="X186" s="8" t="s">
        <v>54</v>
      </c>
      <c r="Y186" s="8" t="s">
        <v>54</v>
      </c>
      <c r="Z186" s="8" t="s">
        <v>54</v>
      </c>
      <c r="AA186" s="12" t="s">
        <v>55</v>
      </c>
      <c r="AB186" s="10" t="s">
        <v>67</v>
      </c>
      <c r="AC186" s="8" t="s">
        <v>54</v>
      </c>
      <c r="AD186" s="8" t="s">
        <v>54</v>
      </c>
      <c r="AE186" s="8" t="s">
        <v>54</v>
      </c>
      <c r="AF186" s="8" t="s">
        <v>54</v>
      </c>
      <c r="AG186" s="8" t="s">
        <v>54</v>
      </c>
      <c r="AH186" s="8" t="s">
        <v>54</v>
      </c>
      <c r="AI186" s="10" t="s">
        <v>67</v>
      </c>
      <c r="AJ186" s="8">
        <f>COUNTIF($E$186:$AI$186,"P")</f>
        <v>23</v>
      </c>
      <c r="AK186" s="8">
        <f>COUNTIF($E$186:$AI$186,"A")</f>
        <v>3</v>
      </c>
      <c r="AL186" s="8">
        <f>SUM($E$187:$AI$187)</f>
        <v>32</v>
      </c>
      <c r="AM186" s="8">
        <f>SUM($E$188:$AI$188)</f>
        <v>72</v>
      </c>
      <c r="AN186" s="8">
        <f>AL186+AM186</f>
        <v>104</v>
      </c>
      <c r="AO186" s="8">
        <f>COUNTIF($E$186:$AI$186,"CL")</f>
        <v>0</v>
      </c>
      <c r="AP186" s="8">
        <f>COUNTIF($E$186:$AI$186,"SL")</f>
        <v>0</v>
      </c>
      <c r="AQ186" s="8">
        <f>COUNTIF($E$186:$AI$186,"EL")</f>
        <v>0</v>
      </c>
      <c r="AR186" s="8">
        <f>COUNTIF($E$186:$AI$186,"H")</f>
        <v>0</v>
      </c>
      <c r="AS186" s="8"/>
      <c r="AT186" s="11" t="s">
        <v>10</v>
      </c>
    </row>
    <row r="187" spans="1:46" ht="15.1" customHeight="1">
      <c r="A187" s="8"/>
      <c r="B187" s="9"/>
      <c r="C187" s="8"/>
      <c r="D187" s="9"/>
      <c r="E187" s="8">
        <v>2</v>
      </c>
      <c r="F187" s="8">
        <v>0</v>
      </c>
      <c r="G187" s="8">
        <v>0</v>
      </c>
      <c r="H187" s="8">
        <v>0</v>
      </c>
      <c r="I187" s="8">
        <v>2</v>
      </c>
      <c r="J187" s="8">
        <v>2</v>
      </c>
      <c r="K187" s="8">
        <v>2</v>
      </c>
      <c r="L187" s="8">
        <v>2</v>
      </c>
      <c r="M187" s="8">
        <v>2</v>
      </c>
      <c r="N187" s="8">
        <v>0</v>
      </c>
      <c r="O187" s="8">
        <v>2</v>
      </c>
      <c r="P187" s="8">
        <v>2</v>
      </c>
      <c r="Q187" s="8">
        <v>2</v>
      </c>
      <c r="R187" s="8">
        <v>2</v>
      </c>
      <c r="S187" s="8">
        <v>2</v>
      </c>
      <c r="T187" s="8">
        <v>2</v>
      </c>
      <c r="U187" s="8">
        <v>0</v>
      </c>
      <c r="V187" s="8">
        <v>2</v>
      </c>
      <c r="W187" s="8">
        <v>2</v>
      </c>
      <c r="X187" s="8">
        <v>2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2</v>
      </c>
      <c r="AF187" s="8">
        <v>0</v>
      </c>
      <c r="AG187" s="8">
        <v>0</v>
      </c>
      <c r="AH187" s="8">
        <v>0</v>
      </c>
      <c r="AI187" s="8">
        <v>0</v>
      </c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11" t="s">
        <v>10</v>
      </c>
    </row>
    <row r="188" spans="1:46" ht="15.1" customHeight="1">
      <c r="A188" s="8"/>
      <c r="B188" s="9"/>
      <c r="C188" s="8"/>
      <c r="D188" s="9"/>
      <c r="E188" s="8">
        <v>3</v>
      </c>
      <c r="F188" s="8">
        <v>0</v>
      </c>
      <c r="G188" s="8">
        <v>0</v>
      </c>
      <c r="H188" s="8">
        <v>0</v>
      </c>
      <c r="I188" s="8">
        <v>5</v>
      </c>
      <c r="J188" s="8">
        <v>3</v>
      </c>
      <c r="K188" s="8">
        <v>5</v>
      </c>
      <c r="L188" s="8">
        <v>3</v>
      </c>
      <c r="M188" s="8">
        <v>4</v>
      </c>
      <c r="N188" s="8">
        <v>13</v>
      </c>
      <c r="O188" s="8">
        <v>7</v>
      </c>
      <c r="P188" s="8">
        <v>5</v>
      </c>
      <c r="Q188" s="8">
        <v>3</v>
      </c>
      <c r="R188" s="8">
        <v>3</v>
      </c>
      <c r="S188" s="8">
        <v>5</v>
      </c>
      <c r="T188" s="8">
        <v>0</v>
      </c>
      <c r="U188" s="8">
        <v>0</v>
      </c>
      <c r="V188" s="8">
        <v>5</v>
      </c>
      <c r="W188" s="8">
        <v>5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3</v>
      </c>
      <c r="AF188" s="8">
        <v>0</v>
      </c>
      <c r="AG188" s="8">
        <v>0</v>
      </c>
      <c r="AH188" s="8">
        <v>0</v>
      </c>
      <c r="AI188" s="8">
        <v>0</v>
      </c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11" t="s">
        <v>10</v>
      </c>
    </row>
    <row r="189" spans="1:46" ht="15.1" customHeight="1">
      <c r="A189" s="8">
        <v>62</v>
      </c>
      <c r="B189" s="9" t="s">
        <v>386</v>
      </c>
      <c r="C189" s="8" t="s">
        <v>387</v>
      </c>
      <c r="D189" s="9" t="s">
        <v>266</v>
      </c>
      <c r="E189" s="8" t="s">
        <v>54</v>
      </c>
      <c r="F189" s="8" t="s">
        <v>54</v>
      </c>
      <c r="G189" s="10" t="s">
        <v>67</v>
      </c>
      <c r="H189" s="8" t="s">
        <v>54</v>
      </c>
      <c r="I189" s="8" t="s">
        <v>54</v>
      </c>
      <c r="J189" s="8" t="s">
        <v>54</v>
      </c>
      <c r="K189" s="8" t="s">
        <v>54</v>
      </c>
      <c r="L189" s="8" t="s">
        <v>54</v>
      </c>
      <c r="M189" s="8" t="s">
        <v>54</v>
      </c>
      <c r="N189" s="10" t="s">
        <v>67</v>
      </c>
      <c r="O189" s="8" t="s">
        <v>54</v>
      </c>
      <c r="P189" s="8" t="s">
        <v>54</v>
      </c>
      <c r="Q189" s="8" t="s">
        <v>54</v>
      </c>
      <c r="R189" s="8" t="s">
        <v>54</v>
      </c>
      <c r="S189" s="8" t="s">
        <v>54</v>
      </c>
      <c r="T189" s="8" t="s">
        <v>54</v>
      </c>
      <c r="U189" s="10" t="s">
        <v>67</v>
      </c>
      <c r="V189" s="8" t="s">
        <v>54</v>
      </c>
      <c r="W189" s="8" t="s">
        <v>54</v>
      </c>
      <c r="X189" s="8" t="s">
        <v>54</v>
      </c>
      <c r="Y189" s="8" t="s">
        <v>54</v>
      </c>
      <c r="Z189" s="8" t="s">
        <v>54</v>
      </c>
      <c r="AA189" s="8" t="s">
        <v>54</v>
      </c>
      <c r="AB189" s="10" t="s">
        <v>67</v>
      </c>
      <c r="AC189" s="8" t="s">
        <v>54</v>
      </c>
      <c r="AD189" s="8" t="s">
        <v>54</v>
      </c>
      <c r="AE189" s="8" t="s">
        <v>54</v>
      </c>
      <c r="AF189" s="8" t="s">
        <v>54</v>
      </c>
      <c r="AG189" s="8" t="s">
        <v>54</v>
      </c>
      <c r="AH189" s="8" t="s">
        <v>54</v>
      </c>
      <c r="AI189" s="10" t="s">
        <v>67</v>
      </c>
      <c r="AJ189" s="8">
        <f>COUNTIF($E$189:$AI$189,"P")</f>
        <v>26</v>
      </c>
      <c r="AK189" s="8">
        <f>COUNTIF($E$189:$AI$189,"A")</f>
        <v>0</v>
      </c>
      <c r="AL189" s="8">
        <f>SUM($E$190:$AI$190)</f>
        <v>34</v>
      </c>
      <c r="AM189" s="8">
        <f>SUM($E$191:$AI$191)</f>
        <v>136</v>
      </c>
      <c r="AN189" s="8">
        <f>AL189+AM189</f>
        <v>170</v>
      </c>
      <c r="AO189" s="8">
        <f>COUNTIF($E$189:$AI$189,"CL")</f>
        <v>0</v>
      </c>
      <c r="AP189" s="8">
        <f>COUNTIF($E$189:$AI$189,"SL")</f>
        <v>0</v>
      </c>
      <c r="AQ189" s="8">
        <f>COUNTIF($E$189:$AI$189,"EL")</f>
        <v>0</v>
      </c>
      <c r="AR189" s="8">
        <f>COUNTIF($E$189:$AI$189,"H")</f>
        <v>0</v>
      </c>
      <c r="AS189" s="8"/>
      <c r="AT189" s="11" t="s">
        <v>10</v>
      </c>
    </row>
    <row r="190" spans="1:46" ht="15.1" customHeight="1">
      <c r="A190" s="8"/>
      <c r="B190" s="9"/>
      <c r="C190" s="8"/>
      <c r="D190" s="9"/>
      <c r="E190" s="8">
        <v>2</v>
      </c>
      <c r="F190" s="8">
        <v>2</v>
      </c>
      <c r="G190" s="8">
        <v>0</v>
      </c>
      <c r="H190" s="8">
        <v>2</v>
      </c>
      <c r="I190" s="8">
        <v>2</v>
      </c>
      <c r="J190" s="8">
        <v>2</v>
      </c>
      <c r="K190" s="8">
        <v>2</v>
      </c>
      <c r="L190" s="8">
        <v>2</v>
      </c>
      <c r="M190" s="8">
        <v>2</v>
      </c>
      <c r="N190" s="8">
        <v>0</v>
      </c>
      <c r="O190" s="8">
        <v>2</v>
      </c>
      <c r="P190" s="8">
        <v>2</v>
      </c>
      <c r="Q190" s="8">
        <v>2</v>
      </c>
      <c r="R190" s="8">
        <v>2</v>
      </c>
      <c r="S190" s="8">
        <v>2</v>
      </c>
      <c r="T190" s="8">
        <v>2</v>
      </c>
      <c r="U190" s="8">
        <v>0</v>
      </c>
      <c r="V190" s="8">
        <v>2</v>
      </c>
      <c r="W190" s="8">
        <v>2</v>
      </c>
      <c r="X190" s="8">
        <v>2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11" t="s">
        <v>10</v>
      </c>
    </row>
    <row r="191" spans="1:46" ht="15.1" customHeight="1">
      <c r="A191" s="8"/>
      <c r="B191" s="9"/>
      <c r="C191" s="8"/>
      <c r="D191" s="9"/>
      <c r="E191" s="8">
        <v>3</v>
      </c>
      <c r="F191" s="8">
        <v>3</v>
      </c>
      <c r="G191" s="8">
        <v>13</v>
      </c>
      <c r="H191" s="8">
        <v>3</v>
      </c>
      <c r="I191" s="8">
        <v>7</v>
      </c>
      <c r="J191" s="8">
        <v>7</v>
      </c>
      <c r="K191" s="8">
        <v>7</v>
      </c>
      <c r="L191" s="8">
        <v>7</v>
      </c>
      <c r="M191" s="8">
        <v>5</v>
      </c>
      <c r="N191" s="8">
        <v>17</v>
      </c>
      <c r="O191" s="8">
        <v>7</v>
      </c>
      <c r="P191" s="8">
        <v>7</v>
      </c>
      <c r="Q191" s="8">
        <v>8</v>
      </c>
      <c r="R191" s="8">
        <v>7</v>
      </c>
      <c r="S191" s="8">
        <v>7</v>
      </c>
      <c r="T191" s="8">
        <v>5</v>
      </c>
      <c r="U191" s="8">
        <v>8</v>
      </c>
      <c r="V191" s="8">
        <v>5</v>
      </c>
      <c r="W191" s="8">
        <v>5</v>
      </c>
      <c r="X191" s="8">
        <v>5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11" t="s">
        <v>10</v>
      </c>
    </row>
    <row r="192" spans="1:46" ht="15.1" customHeight="1">
      <c r="A192" s="8">
        <v>63</v>
      </c>
      <c r="B192" s="9" t="s">
        <v>388</v>
      </c>
      <c r="C192" s="8" t="s">
        <v>389</v>
      </c>
      <c r="D192" s="9" t="s">
        <v>266</v>
      </c>
      <c r="E192" s="8" t="s">
        <v>54</v>
      </c>
      <c r="F192" s="8" t="s">
        <v>54</v>
      </c>
      <c r="G192" s="10" t="s">
        <v>67</v>
      </c>
      <c r="H192" s="8" t="s">
        <v>54</v>
      </c>
      <c r="I192" s="8" t="s">
        <v>54</v>
      </c>
      <c r="J192" s="8" t="s">
        <v>54</v>
      </c>
      <c r="K192" s="8" t="s">
        <v>54</v>
      </c>
      <c r="L192" s="8" t="s">
        <v>54</v>
      </c>
      <c r="M192" s="8" t="s">
        <v>54</v>
      </c>
      <c r="N192" s="10" t="s">
        <v>67</v>
      </c>
      <c r="O192" s="8" t="s">
        <v>54</v>
      </c>
      <c r="P192" s="8" t="s">
        <v>54</v>
      </c>
      <c r="Q192" s="8" t="s">
        <v>54</v>
      </c>
      <c r="R192" s="8" t="s">
        <v>54</v>
      </c>
      <c r="S192" s="8" t="s">
        <v>54</v>
      </c>
      <c r="T192" s="8" t="s">
        <v>54</v>
      </c>
      <c r="U192" s="10" t="s">
        <v>67</v>
      </c>
      <c r="V192" s="8" t="s">
        <v>54</v>
      </c>
      <c r="W192" s="8" t="s">
        <v>54</v>
      </c>
      <c r="X192" s="8" t="s">
        <v>54</v>
      </c>
      <c r="Y192" s="8" t="s">
        <v>54</v>
      </c>
      <c r="Z192" s="8" t="s">
        <v>54</v>
      </c>
      <c r="AA192" s="8" t="s">
        <v>54</v>
      </c>
      <c r="AB192" s="10" t="s">
        <v>67</v>
      </c>
      <c r="AC192" s="8" t="s">
        <v>54</v>
      </c>
      <c r="AD192" s="8" t="s">
        <v>54</v>
      </c>
      <c r="AE192" s="8" t="s">
        <v>54</v>
      </c>
      <c r="AF192" s="8" t="s">
        <v>54</v>
      </c>
      <c r="AG192" s="8" t="s">
        <v>54</v>
      </c>
      <c r="AH192" s="8" t="s">
        <v>54</v>
      </c>
      <c r="AI192" s="10" t="s">
        <v>67</v>
      </c>
      <c r="AJ192" s="8">
        <f>COUNTIF($E$192:$AI$192,"P")</f>
        <v>26</v>
      </c>
      <c r="AK192" s="8">
        <f>COUNTIF($E$192:$AI$192,"A")</f>
        <v>0</v>
      </c>
      <c r="AL192" s="8">
        <f>SUM($E$193:$AI$193)</f>
        <v>32</v>
      </c>
      <c r="AM192" s="8">
        <f>SUM($E$194:$AI$194)</f>
        <v>74</v>
      </c>
      <c r="AN192" s="8">
        <f>AL192+AM192</f>
        <v>106</v>
      </c>
      <c r="AO192" s="8">
        <f>COUNTIF($E$192:$AI$192,"CL")</f>
        <v>0</v>
      </c>
      <c r="AP192" s="8">
        <f>COUNTIF($E$192:$AI$192,"SL")</f>
        <v>0</v>
      </c>
      <c r="AQ192" s="8">
        <f>COUNTIF($E$192:$AI$192,"EL")</f>
        <v>0</v>
      </c>
      <c r="AR192" s="8">
        <f>COUNTIF($E$192:$AI$192,"H")</f>
        <v>0</v>
      </c>
      <c r="AS192" s="8"/>
      <c r="AT192" s="11" t="s">
        <v>10</v>
      </c>
    </row>
    <row r="193" spans="1:46" ht="15.1" customHeight="1">
      <c r="A193" s="8"/>
      <c r="B193" s="9"/>
      <c r="C193" s="8"/>
      <c r="D193" s="9"/>
      <c r="E193" s="8">
        <v>2</v>
      </c>
      <c r="F193" s="8">
        <v>2</v>
      </c>
      <c r="G193" s="8">
        <v>0</v>
      </c>
      <c r="H193" s="8">
        <v>2</v>
      </c>
      <c r="I193" s="8">
        <v>2</v>
      </c>
      <c r="J193" s="8">
        <v>2</v>
      </c>
      <c r="K193" s="8">
        <v>2</v>
      </c>
      <c r="L193" s="8">
        <v>2</v>
      </c>
      <c r="M193" s="8">
        <v>2</v>
      </c>
      <c r="N193" s="8">
        <v>0</v>
      </c>
      <c r="O193" s="8">
        <v>2</v>
      </c>
      <c r="P193" s="8">
        <v>2</v>
      </c>
      <c r="Q193" s="8">
        <v>2</v>
      </c>
      <c r="R193" s="8">
        <v>2</v>
      </c>
      <c r="S193" s="8">
        <v>2</v>
      </c>
      <c r="T193" s="8">
        <v>2</v>
      </c>
      <c r="U193" s="8">
        <v>0</v>
      </c>
      <c r="V193" s="8">
        <v>2</v>
      </c>
      <c r="W193" s="8">
        <v>2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11" t="s">
        <v>10</v>
      </c>
    </row>
    <row r="194" spans="1:46" ht="15.1" customHeight="1">
      <c r="A194" s="8"/>
      <c r="B194" s="9"/>
      <c r="C194" s="8"/>
      <c r="D194" s="9"/>
      <c r="E194" s="8">
        <v>0</v>
      </c>
      <c r="F194" s="8">
        <v>2</v>
      </c>
      <c r="G194" s="8">
        <v>0</v>
      </c>
      <c r="H194" s="8">
        <v>3</v>
      </c>
      <c r="I194" s="8">
        <v>3</v>
      </c>
      <c r="J194" s="8">
        <v>3</v>
      </c>
      <c r="K194" s="8">
        <v>5</v>
      </c>
      <c r="L194" s="8">
        <v>5</v>
      </c>
      <c r="M194" s="8">
        <v>3</v>
      </c>
      <c r="N194" s="8">
        <v>13</v>
      </c>
      <c r="O194" s="8">
        <v>7</v>
      </c>
      <c r="P194" s="8">
        <v>5</v>
      </c>
      <c r="Q194" s="8">
        <v>3</v>
      </c>
      <c r="R194" s="8">
        <v>3</v>
      </c>
      <c r="S194" s="8">
        <v>3</v>
      </c>
      <c r="T194" s="8">
        <v>3</v>
      </c>
      <c r="U194" s="8">
        <v>8</v>
      </c>
      <c r="V194" s="8">
        <v>0</v>
      </c>
      <c r="W194" s="8">
        <v>5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11" t="s">
        <v>10</v>
      </c>
    </row>
    <row r="195" spans="1:46" ht="15.1" customHeight="1">
      <c r="A195" s="8">
        <v>64</v>
      </c>
      <c r="B195" s="9" t="s">
        <v>390</v>
      </c>
      <c r="C195" s="8" t="s">
        <v>391</v>
      </c>
      <c r="D195" s="9" t="s">
        <v>266</v>
      </c>
      <c r="E195" s="8" t="s">
        <v>54</v>
      </c>
      <c r="F195" s="8" t="s">
        <v>54</v>
      </c>
      <c r="G195" s="10" t="s">
        <v>67</v>
      </c>
      <c r="H195" s="8" t="s">
        <v>54</v>
      </c>
      <c r="I195" s="8" t="s">
        <v>54</v>
      </c>
      <c r="J195" s="8" t="s">
        <v>54</v>
      </c>
      <c r="K195" s="8" t="s">
        <v>54</v>
      </c>
      <c r="L195" s="8" t="s">
        <v>54</v>
      </c>
      <c r="M195" s="8" t="s">
        <v>54</v>
      </c>
      <c r="N195" s="10" t="s">
        <v>67</v>
      </c>
      <c r="O195" s="8" t="s">
        <v>54</v>
      </c>
      <c r="P195" s="8" t="s">
        <v>54</v>
      </c>
      <c r="Q195" s="8" t="s">
        <v>54</v>
      </c>
      <c r="R195" s="8" t="s">
        <v>54</v>
      </c>
      <c r="S195" s="8" t="s">
        <v>54</v>
      </c>
      <c r="T195" s="12" t="s">
        <v>55</v>
      </c>
      <c r="U195" s="10" t="s">
        <v>67</v>
      </c>
      <c r="V195" s="8" t="s">
        <v>54</v>
      </c>
      <c r="W195" s="12" t="s">
        <v>55</v>
      </c>
      <c r="X195" s="12" t="s">
        <v>55</v>
      </c>
      <c r="Y195" s="12" t="s">
        <v>55</v>
      </c>
      <c r="Z195" s="8" t="s">
        <v>54</v>
      </c>
      <c r="AA195" s="8" t="s">
        <v>54</v>
      </c>
      <c r="AB195" s="10" t="s">
        <v>67</v>
      </c>
      <c r="AC195" s="8" t="s">
        <v>54</v>
      </c>
      <c r="AD195" s="8" t="s">
        <v>54</v>
      </c>
      <c r="AE195" s="8" t="s">
        <v>54</v>
      </c>
      <c r="AF195" s="8" t="s">
        <v>54</v>
      </c>
      <c r="AG195" s="8" t="s">
        <v>54</v>
      </c>
      <c r="AH195" s="8" t="s">
        <v>54</v>
      </c>
      <c r="AI195" s="10" t="s">
        <v>67</v>
      </c>
      <c r="AJ195" s="8">
        <f>COUNTIF($E$195:$AI$195,"P")</f>
        <v>22</v>
      </c>
      <c r="AK195" s="8">
        <f>COUNTIF($E$195:$AI$195,"A")</f>
        <v>4</v>
      </c>
      <c r="AL195" s="8">
        <f>SUM($E$196:$AI$196)</f>
        <v>28</v>
      </c>
      <c r="AM195" s="8">
        <f>SUM($E$197:$AI$197)</f>
        <v>97</v>
      </c>
      <c r="AN195" s="8">
        <f>AL195+AM195</f>
        <v>125</v>
      </c>
      <c r="AO195" s="8">
        <f>COUNTIF($E$195:$AI$195,"CL")</f>
        <v>0</v>
      </c>
      <c r="AP195" s="8">
        <f>COUNTIF($E$195:$AI$195,"SL")</f>
        <v>0</v>
      </c>
      <c r="AQ195" s="8">
        <f>COUNTIF($E$195:$AI$195,"EL")</f>
        <v>0</v>
      </c>
      <c r="AR195" s="8">
        <f>COUNTIF($E$195:$AI$195,"H")</f>
        <v>0</v>
      </c>
      <c r="AS195" s="8"/>
      <c r="AT195" s="11" t="s">
        <v>10</v>
      </c>
    </row>
    <row r="196" spans="1:46" ht="15.1" customHeight="1">
      <c r="A196" s="8"/>
      <c r="B196" s="9"/>
      <c r="C196" s="8"/>
      <c r="D196" s="9"/>
      <c r="E196" s="8">
        <v>2</v>
      </c>
      <c r="F196" s="8">
        <v>2</v>
      </c>
      <c r="G196" s="8">
        <v>0</v>
      </c>
      <c r="H196" s="8">
        <v>2</v>
      </c>
      <c r="I196" s="8">
        <v>2</v>
      </c>
      <c r="J196" s="8">
        <v>2</v>
      </c>
      <c r="K196" s="8">
        <v>2</v>
      </c>
      <c r="L196" s="8">
        <v>2</v>
      </c>
      <c r="M196" s="8">
        <v>2</v>
      </c>
      <c r="N196" s="8">
        <v>0</v>
      </c>
      <c r="O196" s="8">
        <v>2</v>
      </c>
      <c r="P196" s="8">
        <v>2</v>
      </c>
      <c r="Q196" s="8">
        <v>2</v>
      </c>
      <c r="R196" s="8">
        <v>2</v>
      </c>
      <c r="S196" s="8">
        <v>2</v>
      </c>
      <c r="T196" s="8">
        <v>0</v>
      </c>
      <c r="U196" s="8">
        <v>0</v>
      </c>
      <c r="V196" s="8">
        <v>2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11" t="s">
        <v>10</v>
      </c>
    </row>
    <row r="197" spans="1:46" ht="15.1" customHeight="1">
      <c r="A197" s="8"/>
      <c r="B197" s="9"/>
      <c r="C197" s="8"/>
      <c r="D197" s="9"/>
      <c r="E197" s="8">
        <v>2.5</v>
      </c>
      <c r="F197" s="8">
        <v>3</v>
      </c>
      <c r="G197" s="8">
        <v>12.5</v>
      </c>
      <c r="H197" s="8">
        <v>3</v>
      </c>
      <c r="I197" s="8">
        <v>7</v>
      </c>
      <c r="J197" s="8">
        <v>7</v>
      </c>
      <c r="K197" s="8">
        <v>3</v>
      </c>
      <c r="L197" s="8">
        <v>3</v>
      </c>
      <c r="M197" s="8">
        <v>4</v>
      </c>
      <c r="N197" s="8">
        <v>16.5</v>
      </c>
      <c r="O197" s="8">
        <v>6.5</v>
      </c>
      <c r="P197" s="8">
        <v>6.5</v>
      </c>
      <c r="Q197" s="8">
        <v>7.5</v>
      </c>
      <c r="R197" s="8">
        <v>6.5</v>
      </c>
      <c r="S197" s="8">
        <v>3.5</v>
      </c>
      <c r="T197" s="8">
        <v>0</v>
      </c>
      <c r="U197" s="8">
        <v>0</v>
      </c>
      <c r="V197" s="8">
        <v>5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11" t="s">
        <v>10</v>
      </c>
    </row>
    <row r="198" spans="1:46" ht="15.1" customHeight="1">
      <c r="A198" s="8">
        <v>65</v>
      </c>
      <c r="B198" s="9" t="s">
        <v>392</v>
      </c>
      <c r="C198" s="8" t="s">
        <v>393</v>
      </c>
      <c r="D198" s="9" t="s">
        <v>266</v>
      </c>
      <c r="E198" s="8" t="s">
        <v>54</v>
      </c>
      <c r="F198" s="8" t="s">
        <v>54</v>
      </c>
      <c r="G198" s="10" t="s">
        <v>67</v>
      </c>
      <c r="H198" s="8" t="s">
        <v>54</v>
      </c>
      <c r="I198" s="8" t="s">
        <v>54</v>
      </c>
      <c r="J198" s="8" t="s">
        <v>54</v>
      </c>
      <c r="K198" s="8" t="s">
        <v>54</v>
      </c>
      <c r="L198" s="8" t="s">
        <v>54</v>
      </c>
      <c r="M198" s="8" t="s">
        <v>54</v>
      </c>
      <c r="N198" s="10" t="s">
        <v>67</v>
      </c>
      <c r="O198" s="8" t="s">
        <v>54</v>
      </c>
      <c r="P198" s="8" t="s">
        <v>54</v>
      </c>
      <c r="Q198" s="8" t="s">
        <v>54</v>
      </c>
      <c r="R198" s="8" t="s">
        <v>54</v>
      </c>
      <c r="S198" s="8" t="s">
        <v>54</v>
      </c>
      <c r="T198" s="8" t="s">
        <v>54</v>
      </c>
      <c r="U198" s="10" t="s">
        <v>67</v>
      </c>
      <c r="V198" s="8" t="s">
        <v>54</v>
      </c>
      <c r="W198" s="8" t="s">
        <v>54</v>
      </c>
      <c r="X198" s="8" t="s">
        <v>54</v>
      </c>
      <c r="Y198" s="8" t="s">
        <v>54</v>
      </c>
      <c r="Z198" s="8" t="s">
        <v>54</v>
      </c>
      <c r="AA198" s="8" t="s">
        <v>54</v>
      </c>
      <c r="AB198" s="10" t="s">
        <v>67</v>
      </c>
      <c r="AC198" s="8" t="s">
        <v>54</v>
      </c>
      <c r="AD198" s="8" t="s">
        <v>54</v>
      </c>
      <c r="AE198" s="8" t="s">
        <v>54</v>
      </c>
      <c r="AF198" s="8" t="s">
        <v>54</v>
      </c>
      <c r="AG198" s="8" t="s">
        <v>54</v>
      </c>
      <c r="AH198" s="8" t="s">
        <v>54</v>
      </c>
      <c r="AI198" s="10" t="s">
        <v>67</v>
      </c>
      <c r="AJ198" s="8">
        <f>COUNTIF($E$198:$AI$198,"P")</f>
        <v>26</v>
      </c>
      <c r="AK198" s="8">
        <f>COUNTIF($E$198:$AI$198,"A")</f>
        <v>0</v>
      </c>
      <c r="AL198" s="8">
        <f>SUM($E$199:$AI$199)</f>
        <v>34</v>
      </c>
      <c r="AM198" s="8">
        <f>SUM($E$200:$AI$200)</f>
        <v>145.5</v>
      </c>
      <c r="AN198" s="8">
        <f>AL198+AM198</f>
        <v>179.5</v>
      </c>
      <c r="AO198" s="8">
        <f>COUNTIF($E$198:$AI$198,"CL")</f>
        <v>0</v>
      </c>
      <c r="AP198" s="8">
        <f>COUNTIF($E$198:$AI$198,"SL")</f>
        <v>0</v>
      </c>
      <c r="AQ198" s="8">
        <f>COUNTIF($E$198:$AI$198,"EL")</f>
        <v>0</v>
      </c>
      <c r="AR198" s="8">
        <f>COUNTIF($E$198:$AI$198,"H")</f>
        <v>0</v>
      </c>
      <c r="AS198" s="8"/>
      <c r="AT198" s="11" t="s">
        <v>10</v>
      </c>
    </row>
    <row r="199" spans="1:46" ht="15.1" customHeight="1">
      <c r="A199" s="8"/>
      <c r="B199" s="9"/>
      <c r="C199" s="8"/>
      <c r="D199" s="9"/>
      <c r="E199" s="8">
        <v>2</v>
      </c>
      <c r="F199" s="8">
        <v>2</v>
      </c>
      <c r="G199" s="8">
        <v>0</v>
      </c>
      <c r="H199" s="8">
        <v>2</v>
      </c>
      <c r="I199" s="8">
        <v>2</v>
      </c>
      <c r="J199" s="8">
        <v>2</v>
      </c>
      <c r="K199" s="8">
        <v>2</v>
      </c>
      <c r="L199" s="8">
        <v>2</v>
      </c>
      <c r="M199" s="8">
        <v>2</v>
      </c>
      <c r="N199" s="8">
        <v>0</v>
      </c>
      <c r="O199" s="8">
        <v>2</v>
      </c>
      <c r="P199" s="8">
        <v>2</v>
      </c>
      <c r="Q199" s="8">
        <v>2</v>
      </c>
      <c r="R199" s="8">
        <v>2</v>
      </c>
      <c r="S199" s="8">
        <v>2</v>
      </c>
      <c r="T199" s="8">
        <v>2</v>
      </c>
      <c r="U199" s="8">
        <v>0</v>
      </c>
      <c r="V199" s="8">
        <v>2</v>
      </c>
      <c r="W199" s="8">
        <v>2</v>
      </c>
      <c r="X199" s="8">
        <v>2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11" t="s">
        <v>10</v>
      </c>
    </row>
    <row r="200" spans="1:46" ht="15.1" customHeight="1">
      <c r="A200" s="8"/>
      <c r="B200" s="9"/>
      <c r="C200" s="8"/>
      <c r="D200" s="9"/>
      <c r="E200" s="8">
        <v>7</v>
      </c>
      <c r="F200" s="8">
        <v>3</v>
      </c>
      <c r="G200" s="8">
        <v>12.5</v>
      </c>
      <c r="H200" s="8">
        <v>5</v>
      </c>
      <c r="I200" s="8">
        <v>7</v>
      </c>
      <c r="J200" s="8">
        <v>7</v>
      </c>
      <c r="K200" s="8">
        <v>7</v>
      </c>
      <c r="L200" s="8">
        <v>7</v>
      </c>
      <c r="M200" s="8">
        <v>5</v>
      </c>
      <c r="N200" s="8">
        <v>16.5</v>
      </c>
      <c r="O200" s="8">
        <v>7</v>
      </c>
      <c r="P200" s="8">
        <v>6.5</v>
      </c>
      <c r="Q200" s="8">
        <v>7.5</v>
      </c>
      <c r="R200" s="8">
        <v>7</v>
      </c>
      <c r="S200" s="8">
        <v>7</v>
      </c>
      <c r="T200" s="8">
        <v>4.5</v>
      </c>
      <c r="U200" s="8">
        <v>12.5</v>
      </c>
      <c r="V200" s="8">
        <v>5</v>
      </c>
      <c r="W200" s="8">
        <v>7</v>
      </c>
      <c r="X200" s="8">
        <v>4.5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11" t="s">
        <v>10</v>
      </c>
    </row>
    <row r="201" spans="1:46" ht="15.1" customHeight="1">
      <c r="A201" s="8">
        <v>66</v>
      </c>
      <c r="B201" s="9" t="s">
        <v>394</v>
      </c>
      <c r="C201" s="8" t="s">
        <v>395</v>
      </c>
      <c r="D201" s="9" t="s">
        <v>266</v>
      </c>
      <c r="E201" s="8" t="s">
        <v>54</v>
      </c>
      <c r="F201" s="8" t="s">
        <v>54</v>
      </c>
      <c r="G201" s="10" t="s">
        <v>67</v>
      </c>
      <c r="H201" s="8" t="s">
        <v>54</v>
      </c>
      <c r="I201" s="8" t="s">
        <v>54</v>
      </c>
      <c r="J201" s="8" t="s">
        <v>54</v>
      </c>
      <c r="K201" s="8" t="s">
        <v>54</v>
      </c>
      <c r="L201" s="8" t="s">
        <v>54</v>
      </c>
      <c r="M201" s="8" t="s">
        <v>54</v>
      </c>
      <c r="N201" s="10" t="s">
        <v>67</v>
      </c>
      <c r="O201" s="8" t="s">
        <v>54</v>
      </c>
      <c r="P201" s="8" t="s">
        <v>54</v>
      </c>
      <c r="Q201" s="8" t="s">
        <v>54</v>
      </c>
      <c r="R201" s="8" t="s">
        <v>54</v>
      </c>
      <c r="S201" s="8" t="s">
        <v>54</v>
      </c>
      <c r="T201" s="8" t="s">
        <v>54</v>
      </c>
      <c r="U201" s="10" t="s">
        <v>67</v>
      </c>
      <c r="V201" s="8" t="s">
        <v>54</v>
      </c>
      <c r="W201" s="8" t="s">
        <v>54</v>
      </c>
      <c r="X201" s="8" t="s">
        <v>54</v>
      </c>
      <c r="Y201" s="8" t="s">
        <v>54</v>
      </c>
      <c r="Z201" s="12" t="s">
        <v>55</v>
      </c>
      <c r="AA201" s="12" t="s">
        <v>55</v>
      </c>
      <c r="AB201" s="10" t="s">
        <v>67</v>
      </c>
      <c r="AC201" s="8" t="s">
        <v>54</v>
      </c>
      <c r="AD201" s="8" t="s">
        <v>54</v>
      </c>
      <c r="AE201" s="8" t="s">
        <v>54</v>
      </c>
      <c r="AF201" s="8" t="s">
        <v>54</v>
      </c>
      <c r="AG201" s="8" t="s">
        <v>54</v>
      </c>
      <c r="AH201" s="8" t="s">
        <v>54</v>
      </c>
      <c r="AI201" s="10" t="s">
        <v>67</v>
      </c>
      <c r="AJ201" s="8">
        <f>COUNTIF($E$201:$AI$201,"P")</f>
        <v>24</v>
      </c>
      <c r="AK201" s="8">
        <f>COUNTIF($E$201:$AI$201,"A")</f>
        <v>2</v>
      </c>
      <c r="AL201" s="8">
        <f>SUM($E$202:$AI$202)</f>
        <v>34</v>
      </c>
      <c r="AM201" s="8">
        <f>SUM($E$203:$AI$203)</f>
        <v>135.5</v>
      </c>
      <c r="AN201" s="8">
        <f>AL201+AM201</f>
        <v>169.5</v>
      </c>
      <c r="AO201" s="8">
        <f>COUNTIF($E$201:$AI$201,"CL")</f>
        <v>0</v>
      </c>
      <c r="AP201" s="8">
        <f>COUNTIF($E$201:$AI$201,"SL")</f>
        <v>0</v>
      </c>
      <c r="AQ201" s="8">
        <f>COUNTIF($E$201:$AI$201,"EL")</f>
        <v>0</v>
      </c>
      <c r="AR201" s="8">
        <f>COUNTIF($E$201:$AI$201,"H")</f>
        <v>0</v>
      </c>
      <c r="AS201" s="8"/>
      <c r="AT201" s="11" t="s">
        <v>10</v>
      </c>
    </row>
    <row r="202" spans="1:46" ht="15.1" customHeight="1">
      <c r="A202" s="8"/>
      <c r="B202" s="9"/>
      <c r="C202" s="8"/>
      <c r="D202" s="9"/>
      <c r="E202" s="8">
        <v>2</v>
      </c>
      <c r="F202" s="8">
        <v>2</v>
      </c>
      <c r="G202" s="8">
        <v>0</v>
      </c>
      <c r="H202" s="8">
        <v>2</v>
      </c>
      <c r="I202" s="8">
        <v>2</v>
      </c>
      <c r="J202" s="8">
        <v>2</v>
      </c>
      <c r="K202" s="8">
        <v>2</v>
      </c>
      <c r="L202" s="8">
        <v>2</v>
      </c>
      <c r="M202" s="8">
        <v>2</v>
      </c>
      <c r="N202" s="8">
        <v>0</v>
      </c>
      <c r="O202" s="8">
        <v>2</v>
      </c>
      <c r="P202" s="8">
        <v>2</v>
      </c>
      <c r="Q202" s="8">
        <v>2</v>
      </c>
      <c r="R202" s="8">
        <v>2</v>
      </c>
      <c r="S202" s="8">
        <v>2</v>
      </c>
      <c r="T202" s="8">
        <v>2</v>
      </c>
      <c r="U202" s="8">
        <v>0</v>
      </c>
      <c r="V202" s="8">
        <v>2</v>
      </c>
      <c r="W202" s="8">
        <v>2</v>
      </c>
      <c r="X202" s="8">
        <v>2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11" t="s">
        <v>10</v>
      </c>
    </row>
    <row r="203" spans="1:46" ht="15.1" customHeight="1">
      <c r="A203" s="8"/>
      <c r="B203" s="9"/>
      <c r="C203" s="8"/>
      <c r="D203" s="9"/>
      <c r="E203" s="8">
        <v>3</v>
      </c>
      <c r="F203" s="8">
        <v>3</v>
      </c>
      <c r="G203" s="8">
        <v>13</v>
      </c>
      <c r="H203" s="8">
        <v>5</v>
      </c>
      <c r="I203" s="8">
        <v>7</v>
      </c>
      <c r="J203" s="8">
        <v>7</v>
      </c>
      <c r="K203" s="8">
        <v>3</v>
      </c>
      <c r="L203" s="8">
        <v>5</v>
      </c>
      <c r="M203" s="8">
        <v>5</v>
      </c>
      <c r="N203" s="8">
        <v>16.5</v>
      </c>
      <c r="O203" s="8">
        <v>7</v>
      </c>
      <c r="P203" s="8">
        <v>7</v>
      </c>
      <c r="Q203" s="8">
        <v>8</v>
      </c>
      <c r="R203" s="8">
        <v>7</v>
      </c>
      <c r="S203" s="8">
        <v>7</v>
      </c>
      <c r="T203" s="8">
        <v>5</v>
      </c>
      <c r="U203" s="8">
        <v>8</v>
      </c>
      <c r="V203" s="8">
        <v>7</v>
      </c>
      <c r="W203" s="8">
        <v>7</v>
      </c>
      <c r="X203" s="8">
        <v>5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11" t="s">
        <v>10</v>
      </c>
    </row>
    <row r="204" spans="1:46" ht="15.1" customHeight="1">
      <c r="A204" s="8">
        <v>67</v>
      </c>
      <c r="B204" s="9" t="s">
        <v>396</v>
      </c>
      <c r="C204" s="8" t="s">
        <v>397</v>
      </c>
      <c r="D204" s="9" t="s">
        <v>266</v>
      </c>
      <c r="E204" s="8" t="s">
        <v>54</v>
      </c>
      <c r="F204" s="8" t="s">
        <v>54</v>
      </c>
      <c r="G204" s="10" t="s">
        <v>67</v>
      </c>
      <c r="H204" s="8" t="s">
        <v>54</v>
      </c>
      <c r="I204" s="8" t="s">
        <v>54</v>
      </c>
      <c r="J204" s="8" t="s">
        <v>54</v>
      </c>
      <c r="K204" s="8" t="s">
        <v>54</v>
      </c>
      <c r="L204" s="8" t="s">
        <v>54</v>
      </c>
      <c r="M204" s="8" t="s">
        <v>54</v>
      </c>
      <c r="N204" s="10" t="s">
        <v>67</v>
      </c>
      <c r="O204" s="8" t="s">
        <v>54</v>
      </c>
      <c r="P204" s="8" t="s">
        <v>54</v>
      </c>
      <c r="Q204" s="8" t="s">
        <v>54</v>
      </c>
      <c r="R204" s="8" t="s">
        <v>54</v>
      </c>
      <c r="S204" s="8" t="s">
        <v>54</v>
      </c>
      <c r="T204" s="8" t="s">
        <v>54</v>
      </c>
      <c r="U204" s="10" t="s">
        <v>67</v>
      </c>
      <c r="V204" s="8" t="s">
        <v>54</v>
      </c>
      <c r="W204" s="8" t="s">
        <v>54</v>
      </c>
      <c r="X204" s="8" t="s">
        <v>54</v>
      </c>
      <c r="Y204" s="8" t="s">
        <v>54</v>
      </c>
      <c r="Z204" s="8" t="s">
        <v>54</v>
      </c>
      <c r="AA204" s="8" t="s">
        <v>54</v>
      </c>
      <c r="AB204" s="10" t="s">
        <v>67</v>
      </c>
      <c r="AC204" s="8" t="s">
        <v>54</v>
      </c>
      <c r="AD204" s="8" t="s">
        <v>54</v>
      </c>
      <c r="AE204" s="8" t="s">
        <v>54</v>
      </c>
      <c r="AF204" s="8" t="s">
        <v>54</v>
      </c>
      <c r="AG204" s="8" t="s">
        <v>54</v>
      </c>
      <c r="AH204" s="8" t="s">
        <v>54</v>
      </c>
      <c r="AI204" s="10" t="s">
        <v>67</v>
      </c>
      <c r="AJ204" s="8">
        <f>COUNTIF($E$204:$AI$204,"P")</f>
        <v>26</v>
      </c>
      <c r="AK204" s="8">
        <f>COUNTIF($E$204:$AI$204,"A")</f>
        <v>0</v>
      </c>
      <c r="AL204" s="8">
        <f>SUM($E$205:$AI$205)</f>
        <v>34</v>
      </c>
      <c r="AM204" s="8">
        <f>SUM($E$206:$AI$206)</f>
        <v>135.5</v>
      </c>
      <c r="AN204" s="8">
        <f>AL204+AM204</f>
        <v>169.5</v>
      </c>
      <c r="AO204" s="8">
        <f>COUNTIF($E$204:$AI$204,"CL")</f>
        <v>0</v>
      </c>
      <c r="AP204" s="8">
        <f>COUNTIF($E$204:$AI$204,"SL")</f>
        <v>0</v>
      </c>
      <c r="AQ204" s="8">
        <f>COUNTIF($E$204:$AI$204,"EL")</f>
        <v>0</v>
      </c>
      <c r="AR204" s="8">
        <f>COUNTIF($E$204:$AI$204,"H")</f>
        <v>0</v>
      </c>
      <c r="AS204" s="8"/>
      <c r="AT204" s="11" t="s">
        <v>10</v>
      </c>
    </row>
    <row r="205" spans="1:46" ht="15.1" customHeight="1">
      <c r="A205" s="8"/>
      <c r="B205" s="9"/>
      <c r="C205" s="8"/>
      <c r="D205" s="9"/>
      <c r="E205" s="8">
        <v>2</v>
      </c>
      <c r="F205" s="8">
        <v>2</v>
      </c>
      <c r="G205" s="8">
        <v>0</v>
      </c>
      <c r="H205" s="8">
        <v>2</v>
      </c>
      <c r="I205" s="8">
        <v>2</v>
      </c>
      <c r="J205" s="8">
        <v>2</v>
      </c>
      <c r="K205" s="8">
        <v>2</v>
      </c>
      <c r="L205" s="8">
        <v>2</v>
      </c>
      <c r="M205" s="8">
        <v>2</v>
      </c>
      <c r="N205" s="8">
        <v>0</v>
      </c>
      <c r="O205" s="8">
        <v>2</v>
      </c>
      <c r="P205" s="8">
        <v>2</v>
      </c>
      <c r="Q205" s="8">
        <v>2</v>
      </c>
      <c r="R205" s="8">
        <v>2</v>
      </c>
      <c r="S205" s="8">
        <v>2</v>
      </c>
      <c r="T205" s="8">
        <v>2</v>
      </c>
      <c r="U205" s="8">
        <v>0</v>
      </c>
      <c r="V205" s="8">
        <v>2</v>
      </c>
      <c r="W205" s="8">
        <v>2</v>
      </c>
      <c r="X205" s="8">
        <v>2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11" t="s">
        <v>10</v>
      </c>
    </row>
    <row r="206" spans="1:46" ht="15.1" customHeight="1">
      <c r="A206" s="8"/>
      <c r="B206" s="9"/>
      <c r="C206" s="8"/>
      <c r="D206" s="9"/>
      <c r="E206" s="8">
        <v>7</v>
      </c>
      <c r="F206" s="8">
        <v>3</v>
      </c>
      <c r="G206" s="8">
        <v>12.5</v>
      </c>
      <c r="H206" s="8">
        <v>3</v>
      </c>
      <c r="I206" s="8">
        <v>7</v>
      </c>
      <c r="J206" s="8">
        <v>7</v>
      </c>
      <c r="K206" s="8">
        <v>7</v>
      </c>
      <c r="L206" s="8">
        <v>3</v>
      </c>
      <c r="M206" s="8">
        <v>5</v>
      </c>
      <c r="N206" s="8">
        <v>17</v>
      </c>
      <c r="O206" s="8">
        <v>7</v>
      </c>
      <c r="P206" s="8">
        <v>7</v>
      </c>
      <c r="Q206" s="8">
        <v>8</v>
      </c>
      <c r="R206" s="8">
        <v>7</v>
      </c>
      <c r="S206" s="8">
        <v>7</v>
      </c>
      <c r="T206" s="8">
        <v>5</v>
      </c>
      <c r="U206" s="8">
        <v>8</v>
      </c>
      <c r="V206" s="8">
        <v>5</v>
      </c>
      <c r="W206" s="8">
        <v>5</v>
      </c>
      <c r="X206" s="8">
        <v>5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11" t="s">
        <v>10</v>
      </c>
    </row>
    <row r="207" spans="1:46" ht="15.1" customHeight="1">
      <c r="A207" s="8">
        <v>68</v>
      </c>
      <c r="B207" s="9" t="s">
        <v>398</v>
      </c>
      <c r="C207" s="8" t="s">
        <v>399</v>
      </c>
      <c r="D207" s="9" t="s">
        <v>266</v>
      </c>
      <c r="E207" s="8" t="s">
        <v>54</v>
      </c>
      <c r="F207" s="8" t="s">
        <v>54</v>
      </c>
      <c r="G207" s="10" t="s">
        <v>67</v>
      </c>
      <c r="H207" s="8" t="s">
        <v>54</v>
      </c>
      <c r="I207" s="8" t="s">
        <v>54</v>
      </c>
      <c r="J207" s="8" t="s">
        <v>54</v>
      </c>
      <c r="K207" s="8" t="s">
        <v>54</v>
      </c>
      <c r="L207" s="8" t="s">
        <v>54</v>
      </c>
      <c r="M207" s="8" t="s">
        <v>54</v>
      </c>
      <c r="N207" s="10" t="s">
        <v>67</v>
      </c>
      <c r="O207" s="8" t="s">
        <v>54</v>
      </c>
      <c r="P207" s="8" t="s">
        <v>54</v>
      </c>
      <c r="Q207" s="8" t="s">
        <v>54</v>
      </c>
      <c r="R207" s="8" t="s">
        <v>54</v>
      </c>
      <c r="S207" s="8" t="s">
        <v>54</v>
      </c>
      <c r="T207" s="8" t="s">
        <v>54</v>
      </c>
      <c r="U207" s="10" t="s">
        <v>67</v>
      </c>
      <c r="V207" s="8" t="s">
        <v>54</v>
      </c>
      <c r="W207" s="8" t="s">
        <v>54</v>
      </c>
      <c r="X207" s="8" t="s">
        <v>54</v>
      </c>
      <c r="Y207" s="8" t="s">
        <v>54</v>
      </c>
      <c r="Z207" s="8" t="s">
        <v>54</v>
      </c>
      <c r="AA207" s="8" t="s">
        <v>54</v>
      </c>
      <c r="AB207" s="10" t="s">
        <v>67</v>
      </c>
      <c r="AC207" s="8" t="s">
        <v>54</v>
      </c>
      <c r="AD207" s="8" t="s">
        <v>54</v>
      </c>
      <c r="AE207" s="8" t="s">
        <v>54</v>
      </c>
      <c r="AF207" s="8" t="s">
        <v>54</v>
      </c>
      <c r="AG207" s="8" t="s">
        <v>54</v>
      </c>
      <c r="AH207" s="8" t="s">
        <v>54</v>
      </c>
      <c r="AI207" s="10" t="s">
        <v>67</v>
      </c>
      <c r="AJ207" s="8">
        <f>COUNTIF($E$207:$AI$207,"P")</f>
        <v>26</v>
      </c>
      <c r="AK207" s="8">
        <f>COUNTIF($E$207:$AI$207,"A")</f>
        <v>0</v>
      </c>
      <c r="AL207" s="8">
        <f>SUM($E$208:$AI$208)</f>
        <v>32</v>
      </c>
      <c r="AM207" s="8">
        <f>SUM($E$209:$AI$209)</f>
        <v>79</v>
      </c>
      <c r="AN207" s="8">
        <f>AL207+AM207</f>
        <v>111</v>
      </c>
      <c r="AO207" s="8">
        <f>COUNTIF($E$207:$AI$207,"CL")</f>
        <v>0</v>
      </c>
      <c r="AP207" s="8">
        <f>COUNTIF($E$207:$AI$207,"SL")</f>
        <v>0</v>
      </c>
      <c r="AQ207" s="8">
        <f>COUNTIF($E$207:$AI$207,"EL")</f>
        <v>0</v>
      </c>
      <c r="AR207" s="8">
        <f>COUNTIF($E$207:$AI$207,"H")</f>
        <v>0</v>
      </c>
      <c r="AS207" s="8"/>
      <c r="AT207" s="11" t="s">
        <v>10</v>
      </c>
    </row>
    <row r="208" spans="1:46" ht="15.1" customHeight="1">
      <c r="A208" s="8"/>
      <c r="B208" s="9"/>
      <c r="C208" s="8"/>
      <c r="D208" s="9"/>
      <c r="E208" s="8">
        <v>2</v>
      </c>
      <c r="F208" s="8">
        <v>2</v>
      </c>
      <c r="G208" s="8">
        <v>0</v>
      </c>
      <c r="H208" s="8">
        <v>2</v>
      </c>
      <c r="I208" s="8">
        <v>2</v>
      </c>
      <c r="J208" s="8">
        <v>2</v>
      </c>
      <c r="K208" s="8">
        <v>2</v>
      </c>
      <c r="L208" s="8">
        <v>2</v>
      </c>
      <c r="M208" s="8">
        <v>2</v>
      </c>
      <c r="N208" s="8">
        <v>0</v>
      </c>
      <c r="O208" s="8">
        <v>2</v>
      </c>
      <c r="P208" s="8">
        <v>2</v>
      </c>
      <c r="Q208" s="8">
        <v>2</v>
      </c>
      <c r="R208" s="8">
        <v>0</v>
      </c>
      <c r="S208" s="8">
        <v>2</v>
      </c>
      <c r="T208" s="8">
        <v>2</v>
      </c>
      <c r="U208" s="8">
        <v>0</v>
      </c>
      <c r="V208" s="8">
        <v>2</v>
      </c>
      <c r="W208" s="8">
        <v>2</v>
      </c>
      <c r="X208" s="8">
        <v>2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11" t="s">
        <v>10</v>
      </c>
    </row>
    <row r="209" spans="1:46" ht="15.1" customHeight="1">
      <c r="A209" s="8"/>
      <c r="B209" s="9"/>
      <c r="C209" s="8"/>
      <c r="D209" s="9"/>
      <c r="E209" s="8">
        <v>7</v>
      </c>
      <c r="F209" s="8">
        <v>3</v>
      </c>
      <c r="G209" s="8">
        <v>13</v>
      </c>
      <c r="H209" s="8">
        <v>3</v>
      </c>
      <c r="I209" s="8">
        <v>7</v>
      </c>
      <c r="J209" s="8">
        <v>3</v>
      </c>
      <c r="K209" s="8">
        <v>5</v>
      </c>
      <c r="L209" s="8">
        <v>3</v>
      </c>
      <c r="M209" s="8">
        <v>3</v>
      </c>
      <c r="N209" s="8">
        <v>0</v>
      </c>
      <c r="O209" s="8">
        <v>7</v>
      </c>
      <c r="P209" s="8">
        <v>3</v>
      </c>
      <c r="Q209" s="8">
        <v>4</v>
      </c>
      <c r="R209" s="8">
        <v>0</v>
      </c>
      <c r="S209" s="8">
        <v>3</v>
      </c>
      <c r="T209" s="8">
        <v>5</v>
      </c>
      <c r="U209" s="8">
        <v>0</v>
      </c>
      <c r="V209" s="8">
        <v>5</v>
      </c>
      <c r="W209" s="8">
        <v>5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11" t="s">
        <v>10</v>
      </c>
    </row>
    <row r="210" spans="1:46" ht="15.1" customHeight="1">
      <c r="A210" s="8">
        <v>69</v>
      </c>
      <c r="B210" s="9" t="s">
        <v>400</v>
      </c>
      <c r="C210" s="8" t="s">
        <v>401</v>
      </c>
      <c r="D210" s="9" t="s">
        <v>266</v>
      </c>
      <c r="E210" s="8" t="s">
        <v>54</v>
      </c>
      <c r="F210" s="8" t="s">
        <v>54</v>
      </c>
      <c r="G210" s="10" t="s">
        <v>67</v>
      </c>
      <c r="H210" s="8" t="s">
        <v>54</v>
      </c>
      <c r="I210" s="8" t="s">
        <v>54</v>
      </c>
      <c r="J210" s="8" t="s">
        <v>54</v>
      </c>
      <c r="K210" s="8" t="s">
        <v>54</v>
      </c>
      <c r="L210" s="8" t="s">
        <v>54</v>
      </c>
      <c r="M210" s="8" t="s">
        <v>54</v>
      </c>
      <c r="N210" s="10" t="s">
        <v>67</v>
      </c>
      <c r="O210" s="8" t="s">
        <v>54</v>
      </c>
      <c r="P210" s="8" t="s">
        <v>54</v>
      </c>
      <c r="Q210" s="8" t="s">
        <v>54</v>
      </c>
      <c r="R210" s="8" t="s">
        <v>54</v>
      </c>
      <c r="S210" s="8" t="s">
        <v>54</v>
      </c>
      <c r="T210" s="8" t="s">
        <v>54</v>
      </c>
      <c r="U210" s="10" t="s">
        <v>67</v>
      </c>
      <c r="V210" s="8" t="s">
        <v>54</v>
      </c>
      <c r="W210" s="8" t="s">
        <v>54</v>
      </c>
      <c r="X210" s="8" t="s">
        <v>54</v>
      </c>
      <c r="Y210" s="8" t="s">
        <v>54</v>
      </c>
      <c r="Z210" s="8" t="s">
        <v>54</v>
      </c>
      <c r="AA210" s="8" t="s">
        <v>54</v>
      </c>
      <c r="AB210" s="10" t="s">
        <v>67</v>
      </c>
      <c r="AC210" s="8" t="s">
        <v>54</v>
      </c>
      <c r="AD210" s="8" t="s">
        <v>54</v>
      </c>
      <c r="AE210" s="8" t="s">
        <v>54</v>
      </c>
      <c r="AF210" s="8" t="s">
        <v>54</v>
      </c>
      <c r="AG210" s="8" t="s">
        <v>54</v>
      </c>
      <c r="AH210" s="8" t="s">
        <v>54</v>
      </c>
      <c r="AI210" s="10" t="s">
        <v>67</v>
      </c>
      <c r="AJ210" s="8">
        <f>COUNTIF($E$210:$AI$210,"P")</f>
        <v>26</v>
      </c>
      <c r="AK210" s="8">
        <f>COUNTIF($E$210:$AI$210,"A")</f>
        <v>0</v>
      </c>
      <c r="AL210" s="8">
        <f>SUM($E$211:$AI$211)</f>
        <v>34</v>
      </c>
      <c r="AM210" s="8">
        <f>SUM($E$212:$AI$212)</f>
        <v>145.5</v>
      </c>
      <c r="AN210" s="8">
        <f>AL210+AM210</f>
        <v>179.5</v>
      </c>
      <c r="AO210" s="8">
        <f>COUNTIF($E$210:$AI$210,"CL")</f>
        <v>0</v>
      </c>
      <c r="AP210" s="8">
        <f>COUNTIF($E$210:$AI$210,"SL")</f>
        <v>0</v>
      </c>
      <c r="AQ210" s="8">
        <f>COUNTIF($E$210:$AI$210,"EL")</f>
        <v>0</v>
      </c>
      <c r="AR210" s="8">
        <f>COUNTIF($E$210:$AI$210,"H")</f>
        <v>0</v>
      </c>
      <c r="AS210" s="8"/>
      <c r="AT210" s="11" t="s">
        <v>10</v>
      </c>
    </row>
    <row r="211" spans="1:46" ht="15.1" customHeight="1">
      <c r="A211" s="8"/>
      <c r="B211" s="9"/>
      <c r="C211" s="8"/>
      <c r="D211" s="9"/>
      <c r="E211" s="8">
        <v>2</v>
      </c>
      <c r="F211" s="8">
        <v>2</v>
      </c>
      <c r="G211" s="8">
        <v>0</v>
      </c>
      <c r="H211" s="8">
        <v>2</v>
      </c>
      <c r="I211" s="8">
        <v>2</v>
      </c>
      <c r="J211" s="8">
        <v>2</v>
      </c>
      <c r="K211" s="8">
        <v>2</v>
      </c>
      <c r="L211" s="8">
        <v>2</v>
      </c>
      <c r="M211" s="8">
        <v>2</v>
      </c>
      <c r="N211" s="8">
        <v>0</v>
      </c>
      <c r="O211" s="8">
        <v>2</v>
      </c>
      <c r="P211" s="8">
        <v>2</v>
      </c>
      <c r="Q211" s="8">
        <v>2</v>
      </c>
      <c r="R211" s="8">
        <v>2</v>
      </c>
      <c r="S211" s="8">
        <v>2</v>
      </c>
      <c r="T211" s="8">
        <v>2</v>
      </c>
      <c r="U211" s="8">
        <v>0</v>
      </c>
      <c r="V211" s="8">
        <v>2</v>
      </c>
      <c r="W211" s="8">
        <v>2</v>
      </c>
      <c r="X211" s="8">
        <v>2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11" t="s">
        <v>10</v>
      </c>
    </row>
    <row r="212" spans="1:46" ht="15.1" customHeight="1">
      <c r="A212" s="8"/>
      <c r="B212" s="9"/>
      <c r="C212" s="8"/>
      <c r="D212" s="9"/>
      <c r="E212" s="8">
        <v>3</v>
      </c>
      <c r="F212" s="8">
        <v>3</v>
      </c>
      <c r="G212" s="8">
        <v>14.5</v>
      </c>
      <c r="H212" s="8">
        <v>5</v>
      </c>
      <c r="I212" s="8">
        <v>7</v>
      </c>
      <c r="J212" s="8">
        <v>7</v>
      </c>
      <c r="K212" s="8">
        <v>7</v>
      </c>
      <c r="L212" s="8">
        <v>7</v>
      </c>
      <c r="M212" s="8">
        <v>5</v>
      </c>
      <c r="N212" s="8">
        <v>16.5</v>
      </c>
      <c r="O212" s="8">
        <v>7</v>
      </c>
      <c r="P212" s="8">
        <v>7</v>
      </c>
      <c r="Q212" s="8">
        <v>8</v>
      </c>
      <c r="R212" s="8">
        <v>7</v>
      </c>
      <c r="S212" s="8">
        <v>7</v>
      </c>
      <c r="T212" s="8">
        <v>5</v>
      </c>
      <c r="U212" s="8">
        <v>12.5</v>
      </c>
      <c r="V212" s="8">
        <v>7</v>
      </c>
      <c r="W212" s="8">
        <v>5</v>
      </c>
      <c r="X212" s="8">
        <v>5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11" t="s">
        <v>10</v>
      </c>
    </row>
    <row r="213" spans="1:46" ht="15.1" customHeight="1">
      <c r="A213" s="8">
        <v>70</v>
      </c>
      <c r="B213" s="9" t="s">
        <v>402</v>
      </c>
      <c r="C213" s="8" t="s">
        <v>403</v>
      </c>
      <c r="D213" s="9" t="s">
        <v>266</v>
      </c>
      <c r="E213" s="8" t="s">
        <v>54</v>
      </c>
      <c r="F213" s="8" t="s">
        <v>54</v>
      </c>
      <c r="G213" s="10" t="s">
        <v>67</v>
      </c>
      <c r="H213" s="8" t="s">
        <v>54</v>
      </c>
      <c r="I213" s="8" t="s">
        <v>54</v>
      </c>
      <c r="J213" s="8" t="s">
        <v>54</v>
      </c>
      <c r="K213" s="8" t="s">
        <v>54</v>
      </c>
      <c r="L213" s="8" t="s">
        <v>54</v>
      </c>
      <c r="M213" s="8" t="s">
        <v>54</v>
      </c>
      <c r="N213" s="10" t="s">
        <v>67</v>
      </c>
      <c r="O213" s="8" t="s">
        <v>54</v>
      </c>
      <c r="P213" s="8" t="s">
        <v>54</v>
      </c>
      <c r="Q213" s="8" t="s">
        <v>54</v>
      </c>
      <c r="R213" s="8" t="s">
        <v>54</v>
      </c>
      <c r="S213" s="8" t="s">
        <v>54</v>
      </c>
      <c r="T213" s="8" t="s">
        <v>54</v>
      </c>
      <c r="U213" s="10" t="s">
        <v>67</v>
      </c>
      <c r="V213" s="8" t="s">
        <v>54</v>
      </c>
      <c r="W213" s="8" t="s">
        <v>54</v>
      </c>
      <c r="X213" s="8" t="s">
        <v>54</v>
      </c>
      <c r="Y213" s="8" t="s">
        <v>54</v>
      </c>
      <c r="Z213" s="8" t="s">
        <v>54</v>
      </c>
      <c r="AA213" s="8" t="s">
        <v>54</v>
      </c>
      <c r="AB213" s="10" t="s">
        <v>67</v>
      </c>
      <c r="AC213" s="8" t="s">
        <v>54</v>
      </c>
      <c r="AD213" s="8" t="s">
        <v>54</v>
      </c>
      <c r="AE213" s="8" t="s">
        <v>54</v>
      </c>
      <c r="AF213" s="8" t="s">
        <v>54</v>
      </c>
      <c r="AG213" s="8" t="s">
        <v>54</v>
      </c>
      <c r="AH213" s="8" t="s">
        <v>54</v>
      </c>
      <c r="AI213" s="10" t="s">
        <v>67</v>
      </c>
      <c r="AJ213" s="8">
        <f>COUNTIF($E$213:$AI$213,"P")</f>
        <v>26</v>
      </c>
      <c r="AK213" s="8">
        <f>COUNTIF($E$213:$AI$213,"A")</f>
        <v>0</v>
      </c>
      <c r="AL213" s="8">
        <f>SUM($E$214:$AI$214)</f>
        <v>34</v>
      </c>
      <c r="AM213" s="8">
        <f>SUM($E$215:$AI$215)</f>
        <v>139</v>
      </c>
      <c r="AN213" s="8">
        <f>AL213+AM213</f>
        <v>173</v>
      </c>
      <c r="AO213" s="8">
        <f>COUNTIF($E$213:$AI$213,"CL")</f>
        <v>0</v>
      </c>
      <c r="AP213" s="8">
        <f>COUNTIF($E$213:$AI$213,"SL")</f>
        <v>0</v>
      </c>
      <c r="AQ213" s="8">
        <f>COUNTIF($E$213:$AI$213,"EL")</f>
        <v>0</v>
      </c>
      <c r="AR213" s="8">
        <f>COUNTIF($E$213:$AI$213,"H")</f>
        <v>0</v>
      </c>
      <c r="AS213" s="8"/>
      <c r="AT213" s="11" t="s">
        <v>10</v>
      </c>
    </row>
    <row r="214" spans="1:46" ht="15.1" customHeight="1">
      <c r="A214" s="8"/>
      <c r="B214" s="9"/>
      <c r="C214" s="8"/>
      <c r="D214" s="9"/>
      <c r="E214" s="8">
        <v>2</v>
      </c>
      <c r="F214" s="8">
        <v>2</v>
      </c>
      <c r="G214" s="8">
        <v>0</v>
      </c>
      <c r="H214" s="8">
        <v>2</v>
      </c>
      <c r="I214" s="8">
        <v>2</v>
      </c>
      <c r="J214" s="8">
        <v>2</v>
      </c>
      <c r="K214" s="8">
        <v>2</v>
      </c>
      <c r="L214" s="8">
        <v>2</v>
      </c>
      <c r="M214" s="8">
        <v>2</v>
      </c>
      <c r="N214" s="8">
        <v>0</v>
      </c>
      <c r="O214" s="8">
        <v>2</v>
      </c>
      <c r="P214" s="8">
        <v>2</v>
      </c>
      <c r="Q214" s="8">
        <v>2</v>
      </c>
      <c r="R214" s="8">
        <v>2</v>
      </c>
      <c r="S214" s="8">
        <v>2</v>
      </c>
      <c r="T214" s="8">
        <v>2</v>
      </c>
      <c r="U214" s="8">
        <v>0</v>
      </c>
      <c r="V214" s="8">
        <v>2</v>
      </c>
      <c r="W214" s="8">
        <v>2</v>
      </c>
      <c r="X214" s="8">
        <v>2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11" t="s">
        <v>10</v>
      </c>
    </row>
    <row r="215" spans="1:46" ht="15.1" customHeight="1">
      <c r="A215" s="8"/>
      <c r="B215" s="9"/>
      <c r="C215" s="8"/>
      <c r="D215" s="9"/>
      <c r="E215" s="8">
        <v>3</v>
      </c>
      <c r="F215" s="8">
        <v>3</v>
      </c>
      <c r="G215" s="8">
        <v>15</v>
      </c>
      <c r="H215" s="8">
        <v>3</v>
      </c>
      <c r="I215" s="8">
        <v>7</v>
      </c>
      <c r="J215" s="8">
        <v>7</v>
      </c>
      <c r="K215" s="8">
        <v>3</v>
      </c>
      <c r="L215" s="8">
        <v>5</v>
      </c>
      <c r="M215" s="8">
        <v>5</v>
      </c>
      <c r="N215" s="8">
        <v>17</v>
      </c>
      <c r="O215" s="8">
        <v>7</v>
      </c>
      <c r="P215" s="8">
        <v>7</v>
      </c>
      <c r="Q215" s="8">
        <v>8</v>
      </c>
      <c r="R215" s="8">
        <v>7</v>
      </c>
      <c r="S215" s="8">
        <v>7</v>
      </c>
      <c r="T215" s="8">
        <v>5</v>
      </c>
      <c r="U215" s="8">
        <v>13</v>
      </c>
      <c r="V215" s="8">
        <v>7</v>
      </c>
      <c r="W215" s="8">
        <v>5</v>
      </c>
      <c r="X215" s="8">
        <v>5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11" t="s">
        <v>10</v>
      </c>
    </row>
    <row r="216" spans="1:46" ht="15.1" customHeight="1">
      <c r="A216" s="8">
        <v>71</v>
      </c>
      <c r="B216" s="9" t="s">
        <v>404</v>
      </c>
      <c r="C216" s="8" t="s">
        <v>405</v>
      </c>
      <c r="D216" s="9" t="s">
        <v>266</v>
      </c>
      <c r="E216" s="8" t="s">
        <v>54</v>
      </c>
      <c r="F216" s="8" t="s">
        <v>54</v>
      </c>
      <c r="G216" s="10" t="s">
        <v>67</v>
      </c>
      <c r="H216" s="8" t="s">
        <v>54</v>
      </c>
      <c r="I216" s="8" t="s">
        <v>54</v>
      </c>
      <c r="J216" s="8" t="s">
        <v>54</v>
      </c>
      <c r="K216" s="8" t="s">
        <v>54</v>
      </c>
      <c r="L216" s="8" t="s">
        <v>54</v>
      </c>
      <c r="M216" s="8" t="s">
        <v>54</v>
      </c>
      <c r="N216" s="10" t="s">
        <v>67</v>
      </c>
      <c r="O216" s="8" t="s">
        <v>54</v>
      </c>
      <c r="P216" s="8" t="s">
        <v>54</v>
      </c>
      <c r="Q216" s="8" t="s">
        <v>54</v>
      </c>
      <c r="R216" s="8" t="s">
        <v>54</v>
      </c>
      <c r="S216" s="8" t="s">
        <v>54</v>
      </c>
      <c r="T216" s="8" t="s">
        <v>54</v>
      </c>
      <c r="U216" s="10" t="s">
        <v>67</v>
      </c>
      <c r="V216" s="8" t="s">
        <v>54</v>
      </c>
      <c r="W216" s="8" t="s">
        <v>54</v>
      </c>
      <c r="X216" s="8" t="s">
        <v>54</v>
      </c>
      <c r="Y216" s="8" t="s">
        <v>54</v>
      </c>
      <c r="Z216" s="8" t="s">
        <v>54</v>
      </c>
      <c r="AA216" s="8" t="s">
        <v>54</v>
      </c>
      <c r="AB216" s="10" t="s">
        <v>67</v>
      </c>
      <c r="AC216" s="8" t="s">
        <v>54</v>
      </c>
      <c r="AD216" s="8" t="s">
        <v>54</v>
      </c>
      <c r="AE216" s="8" t="s">
        <v>54</v>
      </c>
      <c r="AF216" s="8" t="s">
        <v>54</v>
      </c>
      <c r="AG216" s="8" t="s">
        <v>54</v>
      </c>
      <c r="AH216" s="8" t="s">
        <v>54</v>
      </c>
      <c r="AI216" s="10" t="s">
        <v>67</v>
      </c>
      <c r="AJ216" s="8">
        <f>COUNTIF($E$216:$AI$216,"P")</f>
        <v>26</v>
      </c>
      <c r="AK216" s="8">
        <f>COUNTIF($E$216:$AI$216,"A")</f>
        <v>0</v>
      </c>
      <c r="AL216" s="8">
        <f>SUM($E$217:$AI$217)</f>
        <v>32</v>
      </c>
      <c r="AM216" s="8">
        <f>SUM($E$218:$AI$218)</f>
        <v>117</v>
      </c>
      <c r="AN216" s="8">
        <f>AL216+AM216</f>
        <v>149</v>
      </c>
      <c r="AO216" s="8">
        <f>COUNTIF($E$216:$AI$216,"CL")</f>
        <v>0</v>
      </c>
      <c r="AP216" s="8">
        <f>COUNTIF($E$216:$AI$216,"SL")</f>
        <v>0</v>
      </c>
      <c r="AQ216" s="8">
        <f>COUNTIF($E$216:$AI$216,"EL")</f>
        <v>0</v>
      </c>
      <c r="AR216" s="8">
        <f>COUNTIF($E$216:$AI$216,"H")</f>
        <v>0</v>
      </c>
      <c r="AS216" s="8"/>
      <c r="AT216" s="11" t="s">
        <v>10</v>
      </c>
    </row>
    <row r="217" spans="1:46" ht="15.1" customHeight="1">
      <c r="A217" s="8"/>
      <c r="B217" s="9"/>
      <c r="C217" s="8"/>
      <c r="D217" s="9"/>
      <c r="E217" s="8">
        <v>2</v>
      </c>
      <c r="F217" s="8">
        <v>2</v>
      </c>
      <c r="G217" s="8">
        <v>0</v>
      </c>
      <c r="H217" s="8">
        <v>2</v>
      </c>
      <c r="I217" s="8">
        <v>2</v>
      </c>
      <c r="J217" s="8">
        <v>2</v>
      </c>
      <c r="K217" s="8">
        <v>2</v>
      </c>
      <c r="L217" s="8">
        <v>2</v>
      </c>
      <c r="M217" s="8">
        <v>2</v>
      </c>
      <c r="N217" s="8">
        <v>0</v>
      </c>
      <c r="O217" s="8">
        <v>2</v>
      </c>
      <c r="P217" s="8">
        <v>2</v>
      </c>
      <c r="Q217" s="8">
        <v>2</v>
      </c>
      <c r="R217" s="8">
        <v>2</v>
      </c>
      <c r="S217" s="8">
        <v>0</v>
      </c>
      <c r="T217" s="8">
        <v>2</v>
      </c>
      <c r="U217" s="8">
        <v>0</v>
      </c>
      <c r="V217" s="8">
        <v>2</v>
      </c>
      <c r="W217" s="8">
        <v>2</v>
      </c>
      <c r="X217" s="8">
        <v>2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11" t="s">
        <v>10</v>
      </c>
    </row>
    <row r="218" spans="1:46" ht="15.1" customHeight="1">
      <c r="A218" s="8"/>
      <c r="B218" s="9"/>
      <c r="C218" s="8"/>
      <c r="D218" s="9"/>
      <c r="E218" s="8">
        <v>3</v>
      </c>
      <c r="F218" s="8">
        <v>3</v>
      </c>
      <c r="G218" s="8">
        <v>13</v>
      </c>
      <c r="H218" s="8">
        <v>3</v>
      </c>
      <c r="I218" s="8">
        <v>5</v>
      </c>
      <c r="J218" s="8">
        <v>7</v>
      </c>
      <c r="K218" s="8">
        <v>3</v>
      </c>
      <c r="L218" s="8">
        <v>3</v>
      </c>
      <c r="M218" s="8">
        <v>3</v>
      </c>
      <c r="N218" s="8">
        <v>16</v>
      </c>
      <c r="O218" s="8">
        <v>7</v>
      </c>
      <c r="P218" s="8">
        <v>6.5</v>
      </c>
      <c r="Q218" s="8">
        <v>6</v>
      </c>
      <c r="R218" s="8">
        <v>7</v>
      </c>
      <c r="S218" s="8">
        <v>0</v>
      </c>
      <c r="T218" s="8">
        <v>4.5</v>
      </c>
      <c r="U218" s="8">
        <v>12</v>
      </c>
      <c r="V218" s="8">
        <v>5</v>
      </c>
      <c r="W218" s="8">
        <v>5</v>
      </c>
      <c r="X218" s="8">
        <v>5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11" t="s">
        <v>10</v>
      </c>
    </row>
    <row r="219" spans="1:46" ht="15.1" customHeight="1">
      <c r="A219" s="8">
        <v>72</v>
      </c>
      <c r="B219" s="9" t="s">
        <v>406</v>
      </c>
      <c r="C219" s="8" t="s">
        <v>407</v>
      </c>
      <c r="D219" s="9" t="s">
        <v>266</v>
      </c>
      <c r="E219" s="8" t="s">
        <v>54</v>
      </c>
      <c r="F219" s="8" t="s">
        <v>54</v>
      </c>
      <c r="G219" s="10" t="s">
        <v>67</v>
      </c>
      <c r="H219" s="8" t="s">
        <v>54</v>
      </c>
      <c r="I219" s="8" t="s">
        <v>54</v>
      </c>
      <c r="J219" s="8" t="s">
        <v>54</v>
      </c>
      <c r="K219" s="8" t="s">
        <v>54</v>
      </c>
      <c r="L219" s="8" t="s">
        <v>54</v>
      </c>
      <c r="M219" s="8" t="s">
        <v>54</v>
      </c>
      <c r="N219" s="10" t="s">
        <v>67</v>
      </c>
      <c r="O219" s="8" t="s">
        <v>54</v>
      </c>
      <c r="P219" s="8" t="s">
        <v>54</v>
      </c>
      <c r="Q219" s="8" t="s">
        <v>54</v>
      </c>
      <c r="R219" s="8" t="s">
        <v>54</v>
      </c>
      <c r="S219" s="8" t="s">
        <v>54</v>
      </c>
      <c r="T219" s="8" t="s">
        <v>54</v>
      </c>
      <c r="U219" s="10" t="s">
        <v>67</v>
      </c>
      <c r="V219" s="8" t="s">
        <v>54</v>
      </c>
      <c r="W219" s="8" t="s">
        <v>54</v>
      </c>
      <c r="X219" s="8" t="s">
        <v>54</v>
      </c>
      <c r="Y219" s="8" t="s">
        <v>54</v>
      </c>
      <c r="Z219" s="8" t="s">
        <v>54</v>
      </c>
      <c r="AA219" s="8" t="s">
        <v>54</v>
      </c>
      <c r="AB219" s="10" t="s">
        <v>67</v>
      </c>
      <c r="AC219" s="8" t="s">
        <v>54</v>
      </c>
      <c r="AD219" s="8" t="s">
        <v>54</v>
      </c>
      <c r="AE219" s="8" t="s">
        <v>54</v>
      </c>
      <c r="AF219" s="8" t="s">
        <v>54</v>
      </c>
      <c r="AG219" s="8" t="s">
        <v>54</v>
      </c>
      <c r="AH219" s="8" t="s">
        <v>54</v>
      </c>
      <c r="AI219" s="10" t="s">
        <v>67</v>
      </c>
      <c r="AJ219" s="8">
        <f>COUNTIF($E$219:$AI$219,"P")</f>
        <v>26</v>
      </c>
      <c r="AK219" s="8">
        <f>COUNTIF($E$219:$AI$219,"A")</f>
        <v>0</v>
      </c>
      <c r="AL219" s="8">
        <f>SUM($E$220:$AI$220)</f>
        <v>34</v>
      </c>
      <c r="AM219" s="8">
        <f>SUM($E$221:$AI$221)</f>
        <v>126</v>
      </c>
      <c r="AN219" s="8">
        <f>AL219+AM219</f>
        <v>160</v>
      </c>
      <c r="AO219" s="8">
        <f>COUNTIF($E$219:$AI$219,"CL")</f>
        <v>0</v>
      </c>
      <c r="AP219" s="8">
        <f>COUNTIF($E$219:$AI$219,"SL")</f>
        <v>0</v>
      </c>
      <c r="AQ219" s="8">
        <f>COUNTIF($E$219:$AI$219,"EL")</f>
        <v>0</v>
      </c>
      <c r="AR219" s="8">
        <f>COUNTIF($E$219:$AI$219,"H")</f>
        <v>0</v>
      </c>
      <c r="AS219" s="8"/>
      <c r="AT219" s="11" t="s">
        <v>10</v>
      </c>
    </row>
    <row r="220" spans="1:46" ht="15.1" customHeight="1">
      <c r="A220" s="8"/>
      <c r="B220" s="9"/>
      <c r="C220" s="8"/>
      <c r="D220" s="9"/>
      <c r="E220" s="8">
        <v>2</v>
      </c>
      <c r="F220" s="8">
        <v>2</v>
      </c>
      <c r="G220" s="8">
        <v>0</v>
      </c>
      <c r="H220" s="8">
        <v>2</v>
      </c>
      <c r="I220" s="8">
        <v>2</v>
      </c>
      <c r="J220" s="8">
        <v>2</v>
      </c>
      <c r="K220" s="8">
        <v>2</v>
      </c>
      <c r="L220" s="8">
        <v>2</v>
      </c>
      <c r="M220" s="8">
        <v>2</v>
      </c>
      <c r="N220" s="8">
        <v>0</v>
      </c>
      <c r="O220" s="8">
        <v>2</v>
      </c>
      <c r="P220" s="8">
        <v>2</v>
      </c>
      <c r="Q220" s="8">
        <v>2</v>
      </c>
      <c r="R220" s="8">
        <v>2</v>
      </c>
      <c r="S220" s="8">
        <v>2</v>
      </c>
      <c r="T220" s="8">
        <v>2</v>
      </c>
      <c r="U220" s="8">
        <v>0</v>
      </c>
      <c r="V220" s="8">
        <v>2</v>
      </c>
      <c r="W220" s="8">
        <v>2</v>
      </c>
      <c r="X220" s="8">
        <v>2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11" t="s">
        <v>10</v>
      </c>
    </row>
    <row r="221" spans="1:46" ht="15.1" customHeight="1">
      <c r="A221" s="8"/>
      <c r="B221" s="9"/>
      <c r="C221" s="8"/>
      <c r="D221" s="9"/>
      <c r="E221" s="8">
        <v>7</v>
      </c>
      <c r="F221" s="8">
        <v>3</v>
      </c>
      <c r="G221" s="8">
        <v>15</v>
      </c>
      <c r="H221" s="8">
        <v>3</v>
      </c>
      <c r="I221" s="8">
        <v>7</v>
      </c>
      <c r="J221" s="8">
        <v>3</v>
      </c>
      <c r="K221" s="8">
        <v>5</v>
      </c>
      <c r="L221" s="8">
        <v>3</v>
      </c>
      <c r="M221" s="8">
        <v>3</v>
      </c>
      <c r="N221" s="8">
        <v>15</v>
      </c>
      <c r="O221" s="8">
        <v>7</v>
      </c>
      <c r="P221" s="8">
        <v>7</v>
      </c>
      <c r="Q221" s="8">
        <v>8</v>
      </c>
      <c r="R221" s="8">
        <v>5</v>
      </c>
      <c r="S221" s="8">
        <v>7</v>
      </c>
      <c r="T221" s="8">
        <v>5</v>
      </c>
      <c r="U221" s="8">
        <v>8</v>
      </c>
      <c r="V221" s="8">
        <v>5</v>
      </c>
      <c r="W221" s="8">
        <v>5</v>
      </c>
      <c r="X221" s="8">
        <v>5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11" t="s">
        <v>10</v>
      </c>
    </row>
    <row r="222" spans="1:46" ht="15.1" customHeight="1">
      <c r="A222" s="8">
        <v>73</v>
      </c>
      <c r="B222" s="9" t="s">
        <v>408</v>
      </c>
      <c r="C222" s="8" t="s">
        <v>409</v>
      </c>
      <c r="D222" s="9" t="s">
        <v>266</v>
      </c>
      <c r="E222" s="8" t="s">
        <v>54</v>
      </c>
      <c r="F222" s="8" t="s">
        <v>54</v>
      </c>
      <c r="G222" s="10" t="s">
        <v>67</v>
      </c>
      <c r="H222" s="8" t="s">
        <v>54</v>
      </c>
      <c r="I222" s="8" t="s">
        <v>54</v>
      </c>
      <c r="J222" s="8" t="s">
        <v>54</v>
      </c>
      <c r="K222" s="8" t="s">
        <v>54</v>
      </c>
      <c r="L222" s="8" t="s">
        <v>54</v>
      </c>
      <c r="M222" s="8" t="s">
        <v>54</v>
      </c>
      <c r="N222" s="10" t="s">
        <v>67</v>
      </c>
      <c r="O222" s="8" t="s">
        <v>54</v>
      </c>
      <c r="P222" s="8" t="s">
        <v>54</v>
      </c>
      <c r="Q222" s="8" t="s">
        <v>54</v>
      </c>
      <c r="R222" s="8" t="s">
        <v>54</v>
      </c>
      <c r="S222" s="8" t="s">
        <v>54</v>
      </c>
      <c r="T222" s="8" t="s">
        <v>54</v>
      </c>
      <c r="U222" s="10" t="s">
        <v>67</v>
      </c>
      <c r="V222" s="8" t="s">
        <v>54</v>
      </c>
      <c r="W222" s="8" t="s">
        <v>54</v>
      </c>
      <c r="X222" s="8" t="s">
        <v>54</v>
      </c>
      <c r="Y222" s="8" t="s">
        <v>54</v>
      </c>
      <c r="Z222" s="8" t="s">
        <v>54</v>
      </c>
      <c r="AA222" s="8" t="s">
        <v>54</v>
      </c>
      <c r="AB222" s="10" t="s">
        <v>67</v>
      </c>
      <c r="AC222" s="8" t="s">
        <v>54</v>
      </c>
      <c r="AD222" s="8" t="s">
        <v>54</v>
      </c>
      <c r="AE222" s="8" t="s">
        <v>54</v>
      </c>
      <c r="AF222" s="8" t="s">
        <v>54</v>
      </c>
      <c r="AG222" s="8" t="s">
        <v>54</v>
      </c>
      <c r="AH222" s="8" t="s">
        <v>54</v>
      </c>
      <c r="AI222" s="10" t="s">
        <v>67</v>
      </c>
      <c r="AJ222" s="8">
        <f>COUNTIF($E$222:$AI$222,"P")</f>
        <v>26</v>
      </c>
      <c r="AK222" s="8">
        <f>COUNTIF($E$222:$AI$222,"A")</f>
        <v>0</v>
      </c>
      <c r="AL222" s="8">
        <f>SUM($E$223:$AI$223)</f>
        <v>34</v>
      </c>
      <c r="AM222" s="8">
        <f>SUM($E$224:$AI$224)</f>
        <v>100.5</v>
      </c>
      <c r="AN222" s="8">
        <f>AL222+AM222</f>
        <v>134.5</v>
      </c>
      <c r="AO222" s="8">
        <f>COUNTIF($E$222:$AI$222,"CL")</f>
        <v>0</v>
      </c>
      <c r="AP222" s="8">
        <f>COUNTIF($E$222:$AI$222,"SL")</f>
        <v>0</v>
      </c>
      <c r="AQ222" s="8">
        <f>COUNTIF($E$222:$AI$222,"EL")</f>
        <v>0</v>
      </c>
      <c r="AR222" s="8">
        <f>COUNTIF($E$222:$AI$222,"H")</f>
        <v>0</v>
      </c>
      <c r="AS222" s="8"/>
      <c r="AT222" s="11" t="s">
        <v>10</v>
      </c>
    </row>
    <row r="223" spans="1:46" ht="15.1" customHeight="1">
      <c r="A223" s="8"/>
      <c r="B223" s="9"/>
      <c r="C223" s="8"/>
      <c r="D223" s="9"/>
      <c r="E223" s="8">
        <v>2</v>
      </c>
      <c r="F223" s="8">
        <v>2</v>
      </c>
      <c r="G223" s="8">
        <v>0</v>
      </c>
      <c r="H223" s="8">
        <v>2</v>
      </c>
      <c r="I223" s="8">
        <v>2</v>
      </c>
      <c r="J223" s="8">
        <v>2</v>
      </c>
      <c r="K223" s="8">
        <v>2</v>
      </c>
      <c r="L223" s="8">
        <v>2</v>
      </c>
      <c r="M223" s="8">
        <v>2</v>
      </c>
      <c r="N223" s="8">
        <v>0</v>
      </c>
      <c r="O223" s="8">
        <v>2</v>
      </c>
      <c r="P223" s="8">
        <v>2</v>
      </c>
      <c r="Q223" s="8">
        <v>2</v>
      </c>
      <c r="R223" s="8">
        <v>2</v>
      </c>
      <c r="S223" s="8">
        <v>2</v>
      </c>
      <c r="T223" s="8">
        <v>2</v>
      </c>
      <c r="U223" s="8">
        <v>0</v>
      </c>
      <c r="V223" s="8">
        <v>2</v>
      </c>
      <c r="W223" s="8">
        <v>2</v>
      </c>
      <c r="X223" s="8">
        <v>2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11" t="s">
        <v>10</v>
      </c>
    </row>
    <row r="224" spans="1:46" ht="15.1" customHeight="1">
      <c r="A224" s="8"/>
      <c r="B224" s="9"/>
      <c r="C224" s="8"/>
      <c r="D224" s="9"/>
      <c r="E224" s="8">
        <v>3</v>
      </c>
      <c r="F224" s="8">
        <v>3</v>
      </c>
      <c r="G224" s="8">
        <v>13</v>
      </c>
      <c r="H224" s="8">
        <v>0</v>
      </c>
      <c r="I224" s="8">
        <v>7</v>
      </c>
      <c r="J224" s="8">
        <v>3</v>
      </c>
      <c r="K224" s="8">
        <v>3</v>
      </c>
      <c r="L224" s="8">
        <v>3</v>
      </c>
      <c r="M224" s="8">
        <v>3.5</v>
      </c>
      <c r="N224" s="8">
        <v>17</v>
      </c>
      <c r="O224" s="8">
        <v>5</v>
      </c>
      <c r="P224" s="8">
        <v>5</v>
      </c>
      <c r="Q224" s="8">
        <v>4</v>
      </c>
      <c r="R224" s="8">
        <v>5</v>
      </c>
      <c r="S224" s="8">
        <v>5</v>
      </c>
      <c r="T224" s="8">
        <v>2</v>
      </c>
      <c r="U224" s="8">
        <v>8</v>
      </c>
      <c r="V224" s="8">
        <v>3</v>
      </c>
      <c r="W224" s="8">
        <v>5</v>
      </c>
      <c r="X224" s="8">
        <v>3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11" t="s">
        <v>10</v>
      </c>
    </row>
    <row r="225" spans="1:46" ht="15.1" customHeight="1">
      <c r="A225" s="8">
        <v>74</v>
      </c>
      <c r="B225" s="9" t="s">
        <v>410</v>
      </c>
      <c r="C225" s="8" t="s">
        <v>411</v>
      </c>
      <c r="D225" s="9" t="s">
        <v>266</v>
      </c>
      <c r="E225" s="8" t="s">
        <v>54</v>
      </c>
      <c r="F225" s="8" t="s">
        <v>54</v>
      </c>
      <c r="G225" s="10" t="s">
        <v>67</v>
      </c>
      <c r="H225" s="8" t="s">
        <v>54</v>
      </c>
      <c r="I225" s="8" t="s">
        <v>54</v>
      </c>
      <c r="J225" s="8" t="s">
        <v>54</v>
      </c>
      <c r="K225" s="8" t="s">
        <v>54</v>
      </c>
      <c r="L225" s="8" t="s">
        <v>54</v>
      </c>
      <c r="M225" s="8" t="s">
        <v>54</v>
      </c>
      <c r="N225" s="10" t="s">
        <v>67</v>
      </c>
      <c r="O225" s="8" t="s">
        <v>54</v>
      </c>
      <c r="P225" s="8" t="s">
        <v>54</v>
      </c>
      <c r="Q225" s="8" t="s">
        <v>54</v>
      </c>
      <c r="R225" s="8" t="s">
        <v>54</v>
      </c>
      <c r="S225" s="8" t="s">
        <v>54</v>
      </c>
      <c r="T225" s="8" t="s">
        <v>54</v>
      </c>
      <c r="U225" s="10" t="s">
        <v>67</v>
      </c>
      <c r="V225" s="8" t="s">
        <v>54</v>
      </c>
      <c r="W225" s="8" t="s">
        <v>54</v>
      </c>
      <c r="X225" s="8" t="s">
        <v>54</v>
      </c>
      <c r="Y225" s="8" t="s">
        <v>54</v>
      </c>
      <c r="Z225" s="8" t="s">
        <v>54</v>
      </c>
      <c r="AA225" s="8" t="s">
        <v>54</v>
      </c>
      <c r="AB225" s="10" t="s">
        <v>67</v>
      </c>
      <c r="AC225" s="8" t="s">
        <v>54</v>
      </c>
      <c r="AD225" s="8" t="s">
        <v>54</v>
      </c>
      <c r="AE225" s="8" t="s">
        <v>54</v>
      </c>
      <c r="AF225" s="8" t="s">
        <v>54</v>
      </c>
      <c r="AG225" s="8" t="s">
        <v>54</v>
      </c>
      <c r="AH225" s="8" t="s">
        <v>54</v>
      </c>
      <c r="AI225" s="10" t="s">
        <v>67</v>
      </c>
      <c r="AJ225" s="8">
        <f>COUNTIF($E$225:$AI$225,"P")</f>
        <v>26</v>
      </c>
      <c r="AK225" s="8">
        <f>COUNTIF($E$225:$AI$225,"A")</f>
        <v>0</v>
      </c>
      <c r="AL225" s="8">
        <f>SUM($E$226:$AI$226)</f>
        <v>34</v>
      </c>
      <c r="AM225" s="8">
        <f>SUM($E$227:$AI$227)</f>
        <v>110</v>
      </c>
      <c r="AN225" s="8">
        <f>AL225+AM225</f>
        <v>144</v>
      </c>
      <c r="AO225" s="8">
        <f>COUNTIF($E$225:$AI$225,"CL")</f>
        <v>0</v>
      </c>
      <c r="AP225" s="8">
        <f>COUNTIF($E$225:$AI$225,"SL")</f>
        <v>0</v>
      </c>
      <c r="AQ225" s="8">
        <f>COUNTIF($E$225:$AI$225,"EL")</f>
        <v>0</v>
      </c>
      <c r="AR225" s="8">
        <f>COUNTIF($E$225:$AI$225,"H")</f>
        <v>0</v>
      </c>
      <c r="AS225" s="8"/>
      <c r="AT225" s="11" t="s">
        <v>10</v>
      </c>
    </row>
    <row r="226" spans="1:46" ht="15.1" customHeight="1">
      <c r="A226" s="8"/>
      <c r="B226" s="9"/>
      <c r="C226" s="8"/>
      <c r="D226" s="9"/>
      <c r="E226" s="8">
        <v>2</v>
      </c>
      <c r="F226" s="8">
        <v>2</v>
      </c>
      <c r="G226" s="8">
        <v>0</v>
      </c>
      <c r="H226" s="8">
        <v>2</v>
      </c>
      <c r="I226" s="8">
        <v>2</v>
      </c>
      <c r="J226" s="8">
        <v>2</v>
      </c>
      <c r="K226" s="8">
        <v>2</v>
      </c>
      <c r="L226" s="8">
        <v>2</v>
      </c>
      <c r="M226" s="8">
        <v>2</v>
      </c>
      <c r="N226" s="8">
        <v>0</v>
      </c>
      <c r="O226" s="8">
        <v>2</v>
      </c>
      <c r="P226" s="8">
        <v>2</v>
      </c>
      <c r="Q226" s="8">
        <v>2</v>
      </c>
      <c r="R226" s="8">
        <v>2</v>
      </c>
      <c r="S226" s="8">
        <v>2</v>
      </c>
      <c r="T226" s="8">
        <v>2</v>
      </c>
      <c r="U226" s="8">
        <v>0</v>
      </c>
      <c r="V226" s="8">
        <v>2</v>
      </c>
      <c r="W226" s="8">
        <v>2</v>
      </c>
      <c r="X226" s="8">
        <v>2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11" t="s">
        <v>10</v>
      </c>
    </row>
    <row r="227" spans="1:46" ht="15.1" customHeight="1">
      <c r="A227" s="8"/>
      <c r="B227" s="9"/>
      <c r="C227" s="8"/>
      <c r="D227" s="9"/>
      <c r="E227" s="8">
        <v>2.5</v>
      </c>
      <c r="F227" s="8">
        <v>3</v>
      </c>
      <c r="G227" s="8">
        <v>12.5</v>
      </c>
      <c r="H227" s="8">
        <v>3</v>
      </c>
      <c r="I227" s="8">
        <v>7</v>
      </c>
      <c r="J227" s="8">
        <v>6</v>
      </c>
      <c r="K227" s="8">
        <v>5</v>
      </c>
      <c r="L227" s="8">
        <v>3</v>
      </c>
      <c r="M227" s="8">
        <v>3</v>
      </c>
      <c r="N227" s="8">
        <v>15</v>
      </c>
      <c r="O227" s="8">
        <v>5</v>
      </c>
      <c r="P227" s="8">
        <v>7</v>
      </c>
      <c r="Q227" s="8">
        <v>6</v>
      </c>
      <c r="R227" s="8">
        <v>5</v>
      </c>
      <c r="S227" s="8">
        <v>7</v>
      </c>
      <c r="T227" s="8">
        <v>5</v>
      </c>
      <c r="U227" s="8">
        <v>0</v>
      </c>
      <c r="V227" s="8">
        <v>5</v>
      </c>
      <c r="W227" s="8">
        <v>5</v>
      </c>
      <c r="X227" s="8">
        <v>5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11" t="s">
        <v>10</v>
      </c>
    </row>
    <row r="228" spans="1:46" ht="15.1" customHeight="1">
      <c r="A228" s="8">
        <v>75</v>
      </c>
      <c r="B228" s="9" t="s">
        <v>412</v>
      </c>
      <c r="C228" s="8" t="s">
        <v>413</v>
      </c>
      <c r="D228" s="9" t="s">
        <v>266</v>
      </c>
      <c r="E228" s="8" t="s">
        <v>54</v>
      </c>
      <c r="F228" s="8" t="s">
        <v>54</v>
      </c>
      <c r="G228" s="10" t="s">
        <v>67</v>
      </c>
      <c r="H228" s="8" t="s">
        <v>54</v>
      </c>
      <c r="I228" s="8" t="s">
        <v>54</v>
      </c>
      <c r="J228" s="8" t="s">
        <v>54</v>
      </c>
      <c r="K228" s="8" t="s">
        <v>54</v>
      </c>
      <c r="L228" s="8" t="s">
        <v>54</v>
      </c>
      <c r="M228" s="8" t="s">
        <v>54</v>
      </c>
      <c r="N228" s="10" t="s">
        <v>67</v>
      </c>
      <c r="O228" s="8" t="s">
        <v>54</v>
      </c>
      <c r="P228" s="8" t="s">
        <v>54</v>
      </c>
      <c r="Q228" s="8" t="s">
        <v>54</v>
      </c>
      <c r="R228" s="8" t="s">
        <v>54</v>
      </c>
      <c r="S228" s="8" t="s">
        <v>54</v>
      </c>
      <c r="T228" s="8" t="s">
        <v>54</v>
      </c>
      <c r="U228" s="10" t="s">
        <v>67</v>
      </c>
      <c r="V228" s="8" t="s">
        <v>54</v>
      </c>
      <c r="W228" s="8" t="s">
        <v>54</v>
      </c>
      <c r="X228" s="8" t="s">
        <v>54</v>
      </c>
      <c r="Y228" s="8" t="s">
        <v>54</v>
      </c>
      <c r="Z228" s="8" t="s">
        <v>54</v>
      </c>
      <c r="AA228" s="8" t="s">
        <v>54</v>
      </c>
      <c r="AB228" s="10" t="s">
        <v>67</v>
      </c>
      <c r="AC228" s="8" t="s">
        <v>54</v>
      </c>
      <c r="AD228" s="8" t="s">
        <v>54</v>
      </c>
      <c r="AE228" s="8" t="s">
        <v>54</v>
      </c>
      <c r="AF228" s="8" t="s">
        <v>54</v>
      </c>
      <c r="AG228" s="8" t="s">
        <v>54</v>
      </c>
      <c r="AH228" s="8" t="s">
        <v>54</v>
      </c>
      <c r="AI228" s="10" t="s">
        <v>67</v>
      </c>
      <c r="AJ228" s="8">
        <f>COUNTIF($E$228:$AI$228,"P")</f>
        <v>26</v>
      </c>
      <c r="AK228" s="8">
        <f>COUNTIF($E$228:$AI$228,"A")</f>
        <v>0</v>
      </c>
      <c r="AL228" s="8">
        <f>SUM($E$229:$AI$229)</f>
        <v>34</v>
      </c>
      <c r="AM228" s="8">
        <f>SUM($E$230:$AI$230)</f>
        <v>115</v>
      </c>
      <c r="AN228" s="8">
        <f>AL228+AM228</f>
        <v>149</v>
      </c>
      <c r="AO228" s="8">
        <f>COUNTIF($E$228:$AI$228,"CL")</f>
        <v>0</v>
      </c>
      <c r="AP228" s="8">
        <f>COUNTIF($E$228:$AI$228,"SL")</f>
        <v>0</v>
      </c>
      <c r="AQ228" s="8">
        <f>COUNTIF($E$228:$AI$228,"EL")</f>
        <v>0</v>
      </c>
      <c r="AR228" s="8">
        <f>COUNTIF($E$228:$AI$228,"H")</f>
        <v>0</v>
      </c>
      <c r="AS228" s="8"/>
      <c r="AT228" s="11" t="s">
        <v>10</v>
      </c>
    </row>
    <row r="229" spans="1:46" ht="15.1" customHeight="1">
      <c r="A229" s="8"/>
      <c r="B229" s="9"/>
      <c r="C229" s="8"/>
      <c r="D229" s="9"/>
      <c r="E229" s="8">
        <v>2</v>
      </c>
      <c r="F229" s="8">
        <v>2</v>
      </c>
      <c r="G229" s="8">
        <v>0</v>
      </c>
      <c r="H229" s="8">
        <v>2</v>
      </c>
      <c r="I229" s="8">
        <v>2</v>
      </c>
      <c r="J229" s="8">
        <v>2</v>
      </c>
      <c r="K229" s="8">
        <v>2</v>
      </c>
      <c r="L229" s="8">
        <v>2</v>
      </c>
      <c r="M229" s="8">
        <v>2</v>
      </c>
      <c r="N229" s="8">
        <v>0</v>
      </c>
      <c r="O229" s="8">
        <v>2</v>
      </c>
      <c r="P229" s="8">
        <v>2</v>
      </c>
      <c r="Q229" s="8">
        <v>2</v>
      </c>
      <c r="R229" s="8">
        <v>2</v>
      </c>
      <c r="S229" s="8">
        <v>2</v>
      </c>
      <c r="T229" s="8">
        <v>2</v>
      </c>
      <c r="U229" s="8">
        <v>0</v>
      </c>
      <c r="V229" s="8">
        <v>2</v>
      </c>
      <c r="W229" s="8">
        <v>2</v>
      </c>
      <c r="X229" s="8">
        <v>2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11" t="s">
        <v>10</v>
      </c>
    </row>
    <row r="230" spans="1:46" ht="15.1" customHeight="1">
      <c r="A230" s="8"/>
      <c r="B230" s="9"/>
      <c r="C230" s="8"/>
      <c r="D230" s="9"/>
      <c r="E230" s="8">
        <v>0</v>
      </c>
      <c r="F230" s="8">
        <v>3</v>
      </c>
      <c r="G230" s="8">
        <v>13</v>
      </c>
      <c r="H230" s="8">
        <v>3</v>
      </c>
      <c r="I230" s="8">
        <v>7</v>
      </c>
      <c r="J230" s="8">
        <v>7</v>
      </c>
      <c r="K230" s="8">
        <v>3</v>
      </c>
      <c r="L230" s="8">
        <v>3</v>
      </c>
      <c r="M230" s="8">
        <v>5</v>
      </c>
      <c r="N230" s="8">
        <v>17</v>
      </c>
      <c r="O230" s="8">
        <v>7</v>
      </c>
      <c r="P230" s="8">
        <v>7</v>
      </c>
      <c r="Q230" s="8">
        <v>8</v>
      </c>
      <c r="R230" s="8">
        <v>7</v>
      </c>
      <c r="S230" s="8">
        <v>7</v>
      </c>
      <c r="T230" s="8">
        <v>3</v>
      </c>
      <c r="U230" s="8">
        <v>0</v>
      </c>
      <c r="V230" s="8">
        <v>5</v>
      </c>
      <c r="W230" s="8">
        <v>5</v>
      </c>
      <c r="X230" s="8">
        <v>5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11" t="s">
        <v>10</v>
      </c>
    </row>
    <row r="231" spans="1:46" ht="15.1" customHeight="1">
      <c r="A231" s="8">
        <v>76</v>
      </c>
      <c r="B231" s="9" t="s">
        <v>414</v>
      </c>
      <c r="C231" s="8" t="s">
        <v>415</v>
      </c>
      <c r="D231" s="9" t="s">
        <v>266</v>
      </c>
      <c r="E231" s="8" t="s">
        <v>54</v>
      </c>
      <c r="F231" s="8" t="s">
        <v>54</v>
      </c>
      <c r="G231" s="10" t="s">
        <v>67</v>
      </c>
      <c r="H231" s="8" t="s">
        <v>54</v>
      </c>
      <c r="I231" s="8" t="s">
        <v>54</v>
      </c>
      <c r="J231" s="8" t="s">
        <v>54</v>
      </c>
      <c r="K231" s="8" t="s">
        <v>54</v>
      </c>
      <c r="L231" s="8" t="s">
        <v>54</v>
      </c>
      <c r="M231" s="8" t="s">
        <v>54</v>
      </c>
      <c r="N231" s="10" t="s">
        <v>67</v>
      </c>
      <c r="O231" s="8" t="s">
        <v>54</v>
      </c>
      <c r="P231" s="8" t="s">
        <v>54</v>
      </c>
      <c r="Q231" s="8" t="s">
        <v>54</v>
      </c>
      <c r="R231" s="8" t="s">
        <v>54</v>
      </c>
      <c r="S231" s="8" t="s">
        <v>54</v>
      </c>
      <c r="T231" s="8" t="s">
        <v>54</v>
      </c>
      <c r="U231" s="10" t="s">
        <v>67</v>
      </c>
      <c r="V231" s="8" t="s">
        <v>54</v>
      </c>
      <c r="W231" s="8" t="s">
        <v>54</v>
      </c>
      <c r="X231" s="8" t="s">
        <v>60</v>
      </c>
      <c r="Y231" s="8" t="s">
        <v>60</v>
      </c>
      <c r="Z231" s="8" t="s">
        <v>60</v>
      </c>
      <c r="AA231" s="8" t="s">
        <v>60</v>
      </c>
      <c r="AB231" s="10" t="s">
        <v>67</v>
      </c>
      <c r="AC231" s="8" t="s">
        <v>54</v>
      </c>
      <c r="AD231" s="8" t="s">
        <v>54</v>
      </c>
      <c r="AE231" s="8" t="s">
        <v>54</v>
      </c>
      <c r="AF231" s="8" t="s">
        <v>54</v>
      </c>
      <c r="AG231" s="8" t="s">
        <v>54</v>
      </c>
      <c r="AH231" s="8" t="s">
        <v>54</v>
      </c>
      <c r="AI231" s="10" t="s">
        <v>67</v>
      </c>
      <c r="AJ231" s="8">
        <f>COUNTIF($E$231:$AI$231,"P")</f>
        <v>22</v>
      </c>
      <c r="AK231" s="8">
        <f>COUNTIF($E$231:$AI$231,"A")</f>
        <v>0</v>
      </c>
      <c r="AL231" s="8">
        <f>SUM($E$232:$AI$232)</f>
        <v>31</v>
      </c>
      <c r="AM231" s="8">
        <f>SUM($E$233:$AI$233)</f>
        <v>34.5</v>
      </c>
      <c r="AN231" s="8">
        <f>AL231+AM231</f>
        <v>65</v>
      </c>
      <c r="AO231" s="8">
        <f>COUNTIF($E$231:$AI$231,"CL")</f>
        <v>0</v>
      </c>
      <c r="AP231" s="8">
        <f>COUNTIF($E$231:$AI$231,"SL")</f>
        <v>0</v>
      </c>
      <c r="AQ231" s="8">
        <f>COUNTIF($E$231:$AI$231,"EL")</f>
        <v>4</v>
      </c>
      <c r="AR231" s="8">
        <f>COUNTIF($E$231:$AI$231,"H")</f>
        <v>0</v>
      </c>
      <c r="AS231" s="8"/>
      <c r="AT231" s="11" t="s">
        <v>11</v>
      </c>
    </row>
    <row r="232" spans="1:46" ht="15.1" customHeight="1">
      <c r="A232" s="8"/>
      <c r="B232" s="9"/>
      <c r="C232" s="8"/>
      <c r="D232" s="9"/>
      <c r="E232" s="8">
        <v>2</v>
      </c>
      <c r="F232" s="8">
        <v>2</v>
      </c>
      <c r="G232" s="8">
        <v>0</v>
      </c>
      <c r="H232" s="8">
        <v>2</v>
      </c>
      <c r="I232" s="8">
        <v>2</v>
      </c>
      <c r="J232" s="8">
        <v>2</v>
      </c>
      <c r="K232" s="8">
        <v>2</v>
      </c>
      <c r="L232" s="8">
        <v>2</v>
      </c>
      <c r="M232" s="8">
        <v>2</v>
      </c>
      <c r="N232" s="8">
        <v>0</v>
      </c>
      <c r="O232" s="8">
        <v>2</v>
      </c>
      <c r="P232" s="8">
        <v>2</v>
      </c>
      <c r="Q232" s="8">
        <v>2</v>
      </c>
      <c r="R232" s="8">
        <v>2</v>
      </c>
      <c r="S232" s="8">
        <v>2</v>
      </c>
      <c r="T232" s="8">
        <v>2</v>
      </c>
      <c r="U232" s="8">
        <v>0</v>
      </c>
      <c r="V232" s="8">
        <v>1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2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11" t="s">
        <v>11</v>
      </c>
    </row>
    <row r="233" spans="1:46" ht="15.1" customHeight="1">
      <c r="A233" s="8"/>
      <c r="B233" s="9"/>
      <c r="C233" s="8"/>
      <c r="D233" s="9"/>
      <c r="E233" s="8">
        <v>5.5</v>
      </c>
      <c r="F233" s="8">
        <v>3</v>
      </c>
      <c r="G233" s="8">
        <v>7.5</v>
      </c>
      <c r="H233" s="8">
        <v>3</v>
      </c>
      <c r="I233" s="8">
        <v>3</v>
      </c>
      <c r="J233" s="8">
        <v>0</v>
      </c>
      <c r="K233" s="8">
        <v>0</v>
      </c>
      <c r="L233" s="8">
        <v>3</v>
      </c>
      <c r="M233" s="8">
        <v>3</v>
      </c>
      <c r="N233" s="8">
        <v>0</v>
      </c>
      <c r="O233" s="8">
        <v>2</v>
      </c>
      <c r="P233" s="8">
        <v>0</v>
      </c>
      <c r="Q233" s="8">
        <v>0</v>
      </c>
      <c r="R233" s="8">
        <v>0</v>
      </c>
      <c r="S233" s="8">
        <v>3</v>
      </c>
      <c r="T233" s="8">
        <v>1.5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11" t="s">
        <v>11</v>
      </c>
    </row>
    <row r="234" spans="1:46" ht="15.1" customHeight="1">
      <c r="A234" s="8">
        <v>77</v>
      </c>
      <c r="B234" s="9" t="s">
        <v>416</v>
      </c>
      <c r="C234" s="8" t="s">
        <v>417</v>
      </c>
      <c r="D234" s="9" t="s">
        <v>266</v>
      </c>
      <c r="E234" s="8" t="s">
        <v>54</v>
      </c>
      <c r="F234" s="8" t="s">
        <v>54</v>
      </c>
      <c r="G234" s="10" t="s">
        <v>67</v>
      </c>
      <c r="H234" s="8" t="s">
        <v>54</v>
      </c>
      <c r="I234" s="8" t="s">
        <v>54</v>
      </c>
      <c r="J234" s="8" t="s">
        <v>54</v>
      </c>
      <c r="K234" s="8" t="s">
        <v>54</v>
      </c>
      <c r="L234" s="8" t="s">
        <v>54</v>
      </c>
      <c r="M234" s="8" t="s">
        <v>54</v>
      </c>
      <c r="N234" s="10" t="s">
        <v>67</v>
      </c>
      <c r="O234" s="8" t="s">
        <v>54</v>
      </c>
      <c r="P234" s="8" t="s">
        <v>54</v>
      </c>
      <c r="Q234" s="8" t="s">
        <v>54</v>
      </c>
      <c r="R234" s="8" t="s">
        <v>54</v>
      </c>
      <c r="S234" s="8" t="s">
        <v>54</v>
      </c>
      <c r="T234" s="8" t="s">
        <v>54</v>
      </c>
      <c r="U234" s="10" t="s">
        <v>67</v>
      </c>
      <c r="V234" s="8" t="s">
        <v>54</v>
      </c>
      <c r="W234" s="8" t="s">
        <v>54</v>
      </c>
      <c r="X234" s="8" t="s">
        <v>54</v>
      </c>
      <c r="Y234" s="8" t="s">
        <v>54</v>
      </c>
      <c r="Z234" s="8" t="s">
        <v>54</v>
      </c>
      <c r="AA234" s="8" t="s">
        <v>54</v>
      </c>
      <c r="AB234" s="10" t="s">
        <v>67</v>
      </c>
      <c r="AC234" s="8" t="s">
        <v>54</v>
      </c>
      <c r="AD234" s="8" t="s">
        <v>54</v>
      </c>
      <c r="AE234" s="8" t="s">
        <v>54</v>
      </c>
      <c r="AF234" s="8" t="s">
        <v>54</v>
      </c>
      <c r="AG234" s="8" t="s">
        <v>54</v>
      </c>
      <c r="AH234" s="8" t="s">
        <v>54</v>
      </c>
      <c r="AI234" s="10" t="s">
        <v>67</v>
      </c>
      <c r="AJ234" s="8">
        <f>COUNTIF($E$234:$AI$234,"P")</f>
        <v>26</v>
      </c>
      <c r="AK234" s="8">
        <f>COUNTIF($E$234:$AI$234,"A")</f>
        <v>0</v>
      </c>
      <c r="AL234" s="8">
        <f>SUM($E$235:$AI$235)</f>
        <v>26</v>
      </c>
      <c r="AM234" s="8">
        <f>SUM($E$236:$AI$236)</f>
        <v>25</v>
      </c>
      <c r="AN234" s="8">
        <f>AL234+AM234</f>
        <v>51</v>
      </c>
      <c r="AO234" s="8">
        <f>COUNTIF($E$234:$AI$234,"CL")</f>
        <v>0</v>
      </c>
      <c r="AP234" s="8">
        <f>COUNTIF($E$234:$AI$234,"SL")</f>
        <v>0</v>
      </c>
      <c r="AQ234" s="8">
        <f>COUNTIF($E$234:$AI$234,"EL")</f>
        <v>0</v>
      </c>
      <c r="AR234" s="8">
        <f>COUNTIF($E$234:$AI$234,"H")</f>
        <v>0</v>
      </c>
      <c r="AS234" s="8"/>
      <c r="AT234" s="11" t="s">
        <v>11</v>
      </c>
    </row>
    <row r="235" spans="1:46" ht="15.1" customHeight="1">
      <c r="A235" s="8"/>
      <c r="B235" s="9"/>
      <c r="C235" s="8"/>
      <c r="D235" s="9"/>
      <c r="E235" s="8">
        <v>0</v>
      </c>
      <c r="F235" s="8">
        <v>2</v>
      </c>
      <c r="G235" s="8">
        <v>0</v>
      </c>
      <c r="H235" s="8">
        <v>2</v>
      </c>
      <c r="I235" s="8">
        <v>2</v>
      </c>
      <c r="J235" s="8">
        <v>2</v>
      </c>
      <c r="K235" s="8">
        <v>2</v>
      </c>
      <c r="L235" s="8">
        <v>2</v>
      </c>
      <c r="M235" s="8">
        <v>2</v>
      </c>
      <c r="N235" s="8">
        <v>0</v>
      </c>
      <c r="O235" s="8">
        <v>2</v>
      </c>
      <c r="P235" s="8">
        <v>2</v>
      </c>
      <c r="Q235" s="8">
        <v>2</v>
      </c>
      <c r="R235" s="8">
        <v>2</v>
      </c>
      <c r="S235" s="8">
        <v>0</v>
      </c>
      <c r="T235" s="8">
        <v>2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2</v>
      </c>
      <c r="AI235" s="8">
        <v>0</v>
      </c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11" t="s">
        <v>11</v>
      </c>
    </row>
    <row r="236" spans="1:46" ht="15.1" customHeight="1">
      <c r="A236" s="8"/>
      <c r="B236" s="9"/>
      <c r="C236" s="8"/>
      <c r="D236" s="9"/>
      <c r="E236" s="8">
        <v>0</v>
      </c>
      <c r="F236" s="8">
        <v>2</v>
      </c>
      <c r="G236" s="8">
        <v>8</v>
      </c>
      <c r="H236" s="8">
        <v>3</v>
      </c>
      <c r="I236" s="8">
        <v>2</v>
      </c>
      <c r="J236" s="8">
        <v>0</v>
      </c>
      <c r="K236" s="8">
        <v>0</v>
      </c>
      <c r="L236" s="8">
        <v>0</v>
      </c>
      <c r="M236" s="8">
        <v>3</v>
      </c>
      <c r="N236" s="8">
        <v>0</v>
      </c>
      <c r="O236" s="8">
        <v>0</v>
      </c>
      <c r="P236" s="8">
        <v>0</v>
      </c>
      <c r="Q236" s="8">
        <v>0</v>
      </c>
      <c r="R236" s="8">
        <v>3</v>
      </c>
      <c r="S236" s="8">
        <v>0</v>
      </c>
      <c r="T236" s="8">
        <v>1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3</v>
      </c>
      <c r="AI236" s="8">
        <v>0</v>
      </c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11" t="s">
        <v>11</v>
      </c>
    </row>
    <row r="237" spans="1:46" ht="15.1" customHeight="1">
      <c r="A237" s="8">
        <v>78</v>
      </c>
      <c r="B237" s="9" t="s">
        <v>418</v>
      </c>
      <c r="C237" s="8" t="s">
        <v>419</v>
      </c>
      <c r="D237" s="9" t="s">
        <v>266</v>
      </c>
      <c r="E237" s="8" t="s">
        <v>54</v>
      </c>
      <c r="F237" s="8" t="s">
        <v>54</v>
      </c>
      <c r="G237" s="10" t="s">
        <v>67</v>
      </c>
      <c r="H237" s="8" t="s">
        <v>54</v>
      </c>
      <c r="I237" s="8" t="s">
        <v>54</v>
      </c>
      <c r="J237" s="8" t="s">
        <v>54</v>
      </c>
      <c r="K237" s="8" t="s">
        <v>54</v>
      </c>
      <c r="L237" s="8" t="s">
        <v>54</v>
      </c>
      <c r="M237" s="8" t="s">
        <v>54</v>
      </c>
      <c r="N237" s="10" t="s">
        <v>67</v>
      </c>
      <c r="O237" s="8" t="s">
        <v>54</v>
      </c>
      <c r="P237" s="8" t="s">
        <v>54</v>
      </c>
      <c r="Q237" s="8" t="s">
        <v>54</v>
      </c>
      <c r="R237" s="8" t="s">
        <v>54</v>
      </c>
      <c r="S237" s="8" t="s">
        <v>54</v>
      </c>
      <c r="T237" s="8" t="s">
        <v>54</v>
      </c>
      <c r="U237" s="10" t="s">
        <v>67</v>
      </c>
      <c r="V237" s="8" t="s">
        <v>54</v>
      </c>
      <c r="W237" s="8" t="s">
        <v>54</v>
      </c>
      <c r="X237" s="8" t="s">
        <v>54</v>
      </c>
      <c r="Y237" s="8" t="s">
        <v>54</v>
      </c>
      <c r="Z237" s="8" t="s">
        <v>54</v>
      </c>
      <c r="AA237" s="8" t="s">
        <v>54</v>
      </c>
      <c r="AB237" s="10" t="s">
        <v>67</v>
      </c>
      <c r="AC237" s="8" t="s">
        <v>54</v>
      </c>
      <c r="AD237" s="8" t="s">
        <v>54</v>
      </c>
      <c r="AE237" s="8" t="s">
        <v>54</v>
      </c>
      <c r="AF237" s="8" t="s">
        <v>54</v>
      </c>
      <c r="AG237" s="8" t="s">
        <v>54</v>
      </c>
      <c r="AH237" s="8" t="s">
        <v>54</v>
      </c>
      <c r="AI237" s="10" t="s">
        <v>67</v>
      </c>
      <c r="AJ237" s="8">
        <f>COUNTIF($E$237:$AI$237,"P")</f>
        <v>26</v>
      </c>
      <c r="AK237" s="8">
        <f>COUNTIF($E$237:$AI$237,"A")</f>
        <v>0</v>
      </c>
      <c r="AL237" s="8">
        <f>SUM($E$238:$AI$238)</f>
        <v>34</v>
      </c>
      <c r="AM237" s="8">
        <f>SUM($E$239:$AI$239)</f>
        <v>61</v>
      </c>
      <c r="AN237" s="8">
        <f>AL237+AM237</f>
        <v>95</v>
      </c>
      <c r="AO237" s="8">
        <f>COUNTIF($E$237:$AI$237,"CL")</f>
        <v>0</v>
      </c>
      <c r="AP237" s="8">
        <f>COUNTIF($E$237:$AI$237,"SL")</f>
        <v>0</v>
      </c>
      <c r="AQ237" s="8">
        <f>COUNTIF($E$237:$AI$237,"EL")</f>
        <v>0</v>
      </c>
      <c r="AR237" s="8">
        <f>COUNTIF($E$237:$AI$237,"H")</f>
        <v>0</v>
      </c>
      <c r="AS237" s="8"/>
      <c r="AT237" s="11" t="s">
        <v>11</v>
      </c>
    </row>
    <row r="238" spans="1:46" ht="15.1" customHeight="1">
      <c r="A238" s="8"/>
      <c r="B238" s="9"/>
      <c r="C238" s="8"/>
      <c r="D238" s="9"/>
      <c r="E238" s="8">
        <v>2</v>
      </c>
      <c r="F238" s="8">
        <v>2</v>
      </c>
      <c r="G238" s="8">
        <v>0</v>
      </c>
      <c r="H238" s="8">
        <v>2</v>
      </c>
      <c r="I238" s="8">
        <v>2</v>
      </c>
      <c r="J238" s="8">
        <v>2</v>
      </c>
      <c r="K238" s="8">
        <v>2</v>
      </c>
      <c r="L238" s="8">
        <v>2</v>
      </c>
      <c r="M238" s="8">
        <v>2</v>
      </c>
      <c r="N238" s="8">
        <v>0</v>
      </c>
      <c r="O238" s="8">
        <v>2</v>
      </c>
      <c r="P238" s="8">
        <v>2</v>
      </c>
      <c r="Q238" s="8">
        <v>2</v>
      </c>
      <c r="R238" s="8">
        <v>2</v>
      </c>
      <c r="S238" s="8">
        <v>2</v>
      </c>
      <c r="T238" s="8">
        <v>2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2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2</v>
      </c>
      <c r="AG238" s="8">
        <v>0</v>
      </c>
      <c r="AH238" s="8">
        <v>2</v>
      </c>
      <c r="AI238" s="8">
        <v>0</v>
      </c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11" t="s">
        <v>11</v>
      </c>
    </row>
    <row r="239" spans="1:46" ht="15.1" customHeight="1">
      <c r="A239" s="8"/>
      <c r="B239" s="9"/>
      <c r="C239" s="8"/>
      <c r="D239" s="9"/>
      <c r="E239" s="8">
        <v>5</v>
      </c>
      <c r="F239" s="8">
        <v>3</v>
      </c>
      <c r="G239" s="8">
        <v>8</v>
      </c>
      <c r="H239" s="8">
        <v>3</v>
      </c>
      <c r="I239" s="8">
        <v>3</v>
      </c>
      <c r="J239" s="8">
        <v>3</v>
      </c>
      <c r="K239" s="8">
        <v>3</v>
      </c>
      <c r="L239" s="8">
        <v>0</v>
      </c>
      <c r="M239" s="8">
        <v>3</v>
      </c>
      <c r="N239" s="8">
        <v>0</v>
      </c>
      <c r="O239" s="8">
        <v>5</v>
      </c>
      <c r="P239" s="8">
        <v>3</v>
      </c>
      <c r="Q239" s="8">
        <v>3</v>
      </c>
      <c r="R239" s="8">
        <v>3</v>
      </c>
      <c r="S239" s="8">
        <v>5</v>
      </c>
      <c r="T239" s="8">
        <v>5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3</v>
      </c>
      <c r="AG239" s="8">
        <v>0</v>
      </c>
      <c r="AH239" s="8">
        <v>3</v>
      </c>
      <c r="AI239" s="8">
        <v>0</v>
      </c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11" t="s">
        <v>11</v>
      </c>
    </row>
    <row r="240" spans="1:46" ht="15.1" customHeight="1">
      <c r="A240" s="8">
        <v>79</v>
      </c>
      <c r="B240" s="9" t="s">
        <v>420</v>
      </c>
      <c r="C240" s="8" t="s">
        <v>421</v>
      </c>
      <c r="D240" s="9" t="s">
        <v>266</v>
      </c>
      <c r="E240" s="8" t="s">
        <v>54</v>
      </c>
      <c r="F240" s="8" t="s">
        <v>54</v>
      </c>
      <c r="G240" s="10" t="s">
        <v>67</v>
      </c>
      <c r="H240" s="8" t="s">
        <v>54</v>
      </c>
      <c r="I240" s="8" t="s">
        <v>54</v>
      </c>
      <c r="J240" s="8" t="s">
        <v>54</v>
      </c>
      <c r="K240" s="8" t="s">
        <v>54</v>
      </c>
      <c r="L240" s="8" t="s">
        <v>54</v>
      </c>
      <c r="M240" s="8" t="s">
        <v>54</v>
      </c>
      <c r="N240" s="10" t="s">
        <v>67</v>
      </c>
      <c r="O240" s="8" t="s">
        <v>54</v>
      </c>
      <c r="P240" s="8" t="s">
        <v>54</v>
      </c>
      <c r="Q240" s="8" t="s">
        <v>54</v>
      </c>
      <c r="R240" s="8" t="s">
        <v>54</v>
      </c>
      <c r="S240" s="8" t="s">
        <v>54</v>
      </c>
      <c r="T240" s="8" t="s">
        <v>54</v>
      </c>
      <c r="U240" s="10" t="s">
        <v>67</v>
      </c>
      <c r="V240" s="8" t="s">
        <v>54</v>
      </c>
      <c r="W240" s="8" t="s">
        <v>54</v>
      </c>
      <c r="X240" s="8" t="s">
        <v>54</v>
      </c>
      <c r="Y240" s="8" t="s">
        <v>54</v>
      </c>
      <c r="Z240" s="8" t="s">
        <v>54</v>
      </c>
      <c r="AA240" s="8" t="s">
        <v>54</v>
      </c>
      <c r="AB240" s="10" t="s">
        <v>67</v>
      </c>
      <c r="AC240" s="8" t="s">
        <v>54</v>
      </c>
      <c r="AD240" s="8" t="s">
        <v>54</v>
      </c>
      <c r="AE240" s="8" t="s">
        <v>54</v>
      </c>
      <c r="AF240" s="8" t="s">
        <v>54</v>
      </c>
      <c r="AG240" s="8" t="s">
        <v>54</v>
      </c>
      <c r="AH240" s="8" t="s">
        <v>54</v>
      </c>
      <c r="AI240" s="10" t="s">
        <v>67</v>
      </c>
      <c r="AJ240" s="8">
        <f>COUNTIF($E$240:$AI$240,"P")</f>
        <v>26</v>
      </c>
      <c r="AK240" s="8">
        <f>COUNTIF($E$240:$AI$240,"A")</f>
        <v>0</v>
      </c>
      <c r="AL240" s="8">
        <f>SUM($E$241:$AI$241)</f>
        <v>40</v>
      </c>
      <c r="AM240" s="8">
        <f>SUM($E$242:$AI$242)</f>
        <v>51</v>
      </c>
      <c r="AN240" s="8">
        <f>AL240+AM240</f>
        <v>91</v>
      </c>
      <c r="AO240" s="8">
        <f>COUNTIF($E$240:$AI$240,"CL")</f>
        <v>0</v>
      </c>
      <c r="AP240" s="8">
        <f>COUNTIF($E$240:$AI$240,"SL")</f>
        <v>0</v>
      </c>
      <c r="AQ240" s="8">
        <f>COUNTIF($E$240:$AI$240,"EL")</f>
        <v>0</v>
      </c>
      <c r="AR240" s="8">
        <f>COUNTIF($E$240:$AI$240,"H")</f>
        <v>0</v>
      </c>
      <c r="AS240" s="8"/>
      <c r="AT240" s="11" t="s">
        <v>11</v>
      </c>
    </row>
    <row r="241" spans="1:46" ht="15.1" customHeight="1">
      <c r="A241" s="8"/>
      <c r="B241" s="9"/>
      <c r="C241" s="8"/>
      <c r="D241" s="9"/>
      <c r="E241" s="8">
        <v>2</v>
      </c>
      <c r="F241" s="8">
        <v>2</v>
      </c>
      <c r="G241" s="8">
        <v>0</v>
      </c>
      <c r="H241" s="8">
        <v>2</v>
      </c>
      <c r="I241" s="8">
        <v>2</v>
      </c>
      <c r="J241" s="8">
        <v>2</v>
      </c>
      <c r="K241" s="8">
        <v>2</v>
      </c>
      <c r="L241" s="8">
        <v>2</v>
      </c>
      <c r="M241" s="8">
        <v>2</v>
      </c>
      <c r="N241" s="8">
        <v>0</v>
      </c>
      <c r="O241" s="8">
        <v>2</v>
      </c>
      <c r="P241" s="8">
        <v>2</v>
      </c>
      <c r="Q241" s="8">
        <v>2</v>
      </c>
      <c r="R241" s="8">
        <v>2</v>
      </c>
      <c r="S241" s="8">
        <v>2</v>
      </c>
      <c r="T241" s="8">
        <v>2</v>
      </c>
      <c r="U241" s="8">
        <v>0</v>
      </c>
      <c r="V241" s="8">
        <v>2</v>
      </c>
      <c r="W241" s="8">
        <v>2</v>
      </c>
      <c r="X241" s="8">
        <v>0</v>
      </c>
      <c r="Y241" s="8">
        <v>2</v>
      </c>
      <c r="Z241" s="8">
        <v>0</v>
      </c>
      <c r="AA241" s="8">
        <v>0</v>
      </c>
      <c r="AB241" s="8">
        <v>0</v>
      </c>
      <c r="AC241" s="8">
        <v>0</v>
      </c>
      <c r="AD241" s="8">
        <v>2</v>
      </c>
      <c r="AE241" s="8">
        <v>2</v>
      </c>
      <c r="AF241" s="8">
        <v>0</v>
      </c>
      <c r="AG241" s="8">
        <v>2</v>
      </c>
      <c r="AH241" s="8">
        <v>0</v>
      </c>
      <c r="AI241" s="8">
        <v>0</v>
      </c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11" t="s">
        <v>11</v>
      </c>
    </row>
    <row r="242" spans="1:46" ht="15.1" customHeight="1">
      <c r="A242" s="8"/>
      <c r="B242" s="9"/>
      <c r="C242" s="8"/>
      <c r="D242" s="9"/>
      <c r="E242" s="8">
        <v>6</v>
      </c>
      <c r="F242" s="8">
        <v>3</v>
      </c>
      <c r="G242" s="8">
        <v>8</v>
      </c>
      <c r="H242" s="8">
        <v>3</v>
      </c>
      <c r="I242" s="8">
        <v>3</v>
      </c>
      <c r="J242" s="8">
        <v>3</v>
      </c>
      <c r="K242" s="8">
        <v>3</v>
      </c>
      <c r="L242" s="8">
        <v>0</v>
      </c>
      <c r="M242" s="8">
        <v>0</v>
      </c>
      <c r="N242" s="8">
        <v>0</v>
      </c>
      <c r="O242" s="8">
        <v>2</v>
      </c>
      <c r="P242" s="8">
        <v>3</v>
      </c>
      <c r="Q242" s="8">
        <v>5</v>
      </c>
      <c r="R242" s="8">
        <v>3</v>
      </c>
      <c r="S242" s="8">
        <v>5</v>
      </c>
      <c r="T242" s="8">
        <v>1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1</v>
      </c>
      <c r="AE242" s="8">
        <v>1</v>
      </c>
      <c r="AF242" s="8">
        <v>0</v>
      </c>
      <c r="AG242" s="8">
        <v>1</v>
      </c>
      <c r="AH242" s="8">
        <v>0</v>
      </c>
      <c r="AI242" s="8">
        <v>0</v>
      </c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11" t="s">
        <v>11</v>
      </c>
    </row>
    <row r="243" spans="1:46" ht="15.1" customHeight="1">
      <c r="A243" s="8">
        <v>80</v>
      </c>
      <c r="B243" s="9" t="s">
        <v>422</v>
      </c>
      <c r="C243" s="8" t="s">
        <v>423</v>
      </c>
      <c r="D243" s="9" t="s">
        <v>266</v>
      </c>
      <c r="E243" s="8" t="s">
        <v>54</v>
      </c>
      <c r="F243" s="8" t="s">
        <v>54</v>
      </c>
      <c r="G243" s="10" t="s">
        <v>67</v>
      </c>
      <c r="H243" s="8" t="s">
        <v>54</v>
      </c>
      <c r="I243" s="8" t="s">
        <v>54</v>
      </c>
      <c r="J243" s="8" t="s">
        <v>54</v>
      </c>
      <c r="K243" s="8" t="s">
        <v>54</v>
      </c>
      <c r="L243" s="8" t="s">
        <v>54</v>
      </c>
      <c r="M243" s="8" t="s">
        <v>54</v>
      </c>
      <c r="N243" s="10" t="s">
        <v>67</v>
      </c>
      <c r="O243" s="8" t="s">
        <v>54</v>
      </c>
      <c r="P243" s="8" t="s">
        <v>54</v>
      </c>
      <c r="Q243" s="8" t="s">
        <v>54</v>
      </c>
      <c r="R243" s="8" t="s">
        <v>54</v>
      </c>
      <c r="S243" s="8" t="s">
        <v>54</v>
      </c>
      <c r="T243" s="8" t="s">
        <v>54</v>
      </c>
      <c r="U243" s="10" t="s">
        <v>67</v>
      </c>
      <c r="V243" s="8" t="s">
        <v>54</v>
      </c>
      <c r="W243" s="8" t="s">
        <v>54</v>
      </c>
      <c r="X243" s="8" t="s">
        <v>54</v>
      </c>
      <c r="Y243" s="8" t="s">
        <v>54</v>
      </c>
      <c r="Z243" s="8" t="s">
        <v>54</v>
      </c>
      <c r="AA243" s="8" t="s">
        <v>54</v>
      </c>
      <c r="AB243" s="10" t="s">
        <v>67</v>
      </c>
      <c r="AC243" s="8" t="s">
        <v>54</v>
      </c>
      <c r="AD243" s="8" t="s">
        <v>54</v>
      </c>
      <c r="AE243" s="8" t="s">
        <v>54</v>
      </c>
      <c r="AF243" s="8" t="s">
        <v>54</v>
      </c>
      <c r="AG243" s="8" t="s">
        <v>54</v>
      </c>
      <c r="AH243" s="8" t="s">
        <v>54</v>
      </c>
      <c r="AI243" s="10" t="s">
        <v>67</v>
      </c>
      <c r="AJ243" s="8">
        <f>COUNTIF($E$243:$AI$243,"P")</f>
        <v>26</v>
      </c>
      <c r="AK243" s="8">
        <f>COUNTIF($E$243:$AI$243,"A")</f>
        <v>0</v>
      </c>
      <c r="AL243" s="8">
        <f>SUM($E$244:$AI$244)</f>
        <v>30</v>
      </c>
      <c r="AM243" s="8">
        <f>SUM($E$245:$AI$245)</f>
        <v>38.5</v>
      </c>
      <c r="AN243" s="8">
        <f>AL243+AM243</f>
        <v>68.5</v>
      </c>
      <c r="AO243" s="8">
        <f>COUNTIF($E$243:$AI$243,"CL")</f>
        <v>0</v>
      </c>
      <c r="AP243" s="8">
        <f>COUNTIF($E$243:$AI$243,"SL")</f>
        <v>0</v>
      </c>
      <c r="AQ243" s="8">
        <f>COUNTIF($E$243:$AI$243,"EL")</f>
        <v>0</v>
      </c>
      <c r="AR243" s="8">
        <f>COUNTIF($E$243:$AI$243,"H")</f>
        <v>0</v>
      </c>
      <c r="AS243" s="8"/>
      <c r="AT243" s="11" t="s">
        <v>11</v>
      </c>
    </row>
    <row r="244" spans="1:46" ht="15.1" customHeight="1">
      <c r="A244" s="8"/>
      <c r="B244" s="9"/>
      <c r="C244" s="8"/>
      <c r="D244" s="9"/>
      <c r="E244" s="8">
        <v>2</v>
      </c>
      <c r="F244" s="8">
        <v>2</v>
      </c>
      <c r="G244" s="8">
        <v>0</v>
      </c>
      <c r="H244" s="8">
        <v>2</v>
      </c>
      <c r="I244" s="8">
        <v>2</v>
      </c>
      <c r="J244" s="8">
        <v>2</v>
      </c>
      <c r="K244" s="8">
        <v>0</v>
      </c>
      <c r="L244" s="8">
        <v>2</v>
      </c>
      <c r="M244" s="8">
        <v>2</v>
      </c>
      <c r="N244" s="8">
        <v>0</v>
      </c>
      <c r="O244" s="8">
        <v>2</v>
      </c>
      <c r="P244" s="8">
        <v>2</v>
      </c>
      <c r="Q244" s="8">
        <v>2</v>
      </c>
      <c r="R244" s="8">
        <v>2</v>
      </c>
      <c r="S244" s="8">
        <v>2</v>
      </c>
      <c r="T244" s="8">
        <v>2</v>
      </c>
      <c r="U244" s="8">
        <v>0</v>
      </c>
      <c r="V244" s="8">
        <v>0</v>
      </c>
      <c r="W244" s="8">
        <v>2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2</v>
      </c>
      <c r="AI244" s="8">
        <v>0</v>
      </c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11" t="s">
        <v>11</v>
      </c>
    </row>
    <row r="245" spans="1:46" ht="15.1" customHeight="1">
      <c r="A245" s="8"/>
      <c r="B245" s="9"/>
      <c r="C245" s="8"/>
      <c r="D245" s="9"/>
      <c r="E245" s="8">
        <v>3</v>
      </c>
      <c r="F245" s="8">
        <v>3</v>
      </c>
      <c r="G245" s="8">
        <v>8</v>
      </c>
      <c r="H245" s="8">
        <v>3</v>
      </c>
      <c r="I245" s="8">
        <v>2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5</v>
      </c>
      <c r="P245" s="8">
        <v>5</v>
      </c>
      <c r="Q245" s="8">
        <v>5</v>
      </c>
      <c r="R245" s="8">
        <v>3</v>
      </c>
      <c r="S245" s="8">
        <v>0</v>
      </c>
      <c r="T245" s="8">
        <v>0.5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1</v>
      </c>
      <c r="AI245" s="8">
        <v>0</v>
      </c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11" t="s">
        <v>11</v>
      </c>
    </row>
    <row r="246" spans="1:46" ht="15.1" customHeight="1">
      <c r="A246" s="8">
        <v>81</v>
      </c>
      <c r="B246" s="9" t="s">
        <v>424</v>
      </c>
      <c r="C246" s="8" t="s">
        <v>425</v>
      </c>
      <c r="D246" s="9" t="s">
        <v>266</v>
      </c>
      <c r="E246" s="8" t="s">
        <v>54</v>
      </c>
      <c r="F246" s="8" t="s">
        <v>54</v>
      </c>
      <c r="G246" s="10" t="s">
        <v>67</v>
      </c>
      <c r="H246" s="8" t="s">
        <v>54</v>
      </c>
      <c r="I246" s="8" t="s">
        <v>54</v>
      </c>
      <c r="J246" s="8" t="s">
        <v>54</v>
      </c>
      <c r="K246" s="8" t="s">
        <v>54</v>
      </c>
      <c r="L246" s="8" t="s">
        <v>54</v>
      </c>
      <c r="M246" s="8" t="s">
        <v>54</v>
      </c>
      <c r="N246" s="10" t="s">
        <v>67</v>
      </c>
      <c r="O246" s="8" t="s">
        <v>54</v>
      </c>
      <c r="P246" s="8" t="s">
        <v>54</v>
      </c>
      <c r="Q246" s="8" t="s">
        <v>54</v>
      </c>
      <c r="R246" s="8" t="s">
        <v>54</v>
      </c>
      <c r="S246" s="8" t="s">
        <v>54</v>
      </c>
      <c r="T246" s="8" t="s">
        <v>54</v>
      </c>
      <c r="U246" s="10" t="s">
        <v>67</v>
      </c>
      <c r="V246" s="8" t="s">
        <v>54</v>
      </c>
      <c r="W246" s="8" t="s">
        <v>54</v>
      </c>
      <c r="X246" s="8" t="s">
        <v>54</v>
      </c>
      <c r="Y246" s="8" t="s">
        <v>54</v>
      </c>
      <c r="Z246" s="8" t="s">
        <v>54</v>
      </c>
      <c r="AA246" s="8" t="s">
        <v>54</v>
      </c>
      <c r="AB246" s="10" t="s">
        <v>67</v>
      </c>
      <c r="AC246" s="8" t="s">
        <v>54</v>
      </c>
      <c r="AD246" s="8" t="s">
        <v>54</v>
      </c>
      <c r="AE246" s="8" t="s">
        <v>54</v>
      </c>
      <c r="AF246" s="8" t="s">
        <v>54</v>
      </c>
      <c r="AG246" s="8" t="s">
        <v>54</v>
      </c>
      <c r="AH246" s="8" t="s">
        <v>54</v>
      </c>
      <c r="AI246" s="10" t="s">
        <v>67</v>
      </c>
      <c r="AJ246" s="8">
        <f>COUNTIF($E$246:$AI$246,"P")</f>
        <v>26</v>
      </c>
      <c r="AK246" s="8">
        <f>COUNTIF($E$246:$AI$246,"A")</f>
        <v>0</v>
      </c>
      <c r="AL246" s="8">
        <f>SUM($E$247:$AI$247)</f>
        <v>30</v>
      </c>
      <c r="AM246" s="8">
        <f>SUM($E$248:$AI$248)</f>
        <v>47</v>
      </c>
      <c r="AN246" s="8">
        <f>AL246+AM246</f>
        <v>77</v>
      </c>
      <c r="AO246" s="8">
        <f>COUNTIF($E$246:$AI$246,"CL")</f>
        <v>0</v>
      </c>
      <c r="AP246" s="8">
        <f>COUNTIF($E$246:$AI$246,"SL")</f>
        <v>0</v>
      </c>
      <c r="AQ246" s="8">
        <f>COUNTIF($E$246:$AI$246,"EL")</f>
        <v>0</v>
      </c>
      <c r="AR246" s="8">
        <f>COUNTIF($E$246:$AI$246,"H")</f>
        <v>0</v>
      </c>
      <c r="AS246" s="8"/>
      <c r="AT246" s="11" t="s">
        <v>11</v>
      </c>
    </row>
    <row r="247" spans="1:46" ht="15.1" customHeight="1">
      <c r="A247" s="8"/>
      <c r="B247" s="9"/>
      <c r="C247" s="8"/>
      <c r="D247" s="9"/>
      <c r="E247" s="8">
        <v>2</v>
      </c>
      <c r="F247" s="8">
        <v>0</v>
      </c>
      <c r="G247" s="8">
        <v>0</v>
      </c>
      <c r="H247" s="8">
        <v>2</v>
      </c>
      <c r="I247" s="8">
        <v>2</v>
      </c>
      <c r="J247" s="8">
        <v>2</v>
      </c>
      <c r="K247" s="8">
        <v>2</v>
      </c>
      <c r="L247" s="8">
        <v>2</v>
      </c>
      <c r="M247" s="8">
        <v>2</v>
      </c>
      <c r="N247" s="8">
        <v>0</v>
      </c>
      <c r="O247" s="8">
        <v>2</v>
      </c>
      <c r="P247" s="8">
        <v>2</v>
      </c>
      <c r="Q247" s="8">
        <v>2</v>
      </c>
      <c r="R247" s="8">
        <v>0</v>
      </c>
      <c r="S247" s="8">
        <v>2</v>
      </c>
      <c r="T247" s="8">
        <v>2</v>
      </c>
      <c r="U247" s="8">
        <v>0</v>
      </c>
      <c r="V247" s="8">
        <v>2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2</v>
      </c>
      <c r="AE247" s="8">
        <v>2</v>
      </c>
      <c r="AF247" s="8">
        <v>0</v>
      </c>
      <c r="AG247" s="8">
        <v>0</v>
      </c>
      <c r="AH247" s="8">
        <v>0</v>
      </c>
      <c r="AI247" s="8">
        <v>0</v>
      </c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11" t="s">
        <v>11</v>
      </c>
    </row>
    <row r="248" spans="1:46" ht="15.1" customHeight="1">
      <c r="A248" s="8"/>
      <c r="B248" s="9"/>
      <c r="C248" s="8"/>
      <c r="D248" s="9"/>
      <c r="E248" s="8">
        <v>5</v>
      </c>
      <c r="F248" s="8">
        <v>0</v>
      </c>
      <c r="G248" s="8">
        <v>0</v>
      </c>
      <c r="H248" s="8">
        <v>1</v>
      </c>
      <c r="I248" s="8">
        <v>3</v>
      </c>
      <c r="J248" s="8">
        <v>3</v>
      </c>
      <c r="K248" s="8">
        <v>3</v>
      </c>
      <c r="L248" s="8">
        <v>0</v>
      </c>
      <c r="M248" s="8">
        <v>4</v>
      </c>
      <c r="N248" s="8">
        <v>9</v>
      </c>
      <c r="O248" s="8">
        <v>2</v>
      </c>
      <c r="P248" s="8">
        <v>3</v>
      </c>
      <c r="Q248" s="8">
        <v>5</v>
      </c>
      <c r="R248" s="8">
        <v>0</v>
      </c>
      <c r="S248" s="8">
        <v>5</v>
      </c>
      <c r="T248" s="8">
        <v>1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3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11" t="s">
        <v>11</v>
      </c>
    </row>
    <row r="249" spans="1:46" ht="15.1" customHeight="1">
      <c r="A249" s="8">
        <v>82</v>
      </c>
      <c r="B249" s="9" t="s">
        <v>426</v>
      </c>
      <c r="C249" s="8" t="s">
        <v>427</v>
      </c>
      <c r="D249" s="9" t="s">
        <v>266</v>
      </c>
      <c r="E249" s="8" t="s">
        <v>54</v>
      </c>
      <c r="F249" s="8" t="s">
        <v>54</v>
      </c>
      <c r="G249" s="10" t="s">
        <v>67</v>
      </c>
      <c r="H249" s="8" t="s">
        <v>54</v>
      </c>
      <c r="I249" s="8" t="s">
        <v>54</v>
      </c>
      <c r="J249" s="8" t="s">
        <v>54</v>
      </c>
      <c r="K249" s="8" t="s">
        <v>54</v>
      </c>
      <c r="L249" s="8" t="s">
        <v>54</v>
      </c>
      <c r="M249" s="8" t="s">
        <v>54</v>
      </c>
      <c r="N249" s="10" t="s">
        <v>67</v>
      </c>
      <c r="O249" s="8" t="s">
        <v>54</v>
      </c>
      <c r="P249" s="8" t="s">
        <v>54</v>
      </c>
      <c r="Q249" s="8" t="s">
        <v>54</v>
      </c>
      <c r="R249" s="8" t="s">
        <v>54</v>
      </c>
      <c r="S249" s="8" t="s">
        <v>54</v>
      </c>
      <c r="T249" s="8" t="s">
        <v>54</v>
      </c>
      <c r="U249" s="10" t="s">
        <v>67</v>
      </c>
      <c r="V249" s="8" t="s">
        <v>54</v>
      </c>
      <c r="W249" s="8" t="s">
        <v>54</v>
      </c>
      <c r="X249" s="8" t="s">
        <v>54</v>
      </c>
      <c r="Y249" s="8" t="s">
        <v>54</v>
      </c>
      <c r="Z249" s="8" t="s">
        <v>54</v>
      </c>
      <c r="AA249" s="8" t="s">
        <v>54</v>
      </c>
      <c r="AB249" s="10" t="s">
        <v>67</v>
      </c>
      <c r="AC249" s="8" t="s">
        <v>54</v>
      </c>
      <c r="AD249" s="8" t="s">
        <v>54</v>
      </c>
      <c r="AE249" s="8" t="s">
        <v>54</v>
      </c>
      <c r="AF249" s="8" t="s">
        <v>54</v>
      </c>
      <c r="AG249" s="8" t="s">
        <v>54</v>
      </c>
      <c r="AH249" s="8" t="s">
        <v>54</v>
      </c>
      <c r="AI249" s="10" t="s">
        <v>67</v>
      </c>
      <c r="AJ249" s="8">
        <f>COUNTIF($E$249:$AI$249,"P")</f>
        <v>26</v>
      </c>
      <c r="AK249" s="8">
        <f>COUNTIF($E$249:$AI$249,"A")</f>
        <v>0</v>
      </c>
      <c r="AL249" s="8">
        <f>SUM($E$250:$AI$250)</f>
        <v>30</v>
      </c>
      <c r="AM249" s="8">
        <f>SUM($E$251:$AI$251)</f>
        <v>33.5</v>
      </c>
      <c r="AN249" s="8">
        <f>AL249+AM249</f>
        <v>63.5</v>
      </c>
      <c r="AO249" s="8">
        <f>COUNTIF($E$249:$AI$249,"CL")</f>
        <v>0</v>
      </c>
      <c r="AP249" s="8">
        <f>COUNTIF($E$249:$AI$249,"SL")</f>
        <v>0</v>
      </c>
      <c r="AQ249" s="8">
        <f>COUNTIF($E$249:$AI$249,"EL")</f>
        <v>0</v>
      </c>
      <c r="AR249" s="8">
        <f>COUNTIF($E$249:$AI$249,"H")</f>
        <v>0</v>
      </c>
      <c r="AS249" s="8"/>
      <c r="AT249" s="11" t="s">
        <v>11</v>
      </c>
    </row>
    <row r="250" spans="1:46" ht="15.1" customHeight="1">
      <c r="A250" s="8"/>
      <c r="B250" s="9"/>
      <c r="C250" s="8"/>
      <c r="D250" s="9"/>
      <c r="E250" s="8">
        <v>2</v>
      </c>
      <c r="F250" s="8">
        <v>2</v>
      </c>
      <c r="G250" s="8">
        <v>0</v>
      </c>
      <c r="H250" s="8">
        <v>2</v>
      </c>
      <c r="I250" s="8">
        <v>2</v>
      </c>
      <c r="J250" s="8">
        <v>2</v>
      </c>
      <c r="K250" s="8">
        <v>2</v>
      </c>
      <c r="L250" s="8">
        <v>2</v>
      </c>
      <c r="M250" s="8">
        <v>2</v>
      </c>
      <c r="N250" s="8">
        <v>0</v>
      </c>
      <c r="O250" s="8">
        <v>2</v>
      </c>
      <c r="P250" s="8">
        <v>2</v>
      </c>
      <c r="Q250" s="8">
        <v>2</v>
      </c>
      <c r="R250" s="8">
        <v>0</v>
      </c>
      <c r="S250" s="8">
        <v>2</v>
      </c>
      <c r="T250" s="8">
        <v>2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2</v>
      </c>
      <c r="AE250" s="8">
        <v>0</v>
      </c>
      <c r="AF250" s="8">
        <v>0</v>
      </c>
      <c r="AG250" s="8">
        <v>0</v>
      </c>
      <c r="AH250" s="8">
        <v>2</v>
      </c>
      <c r="AI250" s="8">
        <v>0</v>
      </c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11" t="s">
        <v>11</v>
      </c>
    </row>
    <row r="251" spans="1:46" ht="15.1" customHeight="1">
      <c r="A251" s="8"/>
      <c r="B251" s="9"/>
      <c r="C251" s="8"/>
      <c r="D251" s="9"/>
      <c r="E251" s="8">
        <v>5</v>
      </c>
      <c r="F251" s="8">
        <v>3</v>
      </c>
      <c r="G251" s="8">
        <v>7.5</v>
      </c>
      <c r="H251" s="8">
        <v>3</v>
      </c>
      <c r="I251" s="8">
        <v>3</v>
      </c>
      <c r="J251" s="8">
        <v>3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5</v>
      </c>
      <c r="T251" s="8">
        <v>1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3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11" t="s">
        <v>11</v>
      </c>
    </row>
    <row r="252" spans="1:46" ht="15.1" customHeight="1">
      <c r="A252" s="8">
        <v>83</v>
      </c>
      <c r="B252" s="9" t="s">
        <v>428</v>
      </c>
      <c r="C252" s="8" t="s">
        <v>429</v>
      </c>
      <c r="D252" s="9" t="s">
        <v>266</v>
      </c>
      <c r="E252" s="8" t="s">
        <v>54</v>
      </c>
      <c r="F252" s="8" t="s">
        <v>54</v>
      </c>
      <c r="G252" s="10" t="s">
        <v>67</v>
      </c>
      <c r="H252" s="8" t="s">
        <v>54</v>
      </c>
      <c r="I252" s="8" t="s">
        <v>54</v>
      </c>
      <c r="J252" s="8" t="s">
        <v>54</v>
      </c>
      <c r="K252" s="8" t="s">
        <v>54</v>
      </c>
      <c r="L252" s="8" t="s">
        <v>54</v>
      </c>
      <c r="M252" s="8" t="s">
        <v>54</v>
      </c>
      <c r="N252" s="10" t="s">
        <v>67</v>
      </c>
      <c r="O252" s="8" t="s">
        <v>54</v>
      </c>
      <c r="P252" s="8" t="s">
        <v>54</v>
      </c>
      <c r="Q252" s="8" t="s">
        <v>54</v>
      </c>
      <c r="R252" s="8" t="s">
        <v>54</v>
      </c>
      <c r="S252" s="8" t="s">
        <v>54</v>
      </c>
      <c r="T252" s="8" t="s">
        <v>54</v>
      </c>
      <c r="U252" s="10" t="s">
        <v>67</v>
      </c>
      <c r="V252" s="8" t="s">
        <v>54</v>
      </c>
      <c r="W252" s="8" t="s">
        <v>54</v>
      </c>
      <c r="X252" s="8" t="s">
        <v>54</v>
      </c>
      <c r="Y252" s="8" t="s">
        <v>54</v>
      </c>
      <c r="Z252" s="8" t="s">
        <v>54</v>
      </c>
      <c r="AA252" s="8" t="s">
        <v>54</v>
      </c>
      <c r="AB252" s="10" t="s">
        <v>67</v>
      </c>
      <c r="AC252" s="8" t="s">
        <v>54</v>
      </c>
      <c r="AD252" s="8" t="s">
        <v>54</v>
      </c>
      <c r="AE252" s="8" t="s">
        <v>54</v>
      </c>
      <c r="AF252" s="8" t="s">
        <v>54</v>
      </c>
      <c r="AG252" s="8" t="s">
        <v>54</v>
      </c>
      <c r="AH252" s="8" t="s">
        <v>54</v>
      </c>
      <c r="AI252" s="10" t="s">
        <v>67</v>
      </c>
      <c r="AJ252" s="8">
        <f>COUNTIF($E$252:$AI$252,"P")</f>
        <v>26</v>
      </c>
      <c r="AK252" s="8">
        <f>COUNTIF($E$252:$AI$252,"A")</f>
        <v>0</v>
      </c>
      <c r="AL252" s="8">
        <f>SUM($E$253:$AI$253)</f>
        <v>34</v>
      </c>
      <c r="AM252" s="8">
        <f>SUM($E$254:$AI$254)</f>
        <v>30</v>
      </c>
      <c r="AN252" s="8">
        <f>AL252+AM252</f>
        <v>64</v>
      </c>
      <c r="AO252" s="8">
        <f>COUNTIF($E$252:$AI$252,"CL")</f>
        <v>0</v>
      </c>
      <c r="AP252" s="8">
        <f>COUNTIF($E$252:$AI$252,"SL")</f>
        <v>0</v>
      </c>
      <c r="AQ252" s="8">
        <f>COUNTIF($E$252:$AI$252,"EL")</f>
        <v>0</v>
      </c>
      <c r="AR252" s="8">
        <f>COUNTIF($E$252:$AI$252,"H")</f>
        <v>0</v>
      </c>
      <c r="AS252" s="8"/>
      <c r="AT252" s="11" t="s">
        <v>11</v>
      </c>
    </row>
    <row r="253" spans="1:46" ht="15.1" customHeight="1">
      <c r="A253" s="8"/>
      <c r="B253" s="9"/>
      <c r="C253" s="8"/>
      <c r="D253" s="9"/>
      <c r="E253" s="8">
        <v>2</v>
      </c>
      <c r="F253" s="8">
        <v>2</v>
      </c>
      <c r="G253" s="8">
        <v>0</v>
      </c>
      <c r="H253" s="8">
        <v>2</v>
      </c>
      <c r="I253" s="8">
        <v>2</v>
      </c>
      <c r="J253" s="8">
        <v>2</v>
      </c>
      <c r="K253" s="8">
        <v>2</v>
      </c>
      <c r="L253" s="8">
        <v>2</v>
      </c>
      <c r="M253" s="8">
        <v>2</v>
      </c>
      <c r="N253" s="8">
        <v>0</v>
      </c>
      <c r="O253" s="8">
        <v>2</v>
      </c>
      <c r="P253" s="8">
        <v>2</v>
      </c>
      <c r="Q253" s="8">
        <v>2</v>
      </c>
      <c r="R253" s="8">
        <v>2</v>
      </c>
      <c r="S253" s="8">
        <v>2</v>
      </c>
      <c r="T253" s="8">
        <v>2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2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2</v>
      </c>
      <c r="AG253" s="8">
        <v>0</v>
      </c>
      <c r="AH253" s="8">
        <v>2</v>
      </c>
      <c r="AI253" s="8">
        <v>0</v>
      </c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11" t="s">
        <v>11</v>
      </c>
    </row>
    <row r="254" spans="1:46" ht="15.1" customHeight="1">
      <c r="A254" s="8"/>
      <c r="B254" s="9"/>
      <c r="C254" s="8"/>
      <c r="D254" s="9"/>
      <c r="E254" s="8">
        <v>4</v>
      </c>
      <c r="F254" s="8">
        <v>3</v>
      </c>
      <c r="G254" s="8">
        <v>8</v>
      </c>
      <c r="H254" s="8">
        <v>3</v>
      </c>
      <c r="I254" s="8">
        <v>3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5</v>
      </c>
      <c r="T254" s="8">
        <v>1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3</v>
      </c>
      <c r="AG254" s="8">
        <v>0</v>
      </c>
      <c r="AH254" s="8">
        <v>0</v>
      </c>
      <c r="AI254" s="8">
        <v>0</v>
      </c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11" t="s">
        <v>11</v>
      </c>
    </row>
    <row r="255" spans="1:46" ht="15.1" customHeight="1">
      <c r="A255" s="8">
        <v>84</v>
      </c>
      <c r="B255" s="9" t="s">
        <v>430</v>
      </c>
      <c r="C255" s="8" t="s">
        <v>431</v>
      </c>
      <c r="D255" s="9" t="s">
        <v>266</v>
      </c>
      <c r="E255" s="8" t="s">
        <v>54</v>
      </c>
      <c r="F255" s="8" t="s">
        <v>54</v>
      </c>
      <c r="G255" s="10" t="s">
        <v>67</v>
      </c>
      <c r="H255" s="8" t="s">
        <v>54</v>
      </c>
      <c r="I255" s="8" t="s">
        <v>54</v>
      </c>
      <c r="J255" s="8" t="s">
        <v>54</v>
      </c>
      <c r="K255" s="8" t="s">
        <v>54</v>
      </c>
      <c r="L255" s="8" t="s">
        <v>54</v>
      </c>
      <c r="M255" s="8" t="s">
        <v>54</v>
      </c>
      <c r="N255" s="10" t="s">
        <v>67</v>
      </c>
      <c r="O255" s="8" t="s">
        <v>54</v>
      </c>
      <c r="P255" s="8" t="s">
        <v>54</v>
      </c>
      <c r="Q255" s="8" t="s">
        <v>54</v>
      </c>
      <c r="R255" s="8" t="s">
        <v>54</v>
      </c>
      <c r="S255" s="8" t="s">
        <v>54</v>
      </c>
      <c r="T255" s="8" t="s">
        <v>54</v>
      </c>
      <c r="U255" s="10" t="s">
        <v>67</v>
      </c>
      <c r="V255" s="8" t="s">
        <v>54</v>
      </c>
      <c r="W255" s="8" t="s">
        <v>54</v>
      </c>
      <c r="X255" s="8" t="s">
        <v>60</v>
      </c>
      <c r="Y255" s="8" t="s">
        <v>60</v>
      </c>
      <c r="Z255" s="8" t="s">
        <v>60</v>
      </c>
      <c r="AA255" s="8" t="s">
        <v>60</v>
      </c>
      <c r="AB255" s="10" t="s">
        <v>67</v>
      </c>
      <c r="AC255" s="8" t="s">
        <v>54</v>
      </c>
      <c r="AD255" s="8" t="s">
        <v>54</v>
      </c>
      <c r="AE255" s="8" t="s">
        <v>54</v>
      </c>
      <c r="AF255" s="8" t="s">
        <v>54</v>
      </c>
      <c r="AG255" s="8" t="s">
        <v>54</v>
      </c>
      <c r="AH255" s="8" t="s">
        <v>54</v>
      </c>
      <c r="AI255" s="10" t="s">
        <v>67</v>
      </c>
      <c r="AJ255" s="8">
        <f>COUNTIF($E$255:$AI$255,"P")</f>
        <v>22</v>
      </c>
      <c r="AK255" s="8">
        <f>COUNTIF($E$255:$AI$255,"A")</f>
        <v>0</v>
      </c>
      <c r="AL255" s="8">
        <f>SUM($E$256:$AI$256)</f>
        <v>30</v>
      </c>
      <c r="AM255" s="8">
        <f>SUM($E$257:$AI$257)</f>
        <v>50</v>
      </c>
      <c r="AN255" s="8">
        <f>AL255+AM255</f>
        <v>80</v>
      </c>
      <c r="AO255" s="8">
        <f>COUNTIF($E$255:$AI$255,"CL")</f>
        <v>0</v>
      </c>
      <c r="AP255" s="8">
        <f>COUNTIF($E$255:$AI$255,"SL")</f>
        <v>0</v>
      </c>
      <c r="AQ255" s="8">
        <f>COUNTIF($E$255:$AI$255,"EL")</f>
        <v>4</v>
      </c>
      <c r="AR255" s="8">
        <f>COUNTIF($E$255:$AI$255,"H")</f>
        <v>0</v>
      </c>
      <c r="AS255" s="8"/>
      <c r="AT255" s="11" t="s">
        <v>11</v>
      </c>
    </row>
    <row r="256" spans="1:46" ht="15.1" customHeight="1">
      <c r="A256" s="8"/>
      <c r="B256" s="9"/>
      <c r="C256" s="8"/>
      <c r="D256" s="9"/>
      <c r="E256" s="8">
        <v>2</v>
      </c>
      <c r="F256" s="8">
        <v>2</v>
      </c>
      <c r="G256" s="8">
        <v>0</v>
      </c>
      <c r="H256" s="8">
        <v>2</v>
      </c>
      <c r="I256" s="8">
        <v>2</v>
      </c>
      <c r="J256" s="8">
        <v>2</v>
      </c>
      <c r="K256" s="8">
        <v>2</v>
      </c>
      <c r="L256" s="8">
        <v>2</v>
      </c>
      <c r="M256" s="8">
        <v>2</v>
      </c>
      <c r="N256" s="8">
        <v>0</v>
      </c>
      <c r="O256" s="8">
        <v>2</v>
      </c>
      <c r="P256" s="8">
        <v>2</v>
      </c>
      <c r="Q256" s="8">
        <v>0</v>
      </c>
      <c r="R256" s="8">
        <v>2</v>
      </c>
      <c r="S256" s="8">
        <v>2</v>
      </c>
      <c r="T256" s="8">
        <v>2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2</v>
      </c>
      <c r="AF256" s="8">
        <v>0</v>
      </c>
      <c r="AG256" s="8">
        <v>2</v>
      </c>
      <c r="AH256" s="8">
        <v>0</v>
      </c>
      <c r="AI256" s="8">
        <v>0</v>
      </c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11" t="s">
        <v>11</v>
      </c>
    </row>
    <row r="257" spans="1:46" ht="15.1" customHeight="1">
      <c r="A257" s="8"/>
      <c r="B257" s="9"/>
      <c r="C257" s="8"/>
      <c r="D257" s="9"/>
      <c r="E257" s="8">
        <v>5</v>
      </c>
      <c r="F257" s="8">
        <v>3</v>
      </c>
      <c r="G257" s="8">
        <v>8</v>
      </c>
      <c r="H257" s="8">
        <v>3</v>
      </c>
      <c r="I257" s="8">
        <v>3</v>
      </c>
      <c r="J257" s="8">
        <v>0</v>
      </c>
      <c r="K257" s="8">
        <v>0</v>
      </c>
      <c r="L257" s="8">
        <v>3</v>
      </c>
      <c r="M257" s="8">
        <v>4</v>
      </c>
      <c r="N257" s="8">
        <v>0</v>
      </c>
      <c r="O257" s="8">
        <v>3</v>
      </c>
      <c r="P257" s="8">
        <v>3</v>
      </c>
      <c r="Q257" s="8">
        <v>0</v>
      </c>
      <c r="R257" s="8">
        <v>3</v>
      </c>
      <c r="S257" s="8">
        <v>5</v>
      </c>
      <c r="T257" s="8">
        <v>1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3</v>
      </c>
      <c r="AF257" s="8">
        <v>0</v>
      </c>
      <c r="AG257" s="8">
        <v>3</v>
      </c>
      <c r="AH257" s="8">
        <v>0</v>
      </c>
      <c r="AI257" s="8">
        <v>0</v>
      </c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11" t="s">
        <v>11</v>
      </c>
    </row>
    <row r="258" spans="1:46" ht="15.1" customHeight="1">
      <c r="A258" s="8">
        <v>85</v>
      </c>
      <c r="B258" s="9" t="s">
        <v>432</v>
      </c>
      <c r="C258" s="8" t="s">
        <v>433</v>
      </c>
      <c r="D258" s="9" t="s">
        <v>266</v>
      </c>
      <c r="E258" s="8" t="s">
        <v>54</v>
      </c>
      <c r="F258" s="8" t="s">
        <v>54</v>
      </c>
      <c r="G258" s="10" t="s">
        <v>67</v>
      </c>
      <c r="H258" s="8" t="s">
        <v>54</v>
      </c>
      <c r="I258" s="8" t="s">
        <v>54</v>
      </c>
      <c r="J258" s="8" t="s">
        <v>54</v>
      </c>
      <c r="K258" s="8" t="s">
        <v>54</v>
      </c>
      <c r="L258" s="8" t="s">
        <v>54</v>
      </c>
      <c r="M258" s="8" t="s">
        <v>54</v>
      </c>
      <c r="N258" s="10" t="s">
        <v>67</v>
      </c>
      <c r="O258" s="8" t="s">
        <v>54</v>
      </c>
      <c r="P258" s="8" t="s">
        <v>54</v>
      </c>
      <c r="Q258" s="8" t="s">
        <v>54</v>
      </c>
      <c r="R258" s="8" t="s">
        <v>54</v>
      </c>
      <c r="S258" s="8" t="s">
        <v>54</v>
      </c>
      <c r="T258" s="8" t="s">
        <v>54</v>
      </c>
      <c r="U258" s="10" t="s">
        <v>67</v>
      </c>
      <c r="V258" s="8" t="s">
        <v>54</v>
      </c>
      <c r="W258" s="8" t="s">
        <v>54</v>
      </c>
      <c r="X258" s="8" t="s">
        <v>54</v>
      </c>
      <c r="Y258" s="8" t="s">
        <v>54</v>
      </c>
      <c r="Z258" s="8" t="s">
        <v>54</v>
      </c>
      <c r="AA258" s="8" t="s">
        <v>54</v>
      </c>
      <c r="AB258" s="10" t="s">
        <v>67</v>
      </c>
      <c r="AC258" s="8" t="s">
        <v>54</v>
      </c>
      <c r="AD258" s="8" t="s">
        <v>54</v>
      </c>
      <c r="AE258" s="8" t="s">
        <v>54</v>
      </c>
      <c r="AF258" s="8" t="s">
        <v>54</v>
      </c>
      <c r="AG258" s="8" t="s">
        <v>54</v>
      </c>
      <c r="AH258" s="8" t="s">
        <v>54</v>
      </c>
      <c r="AI258" s="10" t="s">
        <v>67</v>
      </c>
      <c r="AJ258" s="8">
        <f>COUNTIF($E$258:$AI$258,"P")</f>
        <v>26</v>
      </c>
      <c r="AK258" s="8">
        <f>COUNTIF($E$258:$AI$258,"A")</f>
        <v>0</v>
      </c>
      <c r="AL258" s="8">
        <f>SUM($E$259:$AI$259)</f>
        <v>29</v>
      </c>
      <c r="AM258" s="8">
        <f>SUM($E$260:$AI$260)</f>
        <v>34</v>
      </c>
      <c r="AN258" s="8">
        <f>AL258+AM258</f>
        <v>62.5</v>
      </c>
      <c r="AO258" s="8">
        <f>COUNTIF($E$258:$AI$258,"CL")</f>
        <v>0</v>
      </c>
      <c r="AP258" s="8">
        <f>COUNTIF($E$258:$AI$258,"SL")</f>
        <v>0</v>
      </c>
      <c r="AQ258" s="8">
        <f>COUNTIF($E$258:$AI$258,"EL")</f>
        <v>0</v>
      </c>
      <c r="AR258" s="8">
        <f>COUNTIF($E$258:$AI$258,"H")</f>
        <v>0</v>
      </c>
      <c r="AS258" s="8"/>
      <c r="AT258" s="11" t="s">
        <v>11</v>
      </c>
    </row>
    <row r="259" spans="1:46" ht="15.1" customHeight="1">
      <c r="A259" s="8"/>
      <c r="B259" s="9"/>
      <c r="C259" s="8"/>
      <c r="D259" s="9"/>
      <c r="E259" s="8">
        <v>2</v>
      </c>
      <c r="F259" s="8">
        <v>2</v>
      </c>
      <c r="G259" s="8">
        <v>0</v>
      </c>
      <c r="H259" s="8">
        <v>2</v>
      </c>
      <c r="I259" s="8">
        <v>2</v>
      </c>
      <c r="J259" s="8">
        <v>2</v>
      </c>
      <c r="K259" s="8">
        <v>2</v>
      </c>
      <c r="L259" s="8">
        <v>2</v>
      </c>
      <c r="M259" s="8">
        <v>2</v>
      </c>
      <c r="N259" s="8">
        <v>0</v>
      </c>
      <c r="O259" s="8">
        <v>2</v>
      </c>
      <c r="P259" s="8">
        <v>2</v>
      </c>
      <c r="Q259" s="8">
        <v>2</v>
      </c>
      <c r="R259" s="8">
        <v>2</v>
      </c>
      <c r="S259" s="8">
        <v>0</v>
      </c>
      <c r="T259" s="8">
        <v>2</v>
      </c>
      <c r="U259" s="8">
        <v>0</v>
      </c>
      <c r="V259" s="8">
        <v>0</v>
      </c>
      <c r="W259" s="8">
        <v>0</v>
      </c>
      <c r="X259" s="8">
        <v>1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2</v>
      </c>
      <c r="AI259" s="8">
        <v>0</v>
      </c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11" t="s">
        <v>11</v>
      </c>
    </row>
    <row r="260" spans="1:46" ht="15.1" customHeight="1">
      <c r="A260" s="8"/>
      <c r="B260" s="9"/>
      <c r="C260" s="8"/>
      <c r="D260" s="9"/>
      <c r="E260" s="8">
        <v>3</v>
      </c>
      <c r="F260" s="8">
        <v>3</v>
      </c>
      <c r="G260" s="8">
        <v>8</v>
      </c>
      <c r="H260" s="8">
        <v>3</v>
      </c>
      <c r="I260" s="8">
        <v>3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5</v>
      </c>
      <c r="P260" s="8">
        <v>3</v>
      </c>
      <c r="Q260" s="8">
        <v>5</v>
      </c>
      <c r="R260" s="8">
        <v>0</v>
      </c>
      <c r="S260" s="8">
        <v>0</v>
      </c>
      <c r="T260" s="8">
        <v>1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11" t="s">
        <v>11</v>
      </c>
    </row>
    <row r="261" spans="1:46" ht="15.1" customHeight="1">
      <c r="A261" s="8">
        <v>86</v>
      </c>
      <c r="B261" s="9" t="s">
        <v>434</v>
      </c>
      <c r="C261" s="8" t="s">
        <v>435</v>
      </c>
      <c r="D261" s="9" t="s">
        <v>266</v>
      </c>
      <c r="E261" s="8" t="s">
        <v>54</v>
      </c>
      <c r="F261" s="8" t="s">
        <v>54</v>
      </c>
      <c r="G261" s="10" t="s">
        <v>67</v>
      </c>
      <c r="H261" s="8" t="s">
        <v>54</v>
      </c>
      <c r="I261" s="8" t="s">
        <v>54</v>
      </c>
      <c r="J261" s="8" t="s">
        <v>54</v>
      </c>
      <c r="K261" s="8" t="s">
        <v>54</v>
      </c>
      <c r="L261" s="8" t="s">
        <v>54</v>
      </c>
      <c r="M261" s="8" t="s">
        <v>54</v>
      </c>
      <c r="N261" s="10" t="s">
        <v>67</v>
      </c>
      <c r="O261" s="8" t="s">
        <v>54</v>
      </c>
      <c r="P261" s="8" t="s">
        <v>54</v>
      </c>
      <c r="Q261" s="8" t="s">
        <v>54</v>
      </c>
      <c r="R261" s="8" t="s">
        <v>54</v>
      </c>
      <c r="S261" s="8" t="s">
        <v>54</v>
      </c>
      <c r="T261" s="8" t="s">
        <v>54</v>
      </c>
      <c r="U261" s="10" t="s">
        <v>67</v>
      </c>
      <c r="V261" s="8" t="s">
        <v>54</v>
      </c>
      <c r="W261" s="8" t="s">
        <v>54</v>
      </c>
      <c r="X261" s="8" t="s">
        <v>54</v>
      </c>
      <c r="Y261" s="8" t="s">
        <v>54</v>
      </c>
      <c r="Z261" s="8" t="s">
        <v>54</v>
      </c>
      <c r="AA261" s="8" t="s">
        <v>54</v>
      </c>
      <c r="AB261" s="10" t="s">
        <v>67</v>
      </c>
      <c r="AC261" s="8" t="s">
        <v>54</v>
      </c>
      <c r="AD261" s="8" t="s">
        <v>54</v>
      </c>
      <c r="AE261" s="8" t="s">
        <v>54</v>
      </c>
      <c r="AF261" s="8" t="s">
        <v>54</v>
      </c>
      <c r="AG261" s="8" t="s">
        <v>54</v>
      </c>
      <c r="AH261" s="8" t="s">
        <v>54</v>
      </c>
      <c r="AI261" s="10" t="s">
        <v>67</v>
      </c>
      <c r="AJ261" s="8">
        <f>COUNTIF($E$261:$AI$261,"P")</f>
        <v>26</v>
      </c>
      <c r="AK261" s="8">
        <f>COUNTIF($E$261:$AI$261,"A")</f>
        <v>0</v>
      </c>
      <c r="AL261" s="8">
        <f>SUM($E$262:$AI$262)</f>
        <v>32</v>
      </c>
      <c r="AM261" s="8">
        <f>SUM($E$263:$AI$263)</f>
        <v>39</v>
      </c>
      <c r="AN261" s="8">
        <f>AL261+AM261</f>
        <v>71</v>
      </c>
      <c r="AO261" s="8">
        <f>COUNTIF($E$261:$AI$261,"CL")</f>
        <v>0</v>
      </c>
      <c r="AP261" s="8">
        <f>COUNTIF($E$261:$AI$261,"SL")</f>
        <v>0</v>
      </c>
      <c r="AQ261" s="8">
        <f>COUNTIF($E$261:$AI$261,"EL")</f>
        <v>0</v>
      </c>
      <c r="AR261" s="8">
        <f>COUNTIF($E$261:$AI$261,"H")</f>
        <v>0</v>
      </c>
      <c r="AS261" s="8"/>
      <c r="AT261" s="11" t="s">
        <v>11</v>
      </c>
    </row>
    <row r="262" spans="1:46" ht="15.1" customHeight="1">
      <c r="A262" s="8"/>
      <c r="B262" s="9"/>
      <c r="C262" s="8"/>
      <c r="D262" s="9"/>
      <c r="E262" s="8">
        <v>2</v>
      </c>
      <c r="F262" s="8">
        <v>2</v>
      </c>
      <c r="G262" s="8">
        <v>0</v>
      </c>
      <c r="H262" s="8">
        <v>2</v>
      </c>
      <c r="I262" s="8">
        <v>2</v>
      </c>
      <c r="J262" s="8">
        <v>2</v>
      </c>
      <c r="K262" s="8">
        <v>2</v>
      </c>
      <c r="L262" s="8">
        <v>2</v>
      </c>
      <c r="M262" s="8">
        <v>2</v>
      </c>
      <c r="N262" s="8">
        <v>0</v>
      </c>
      <c r="O262" s="8">
        <v>2</v>
      </c>
      <c r="P262" s="8">
        <v>2</v>
      </c>
      <c r="Q262" s="8">
        <v>2</v>
      </c>
      <c r="R262" s="8">
        <v>2</v>
      </c>
      <c r="S262" s="8">
        <v>2</v>
      </c>
      <c r="T262" s="8">
        <v>2</v>
      </c>
      <c r="U262" s="8">
        <v>0</v>
      </c>
      <c r="V262" s="8">
        <v>0</v>
      </c>
      <c r="W262" s="8">
        <v>0</v>
      </c>
      <c r="X262" s="8">
        <v>0</v>
      </c>
      <c r="Y262" s="8">
        <v>2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2</v>
      </c>
      <c r="AI262" s="8">
        <v>0</v>
      </c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11" t="s">
        <v>11</v>
      </c>
    </row>
    <row r="263" spans="1:46" ht="15.1" customHeight="1">
      <c r="A263" s="8"/>
      <c r="B263" s="9"/>
      <c r="C263" s="8"/>
      <c r="D263" s="9"/>
      <c r="E263" s="8">
        <v>3</v>
      </c>
      <c r="F263" s="8">
        <v>3</v>
      </c>
      <c r="G263" s="8">
        <v>8</v>
      </c>
      <c r="H263" s="8">
        <v>3</v>
      </c>
      <c r="I263" s="8">
        <v>3</v>
      </c>
      <c r="J263" s="8">
        <v>0</v>
      </c>
      <c r="K263" s="8">
        <v>3</v>
      </c>
      <c r="L263" s="8">
        <v>0</v>
      </c>
      <c r="M263" s="8">
        <v>3</v>
      </c>
      <c r="N263" s="8">
        <v>0</v>
      </c>
      <c r="O263" s="8">
        <v>3</v>
      </c>
      <c r="P263" s="8">
        <v>0</v>
      </c>
      <c r="Q263" s="8">
        <v>3</v>
      </c>
      <c r="R263" s="8">
        <v>0</v>
      </c>
      <c r="S263" s="8">
        <v>3</v>
      </c>
      <c r="T263" s="8">
        <v>1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3</v>
      </c>
      <c r="AI263" s="8">
        <v>0</v>
      </c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11" t="s">
        <v>11</v>
      </c>
    </row>
    <row r="264" spans="1:46" ht="15.1" customHeight="1">
      <c r="A264" s="8">
        <v>87</v>
      </c>
      <c r="B264" s="9" t="s">
        <v>436</v>
      </c>
      <c r="C264" s="8" t="s">
        <v>437</v>
      </c>
      <c r="D264" s="9" t="s">
        <v>266</v>
      </c>
      <c r="E264" s="8" t="s">
        <v>54</v>
      </c>
      <c r="F264" s="8" t="s">
        <v>54</v>
      </c>
      <c r="G264" s="10" t="s">
        <v>67</v>
      </c>
      <c r="H264" s="8" t="s">
        <v>54</v>
      </c>
      <c r="I264" s="8" t="s">
        <v>54</v>
      </c>
      <c r="J264" s="8" t="s">
        <v>54</v>
      </c>
      <c r="K264" s="8" t="s">
        <v>54</v>
      </c>
      <c r="L264" s="8" t="s">
        <v>54</v>
      </c>
      <c r="M264" s="8" t="s">
        <v>54</v>
      </c>
      <c r="N264" s="10" t="s">
        <v>67</v>
      </c>
      <c r="O264" s="8" t="s">
        <v>54</v>
      </c>
      <c r="P264" s="8" t="s">
        <v>54</v>
      </c>
      <c r="Q264" s="8" t="s">
        <v>54</v>
      </c>
      <c r="R264" s="8" t="s">
        <v>19</v>
      </c>
      <c r="S264" s="8" t="s">
        <v>19</v>
      </c>
      <c r="T264" s="8" t="s">
        <v>19</v>
      </c>
      <c r="U264" s="10" t="s">
        <v>67</v>
      </c>
      <c r="V264" s="12" t="s">
        <v>55</v>
      </c>
      <c r="W264" s="8" t="s">
        <v>54</v>
      </c>
      <c r="X264" s="8" t="s">
        <v>54</v>
      </c>
      <c r="Y264" s="8" t="s">
        <v>54</v>
      </c>
      <c r="Z264" s="8" t="s">
        <v>54</v>
      </c>
      <c r="AA264" s="8" t="s">
        <v>54</v>
      </c>
      <c r="AB264" s="10" t="s">
        <v>67</v>
      </c>
      <c r="AC264" s="8" t="s">
        <v>54</v>
      </c>
      <c r="AD264" s="8" t="s">
        <v>54</v>
      </c>
      <c r="AE264" s="8" t="s">
        <v>54</v>
      </c>
      <c r="AF264" s="8" t="s">
        <v>54</v>
      </c>
      <c r="AG264" s="8" t="s">
        <v>54</v>
      </c>
      <c r="AH264" s="8" t="s">
        <v>54</v>
      </c>
      <c r="AI264" s="10" t="s">
        <v>67</v>
      </c>
      <c r="AJ264" s="8">
        <f>COUNTIF($E$264:$AI$264,"P")</f>
        <v>22</v>
      </c>
      <c r="AK264" s="8">
        <f>COUNTIF($E$264:$AI$264,"A")</f>
        <v>1</v>
      </c>
      <c r="AL264" s="8">
        <f>SUM($E$265:$AI$265)</f>
        <v>24</v>
      </c>
      <c r="AM264" s="8">
        <f>SUM($E$266:$AI$266)</f>
        <v>27</v>
      </c>
      <c r="AN264" s="8">
        <f>AL264+AM264</f>
        <v>51</v>
      </c>
      <c r="AO264" s="8">
        <f>COUNTIF($E$264:$AI$264,"CL")</f>
        <v>0</v>
      </c>
      <c r="AP264" s="8">
        <f>COUNTIF($E$264:$AI$264,"SL")</f>
        <v>3</v>
      </c>
      <c r="AQ264" s="8">
        <f>COUNTIF($E$264:$AI$264,"EL")</f>
        <v>0</v>
      </c>
      <c r="AR264" s="8">
        <f>COUNTIF($E$264:$AI$264,"H")</f>
        <v>0</v>
      </c>
      <c r="AS264" s="8"/>
      <c r="AT264" s="11" t="s">
        <v>11</v>
      </c>
    </row>
    <row r="265" spans="1:46" ht="15.1" customHeight="1">
      <c r="A265" s="8"/>
      <c r="B265" s="9"/>
      <c r="C265" s="8"/>
      <c r="D265" s="9"/>
      <c r="E265" s="8">
        <v>2</v>
      </c>
      <c r="F265" s="8">
        <v>2</v>
      </c>
      <c r="G265" s="8">
        <v>0</v>
      </c>
      <c r="H265" s="8">
        <v>2</v>
      </c>
      <c r="I265" s="8">
        <v>2</v>
      </c>
      <c r="J265" s="8">
        <v>2</v>
      </c>
      <c r="K265" s="8">
        <v>2</v>
      </c>
      <c r="L265" s="8">
        <v>2</v>
      </c>
      <c r="M265" s="8">
        <v>2</v>
      </c>
      <c r="N265" s="8">
        <v>0</v>
      </c>
      <c r="O265" s="8">
        <v>2</v>
      </c>
      <c r="P265" s="8">
        <v>2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2</v>
      </c>
      <c r="X265" s="8">
        <v>0</v>
      </c>
      <c r="Y265" s="8">
        <v>0</v>
      </c>
      <c r="Z265" s="8">
        <v>0</v>
      </c>
      <c r="AA265" s="8">
        <v>2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11" t="s">
        <v>11</v>
      </c>
    </row>
    <row r="266" spans="1:46" ht="15.1" customHeight="1">
      <c r="A266" s="8"/>
      <c r="B266" s="9"/>
      <c r="C266" s="8"/>
      <c r="D266" s="9"/>
      <c r="E266" s="8">
        <v>4</v>
      </c>
      <c r="F266" s="8">
        <v>3</v>
      </c>
      <c r="G266" s="8">
        <v>0</v>
      </c>
      <c r="H266" s="8">
        <v>3</v>
      </c>
      <c r="I266" s="8">
        <v>3</v>
      </c>
      <c r="J266" s="8">
        <v>0</v>
      </c>
      <c r="K266" s="8">
        <v>3</v>
      </c>
      <c r="L266" s="8">
        <v>5</v>
      </c>
      <c r="M266" s="8">
        <v>3</v>
      </c>
      <c r="N266" s="8">
        <v>0</v>
      </c>
      <c r="O266" s="8">
        <v>3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11" t="s">
        <v>11</v>
      </c>
    </row>
    <row r="267" spans="1:46" ht="15.1" customHeight="1">
      <c r="A267" s="8">
        <v>88</v>
      </c>
      <c r="B267" s="9" t="s">
        <v>438</v>
      </c>
      <c r="C267" s="8" t="s">
        <v>439</v>
      </c>
      <c r="D267" s="9" t="s">
        <v>266</v>
      </c>
      <c r="E267" s="8" t="s">
        <v>54</v>
      </c>
      <c r="F267" s="8" t="s">
        <v>54</v>
      </c>
      <c r="G267" s="10" t="s">
        <v>67</v>
      </c>
      <c r="H267" s="8" t="s">
        <v>54</v>
      </c>
      <c r="I267" s="8" t="s">
        <v>54</v>
      </c>
      <c r="J267" s="8" t="s">
        <v>54</v>
      </c>
      <c r="K267" s="8" t="s">
        <v>54</v>
      </c>
      <c r="L267" s="8" t="s">
        <v>54</v>
      </c>
      <c r="M267" s="8" t="s">
        <v>54</v>
      </c>
      <c r="N267" s="10" t="s">
        <v>67</v>
      </c>
      <c r="O267" s="8" t="s">
        <v>54</v>
      </c>
      <c r="P267" s="8" t="s">
        <v>54</v>
      </c>
      <c r="Q267" s="12" t="s">
        <v>55</v>
      </c>
      <c r="R267" s="8" t="s">
        <v>54</v>
      </c>
      <c r="S267" s="8" t="s">
        <v>54</v>
      </c>
      <c r="T267" s="8" t="s">
        <v>54</v>
      </c>
      <c r="U267" s="10" t="s">
        <v>67</v>
      </c>
      <c r="V267" s="8" t="s">
        <v>54</v>
      </c>
      <c r="W267" s="8" t="s">
        <v>54</v>
      </c>
      <c r="X267" s="8" t="s">
        <v>54</v>
      </c>
      <c r="Y267" s="8" t="s">
        <v>54</v>
      </c>
      <c r="Z267" s="8" t="s">
        <v>54</v>
      </c>
      <c r="AA267" s="8" t="s">
        <v>54</v>
      </c>
      <c r="AB267" s="10" t="s">
        <v>67</v>
      </c>
      <c r="AC267" s="8" t="s">
        <v>54</v>
      </c>
      <c r="AD267" s="8" t="s">
        <v>54</v>
      </c>
      <c r="AE267" s="8" t="s">
        <v>54</v>
      </c>
      <c r="AF267" s="8" t="s">
        <v>54</v>
      </c>
      <c r="AG267" s="8" t="s">
        <v>54</v>
      </c>
      <c r="AH267" s="8" t="s">
        <v>54</v>
      </c>
      <c r="AI267" s="10" t="s">
        <v>67</v>
      </c>
      <c r="AJ267" s="8">
        <f>COUNTIF($E$267:$AI$267,"P")</f>
        <v>25</v>
      </c>
      <c r="AK267" s="8">
        <f>COUNTIF($E$267:$AI$267,"A")</f>
        <v>1</v>
      </c>
      <c r="AL267" s="8">
        <f>SUM($E$268:$AI$268)</f>
        <v>32</v>
      </c>
      <c r="AM267" s="8">
        <f>SUM($E$269:$AI$269)</f>
        <v>61</v>
      </c>
      <c r="AN267" s="8">
        <f>AL267+AM267</f>
        <v>93</v>
      </c>
      <c r="AO267" s="8">
        <f>COUNTIF($E$267:$AI$267,"CL")</f>
        <v>0</v>
      </c>
      <c r="AP267" s="8">
        <f>COUNTIF($E$267:$AI$267,"SL")</f>
        <v>0</v>
      </c>
      <c r="AQ267" s="8">
        <f>COUNTIF($E$267:$AI$267,"EL")</f>
        <v>0</v>
      </c>
      <c r="AR267" s="8">
        <f>COUNTIF($E$267:$AI$267,"H")</f>
        <v>0</v>
      </c>
      <c r="AS267" s="8"/>
      <c r="AT267" s="11" t="s">
        <v>11</v>
      </c>
    </row>
    <row r="268" spans="1:46" ht="15.1" customHeight="1">
      <c r="A268" s="8"/>
      <c r="B268" s="9"/>
      <c r="C268" s="8"/>
      <c r="D268" s="9"/>
      <c r="E268" s="8">
        <v>2</v>
      </c>
      <c r="F268" s="8">
        <v>2</v>
      </c>
      <c r="G268" s="8">
        <v>0</v>
      </c>
      <c r="H268" s="8">
        <v>2</v>
      </c>
      <c r="I268" s="8">
        <v>2</v>
      </c>
      <c r="J268" s="8">
        <v>2</v>
      </c>
      <c r="K268" s="8">
        <v>2</v>
      </c>
      <c r="L268" s="8">
        <v>2</v>
      </c>
      <c r="M268" s="8">
        <v>2</v>
      </c>
      <c r="N268" s="8">
        <v>0</v>
      </c>
      <c r="O268" s="8">
        <v>2</v>
      </c>
      <c r="P268" s="8">
        <v>0</v>
      </c>
      <c r="Q268" s="8">
        <v>0</v>
      </c>
      <c r="R268" s="8">
        <v>2</v>
      </c>
      <c r="S268" s="8">
        <v>2</v>
      </c>
      <c r="T268" s="8">
        <v>2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2</v>
      </c>
      <c r="AB268" s="8">
        <v>0</v>
      </c>
      <c r="AC268" s="8">
        <v>0</v>
      </c>
      <c r="AD268" s="8">
        <v>2</v>
      </c>
      <c r="AE268" s="8">
        <v>0</v>
      </c>
      <c r="AF268" s="8">
        <v>2</v>
      </c>
      <c r="AG268" s="8">
        <v>0</v>
      </c>
      <c r="AH268" s="8">
        <v>2</v>
      </c>
      <c r="AI268" s="8">
        <v>0</v>
      </c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11" t="s">
        <v>11</v>
      </c>
    </row>
    <row r="269" spans="1:46" ht="15.1" customHeight="1">
      <c r="A269" s="8"/>
      <c r="B269" s="9"/>
      <c r="C269" s="8"/>
      <c r="D269" s="9"/>
      <c r="E269" s="8">
        <v>6</v>
      </c>
      <c r="F269" s="8">
        <v>3</v>
      </c>
      <c r="G269" s="8">
        <v>8</v>
      </c>
      <c r="H269" s="8">
        <v>3</v>
      </c>
      <c r="I269" s="8">
        <v>2</v>
      </c>
      <c r="J269" s="8">
        <v>3</v>
      </c>
      <c r="K269" s="8">
        <v>3</v>
      </c>
      <c r="L269" s="8">
        <v>3</v>
      </c>
      <c r="M269" s="8">
        <v>0</v>
      </c>
      <c r="N269" s="8">
        <v>0</v>
      </c>
      <c r="O269" s="8">
        <v>2</v>
      </c>
      <c r="P269" s="8">
        <v>0</v>
      </c>
      <c r="Q269" s="8">
        <v>0</v>
      </c>
      <c r="R269" s="8">
        <v>0</v>
      </c>
      <c r="S269" s="8">
        <v>3</v>
      </c>
      <c r="T269" s="8">
        <v>5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2.5</v>
      </c>
      <c r="AB269" s="8">
        <v>8</v>
      </c>
      <c r="AC269" s="8">
        <v>0</v>
      </c>
      <c r="AD269" s="8">
        <v>4</v>
      </c>
      <c r="AE269" s="8">
        <v>0</v>
      </c>
      <c r="AF269" s="8">
        <v>2.5</v>
      </c>
      <c r="AG269" s="8">
        <v>0</v>
      </c>
      <c r="AH269" s="8">
        <v>3</v>
      </c>
      <c r="AI269" s="8">
        <v>0</v>
      </c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11" t="s">
        <v>11</v>
      </c>
    </row>
    <row r="270" spans="1:46" ht="15.1" customHeight="1">
      <c r="A270" s="8">
        <v>89</v>
      </c>
      <c r="B270" s="9" t="s">
        <v>440</v>
      </c>
      <c r="C270" s="8" t="s">
        <v>441</v>
      </c>
      <c r="D270" s="9" t="s">
        <v>266</v>
      </c>
      <c r="E270" s="8" t="s">
        <v>54</v>
      </c>
      <c r="F270" s="8" t="s">
        <v>54</v>
      </c>
      <c r="G270" s="10" t="s">
        <v>67</v>
      </c>
      <c r="H270" s="8" t="s">
        <v>54</v>
      </c>
      <c r="I270" s="8" t="s">
        <v>54</v>
      </c>
      <c r="J270" s="8" t="s">
        <v>54</v>
      </c>
      <c r="K270" s="8" t="s">
        <v>54</v>
      </c>
      <c r="L270" s="8" t="s">
        <v>54</v>
      </c>
      <c r="M270" s="8" t="s">
        <v>54</v>
      </c>
      <c r="N270" s="10" t="s">
        <v>67</v>
      </c>
      <c r="O270" s="8" t="s">
        <v>54</v>
      </c>
      <c r="P270" s="8" t="s">
        <v>54</v>
      </c>
      <c r="Q270" s="8" t="s">
        <v>54</v>
      </c>
      <c r="R270" s="8" t="s">
        <v>54</v>
      </c>
      <c r="S270" s="8" t="s">
        <v>54</v>
      </c>
      <c r="T270" s="8" t="s">
        <v>54</v>
      </c>
      <c r="U270" s="10" t="s">
        <v>67</v>
      </c>
      <c r="V270" s="8" t="s">
        <v>54</v>
      </c>
      <c r="W270" s="8" t="s">
        <v>54</v>
      </c>
      <c r="X270" s="8" t="s">
        <v>54</v>
      </c>
      <c r="Y270" s="8" t="s">
        <v>54</v>
      </c>
      <c r="Z270" s="8" t="s">
        <v>54</v>
      </c>
      <c r="AA270" s="8" t="s">
        <v>54</v>
      </c>
      <c r="AB270" s="10" t="s">
        <v>67</v>
      </c>
      <c r="AC270" s="8" t="s">
        <v>54</v>
      </c>
      <c r="AD270" s="8" t="s">
        <v>54</v>
      </c>
      <c r="AE270" s="8" t="s">
        <v>54</v>
      </c>
      <c r="AF270" s="8" t="s">
        <v>54</v>
      </c>
      <c r="AG270" s="8" t="s">
        <v>54</v>
      </c>
      <c r="AH270" s="8" t="s">
        <v>54</v>
      </c>
      <c r="AI270" s="10" t="s">
        <v>67</v>
      </c>
      <c r="AJ270" s="8">
        <f>COUNTIF($E$270:$AI$270,"P")</f>
        <v>26</v>
      </c>
      <c r="AK270" s="8">
        <f>COUNTIF($E$270:$AI$270,"A")</f>
        <v>0</v>
      </c>
      <c r="AL270" s="8">
        <f>SUM($E$271:$AI$271)</f>
        <v>36</v>
      </c>
      <c r="AM270" s="8">
        <f>SUM($E$272:$AI$272)</f>
        <v>71.5</v>
      </c>
      <c r="AN270" s="8">
        <f>AL270+AM270</f>
        <v>106.5</v>
      </c>
      <c r="AO270" s="8">
        <f>COUNTIF($E$270:$AI$270,"CL")</f>
        <v>0</v>
      </c>
      <c r="AP270" s="8">
        <f>COUNTIF($E$270:$AI$270,"SL")</f>
        <v>0</v>
      </c>
      <c r="AQ270" s="8">
        <f>COUNTIF($E$270:$AI$270,"EL")</f>
        <v>0</v>
      </c>
      <c r="AR270" s="8">
        <f>COUNTIF($E$270:$AI$270,"H")</f>
        <v>0</v>
      </c>
      <c r="AS270" s="8"/>
      <c r="AT270" s="11" t="s">
        <v>11</v>
      </c>
    </row>
    <row r="271" spans="1:46" ht="15.1" customHeight="1">
      <c r="A271" s="8"/>
      <c r="B271" s="9"/>
      <c r="C271" s="8"/>
      <c r="D271" s="9"/>
      <c r="E271" s="8">
        <v>2</v>
      </c>
      <c r="F271" s="8">
        <v>2</v>
      </c>
      <c r="G271" s="8">
        <v>0</v>
      </c>
      <c r="H271" s="8">
        <v>2</v>
      </c>
      <c r="I271" s="8">
        <v>2</v>
      </c>
      <c r="J271" s="8">
        <v>2</v>
      </c>
      <c r="K271" s="8">
        <v>2</v>
      </c>
      <c r="L271" s="8">
        <v>2</v>
      </c>
      <c r="M271" s="8">
        <v>2</v>
      </c>
      <c r="N271" s="8">
        <v>0</v>
      </c>
      <c r="O271" s="8">
        <v>2</v>
      </c>
      <c r="P271" s="8">
        <v>2</v>
      </c>
      <c r="Q271" s="8">
        <v>2</v>
      </c>
      <c r="R271" s="8">
        <v>2</v>
      </c>
      <c r="S271" s="8">
        <v>2</v>
      </c>
      <c r="T271" s="8">
        <v>2</v>
      </c>
      <c r="U271" s="8">
        <v>0</v>
      </c>
      <c r="V271" s="8">
        <v>0</v>
      </c>
      <c r="W271" s="8">
        <v>0</v>
      </c>
      <c r="X271" s="8">
        <v>0</v>
      </c>
      <c r="Y271" s="8">
        <v>2</v>
      </c>
      <c r="Z271" s="8">
        <v>0</v>
      </c>
      <c r="AA271" s="8">
        <v>0</v>
      </c>
      <c r="AB271" s="8">
        <v>0</v>
      </c>
      <c r="AC271" s="8">
        <v>2</v>
      </c>
      <c r="AD271" s="8">
        <v>2</v>
      </c>
      <c r="AE271" s="8">
        <v>0</v>
      </c>
      <c r="AF271" s="8">
        <v>0</v>
      </c>
      <c r="AG271" s="8">
        <v>0</v>
      </c>
      <c r="AH271" s="8">
        <v>2</v>
      </c>
      <c r="AI271" s="8">
        <v>0</v>
      </c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11" t="s">
        <v>11</v>
      </c>
    </row>
    <row r="272" spans="1:46" ht="15.1" customHeight="1">
      <c r="A272" s="8"/>
      <c r="B272" s="9"/>
      <c r="C272" s="8"/>
      <c r="D272" s="9"/>
      <c r="E272" s="8">
        <v>5</v>
      </c>
      <c r="F272" s="8">
        <v>7</v>
      </c>
      <c r="G272" s="8">
        <v>16</v>
      </c>
      <c r="H272" s="8">
        <v>3.5</v>
      </c>
      <c r="I272" s="8">
        <v>6.5</v>
      </c>
      <c r="J272" s="8">
        <v>4.5</v>
      </c>
      <c r="K272" s="8">
        <v>4</v>
      </c>
      <c r="L272" s="8">
        <v>2.5</v>
      </c>
      <c r="M272" s="8">
        <v>2.5</v>
      </c>
      <c r="N272" s="8">
        <v>0</v>
      </c>
      <c r="O272" s="8">
        <v>0</v>
      </c>
      <c r="P272" s="8">
        <v>7</v>
      </c>
      <c r="Q272" s="8">
        <v>4.5</v>
      </c>
      <c r="R272" s="8">
        <v>3</v>
      </c>
      <c r="S272" s="8">
        <v>0</v>
      </c>
      <c r="T272" s="8">
        <v>3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0.5</v>
      </c>
      <c r="AE272" s="8">
        <v>0</v>
      </c>
      <c r="AF272" s="8">
        <v>0</v>
      </c>
      <c r="AG272" s="8">
        <v>0</v>
      </c>
      <c r="AH272" s="8">
        <v>2</v>
      </c>
      <c r="AI272" s="8">
        <v>0</v>
      </c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11" t="s">
        <v>11</v>
      </c>
    </row>
    <row r="273" spans="1:46" ht="15.1" customHeight="1">
      <c r="A273" s="8">
        <v>90</v>
      </c>
      <c r="B273" s="9" t="s">
        <v>442</v>
      </c>
      <c r="C273" s="8" t="s">
        <v>443</v>
      </c>
      <c r="D273" s="9" t="s">
        <v>266</v>
      </c>
      <c r="E273" s="8" t="s">
        <v>54</v>
      </c>
      <c r="F273" s="8" t="s">
        <v>54</v>
      </c>
      <c r="G273" s="10" t="s">
        <v>67</v>
      </c>
      <c r="H273" s="8" t="s">
        <v>54</v>
      </c>
      <c r="I273" s="8" t="s">
        <v>54</v>
      </c>
      <c r="J273" s="8" t="s">
        <v>54</v>
      </c>
      <c r="K273" s="8" t="s">
        <v>54</v>
      </c>
      <c r="L273" s="12" t="s">
        <v>55</v>
      </c>
      <c r="M273" s="8" t="s">
        <v>54</v>
      </c>
      <c r="N273" s="10" t="s">
        <v>67</v>
      </c>
      <c r="O273" s="8" t="s">
        <v>54</v>
      </c>
      <c r="P273" s="8" t="s">
        <v>54</v>
      </c>
      <c r="Q273" s="8" t="s">
        <v>54</v>
      </c>
      <c r="R273" s="8" t="s">
        <v>54</v>
      </c>
      <c r="S273" s="8" t="s">
        <v>54</v>
      </c>
      <c r="T273" s="8" t="s">
        <v>54</v>
      </c>
      <c r="U273" s="10" t="s">
        <v>67</v>
      </c>
      <c r="V273" s="8" t="s">
        <v>54</v>
      </c>
      <c r="W273" s="8" t="s">
        <v>54</v>
      </c>
      <c r="X273" s="8" t="s">
        <v>54</v>
      </c>
      <c r="Y273" s="8" t="s">
        <v>54</v>
      </c>
      <c r="Z273" s="8" t="s">
        <v>54</v>
      </c>
      <c r="AA273" s="8" t="s">
        <v>54</v>
      </c>
      <c r="AB273" s="10" t="s">
        <v>67</v>
      </c>
      <c r="AC273" s="8" t="s">
        <v>54</v>
      </c>
      <c r="AD273" s="8" t="s">
        <v>54</v>
      </c>
      <c r="AE273" s="8" t="s">
        <v>54</v>
      </c>
      <c r="AF273" s="8" t="s">
        <v>54</v>
      </c>
      <c r="AG273" s="8" t="s">
        <v>54</v>
      </c>
      <c r="AH273" s="8" t="s">
        <v>54</v>
      </c>
      <c r="AI273" s="10" t="s">
        <v>67</v>
      </c>
      <c r="AJ273" s="8">
        <f>COUNTIF($E$273:$AI$273,"P")</f>
        <v>25</v>
      </c>
      <c r="AK273" s="8">
        <f>COUNTIF($E$273:$AI$273,"A")</f>
        <v>1</v>
      </c>
      <c r="AL273" s="8">
        <f>SUM($E$274:$AI$274)</f>
        <v>30</v>
      </c>
      <c r="AM273" s="8">
        <f>SUM($E$275:$AI$275)</f>
        <v>26</v>
      </c>
      <c r="AN273" s="8">
        <f>AL273+AM273</f>
        <v>56</v>
      </c>
      <c r="AO273" s="8">
        <f>COUNTIF($E$273:$AI$273,"CL")</f>
        <v>0</v>
      </c>
      <c r="AP273" s="8">
        <f>COUNTIF($E$273:$AI$273,"SL")</f>
        <v>0</v>
      </c>
      <c r="AQ273" s="8">
        <f>COUNTIF($E$273:$AI$273,"EL")</f>
        <v>0</v>
      </c>
      <c r="AR273" s="8">
        <f>COUNTIF($E$273:$AI$273,"H")</f>
        <v>0</v>
      </c>
      <c r="AS273" s="8"/>
      <c r="AT273" s="11" t="s">
        <v>11</v>
      </c>
    </row>
    <row r="274" spans="1:46" ht="15.1" customHeight="1">
      <c r="A274" s="8"/>
      <c r="B274" s="9"/>
      <c r="C274" s="8"/>
      <c r="D274" s="9"/>
      <c r="E274" s="8">
        <v>2</v>
      </c>
      <c r="F274" s="8">
        <v>0</v>
      </c>
      <c r="G274" s="8">
        <v>0</v>
      </c>
      <c r="H274" s="8">
        <v>2</v>
      </c>
      <c r="I274" s="8">
        <v>2</v>
      </c>
      <c r="J274" s="8">
        <v>2</v>
      </c>
      <c r="K274" s="8">
        <v>2</v>
      </c>
      <c r="L274" s="8">
        <v>0</v>
      </c>
      <c r="M274" s="8">
        <v>2</v>
      </c>
      <c r="N274" s="8">
        <v>0</v>
      </c>
      <c r="O274" s="8">
        <v>2</v>
      </c>
      <c r="P274" s="8">
        <v>2</v>
      </c>
      <c r="Q274" s="8">
        <v>2</v>
      </c>
      <c r="R274" s="8">
        <v>0</v>
      </c>
      <c r="S274" s="8">
        <v>2</v>
      </c>
      <c r="T274" s="8">
        <v>2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2</v>
      </c>
      <c r="AA274" s="8">
        <v>0</v>
      </c>
      <c r="AB274" s="8">
        <v>0</v>
      </c>
      <c r="AC274" s="8">
        <v>2</v>
      </c>
      <c r="AD274" s="8">
        <v>0</v>
      </c>
      <c r="AE274" s="8">
        <v>2</v>
      </c>
      <c r="AF274" s="8">
        <v>0</v>
      </c>
      <c r="AG274" s="8">
        <v>2</v>
      </c>
      <c r="AH274" s="8">
        <v>0</v>
      </c>
      <c r="AI274" s="8">
        <v>0</v>
      </c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11" t="s">
        <v>11</v>
      </c>
    </row>
    <row r="275" spans="1:46" ht="15.1" customHeight="1">
      <c r="A275" s="8"/>
      <c r="B275" s="9"/>
      <c r="C275" s="8"/>
      <c r="D275" s="9"/>
      <c r="E275" s="8">
        <v>4.5</v>
      </c>
      <c r="F275" s="8">
        <v>0</v>
      </c>
      <c r="G275" s="8">
        <v>0</v>
      </c>
      <c r="H275" s="8">
        <v>3</v>
      </c>
      <c r="I275" s="8">
        <v>3</v>
      </c>
      <c r="J275" s="8">
        <v>3</v>
      </c>
      <c r="K275" s="8">
        <v>0</v>
      </c>
      <c r="L275" s="8">
        <v>0</v>
      </c>
      <c r="M275" s="8">
        <v>3</v>
      </c>
      <c r="N275" s="8">
        <v>0</v>
      </c>
      <c r="O275" s="8">
        <v>0</v>
      </c>
      <c r="P275" s="8">
        <v>0</v>
      </c>
      <c r="Q275" s="8">
        <v>3</v>
      </c>
      <c r="R275" s="8">
        <v>0</v>
      </c>
      <c r="S275" s="8">
        <v>0</v>
      </c>
      <c r="T275" s="8">
        <v>1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2.5</v>
      </c>
      <c r="AA275" s="8">
        <v>0</v>
      </c>
      <c r="AB275" s="8">
        <v>0</v>
      </c>
      <c r="AC275" s="8">
        <v>1</v>
      </c>
      <c r="AD275" s="8">
        <v>0</v>
      </c>
      <c r="AE275" s="8">
        <v>1</v>
      </c>
      <c r="AF275" s="8">
        <v>0</v>
      </c>
      <c r="AG275" s="8">
        <v>1</v>
      </c>
      <c r="AH275" s="8">
        <v>0</v>
      </c>
      <c r="AI275" s="8">
        <v>0</v>
      </c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11" t="s">
        <v>11</v>
      </c>
    </row>
    <row r="276" spans="1:46" ht="15.1" customHeight="1">
      <c r="A276" s="8">
        <v>91</v>
      </c>
      <c r="B276" s="9" t="s">
        <v>444</v>
      </c>
      <c r="C276" s="8" t="s">
        <v>445</v>
      </c>
      <c r="D276" s="9" t="s">
        <v>266</v>
      </c>
      <c r="E276" s="8" t="s">
        <v>54</v>
      </c>
      <c r="F276" s="8" t="s">
        <v>54</v>
      </c>
      <c r="G276" s="10" t="s">
        <v>67</v>
      </c>
      <c r="H276" s="8" t="s">
        <v>54</v>
      </c>
      <c r="I276" s="8" t="s">
        <v>54</v>
      </c>
      <c r="J276" s="8" t="s">
        <v>54</v>
      </c>
      <c r="K276" s="8" t="s">
        <v>54</v>
      </c>
      <c r="L276" s="8" t="s">
        <v>54</v>
      </c>
      <c r="M276" s="8" t="s">
        <v>54</v>
      </c>
      <c r="N276" s="10" t="s">
        <v>67</v>
      </c>
      <c r="O276" s="8" t="s">
        <v>54</v>
      </c>
      <c r="P276" s="8" t="s">
        <v>54</v>
      </c>
      <c r="Q276" s="8" t="s">
        <v>54</v>
      </c>
      <c r="R276" s="8" t="s">
        <v>54</v>
      </c>
      <c r="S276" s="8" t="s">
        <v>54</v>
      </c>
      <c r="T276" s="8" t="s">
        <v>54</v>
      </c>
      <c r="U276" s="10" t="s">
        <v>67</v>
      </c>
      <c r="V276" s="12" t="s">
        <v>55</v>
      </c>
      <c r="W276" s="8" t="s">
        <v>54</v>
      </c>
      <c r="X276" s="8" t="s">
        <v>54</v>
      </c>
      <c r="Y276" s="8" t="s">
        <v>54</v>
      </c>
      <c r="Z276" s="8" t="s">
        <v>54</v>
      </c>
      <c r="AA276" s="8" t="s">
        <v>54</v>
      </c>
      <c r="AB276" s="10" t="s">
        <v>67</v>
      </c>
      <c r="AC276" s="12" t="s">
        <v>55</v>
      </c>
      <c r="AD276" s="8" t="s">
        <v>54</v>
      </c>
      <c r="AE276" s="8" t="s">
        <v>54</v>
      </c>
      <c r="AF276" s="8" t="s">
        <v>54</v>
      </c>
      <c r="AG276" s="8" t="s">
        <v>54</v>
      </c>
      <c r="AH276" s="8" t="s">
        <v>54</v>
      </c>
      <c r="AI276" s="10" t="s">
        <v>67</v>
      </c>
      <c r="AJ276" s="8">
        <f>COUNTIF($E$276:$AI$276,"P")</f>
        <v>24</v>
      </c>
      <c r="AK276" s="8">
        <f>COUNTIF($E$276:$AI$276,"A")</f>
        <v>2</v>
      </c>
      <c r="AL276" s="8">
        <f>SUM($E$277:$AI$277)</f>
        <v>30</v>
      </c>
      <c r="AM276" s="8">
        <f>SUM($E$278:$AI$278)</f>
        <v>40</v>
      </c>
      <c r="AN276" s="8">
        <f>AL276+AM276</f>
        <v>70</v>
      </c>
      <c r="AO276" s="8">
        <f>COUNTIF($E$276:$AI$276,"CL")</f>
        <v>0</v>
      </c>
      <c r="AP276" s="8">
        <f>COUNTIF($E$276:$AI$276,"SL")</f>
        <v>0</v>
      </c>
      <c r="AQ276" s="8">
        <f>COUNTIF($E$276:$AI$276,"EL")</f>
        <v>0</v>
      </c>
      <c r="AR276" s="8">
        <f>COUNTIF($E$276:$AI$276,"H")</f>
        <v>0</v>
      </c>
      <c r="AS276" s="8"/>
      <c r="AT276" s="11" t="s">
        <v>11</v>
      </c>
    </row>
    <row r="277" spans="1:46" ht="15.1" customHeight="1">
      <c r="A277" s="8"/>
      <c r="B277" s="9"/>
      <c r="C277" s="8"/>
      <c r="D277" s="9"/>
      <c r="E277" s="8">
        <v>2</v>
      </c>
      <c r="F277" s="8">
        <v>2</v>
      </c>
      <c r="G277" s="8">
        <v>0</v>
      </c>
      <c r="H277" s="8">
        <v>2</v>
      </c>
      <c r="I277" s="8">
        <v>2</v>
      </c>
      <c r="J277" s="8">
        <v>2</v>
      </c>
      <c r="K277" s="8">
        <v>2</v>
      </c>
      <c r="L277" s="8">
        <v>2</v>
      </c>
      <c r="M277" s="8">
        <v>2</v>
      </c>
      <c r="N277" s="8">
        <v>0</v>
      </c>
      <c r="O277" s="8">
        <v>2</v>
      </c>
      <c r="P277" s="8">
        <v>2</v>
      </c>
      <c r="Q277" s="8">
        <v>2</v>
      </c>
      <c r="R277" s="8">
        <v>2</v>
      </c>
      <c r="S277" s="8">
        <v>2</v>
      </c>
      <c r="T277" s="8">
        <v>2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2</v>
      </c>
      <c r="AI277" s="8">
        <v>0</v>
      </c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11" t="s">
        <v>11</v>
      </c>
    </row>
    <row r="278" spans="1:46" ht="15.1" customHeight="1">
      <c r="A278" s="8"/>
      <c r="B278" s="9"/>
      <c r="C278" s="8"/>
      <c r="D278" s="9"/>
      <c r="E278" s="8">
        <v>5</v>
      </c>
      <c r="F278" s="8">
        <v>3</v>
      </c>
      <c r="G278" s="8">
        <v>8</v>
      </c>
      <c r="H278" s="8">
        <v>3</v>
      </c>
      <c r="I278" s="8">
        <v>3</v>
      </c>
      <c r="J278" s="8">
        <v>3</v>
      </c>
      <c r="K278" s="8">
        <v>3</v>
      </c>
      <c r="L278" s="8">
        <v>0</v>
      </c>
      <c r="M278" s="8">
        <v>3</v>
      </c>
      <c r="N278" s="8">
        <v>0</v>
      </c>
      <c r="O278" s="8">
        <v>2</v>
      </c>
      <c r="P278" s="8">
        <v>0</v>
      </c>
      <c r="Q278" s="8">
        <v>0</v>
      </c>
      <c r="R278" s="8">
        <v>0</v>
      </c>
      <c r="S278" s="8">
        <v>3</v>
      </c>
      <c r="T278" s="8">
        <v>1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3</v>
      </c>
      <c r="AI278" s="8">
        <v>0</v>
      </c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11" t="s">
        <v>11</v>
      </c>
    </row>
    <row r="279" spans="1:46" ht="15.1" customHeight="1">
      <c r="A279" s="8">
        <v>92</v>
      </c>
      <c r="B279" s="9" t="s">
        <v>446</v>
      </c>
      <c r="C279" s="8" t="s">
        <v>447</v>
      </c>
      <c r="D279" s="9" t="s">
        <v>266</v>
      </c>
      <c r="E279" s="8" t="s">
        <v>54</v>
      </c>
      <c r="F279" s="8" t="s">
        <v>54</v>
      </c>
      <c r="G279" s="10" t="s">
        <v>67</v>
      </c>
      <c r="H279" s="8" t="s">
        <v>54</v>
      </c>
      <c r="I279" s="8" t="s">
        <v>54</v>
      </c>
      <c r="J279" s="8" t="s">
        <v>54</v>
      </c>
      <c r="K279" s="8" t="s">
        <v>54</v>
      </c>
      <c r="L279" s="8" t="s">
        <v>54</v>
      </c>
      <c r="M279" s="8" t="s">
        <v>54</v>
      </c>
      <c r="N279" s="10" t="s">
        <v>67</v>
      </c>
      <c r="O279" s="8" t="s">
        <v>54</v>
      </c>
      <c r="P279" s="8" t="s">
        <v>54</v>
      </c>
      <c r="Q279" s="8" t="s">
        <v>54</v>
      </c>
      <c r="R279" s="8" t="s">
        <v>54</v>
      </c>
      <c r="S279" s="8" t="s">
        <v>54</v>
      </c>
      <c r="T279" s="8" t="s">
        <v>54</v>
      </c>
      <c r="U279" s="10" t="s">
        <v>67</v>
      </c>
      <c r="V279" s="8" t="s">
        <v>54</v>
      </c>
      <c r="W279" s="8" t="s">
        <v>54</v>
      </c>
      <c r="X279" s="8" t="s">
        <v>54</v>
      </c>
      <c r="Y279" s="8" t="s">
        <v>54</v>
      </c>
      <c r="Z279" s="8" t="s">
        <v>54</v>
      </c>
      <c r="AA279" s="8" t="s">
        <v>54</v>
      </c>
      <c r="AB279" s="10" t="s">
        <v>67</v>
      </c>
      <c r="AC279" s="8" t="s">
        <v>54</v>
      </c>
      <c r="AD279" s="8" t="s">
        <v>54</v>
      </c>
      <c r="AE279" s="8" t="s">
        <v>54</v>
      </c>
      <c r="AF279" s="8" t="s">
        <v>54</v>
      </c>
      <c r="AG279" s="8" t="s">
        <v>54</v>
      </c>
      <c r="AH279" s="8" t="s">
        <v>54</v>
      </c>
      <c r="AI279" s="10" t="s">
        <v>67</v>
      </c>
      <c r="AJ279" s="8">
        <f>COUNTIF($E$279:$AI$279,"P")</f>
        <v>26</v>
      </c>
      <c r="AK279" s="8">
        <f>COUNTIF($E$279:$AI$279,"A")</f>
        <v>0</v>
      </c>
      <c r="AL279" s="8">
        <f>SUM($E$280:$AI$280)</f>
        <v>34</v>
      </c>
      <c r="AM279" s="8">
        <f>SUM($E$281:$AI$281)</f>
        <v>52</v>
      </c>
      <c r="AN279" s="8">
        <f>AL279+AM279</f>
        <v>86</v>
      </c>
      <c r="AO279" s="8">
        <f>COUNTIF($E$279:$AI$279,"CL")</f>
        <v>0</v>
      </c>
      <c r="AP279" s="8">
        <f>COUNTIF($E$279:$AI$279,"SL")</f>
        <v>0</v>
      </c>
      <c r="AQ279" s="8">
        <f>COUNTIF($E$279:$AI$279,"EL")</f>
        <v>0</v>
      </c>
      <c r="AR279" s="8">
        <f>COUNTIF($E$279:$AI$279,"H")</f>
        <v>0</v>
      </c>
      <c r="AS279" s="8"/>
      <c r="AT279" s="11" t="s">
        <v>11</v>
      </c>
    </row>
    <row r="280" spans="1:46" ht="15.1" customHeight="1">
      <c r="A280" s="8"/>
      <c r="B280" s="9"/>
      <c r="C280" s="8"/>
      <c r="D280" s="9"/>
      <c r="E280" s="8">
        <v>2</v>
      </c>
      <c r="F280" s="8">
        <v>2</v>
      </c>
      <c r="G280" s="8">
        <v>0</v>
      </c>
      <c r="H280" s="8">
        <v>2</v>
      </c>
      <c r="I280" s="8">
        <v>2</v>
      </c>
      <c r="J280" s="8">
        <v>2</v>
      </c>
      <c r="K280" s="8">
        <v>2</v>
      </c>
      <c r="L280" s="8">
        <v>2</v>
      </c>
      <c r="M280" s="8">
        <v>2</v>
      </c>
      <c r="N280" s="8">
        <v>0</v>
      </c>
      <c r="O280" s="8">
        <v>2</v>
      </c>
      <c r="P280" s="8">
        <v>2</v>
      </c>
      <c r="Q280" s="8">
        <v>2</v>
      </c>
      <c r="R280" s="8">
        <v>2</v>
      </c>
      <c r="S280" s="8">
        <v>2</v>
      </c>
      <c r="T280" s="8">
        <v>2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2</v>
      </c>
      <c r="AA280" s="8">
        <v>0</v>
      </c>
      <c r="AB280" s="8">
        <v>0</v>
      </c>
      <c r="AC280" s="8">
        <v>2</v>
      </c>
      <c r="AD280" s="8">
        <v>0</v>
      </c>
      <c r="AE280" s="8">
        <v>0</v>
      </c>
      <c r="AF280" s="8">
        <v>0</v>
      </c>
      <c r="AG280" s="8">
        <v>2</v>
      </c>
      <c r="AH280" s="8">
        <v>0</v>
      </c>
      <c r="AI280" s="8">
        <v>0</v>
      </c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11" t="s">
        <v>11</v>
      </c>
    </row>
    <row r="281" spans="1:46" ht="15.1" customHeight="1">
      <c r="A281" s="8"/>
      <c r="B281" s="9"/>
      <c r="C281" s="8"/>
      <c r="D281" s="9"/>
      <c r="E281" s="8">
        <v>4.5</v>
      </c>
      <c r="F281" s="8">
        <v>3</v>
      </c>
      <c r="G281" s="8">
        <v>7.5</v>
      </c>
      <c r="H281" s="8">
        <v>3</v>
      </c>
      <c r="I281" s="8">
        <v>3</v>
      </c>
      <c r="J281" s="8">
        <v>0</v>
      </c>
      <c r="K281" s="8">
        <v>3</v>
      </c>
      <c r="L281" s="8">
        <v>0</v>
      </c>
      <c r="M281" s="8">
        <v>3</v>
      </c>
      <c r="N281" s="8">
        <v>0</v>
      </c>
      <c r="O281" s="8">
        <v>5</v>
      </c>
      <c r="P281" s="8">
        <v>2.5</v>
      </c>
      <c r="Q281" s="8">
        <v>5</v>
      </c>
      <c r="R281" s="8">
        <v>3.5</v>
      </c>
      <c r="S281" s="8">
        <v>5</v>
      </c>
      <c r="T281" s="8">
        <v>1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3</v>
      </c>
      <c r="AH281" s="8">
        <v>0</v>
      </c>
      <c r="AI281" s="8">
        <v>0</v>
      </c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11" t="s">
        <v>11</v>
      </c>
    </row>
    <row r="282" spans="1:46" ht="15.1" customHeight="1">
      <c r="A282" s="8">
        <v>93</v>
      </c>
      <c r="B282" s="9" t="s">
        <v>448</v>
      </c>
      <c r="C282" s="8" t="s">
        <v>449</v>
      </c>
      <c r="D282" s="9" t="s">
        <v>266</v>
      </c>
      <c r="E282" s="8" t="s">
        <v>54</v>
      </c>
      <c r="F282" s="8" t="s">
        <v>54</v>
      </c>
      <c r="G282" s="10" t="s">
        <v>67</v>
      </c>
      <c r="H282" s="8" t="s">
        <v>54</v>
      </c>
      <c r="I282" s="8" t="s">
        <v>54</v>
      </c>
      <c r="J282" s="8" t="s">
        <v>54</v>
      </c>
      <c r="K282" s="8" t="s">
        <v>54</v>
      </c>
      <c r="L282" s="8" t="s">
        <v>54</v>
      </c>
      <c r="M282" s="8" t="s">
        <v>54</v>
      </c>
      <c r="N282" s="10" t="s">
        <v>67</v>
      </c>
      <c r="O282" s="8" t="s">
        <v>54</v>
      </c>
      <c r="P282" s="8" t="s">
        <v>54</v>
      </c>
      <c r="Q282" s="8" t="s">
        <v>54</v>
      </c>
      <c r="R282" s="8" t="s">
        <v>54</v>
      </c>
      <c r="S282" s="8" t="s">
        <v>54</v>
      </c>
      <c r="T282" s="8" t="s">
        <v>54</v>
      </c>
      <c r="U282" s="10" t="s">
        <v>67</v>
      </c>
      <c r="V282" s="8" t="s">
        <v>54</v>
      </c>
      <c r="W282" s="8" t="s">
        <v>54</v>
      </c>
      <c r="X282" s="8" t="s">
        <v>59</v>
      </c>
      <c r="Y282" s="8" t="s">
        <v>59</v>
      </c>
      <c r="Z282" s="12" t="s">
        <v>55</v>
      </c>
      <c r="AA282" s="8" t="s">
        <v>54</v>
      </c>
      <c r="AB282" s="10" t="s">
        <v>67</v>
      </c>
      <c r="AC282" s="12" t="s">
        <v>55</v>
      </c>
      <c r="AD282" s="8" t="s">
        <v>54</v>
      </c>
      <c r="AE282" s="8" t="s">
        <v>54</v>
      </c>
      <c r="AF282" s="8" t="s">
        <v>54</v>
      </c>
      <c r="AG282" s="8" t="s">
        <v>54</v>
      </c>
      <c r="AH282" s="8" t="s">
        <v>54</v>
      </c>
      <c r="AI282" s="10" t="s">
        <v>67</v>
      </c>
      <c r="AJ282" s="8">
        <f>COUNTIF($E$282:$AI$282,"P")</f>
        <v>22</v>
      </c>
      <c r="AK282" s="8">
        <f>COUNTIF($E$282:$AI$282,"A")</f>
        <v>2</v>
      </c>
      <c r="AL282" s="8">
        <f>SUM($E$283:$AI$283)</f>
        <v>32</v>
      </c>
      <c r="AM282" s="8">
        <f>SUM($E$284:$AI$284)</f>
        <v>34.5</v>
      </c>
      <c r="AN282" s="8">
        <f>AL282+AM282</f>
        <v>66.5</v>
      </c>
      <c r="AO282" s="8">
        <f>COUNTIF($E$282:$AI$282,"CL")</f>
        <v>2</v>
      </c>
      <c r="AP282" s="8">
        <f>COUNTIF($E$282:$AI$282,"SL")</f>
        <v>0</v>
      </c>
      <c r="AQ282" s="8">
        <f>COUNTIF($E$282:$AI$282,"EL")</f>
        <v>0</v>
      </c>
      <c r="AR282" s="8">
        <f>COUNTIF($E$282:$AI$282,"H")</f>
        <v>0</v>
      </c>
      <c r="AS282" s="8"/>
      <c r="AT282" s="11" t="s">
        <v>11</v>
      </c>
    </row>
    <row r="283" spans="1:46" ht="15.1" customHeight="1">
      <c r="A283" s="8"/>
      <c r="B283" s="9"/>
      <c r="C283" s="8"/>
      <c r="D283" s="9"/>
      <c r="E283" s="8">
        <v>2</v>
      </c>
      <c r="F283" s="8">
        <v>2</v>
      </c>
      <c r="G283" s="8">
        <v>0</v>
      </c>
      <c r="H283" s="8">
        <v>2</v>
      </c>
      <c r="I283" s="8">
        <v>2</v>
      </c>
      <c r="J283" s="8">
        <v>2</v>
      </c>
      <c r="K283" s="8">
        <v>2</v>
      </c>
      <c r="L283" s="8">
        <v>2</v>
      </c>
      <c r="M283" s="8">
        <v>2</v>
      </c>
      <c r="N283" s="8">
        <v>0</v>
      </c>
      <c r="O283" s="8">
        <v>2</v>
      </c>
      <c r="P283" s="8">
        <v>2</v>
      </c>
      <c r="Q283" s="8">
        <v>2</v>
      </c>
      <c r="R283" s="8">
        <v>2</v>
      </c>
      <c r="S283" s="8">
        <v>0</v>
      </c>
      <c r="T283" s="8">
        <v>2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2</v>
      </c>
      <c r="AE283" s="8">
        <v>2</v>
      </c>
      <c r="AF283" s="8">
        <v>2</v>
      </c>
      <c r="AG283" s="8">
        <v>0</v>
      </c>
      <c r="AH283" s="8">
        <v>0</v>
      </c>
      <c r="AI283" s="8">
        <v>0</v>
      </c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11" t="s">
        <v>11</v>
      </c>
    </row>
    <row r="284" spans="1:46" ht="15.1" customHeight="1">
      <c r="A284" s="8"/>
      <c r="B284" s="9"/>
      <c r="C284" s="8"/>
      <c r="D284" s="9"/>
      <c r="E284" s="8">
        <v>3</v>
      </c>
      <c r="F284" s="8">
        <v>3</v>
      </c>
      <c r="G284" s="8">
        <v>7.5</v>
      </c>
      <c r="H284" s="8">
        <v>3</v>
      </c>
      <c r="I284" s="8">
        <v>2</v>
      </c>
      <c r="J284" s="8">
        <v>3.5</v>
      </c>
      <c r="K284" s="8">
        <v>2</v>
      </c>
      <c r="L284" s="8">
        <v>3.5</v>
      </c>
      <c r="M284" s="8">
        <v>0</v>
      </c>
      <c r="N284" s="8">
        <v>0</v>
      </c>
      <c r="O284" s="8">
        <v>3</v>
      </c>
      <c r="P284" s="8">
        <v>0</v>
      </c>
      <c r="Q284" s="8">
        <v>0</v>
      </c>
      <c r="R284" s="8">
        <v>0</v>
      </c>
      <c r="S284" s="8">
        <v>0</v>
      </c>
      <c r="T284" s="8">
        <v>1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1</v>
      </c>
      <c r="AE284" s="8">
        <v>1</v>
      </c>
      <c r="AF284" s="8">
        <v>1</v>
      </c>
      <c r="AG284" s="8">
        <v>0</v>
      </c>
      <c r="AH284" s="8">
        <v>0</v>
      </c>
      <c r="AI284" s="8">
        <v>0</v>
      </c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11" t="s">
        <v>11</v>
      </c>
    </row>
    <row r="285" spans="1:46" ht="15.1" customHeight="1">
      <c r="A285" s="8">
        <v>94</v>
      </c>
      <c r="B285" s="9" t="s">
        <v>76</v>
      </c>
      <c r="C285" s="8" t="s">
        <v>450</v>
      </c>
      <c r="D285" s="9" t="s">
        <v>451</v>
      </c>
      <c r="E285" s="8" t="s">
        <v>54</v>
      </c>
      <c r="F285" s="8" t="s">
        <v>54</v>
      </c>
      <c r="G285" s="10" t="s">
        <v>67</v>
      </c>
      <c r="H285" s="8" t="s">
        <v>54</v>
      </c>
      <c r="I285" s="8" t="s">
        <v>54</v>
      </c>
      <c r="J285" s="8" t="s">
        <v>54</v>
      </c>
      <c r="K285" s="8" t="s">
        <v>54</v>
      </c>
      <c r="L285" s="8" t="s">
        <v>54</v>
      </c>
      <c r="M285" s="8" t="s">
        <v>54</v>
      </c>
      <c r="N285" s="10" t="s">
        <v>67</v>
      </c>
      <c r="O285" s="8" t="s">
        <v>54</v>
      </c>
      <c r="P285" s="12" t="s">
        <v>55</v>
      </c>
      <c r="Q285" s="8" t="s">
        <v>54</v>
      </c>
      <c r="R285" s="8" t="s">
        <v>54</v>
      </c>
      <c r="S285" s="8" t="s">
        <v>54</v>
      </c>
      <c r="T285" s="8" t="s">
        <v>54</v>
      </c>
      <c r="U285" s="10" t="s">
        <v>67</v>
      </c>
      <c r="V285" s="8" t="s">
        <v>54</v>
      </c>
      <c r="W285" s="8" t="s">
        <v>54</v>
      </c>
      <c r="X285" s="8" t="s">
        <v>54</v>
      </c>
      <c r="Y285" s="8" t="s">
        <v>54</v>
      </c>
      <c r="Z285" s="8" t="s">
        <v>54</v>
      </c>
      <c r="AA285" s="12" t="s">
        <v>55</v>
      </c>
      <c r="AB285" s="10" t="s">
        <v>67</v>
      </c>
      <c r="AC285" s="12" t="s">
        <v>55</v>
      </c>
      <c r="AD285" s="8" t="s">
        <v>54</v>
      </c>
      <c r="AE285" s="8" t="s">
        <v>54</v>
      </c>
      <c r="AF285" s="12" t="s">
        <v>55</v>
      </c>
      <c r="AG285" s="8" t="s">
        <v>54</v>
      </c>
      <c r="AH285" s="8" t="s">
        <v>54</v>
      </c>
      <c r="AI285" s="10" t="s">
        <v>67</v>
      </c>
      <c r="AJ285" s="8">
        <f>COUNTIF($E$285:$AI$285,"P")</f>
        <v>22</v>
      </c>
      <c r="AK285" s="8">
        <f>COUNTIF($E$285:$AI$285,"A")</f>
        <v>4</v>
      </c>
      <c r="AL285" s="8">
        <f>SUM($E$286:$AI$286)</f>
        <v>34</v>
      </c>
      <c r="AM285" s="8">
        <f>SUM($E$287:$AI$287)</f>
        <v>126.5</v>
      </c>
      <c r="AN285" s="8">
        <f>AL285+AM285</f>
        <v>160.5</v>
      </c>
      <c r="AO285" s="8">
        <f>COUNTIF($E$285:$AI$285,"CL")</f>
        <v>0</v>
      </c>
      <c r="AP285" s="8">
        <f>COUNTIF($E$285:$AI$285,"SL")</f>
        <v>0</v>
      </c>
      <c r="AQ285" s="8">
        <f>COUNTIF($E$285:$AI$285,"EL")</f>
        <v>0</v>
      </c>
      <c r="AR285" s="8">
        <f>COUNTIF($E$285:$AI$285,"H")</f>
        <v>0</v>
      </c>
      <c r="AS285" s="8"/>
      <c r="AT285" s="11" t="s">
        <v>11</v>
      </c>
    </row>
    <row r="286" spans="1:46" ht="15.1" customHeight="1">
      <c r="A286" s="8"/>
      <c r="B286" s="9"/>
      <c r="C286" s="8"/>
      <c r="D286" s="9"/>
      <c r="E286" s="8">
        <v>2</v>
      </c>
      <c r="F286" s="8">
        <v>2</v>
      </c>
      <c r="G286" s="8">
        <v>0</v>
      </c>
      <c r="H286" s="8">
        <v>2</v>
      </c>
      <c r="I286" s="8">
        <v>2</v>
      </c>
      <c r="J286" s="8">
        <v>2</v>
      </c>
      <c r="K286" s="8">
        <v>2</v>
      </c>
      <c r="L286" s="8">
        <v>2</v>
      </c>
      <c r="M286" s="8">
        <v>2</v>
      </c>
      <c r="N286" s="8">
        <v>0</v>
      </c>
      <c r="O286" s="8">
        <v>2</v>
      </c>
      <c r="P286" s="8">
        <v>0</v>
      </c>
      <c r="Q286" s="8">
        <v>2</v>
      </c>
      <c r="R286" s="8">
        <v>2</v>
      </c>
      <c r="S286" s="8">
        <v>2</v>
      </c>
      <c r="T286" s="8">
        <v>2</v>
      </c>
      <c r="U286" s="8">
        <v>0</v>
      </c>
      <c r="V286" s="8">
        <v>2</v>
      </c>
      <c r="W286" s="8">
        <v>2</v>
      </c>
      <c r="X286" s="8">
        <v>2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2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11" t="s">
        <v>11</v>
      </c>
    </row>
    <row r="287" spans="1:46" ht="15.1" customHeight="1">
      <c r="A287" s="8"/>
      <c r="B287" s="9"/>
      <c r="C287" s="8"/>
      <c r="D287" s="9"/>
      <c r="E287" s="8">
        <v>4</v>
      </c>
      <c r="F287" s="8">
        <v>3</v>
      </c>
      <c r="G287" s="8">
        <v>5</v>
      </c>
      <c r="H287" s="8">
        <v>5</v>
      </c>
      <c r="I287" s="8">
        <v>7</v>
      </c>
      <c r="J287" s="8">
        <v>7</v>
      </c>
      <c r="K287" s="8">
        <v>7</v>
      </c>
      <c r="L287" s="8">
        <v>7</v>
      </c>
      <c r="M287" s="8">
        <v>5</v>
      </c>
      <c r="N287" s="8">
        <v>16.5</v>
      </c>
      <c r="O287" s="8">
        <v>7</v>
      </c>
      <c r="P287" s="8">
        <v>0</v>
      </c>
      <c r="Q287" s="8">
        <v>5</v>
      </c>
      <c r="R287" s="8">
        <v>7</v>
      </c>
      <c r="S287" s="8">
        <v>7</v>
      </c>
      <c r="T287" s="8">
        <v>4.5</v>
      </c>
      <c r="U287" s="8">
        <v>12.5</v>
      </c>
      <c r="V287" s="8">
        <v>7</v>
      </c>
      <c r="W287" s="8">
        <v>7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3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11" t="s">
        <v>11</v>
      </c>
    </row>
    <row r="288" spans="1:46" ht="15.1" customHeight="1">
      <c r="A288" s="8">
        <v>95</v>
      </c>
      <c r="B288" s="9" t="s">
        <v>452</v>
      </c>
      <c r="C288" s="8" t="s">
        <v>453</v>
      </c>
      <c r="D288" s="9" t="s">
        <v>451</v>
      </c>
      <c r="E288" s="8" t="s">
        <v>54</v>
      </c>
      <c r="F288" s="8" t="s">
        <v>54</v>
      </c>
      <c r="G288" s="10" t="s">
        <v>67</v>
      </c>
      <c r="H288" s="8" t="s">
        <v>54</v>
      </c>
      <c r="I288" s="8" t="s">
        <v>54</v>
      </c>
      <c r="J288" s="8" t="s">
        <v>54</v>
      </c>
      <c r="K288" s="8" t="s">
        <v>54</v>
      </c>
      <c r="L288" s="8" t="s">
        <v>54</v>
      </c>
      <c r="M288" s="8" t="s">
        <v>54</v>
      </c>
      <c r="N288" s="10" t="s">
        <v>67</v>
      </c>
      <c r="O288" s="8" t="s">
        <v>54</v>
      </c>
      <c r="P288" s="8" t="s">
        <v>54</v>
      </c>
      <c r="Q288" s="8" t="s">
        <v>54</v>
      </c>
      <c r="R288" s="8" t="s">
        <v>54</v>
      </c>
      <c r="S288" s="8" t="s">
        <v>54</v>
      </c>
      <c r="T288" s="8" t="s">
        <v>54</v>
      </c>
      <c r="U288" s="10" t="s">
        <v>67</v>
      </c>
      <c r="V288" s="8" t="s">
        <v>54</v>
      </c>
      <c r="W288" s="8" t="s">
        <v>54</v>
      </c>
      <c r="X288" s="8" t="s">
        <v>54</v>
      </c>
      <c r="Y288" s="8" t="s">
        <v>54</v>
      </c>
      <c r="Z288" s="8" t="s">
        <v>54</v>
      </c>
      <c r="AA288" s="8" t="s">
        <v>54</v>
      </c>
      <c r="AB288" s="10" t="s">
        <v>67</v>
      </c>
      <c r="AC288" s="8" t="s">
        <v>54</v>
      </c>
      <c r="AD288" s="8" t="s">
        <v>54</v>
      </c>
      <c r="AE288" s="8" t="s">
        <v>54</v>
      </c>
      <c r="AF288" s="8" t="s">
        <v>54</v>
      </c>
      <c r="AG288" s="8" t="s">
        <v>54</v>
      </c>
      <c r="AH288" s="8" t="s">
        <v>54</v>
      </c>
      <c r="AI288" s="10" t="s">
        <v>67</v>
      </c>
      <c r="AJ288" s="8">
        <f>COUNTIF($E$288:$AI$288,"P")</f>
        <v>26</v>
      </c>
      <c r="AK288" s="8">
        <f>COUNTIF($E$288:$AI$288,"A")</f>
        <v>0</v>
      </c>
      <c r="AL288" s="8">
        <f>SUM($E$289:$AI$289)</f>
        <v>30</v>
      </c>
      <c r="AM288" s="8">
        <f>SUM($E$290:$AI$290)</f>
        <v>81</v>
      </c>
      <c r="AN288" s="8">
        <f>AL288+AM288</f>
        <v>111</v>
      </c>
      <c r="AO288" s="8">
        <f>COUNTIF($E$288:$AI$288,"CL")</f>
        <v>0</v>
      </c>
      <c r="AP288" s="8">
        <f>COUNTIF($E$288:$AI$288,"SL")</f>
        <v>0</v>
      </c>
      <c r="AQ288" s="8">
        <f>COUNTIF($E$288:$AI$288,"EL")</f>
        <v>0</v>
      </c>
      <c r="AR288" s="8">
        <f>COUNTIF($E$288:$AI$288,"H")</f>
        <v>0</v>
      </c>
      <c r="AS288" s="8"/>
      <c r="AT288" s="11" t="s">
        <v>11</v>
      </c>
    </row>
    <row r="289" spans="1:46" ht="15.1" customHeight="1">
      <c r="A289" s="8"/>
      <c r="B289" s="9"/>
      <c r="C289" s="8"/>
      <c r="D289" s="9"/>
      <c r="E289" s="8">
        <v>2</v>
      </c>
      <c r="F289" s="8">
        <v>2</v>
      </c>
      <c r="G289" s="8">
        <v>0</v>
      </c>
      <c r="H289" s="8">
        <v>2</v>
      </c>
      <c r="I289" s="8">
        <v>2</v>
      </c>
      <c r="J289" s="8">
        <v>2</v>
      </c>
      <c r="K289" s="8">
        <v>2</v>
      </c>
      <c r="L289" s="8">
        <v>2</v>
      </c>
      <c r="M289" s="8">
        <v>2</v>
      </c>
      <c r="N289" s="8">
        <v>0</v>
      </c>
      <c r="O289" s="8">
        <v>2</v>
      </c>
      <c r="P289" s="8">
        <v>0</v>
      </c>
      <c r="Q289" s="8">
        <v>0</v>
      </c>
      <c r="R289" s="8">
        <v>2</v>
      </c>
      <c r="S289" s="8">
        <v>0</v>
      </c>
      <c r="T289" s="8">
        <v>2</v>
      </c>
      <c r="U289" s="8">
        <v>0</v>
      </c>
      <c r="V289" s="8">
        <v>0</v>
      </c>
      <c r="W289" s="8">
        <v>2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2</v>
      </c>
      <c r="AF289" s="8">
        <v>2</v>
      </c>
      <c r="AG289" s="8">
        <v>0</v>
      </c>
      <c r="AH289" s="8">
        <v>2</v>
      </c>
      <c r="AI289" s="8">
        <v>0</v>
      </c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11" t="s">
        <v>11</v>
      </c>
    </row>
    <row r="290" spans="1:46" ht="15.1" customHeight="1">
      <c r="A290" s="8"/>
      <c r="B290" s="9"/>
      <c r="C290" s="8"/>
      <c r="D290" s="9"/>
      <c r="E290" s="8">
        <v>2</v>
      </c>
      <c r="F290" s="8">
        <v>3</v>
      </c>
      <c r="G290" s="8">
        <v>13</v>
      </c>
      <c r="H290" s="8">
        <v>5</v>
      </c>
      <c r="I290" s="8">
        <v>5</v>
      </c>
      <c r="J290" s="8">
        <v>7</v>
      </c>
      <c r="K290" s="8">
        <v>3</v>
      </c>
      <c r="L290" s="8">
        <v>2</v>
      </c>
      <c r="M290" s="8">
        <v>5</v>
      </c>
      <c r="N290" s="8">
        <v>15</v>
      </c>
      <c r="O290" s="8">
        <v>9</v>
      </c>
      <c r="P290" s="8">
        <v>0</v>
      </c>
      <c r="Q290" s="8">
        <v>0</v>
      </c>
      <c r="R290" s="8">
        <v>3</v>
      </c>
      <c r="S290" s="8">
        <v>0</v>
      </c>
      <c r="T290" s="8">
        <v>5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3</v>
      </c>
      <c r="AF290" s="8">
        <v>0</v>
      </c>
      <c r="AG290" s="8">
        <v>0</v>
      </c>
      <c r="AH290" s="8">
        <v>1</v>
      </c>
      <c r="AI290" s="8">
        <v>0</v>
      </c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11" t="s">
        <v>11</v>
      </c>
    </row>
    <row r="291" spans="1:46" ht="15.1" customHeight="1">
      <c r="A291" s="8">
        <v>96</v>
      </c>
      <c r="B291" s="9" t="s">
        <v>454</v>
      </c>
      <c r="C291" s="8" t="s">
        <v>455</v>
      </c>
      <c r="D291" s="9" t="s">
        <v>451</v>
      </c>
      <c r="E291" s="8" t="s">
        <v>54</v>
      </c>
      <c r="F291" s="8" t="s">
        <v>54</v>
      </c>
      <c r="G291" s="10" t="s">
        <v>67</v>
      </c>
      <c r="H291" s="8" t="s">
        <v>54</v>
      </c>
      <c r="I291" s="8" t="s">
        <v>54</v>
      </c>
      <c r="J291" s="8" t="s">
        <v>54</v>
      </c>
      <c r="K291" s="8" t="s">
        <v>54</v>
      </c>
      <c r="L291" s="8" t="s">
        <v>54</v>
      </c>
      <c r="M291" s="8" t="s">
        <v>54</v>
      </c>
      <c r="N291" s="10" t="s">
        <v>67</v>
      </c>
      <c r="O291" s="8" t="s">
        <v>54</v>
      </c>
      <c r="P291" s="8" t="s">
        <v>54</v>
      </c>
      <c r="Q291" s="8" t="s">
        <v>54</v>
      </c>
      <c r="R291" s="8" t="s">
        <v>54</v>
      </c>
      <c r="S291" s="8" t="s">
        <v>54</v>
      </c>
      <c r="T291" s="8" t="s">
        <v>54</v>
      </c>
      <c r="U291" s="10" t="s">
        <v>67</v>
      </c>
      <c r="V291" s="8" t="s">
        <v>54</v>
      </c>
      <c r="W291" s="8" t="s">
        <v>54</v>
      </c>
      <c r="X291" s="8" t="s">
        <v>54</v>
      </c>
      <c r="Y291" s="8" t="s">
        <v>54</v>
      </c>
      <c r="Z291" s="8" t="s">
        <v>54</v>
      </c>
      <c r="AA291" s="8" t="s">
        <v>54</v>
      </c>
      <c r="AB291" s="10" t="s">
        <v>67</v>
      </c>
      <c r="AC291" s="8" t="s">
        <v>54</v>
      </c>
      <c r="AD291" s="8" t="s">
        <v>54</v>
      </c>
      <c r="AE291" s="8" t="s">
        <v>54</v>
      </c>
      <c r="AF291" s="8" t="s">
        <v>54</v>
      </c>
      <c r="AG291" s="8" t="s">
        <v>54</v>
      </c>
      <c r="AH291" s="8" t="s">
        <v>54</v>
      </c>
      <c r="AI291" s="10" t="s">
        <v>67</v>
      </c>
      <c r="AJ291" s="8">
        <f>COUNTIF($E$291:$AI$291,"P")</f>
        <v>26</v>
      </c>
      <c r="AK291" s="8">
        <f>COUNTIF($E$291:$AI$291,"A")</f>
        <v>0</v>
      </c>
      <c r="AL291" s="8">
        <f>SUM($E$292:$AI$292)</f>
        <v>42</v>
      </c>
      <c r="AM291" s="8">
        <f>SUM($E$293:$AI$293)</f>
        <v>82</v>
      </c>
      <c r="AN291" s="8">
        <f>AL291+AM291</f>
        <v>124</v>
      </c>
      <c r="AO291" s="8">
        <f>COUNTIF($E$291:$AI$291,"CL")</f>
        <v>0</v>
      </c>
      <c r="AP291" s="8">
        <f>COUNTIF($E$291:$AI$291,"SL")</f>
        <v>0</v>
      </c>
      <c r="AQ291" s="8">
        <f>COUNTIF($E$291:$AI$291,"EL")</f>
        <v>0</v>
      </c>
      <c r="AR291" s="8">
        <f>COUNTIF($E$291:$AI$291,"H")</f>
        <v>0</v>
      </c>
      <c r="AS291" s="8"/>
      <c r="AT291" s="11" t="s">
        <v>11</v>
      </c>
    </row>
    <row r="292" spans="1:46" ht="15.1" customHeight="1">
      <c r="A292" s="8"/>
      <c r="B292" s="9"/>
      <c r="C292" s="8"/>
      <c r="D292" s="9"/>
      <c r="E292" s="8">
        <v>2</v>
      </c>
      <c r="F292" s="8">
        <v>2</v>
      </c>
      <c r="G292" s="8">
        <v>0</v>
      </c>
      <c r="H292" s="8">
        <v>2</v>
      </c>
      <c r="I292" s="8">
        <v>2</v>
      </c>
      <c r="J292" s="8">
        <v>2</v>
      </c>
      <c r="K292" s="8">
        <v>2</v>
      </c>
      <c r="L292" s="8">
        <v>2</v>
      </c>
      <c r="M292" s="8">
        <v>2</v>
      </c>
      <c r="N292" s="8">
        <v>0</v>
      </c>
      <c r="O292" s="8">
        <v>2</v>
      </c>
      <c r="P292" s="8">
        <v>2</v>
      </c>
      <c r="Q292" s="8">
        <v>2</v>
      </c>
      <c r="R292" s="8">
        <v>2</v>
      </c>
      <c r="S292" s="8">
        <v>2</v>
      </c>
      <c r="T292" s="8">
        <v>2</v>
      </c>
      <c r="U292" s="8">
        <v>0</v>
      </c>
      <c r="V292" s="8">
        <v>0</v>
      </c>
      <c r="W292" s="8">
        <v>0</v>
      </c>
      <c r="X292" s="8">
        <v>2</v>
      </c>
      <c r="Y292" s="8">
        <v>2</v>
      </c>
      <c r="Z292" s="8">
        <v>0</v>
      </c>
      <c r="AA292" s="8">
        <v>0</v>
      </c>
      <c r="AB292" s="8">
        <v>0</v>
      </c>
      <c r="AC292" s="8">
        <v>2</v>
      </c>
      <c r="AD292" s="8">
        <v>2</v>
      </c>
      <c r="AE292" s="8">
        <v>0</v>
      </c>
      <c r="AF292" s="8">
        <v>2</v>
      </c>
      <c r="AG292" s="8">
        <v>2</v>
      </c>
      <c r="AH292" s="8">
        <v>2</v>
      </c>
      <c r="AI292" s="8">
        <v>0</v>
      </c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11" t="s">
        <v>11</v>
      </c>
    </row>
    <row r="293" spans="1:46" ht="15.1" customHeight="1">
      <c r="A293" s="8"/>
      <c r="B293" s="9"/>
      <c r="C293" s="8"/>
      <c r="D293" s="9"/>
      <c r="E293" s="8">
        <v>5</v>
      </c>
      <c r="F293" s="8">
        <v>3</v>
      </c>
      <c r="G293" s="8">
        <v>8</v>
      </c>
      <c r="H293" s="8">
        <v>5</v>
      </c>
      <c r="I293" s="8">
        <v>7</v>
      </c>
      <c r="J293" s="8">
        <v>5</v>
      </c>
      <c r="K293" s="8">
        <v>3</v>
      </c>
      <c r="L293" s="8">
        <v>5</v>
      </c>
      <c r="M293" s="8">
        <v>5</v>
      </c>
      <c r="N293" s="8">
        <v>0</v>
      </c>
      <c r="O293" s="8">
        <v>5</v>
      </c>
      <c r="P293" s="8">
        <v>5</v>
      </c>
      <c r="Q293" s="8">
        <v>3</v>
      </c>
      <c r="R293" s="8">
        <v>3</v>
      </c>
      <c r="S293" s="8">
        <v>3</v>
      </c>
      <c r="T293" s="8">
        <v>5</v>
      </c>
      <c r="U293" s="8">
        <v>0</v>
      </c>
      <c r="V293" s="8">
        <v>0</v>
      </c>
      <c r="W293" s="8">
        <v>0</v>
      </c>
      <c r="X293" s="8">
        <v>5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1</v>
      </c>
      <c r="AE293" s="8">
        <v>0</v>
      </c>
      <c r="AF293" s="8">
        <v>3</v>
      </c>
      <c r="AG293" s="8">
        <v>3</v>
      </c>
      <c r="AH293" s="8">
        <v>0</v>
      </c>
      <c r="AI293" s="8">
        <v>0</v>
      </c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11" t="s">
        <v>11</v>
      </c>
    </row>
    <row r="294" spans="1:46" ht="15.1" customHeight="1">
      <c r="A294" s="8">
        <v>97</v>
      </c>
      <c r="B294" s="9" t="s">
        <v>456</v>
      </c>
      <c r="C294" s="8" t="s">
        <v>457</v>
      </c>
      <c r="D294" s="9" t="s">
        <v>266</v>
      </c>
      <c r="E294" s="8" t="s">
        <v>54</v>
      </c>
      <c r="F294" s="8" t="s">
        <v>54</v>
      </c>
      <c r="G294" s="10" t="s">
        <v>67</v>
      </c>
      <c r="H294" s="8" t="s">
        <v>54</v>
      </c>
      <c r="I294" s="8" t="s">
        <v>54</v>
      </c>
      <c r="J294" s="8" t="s">
        <v>54</v>
      </c>
      <c r="K294" s="8" t="s">
        <v>54</v>
      </c>
      <c r="L294" s="8" t="s">
        <v>54</v>
      </c>
      <c r="M294" s="8" t="s">
        <v>54</v>
      </c>
      <c r="N294" s="10" t="s">
        <v>67</v>
      </c>
      <c r="O294" s="8" t="s">
        <v>54</v>
      </c>
      <c r="P294" s="8" t="s">
        <v>54</v>
      </c>
      <c r="Q294" s="8" t="s">
        <v>54</v>
      </c>
      <c r="R294" s="8" t="s">
        <v>54</v>
      </c>
      <c r="S294" s="8" t="s">
        <v>54</v>
      </c>
      <c r="T294" s="8" t="s">
        <v>54</v>
      </c>
      <c r="U294" s="10" t="s">
        <v>67</v>
      </c>
      <c r="V294" s="8" t="s">
        <v>54</v>
      </c>
      <c r="W294" s="8" t="s">
        <v>54</v>
      </c>
      <c r="X294" s="8" t="s">
        <v>54</v>
      </c>
      <c r="Y294" s="8" t="s">
        <v>54</v>
      </c>
      <c r="Z294" s="8" t="s">
        <v>54</v>
      </c>
      <c r="AA294" s="8" t="s">
        <v>54</v>
      </c>
      <c r="AB294" s="10" t="s">
        <v>67</v>
      </c>
      <c r="AC294" s="8" t="s">
        <v>54</v>
      </c>
      <c r="AD294" s="8" t="s">
        <v>54</v>
      </c>
      <c r="AE294" s="8" t="s">
        <v>54</v>
      </c>
      <c r="AF294" s="8" t="s">
        <v>54</v>
      </c>
      <c r="AG294" s="8" t="s">
        <v>54</v>
      </c>
      <c r="AH294" s="8" t="s">
        <v>54</v>
      </c>
      <c r="AI294" s="10" t="s">
        <v>67</v>
      </c>
      <c r="AJ294" s="8">
        <f>COUNTIF($E$294:$AI$294,"P")</f>
        <v>26</v>
      </c>
      <c r="AK294" s="8">
        <f>COUNTIF($E$294:$AI$294,"A")</f>
        <v>0</v>
      </c>
      <c r="AL294" s="8">
        <f>SUM($E$295:$AI$295)</f>
        <v>38</v>
      </c>
      <c r="AM294" s="8">
        <f>SUM($E$296:$AI$296)</f>
        <v>126</v>
      </c>
      <c r="AN294" s="8">
        <f>AL294+AM294</f>
        <v>164</v>
      </c>
      <c r="AO294" s="8">
        <f>COUNTIF($E$294:$AI$294,"CL")</f>
        <v>0</v>
      </c>
      <c r="AP294" s="8">
        <f>COUNTIF($E$294:$AI$294,"SL")</f>
        <v>0</v>
      </c>
      <c r="AQ294" s="8">
        <f>COUNTIF($E$294:$AI$294,"EL")</f>
        <v>0</v>
      </c>
      <c r="AR294" s="8">
        <f>COUNTIF($E$294:$AI$294,"H")</f>
        <v>0</v>
      </c>
      <c r="AS294" s="8"/>
      <c r="AT294" s="11" t="s">
        <v>12</v>
      </c>
    </row>
    <row r="295" spans="1:46" ht="15.1" customHeight="1">
      <c r="A295" s="8"/>
      <c r="B295" s="9"/>
      <c r="C295" s="8"/>
      <c r="D295" s="9"/>
      <c r="E295" s="8">
        <v>2</v>
      </c>
      <c r="F295" s="8">
        <v>2</v>
      </c>
      <c r="G295" s="8">
        <v>0</v>
      </c>
      <c r="H295" s="8">
        <v>2</v>
      </c>
      <c r="I295" s="8">
        <v>2</v>
      </c>
      <c r="J295" s="8">
        <v>2</v>
      </c>
      <c r="K295" s="8">
        <v>2</v>
      </c>
      <c r="L295" s="8">
        <v>2</v>
      </c>
      <c r="M295" s="8">
        <v>2</v>
      </c>
      <c r="N295" s="8">
        <v>0</v>
      </c>
      <c r="O295" s="8">
        <v>2</v>
      </c>
      <c r="P295" s="8">
        <v>2</v>
      </c>
      <c r="Q295" s="8">
        <v>2</v>
      </c>
      <c r="R295" s="8">
        <v>2</v>
      </c>
      <c r="S295" s="8">
        <v>2</v>
      </c>
      <c r="T295" s="8">
        <v>2</v>
      </c>
      <c r="U295" s="8">
        <v>0</v>
      </c>
      <c r="V295" s="8">
        <v>2</v>
      </c>
      <c r="W295" s="8">
        <v>2</v>
      </c>
      <c r="X295" s="8">
        <v>2</v>
      </c>
      <c r="Y295" s="8">
        <v>0</v>
      </c>
      <c r="Z295" s="8">
        <v>0</v>
      </c>
      <c r="AA295" s="8">
        <v>0</v>
      </c>
      <c r="AB295" s="8">
        <v>0</v>
      </c>
      <c r="AC295" s="8">
        <v>2</v>
      </c>
      <c r="AD295" s="8">
        <v>2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11" t="s">
        <v>12</v>
      </c>
    </row>
    <row r="296" spans="1:46" ht="15.1" customHeight="1">
      <c r="A296" s="8"/>
      <c r="B296" s="9"/>
      <c r="C296" s="8"/>
      <c r="D296" s="9"/>
      <c r="E296" s="8">
        <v>3.5</v>
      </c>
      <c r="F296" s="8">
        <v>3</v>
      </c>
      <c r="G296" s="8">
        <v>0</v>
      </c>
      <c r="H296" s="8">
        <v>5</v>
      </c>
      <c r="I296" s="8">
        <v>7</v>
      </c>
      <c r="J296" s="8">
        <v>7</v>
      </c>
      <c r="K296" s="8">
        <v>7</v>
      </c>
      <c r="L296" s="8">
        <v>7</v>
      </c>
      <c r="M296" s="8">
        <v>5</v>
      </c>
      <c r="N296" s="8">
        <v>16.5</v>
      </c>
      <c r="O296" s="8">
        <v>7</v>
      </c>
      <c r="P296" s="8">
        <v>6</v>
      </c>
      <c r="Q296" s="8">
        <v>5</v>
      </c>
      <c r="R296" s="8">
        <v>7</v>
      </c>
      <c r="S296" s="8">
        <v>7</v>
      </c>
      <c r="T296" s="8">
        <v>3</v>
      </c>
      <c r="U296" s="8">
        <v>13</v>
      </c>
      <c r="V296" s="8">
        <v>7</v>
      </c>
      <c r="W296" s="8">
        <v>7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3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11" t="s">
        <v>12</v>
      </c>
    </row>
    <row r="297" spans="1:46" ht="15.1" customHeight="1">
      <c r="A297" s="8">
        <v>98</v>
      </c>
      <c r="B297" s="9" t="s">
        <v>458</v>
      </c>
      <c r="C297" s="8" t="s">
        <v>459</v>
      </c>
      <c r="D297" s="9" t="s">
        <v>266</v>
      </c>
      <c r="E297" s="8" t="s">
        <v>54</v>
      </c>
      <c r="F297" s="8" t="s">
        <v>54</v>
      </c>
      <c r="G297" s="10" t="s">
        <v>67</v>
      </c>
      <c r="H297" s="8" t="s">
        <v>54</v>
      </c>
      <c r="I297" s="8" t="s">
        <v>54</v>
      </c>
      <c r="J297" s="8" t="s">
        <v>54</v>
      </c>
      <c r="K297" s="8" t="s">
        <v>54</v>
      </c>
      <c r="L297" s="8" t="s">
        <v>54</v>
      </c>
      <c r="M297" s="8" t="s">
        <v>54</v>
      </c>
      <c r="N297" s="10" t="s">
        <v>67</v>
      </c>
      <c r="O297" s="8" t="s">
        <v>54</v>
      </c>
      <c r="P297" s="8" t="s">
        <v>54</v>
      </c>
      <c r="Q297" s="8" t="s">
        <v>54</v>
      </c>
      <c r="R297" s="8" t="s">
        <v>54</v>
      </c>
      <c r="S297" s="8" t="s">
        <v>54</v>
      </c>
      <c r="T297" s="8" t="s">
        <v>54</v>
      </c>
      <c r="U297" s="10" t="s">
        <v>67</v>
      </c>
      <c r="V297" s="8" t="s">
        <v>54</v>
      </c>
      <c r="W297" s="8" t="s">
        <v>54</v>
      </c>
      <c r="X297" s="8" t="s">
        <v>54</v>
      </c>
      <c r="Y297" s="8" t="s">
        <v>54</v>
      </c>
      <c r="Z297" s="8" t="s">
        <v>54</v>
      </c>
      <c r="AA297" s="8" t="s">
        <v>54</v>
      </c>
      <c r="AB297" s="10" t="s">
        <v>67</v>
      </c>
      <c r="AC297" s="8" t="s">
        <v>54</v>
      </c>
      <c r="AD297" s="8" t="s">
        <v>54</v>
      </c>
      <c r="AE297" s="8" t="s">
        <v>54</v>
      </c>
      <c r="AF297" s="8" t="s">
        <v>54</v>
      </c>
      <c r="AG297" s="8" t="s">
        <v>54</v>
      </c>
      <c r="AH297" s="8" t="s">
        <v>54</v>
      </c>
      <c r="AI297" s="10" t="s">
        <v>67</v>
      </c>
      <c r="AJ297" s="8">
        <f>COUNTIF($E$297:$AI$297,"P")</f>
        <v>26</v>
      </c>
      <c r="AK297" s="8">
        <f>COUNTIF($E$297:$AI$297,"A")</f>
        <v>0</v>
      </c>
      <c r="AL297" s="8">
        <f>SUM($E$298:$AI$298)</f>
        <v>38</v>
      </c>
      <c r="AM297" s="8">
        <f>SUM($E$299:$AI$299)</f>
        <v>139</v>
      </c>
      <c r="AN297" s="8">
        <f>AL297+AM297</f>
        <v>177</v>
      </c>
      <c r="AO297" s="8">
        <f>COUNTIF($E$297:$AI$297,"CL")</f>
        <v>0</v>
      </c>
      <c r="AP297" s="8">
        <f>COUNTIF($E$297:$AI$297,"SL")</f>
        <v>0</v>
      </c>
      <c r="AQ297" s="8">
        <f>COUNTIF($E$297:$AI$297,"EL")</f>
        <v>0</v>
      </c>
      <c r="AR297" s="8">
        <f>COUNTIF($E$297:$AI$297,"H")</f>
        <v>0</v>
      </c>
      <c r="AS297" s="8"/>
      <c r="AT297" s="11" t="s">
        <v>12</v>
      </c>
    </row>
    <row r="298" spans="1:46" ht="15.1" customHeight="1">
      <c r="A298" s="8"/>
      <c r="B298" s="9"/>
      <c r="C298" s="8"/>
      <c r="D298" s="9"/>
      <c r="E298" s="8">
        <v>2</v>
      </c>
      <c r="F298" s="8">
        <v>2</v>
      </c>
      <c r="G298" s="8">
        <v>0</v>
      </c>
      <c r="H298" s="8">
        <v>2</v>
      </c>
      <c r="I298" s="8">
        <v>2</v>
      </c>
      <c r="J298" s="8">
        <v>2</v>
      </c>
      <c r="K298" s="8">
        <v>2</v>
      </c>
      <c r="L298" s="8">
        <v>2</v>
      </c>
      <c r="M298" s="8">
        <v>2</v>
      </c>
      <c r="N298" s="8">
        <v>0</v>
      </c>
      <c r="O298" s="8">
        <v>2</v>
      </c>
      <c r="P298" s="8">
        <v>2</v>
      </c>
      <c r="Q298" s="8">
        <v>2</v>
      </c>
      <c r="R298" s="8">
        <v>2</v>
      </c>
      <c r="S298" s="8">
        <v>2</v>
      </c>
      <c r="T298" s="8">
        <v>2</v>
      </c>
      <c r="U298" s="8">
        <v>0</v>
      </c>
      <c r="V298" s="8">
        <v>2</v>
      </c>
      <c r="W298" s="8">
        <v>2</v>
      </c>
      <c r="X298" s="8">
        <v>2</v>
      </c>
      <c r="Y298" s="8">
        <v>0</v>
      </c>
      <c r="Z298" s="8">
        <v>0</v>
      </c>
      <c r="AA298" s="8">
        <v>0</v>
      </c>
      <c r="AB298" s="8">
        <v>0</v>
      </c>
      <c r="AC298" s="8">
        <v>2</v>
      </c>
      <c r="AD298" s="8">
        <v>2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11" t="s">
        <v>12</v>
      </c>
    </row>
    <row r="299" spans="1:46" ht="15.1" customHeight="1">
      <c r="A299" s="8"/>
      <c r="B299" s="9"/>
      <c r="C299" s="8"/>
      <c r="D299" s="9"/>
      <c r="E299" s="8">
        <v>4</v>
      </c>
      <c r="F299" s="8">
        <v>3</v>
      </c>
      <c r="G299" s="8">
        <v>13.5</v>
      </c>
      <c r="H299" s="8">
        <v>5</v>
      </c>
      <c r="I299" s="8">
        <v>6</v>
      </c>
      <c r="J299" s="8">
        <v>7</v>
      </c>
      <c r="K299" s="8">
        <v>7</v>
      </c>
      <c r="L299" s="8">
        <v>7</v>
      </c>
      <c r="M299" s="8">
        <v>5</v>
      </c>
      <c r="N299" s="8">
        <v>16.5</v>
      </c>
      <c r="O299" s="8">
        <v>7</v>
      </c>
      <c r="P299" s="8">
        <v>7</v>
      </c>
      <c r="Q299" s="8">
        <v>5</v>
      </c>
      <c r="R299" s="8">
        <v>7</v>
      </c>
      <c r="S299" s="8">
        <v>7</v>
      </c>
      <c r="T299" s="8">
        <v>3</v>
      </c>
      <c r="U299" s="8">
        <v>12.5</v>
      </c>
      <c r="V299" s="8">
        <v>6.5</v>
      </c>
      <c r="W299" s="8">
        <v>7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3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11" t="s">
        <v>12</v>
      </c>
    </row>
    <row r="300" spans="1:46" ht="15.1" customHeight="1">
      <c r="A300" s="8">
        <v>99</v>
      </c>
      <c r="B300" s="9" t="s">
        <v>460</v>
      </c>
      <c r="C300" s="8" t="s">
        <v>461</v>
      </c>
      <c r="D300" s="9" t="s">
        <v>266</v>
      </c>
      <c r="E300" s="8" t="s">
        <v>54</v>
      </c>
      <c r="F300" s="8" t="s">
        <v>54</v>
      </c>
      <c r="G300" s="10" t="s">
        <v>67</v>
      </c>
      <c r="H300" s="8" t="s">
        <v>54</v>
      </c>
      <c r="I300" s="8" t="s">
        <v>54</v>
      </c>
      <c r="J300" s="8" t="s">
        <v>54</v>
      </c>
      <c r="K300" s="8" t="s">
        <v>54</v>
      </c>
      <c r="L300" s="8" t="s">
        <v>54</v>
      </c>
      <c r="M300" s="8" t="s">
        <v>54</v>
      </c>
      <c r="N300" s="10" t="s">
        <v>67</v>
      </c>
      <c r="O300" s="8" t="s">
        <v>54</v>
      </c>
      <c r="P300" s="8" t="s">
        <v>54</v>
      </c>
      <c r="Q300" s="8" t="s">
        <v>54</v>
      </c>
      <c r="R300" s="8" t="s">
        <v>54</v>
      </c>
      <c r="S300" s="8" t="s">
        <v>54</v>
      </c>
      <c r="T300" s="8" t="s">
        <v>54</v>
      </c>
      <c r="U300" s="10" t="s">
        <v>67</v>
      </c>
      <c r="V300" s="8" t="s">
        <v>54</v>
      </c>
      <c r="W300" s="8" t="s">
        <v>54</v>
      </c>
      <c r="X300" s="8" t="s">
        <v>54</v>
      </c>
      <c r="Y300" s="8" t="s">
        <v>54</v>
      </c>
      <c r="Z300" s="8" t="s">
        <v>54</v>
      </c>
      <c r="AA300" s="8" t="s">
        <v>54</v>
      </c>
      <c r="AB300" s="10" t="s">
        <v>67</v>
      </c>
      <c r="AC300" s="8" t="s">
        <v>54</v>
      </c>
      <c r="AD300" s="8" t="s">
        <v>54</v>
      </c>
      <c r="AE300" s="8" t="s">
        <v>54</v>
      </c>
      <c r="AF300" s="8" t="s">
        <v>54</v>
      </c>
      <c r="AG300" s="8" t="s">
        <v>54</v>
      </c>
      <c r="AH300" s="8" t="s">
        <v>54</v>
      </c>
      <c r="AI300" s="10" t="s">
        <v>67</v>
      </c>
      <c r="AJ300" s="8">
        <f>COUNTIF($E$300:$AI$300,"P")</f>
        <v>26</v>
      </c>
      <c r="AK300" s="8">
        <f>COUNTIF($E$300:$AI$300,"A")</f>
        <v>0</v>
      </c>
      <c r="AL300" s="8">
        <f>SUM($E$301:$AI$301)</f>
        <v>38</v>
      </c>
      <c r="AM300" s="8">
        <f>SUM($E$302:$AI$302)</f>
        <v>143.5</v>
      </c>
      <c r="AN300" s="8">
        <f>AL300+AM300</f>
        <v>181.5</v>
      </c>
      <c r="AO300" s="8">
        <f>COUNTIF($E$300:$AI$300,"CL")</f>
        <v>0</v>
      </c>
      <c r="AP300" s="8">
        <f>COUNTIF($E$300:$AI$300,"SL")</f>
        <v>0</v>
      </c>
      <c r="AQ300" s="8">
        <f>COUNTIF($E$300:$AI$300,"EL")</f>
        <v>0</v>
      </c>
      <c r="AR300" s="8">
        <f>COUNTIF($E$300:$AI$300,"H")</f>
        <v>0</v>
      </c>
      <c r="AS300" s="8"/>
      <c r="AT300" s="11" t="s">
        <v>12</v>
      </c>
    </row>
    <row r="301" spans="1:46" ht="15.1" customHeight="1">
      <c r="A301" s="8"/>
      <c r="B301" s="9"/>
      <c r="C301" s="8"/>
      <c r="D301" s="9"/>
      <c r="E301" s="8">
        <v>2</v>
      </c>
      <c r="F301" s="8">
        <v>2</v>
      </c>
      <c r="G301" s="8">
        <v>0</v>
      </c>
      <c r="H301" s="8">
        <v>2</v>
      </c>
      <c r="I301" s="8">
        <v>2</v>
      </c>
      <c r="J301" s="8">
        <v>2</v>
      </c>
      <c r="K301" s="8">
        <v>2</v>
      </c>
      <c r="L301" s="8">
        <v>2</v>
      </c>
      <c r="M301" s="8">
        <v>2</v>
      </c>
      <c r="N301" s="8">
        <v>0</v>
      </c>
      <c r="O301" s="8">
        <v>2</v>
      </c>
      <c r="P301" s="8">
        <v>2</v>
      </c>
      <c r="Q301" s="8">
        <v>2</v>
      </c>
      <c r="R301" s="8">
        <v>2</v>
      </c>
      <c r="S301" s="8">
        <v>2</v>
      </c>
      <c r="T301" s="8">
        <v>2</v>
      </c>
      <c r="U301" s="8">
        <v>0</v>
      </c>
      <c r="V301" s="8">
        <v>2</v>
      </c>
      <c r="W301" s="8">
        <v>2</v>
      </c>
      <c r="X301" s="8">
        <v>2</v>
      </c>
      <c r="Y301" s="8">
        <v>0</v>
      </c>
      <c r="Z301" s="8">
        <v>0</v>
      </c>
      <c r="AA301" s="8">
        <v>0</v>
      </c>
      <c r="AB301" s="8">
        <v>0</v>
      </c>
      <c r="AC301" s="8">
        <v>2</v>
      </c>
      <c r="AD301" s="8">
        <v>2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11" t="s">
        <v>12</v>
      </c>
    </row>
    <row r="302" spans="1:46" ht="15.1" customHeight="1">
      <c r="A302" s="8"/>
      <c r="B302" s="9"/>
      <c r="C302" s="8"/>
      <c r="D302" s="9"/>
      <c r="E302" s="8">
        <v>3.5</v>
      </c>
      <c r="F302" s="8">
        <v>3</v>
      </c>
      <c r="G302" s="8">
        <v>14</v>
      </c>
      <c r="H302" s="8">
        <v>5</v>
      </c>
      <c r="I302" s="8">
        <v>7</v>
      </c>
      <c r="J302" s="8">
        <v>7</v>
      </c>
      <c r="K302" s="8">
        <v>7</v>
      </c>
      <c r="L302" s="8">
        <v>7</v>
      </c>
      <c r="M302" s="8">
        <v>5</v>
      </c>
      <c r="N302" s="8">
        <v>17</v>
      </c>
      <c r="O302" s="8">
        <v>7</v>
      </c>
      <c r="P302" s="8">
        <v>7</v>
      </c>
      <c r="Q302" s="8">
        <v>5</v>
      </c>
      <c r="R302" s="8">
        <v>7</v>
      </c>
      <c r="S302" s="8">
        <v>7</v>
      </c>
      <c r="T302" s="8">
        <v>5</v>
      </c>
      <c r="U302" s="8">
        <v>13</v>
      </c>
      <c r="V302" s="8">
        <v>7</v>
      </c>
      <c r="W302" s="8">
        <v>7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3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11" t="s">
        <v>12</v>
      </c>
    </row>
    <row r="303" spans="1:46" ht="15.1" customHeight="1">
      <c r="A303" s="8">
        <v>100</v>
      </c>
      <c r="B303" s="9" t="s">
        <v>462</v>
      </c>
      <c r="C303" s="8" t="s">
        <v>463</v>
      </c>
      <c r="D303" s="9" t="s">
        <v>266</v>
      </c>
      <c r="E303" s="8" t="s">
        <v>54</v>
      </c>
      <c r="F303" s="8" t="s">
        <v>54</v>
      </c>
      <c r="G303" s="10" t="s">
        <v>67</v>
      </c>
      <c r="H303" s="8" t="s">
        <v>54</v>
      </c>
      <c r="I303" s="8" t="s">
        <v>54</v>
      </c>
      <c r="J303" s="8" t="s">
        <v>54</v>
      </c>
      <c r="K303" s="8" t="s">
        <v>54</v>
      </c>
      <c r="L303" s="8" t="s">
        <v>54</v>
      </c>
      <c r="M303" s="8" t="s">
        <v>54</v>
      </c>
      <c r="N303" s="10" t="s">
        <v>67</v>
      </c>
      <c r="O303" s="8" t="s">
        <v>54</v>
      </c>
      <c r="P303" s="8" t="s">
        <v>54</v>
      </c>
      <c r="Q303" s="8" t="s">
        <v>54</v>
      </c>
      <c r="R303" s="8" t="s">
        <v>54</v>
      </c>
      <c r="S303" s="8" t="s">
        <v>54</v>
      </c>
      <c r="T303" s="8" t="s">
        <v>54</v>
      </c>
      <c r="U303" s="10" t="s">
        <v>67</v>
      </c>
      <c r="V303" s="8" t="s">
        <v>54</v>
      </c>
      <c r="W303" s="8" t="s">
        <v>54</v>
      </c>
      <c r="X303" s="8" t="s">
        <v>54</v>
      </c>
      <c r="Y303" s="8" t="s">
        <v>54</v>
      </c>
      <c r="Z303" s="8" t="s">
        <v>54</v>
      </c>
      <c r="AA303" s="8" t="s">
        <v>54</v>
      </c>
      <c r="AB303" s="10" t="s">
        <v>67</v>
      </c>
      <c r="AC303" s="8" t="s">
        <v>54</v>
      </c>
      <c r="AD303" s="8" t="s">
        <v>54</v>
      </c>
      <c r="AE303" s="8" t="s">
        <v>54</v>
      </c>
      <c r="AF303" s="8" t="s">
        <v>54</v>
      </c>
      <c r="AG303" s="8" t="s">
        <v>54</v>
      </c>
      <c r="AH303" s="8" t="s">
        <v>54</v>
      </c>
      <c r="AI303" s="10" t="s">
        <v>67</v>
      </c>
      <c r="AJ303" s="8">
        <f>COUNTIF($E$303:$AI$303,"P")</f>
        <v>26</v>
      </c>
      <c r="AK303" s="8">
        <f>COUNTIF($E$303:$AI$303,"A")</f>
        <v>0</v>
      </c>
      <c r="AL303" s="8">
        <f>SUM($E$304:$AI$304)</f>
        <v>38</v>
      </c>
      <c r="AM303" s="8">
        <f>SUM($E$305:$AI$305)</f>
        <v>138.5</v>
      </c>
      <c r="AN303" s="8">
        <f>AL303+AM303</f>
        <v>176.5</v>
      </c>
      <c r="AO303" s="8">
        <f>COUNTIF($E$303:$AI$303,"CL")</f>
        <v>0</v>
      </c>
      <c r="AP303" s="8">
        <f>COUNTIF($E$303:$AI$303,"SL")</f>
        <v>0</v>
      </c>
      <c r="AQ303" s="8">
        <f>COUNTIF($E$303:$AI$303,"EL")</f>
        <v>0</v>
      </c>
      <c r="AR303" s="8">
        <f>COUNTIF($E$303:$AI$303,"H")</f>
        <v>0</v>
      </c>
      <c r="AS303" s="8"/>
      <c r="AT303" s="11" t="s">
        <v>12</v>
      </c>
    </row>
    <row r="304" spans="1:46" ht="15.1" customHeight="1">
      <c r="A304" s="8"/>
      <c r="B304" s="9"/>
      <c r="C304" s="8"/>
      <c r="D304" s="9"/>
      <c r="E304" s="8">
        <v>2</v>
      </c>
      <c r="F304" s="8">
        <v>2</v>
      </c>
      <c r="G304" s="8">
        <v>0</v>
      </c>
      <c r="H304" s="8">
        <v>2</v>
      </c>
      <c r="I304" s="8">
        <v>2</v>
      </c>
      <c r="J304" s="8">
        <v>2</v>
      </c>
      <c r="K304" s="8">
        <v>2</v>
      </c>
      <c r="L304" s="8">
        <v>2</v>
      </c>
      <c r="M304" s="8">
        <v>2</v>
      </c>
      <c r="N304" s="8">
        <v>0</v>
      </c>
      <c r="O304" s="8">
        <v>2</v>
      </c>
      <c r="P304" s="8">
        <v>2</v>
      </c>
      <c r="Q304" s="8">
        <v>2</v>
      </c>
      <c r="R304" s="8">
        <v>2</v>
      </c>
      <c r="S304" s="8">
        <v>2</v>
      </c>
      <c r="T304" s="8">
        <v>2</v>
      </c>
      <c r="U304" s="8">
        <v>0</v>
      </c>
      <c r="V304" s="8">
        <v>2</v>
      </c>
      <c r="W304" s="8">
        <v>2</v>
      </c>
      <c r="X304" s="8">
        <v>2</v>
      </c>
      <c r="Y304" s="8">
        <v>0</v>
      </c>
      <c r="Z304" s="8">
        <v>0</v>
      </c>
      <c r="AA304" s="8">
        <v>0</v>
      </c>
      <c r="AB304" s="8">
        <v>0</v>
      </c>
      <c r="AC304" s="8">
        <v>2</v>
      </c>
      <c r="AD304" s="8">
        <v>2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11" t="s">
        <v>12</v>
      </c>
    </row>
    <row r="305" spans="1:46" ht="15.1" customHeight="1">
      <c r="A305" s="8"/>
      <c r="B305" s="9"/>
      <c r="C305" s="8"/>
      <c r="D305" s="9"/>
      <c r="E305" s="8">
        <v>3.5</v>
      </c>
      <c r="F305" s="8">
        <v>3</v>
      </c>
      <c r="G305" s="8">
        <v>13.5</v>
      </c>
      <c r="H305" s="8">
        <v>5</v>
      </c>
      <c r="I305" s="8">
        <v>6</v>
      </c>
      <c r="J305" s="8">
        <v>7</v>
      </c>
      <c r="K305" s="8">
        <v>7</v>
      </c>
      <c r="L305" s="8">
        <v>7</v>
      </c>
      <c r="M305" s="8">
        <v>5</v>
      </c>
      <c r="N305" s="8">
        <v>16.5</v>
      </c>
      <c r="O305" s="8">
        <v>7</v>
      </c>
      <c r="P305" s="8">
        <v>6.5</v>
      </c>
      <c r="Q305" s="8">
        <v>5</v>
      </c>
      <c r="R305" s="8">
        <v>7</v>
      </c>
      <c r="S305" s="8">
        <v>7</v>
      </c>
      <c r="T305" s="8">
        <v>3</v>
      </c>
      <c r="U305" s="8">
        <v>12.5</v>
      </c>
      <c r="V305" s="8">
        <v>7</v>
      </c>
      <c r="W305" s="8">
        <v>7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3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11" t="s">
        <v>12</v>
      </c>
    </row>
    <row r="306" spans="1:46" ht="15.1" customHeight="1">
      <c r="A306" s="8">
        <v>101</v>
      </c>
      <c r="B306" s="9" t="s">
        <v>464</v>
      </c>
      <c r="C306" s="8" t="s">
        <v>465</v>
      </c>
      <c r="D306" s="9" t="s">
        <v>266</v>
      </c>
      <c r="E306" s="8" t="s">
        <v>54</v>
      </c>
      <c r="F306" s="8" t="s">
        <v>54</v>
      </c>
      <c r="G306" s="10" t="s">
        <v>67</v>
      </c>
      <c r="H306" s="8" t="s">
        <v>54</v>
      </c>
      <c r="I306" s="8" t="s">
        <v>54</v>
      </c>
      <c r="J306" s="8" t="s">
        <v>54</v>
      </c>
      <c r="K306" s="8" t="s">
        <v>54</v>
      </c>
      <c r="L306" s="8" t="s">
        <v>54</v>
      </c>
      <c r="M306" s="8" t="s">
        <v>54</v>
      </c>
      <c r="N306" s="10" t="s">
        <v>67</v>
      </c>
      <c r="O306" s="8" t="s">
        <v>54</v>
      </c>
      <c r="P306" s="8" t="s">
        <v>54</v>
      </c>
      <c r="Q306" s="8" t="s">
        <v>54</v>
      </c>
      <c r="R306" s="8" t="s">
        <v>54</v>
      </c>
      <c r="S306" s="8" t="s">
        <v>54</v>
      </c>
      <c r="T306" s="8" t="s">
        <v>54</v>
      </c>
      <c r="U306" s="10" t="s">
        <v>67</v>
      </c>
      <c r="V306" s="12" t="s">
        <v>55</v>
      </c>
      <c r="W306" s="12" t="s">
        <v>55</v>
      </c>
      <c r="X306" s="8" t="s">
        <v>54</v>
      </c>
      <c r="Y306" s="8" t="s">
        <v>54</v>
      </c>
      <c r="Z306" s="8" t="s">
        <v>54</v>
      </c>
      <c r="AA306" s="8" t="s">
        <v>54</v>
      </c>
      <c r="AB306" s="10" t="s">
        <v>67</v>
      </c>
      <c r="AC306" s="8" t="s">
        <v>54</v>
      </c>
      <c r="AD306" s="8" t="s">
        <v>54</v>
      </c>
      <c r="AE306" s="8" t="s">
        <v>54</v>
      </c>
      <c r="AF306" s="8" t="s">
        <v>54</v>
      </c>
      <c r="AG306" s="8" t="s">
        <v>54</v>
      </c>
      <c r="AH306" s="8" t="s">
        <v>54</v>
      </c>
      <c r="AI306" s="10" t="s">
        <v>67</v>
      </c>
      <c r="AJ306" s="8">
        <f>COUNTIF($E$306:$AI$306,"P")</f>
        <v>24</v>
      </c>
      <c r="AK306" s="8">
        <f>COUNTIF($E$306:$AI$306,"A")</f>
        <v>2</v>
      </c>
      <c r="AL306" s="8">
        <f>SUM($E$307:$AI$307)</f>
        <v>32</v>
      </c>
      <c r="AM306" s="8">
        <f>SUM($E$308:$AI$308)</f>
        <v>105.5</v>
      </c>
      <c r="AN306" s="8">
        <f>AL306+AM306</f>
        <v>137.5</v>
      </c>
      <c r="AO306" s="8">
        <f>COUNTIF($E$306:$AI$306,"CL")</f>
        <v>0</v>
      </c>
      <c r="AP306" s="8">
        <f>COUNTIF($E$306:$AI$306,"SL")</f>
        <v>0</v>
      </c>
      <c r="AQ306" s="8">
        <f>COUNTIF($E$306:$AI$306,"EL")</f>
        <v>0</v>
      </c>
      <c r="AR306" s="8">
        <f>COUNTIF($E$306:$AI$306,"H")</f>
        <v>0</v>
      </c>
      <c r="AS306" s="8"/>
      <c r="AT306" s="11" t="s">
        <v>12</v>
      </c>
    </row>
    <row r="307" spans="1:46" ht="15.1" customHeight="1">
      <c r="A307" s="8"/>
      <c r="B307" s="9"/>
      <c r="C307" s="8"/>
      <c r="D307" s="9"/>
      <c r="E307" s="8">
        <v>2</v>
      </c>
      <c r="F307" s="8">
        <v>2</v>
      </c>
      <c r="G307" s="8">
        <v>0</v>
      </c>
      <c r="H307" s="8">
        <v>2</v>
      </c>
      <c r="I307" s="8">
        <v>2</v>
      </c>
      <c r="J307" s="8">
        <v>0</v>
      </c>
      <c r="K307" s="8">
        <v>2</v>
      </c>
      <c r="L307" s="8">
        <v>2</v>
      </c>
      <c r="M307" s="8">
        <v>2</v>
      </c>
      <c r="N307" s="8">
        <v>0</v>
      </c>
      <c r="O307" s="8">
        <v>2</v>
      </c>
      <c r="P307" s="8">
        <v>2</v>
      </c>
      <c r="Q307" s="8">
        <v>2</v>
      </c>
      <c r="R307" s="8">
        <v>2</v>
      </c>
      <c r="S307" s="8">
        <v>2</v>
      </c>
      <c r="T307" s="8">
        <v>2</v>
      </c>
      <c r="U307" s="8">
        <v>0</v>
      </c>
      <c r="V307" s="8">
        <v>0</v>
      </c>
      <c r="W307" s="8">
        <v>0</v>
      </c>
      <c r="X307" s="8">
        <v>2</v>
      </c>
      <c r="Y307" s="8">
        <v>0</v>
      </c>
      <c r="Z307" s="8">
        <v>0</v>
      </c>
      <c r="AA307" s="8">
        <v>0</v>
      </c>
      <c r="AB307" s="8">
        <v>0</v>
      </c>
      <c r="AC307" s="8">
        <v>2</v>
      </c>
      <c r="AD307" s="8">
        <v>2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11" t="s">
        <v>12</v>
      </c>
    </row>
    <row r="308" spans="1:46" ht="15.1" customHeight="1">
      <c r="A308" s="8"/>
      <c r="B308" s="9"/>
      <c r="C308" s="8"/>
      <c r="D308" s="9"/>
      <c r="E308" s="8">
        <v>4</v>
      </c>
      <c r="F308" s="8">
        <v>3</v>
      </c>
      <c r="G308" s="8">
        <v>13.5</v>
      </c>
      <c r="H308" s="8">
        <v>5</v>
      </c>
      <c r="I308" s="8">
        <v>6</v>
      </c>
      <c r="J308" s="8">
        <v>0</v>
      </c>
      <c r="K308" s="8">
        <v>7</v>
      </c>
      <c r="L308" s="8">
        <v>7</v>
      </c>
      <c r="M308" s="8">
        <v>5</v>
      </c>
      <c r="N308" s="8">
        <v>16.5</v>
      </c>
      <c r="O308" s="8">
        <v>7</v>
      </c>
      <c r="P308" s="8">
        <v>7</v>
      </c>
      <c r="Q308" s="8">
        <v>5</v>
      </c>
      <c r="R308" s="8">
        <v>7</v>
      </c>
      <c r="S308" s="8">
        <v>6.5</v>
      </c>
      <c r="T308" s="8">
        <v>3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3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11" t="s">
        <v>12</v>
      </c>
    </row>
    <row r="309" spans="1:46" ht="15.1" customHeight="1">
      <c r="A309" s="8">
        <v>102</v>
      </c>
      <c r="B309" s="9" t="s">
        <v>466</v>
      </c>
      <c r="C309" s="8" t="s">
        <v>467</v>
      </c>
      <c r="D309" s="9" t="s">
        <v>266</v>
      </c>
      <c r="E309" s="12" t="s">
        <v>55</v>
      </c>
      <c r="F309" s="8" t="s">
        <v>54</v>
      </c>
      <c r="G309" s="10" t="s">
        <v>67</v>
      </c>
      <c r="H309" s="8" t="s">
        <v>54</v>
      </c>
      <c r="I309" s="8" t="s">
        <v>54</v>
      </c>
      <c r="J309" s="8" t="s">
        <v>54</v>
      </c>
      <c r="K309" s="8" t="s">
        <v>54</v>
      </c>
      <c r="L309" s="8" t="s">
        <v>54</v>
      </c>
      <c r="M309" s="8" t="s">
        <v>54</v>
      </c>
      <c r="N309" s="10" t="s">
        <v>67</v>
      </c>
      <c r="O309" s="8" t="s">
        <v>54</v>
      </c>
      <c r="P309" s="8" t="s">
        <v>54</v>
      </c>
      <c r="Q309" s="8" t="s">
        <v>54</v>
      </c>
      <c r="R309" s="8" t="s">
        <v>54</v>
      </c>
      <c r="S309" s="8" t="s">
        <v>54</v>
      </c>
      <c r="T309" s="8" t="s">
        <v>54</v>
      </c>
      <c r="U309" s="10" t="s">
        <v>67</v>
      </c>
      <c r="V309" s="8" t="s">
        <v>54</v>
      </c>
      <c r="W309" s="8" t="s">
        <v>54</v>
      </c>
      <c r="X309" s="8" t="s">
        <v>54</v>
      </c>
      <c r="Y309" s="8" t="s">
        <v>54</v>
      </c>
      <c r="Z309" s="8" t="s">
        <v>54</v>
      </c>
      <c r="AA309" s="8" t="s">
        <v>54</v>
      </c>
      <c r="AB309" s="10" t="s">
        <v>67</v>
      </c>
      <c r="AC309" s="8" t="s">
        <v>54</v>
      </c>
      <c r="AD309" s="8" t="s">
        <v>54</v>
      </c>
      <c r="AE309" s="8" t="s">
        <v>54</v>
      </c>
      <c r="AF309" s="8" t="s">
        <v>54</v>
      </c>
      <c r="AG309" s="8" t="s">
        <v>54</v>
      </c>
      <c r="AH309" s="8" t="s">
        <v>54</v>
      </c>
      <c r="AI309" s="10" t="s">
        <v>67</v>
      </c>
      <c r="AJ309" s="8">
        <f>COUNTIF($E$309:$AI$309,"P")</f>
        <v>25</v>
      </c>
      <c r="AK309" s="8">
        <f>COUNTIF($E$309:$AI$309,"A")</f>
        <v>1</v>
      </c>
      <c r="AL309" s="8">
        <f>SUM($E$310:$AI$310)</f>
        <v>34</v>
      </c>
      <c r="AM309" s="8">
        <f>SUM($E$311:$AI$311)</f>
        <v>78</v>
      </c>
      <c r="AN309" s="8">
        <f>AL309+AM309</f>
        <v>112</v>
      </c>
      <c r="AO309" s="8">
        <f>COUNTIF($E$309:$AI$309,"CL")</f>
        <v>0</v>
      </c>
      <c r="AP309" s="8">
        <f>COUNTIF($E$309:$AI$309,"SL")</f>
        <v>0</v>
      </c>
      <c r="AQ309" s="8">
        <f>COUNTIF($E$309:$AI$309,"EL")</f>
        <v>0</v>
      </c>
      <c r="AR309" s="8">
        <f>COUNTIF($E$309:$AI$309,"H")</f>
        <v>0</v>
      </c>
      <c r="AS309" s="8"/>
      <c r="AT309" s="11" t="s">
        <v>12</v>
      </c>
    </row>
    <row r="310" spans="1:46" ht="15.1" customHeight="1">
      <c r="A310" s="8"/>
      <c r="B310" s="9"/>
      <c r="C310" s="8"/>
      <c r="D310" s="9"/>
      <c r="E310" s="8">
        <v>0</v>
      </c>
      <c r="F310" s="8">
        <v>2</v>
      </c>
      <c r="G310" s="8">
        <v>0</v>
      </c>
      <c r="H310" s="8">
        <v>2</v>
      </c>
      <c r="I310" s="8">
        <v>2</v>
      </c>
      <c r="J310" s="8">
        <v>2</v>
      </c>
      <c r="K310" s="8">
        <v>2</v>
      </c>
      <c r="L310" s="8">
        <v>2</v>
      </c>
      <c r="M310" s="8">
        <v>2</v>
      </c>
      <c r="N310" s="8">
        <v>0</v>
      </c>
      <c r="O310" s="8">
        <v>2</v>
      </c>
      <c r="P310" s="8">
        <v>2</v>
      </c>
      <c r="Q310" s="8">
        <v>2</v>
      </c>
      <c r="R310" s="8">
        <v>2</v>
      </c>
      <c r="S310" s="8">
        <v>2</v>
      </c>
      <c r="T310" s="8">
        <v>2</v>
      </c>
      <c r="U310" s="8">
        <v>0</v>
      </c>
      <c r="V310" s="8">
        <v>2</v>
      </c>
      <c r="W310" s="8">
        <v>0</v>
      </c>
      <c r="X310" s="8">
        <v>2</v>
      </c>
      <c r="Y310" s="8">
        <v>0</v>
      </c>
      <c r="Z310" s="8">
        <v>0</v>
      </c>
      <c r="AA310" s="8">
        <v>0</v>
      </c>
      <c r="AB310" s="8">
        <v>0</v>
      </c>
      <c r="AC310" s="8">
        <v>2</v>
      </c>
      <c r="AD310" s="8">
        <v>2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11" t="s">
        <v>12</v>
      </c>
    </row>
    <row r="311" spans="1:46" ht="15.1" customHeight="1">
      <c r="A311" s="8"/>
      <c r="B311" s="9"/>
      <c r="C311" s="8"/>
      <c r="D311" s="9"/>
      <c r="E311" s="8">
        <v>0</v>
      </c>
      <c r="F311" s="8">
        <v>3</v>
      </c>
      <c r="G311" s="8">
        <v>13</v>
      </c>
      <c r="H311" s="8">
        <v>3</v>
      </c>
      <c r="I311" s="8">
        <v>3</v>
      </c>
      <c r="J311" s="8">
        <v>2</v>
      </c>
      <c r="K311" s="8">
        <v>3</v>
      </c>
      <c r="L311" s="8">
        <v>2.5</v>
      </c>
      <c r="M311" s="8">
        <v>3</v>
      </c>
      <c r="N311" s="8">
        <v>13</v>
      </c>
      <c r="O311" s="8">
        <v>0</v>
      </c>
      <c r="P311" s="8">
        <v>3</v>
      </c>
      <c r="Q311" s="8">
        <v>2.5</v>
      </c>
      <c r="R311" s="8">
        <v>3</v>
      </c>
      <c r="S311" s="8">
        <v>3</v>
      </c>
      <c r="T311" s="8">
        <v>2.5</v>
      </c>
      <c r="U311" s="8">
        <v>12.5</v>
      </c>
      <c r="V311" s="8">
        <v>3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3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11" t="s">
        <v>12</v>
      </c>
    </row>
    <row r="312" spans="1:46" ht="15.1" customHeight="1">
      <c r="A312" s="8">
        <v>103</v>
      </c>
      <c r="B312" s="9" t="s">
        <v>468</v>
      </c>
      <c r="C312" s="8" t="s">
        <v>469</v>
      </c>
      <c r="D312" s="9" t="s">
        <v>266</v>
      </c>
      <c r="E312" s="8" t="s">
        <v>54</v>
      </c>
      <c r="F312" s="8" t="s">
        <v>54</v>
      </c>
      <c r="G312" s="10" t="s">
        <v>67</v>
      </c>
      <c r="H312" s="8" t="s">
        <v>54</v>
      </c>
      <c r="I312" s="8" t="s">
        <v>54</v>
      </c>
      <c r="J312" s="8" t="s">
        <v>54</v>
      </c>
      <c r="K312" s="8" t="s">
        <v>54</v>
      </c>
      <c r="L312" s="8" t="s">
        <v>54</v>
      </c>
      <c r="M312" s="8" t="s">
        <v>54</v>
      </c>
      <c r="N312" s="10" t="s">
        <v>67</v>
      </c>
      <c r="O312" s="8" t="s">
        <v>54</v>
      </c>
      <c r="P312" s="8" t="s">
        <v>54</v>
      </c>
      <c r="Q312" s="8" t="s">
        <v>54</v>
      </c>
      <c r="R312" s="8" t="s">
        <v>54</v>
      </c>
      <c r="S312" s="8" t="s">
        <v>54</v>
      </c>
      <c r="T312" s="8" t="s">
        <v>54</v>
      </c>
      <c r="U312" s="10" t="s">
        <v>67</v>
      </c>
      <c r="V312" s="8" t="s">
        <v>54</v>
      </c>
      <c r="W312" s="8" t="s">
        <v>54</v>
      </c>
      <c r="X312" s="8" t="s">
        <v>54</v>
      </c>
      <c r="Y312" s="8" t="s">
        <v>54</v>
      </c>
      <c r="Z312" s="8" t="s">
        <v>54</v>
      </c>
      <c r="AA312" s="8" t="s">
        <v>54</v>
      </c>
      <c r="AB312" s="10" t="s">
        <v>67</v>
      </c>
      <c r="AC312" s="8" t="s">
        <v>54</v>
      </c>
      <c r="AD312" s="8" t="s">
        <v>54</v>
      </c>
      <c r="AE312" s="8" t="s">
        <v>54</v>
      </c>
      <c r="AF312" s="8" t="s">
        <v>54</v>
      </c>
      <c r="AG312" s="8" t="s">
        <v>54</v>
      </c>
      <c r="AH312" s="8" t="s">
        <v>54</v>
      </c>
      <c r="AI312" s="10" t="s">
        <v>67</v>
      </c>
      <c r="AJ312" s="8">
        <f>COUNTIF($E$312:$AI$312,"P")</f>
        <v>26</v>
      </c>
      <c r="AK312" s="8">
        <f>COUNTIF($E$312:$AI$312,"A")</f>
        <v>0</v>
      </c>
      <c r="AL312" s="8">
        <f>SUM($E$313:$AI$313)</f>
        <v>38</v>
      </c>
      <c r="AM312" s="8">
        <f>SUM($E$314:$AI$314)</f>
        <v>139</v>
      </c>
      <c r="AN312" s="8">
        <f>AL312+AM312</f>
        <v>177</v>
      </c>
      <c r="AO312" s="8">
        <f>COUNTIF($E$312:$AI$312,"CL")</f>
        <v>0</v>
      </c>
      <c r="AP312" s="8">
        <f>COUNTIF($E$312:$AI$312,"SL")</f>
        <v>0</v>
      </c>
      <c r="AQ312" s="8">
        <f>COUNTIF($E$312:$AI$312,"EL")</f>
        <v>0</v>
      </c>
      <c r="AR312" s="8">
        <f>COUNTIF($E$312:$AI$312,"H")</f>
        <v>0</v>
      </c>
      <c r="AS312" s="8"/>
      <c r="AT312" s="11" t="s">
        <v>12</v>
      </c>
    </row>
    <row r="313" spans="1:46" ht="15.1" customHeight="1">
      <c r="A313" s="8"/>
      <c r="B313" s="9"/>
      <c r="C313" s="8"/>
      <c r="D313" s="9"/>
      <c r="E313" s="8">
        <v>2</v>
      </c>
      <c r="F313" s="8">
        <v>2</v>
      </c>
      <c r="G313" s="8">
        <v>0</v>
      </c>
      <c r="H313" s="8">
        <v>2</v>
      </c>
      <c r="I313" s="8">
        <v>2</v>
      </c>
      <c r="J313" s="8">
        <v>2</v>
      </c>
      <c r="K313" s="8">
        <v>2</v>
      </c>
      <c r="L313" s="8">
        <v>2</v>
      </c>
      <c r="M313" s="8">
        <v>2</v>
      </c>
      <c r="N313" s="8">
        <v>0</v>
      </c>
      <c r="O313" s="8">
        <v>2</v>
      </c>
      <c r="P313" s="8">
        <v>2</v>
      </c>
      <c r="Q313" s="8">
        <v>2</v>
      </c>
      <c r="R313" s="8">
        <v>2</v>
      </c>
      <c r="S313" s="8">
        <v>2</v>
      </c>
      <c r="T313" s="8">
        <v>2</v>
      </c>
      <c r="U313" s="8">
        <v>0</v>
      </c>
      <c r="V313" s="8">
        <v>2</v>
      </c>
      <c r="W313" s="8">
        <v>2</v>
      </c>
      <c r="X313" s="8">
        <v>2</v>
      </c>
      <c r="Y313" s="8">
        <v>0</v>
      </c>
      <c r="Z313" s="8">
        <v>0</v>
      </c>
      <c r="AA313" s="8">
        <v>0</v>
      </c>
      <c r="AB313" s="8">
        <v>0</v>
      </c>
      <c r="AC313" s="8">
        <v>2</v>
      </c>
      <c r="AD313" s="8">
        <v>2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11" t="s">
        <v>12</v>
      </c>
    </row>
    <row r="314" spans="1:46" ht="15.1" customHeight="1">
      <c r="A314" s="8"/>
      <c r="B314" s="9"/>
      <c r="C314" s="8"/>
      <c r="D314" s="9"/>
      <c r="E314" s="8">
        <v>3.5</v>
      </c>
      <c r="F314" s="8">
        <v>3</v>
      </c>
      <c r="G314" s="8">
        <v>13.5</v>
      </c>
      <c r="H314" s="8">
        <v>5</v>
      </c>
      <c r="I314" s="8">
        <v>6</v>
      </c>
      <c r="J314" s="8">
        <v>7</v>
      </c>
      <c r="K314" s="8">
        <v>7</v>
      </c>
      <c r="L314" s="8">
        <v>7</v>
      </c>
      <c r="M314" s="8">
        <v>5</v>
      </c>
      <c r="N314" s="8">
        <v>16.5</v>
      </c>
      <c r="O314" s="8">
        <v>7</v>
      </c>
      <c r="P314" s="8">
        <v>7</v>
      </c>
      <c r="Q314" s="8">
        <v>5</v>
      </c>
      <c r="R314" s="8">
        <v>7</v>
      </c>
      <c r="S314" s="8">
        <v>7</v>
      </c>
      <c r="T314" s="8">
        <v>3</v>
      </c>
      <c r="U314" s="8">
        <v>12.5</v>
      </c>
      <c r="V314" s="8">
        <v>7</v>
      </c>
      <c r="W314" s="8">
        <v>7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3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11" t="s">
        <v>12</v>
      </c>
    </row>
    <row r="315" spans="1:46" ht="15.1" customHeight="1">
      <c r="A315" s="8">
        <v>104</v>
      </c>
      <c r="B315" s="9" t="s">
        <v>470</v>
      </c>
      <c r="C315" s="8" t="s">
        <v>471</v>
      </c>
      <c r="D315" s="9" t="s">
        <v>266</v>
      </c>
      <c r="E315" s="12" t="s">
        <v>55</v>
      </c>
      <c r="F315" s="8" t="s">
        <v>54</v>
      </c>
      <c r="G315" s="10" t="s">
        <v>67</v>
      </c>
      <c r="H315" s="8" t="s">
        <v>54</v>
      </c>
      <c r="I315" s="8" t="s">
        <v>54</v>
      </c>
      <c r="J315" s="8" t="s">
        <v>54</v>
      </c>
      <c r="K315" s="8" t="s">
        <v>54</v>
      </c>
      <c r="L315" s="8" t="s">
        <v>54</v>
      </c>
      <c r="M315" s="12" t="s">
        <v>55</v>
      </c>
      <c r="N315" s="10" t="s">
        <v>67</v>
      </c>
      <c r="O315" s="8" t="s">
        <v>54</v>
      </c>
      <c r="P315" s="12" t="s">
        <v>55</v>
      </c>
      <c r="Q315" s="12" t="s">
        <v>55</v>
      </c>
      <c r="R315" s="8" t="s">
        <v>54</v>
      </c>
      <c r="S315" s="12" t="s">
        <v>55</v>
      </c>
      <c r="T315" s="8" t="s">
        <v>54</v>
      </c>
      <c r="U315" s="10" t="s">
        <v>67</v>
      </c>
      <c r="V315" s="8" t="s">
        <v>54</v>
      </c>
      <c r="W315" s="8" t="s">
        <v>54</v>
      </c>
      <c r="X315" s="8" t="s">
        <v>54</v>
      </c>
      <c r="Y315" s="8" t="s">
        <v>54</v>
      </c>
      <c r="Z315" s="8" t="s">
        <v>54</v>
      </c>
      <c r="AA315" s="8" t="s">
        <v>54</v>
      </c>
      <c r="AB315" s="10" t="s">
        <v>67</v>
      </c>
      <c r="AC315" s="8" t="s">
        <v>54</v>
      </c>
      <c r="AD315" s="8" t="s">
        <v>54</v>
      </c>
      <c r="AE315" s="8" t="s">
        <v>54</v>
      </c>
      <c r="AF315" s="8" t="s">
        <v>54</v>
      </c>
      <c r="AG315" s="8" t="s">
        <v>54</v>
      </c>
      <c r="AH315" s="8" t="s">
        <v>54</v>
      </c>
      <c r="AI315" s="10" t="s">
        <v>67</v>
      </c>
      <c r="AJ315" s="8">
        <f>COUNTIF($E$315:$AI$315,"P")</f>
        <v>21</v>
      </c>
      <c r="AK315" s="8">
        <f>COUNTIF($E$315:$AI$315,"A")</f>
        <v>5</v>
      </c>
      <c r="AL315" s="8">
        <f>SUM($E$316:$AI$316)</f>
        <v>28</v>
      </c>
      <c r="AM315" s="8">
        <f>SUM($E$317:$AI$317)</f>
        <v>91.5</v>
      </c>
      <c r="AN315" s="8">
        <f>AL315+AM315</f>
        <v>119</v>
      </c>
      <c r="AO315" s="8">
        <f>COUNTIF($E$315:$AI$315,"CL")</f>
        <v>0</v>
      </c>
      <c r="AP315" s="8">
        <f>COUNTIF($E$315:$AI$315,"SL")</f>
        <v>0</v>
      </c>
      <c r="AQ315" s="8">
        <f>COUNTIF($E$315:$AI$315,"EL")</f>
        <v>0</v>
      </c>
      <c r="AR315" s="8">
        <f>COUNTIF($E$315:$AI$315,"H")</f>
        <v>0</v>
      </c>
      <c r="AS315" s="8"/>
      <c r="AT315" s="11" t="s">
        <v>12</v>
      </c>
    </row>
    <row r="316" spans="1:46" ht="15.1" customHeight="1">
      <c r="A316" s="8"/>
      <c r="B316" s="9"/>
      <c r="C316" s="8"/>
      <c r="D316" s="9"/>
      <c r="E316" s="8">
        <v>0</v>
      </c>
      <c r="F316" s="8">
        <v>2</v>
      </c>
      <c r="G316" s="8">
        <v>0</v>
      </c>
      <c r="H316" s="8">
        <v>2</v>
      </c>
      <c r="I316" s="8">
        <v>2</v>
      </c>
      <c r="J316" s="8">
        <v>2</v>
      </c>
      <c r="K316" s="8">
        <v>2</v>
      </c>
      <c r="L316" s="8">
        <v>2</v>
      </c>
      <c r="M316" s="8">
        <v>0</v>
      </c>
      <c r="N316" s="8">
        <v>0</v>
      </c>
      <c r="O316" s="8">
        <v>2</v>
      </c>
      <c r="P316" s="8">
        <v>0</v>
      </c>
      <c r="Q316" s="8">
        <v>0</v>
      </c>
      <c r="R316" s="8">
        <v>2</v>
      </c>
      <c r="S316" s="8">
        <v>0</v>
      </c>
      <c r="T316" s="8">
        <v>2</v>
      </c>
      <c r="U316" s="8">
        <v>0</v>
      </c>
      <c r="V316" s="8">
        <v>2</v>
      </c>
      <c r="W316" s="8">
        <v>2</v>
      </c>
      <c r="X316" s="8">
        <v>2</v>
      </c>
      <c r="Y316" s="8">
        <v>0</v>
      </c>
      <c r="Z316" s="8">
        <v>0</v>
      </c>
      <c r="AA316" s="8">
        <v>0</v>
      </c>
      <c r="AB316" s="8">
        <v>0</v>
      </c>
      <c r="AC316" s="8">
        <v>2</v>
      </c>
      <c r="AD316" s="8">
        <v>2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11" t="s">
        <v>12</v>
      </c>
    </row>
    <row r="317" spans="1:46" ht="15.1" customHeight="1">
      <c r="A317" s="8"/>
      <c r="B317" s="9"/>
      <c r="C317" s="8"/>
      <c r="D317" s="9"/>
      <c r="E317" s="8">
        <v>0</v>
      </c>
      <c r="F317" s="8">
        <v>3</v>
      </c>
      <c r="G317" s="8">
        <v>13.5</v>
      </c>
      <c r="H317" s="8">
        <v>5</v>
      </c>
      <c r="I317" s="8">
        <v>6</v>
      </c>
      <c r="J317" s="8">
        <v>6.5</v>
      </c>
      <c r="K317" s="8">
        <v>6.5</v>
      </c>
      <c r="L317" s="8">
        <v>6.5</v>
      </c>
      <c r="M317" s="8">
        <v>0</v>
      </c>
      <c r="N317" s="8">
        <v>0</v>
      </c>
      <c r="O317" s="8">
        <v>6.5</v>
      </c>
      <c r="P317" s="8">
        <v>0</v>
      </c>
      <c r="Q317" s="8">
        <v>0</v>
      </c>
      <c r="R317" s="8">
        <v>7</v>
      </c>
      <c r="S317" s="8">
        <v>0</v>
      </c>
      <c r="T317" s="8">
        <v>3</v>
      </c>
      <c r="U317" s="8">
        <v>12</v>
      </c>
      <c r="V317" s="8">
        <v>6.5</v>
      </c>
      <c r="W317" s="8">
        <v>6.5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3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11" t="s">
        <v>12</v>
      </c>
    </row>
    <row r="318" spans="1:46" ht="15.1" customHeight="1">
      <c r="A318" s="8">
        <v>105</v>
      </c>
      <c r="B318" s="9" t="s">
        <v>472</v>
      </c>
      <c r="C318" s="8" t="s">
        <v>473</v>
      </c>
      <c r="D318" s="9" t="s">
        <v>266</v>
      </c>
      <c r="E318" s="8" t="s">
        <v>54</v>
      </c>
      <c r="F318" s="8" t="s">
        <v>54</v>
      </c>
      <c r="G318" s="10" t="s">
        <v>67</v>
      </c>
      <c r="H318" s="8" t="s">
        <v>54</v>
      </c>
      <c r="I318" s="8" t="s">
        <v>54</v>
      </c>
      <c r="J318" s="8" t="s">
        <v>54</v>
      </c>
      <c r="K318" s="8" t="s">
        <v>54</v>
      </c>
      <c r="L318" s="8" t="s">
        <v>54</v>
      </c>
      <c r="M318" s="8" t="s">
        <v>54</v>
      </c>
      <c r="N318" s="10" t="s">
        <v>67</v>
      </c>
      <c r="O318" s="8" t="s">
        <v>54</v>
      </c>
      <c r="P318" s="8" t="s">
        <v>54</v>
      </c>
      <c r="Q318" s="8" t="s">
        <v>54</v>
      </c>
      <c r="R318" s="8" t="s">
        <v>54</v>
      </c>
      <c r="S318" s="8" t="s">
        <v>54</v>
      </c>
      <c r="T318" s="8" t="s">
        <v>54</v>
      </c>
      <c r="U318" s="10" t="s">
        <v>67</v>
      </c>
      <c r="V318" s="8" t="s">
        <v>54</v>
      </c>
      <c r="W318" s="8" t="s">
        <v>54</v>
      </c>
      <c r="X318" s="8" t="s">
        <v>54</v>
      </c>
      <c r="Y318" s="8" t="s">
        <v>54</v>
      </c>
      <c r="Z318" s="8" t="s">
        <v>54</v>
      </c>
      <c r="AA318" s="8" t="s">
        <v>54</v>
      </c>
      <c r="AB318" s="10" t="s">
        <v>67</v>
      </c>
      <c r="AC318" s="8" t="s">
        <v>54</v>
      </c>
      <c r="AD318" s="8" t="s">
        <v>54</v>
      </c>
      <c r="AE318" s="8" t="s">
        <v>54</v>
      </c>
      <c r="AF318" s="8" t="s">
        <v>54</v>
      </c>
      <c r="AG318" s="8" t="s">
        <v>54</v>
      </c>
      <c r="AH318" s="8" t="s">
        <v>54</v>
      </c>
      <c r="AI318" s="10" t="s">
        <v>67</v>
      </c>
      <c r="AJ318" s="8">
        <f>COUNTIF($E$318:$AI$318,"P")</f>
        <v>26</v>
      </c>
      <c r="AK318" s="8">
        <f>COUNTIF($E$318:$AI$318,"A")</f>
        <v>0</v>
      </c>
      <c r="AL318" s="8">
        <f>SUM($E$319:$AI$319)</f>
        <v>38</v>
      </c>
      <c r="AM318" s="8">
        <f>SUM($E$320:$AI$320)</f>
        <v>140.5</v>
      </c>
      <c r="AN318" s="8">
        <f>AL318+AM318</f>
        <v>178.5</v>
      </c>
      <c r="AO318" s="8">
        <f>COUNTIF($E$318:$AI$318,"CL")</f>
        <v>0</v>
      </c>
      <c r="AP318" s="8">
        <f>COUNTIF($E$318:$AI$318,"SL")</f>
        <v>0</v>
      </c>
      <c r="AQ318" s="8">
        <f>COUNTIF($E$318:$AI$318,"EL")</f>
        <v>0</v>
      </c>
      <c r="AR318" s="8">
        <f>COUNTIF($E$318:$AI$318,"H")</f>
        <v>0</v>
      </c>
      <c r="AS318" s="8"/>
      <c r="AT318" s="11" t="s">
        <v>12</v>
      </c>
    </row>
    <row r="319" spans="1:46" ht="15.1" customHeight="1">
      <c r="A319" s="8"/>
      <c r="B319" s="9"/>
      <c r="C319" s="8"/>
      <c r="D319" s="9"/>
      <c r="E319" s="8">
        <v>2</v>
      </c>
      <c r="F319" s="8">
        <v>2</v>
      </c>
      <c r="G319" s="8">
        <v>0</v>
      </c>
      <c r="H319" s="8">
        <v>2</v>
      </c>
      <c r="I319" s="8">
        <v>2</v>
      </c>
      <c r="J319" s="8">
        <v>2</v>
      </c>
      <c r="K319" s="8">
        <v>2</v>
      </c>
      <c r="L319" s="8">
        <v>2</v>
      </c>
      <c r="M319" s="8">
        <v>2</v>
      </c>
      <c r="N319" s="8">
        <v>0</v>
      </c>
      <c r="O319" s="8">
        <v>2</v>
      </c>
      <c r="P319" s="8">
        <v>2</v>
      </c>
      <c r="Q319" s="8">
        <v>2</v>
      </c>
      <c r="R319" s="8">
        <v>2</v>
      </c>
      <c r="S319" s="8">
        <v>2</v>
      </c>
      <c r="T319" s="8">
        <v>2</v>
      </c>
      <c r="U319" s="8">
        <v>0</v>
      </c>
      <c r="V319" s="8">
        <v>2</v>
      </c>
      <c r="W319" s="8">
        <v>2</v>
      </c>
      <c r="X319" s="8">
        <v>2</v>
      </c>
      <c r="Y319" s="8">
        <v>0</v>
      </c>
      <c r="Z319" s="8">
        <v>0</v>
      </c>
      <c r="AA319" s="8">
        <v>0</v>
      </c>
      <c r="AB319" s="8">
        <v>0</v>
      </c>
      <c r="AC319" s="8">
        <v>2</v>
      </c>
      <c r="AD319" s="8">
        <v>2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11" t="s">
        <v>12</v>
      </c>
    </row>
    <row r="320" spans="1:46" ht="15.1" customHeight="1">
      <c r="A320" s="8"/>
      <c r="B320" s="9"/>
      <c r="C320" s="8"/>
      <c r="D320" s="9"/>
      <c r="E320" s="8">
        <v>4</v>
      </c>
      <c r="F320" s="8">
        <v>3</v>
      </c>
      <c r="G320" s="8">
        <v>14</v>
      </c>
      <c r="H320" s="8">
        <v>5</v>
      </c>
      <c r="I320" s="8">
        <v>6</v>
      </c>
      <c r="J320" s="8">
        <v>7</v>
      </c>
      <c r="K320" s="8">
        <v>7</v>
      </c>
      <c r="L320" s="8">
        <v>7</v>
      </c>
      <c r="M320" s="8">
        <v>5</v>
      </c>
      <c r="N320" s="8">
        <v>17</v>
      </c>
      <c r="O320" s="8">
        <v>7</v>
      </c>
      <c r="P320" s="8">
        <v>7</v>
      </c>
      <c r="Q320" s="8">
        <v>5</v>
      </c>
      <c r="R320" s="8">
        <v>7</v>
      </c>
      <c r="S320" s="8">
        <v>7</v>
      </c>
      <c r="T320" s="8">
        <v>3</v>
      </c>
      <c r="U320" s="8">
        <v>12.5</v>
      </c>
      <c r="V320" s="8">
        <v>7</v>
      </c>
      <c r="W320" s="8">
        <v>7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3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11" t="s">
        <v>12</v>
      </c>
    </row>
    <row r="321" spans="1:46" ht="15.1" customHeight="1">
      <c r="A321" s="8">
        <v>106</v>
      </c>
      <c r="B321" s="9" t="s">
        <v>474</v>
      </c>
      <c r="C321" s="8" t="s">
        <v>475</v>
      </c>
      <c r="D321" s="9" t="s">
        <v>266</v>
      </c>
      <c r="E321" s="8" t="s">
        <v>54</v>
      </c>
      <c r="F321" s="8" t="s">
        <v>54</v>
      </c>
      <c r="G321" s="10" t="s">
        <v>67</v>
      </c>
      <c r="H321" s="8" t="s">
        <v>54</v>
      </c>
      <c r="I321" s="8" t="s">
        <v>54</v>
      </c>
      <c r="J321" s="8" t="s">
        <v>54</v>
      </c>
      <c r="K321" s="8" t="s">
        <v>54</v>
      </c>
      <c r="L321" s="12" t="s">
        <v>55</v>
      </c>
      <c r="M321" s="8" t="s">
        <v>54</v>
      </c>
      <c r="N321" s="10" t="s">
        <v>67</v>
      </c>
      <c r="O321" s="8" t="s">
        <v>54</v>
      </c>
      <c r="P321" s="12" t="s">
        <v>55</v>
      </c>
      <c r="Q321" s="8" t="s">
        <v>54</v>
      </c>
      <c r="R321" s="8" t="s">
        <v>54</v>
      </c>
      <c r="S321" s="8" t="s">
        <v>54</v>
      </c>
      <c r="T321" s="8" t="s">
        <v>54</v>
      </c>
      <c r="U321" s="10" t="s">
        <v>67</v>
      </c>
      <c r="V321" s="8" t="s">
        <v>54</v>
      </c>
      <c r="W321" s="12" t="s">
        <v>55</v>
      </c>
      <c r="X321" s="8" t="s">
        <v>54</v>
      </c>
      <c r="Y321" s="8" t="s">
        <v>54</v>
      </c>
      <c r="Z321" s="8" t="s">
        <v>54</v>
      </c>
      <c r="AA321" s="8" t="s">
        <v>54</v>
      </c>
      <c r="AB321" s="10" t="s">
        <v>67</v>
      </c>
      <c r="AC321" s="8" t="s">
        <v>54</v>
      </c>
      <c r="AD321" s="8" t="s">
        <v>54</v>
      </c>
      <c r="AE321" s="8" t="s">
        <v>54</v>
      </c>
      <c r="AF321" s="8" t="s">
        <v>54</v>
      </c>
      <c r="AG321" s="8" t="s">
        <v>54</v>
      </c>
      <c r="AH321" s="8" t="s">
        <v>54</v>
      </c>
      <c r="AI321" s="10" t="s">
        <v>67</v>
      </c>
      <c r="AJ321" s="8">
        <f>COUNTIF($E$321:$AI$321,"P")</f>
        <v>23</v>
      </c>
      <c r="AK321" s="8">
        <f>COUNTIF($E$321:$AI$321,"A")</f>
        <v>3</v>
      </c>
      <c r="AL321" s="8">
        <f>SUM($E$322:$AI$322)</f>
        <v>28</v>
      </c>
      <c r="AM321" s="8">
        <f>SUM($E$323:$AI$323)</f>
        <v>96</v>
      </c>
      <c r="AN321" s="8">
        <f>AL321+AM321</f>
        <v>124</v>
      </c>
      <c r="AO321" s="8">
        <f>COUNTIF($E$321:$AI$321,"CL")</f>
        <v>0</v>
      </c>
      <c r="AP321" s="8">
        <f>COUNTIF($E$321:$AI$321,"SL")</f>
        <v>0</v>
      </c>
      <c r="AQ321" s="8">
        <f>COUNTIF($E$321:$AI$321,"EL")</f>
        <v>0</v>
      </c>
      <c r="AR321" s="8">
        <f>COUNTIF($E$321:$AI$321,"H")</f>
        <v>0</v>
      </c>
      <c r="AS321" s="8"/>
      <c r="AT321" s="11" t="s">
        <v>12</v>
      </c>
    </row>
    <row r="322" spans="1:46" ht="15.1" customHeight="1">
      <c r="A322" s="8"/>
      <c r="B322" s="9"/>
      <c r="C322" s="8"/>
      <c r="D322" s="9"/>
      <c r="E322" s="8">
        <v>2</v>
      </c>
      <c r="F322" s="8">
        <v>2</v>
      </c>
      <c r="G322" s="8">
        <v>0</v>
      </c>
      <c r="H322" s="8">
        <v>2</v>
      </c>
      <c r="I322" s="8">
        <v>2</v>
      </c>
      <c r="J322" s="8">
        <v>2</v>
      </c>
      <c r="K322" s="8">
        <v>0</v>
      </c>
      <c r="L322" s="8">
        <v>0</v>
      </c>
      <c r="M322" s="8">
        <v>2</v>
      </c>
      <c r="N322" s="8">
        <v>0</v>
      </c>
      <c r="O322" s="8">
        <v>2</v>
      </c>
      <c r="P322" s="8">
        <v>0</v>
      </c>
      <c r="Q322" s="8">
        <v>2</v>
      </c>
      <c r="R322" s="8">
        <v>2</v>
      </c>
      <c r="S322" s="8">
        <v>2</v>
      </c>
      <c r="T322" s="8">
        <v>2</v>
      </c>
      <c r="U322" s="8">
        <v>0</v>
      </c>
      <c r="V322" s="8">
        <v>2</v>
      </c>
      <c r="W322" s="8">
        <v>0</v>
      </c>
      <c r="X322" s="8">
        <v>2</v>
      </c>
      <c r="Y322" s="8">
        <v>0</v>
      </c>
      <c r="Z322" s="8">
        <v>0</v>
      </c>
      <c r="AA322" s="8">
        <v>0</v>
      </c>
      <c r="AB322" s="8">
        <v>0</v>
      </c>
      <c r="AC322" s="8">
        <v>2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11" t="s">
        <v>12</v>
      </c>
    </row>
    <row r="323" spans="1:46" ht="15.1" customHeight="1">
      <c r="A323" s="8"/>
      <c r="B323" s="9"/>
      <c r="C323" s="8"/>
      <c r="D323" s="9"/>
      <c r="E323" s="8">
        <v>4</v>
      </c>
      <c r="F323" s="8">
        <v>3</v>
      </c>
      <c r="G323" s="8">
        <v>0</v>
      </c>
      <c r="H323" s="8">
        <v>5</v>
      </c>
      <c r="I323" s="8">
        <v>6</v>
      </c>
      <c r="J323" s="8">
        <v>7</v>
      </c>
      <c r="K323" s="8">
        <v>0</v>
      </c>
      <c r="L323" s="8">
        <v>0</v>
      </c>
      <c r="M323" s="8">
        <v>5</v>
      </c>
      <c r="N323" s="8">
        <v>17</v>
      </c>
      <c r="O323" s="8">
        <v>7</v>
      </c>
      <c r="P323" s="8">
        <v>0</v>
      </c>
      <c r="Q323" s="8">
        <v>5</v>
      </c>
      <c r="R323" s="8">
        <v>7</v>
      </c>
      <c r="S323" s="8">
        <v>7</v>
      </c>
      <c r="T323" s="8">
        <v>3</v>
      </c>
      <c r="U323" s="8">
        <v>13</v>
      </c>
      <c r="V323" s="8">
        <v>7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11" t="s">
        <v>12</v>
      </c>
    </row>
    <row r="324" spans="1:46" ht="15.1" customHeight="1">
      <c r="A324" s="8">
        <v>107</v>
      </c>
      <c r="B324" s="9" t="s">
        <v>476</v>
      </c>
      <c r="C324" s="8" t="s">
        <v>477</v>
      </c>
      <c r="D324" s="9" t="s">
        <v>266</v>
      </c>
      <c r="E324" s="8" t="s">
        <v>54</v>
      </c>
      <c r="F324" s="8" t="s">
        <v>54</v>
      </c>
      <c r="G324" s="10" t="s">
        <v>67</v>
      </c>
      <c r="H324" s="8" t="s">
        <v>54</v>
      </c>
      <c r="I324" s="8" t="s">
        <v>54</v>
      </c>
      <c r="J324" s="8" t="s">
        <v>54</v>
      </c>
      <c r="K324" s="8" t="s">
        <v>54</v>
      </c>
      <c r="L324" s="8" t="s">
        <v>54</v>
      </c>
      <c r="M324" s="8" t="s">
        <v>54</v>
      </c>
      <c r="N324" s="10" t="s">
        <v>67</v>
      </c>
      <c r="O324" s="8" t="s">
        <v>54</v>
      </c>
      <c r="P324" s="8" t="s">
        <v>54</v>
      </c>
      <c r="Q324" s="8" t="s">
        <v>54</v>
      </c>
      <c r="R324" s="8" t="s">
        <v>54</v>
      </c>
      <c r="S324" s="8" t="s">
        <v>54</v>
      </c>
      <c r="T324" s="8" t="s">
        <v>54</v>
      </c>
      <c r="U324" s="10" t="s">
        <v>67</v>
      </c>
      <c r="V324" s="12" t="s">
        <v>55</v>
      </c>
      <c r="W324" s="12" t="s">
        <v>55</v>
      </c>
      <c r="X324" s="8" t="s">
        <v>54</v>
      </c>
      <c r="Y324" s="8" t="s">
        <v>54</v>
      </c>
      <c r="Z324" s="8" t="s">
        <v>54</v>
      </c>
      <c r="AA324" s="8" t="s">
        <v>54</v>
      </c>
      <c r="AB324" s="10" t="s">
        <v>67</v>
      </c>
      <c r="AC324" s="8" t="s">
        <v>54</v>
      </c>
      <c r="AD324" s="8" t="s">
        <v>54</v>
      </c>
      <c r="AE324" s="8" t="s">
        <v>54</v>
      </c>
      <c r="AF324" s="8" t="s">
        <v>54</v>
      </c>
      <c r="AG324" s="8" t="s">
        <v>54</v>
      </c>
      <c r="AH324" s="8" t="s">
        <v>54</v>
      </c>
      <c r="AI324" s="10" t="s">
        <v>67</v>
      </c>
      <c r="AJ324" s="8">
        <f>COUNTIF($E$324:$AI$324,"P")</f>
        <v>24</v>
      </c>
      <c r="AK324" s="8">
        <f>COUNTIF($E$324:$AI$324,"A")</f>
        <v>2</v>
      </c>
      <c r="AL324" s="8">
        <f>SUM($E$325:$AI$325)</f>
        <v>34</v>
      </c>
      <c r="AM324" s="8">
        <f>SUM($E$326:$AI$326)</f>
        <v>113.5</v>
      </c>
      <c r="AN324" s="8">
        <f>AL324+AM324</f>
        <v>147.5</v>
      </c>
      <c r="AO324" s="8">
        <f>COUNTIF($E$324:$AI$324,"CL")</f>
        <v>0</v>
      </c>
      <c r="AP324" s="8">
        <f>COUNTIF($E$324:$AI$324,"SL")</f>
        <v>0</v>
      </c>
      <c r="AQ324" s="8">
        <f>COUNTIF($E$324:$AI$324,"EL")</f>
        <v>0</v>
      </c>
      <c r="AR324" s="8">
        <f>COUNTIF($E$324:$AI$324,"H")</f>
        <v>0</v>
      </c>
      <c r="AS324" s="8"/>
      <c r="AT324" s="11" t="s">
        <v>12</v>
      </c>
    </row>
    <row r="325" spans="1:46" ht="15.1" customHeight="1">
      <c r="A325" s="8"/>
      <c r="B325" s="9"/>
      <c r="C325" s="8"/>
      <c r="D325" s="9"/>
      <c r="E325" s="8">
        <v>2</v>
      </c>
      <c r="F325" s="8">
        <v>2</v>
      </c>
      <c r="G325" s="8">
        <v>0</v>
      </c>
      <c r="H325" s="8">
        <v>2</v>
      </c>
      <c r="I325" s="8">
        <v>2</v>
      </c>
      <c r="J325" s="8">
        <v>2</v>
      </c>
      <c r="K325" s="8">
        <v>2</v>
      </c>
      <c r="L325" s="8">
        <v>2</v>
      </c>
      <c r="M325" s="8">
        <v>2</v>
      </c>
      <c r="N325" s="8">
        <v>0</v>
      </c>
      <c r="O325" s="8">
        <v>2</v>
      </c>
      <c r="P325" s="8">
        <v>2</v>
      </c>
      <c r="Q325" s="8">
        <v>2</v>
      </c>
      <c r="R325" s="8">
        <v>2</v>
      </c>
      <c r="S325" s="8">
        <v>2</v>
      </c>
      <c r="T325" s="8">
        <v>2</v>
      </c>
      <c r="U325" s="8">
        <v>0</v>
      </c>
      <c r="V325" s="8">
        <v>0</v>
      </c>
      <c r="W325" s="8">
        <v>0</v>
      </c>
      <c r="X325" s="8">
        <v>2</v>
      </c>
      <c r="Y325" s="8">
        <v>0</v>
      </c>
      <c r="Z325" s="8">
        <v>0</v>
      </c>
      <c r="AA325" s="8">
        <v>0</v>
      </c>
      <c r="AB325" s="8">
        <v>0</v>
      </c>
      <c r="AC325" s="8">
        <v>2</v>
      </c>
      <c r="AD325" s="8">
        <v>2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11" t="s">
        <v>12</v>
      </c>
    </row>
    <row r="326" spans="1:46" ht="15.1" customHeight="1">
      <c r="A326" s="8"/>
      <c r="B326" s="9"/>
      <c r="C326" s="8"/>
      <c r="D326" s="9"/>
      <c r="E326" s="8">
        <v>4</v>
      </c>
      <c r="F326" s="8">
        <v>3</v>
      </c>
      <c r="G326" s="8">
        <v>13.5</v>
      </c>
      <c r="H326" s="8">
        <v>5</v>
      </c>
      <c r="I326" s="8">
        <v>6</v>
      </c>
      <c r="J326" s="8">
        <v>7</v>
      </c>
      <c r="K326" s="8">
        <v>7</v>
      </c>
      <c r="L326" s="8">
        <v>7</v>
      </c>
      <c r="M326" s="8">
        <v>4.5</v>
      </c>
      <c r="N326" s="8">
        <v>16.5</v>
      </c>
      <c r="O326" s="8">
        <v>7</v>
      </c>
      <c r="P326" s="8">
        <v>7</v>
      </c>
      <c r="Q326" s="8">
        <v>4.5</v>
      </c>
      <c r="R326" s="8">
        <v>7</v>
      </c>
      <c r="S326" s="8">
        <v>7</v>
      </c>
      <c r="T326" s="8">
        <v>4.5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3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11" t="s">
        <v>12</v>
      </c>
    </row>
    <row r="327" spans="1:46" ht="15.1" customHeight="1">
      <c r="A327" s="8">
        <v>108</v>
      </c>
      <c r="B327" s="9" t="s">
        <v>478</v>
      </c>
      <c r="C327" s="8" t="s">
        <v>479</v>
      </c>
      <c r="D327" s="9" t="s">
        <v>266</v>
      </c>
      <c r="E327" s="8" t="s">
        <v>54</v>
      </c>
      <c r="F327" s="12" t="s">
        <v>55</v>
      </c>
      <c r="G327" s="10" t="s">
        <v>67</v>
      </c>
      <c r="H327" s="8" t="s">
        <v>54</v>
      </c>
      <c r="I327" s="8" t="s">
        <v>54</v>
      </c>
      <c r="J327" s="12" t="s">
        <v>55</v>
      </c>
      <c r="K327" s="8" t="s">
        <v>54</v>
      </c>
      <c r="L327" s="8" t="s">
        <v>54</v>
      </c>
      <c r="M327" s="8" t="s">
        <v>54</v>
      </c>
      <c r="N327" s="10" t="s">
        <v>67</v>
      </c>
      <c r="O327" s="8" t="s">
        <v>54</v>
      </c>
      <c r="P327" s="8" t="s">
        <v>54</v>
      </c>
      <c r="Q327" s="8" t="s">
        <v>54</v>
      </c>
      <c r="R327" s="12" t="s">
        <v>55</v>
      </c>
      <c r="S327" s="12" t="s">
        <v>55</v>
      </c>
      <c r="T327" s="8" t="s">
        <v>54</v>
      </c>
      <c r="U327" s="10" t="s">
        <v>67</v>
      </c>
      <c r="V327" s="8" t="s">
        <v>54</v>
      </c>
      <c r="W327" s="12" t="s">
        <v>55</v>
      </c>
      <c r="X327" s="12" t="s">
        <v>55</v>
      </c>
      <c r="Y327" s="12" t="s">
        <v>55</v>
      </c>
      <c r="Z327" s="8" t="s">
        <v>54</v>
      </c>
      <c r="AA327" s="8" t="s">
        <v>54</v>
      </c>
      <c r="AB327" s="10" t="s">
        <v>67</v>
      </c>
      <c r="AC327" s="12" t="s">
        <v>55</v>
      </c>
      <c r="AD327" s="8" t="s">
        <v>54</v>
      </c>
      <c r="AE327" s="8" t="s">
        <v>54</v>
      </c>
      <c r="AF327" s="8" t="s">
        <v>54</v>
      </c>
      <c r="AG327" s="8" t="s">
        <v>54</v>
      </c>
      <c r="AH327" s="8" t="s">
        <v>54</v>
      </c>
      <c r="AI327" s="10" t="s">
        <v>67</v>
      </c>
      <c r="AJ327" s="8">
        <f>COUNTIF($E$327:$AI$327,"P")</f>
        <v>18</v>
      </c>
      <c r="AK327" s="8">
        <f>COUNTIF($E$327:$AI$327,"A")</f>
        <v>8</v>
      </c>
      <c r="AL327" s="8">
        <f>SUM($E$328:$AI$328)</f>
        <v>22</v>
      </c>
      <c r="AM327" s="8">
        <f>SUM($E$329:$AI$329)</f>
        <v>70.5</v>
      </c>
      <c r="AN327" s="8">
        <f>AL327+AM327</f>
        <v>92.5</v>
      </c>
      <c r="AO327" s="8">
        <f>COUNTIF($E$327:$AI$327,"CL")</f>
        <v>0</v>
      </c>
      <c r="AP327" s="8">
        <f>COUNTIF($E$327:$AI$327,"SL")</f>
        <v>0</v>
      </c>
      <c r="AQ327" s="8">
        <f>COUNTIF($E$327:$AI$327,"EL")</f>
        <v>0</v>
      </c>
      <c r="AR327" s="8">
        <f>COUNTIF($E$327:$AI$327,"H")</f>
        <v>0</v>
      </c>
      <c r="AS327" s="8"/>
      <c r="AT327" s="11" t="s">
        <v>12</v>
      </c>
    </row>
    <row r="328" spans="1:46" ht="15.1" customHeight="1">
      <c r="A328" s="8"/>
      <c r="B328" s="9"/>
      <c r="C328" s="8"/>
      <c r="D328" s="9"/>
      <c r="E328" s="8">
        <v>2</v>
      </c>
      <c r="F328" s="8">
        <v>0</v>
      </c>
      <c r="G328" s="8">
        <v>0</v>
      </c>
      <c r="H328" s="8">
        <v>2</v>
      </c>
      <c r="I328" s="8">
        <v>2</v>
      </c>
      <c r="J328" s="8">
        <v>0</v>
      </c>
      <c r="K328" s="8">
        <v>2</v>
      </c>
      <c r="L328" s="8">
        <v>2</v>
      </c>
      <c r="M328" s="8">
        <v>2</v>
      </c>
      <c r="N328" s="8">
        <v>0</v>
      </c>
      <c r="O328" s="8">
        <v>2</v>
      </c>
      <c r="P328" s="8">
        <v>2</v>
      </c>
      <c r="Q328" s="8">
        <v>2</v>
      </c>
      <c r="R328" s="8">
        <v>0</v>
      </c>
      <c r="S328" s="8">
        <v>0</v>
      </c>
      <c r="T328" s="8">
        <v>2</v>
      </c>
      <c r="U328" s="8">
        <v>0</v>
      </c>
      <c r="V328" s="8">
        <v>2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11" t="s">
        <v>12</v>
      </c>
    </row>
    <row r="329" spans="1:46" ht="15.1" customHeight="1">
      <c r="A329" s="8"/>
      <c r="B329" s="9"/>
      <c r="C329" s="8"/>
      <c r="D329" s="9"/>
      <c r="E329" s="8">
        <v>4</v>
      </c>
      <c r="F329" s="8">
        <v>0</v>
      </c>
      <c r="G329" s="8">
        <v>0</v>
      </c>
      <c r="H329" s="8">
        <v>5</v>
      </c>
      <c r="I329" s="8">
        <v>6</v>
      </c>
      <c r="J329" s="8">
        <v>0</v>
      </c>
      <c r="K329" s="8">
        <v>7</v>
      </c>
      <c r="L329" s="8">
        <v>7</v>
      </c>
      <c r="M329" s="8">
        <v>5</v>
      </c>
      <c r="N329" s="8">
        <v>0</v>
      </c>
      <c r="O329" s="8">
        <v>7</v>
      </c>
      <c r="P329" s="8">
        <v>7</v>
      </c>
      <c r="Q329" s="8">
        <v>0</v>
      </c>
      <c r="R329" s="8">
        <v>0</v>
      </c>
      <c r="S329" s="8">
        <v>0</v>
      </c>
      <c r="T329" s="8">
        <v>3</v>
      </c>
      <c r="U329" s="8">
        <v>12.5</v>
      </c>
      <c r="V329" s="8">
        <v>7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11" t="s">
        <v>12</v>
      </c>
    </row>
    <row r="330" spans="1:46" ht="15.1" customHeight="1">
      <c r="A330" s="8">
        <v>109</v>
      </c>
      <c r="B330" s="9" t="s">
        <v>480</v>
      </c>
      <c r="C330" s="8" t="s">
        <v>481</v>
      </c>
      <c r="D330" s="9" t="s">
        <v>266</v>
      </c>
      <c r="E330" s="12" t="s">
        <v>55</v>
      </c>
      <c r="F330" s="8" t="s">
        <v>54</v>
      </c>
      <c r="G330" s="10" t="s">
        <v>67</v>
      </c>
      <c r="H330" s="12" t="s">
        <v>55</v>
      </c>
      <c r="I330" s="12" t="s">
        <v>55</v>
      </c>
      <c r="J330" s="8" t="s">
        <v>54</v>
      </c>
      <c r="K330" s="8" t="s">
        <v>54</v>
      </c>
      <c r="L330" s="8" t="s">
        <v>54</v>
      </c>
      <c r="M330" s="8" t="s">
        <v>54</v>
      </c>
      <c r="N330" s="10" t="s">
        <v>67</v>
      </c>
      <c r="O330" s="8" t="s">
        <v>54</v>
      </c>
      <c r="P330" s="8" t="s">
        <v>54</v>
      </c>
      <c r="Q330" s="8" t="s">
        <v>54</v>
      </c>
      <c r="R330" s="8" t="s">
        <v>54</v>
      </c>
      <c r="S330" s="8" t="s">
        <v>54</v>
      </c>
      <c r="T330" s="8" t="s">
        <v>54</v>
      </c>
      <c r="U330" s="10" t="s">
        <v>67</v>
      </c>
      <c r="V330" s="8" t="s">
        <v>54</v>
      </c>
      <c r="W330" s="8" t="s">
        <v>54</v>
      </c>
      <c r="X330" s="8" t="s">
        <v>54</v>
      </c>
      <c r="Y330" s="12" t="s">
        <v>55</v>
      </c>
      <c r="Z330" s="8" t="s">
        <v>54</v>
      </c>
      <c r="AA330" s="8" t="s">
        <v>54</v>
      </c>
      <c r="AB330" s="10" t="s">
        <v>67</v>
      </c>
      <c r="AC330" s="8" t="s">
        <v>54</v>
      </c>
      <c r="AD330" s="8" t="s">
        <v>54</v>
      </c>
      <c r="AE330" s="8" t="s">
        <v>54</v>
      </c>
      <c r="AF330" s="8" t="s">
        <v>54</v>
      </c>
      <c r="AG330" s="8" t="s">
        <v>54</v>
      </c>
      <c r="AH330" s="8" t="s">
        <v>54</v>
      </c>
      <c r="AI330" s="10" t="s">
        <v>67</v>
      </c>
      <c r="AJ330" s="8">
        <f>COUNTIF($E$330:$AI$330,"P")</f>
        <v>22</v>
      </c>
      <c r="AK330" s="8">
        <f>COUNTIF($E$330:$AI$330,"A")</f>
        <v>4</v>
      </c>
      <c r="AL330" s="8">
        <f>SUM($E$331:$AI$331)</f>
        <v>30</v>
      </c>
      <c r="AM330" s="8">
        <f>SUM($E$332:$AI$332)</f>
        <v>99</v>
      </c>
      <c r="AN330" s="8">
        <f>AL330+AM330</f>
        <v>129</v>
      </c>
      <c r="AO330" s="8">
        <f>COUNTIF($E$330:$AI$330,"CL")</f>
        <v>0</v>
      </c>
      <c r="AP330" s="8">
        <f>COUNTIF($E$330:$AI$330,"SL")</f>
        <v>0</v>
      </c>
      <c r="AQ330" s="8">
        <f>COUNTIF($E$330:$AI$330,"EL")</f>
        <v>0</v>
      </c>
      <c r="AR330" s="8">
        <f>COUNTIF($E$330:$AI$330,"H")</f>
        <v>0</v>
      </c>
      <c r="AS330" s="8"/>
      <c r="AT330" s="11" t="s">
        <v>12</v>
      </c>
    </row>
    <row r="331" spans="1:46" ht="15.1" customHeight="1">
      <c r="A331" s="8"/>
      <c r="B331" s="9"/>
      <c r="C331" s="8"/>
      <c r="D331" s="9"/>
      <c r="E331" s="8">
        <v>0</v>
      </c>
      <c r="F331" s="8">
        <v>2</v>
      </c>
      <c r="G331" s="8">
        <v>0</v>
      </c>
      <c r="H331" s="8">
        <v>0</v>
      </c>
      <c r="I331" s="8">
        <v>0</v>
      </c>
      <c r="J331" s="8">
        <v>2</v>
      </c>
      <c r="K331" s="8">
        <v>2</v>
      </c>
      <c r="L331" s="8">
        <v>2</v>
      </c>
      <c r="M331" s="8">
        <v>2</v>
      </c>
      <c r="N331" s="8">
        <v>0</v>
      </c>
      <c r="O331" s="8">
        <v>2</v>
      </c>
      <c r="P331" s="8">
        <v>2</v>
      </c>
      <c r="Q331" s="8">
        <v>2</v>
      </c>
      <c r="R331" s="8">
        <v>0</v>
      </c>
      <c r="S331" s="8">
        <v>2</v>
      </c>
      <c r="T331" s="8">
        <v>2</v>
      </c>
      <c r="U331" s="8">
        <v>0</v>
      </c>
      <c r="V331" s="8">
        <v>2</v>
      </c>
      <c r="W331" s="8">
        <v>2</v>
      </c>
      <c r="X331" s="8">
        <v>2</v>
      </c>
      <c r="Y331" s="8">
        <v>0</v>
      </c>
      <c r="Z331" s="8">
        <v>0</v>
      </c>
      <c r="AA331" s="8">
        <v>0</v>
      </c>
      <c r="AB331" s="8">
        <v>0</v>
      </c>
      <c r="AC331" s="8">
        <v>2</v>
      </c>
      <c r="AD331" s="8">
        <v>2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11" t="s">
        <v>12</v>
      </c>
    </row>
    <row r="332" spans="1:46" ht="15.1" customHeight="1">
      <c r="A332" s="8"/>
      <c r="B332" s="9"/>
      <c r="C332" s="8"/>
      <c r="D332" s="9"/>
      <c r="E332" s="8">
        <v>0</v>
      </c>
      <c r="F332" s="8">
        <v>3</v>
      </c>
      <c r="G332" s="8">
        <v>8</v>
      </c>
      <c r="H332" s="8">
        <v>0</v>
      </c>
      <c r="I332" s="8">
        <v>0</v>
      </c>
      <c r="J332" s="8">
        <v>7</v>
      </c>
      <c r="K332" s="8">
        <v>7</v>
      </c>
      <c r="L332" s="8">
        <v>7</v>
      </c>
      <c r="M332" s="8">
        <v>4.5</v>
      </c>
      <c r="N332" s="8">
        <v>16.5</v>
      </c>
      <c r="O332" s="8">
        <v>7</v>
      </c>
      <c r="P332" s="8">
        <v>7</v>
      </c>
      <c r="Q332" s="8">
        <v>5</v>
      </c>
      <c r="R332" s="8">
        <v>0</v>
      </c>
      <c r="S332" s="8">
        <v>7</v>
      </c>
      <c r="T332" s="8">
        <v>3</v>
      </c>
      <c r="U332" s="8">
        <v>0</v>
      </c>
      <c r="V332" s="8">
        <v>7</v>
      </c>
      <c r="W332" s="8">
        <v>7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3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11" t="s">
        <v>12</v>
      </c>
    </row>
    <row r="333" spans="1:46" ht="15.1" customHeight="1">
      <c r="A333" s="8">
        <v>110</v>
      </c>
      <c r="B333" s="9" t="s">
        <v>482</v>
      </c>
      <c r="C333" s="8" t="s">
        <v>483</v>
      </c>
      <c r="D333" s="9" t="s">
        <v>266</v>
      </c>
      <c r="E333" s="8" t="s">
        <v>54</v>
      </c>
      <c r="F333" s="8" t="s">
        <v>54</v>
      </c>
      <c r="G333" s="10" t="s">
        <v>67</v>
      </c>
      <c r="H333" s="8" t="s">
        <v>54</v>
      </c>
      <c r="I333" s="8" t="s">
        <v>54</v>
      </c>
      <c r="J333" s="8" t="s">
        <v>54</v>
      </c>
      <c r="K333" s="8" t="s">
        <v>54</v>
      </c>
      <c r="L333" s="8" t="s">
        <v>54</v>
      </c>
      <c r="M333" s="8" t="s">
        <v>54</v>
      </c>
      <c r="N333" s="10" t="s">
        <v>67</v>
      </c>
      <c r="O333" s="8" t="s">
        <v>54</v>
      </c>
      <c r="P333" s="8" t="s">
        <v>54</v>
      </c>
      <c r="Q333" s="8" t="s">
        <v>54</v>
      </c>
      <c r="R333" s="8" t="s">
        <v>54</v>
      </c>
      <c r="S333" s="8" t="s">
        <v>54</v>
      </c>
      <c r="T333" s="8" t="s">
        <v>54</v>
      </c>
      <c r="U333" s="10" t="s">
        <v>67</v>
      </c>
      <c r="V333" s="8" t="s">
        <v>54</v>
      </c>
      <c r="W333" s="8" t="s">
        <v>54</v>
      </c>
      <c r="X333" s="8" t="s">
        <v>54</v>
      </c>
      <c r="Y333" s="8" t="s">
        <v>54</v>
      </c>
      <c r="Z333" s="8" t="s">
        <v>54</v>
      </c>
      <c r="AA333" s="8" t="s">
        <v>54</v>
      </c>
      <c r="AB333" s="10" t="s">
        <v>67</v>
      </c>
      <c r="AC333" s="8" t="s">
        <v>54</v>
      </c>
      <c r="AD333" s="8" t="s">
        <v>54</v>
      </c>
      <c r="AE333" s="8" t="s">
        <v>54</v>
      </c>
      <c r="AF333" s="8" t="s">
        <v>54</v>
      </c>
      <c r="AG333" s="8" t="s">
        <v>54</v>
      </c>
      <c r="AH333" s="8" t="s">
        <v>54</v>
      </c>
      <c r="AI333" s="10" t="s">
        <v>67</v>
      </c>
      <c r="AJ333" s="8">
        <f>COUNTIF($E$333:$AI$333,"P")</f>
        <v>26</v>
      </c>
      <c r="AK333" s="8">
        <f>COUNTIF($E$333:$AI$333,"A")</f>
        <v>0</v>
      </c>
      <c r="AL333" s="8">
        <f>SUM($E$334:$AI$334)</f>
        <v>36</v>
      </c>
      <c r="AM333" s="8">
        <f>SUM($E$335:$AI$335)</f>
        <v>134.5</v>
      </c>
      <c r="AN333" s="8">
        <f>AL333+AM333</f>
        <v>170.5</v>
      </c>
      <c r="AO333" s="8">
        <f>COUNTIF($E$333:$AI$333,"CL")</f>
        <v>0</v>
      </c>
      <c r="AP333" s="8">
        <f>COUNTIF($E$333:$AI$333,"SL")</f>
        <v>0</v>
      </c>
      <c r="AQ333" s="8">
        <f>COUNTIF($E$333:$AI$333,"EL")</f>
        <v>0</v>
      </c>
      <c r="AR333" s="8">
        <f>COUNTIF($E$333:$AI$333,"H")</f>
        <v>0</v>
      </c>
      <c r="AS333" s="8"/>
      <c r="AT333" s="11" t="s">
        <v>12</v>
      </c>
    </row>
    <row r="334" spans="1:46" ht="15.1" customHeight="1">
      <c r="A334" s="8"/>
      <c r="B334" s="9"/>
      <c r="C334" s="8"/>
      <c r="D334" s="9"/>
      <c r="E334" s="8">
        <v>2</v>
      </c>
      <c r="F334" s="8">
        <v>2</v>
      </c>
      <c r="G334" s="8">
        <v>0</v>
      </c>
      <c r="H334" s="8">
        <v>0</v>
      </c>
      <c r="I334" s="8">
        <v>2</v>
      </c>
      <c r="J334" s="8">
        <v>2</v>
      </c>
      <c r="K334" s="8">
        <v>2</v>
      </c>
      <c r="L334" s="8">
        <v>2</v>
      </c>
      <c r="M334" s="8">
        <v>2</v>
      </c>
      <c r="N334" s="8">
        <v>0</v>
      </c>
      <c r="O334" s="8">
        <v>2</v>
      </c>
      <c r="P334" s="8">
        <v>2</v>
      </c>
      <c r="Q334" s="8">
        <v>2</v>
      </c>
      <c r="R334" s="8">
        <v>2</v>
      </c>
      <c r="S334" s="8">
        <v>2</v>
      </c>
      <c r="T334" s="8">
        <v>2</v>
      </c>
      <c r="U334" s="8">
        <v>0</v>
      </c>
      <c r="V334" s="8">
        <v>2</v>
      </c>
      <c r="W334" s="8">
        <v>2</v>
      </c>
      <c r="X334" s="8">
        <v>2</v>
      </c>
      <c r="Y334" s="8">
        <v>0</v>
      </c>
      <c r="Z334" s="8">
        <v>0</v>
      </c>
      <c r="AA334" s="8">
        <v>0</v>
      </c>
      <c r="AB334" s="8">
        <v>0</v>
      </c>
      <c r="AC334" s="8">
        <v>2</v>
      </c>
      <c r="AD334" s="8">
        <v>2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11" t="s">
        <v>12</v>
      </c>
    </row>
    <row r="335" spans="1:46" ht="15.1" customHeight="1">
      <c r="A335" s="8"/>
      <c r="B335" s="9"/>
      <c r="C335" s="8"/>
      <c r="D335" s="9"/>
      <c r="E335" s="8">
        <v>4</v>
      </c>
      <c r="F335" s="8">
        <v>3</v>
      </c>
      <c r="G335" s="8">
        <v>13.5</v>
      </c>
      <c r="H335" s="8">
        <v>0</v>
      </c>
      <c r="I335" s="8">
        <v>6</v>
      </c>
      <c r="J335" s="8">
        <v>7</v>
      </c>
      <c r="K335" s="8">
        <v>7</v>
      </c>
      <c r="L335" s="8">
        <v>7</v>
      </c>
      <c r="M335" s="8">
        <v>5</v>
      </c>
      <c r="N335" s="8">
        <v>16.5</v>
      </c>
      <c r="O335" s="8">
        <v>7</v>
      </c>
      <c r="P335" s="8">
        <v>7</v>
      </c>
      <c r="Q335" s="8">
        <v>5</v>
      </c>
      <c r="R335" s="8">
        <v>7</v>
      </c>
      <c r="S335" s="8">
        <v>7</v>
      </c>
      <c r="T335" s="8">
        <v>3</v>
      </c>
      <c r="U335" s="8">
        <v>12.5</v>
      </c>
      <c r="V335" s="8">
        <v>7</v>
      </c>
      <c r="W335" s="8">
        <v>7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3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11" t="s">
        <v>12</v>
      </c>
    </row>
    <row r="336" spans="1:46" ht="15.1" customHeight="1">
      <c r="A336" s="8">
        <v>111</v>
      </c>
      <c r="B336" s="9" t="s">
        <v>484</v>
      </c>
      <c r="C336" s="8" t="s">
        <v>485</v>
      </c>
      <c r="D336" s="9" t="s">
        <v>266</v>
      </c>
      <c r="E336" s="8" t="s">
        <v>54</v>
      </c>
      <c r="F336" s="8" t="s">
        <v>54</v>
      </c>
      <c r="G336" s="10" t="s">
        <v>67</v>
      </c>
      <c r="H336" s="8" t="s">
        <v>54</v>
      </c>
      <c r="I336" s="8" t="s">
        <v>54</v>
      </c>
      <c r="J336" s="12" t="s">
        <v>55</v>
      </c>
      <c r="K336" s="12" t="s">
        <v>55</v>
      </c>
      <c r="L336" s="8" t="s">
        <v>54</v>
      </c>
      <c r="M336" s="8" t="s">
        <v>54</v>
      </c>
      <c r="N336" s="10" t="s">
        <v>67</v>
      </c>
      <c r="O336" s="8" t="s">
        <v>54</v>
      </c>
      <c r="P336" s="12" t="s">
        <v>55</v>
      </c>
      <c r="Q336" s="8" t="s">
        <v>54</v>
      </c>
      <c r="R336" s="8" t="s">
        <v>54</v>
      </c>
      <c r="S336" s="8" t="s">
        <v>54</v>
      </c>
      <c r="T336" s="8" t="s">
        <v>54</v>
      </c>
      <c r="U336" s="10" t="s">
        <v>67</v>
      </c>
      <c r="V336" s="8" t="s">
        <v>54</v>
      </c>
      <c r="W336" s="8" t="s">
        <v>54</v>
      </c>
      <c r="X336" s="8" t="s">
        <v>54</v>
      </c>
      <c r="Y336" s="8" t="s">
        <v>54</v>
      </c>
      <c r="Z336" s="8" t="s">
        <v>54</v>
      </c>
      <c r="AA336" s="8" t="s">
        <v>54</v>
      </c>
      <c r="AB336" s="10" t="s">
        <v>67</v>
      </c>
      <c r="AC336" s="8" t="s">
        <v>54</v>
      </c>
      <c r="AD336" s="8" t="s">
        <v>54</v>
      </c>
      <c r="AE336" s="8" t="s">
        <v>54</v>
      </c>
      <c r="AF336" s="8" t="s">
        <v>54</v>
      </c>
      <c r="AG336" s="8" t="s">
        <v>54</v>
      </c>
      <c r="AH336" s="8" t="s">
        <v>54</v>
      </c>
      <c r="AI336" s="10" t="s">
        <v>67</v>
      </c>
      <c r="AJ336" s="8">
        <f>COUNTIF($E$336:$AI$336,"P")</f>
        <v>23</v>
      </c>
      <c r="AK336" s="8">
        <f>COUNTIF($E$336:$AI$336,"A")</f>
        <v>3</v>
      </c>
      <c r="AL336" s="8">
        <f>SUM($E$337:$AI$337)</f>
        <v>32</v>
      </c>
      <c r="AM336" s="8">
        <f>SUM($E$338:$AI$338)</f>
        <v>114</v>
      </c>
      <c r="AN336" s="8">
        <f>AL336+AM336</f>
        <v>146</v>
      </c>
      <c r="AO336" s="8">
        <f>COUNTIF($E$336:$AI$336,"CL")</f>
        <v>0</v>
      </c>
      <c r="AP336" s="8">
        <f>COUNTIF($E$336:$AI$336,"SL")</f>
        <v>0</v>
      </c>
      <c r="AQ336" s="8">
        <f>COUNTIF($E$336:$AI$336,"EL")</f>
        <v>0</v>
      </c>
      <c r="AR336" s="8">
        <f>COUNTIF($E$336:$AI$336,"H")</f>
        <v>0</v>
      </c>
      <c r="AS336" s="8"/>
      <c r="AT336" s="11" t="s">
        <v>12</v>
      </c>
    </row>
    <row r="337" spans="1:46" ht="15.1" customHeight="1">
      <c r="A337" s="8"/>
      <c r="B337" s="9"/>
      <c r="C337" s="8"/>
      <c r="D337" s="9"/>
      <c r="E337" s="8">
        <v>2</v>
      </c>
      <c r="F337" s="8">
        <v>2</v>
      </c>
      <c r="G337" s="8">
        <v>0</v>
      </c>
      <c r="H337" s="8">
        <v>2</v>
      </c>
      <c r="I337" s="8">
        <v>2</v>
      </c>
      <c r="J337" s="8">
        <v>0</v>
      </c>
      <c r="K337" s="8">
        <v>0</v>
      </c>
      <c r="L337" s="8">
        <v>2</v>
      </c>
      <c r="M337" s="8">
        <v>2</v>
      </c>
      <c r="N337" s="8">
        <v>0</v>
      </c>
      <c r="O337" s="8">
        <v>2</v>
      </c>
      <c r="P337" s="8">
        <v>0</v>
      </c>
      <c r="Q337" s="8">
        <v>2</v>
      </c>
      <c r="R337" s="8">
        <v>2</v>
      </c>
      <c r="S337" s="8">
        <v>2</v>
      </c>
      <c r="T337" s="8">
        <v>2</v>
      </c>
      <c r="U337" s="8">
        <v>0</v>
      </c>
      <c r="V337" s="8">
        <v>2</v>
      </c>
      <c r="W337" s="8">
        <v>2</v>
      </c>
      <c r="X337" s="8">
        <v>2</v>
      </c>
      <c r="Y337" s="8">
        <v>0</v>
      </c>
      <c r="Z337" s="8">
        <v>0</v>
      </c>
      <c r="AA337" s="8">
        <v>0</v>
      </c>
      <c r="AB337" s="8">
        <v>0</v>
      </c>
      <c r="AC337" s="8">
        <v>2</v>
      </c>
      <c r="AD337" s="8">
        <v>2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11" t="s">
        <v>12</v>
      </c>
    </row>
    <row r="338" spans="1:46" ht="15.1" customHeight="1">
      <c r="A338" s="8"/>
      <c r="B338" s="9"/>
      <c r="C338" s="8"/>
      <c r="D338" s="9"/>
      <c r="E338" s="8">
        <v>3.5</v>
      </c>
      <c r="F338" s="8">
        <v>3</v>
      </c>
      <c r="G338" s="8">
        <v>9.5</v>
      </c>
      <c r="H338" s="8">
        <v>5</v>
      </c>
      <c r="I338" s="8">
        <v>6</v>
      </c>
      <c r="J338" s="8">
        <v>0</v>
      </c>
      <c r="K338" s="8">
        <v>0</v>
      </c>
      <c r="L338" s="8">
        <v>7</v>
      </c>
      <c r="M338" s="8">
        <v>5</v>
      </c>
      <c r="N338" s="8">
        <v>16.5</v>
      </c>
      <c r="O338" s="8">
        <v>7</v>
      </c>
      <c r="P338" s="8">
        <v>0</v>
      </c>
      <c r="Q338" s="8">
        <v>5</v>
      </c>
      <c r="R338" s="8">
        <v>7</v>
      </c>
      <c r="S338" s="8">
        <v>7</v>
      </c>
      <c r="T338" s="8">
        <v>3</v>
      </c>
      <c r="U338" s="8">
        <v>12.5</v>
      </c>
      <c r="V338" s="8">
        <v>7</v>
      </c>
      <c r="W338" s="8">
        <v>7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3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11" t="s">
        <v>12</v>
      </c>
    </row>
    <row r="339" spans="1:46" ht="15.1" customHeight="1">
      <c r="A339" s="8">
        <v>112</v>
      </c>
      <c r="B339" s="9" t="s">
        <v>486</v>
      </c>
      <c r="C339" s="8" t="s">
        <v>487</v>
      </c>
      <c r="D339" s="9" t="s">
        <v>266</v>
      </c>
      <c r="E339" s="8" t="s">
        <v>54</v>
      </c>
      <c r="F339" s="8" t="s">
        <v>54</v>
      </c>
      <c r="G339" s="10" t="s">
        <v>67</v>
      </c>
      <c r="H339" s="8" t="s">
        <v>54</v>
      </c>
      <c r="I339" s="8" t="s">
        <v>54</v>
      </c>
      <c r="J339" s="8" t="s">
        <v>54</v>
      </c>
      <c r="K339" s="8" t="s">
        <v>54</v>
      </c>
      <c r="L339" s="8" t="s">
        <v>54</v>
      </c>
      <c r="M339" s="8" t="s">
        <v>54</v>
      </c>
      <c r="N339" s="10" t="s">
        <v>67</v>
      </c>
      <c r="O339" s="8" t="s">
        <v>54</v>
      </c>
      <c r="P339" s="8" t="s">
        <v>54</v>
      </c>
      <c r="Q339" s="8" t="s">
        <v>54</v>
      </c>
      <c r="R339" s="8" t="s">
        <v>54</v>
      </c>
      <c r="S339" s="8" t="s">
        <v>54</v>
      </c>
      <c r="T339" s="8" t="s">
        <v>54</v>
      </c>
      <c r="U339" s="10" t="s">
        <v>67</v>
      </c>
      <c r="V339" s="8" t="s">
        <v>54</v>
      </c>
      <c r="W339" s="8" t="s">
        <v>54</v>
      </c>
      <c r="X339" s="8" t="s">
        <v>54</v>
      </c>
      <c r="Y339" s="8" t="s">
        <v>54</v>
      </c>
      <c r="Z339" s="8" t="s">
        <v>54</v>
      </c>
      <c r="AA339" s="8" t="s">
        <v>54</v>
      </c>
      <c r="AB339" s="10" t="s">
        <v>67</v>
      </c>
      <c r="AC339" s="8" t="s">
        <v>54</v>
      </c>
      <c r="AD339" s="8" t="s">
        <v>54</v>
      </c>
      <c r="AE339" s="8" t="s">
        <v>54</v>
      </c>
      <c r="AF339" s="8" t="s">
        <v>54</v>
      </c>
      <c r="AG339" s="8" t="s">
        <v>54</v>
      </c>
      <c r="AH339" s="8" t="s">
        <v>54</v>
      </c>
      <c r="AI339" s="10" t="s">
        <v>67</v>
      </c>
      <c r="AJ339" s="8">
        <f>COUNTIF($E$339:$AI$339,"P")</f>
        <v>26</v>
      </c>
      <c r="AK339" s="8">
        <f>COUNTIF($E$339:$AI$339,"A")</f>
        <v>0</v>
      </c>
      <c r="AL339" s="8">
        <f>SUM($E$340:$AI$340)</f>
        <v>38</v>
      </c>
      <c r="AM339" s="8">
        <f>SUM($E$341:$AI$341)</f>
        <v>142</v>
      </c>
      <c r="AN339" s="8">
        <f>AL339+AM339</f>
        <v>180</v>
      </c>
      <c r="AO339" s="8">
        <f>COUNTIF($E$339:$AI$339,"CL")</f>
        <v>0</v>
      </c>
      <c r="AP339" s="8">
        <f>COUNTIF($E$339:$AI$339,"SL")</f>
        <v>0</v>
      </c>
      <c r="AQ339" s="8">
        <f>COUNTIF($E$339:$AI$339,"EL")</f>
        <v>0</v>
      </c>
      <c r="AR339" s="8">
        <f>COUNTIF($E$339:$AI$339,"H")</f>
        <v>0</v>
      </c>
      <c r="AS339" s="8"/>
      <c r="AT339" s="11" t="s">
        <v>12</v>
      </c>
    </row>
    <row r="340" spans="1:46" ht="15.1" customHeight="1">
      <c r="A340" s="8"/>
      <c r="B340" s="9"/>
      <c r="C340" s="8"/>
      <c r="D340" s="9"/>
      <c r="E340" s="8">
        <v>2</v>
      </c>
      <c r="F340" s="8">
        <v>2</v>
      </c>
      <c r="G340" s="8">
        <v>0</v>
      </c>
      <c r="H340" s="8">
        <v>2</v>
      </c>
      <c r="I340" s="8">
        <v>2</v>
      </c>
      <c r="J340" s="8">
        <v>2</v>
      </c>
      <c r="K340" s="8">
        <v>2</v>
      </c>
      <c r="L340" s="8">
        <v>2</v>
      </c>
      <c r="M340" s="8">
        <v>2</v>
      </c>
      <c r="N340" s="8">
        <v>0</v>
      </c>
      <c r="O340" s="8">
        <v>2</v>
      </c>
      <c r="P340" s="8">
        <v>2</v>
      </c>
      <c r="Q340" s="8">
        <v>2</v>
      </c>
      <c r="R340" s="8">
        <v>2</v>
      </c>
      <c r="S340" s="8">
        <v>2</v>
      </c>
      <c r="T340" s="8">
        <v>2</v>
      </c>
      <c r="U340" s="8">
        <v>0</v>
      </c>
      <c r="V340" s="8">
        <v>2</v>
      </c>
      <c r="W340" s="8">
        <v>2</v>
      </c>
      <c r="X340" s="8">
        <v>2</v>
      </c>
      <c r="Y340" s="8">
        <v>0</v>
      </c>
      <c r="Z340" s="8">
        <v>0</v>
      </c>
      <c r="AA340" s="8">
        <v>0</v>
      </c>
      <c r="AB340" s="8">
        <v>0</v>
      </c>
      <c r="AC340" s="8">
        <v>2</v>
      </c>
      <c r="AD340" s="8">
        <v>2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11" t="s">
        <v>12</v>
      </c>
    </row>
    <row r="341" spans="1:46" ht="15.1" customHeight="1">
      <c r="A341" s="8"/>
      <c r="B341" s="9"/>
      <c r="C341" s="8"/>
      <c r="D341" s="9"/>
      <c r="E341" s="8">
        <v>4</v>
      </c>
      <c r="F341" s="8">
        <v>3</v>
      </c>
      <c r="G341" s="8">
        <v>14</v>
      </c>
      <c r="H341" s="8">
        <v>5</v>
      </c>
      <c r="I341" s="8">
        <v>7</v>
      </c>
      <c r="J341" s="8">
        <v>7</v>
      </c>
      <c r="K341" s="8">
        <v>7</v>
      </c>
      <c r="L341" s="8">
        <v>7</v>
      </c>
      <c r="M341" s="8">
        <v>5</v>
      </c>
      <c r="N341" s="8">
        <v>17</v>
      </c>
      <c r="O341" s="8">
        <v>7</v>
      </c>
      <c r="P341" s="8">
        <v>7</v>
      </c>
      <c r="Q341" s="8">
        <v>5</v>
      </c>
      <c r="R341" s="8">
        <v>7</v>
      </c>
      <c r="S341" s="8">
        <v>7</v>
      </c>
      <c r="T341" s="8">
        <v>3</v>
      </c>
      <c r="U341" s="8">
        <v>13</v>
      </c>
      <c r="V341" s="8">
        <v>7</v>
      </c>
      <c r="W341" s="8">
        <v>7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3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11" t="s">
        <v>12</v>
      </c>
    </row>
    <row r="342" spans="1:46" ht="15.1" customHeight="1">
      <c r="A342" s="8">
        <v>113</v>
      </c>
      <c r="B342" s="9" t="s">
        <v>488</v>
      </c>
      <c r="C342" s="8" t="s">
        <v>489</v>
      </c>
      <c r="D342" s="9" t="s">
        <v>266</v>
      </c>
      <c r="E342" s="8" t="s">
        <v>54</v>
      </c>
      <c r="F342" s="8" t="s">
        <v>54</v>
      </c>
      <c r="G342" s="10" t="s">
        <v>67</v>
      </c>
      <c r="H342" s="8" t="s">
        <v>54</v>
      </c>
      <c r="I342" s="8" t="s">
        <v>54</v>
      </c>
      <c r="J342" s="8" t="s">
        <v>54</v>
      </c>
      <c r="K342" s="8" t="s">
        <v>54</v>
      </c>
      <c r="L342" s="8" t="s">
        <v>54</v>
      </c>
      <c r="M342" s="8" t="s">
        <v>54</v>
      </c>
      <c r="N342" s="10" t="s">
        <v>67</v>
      </c>
      <c r="O342" s="8" t="s">
        <v>54</v>
      </c>
      <c r="P342" s="8" t="s">
        <v>54</v>
      </c>
      <c r="Q342" s="8" t="s">
        <v>54</v>
      </c>
      <c r="R342" s="8" t="s">
        <v>54</v>
      </c>
      <c r="S342" s="8" t="s">
        <v>54</v>
      </c>
      <c r="T342" s="8" t="s">
        <v>54</v>
      </c>
      <c r="U342" s="10" t="s">
        <v>67</v>
      </c>
      <c r="V342" s="8" t="s">
        <v>54</v>
      </c>
      <c r="W342" s="8" t="s">
        <v>54</v>
      </c>
      <c r="X342" s="12" t="s">
        <v>55</v>
      </c>
      <c r="Y342" s="12" t="s">
        <v>55</v>
      </c>
      <c r="Z342" s="12" t="s">
        <v>55</v>
      </c>
      <c r="AA342" s="12" t="s">
        <v>55</v>
      </c>
      <c r="AB342" s="10" t="s">
        <v>67</v>
      </c>
      <c r="AC342" s="8" t="s">
        <v>54</v>
      </c>
      <c r="AD342" s="8" t="s">
        <v>54</v>
      </c>
      <c r="AE342" s="8" t="s">
        <v>54</v>
      </c>
      <c r="AF342" s="8" t="s">
        <v>54</v>
      </c>
      <c r="AG342" s="8" t="s">
        <v>54</v>
      </c>
      <c r="AH342" s="8" t="s">
        <v>54</v>
      </c>
      <c r="AI342" s="10" t="s">
        <v>67</v>
      </c>
      <c r="AJ342" s="8">
        <f>COUNTIF($E$342:$AI$342,"P")</f>
        <v>22</v>
      </c>
      <c r="AK342" s="8">
        <f>COUNTIF($E$342:$AI$342,"A")</f>
        <v>4</v>
      </c>
      <c r="AL342" s="8">
        <f>SUM($E$343:$AI$343)</f>
        <v>34</v>
      </c>
      <c r="AM342" s="8">
        <f>SUM($E$344:$AI$344)</f>
        <v>133.5</v>
      </c>
      <c r="AN342" s="8">
        <f>AL342+AM342</f>
        <v>167.5</v>
      </c>
      <c r="AO342" s="8">
        <f>COUNTIF($E$342:$AI$342,"CL")</f>
        <v>0</v>
      </c>
      <c r="AP342" s="8">
        <f>COUNTIF($E$342:$AI$342,"SL")</f>
        <v>0</v>
      </c>
      <c r="AQ342" s="8">
        <f>COUNTIF($E$342:$AI$342,"EL")</f>
        <v>0</v>
      </c>
      <c r="AR342" s="8">
        <f>COUNTIF($E$342:$AI$342,"H")</f>
        <v>0</v>
      </c>
      <c r="AS342" s="8"/>
      <c r="AT342" s="11" t="s">
        <v>12</v>
      </c>
    </row>
    <row r="343" spans="1:46" ht="15.1" customHeight="1">
      <c r="A343" s="8"/>
      <c r="B343" s="9"/>
      <c r="C343" s="8"/>
      <c r="D343" s="9"/>
      <c r="E343" s="8">
        <v>2</v>
      </c>
      <c r="F343" s="8">
        <v>2</v>
      </c>
      <c r="G343" s="8">
        <v>0</v>
      </c>
      <c r="H343" s="8">
        <v>0</v>
      </c>
      <c r="I343" s="8">
        <v>2</v>
      </c>
      <c r="J343" s="8">
        <v>2</v>
      </c>
      <c r="K343" s="8">
        <v>2</v>
      </c>
      <c r="L343" s="8">
        <v>2</v>
      </c>
      <c r="M343" s="8">
        <v>2</v>
      </c>
      <c r="N343" s="8">
        <v>0</v>
      </c>
      <c r="O343" s="8">
        <v>2</v>
      </c>
      <c r="P343" s="8">
        <v>2</v>
      </c>
      <c r="Q343" s="8">
        <v>2</v>
      </c>
      <c r="R343" s="8">
        <v>2</v>
      </c>
      <c r="S343" s="8">
        <v>2</v>
      </c>
      <c r="T343" s="8">
        <v>2</v>
      </c>
      <c r="U343" s="8">
        <v>0</v>
      </c>
      <c r="V343" s="8">
        <v>2</v>
      </c>
      <c r="W343" s="8">
        <v>2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2</v>
      </c>
      <c r="AD343" s="8">
        <v>2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11" t="s">
        <v>12</v>
      </c>
    </row>
    <row r="344" spans="1:46" ht="15.1" customHeight="1">
      <c r="A344" s="8"/>
      <c r="B344" s="9"/>
      <c r="C344" s="8"/>
      <c r="D344" s="9"/>
      <c r="E344" s="8">
        <v>4</v>
      </c>
      <c r="F344" s="8">
        <v>3</v>
      </c>
      <c r="G344" s="8">
        <v>14</v>
      </c>
      <c r="H344" s="8">
        <v>0</v>
      </c>
      <c r="I344" s="8">
        <v>6</v>
      </c>
      <c r="J344" s="8">
        <v>7</v>
      </c>
      <c r="K344" s="8">
        <v>7</v>
      </c>
      <c r="L344" s="8">
        <v>7</v>
      </c>
      <c r="M344" s="8">
        <v>5</v>
      </c>
      <c r="N344" s="8">
        <v>16.5</v>
      </c>
      <c r="O344" s="8">
        <v>6.5</v>
      </c>
      <c r="P344" s="8">
        <v>7</v>
      </c>
      <c r="Q344" s="8">
        <v>4.5</v>
      </c>
      <c r="R344" s="8">
        <v>7</v>
      </c>
      <c r="S344" s="8">
        <v>7</v>
      </c>
      <c r="T344" s="8">
        <v>2.5</v>
      </c>
      <c r="U344" s="8">
        <v>12.5</v>
      </c>
      <c r="V344" s="8">
        <v>7</v>
      </c>
      <c r="W344" s="8">
        <v>7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3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11" t="s">
        <v>12</v>
      </c>
    </row>
    <row r="345" spans="1:46" ht="15.1" customHeight="1">
      <c r="A345" s="8">
        <v>114</v>
      </c>
      <c r="B345" s="9" t="s">
        <v>490</v>
      </c>
      <c r="C345" s="8" t="s">
        <v>491</v>
      </c>
      <c r="D345" s="9" t="s">
        <v>266</v>
      </c>
      <c r="E345" s="8" t="s">
        <v>54</v>
      </c>
      <c r="F345" s="8" t="s">
        <v>54</v>
      </c>
      <c r="G345" s="10" t="s">
        <v>67</v>
      </c>
      <c r="H345" s="8" t="s">
        <v>54</v>
      </c>
      <c r="I345" s="8" t="s">
        <v>54</v>
      </c>
      <c r="J345" s="8" t="s">
        <v>54</v>
      </c>
      <c r="K345" s="8" t="s">
        <v>54</v>
      </c>
      <c r="L345" s="8" t="s">
        <v>54</v>
      </c>
      <c r="M345" s="8" t="s">
        <v>54</v>
      </c>
      <c r="N345" s="10" t="s">
        <v>67</v>
      </c>
      <c r="O345" s="12" t="s">
        <v>55</v>
      </c>
      <c r="P345" s="12" t="s">
        <v>55</v>
      </c>
      <c r="Q345" s="12" t="s">
        <v>55</v>
      </c>
      <c r="R345" s="8" t="s">
        <v>54</v>
      </c>
      <c r="S345" s="12" t="s">
        <v>55</v>
      </c>
      <c r="T345" s="8" t="s">
        <v>54</v>
      </c>
      <c r="U345" s="10" t="s">
        <v>67</v>
      </c>
      <c r="V345" s="8" t="s">
        <v>54</v>
      </c>
      <c r="W345" s="8" t="s">
        <v>54</v>
      </c>
      <c r="X345" s="8" t="s">
        <v>54</v>
      </c>
      <c r="Y345" s="8" t="s">
        <v>54</v>
      </c>
      <c r="Z345" s="8" t="s">
        <v>54</v>
      </c>
      <c r="AA345" s="8" t="s">
        <v>54</v>
      </c>
      <c r="AB345" s="10" t="s">
        <v>67</v>
      </c>
      <c r="AC345" s="8" t="s">
        <v>54</v>
      </c>
      <c r="AD345" s="8" t="s">
        <v>54</v>
      </c>
      <c r="AE345" s="8" t="s">
        <v>54</v>
      </c>
      <c r="AF345" s="8" t="s">
        <v>54</v>
      </c>
      <c r="AG345" s="8" t="s">
        <v>54</v>
      </c>
      <c r="AH345" s="8" t="s">
        <v>54</v>
      </c>
      <c r="AI345" s="10" t="s">
        <v>67</v>
      </c>
      <c r="AJ345" s="8">
        <f>COUNTIF($E$345:$AI$345,"P")</f>
        <v>22</v>
      </c>
      <c r="AK345" s="8">
        <f>COUNTIF($E$345:$AI$345,"A")</f>
        <v>4</v>
      </c>
      <c r="AL345" s="8">
        <f>SUM($E$346:$AI$346)</f>
        <v>30</v>
      </c>
      <c r="AM345" s="8">
        <f>SUM($E$347:$AI$347)</f>
        <v>98.5</v>
      </c>
      <c r="AN345" s="8">
        <f>AL345+AM345</f>
        <v>128.5</v>
      </c>
      <c r="AO345" s="8">
        <f>COUNTIF($E$345:$AI$345,"CL")</f>
        <v>0</v>
      </c>
      <c r="AP345" s="8">
        <f>COUNTIF($E$345:$AI$345,"SL")</f>
        <v>0</v>
      </c>
      <c r="AQ345" s="8">
        <f>COUNTIF($E$345:$AI$345,"EL")</f>
        <v>0</v>
      </c>
      <c r="AR345" s="8">
        <f>COUNTIF($E$345:$AI$345,"H")</f>
        <v>0</v>
      </c>
      <c r="AS345" s="8"/>
      <c r="AT345" s="11" t="s">
        <v>12</v>
      </c>
    </row>
    <row r="346" spans="1:46" ht="15.1" customHeight="1">
      <c r="A346" s="8"/>
      <c r="B346" s="9"/>
      <c r="C346" s="8"/>
      <c r="D346" s="9"/>
      <c r="E346" s="8">
        <v>2</v>
      </c>
      <c r="F346" s="8">
        <v>2</v>
      </c>
      <c r="G346" s="8">
        <v>0</v>
      </c>
      <c r="H346" s="8">
        <v>2</v>
      </c>
      <c r="I346" s="8">
        <v>2</v>
      </c>
      <c r="J346" s="8">
        <v>2</v>
      </c>
      <c r="K346" s="8">
        <v>2</v>
      </c>
      <c r="L346" s="8">
        <v>2</v>
      </c>
      <c r="M346" s="8">
        <v>2</v>
      </c>
      <c r="N346" s="8">
        <v>0</v>
      </c>
      <c r="O346" s="8">
        <v>0</v>
      </c>
      <c r="P346" s="8">
        <v>0</v>
      </c>
      <c r="Q346" s="8">
        <v>0</v>
      </c>
      <c r="R346" s="8">
        <v>2</v>
      </c>
      <c r="S346" s="8">
        <v>0</v>
      </c>
      <c r="T346" s="8">
        <v>2</v>
      </c>
      <c r="U346" s="8">
        <v>0</v>
      </c>
      <c r="V346" s="8">
        <v>2</v>
      </c>
      <c r="W346" s="8">
        <v>2</v>
      </c>
      <c r="X346" s="8">
        <v>2</v>
      </c>
      <c r="Y346" s="8">
        <v>0</v>
      </c>
      <c r="Z346" s="8">
        <v>0</v>
      </c>
      <c r="AA346" s="8">
        <v>0</v>
      </c>
      <c r="AB346" s="8">
        <v>0</v>
      </c>
      <c r="AC346" s="8">
        <v>2</v>
      </c>
      <c r="AD346" s="8">
        <v>2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11" t="s">
        <v>12</v>
      </c>
    </row>
    <row r="347" spans="1:46" ht="15.1" customHeight="1">
      <c r="A347" s="8"/>
      <c r="B347" s="9"/>
      <c r="C347" s="8"/>
      <c r="D347" s="9"/>
      <c r="E347" s="8">
        <v>3.5</v>
      </c>
      <c r="F347" s="8">
        <v>3</v>
      </c>
      <c r="G347" s="8">
        <v>13.5</v>
      </c>
      <c r="H347" s="8">
        <v>5</v>
      </c>
      <c r="I347" s="8">
        <v>6.5</v>
      </c>
      <c r="J347" s="8">
        <v>6.5</v>
      </c>
      <c r="K347" s="8">
        <v>6.5</v>
      </c>
      <c r="L347" s="8">
        <v>6.5</v>
      </c>
      <c r="M347" s="8">
        <v>4.5</v>
      </c>
      <c r="N347" s="8">
        <v>4</v>
      </c>
      <c r="O347" s="8">
        <v>0</v>
      </c>
      <c r="P347" s="8">
        <v>0</v>
      </c>
      <c r="Q347" s="8">
        <v>0</v>
      </c>
      <c r="R347" s="8">
        <v>7</v>
      </c>
      <c r="S347" s="8">
        <v>0</v>
      </c>
      <c r="T347" s="8">
        <v>3</v>
      </c>
      <c r="U347" s="8">
        <v>12.5</v>
      </c>
      <c r="V347" s="8">
        <v>6.5</v>
      </c>
      <c r="W347" s="8">
        <v>7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3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11" t="s">
        <v>12</v>
      </c>
    </row>
    <row r="348" spans="1:46" ht="15.1" customHeight="1">
      <c r="A348" s="8">
        <v>115</v>
      </c>
      <c r="B348" s="9" t="s">
        <v>492</v>
      </c>
      <c r="C348" s="8" t="s">
        <v>493</v>
      </c>
      <c r="D348" s="9" t="s">
        <v>266</v>
      </c>
      <c r="E348" s="8" t="s">
        <v>54</v>
      </c>
      <c r="F348" s="12" t="s">
        <v>55</v>
      </c>
      <c r="G348" s="10" t="s">
        <v>67</v>
      </c>
      <c r="H348" s="8" t="s">
        <v>54</v>
      </c>
      <c r="I348" s="8" t="s">
        <v>54</v>
      </c>
      <c r="J348" s="8" t="s">
        <v>54</v>
      </c>
      <c r="K348" s="12" t="s">
        <v>55</v>
      </c>
      <c r="L348" s="12" t="s">
        <v>55</v>
      </c>
      <c r="M348" s="8" t="s">
        <v>54</v>
      </c>
      <c r="N348" s="10" t="s">
        <v>67</v>
      </c>
      <c r="O348" s="8" t="s">
        <v>54</v>
      </c>
      <c r="P348" s="8" t="s">
        <v>54</v>
      </c>
      <c r="Q348" s="8" t="s">
        <v>54</v>
      </c>
      <c r="R348" s="8" t="s">
        <v>54</v>
      </c>
      <c r="S348" s="8" t="s">
        <v>54</v>
      </c>
      <c r="T348" s="8" t="s">
        <v>54</v>
      </c>
      <c r="U348" s="10" t="s">
        <v>67</v>
      </c>
      <c r="V348" s="12" t="s">
        <v>55</v>
      </c>
      <c r="W348" s="12" t="s">
        <v>55</v>
      </c>
      <c r="X348" s="8" t="s">
        <v>54</v>
      </c>
      <c r="Y348" s="8" t="s">
        <v>54</v>
      </c>
      <c r="Z348" s="8" t="s">
        <v>54</v>
      </c>
      <c r="AA348" s="8" t="s">
        <v>54</v>
      </c>
      <c r="AB348" s="10" t="s">
        <v>67</v>
      </c>
      <c r="AC348" s="8" t="s">
        <v>54</v>
      </c>
      <c r="AD348" s="12" t="s">
        <v>55</v>
      </c>
      <c r="AE348" s="8" t="s">
        <v>54</v>
      </c>
      <c r="AF348" s="8" t="s">
        <v>54</v>
      </c>
      <c r="AG348" s="12" t="s">
        <v>55</v>
      </c>
      <c r="AH348" s="12" t="s">
        <v>55</v>
      </c>
      <c r="AI348" s="10" t="s">
        <v>67</v>
      </c>
      <c r="AJ348" s="8">
        <f>COUNTIF($E$348:$AI$348,"P")</f>
        <v>18</v>
      </c>
      <c r="AK348" s="8">
        <f>COUNTIF($E$348:$AI$348,"A")</f>
        <v>8</v>
      </c>
      <c r="AL348" s="8">
        <f>SUM($E$349:$AI$349)</f>
        <v>24</v>
      </c>
      <c r="AM348" s="8">
        <f>SUM($E$350:$AI$350)</f>
        <v>98.5</v>
      </c>
      <c r="AN348" s="8">
        <f>AL348+AM348</f>
        <v>122.5</v>
      </c>
      <c r="AO348" s="8">
        <f>COUNTIF($E$348:$AI$348,"CL")</f>
        <v>0</v>
      </c>
      <c r="AP348" s="8">
        <f>COUNTIF($E$348:$AI$348,"SL")</f>
        <v>0</v>
      </c>
      <c r="AQ348" s="8">
        <f>COUNTIF($E$348:$AI$348,"EL")</f>
        <v>0</v>
      </c>
      <c r="AR348" s="8">
        <f>COUNTIF($E$348:$AI$348,"H")</f>
        <v>0</v>
      </c>
      <c r="AS348" s="8"/>
      <c r="AT348" s="11" t="s">
        <v>12</v>
      </c>
    </row>
    <row r="349" spans="1:46" ht="15.1" customHeight="1">
      <c r="A349" s="8"/>
      <c r="B349" s="9"/>
      <c r="C349" s="8"/>
      <c r="D349" s="9"/>
      <c r="E349" s="8">
        <v>2</v>
      </c>
      <c r="F349" s="8">
        <v>0</v>
      </c>
      <c r="G349" s="8">
        <v>0</v>
      </c>
      <c r="H349" s="8">
        <v>2</v>
      </c>
      <c r="I349" s="8">
        <v>2</v>
      </c>
      <c r="J349" s="8">
        <v>2</v>
      </c>
      <c r="K349" s="8">
        <v>0</v>
      </c>
      <c r="L349" s="8">
        <v>0</v>
      </c>
      <c r="M349" s="8">
        <v>2</v>
      </c>
      <c r="N349" s="8">
        <v>0</v>
      </c>
      <c r="O349" s="8">
        <v>2</v>
      </c>
      <c r="P349" s="8">
        <v>0</v>
      </c>
      <c r="Q349" s="8">
        <v>2</v>
      </c>
      <c r="R349" s="8">
        <v>2</v>
      </c>
      <c r="S349" s="8">
        <v>2</v>
      </c>
      <c r="T349" s="8">
        <v>2</v>
      </c>
      <c r="U349" s="8">
        <v>0</v>
      </c>
      <c r="V349" s="8">
        <v>0</v>
      </c>
      <c r="W349" s="8">
        <v>0</v>
      </c>
      <c r="X349" s="8">
        <v>2</v>
      </c>
      <c r="Y349" s="8">
        <v>0</v>
      </c>
      <c r="Z349" s="8">
        <v>0</v>
      </c>
      <c r="AA349" s="8">
        <v>0</v>
      </c>
      <c r="AB349" s="8">
        <v>0</v>
      </c>
      <c r="AC349" s="8">
        <v>2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11" t="s">
        <v>12</v>
      </c>
    </row>
    <row r="350" spans="1:46" ht="15.1" customHeight="1">
      <c r="A350" s="8"/>
      <c r="B350" s="9"/>
      <c r="C350" s="8"/>
      <c r="D350" s="9"/>
      <c r="E350" s="8">
        <v>4</v>
      </c>
      <c r="F350" s="8">
        <v>0</v>
      </c>
      <c r="G350" s="8">
        <v>14</v>
      </c>
      <c r="H350" s="8">
        <v>5</v>
      </c>
      <c r="I350" s="8">
        <v>7</v>
      </c>
      <c r="J350" s="8">
        <v>6.5</v>
      </c>
      <c r="K350" s="8">
        <v>0</v>
      </c>
      <c r="L350" s="8">
        <v>0</v>
      </c>
      <c r="M350" s="8">
        <v>5</v>
      </c>
      <c r="N350" s="8">
        <v>17</v>
      </c>
      <c r="O350" s="8">
        <v>6.5</v>
      </c>
      <c r="P350" s="8">
        <v>0</v>
      </c>
      <c r="Q350" s="8">
        <v>5</v>
      </c>
      <c r="R350" s="8">
        <v>6.5</v>
      </c>
      <c r="S350" s="8">
        <v>6.5</v>
      </c>
      <c r="T350" s="8">
        <v>3</v>
      </c>
      <c r="U350" s="8">
        <v>12.5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11" t="s">
        <v>12</v>
      </c>
    </row>
    <row r="351" spans="1:46" ht="15.1" customHeight="1">
      <c r="A351" s="8">
        <v>116</v>
      </c>
      <c r="B351" s="9" t="s">
        <v>494</v>
      </c>
      <c r="C351" s="8" t="s">
        <v>495</v>
      </c>
      <c r="D351" s="9" t="s">
        <v>266</v>
      </c>
      <c r="E351" s="8" t="s">
        <v>54</v>
      </c>
      <c r="F351" s="8" t="s">
        <v>54</v>
      </c>
      <c r="G351" s="10" t="s">
        <v>67</v>
      </c>
      <c r="H351" s="8" t="s">
        <v>54</v>
      </c>
      <c r="I351" s="8" t="s">
        <v>54</v>
      </c>
      <c r="J351" s="8" t="s">
        <v>54</v>
      </c>
      <c r="K351" s="8" t="s">
        <v>54</v>
      </c>
      <c r="L351" s="8" t="s">
        <v>54</v>
      </c>
      <c r="M351" s="8" t="s">
        <v>54</v>
      </c>
      <c r="N351" s="10" t="s">
        <v>67</v>
      </c>
      <c r="O351" s="8" t="s">
        <v>54</v>
      </c>
      <c r="P351" s="8" t="s">
        <v>54</v>
      </c>
      <c r="Q351" s="8" t="s">
        <v>54</v>
      </c>
      <c r="R351" s="8" t="s">
        <v>54</v>
      </c>
      <c r="S351" s="8" t="s">
        <v>54</v>
      </c>
      <c r="T351" s="8" t="s">
        <v>54</v>
      </c>
      <c r="U351" s="10" t="s">
        <v>67</v>
      </c>
      <c r="V351" s="8" t="s">
        <v>54</v>
      </c>
      <c r="W351" s="8" t="s">
        <v>54</v>
      </c>
      <c r="X351" s="8" t="s">
        <v>54</v>
      </c>
      <c r="Y351" s="8" t="s">
        <v>54</v>
      </c>
      <c r="Z351" s="8" t="s">
        <v>54</v>
      </c>
      <c r="AA351" s="8" t="s">
        <v>54</v>
      </c>
      <c r="AB351" s="10" t="s">
        <v>67</v>
      </c>
      <c r="AC351" s="8" t="s">
        <v>54</v>
      </c>
      <c r="AD351" s="8" t="s">
        <v>54</v>
      </c>
      <c r="AE351" s="8" t="s">
        <v>54</v>
      </c>
      <c r="AF351" s="8" t="s">
        <v>54</v>
      </c>
      <c r="AG351" s="8" t="s">
        <v>54</v>
      </c>
      <c r="AH351" s="8" t="s">
        <v>54</v>
      </c>
      <c r="AI351" s="10" t="s">
        <v>67</v>
      </c>
      <c r="AJ351" s="8">
        <f>COUNTIF($E$351:$AI$351,"P")</f>
        <v>26</v>
      </c>
      <c r="AK351" s="8">
        <f>COUNTIF($E$351:$AI$351,"A")</f>
        <v>0</v>
      </c>
      <c r="AL351" s="8">
        <f>SUM($E$352:$AI$352)</f>
        <v>38</v>
      </c>
      <c r="AM351" s="8">
        <f>SUM($E$353:$AI$353)</f>
        <v>141</v>
      </c>
      <c r="AN351" s="8">
        <f>AL351+AM351</f>
        <v>179</v>
      </c>
      <c r="AO351" s="8">
        <f>COUNTIF($E$351:$AI$351,"CL")</f>
        <v>0</v>
      </c>
      <c r="AP351" s="8">
        <f>COUNTIF($E$351:$AI$351,"SL")</f>
        <v>0</v>
      </c>
      <c r="AQ351" s="8">
        <f>COUNTIF($E$351:$AI$351,"EL")</f>
        <v>0</v>
      </c>
      <c r="AR351" s="8">
        <f>COUNTIF($E$351:$AI$351,"H")</f>
        <v>0</v>
      </c>
      <c r="AS351" s="8"/>
      <c r="AT351" s="11" t="s">
        <v>12</v>
      </c>
    </row>
    <row r="352" spans="1:46" ht="15.1" customHeight="1">
      <c r="A352" s="8"/>
      <c r="B352" s="9"/>
      <c r="C352" s="8"/>
      <c r="D352" s="9"/>
      <c r="E352" s="8">
        <v>2</v>
      </c>
      <c r="F352" s="8">
        <v>2</v>
      </c>
      <c r="G352" s="8">
        <v>0</v>
      </c>
      <c r="H352" s="8">
        <v>2</v>
      </c>
      <c r="I352" s="8">
        <v>2</v>
      </c>
      <c r="J352" s="8">
        <v>2</v>
      </c>
      <c r="K352" s="8">
        <v>2</v>
      </c>
      <c r="L352" s="8">
        <v>2</v>
      </c>
      <c r="M352" s="8">
        <v>2</v>
      </c>
      <c r="N352" s="8">
        <v>0</v>
      </c>
      <c r="O352" s="8">
        <v>2</v>
      </c>
      <c r="P352" s="8">
        <v>2</v>
      </c>
      <c r="Q352" s="8">
        <v>2</v>
      </c>
      <c r="R352" s="8">
        <v>2</v>
      </c>
      <c r="S352" s="8">
        <v>2</v>
      </c>
      <c r="T352" s="8">
        <v>2</v>
      </c>
      <c r="U352" s="8">
        <v>0</v>
      </c>
      <c r="V352" s="8">
        <v>2</v>
      </c>
      <c r="W352" s="8">
        <v>2</v>
      </c>
      <c r="X352" s="8">
        <v>2</v>
      </c>
      <c r="Y352" s="8">
        <v>0</v>
      </c>
      <c r="Z352" s="8">
        <v>0</v>
      </c>
      <c r="AA352" s="8">
        <v>0</v>
      </c>
      <c r="AB352" s="8">
        <v>0</v>
      </c>
      <c r="AC352" s="8">
        <v>2</v>
      </c>
      <c r="AD352" s="8">
        <v>2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11" t="s">
        <v>12</v>
      </c>
    </row>
    <row r="353" spans="1:46" ht="15.1" customHeight="1">
      <c r="A353" s="8"/>
      <c r="B353" s="9"/>
      <c r="C353" s="8"/>
      <c r="D353" s="9"/>
      <c r="E353" s="8">
        <v>4</v>
      </c>
      <c r="F353" s="8">
        <v>3</v>
      </c>
      <c r="G353" s="8">
        <v>14</v>
      </c>
      <c r="H353" s="8">
        <v>5</v>
      </c>
      <c r="I353" s="8">
        <v>6</v>
      </c>
      <c r="J353" s="8">
        <v>7</v>
      </c>
      <c r="K353" s="8">
        <v>7</v>
      </c>
      <c r="L353" s="8">
        <v>7</v>
      </c>
      <c r="M353" s="8">
        <v>5</v>
      </c>
      <c r="N353" s="8">
        <v>17</v>
      </c>
      <c r="O353" s="8">
        <v>7</v>
      </c>
      <c r="P353" s="8">
        <v>7</v>
      </c>
      <c r="Q353" s="8">
        <v>5</v>
      </c>
      <c r="R353" s="8">
        <v>7</v>
      </c>
      <c r="S353" s="8">
        <v>7</v>
      </c>
      <c r="T353" s="8">
        <v>3</v>
      </c>
      <c r="U353" s="8">
        <v>13</v>
      </c>
      <c r="V353" s="8">
        <v>7</v>
      </c>
      <c r="W353" s="8">
        <v>7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3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11" t="s">
        <v>12</v>
      </c>
    </row>
    <row r="354" spans="1:46" ht="15.1" customHeight="1">
      <c r="A354" s="8">
        <v>117</v>
      </c>
      <c r="B354" s="9" t="s">
        <v>496</v>
      </c>
      <c r="C354" s="8" t="s">
        <v>497</v>
      </c>
      <c r="D354" s="9" t="s">
        <v>266</v>
      </c>
      <c r="E354" s="8" t="s">
        <v>54</v>
      </c>
      <c r="F354" s="8" t="s">
        <v>54</v>
      </c>
      <c r="G354" s="10" t="s">
        <v>67</v>
      </c>
      <c r="H354" s="8" t="s">
        <v>54</v>
      </c>
      <c r="I354" s="8" t="s">
        <v>54</v>
      </c>
      <c r="J354" s="8" t="s">
        <v>54</v>
      </c>
      <c r="K354" s="8" t="s">
        <v>54</v>
      </c>
      <c r="L354" s="8" t="s">
        <v>54</v>
      </c>
      <c r="M354" s="8" t="s">
        <v>54</v>
      </c>
      <c r="N354" s="10" t="s">
        <v>67</v>
      </c>
      <c r="O354" s="8" t="s">
        <v>54</v>
      </c>
      <c r="P354" s="8" t="s">
        <v>54</v>
      </c>
      <c r="Q354" s="8" t="s">
        <v>54</v>
      </c>
      <c r="R354" s="8" t="s">
        <v>54</v>
      </c>
      <c r="S354" s="8" t="s">
        <v>54</v>
      </c>
      <c r="T354" s="8" t="s">
        <v>54</v>
      </c>
      <c r="U354" s="10" t="s">
        <v>67</v>
      </c>
      <c r="V354" s="8" t="s">
        <v>54</v>
      </c>
      <c r="W354" s="8" t="s">
        <v>54</v>
      </c>
      <c r="X354" s="8" t="s">
        <v>54</v>
      </c>
      <c r="Y354" s="8" t="s">
        <v>54</v>
      </c>
      <c r="Z354" s="8" t="s">
        <v>54</v>
      </c>
      <c r="AA354" s="8" t="s">
        <v>54</v>
      </c>
      <c r="AB354" s="10" t="s">
        <v>67</v>
      </c>
      <c r="AC354" s="8" t="s">
        <v>54</v>
      </c>
      <c r="AD354" s="8" t="s">
        <v>54</v>
      </c>
      <c r="AE354" s="8" t="s">
        <v>54</v>
      </c>
      <c r="AF354" s="8" t="s">
        <v>54</v>
      </c>
      <c r="AG354" s="8" t="s">
        <v>54</v>
      </c>
      <c r="AH354" s="8" t="s">
        <v>54</v>
      </c>
      <c r="AI354" s="10" t="s">
        <v>67</v>
      </c>
      <c r="AJ354" s="8">
        <f>COUNTIF($E$354:$AI$354,"P")</f>
        <v>26</v>
      </c>
      <c r="AK354" s="8">
        <f>COUNTIF($E$354:$AI$354,"A")</f>
        <v>0</v>
      </c>
      <c r="AL354" s="8">
        <f>SUM($E$355:$AI$355)</f>
        <v>38</v>
      </c>
      <c r="AM354" s="8">
        <f>SUM($E$356:$AI$356)</f>
        <v>140</v>
      </c>
      <c r="AN354" s="8">
        <f>AL354+AM354</f>
        <v>178</v>
      </c>
      <c r="AO354" s="8">
        <f>COUNTIF($E$354:$AI$354,"CL")</f>
        <v>0</v>
      </c>
      <c r="AP354" s="8">
        <f>COUNTIF($E$354:$AI$354,"SL")</f>
        <v>0</v>
      </c>
      <c r="AQ354" s="8">
        <f>COUNTIF($E$354:$AI$354,"EL")</f>
        <v>0</v>
      </c>
      <c r="AR354" s="8">
        <f>COUNTIF($E$354:$AI$354,"H")</f>
        <v>0</v>
      </c>
      <c r="AS354" s="8"/>
      <c r="AT354" s="11" t="s">
        <v>12</v>
      </c>
    </row>
    <row r="355" spans="1:46" ht="15.1" customHeight="1">
      <c r="A355" s="8"/>
      <c r="B355" s="9"/>
      <c r="C355" s="8"/>
      <c r="D355" s="9"/>
      <c r="E355" s="8">
        <v>2</v>
      </c>
      <c r="F355" s="8">
        <v>2</v>
      </c>
      <c r="G355" s="8">
        <v>0</v>
      </c>
      <c r="H355" s="8">
        <v>2</v>
      </c>
      <c r="I355" s="8">
        <v>2</v>
      </c>
      <c r="J355" s="8">
        <v>2</v>
      </c>
      <c r="K355" s="8">
        <v>2</v>
      </c>
      <c r="L355" s="8">
        <v>2</v>
      </c>
      <c r="M355" s="8">
        <v>2</v>
      </c>
      <c r="N355" s="8">
        <v>0</v>
      </c>
      <c r="O355" s="8">
        <v>2</v>
      </c>
      <c r="P355" s="8">
        <v>2</v>
      </c>
      <c r="Q355" s="8">
        <v>2</v>
      </c>
      <c r="R355" s="8">
        <v>2</v>
      </c>
      <c r="S355" s="8">
        <v>2</v>
      </c>
      <c r="T355" s="8">
        <v>2</v>
      </c>
      <c r="U355" s="8">
        <v>0</v>
      </c>
      <c r="V355" s="8">
        <v>2</v>
      </c>
      <c r="W355" s="8">
        <v>2</v>
      </c>
      <c r="X355" s="8">
        <v>2</v>
      </c>
      <c r="Y355" s="8">
        <v>0</v>
      </c>
      <c r="Z355" s="8">
        <v>0</v>
      </c>
      <c r="AA355" s="8">
        <v>0</v>
      </c>
      <c r="AB355" s="8">
        <v>0</v>
      </c>
      <c r="AC355" s="8">
        <v>2</v>
      </c>
      <c r="AD355" s="8">
        <v>2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11" t="s">
        <v>12</v>
      </c>
    </row>
    <row r="356" spans="1:46" ht="15.1" customHeight="1">
      <c r="A356" s="8"/>
      <c r="B356" s="9"/>
      <c r="C356" s="8"/>
      <c r="D356" s="9"/>
      <c r="E356" s="8">
        <v>4</v>
      </c>
      <c r="F356" s="8">
        <v>3</v>
      </c>
      <c r="G356" s="8">
        <v>14</v>
      </c>
      <c r="H356" s="8">
        <v>5</v>
      </c>
      <c r="I356" s="8">
        <v>6</v>
      </c>
      <c r="J356" s="8">
        <v>7</v>
      </c>
      <c r="K356" s="8">
        <v>7</v>
      </c>
      <c r="L356" s="8">
        <v>7</v>
      </c>
      <c r="M356" s="8">
        <v>5</v>
      </c>
      <c r="N356" s="8">
        <v>16.5</v>
      </c>
      <c r="O356" s="8">
        <v>7</v>
      </c>
      <c r="P356" s="8">
        <v>7</v>
      </c>
      <c r="Q356" s="8">
        <v>4.5</v>
      </c>
      <c r="R356" s="8">
        <v>7</v>
      </c>
      <c r="S356" s="8">
        <v>7</v>
      </c>
      <c r="T356" s="8">
        <v>3</v>
      </c>
      <c r="U356" s="8">
        <v>13</v>
      </c>
      <c r="V356" s="8">
        <v>7</v>
      </c>
      <c r="W356" s="8">
        <v>7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3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11" t="s">
        <v>12</v>
      </c>
    </row>
    <row r="357" spans="1:46" ht="15.1" customHeight="1">
      <c r="A357" s="8">
        <v>118</v>
      </c>
      <c r="B357" s="9" t="s">
        <v>498</v>
      </c>
      <c r="C357" s="8" t="s">
        <v>499</v>
      </c>
      <c r="D357" s="9" t="s">
        <v>266</v>
      </c>
      <c r="E357" s="8" t="s">
        <v>54</v>
      </c>
      <c r="F357" s="8" t="s">
        <v>54</v>
      </c>
      <c r="G357" s="10" t="s">
        <v>67</v>
      </c>
      <c r="H357" s="8" t="s">
        <v>54</v>
      </c>
      <c r="I357" s="8" t="s">
        <v>54</v>
      </c>
      <c r="J357" s="8" t="s">
        <v>54</v>
      </c>
      <c r="K357" s="8" t="s">
        <v>54</v>
      </c>
      <c r="L357" s="8" t="s">
        <v>54</v>
      </c>
      <c r="M357" s="8" t="s">
        <v>54</v>
      </c>
      <c r="N357" s="10" t="s">
        <v>67</v>
      </c>
      <c r="O357" s="8" t="s">
        <v>54</v>
      </c>
      <c r="P357" s="8" t="s">
        <v>54</v>
      </c>
      <c r="Q357" s="8" t="s">
        <v>54</v>
      </c>
      <c r="R357" s="8" t="s">
        <v>54</v>
      </c>
      <c r="S357" s="8" t="s">
        <v>54</v>
      </c>
      <c r="T357" s="8" t="s">
        <v>54</v>
      </c>
      <c r="U357" s="10" t="s">
        <v>67</v>
      </c>
      <c r="V357" s="8" t="s">
        <v>54</v>
      </c>
      <c r="W357" s="8" t="s">
        <v>54</v>
      </c>
      <c r="X357" s="8" t="s">
        <v>54</v>
      </c>
      <c r="Y357" s="8" t="s">
        <v>54</v>
      </c>
      <c r="Z357" s="8" t="s">
        <v>54</v>
      </c>
      <c r="AA357" s="8" t="s">
        <v>54</v>
      </c>
      <c r="AB357" s="10" t="s">
        <v>67</v>
      </c>
      <c r="AC357" s="8" t="s">
        <v>54</v>
      </c>
      <c r="AD357" s="8" t="s">
        <v>54</v>
      </c>
      <c r="AE357" s="8" t="s">
        <v>54</v>
      </c>
      <c r="AF357" s="8" t="s">
        <v>54</v>
      </c>
      <c r="AG357" s="8" t="s">
        <v>54</v>
      </c>
      <c r="AH357" s="8" t="s">
        <v>54</v>
      </c>
      <c r="AI357" s="10" t="s">
        <v>67</v>
      </c>
      <c r="AJ357" s="8">
        <f>COUNTIF($E$357:$AI$357,"P")</f>
        <v>26</v>
      </c>
      <c r="AK357" s="8">
        <f>COUNTIF($E$357:$AI$357,"A")</f>
        <v>0</v>
      </c>
      <c r="AL357" s="8">
        <f>SUM($E$358:$AI$358)</f>
        <v>36</v>
      </c>
      <c r="AM357" s="8">
        <f>SUM($E$359:$AI$359)</f>
        <v>136</v>
      </c>
      <c r="AN357" s="8">
        <f>AL357+AM357</f>
        <v>172</v>
      </c>
      <c r="AO357" s="8">
        <f>COUNTIF($E$357:$AI$357,"CL")</f>
        <v>0</v>
      </c>
      <c r="AP357" s="8">
        <f>COUNTIF($E$357:$AI$357,"SL")</f>
        <v>0</v>
      </c>
      <c r="AQ357" s="8">
        <f>COUNTIF($E$357:$AI$357,"EL")</f>
        <v>0</v>
      </c>
      <c r="AR357" s="8">
        <f>COUNTIF($E$357:$AI$357,"H")</f>
        <v>0</v>
      </c>
      <c r="AS357" s="8"/>
      <c r="AT357" s="11" t="s">
        <v>12</v>
      </c>
    </row>
    <row r="358" spans="1:46" ht="15.1" customHeight="1">
      <c r="A358" s="8"/>
      <c r="B358" s="9"/>
      <c r="C358" s="8"/>
      <c r="D358" s="9"/>
      <c r="E358" s="8">
        <v>2</v>
      </c>
      <c r="F358" s="8">
        <v>2</v>
      </c>
      <c r="G358" s="8">
        <v>0</v>
      </c>
      <c r="H358" s="8">
        <v>2</v>
      </c>
      <c r="I358" s="8">
        <v>2</v>
      </c>
      <c r="J358" s="8">
        <v>2</v>
      </c>
      <c r="K358" s="8">
        <v>2</v>
      </c>
      <c r="L358" s="8">
        <v>2</v>
      </c>
      <c r="M358" s="8">
        <v>2</v>
      </c>
      <c r="N358" s="8">
        <v>0</v>
      </c>
      <c r="O358" s="8">
        <v>2</v>
      </c>
      <c r="P358" s="8">
        <v>2</v>
      </c>
      <c r="Q358" s="8">
        <v>2</v>
      </c>
      <c r="R358" s="8">
        <v>2</v>
      </c>
      <c r="S358" s="8">
        <v>2</v>
      </c>
      <c r="T358" s="8">
        <v>2</v>
      </c>
      <c r="U358" s="8">
        <v>0</v>
      </c>
      <c r="V358" s="8">
        <v>2</v>
      </c>
      <c r="W358" s="8">
        <v>2</v>
      </c>
      <c r="X358" s="8">
        <v>2</v>
      </c>
      <c r="Y358" s="8">
        <v>0</v>
      </c>
      <c r="Z358" s="8">
        <v>0</v>
      </c>
      <c r="AA358" s="8">
        <v>0</v>
      </c>
      <c r="AB358" s="8">
        <v>0</v>
      </c>
      <c r="AC358" s="8">
        <v>2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11" t="s">
        <v>12</v>
      </c>
    </row>
    <row r="359" spans="1:46" ht="15.1" customHeight="1">
      <c r="A359" s="8"/>
      <c r="B359" s="9"/>
      <c r="C359" s="8"/>
      <c r="D359" s="9"/>
      <c r="E359" s="8">
        <v>4</v>
      </c>
      <c r="F359" s="8">
        <v>3</v>
      </c>
      <c r="G359" s="8">
        <v>13.5</v>
      </c>
      <c r="H359" s="8">
        <v>5</v>
      </c>
      <c r="I359" s="8">
        <v>6</v>
      </c>
      <c r="J359" s="8">
        <v>7</v>
      </c>
      <c r="K359" s="8">
        <v>7</v>
      </c>
      <c r="L359" s="8">
        <v>7</v>
      </c>
      <c r="M359" s="8">
        <v>5</v>
      </c>
      <c r="N359" s="8">
        <v>16.5</v>
      </c>
      <c r="O359" s="8">
        <v>7</v>
      </c>
      <c r="P359" s="8">
        <v>6.5</v>
      </c>
      <c r="Q359" s="8">
        <v>5</v>
      </c>
      <c r="R359" s="8">
        <v>7</v>
      </c>
      <c r="S359" s="8">
        <v>7</v>
      </c>
      <c r="T359" s="8">
        <v>3</v>
      </c>
      <c r="U359" s="8">
        <v>12.5</v>
      </c>
      <c r="V359" s="8">
        <v>7</v>
      </c>
      <c r="W359" s="8">
        <v>7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11" t="s">
        <v>12</v>
      </c>
    </row>
    <row r="360" spans="1:46" ht="15.1" customHeight="1">
      <c r="A360" s="8">
        <v>119</v>
      </c>
      <c r="B360" s="9" t="s">
        <v>500</v>
      </c>
      <c r="C360" s="8" t="s">
        <v>501</v>
      </c>
      <c r="D360" s="9" t="s">
        <v>266</v>
      </c>
      <c r="E360" s="8" t="s">
        <v>54</v>
      </c>
      <c r="F360" s="8" t="s">
        <v>54</v>
      </c>
      <c r="G360" s="10" t="s">
        <v>67</v>
      </c>
      <c r="H360" s="8" t="s">
        <v>54</v>
      </c>
      <c r="I360" s="8" t="s">
        <v>54</v>
      </c>
      <c r="J360" s="8" t="s">
        <v>54</v>
      </c>
      <c r="K360" s="8" t="s">
        <v>54</v>
      </c>
      <c r="L360" s="8" t="s">
        <v>54</v>
      </c>
      <c r="M360" s="8" t="s">
        <v>54</v>
      </c>
      <c r="N360" s="10" t="s">
        <v>67</v>
      </c>
      <c r="O360" s="8" t="s">
        <v>54</v>
      </c>
      <c r="P360" s="8" t="s">
        <v>54</v>
      </c>
      <c r="Q360" s="8" t="s">
        <v>54</v>
      </c>
      <c r="R360" s="12" t="s">
        <v>55</v>
      </c>
      <c r="S360" s="12" t="s">
        <v>55</v>
      </c>
      <c r="T360" s="8" t="s">
        <v>54</v>
      </c>
      <c r="U360" s="10" t="s">
        <v>67</v>
      </c>
      <c r="V360" s="8" t="s">
        <v>54</v>
      </c>
      <c r="W360" s="8" t="s">
        <v>54</v>
      </c>
      <c r="X360" s="8" t="s">
        <v>54</v>
      </c>
      <c r="Y360" s="8" t="s">
        <v>54</v>
      </c>
      <c r="Z360" s="8" t="s">
        <v>54</v>
      </c>
      <c r="AA360" s="8" t="s">
        <v>54</v>
      </c>
      <c r="AB360" s="10" t="s">
        <v>67</v>
      </c>
      <c r="AC360" s="8" t="s">
        <v>54</v>
      </c>
      <c r="AD360" s="8" t="s">
        <v>54</v>
      </c>
      <c r="AE360" s="8" t="s">
        <v>54</v>
      </c>
      <c r="AF360" s="8" t="s">
        <v>54</v>
      </c>
      <c r="AG360" s="8" t="s">
        <v>54</v>
      </c>
      <c r="AH360" s="8" t="s">
        <v>54</v>
      </c>
      <c r="AI360" s="10" t="s">
        <v>67</v>
      </c>
      <c r="AJ360" s="8">
        <f>COUNTIF($E$360:$AI$360,"P")</f>
        <v>24</v>
      </c>
      <c r="AK360" s="8">
        <f>COUNTIF($E$360:$AI$360,"A")</f>
        <v>2</v>
      </c>
      <c r="AL360" s="8">
        <f>SUM($E$361:$AI$361)</f>
        <v>34</v>
      </c>
      <c r="AM360" s="8">
        <f>SUM($E$362:$AI$362)</f>
        <v>111</v>
      </c>
      <c r="AN360" s="8">
        <f>AL360+AM360</f>
        <v>145</v>
      </c>
      <c r="AO360" s="8">
        <f>COUNTIF($E$360:$AI$360,"CL")</f>
        <v>0</v>
      </c>
      <c r="AP360" s="8">
        <f>COUNTIF($E$360:$AI$360,"SL")</f>
        <v>0</v>
      </c>
      <c r="AQ360" s="8">
        <f>COUNTIF($E$360:$AI$360,"EL")</f>
        <v>0</v>
      </c>
      <c r="AR360" s="8">
        <f>COUNTIF($E$360:$AI$360,"H")</f>
        <v>0</v>
      </c>
      <c r="AS360" s="8"/>
      <c r="AT360" s="11" t="s">
        <v>12</v>
      </c>
    </row>
    <row r="361" spans="1:46" ht="15.1" customHeight="1">
      <c r="A361" s="8"/>
      <c r="B361" s="9"/>
      <c r="C361" s="8"/>
      <c r="D361" s="9"/>
      <c r="E361" s="8">
        <v>2</v>
      </c>
      <c r="F361" s="8">
        <v>2</v>
      </c>
      <c r="G361" s="8">
        <v>0</v>
      </c>
      <c r="H361" s="8">
        <v>2</v>
      </c>
      <c r="I361" s="8">
        <v>2</v>
      </c>
      <c r="J361" s="8">
        <v>2</v>
      </c>
      <c r="K361" s="8">
        <v>2</v>
      </c>
      <c r="L361" s="8">
        <v>2</v>
      </c>
      <c r="M361" s="8">
        <v>2</v>
      </c>
      <c r="N361" s="8">
        <v>0</v>
      </c>
      <c r="O361" s="8">
        <v>2</v>
      </c>
      <c r="P361" s="8">
        <v>2</v>
      </c>
      <c r="Q361" s="8">
        <v>2</v>
      </c>
      <c r="R361" s="8">
        <v>0</v>
      </c>
      <c r="S361" s="8">
        <v>0</v>
      </c>
      <c r="T361" s="8">
        <v>2</v>
      </c>
      <c r="U361" s="8">
        <v>0</v>
      </c>
      <c r="V361" s="8">
        <v>2</v>
      </c>
      <c r="W361" s="8">
        <v>2</v>
      </c>
      <c r="X361" s="8">
        <v>2</v>
      </c>
      <c r="Y361" s="8">
        <v>0</v>
      </c>
      <c r="Z361" s="8">
        <v>0</v>
      </c>
      <c r="AA361" s="8">
        <v>0</v>
      </c>
      <c r="AB361" s="8">
        <v>0</v>
      </c>
      <c r="AC361" s="8">
        <v>2</v>
      </c>
      <c r="AD361" s="8">
        <v>2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11" t="s">
        <v>12</v>
      </c>
    </row>
    <row r="362" spans="1:46" ht="15.1" customHeight="1">
      <c r="A362" s="8"/>
      <c r="B362" s="9"/>
      <c r="C362" s="8"/>
      <c r="D362" s="9"/>
      <c r="E362" s="8">
        <v>3.5</v>
      </c>
      <c r="F362" s="8">
        <v>3</v>
      </c>
      <c r="G362" s="8">
        <v>0</v>
      </c>
      <c r="H362" s="8">
        <v>5</v>
      </c>
      <c r="I362" s="8">
        <v>6</v>
      </c>
      <c r="J362" s="8">
        <v>7</v>
      </c>
      <c r="K362" s="8">
        <v>7</v>
      </c>
      <c r="L362" s="8">
        <v>7</v>
      </c>
      <c r="M362" s="8">
        <v>5</v>
      </c>
      <c r="N362" s="8">
        <v>16.5</v>
      </c>
      <c r="O362" s="8">
        <v>7</v>
      </c>
      <c r="P362" s="8">
        <v>7</v>
      </c>
      <c r="Q362" s="8">
        <v>4.5</v>
      </c>
      <c r="R362" s="8">
        <v>0</v>
      </c>
      <c r="S362" s="8">
        <v>0</v>
      </c>
      <c r="T362" s="8">
        <v>3</v>
      </c>
      <c r="U362" s="8">
        <v>12.5</v>
      </c>
      <c r="V362" s="8">
        <v>7</v>
      </c>
      <c r="W362" s="8">
        <v>7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3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11" t="s">
        <v>12</v>
      </c>
    </row>
    <row r="363" spans="1:46" ht="15.1" customHeight="1">
      <c r="A363" s="8">
        <v>120</v>
      </c>
      <c r="B363" s="9" t="s">
        <v>502</v>
      </c>
      <c r="C363" s="8" t="s">
        <v>503</v>
      </c>
      <c r="D363" s="9" t="s">
        <v>266</v>
      </c>
      <c r="E363" s="12" t="s">
        <v>55</v>
      </c>
      <c r="F363" s="8" t="s">
        <v>54</v>
      </c>
      <c r="G363" s="10" t="s">
        <v>67</v>
      </c>
      <c r="H363" s="8" t="s">
        <v>54</v>
      </c>
      <c r="I363" s="12" t="s">
        <v>55</v>
      </c>
      <c r="J363" s="8" t="s">
        <v>54</v>
      </c>
      <c r="K363" s="8" t="s">
        <v>54</v>
      </c>
      <c r="L363" s="8" t="s">
        <v>54</v>
      </c>
      <c r="M363" s="8" t="s">
        <v>54</v>
      </c>
      <c r="N363" s="10" t="s">
        <v>67</v>
      </c>
      <c r="O363" s="8" t="s">
        <v>54</v>
      </c>
      <c r="P363" s="8" t="s">
        <v>54</v>
      </c>
      <c r="Q363" s="12" t="s">
        <v>55</v>
      </c>
      <c r="R363" s="8" t="s">
        <v>54</v>
      </c>
      <c r="S363" s="8" t="s">
        <v>54</v>
      </c>
      <c r="T363" s="8" t="s">
        <v>54</v>
      </c>
      <c r="U363" s="10" t="s">
        <v>67</v>
      </c>
      <c r="V363" s="8" t="s">
        <v>54</v>
      </c>
      <c r="W363" s="12" t="s">
        <v>55</v>
      </c>
      <c r="X363" s="8" t="s">
        <v>54</v>
      </c>
      <c r="Y363" s="8" t="s">
        <v>54</v>
      </c>
      <c r="Z363" s="8" t="s">
        <v>54</v>
      </c>
      <c r="AA363" s="12" t="s">
        <v>55</v>
      </c>
      <c r="AB363" s="10" t="s">
        <v>67</v>
      </c>
      <c r="AC363" s="8" t="s">
        <v>54</v>
      </c>
      <c r="AD363" s="8" t="s">
        <v>54</v>
      </c>
      <c r="AE363" s="8" t="s">
        <v>54</v>
      </c>
      <c r="AF363" s="8" t="s">
        <v>54</v>
      </c>
      <c r="AG363" s="8" t="s">
        <v>54</v>
      </c>
      <c r="AH363" s="8" t="s">
        <v>54</v>
      </c>
      <c r="AI363" s="10" t="s">
        <v>67</v>
      </c>
      <c r="AJ363" s="8">
        <f>COUNTIF($E$363:$AI$363,"P")</f>
        <v>21</v>
      </c>
      <c r="AK363" s="8">
        <f>COUNTIF($E$363:$AI$363,"A")</f>
        <v>5</v>
      </c>
      <c r="AL363" s="8">
        <f>SUM($E$364:$AI$364)</f>
        <v>30</v>
      </c>
      <c r="AM363" s="8">
        <f>SUM($E$365:$AI$365)</f>
        <v>93.5</v>
      </c>
      <c r="AN363" s="8">
        <f>AL363+AM363</f>
        <v>123.5</v>
      </c>
      <c r="AO363" s="8">
        <f>COUNTIF($E$363:$AI$363,"CL")</f>
        <v>0</v>
      </c>
      <c r="AP363" s="8">
        <f>COUNTIF($E$363:$AI$363,"SL")</f>
        <v>0</v>
      </c>
      <c r="AQ363" s="8">
        <f>COUNTIF($E$363:$AI$363,"EL")</f>
        <v>0</v>
      </c>
      <c r="AR363" s="8">
        <f>COUNTIF($E$363:$AI$363,"H")</f>
        <v>0</v>
      </c>
      <c r="AS363" s="8"/>
      <c r="AT363" s="11" t="s">
        <v>12</v>
      </c>
    </row>
    <row r="364" spans="1:46" ht="15.1" customHeight="1">
      <c r="A364" s="8"/>
      <c r="B364" s="9"/>
      <c r="C364" s="8"/>
      <c r="D364" s="9"/>
      <c r="E364" s="8">
        <v>0</v>
      </c>
      <c r="F364" s="8">
        <v>2</v>
      </c>
      <c r="G364" s="8">
        <v>0</v>
      </c>
      <c r="H364" s="8">
        <v>2</v>
      </c>
      <c r="I364" s="8">
        <v>0</v>
      </c>
      <c r="J364" s="8">
        <v>2</v>
      </c>
      <c r="K364" s="8">
        <v>2</v>
      </c>
      <c r="L364" s="8">
        <v>2</v>
      </c>
      <c r="M364" s="8">
        <v>2</v>
      </c>
      <c r="N364" s="8">
        <v>0</v>
      </c>
      <c r="O364" s="8">
        <v>2</v>
      </c>
      <c r="P364" s="8">
        <v>2</v>
      </c>
      <c r="Q364" s="8">
        <v>0</v>
      </c>
      <c r="R364" s="8">
        <v>2</v>
      </c>
      <c r="S364" s="8">
        <v>2</v>
      </c>
      <c r="T364" s="8">
        <v>2</v>
      </c>
      <c r="U364" s="8">
        <v>0</v>
      </c>
      <c r="V364" s="8">
        <v>2</v>
      </c>
      <c r="W364" s="8">
        <v>0</v>
      </c>
      <c r="X364" s="8">
        <v>2</v>
      </c>
      <c r="Y364" s="8">
        <v>0</v>
      </c>
      <c r="Z364" s="8">
        <v>0</v>
      </c>
      <c r="AA364" s="8">
        <v>0</v>
      </c>
      <c r="AB364" s="8">
        <v>0</v>
      </c>
      <c r="AC364" s="8">
        <v>2</v>
      </c>
      <c r="AD364" s="8">
        <v>2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11" t="s">
        <v>12</v>
      </c>
    </row>
    <row r="365" spans="1:46" ht="15.1" customHeight="1">
      <c r="A365" s="8"/>
      <c r="B365" s="9"/>
      <c r="C365" s="8"/>
      <c r="D365" s="9"/>
      <c r="E365" s="8">
        <v>0</v>
      </c>
      <c r="F365" s="8">
        <v>3</v>
      </c>
      <c r="G365" s="8">
        <v>14</v>
      </c>
      <c r="H365" s="8">
        <v>5</v>
      </c>
      <c r="I365" s="8">
        <v>0</v>
      </c>
      <c r="J365" s="8">
        <v>7</v>
      </c>
      <c r="K365" s="8">
        <v>7</v>
      </c>
      <c r="L365" s="8">
        <v>7</v>
      </c>
      <c r="M365" s="8">
        <v>5</v>
      </c>
      <c r="N365" s="8">
        <v>0</v>
      </c>
      <c r="O365" s="8">
        <v>7</v>
      </c>
      <c r="P365" s="8">
        <v>7</v>
      </c>
      <c r="Q365" s="8">
        <v>0</v>
      </c>
      <c r="R365" s="8">
        <v>7</v>
      </c>
      <c r="S365" s="8">
        <v>7</v>
      </c>
      <c r="T365" s="8">
        <v>3</v>
      </c>
      <c r="U365" s="8">
        <v>4.5</v>
      </c>
      <c r="V365" s="8">
        <v>7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3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11" t="s">
        <v>12</v>
      </c>
    </row>
    <row r="366" spans="1:46" ht="15.1" customHeight="1">
      <c r="A366" s="8">
        <v>121</v>
      </c>
      <c r="B366" s="9" t="s">
        <v>504</v>
      </c>
      <c r="C366" s="8" t="s">
        <v>505</v>
      </c>
      <c r="D366" s="9" t="s">
        <v>266</v>
      </c>
      <c r="E366" s="12" t="s">
        <v>55</v>
      </c>
      <c r="F366" s="8" t="s">
        <v>54</v>
      </c>
      <c r="G366" s="10" t="s">
        <v>67</v>
      </c>
      <c r="H366" s="8" t="s">
        <v>54</v>
      </c>
      <c r="I366" s="8" t="s">
        <v>54</v>
      </c>
      <c r="J366" s="8" t="s">
        <v>54</v>
      </c>
      <c r="K366" s="8" t="s">
        <v>54</v>
      </c>
      <c r="L366" s="8" t="s">
        <v>54</v>
      </c>
      <c r="M366" s="8" t="s">
        <v>54</v>
      </c>
      <c r="N366" s="10" t="s">
        <v>67</v>
      </c>
      <c r="O366" s="8" t="s">
        <v>54</v>
      </c>
      <c r="P366" s="8" t="s">
        <v>54</v>
      </c>
      <c r="Q366" s="8" t="s">
        <v>54</v>
      </c>
      <c r="R366" s="8" t="s">
        <v>54</v>
      </c>
      <c r="S366" s="8" t="s">
        <v>54</v>
      </c>
      <c r="T366" s="8" t="s">
        <v>54</v>
      </c>
      <c r="U366" s="10" t="s">
        <v>67</v>
      </c>
      <c r="V366" s="8" t="s">
        <v>54</v>
      </c>
      <c r="W366" s="8" t="s">
        <v>54</v>
      </c>
      <c r="X366" s="8" t="s">
        <v>54</v>
      </c>
      <c r="Y366" s="8" t="s">
        <v>54</v>
      </c>
      <c r="Z366" s="8" t="s">
        <v>54</v>
      </c>
      <c r="AA366" s="8" t="s">
        <v>54</v>
      </c>
      <c r="AB366" s="10" t="s">
        <v>67</v>
      </c>
      <c r="AC366" s="8" t="s">
        <v>54</v>
      </c>
      <c r="AD366" s="12" t="s">
        <v>55</v>
      </c>
      <c r="AE366" s="8" t="s">
        <v>54</v>
      </c>
      <c r="AF366" s="8" t="s">
        <v>54</v>
      </c>
      <c r="AG366" s="8" t="s">
        <v>54</v>
      </c>
      <c r="AH366" s="8" t="s">
        <v>54</v>
      </c>
      <c r="AI366" s="10" t="s">
        <v>67</v>
      </c>
      <c r="AJ366" s="8">
        <f>COUNTIF($E$366:$AI$366,"P")</f>
        <v>24</v>
      </c>
      <c r="AK366" s="8">
        <f>COUNTIF($E$366:$AI$366,"A")</f>
        <v>2</v>
      </c>
      <c r="AL366" s="8">
        <f>SUM($E$367:$AI$367)</f>
        <v>34</v>
      </c>
      <c r="AM366" s="8">
        <f>SUM($E$368:$AI$368)</f>
        <v>132.5</v>
      </c>
      <c r="AN366" s="8">
        <f>AL366+AM366</f>
        <v>166.5</v>
      </c>
      <c r="AO366" s="8">
        <f>COUNTIF($E$366:$AI$366,"CL")</f>
        <v>0</v>
      </c>
      <c r="AP366" s="8">
        <f>COUNTIF($E$366:$AI$366,"SL")</f>
        <v>0</v>
      </c>
      <c r="AQ366" s="8">
        <f>COUNTIF($E$366:$AI$366,"EL")</f>
        <v>0</v>
      </c>
      <c r="AR366" s="8">
        <f>COUNTIF($E$366:$AI$366,"H")</f>
        <v>0</v>
      </c>
      <c r="AS366" s="8"/>
      <c r="AT366" s="11" t="s">
        <v>12</v>
      </c>
    </row>
    <row r="367" spans="1:46" ht="15.1" customHeight="1">
      <c r="A367" s="8"/>
      <c r="B367" s="9"/>
      <c r="C367" s="8"/>
      <c r="D367" s="9"/>
      <c r="E367" s="8">
        <v>0</v>
      </c>
      <c r="F367" s="8">
        <v>2</v>
      </c>
      <c r="G367" s="8">
        <v>0</v>
      </c>
      <c r="H367" s="8">
        <v>2</v>
      </c>
      <c r="I367" s="8">
        <v>2</v>
      </c>
      <c r="J367" s="8">
        <v>2</v>
      </c>
      <c r="K367" s="8">
        <v>2</v>
      </c>
      <c r="L367" s="8">
        <v>2</v>
      </c>
      <c r="M367" s="8">
        <v>2</v>
      </c>
      <c r="N367" s="8">
        <v>0</v>
      </c>
      <c r="O367" s="8">
        <v>2</v>
      </c>
      <c r="P367" s="8">
        <v>2</v>
      </c>
      <c r="Q367" s="8">
        <v>2</v>
      </c>
      <c r="R367" s="8">
        <v>2</v>
      </c>
      <c r="S367" s="8">
        <v>2</v>
      </c>
      <c r="T367" s="8">
        <v>2</v>
      </c>
      <c r="U367" s="8">
        <v>0</v>
      </c>
      <c r="V367" s="8">
        <v>2</v>
      </c>
      <c r="W367" s="8">
        <v>2</v>
      </c>
      <c r="X367" s="8">
        <v>2</v>
      </c>
      <c r="Y367" s="8">
        <v>0</v>
      </c>
      <c r="Z367" s="8">
        <v>0</v>
      </c>
      <c r="AA367" s="8">
        <v>0</v>
      </c>
      <c r="AB367" s="8">
        <v>0</v>
      </c>
      <c r="AC367" s="8">
        <v>2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11" t="s">
        <v>12</v>
      </c>
    </row>
    <row r="368" spans="1:46" ht="15.1" customHeight="1">
      <c r="A368" s="8"/>
      <c r="B368" s="9"/>
      <c r="C368" s="8"/>
      <c r="D368" s="9"/>
      <c r="E368" s="8">
        <v>0</v>
      </c>
      <c r="F368" s="8">
        <v>3</v>
      </c>
      <c r="G368" s="8">
        <v>14</v>
      </c>
      <c r="H368" s="8">
        <v>5</v>
      </c>
      <c r="I368" s="8">
        <v>6</v>
      </c>
      <c r="J368" s="8">
        <v>7</v>
      </c>
      <c r="K368" s="8">
        <v>7</v>
      </c>
      <c r="L368" s="8">
        <v>7</v>
      </c>
      <c r="M368" s="8">
        <v>5</v>
      </c>
      <c r="N368" s="8">
        <v>16.5</v>
      </c>
      <c r="O368" s="8">
        <v>7</v>
      </c>
      <c r="P368" s="8">
        <v>6.5</v>
      </c>
      <c r="Q368" s="8">
        <v>5</v>
      </c>
      <c r="R368" s="8">
        <v>7</v>
      </c>
      <c r="S368" s="8">
        <v>7</v>
      </c>
      <c r="T368" s="8">
        <v>3</v>
      </c>
      <c r="U368" s="8">
        <v>12.5</v>
      </c>
      <c r="V368" s="8">
        <v>7</v>
      </c>
      <c r="W368" s="8">
        <v>7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11" t="s">
        <v>12</v>
      </c>
    </row>
    <row r="369" spans="1:46" ht="15.1" customHeight="1">
      <c r="A369" s="8">
        <v>122</v>
      </c>
      <c r="B369" s="9" t="s">
        <v>506</v>
      </c>
      <c r="C369" s="8" t="s">
        <v>507</v>
      </c>
      <c r="D369" s="9" t="s">
        <v>266</v>
      </c>
      <c r="E369" s="8" t="s">
        <v>54</v>
      </c>
      <c r="F369" s="8" t="s">
        <v>54</v>
      </c>
      <c r="G369" s="10" t="s">
        <v>67</v>
      </c>
      <c r="H369" s="8" t="s">
        <v>54</v>
      </c>
      <c r="I369" s="8" t="s">
        <v>54</v>
      </c>
      <c r="J369" s="8" t="s">
        <v>54</v>
      </c>
      <c r="K369" s="8" t="s">
        <v>54</v>
      </c>
      <c r="L369" s="8" t="s">
        <v>54</v>
      </c>
      <c r="M369" s="8" t="s">
        <v>54</v>
      </c>
      <c r="N369" s="10" t="s">
        <v>67</v>
      </c>
      <c r="O369" s="8" t="s">
        <v>54</v>
      </c>
      <c r="P369" s="8" t="s">
        <v>54</v>
      </c>
      <c r="Q369" s="8" t="s">
        <v>54</v>
      </c>
      <c r="R369" s="8" t="s">
        <v>54</v>
      </c>
      <c r="S369" s="8" t="s">
        <v>54</v>
      </c>
      <c r="T369" s="8" t="s">
        <v>54</v>
      </c>
      <c r="U369" s="10" t="s">
        <v>67</v>
      </c>
      <c r="V369" s="12" t="s">
        <v>55</v>
      </c>
      <c r="W369" s="12" t="s">
        <v>55</v>
      </c>
      <c r="X369" s="12" t="s">
        <v>55</v>
      </c>
      <c r="Y369" s="12" t="s">
        <v>55</v>
      </c>
      <c r="Z369" s="8" t="s">
        <v>54</v>
      </c>
      <c r="AA369" s="8" t="s">
        <v>54</v>
      </c>
      <c r="AB369" s="10" t="s">
        <v>67</v>
      </c>
      <c r="AC369" s="12" t="s">
        <v>55</v>
      </c>
      <c r="AD369" s="12" t="s">
        <v>55</v>
      </c>
      <c r="AE369" s="8" t="s">
        <v>54</v>
      </c>
      <c r="AF369" s="8" t="s">
        <v>54</v>
      </c>
      <c r="AG369" s="8" t="s">
        <v>54</v>
      </c>
      <c r="AH369" s="8" t="s">
        <v>54</v>
      </c>
      <c r="AI369" s="10" t="s">
        <v>67</v>
      </c>
      <c r="AJ369" s="8">
        <f>COUNTIF($E$369:$AI$369,"P")</f>
        <v>20</v>
      </c>
      <c r="AK369" s="8">
        <f>COUNTIF($E$369:$AI$369,"A")</f>
        <v>6</v>
      </c>
      <c r="AL369" s="8">
        <f>SUM($E$370:$AI$370)</f>
        <v>28</v>
      </c>
      <c r="AM369" s="8">
        <f>SUM($E$371:$AI$371)</f>
        <v>110</v>
      </c>
      <c r="AN369" s="8">
        <f>AL369+AM369</f>
        <v>138</v>
      </c>
      <c r="AO369" s="8">
        <f>COUNTIF($E$369:$AI$369,"CL")</f>
        <v>0</v>
      </c>
      <c r="AP369" s="8">
        <f>COUNTIF($E$369:$AI$369,"SL")</f>
        <v>0</v>
      </c>
      <c r="AQ369" s="8">
        <f>COUNTIF($E$369:$AI$369,"EL")</f>
        <v>0</v>
      </c>
      <c r="AR369" s="8">
        <f>COUNTIF($E$369:$AI$369,"H")</f>
        <v>0</v>
      </c>
      <c r="AS369" s="8"/>
      <c r="AT369" s="11" t="s">
        <v>12</v>
      </c>
    </row>
    <row r="370" spans="1:46" ht="15.1" customHeight="1">
      <c r="A370" s="8"/>
      <c r="B370" s="9"/>
      <c r="C370" s="8"/>
      <c r="D370" s="9"/>
      <c r="E370" s="8">
        <v>2</v>
      </c>
      <c r="F370" s="8">
        <v>2</v>
      </c>
      <c r="G370" s="8">
        <v>0</v>
      </c>
      <c r="H370" s="8">
        <v>2</v>
      </c>
      <c r="I370" s="8">
        <v>2</v>
      </c>
      <c r="J370" s="8">
        <v>2</v>
      </c>
      <c r="K370" s="8">
        <v>2</v>
      </c>
      <c r="L370" s="8">
        <v>2</v>
      </c>
      <c r="M370" s="8">
        <v>2</v>
      </c>
      <c r="N370" s="8">
        <v>0</v>
      </c>
      <c r="O370" s="8">
        <v>2</v>
      </c>
      <c r="P370" s="8">
        <v>2</v>
      </c>
      <c r="Q370" s="8">
        <v>2</v>
      </c>
      <c r="R370" s="8">
        <v>2</v>
      </c>
      <c r="S370" s="8">
        <v>2</v>
      </c>
      <c r="T370" s="8">
        <v>2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11" t="s">
        <v>12</v>
      </c>
    </row>
    <row r="371" spans="1:46" ht="15.1" customHeight="1">
      <c r="A371" s="8"/>
      <c r="B371" s="9"/>
      <c r="C371" s="8"/>
      <c r="D371" s="9"/>
      <c r="E371" s="8">
        <v>3.5</v>
      </c>
      <c r="F371" s="8">
        <v>3</v>
      </c>
      <c r="G371" s="8">
        <v>14</v>
      </c>
      <c r="H371" s="8">
        <v>5</v>
      </c>
      <c r="I371" s="8">
        <v>6</v>
      </c>
      <c r="J371" s="8">
        <v>7</v>
      </c>
      <c r="K371" s="8">
        <v>7</v>
      </c>
      <c r="L371" s="8">
        <v>7</v>
      </c>
      <c r="M371" s="8">
        <v>5</v>
      </c>
      <c r="N371" s="8">
        <v>16.5</v>
      </c>
      <c r="O371" s="8">
        <v>7</v>
      </c>
      <c r="P371" s="8">
        <v>7</v>
      </c>
      <c r="Q371" s="8">
        <v>5</v>
      </c>
      <c r="R371" s="8">
        <v>7</v>
      </c>
      <c r="S371" s="8">
        <v>7</v>
      </c>
      <c r="T371" s="8">
        <v>3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11" t="s">
        <v>12</v>
      </c>
    </row>
    <row r="372" spans="1:46" ht="15.1" customHeight="1">
      <c r="A372" s="8">
        <v>123</v>
      </c>
      <c r="B372" s="9" t="s">
        <v>508</v>
      </c>
      <c r="C372" s="8" t="s">
        <v>509</v>
      </c>
      <c r="D372" s="9" t="s">
        <v>266</v>
      </c>
      <c r="E372" s="8" t="s">
        <v>54</v>
      </c>
      <c r="F372" s="8" t="s">
        <v>54</v>
      </c>
      <c r="G372" s="10" t="s">
        <v>67</v>
      </c>
      <c r="H372" s="8" t="s">
        <v>54</v>
      </c>
      <c r="I372" s="8" t="s">
        <v>54</v>
      </c>
      <c r="J372" s="8" t="s">
        <v>54</v>
      </c>
      <c r="K372" s="8" t="s">
        <v>54</v>
      </c>
      <c r="L372" s="8" t="s">
        <v>54</v>
      </c>
      <c r="M372" s="8" t="s">
        <v>54</v>
      </c>
      <c r="N372" s="10" t="s">
        <v>67</v>
      </c>
      <c r="O372" s="8" t="s">
        <v>54</v>
      </c>
      <c r="P372" s="8" t="s">
        <v>54</v>
      </c>
      <c r="Q372" s="8" t="s">
        <v>54</v>
      </c>
      <c r="R372" s="8" t="s">
        <v>54</v>
      </c>
      <c r="S372" s="8" t="s">
        <v>54</v>
      </c>
      <c r="T372" s="8" t="s">
        <v>54</v>
      </c>
      <c r="U372" s="10" t="s">
        <v>67</v>
      </c>
      <c r="V372" s="8" t="s">
        <v>54</v>
      </c>
      <c r="W372" s="8" t="s">
        <v>54</v>
      </c>
      <c r="X372" s="8" t="s">
        <v>54</v>
      </c>
      <c r="Y372" s="8" t="s">
        <v>54</v>
      </c>
      <c r="Z372" s="8" t="s">
        <v>54</v>
      </c>
      <c r="AA372" s="12" t="s">
        <v>55</v>
      </c>
      <c r="AB372" s="10" t="s">
        <v>67</v>
      </c>
      <c r="AC372" s="12" t="s">
        <v>55</v>
      </c>
      <c r="AD372" s="12" t="s">
        <v>55</v>
      </c>
      <c r="AE372" s="12" t="s">
        <v>55</v>
      </c>
      <c r="AF372" s="8" t="s">
        <v>54</v>
      </c>
      <c r="AG372" s="8" t="s">
        <v>54</v>
      </c>
      <c r="AH372" s="8" t="s">
        <v>54</v>
      </c>
      <c r="AI372" s="10" t="s">
        <v>67</v>
      </c>
      <c r="AJ372" s="8">
        <f>COUNTIF($E$372:$AI$372,"P")</f>
        <v>22</v>
      </c>
      <c r="AK372" s="8">
        <f>COUNTIF($E$372:$AI$372,"A")</f>
        <v>4</v>
      </c>
      <c r="AL372" s="8">
        <f>SUM($E$373:$AI$373)</f>
        <v>34</v>
      </c>
      <c r="AM372" s="8">
        <f>SUM($E$374:$AI$374)</f>
        <v>124.5</v>
      </c>
      <c r="AN372" s="8">
        <f>AL372+AM372</f>
        <v>158.5</v>
      </c>
      <c r="AO372" s="8">
        <f>COUNTIF($E$372:$AI$372,"CL")</f>
        <v>0</v>
      </c>
      <c r="AP372" s="8">
        <f>COUNTIF($E$372:$AI$372,"SL")</f>
        <v>0</v>
      </c>
      <c r="AQ372" s="8">
        <f>COUNTIF($E$372:$AI$372,"EL")</f>
        <v>0</v>
      </c>
      <c r="AR372" s="8">
        <f>COUNTIF($E$372:$AI$372,"H")</f>
        <v>0</v>
      </c>
      <c r="AS372" s="8"/>
      <c r="AT372" s="11" t="s">
        <v>12</v>
      </c>
    </row>
    <row r="373" spans="1:46" ht="15.1" customHeight="1">
      <c r="A373" s="8"/>
      <c r="B373" s="9"/>
      <c r="C373" s="8"/>
      <c r="D373" s="9"/>
      <c r="E373" s="8">
        <v>2</v>
      </c>
      <c r="F373" s="8">
        <v>2</v>
      </c>
      <c r="G373" s="8">
        <v>0</v>
      </c>
      <c r="H373" s="8">
        <v>2</v>
      </c>
      <c r="I373" s="8">
        <v>2</v>
      </c>
      <c r="J373" s="8">
        <v>2</v>
      </c>
      <c r="K373" s="8">
        <v>2</v>
      </c>
      <c r="L373" s="8">
        <v>2</v>
      </c>
      <c r="M373" s="8">
        <v>2</v>
      </c>
      <c r="N373" s="8">
        <v>0</v>
      </c>
      <c r="O373" s="8">
        <v>2</v>
      </c>
      <c r="P373" s="8">
        <v>2</v>
      </c>
      <c r="Q373" s="8">
        <v>2</v>
      </c>
      <c r="R373" s="8">
        <v>2</v>
      </c>
      <c r="S373" s="8">
        <v>2</v>
      </c>
      <c r="T373" s="8">
        <v>2</v>
      </c>
      <c r="U373" s="8">
        <v>0</v>
      </c>
      <c r="V373" s="8">
        <v>2</v>
      </c>
      <c r="W373" s="8">
        <v>2</v>
      </c>
      <c r="X373" s="8">
        <v>2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11" t="s">
        <v>12</v>
      </c>
    </row>
    <row r="374" spans="1:46" ht="15.1" customHeight="1">
      <c r="A374" s="8"/>
      <c r="B374" s="9"/>
      <c r="C374" s="8"/>
      <c r="D374" s="9"/>
      <c r="E374" s="8">
        <v>4</v>
      </c>
      <c r="F374" s="8">
        <v>3</v>
      </c>
      <c r="G374" s="8">
        <v>14</v>
      </c>
      <c r="H374" s="8">
        <v>5</v>
      </c>
      <c r="I374" s="8">
        <v>6</v>
      </c>
      <c r="J374" s="8">
        <v>7</v>
      </c>
      <c r="K374" s="8">
        <v>7</v>
      </c>
      <c r="L374" s="8">
        <v>7</v>
      </c>
      <c r="M374" s="8">
        <v>5</v>
      </c>
      <c r="N374" s="8">
        <v>16.5</v>
      </c>
      <c r="O374" s="8">
        <v>7</v>
      </c>
      <c r="P374" s="8">
        <v>7</v>
      </c>
      <c r="Q374" s="8">
        <v>5</v>
      </c>
      <c r="R374" s="8">
        <v>7</v>
      </c>
      <c r="S374" s="8">
        <v>7</v>
      </c>
      <c r="T374" s="8">
        <v>3</v>
      </c>
      <c r="U374" s="8">
        <v>0</v>
      </c>
      <c r="V374" s="8">
        <v>7</v>
      </c>
      <c r="W374" s="8">
        <v>7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11" t="s">
        <v>12</v>
      </c>
    </row>
    <row r="375" spans="1:46" ht="15.1" customHeight="1">
      <c r="A375" s="8">
        <v>124</v>
      </c>
      <c r="B375" s="9" t="s">
        <v>510</v>
      </c>
      <c r="C375" s="8" t="s">
        <v>511</v>
      </c>
      <c r="D375" s="9" t="s">
        <v>266</v>
      </c>
      <c r="E375" s="12" t="s">
        <v>55</v>
      </c>
      <c r="F375" s="8" t="s">
        <v>54</v>
      </c>
      <c r="G375" s="10" t="s">
        <v>67</v>
      </c>
      <c r="H375" s="8" t="s">
        <v>54</v>
      </c>
      <c r="I375" s="8" t="s">
        <v>54</v>
      </c>
      <c r="J375" s="8" t="s">
        <v>54</v>
      </c>
      <c r="K375" s="8" t="s">
        <v>54</v>
      </c>
      <c r="L375" s="8" t="s">
        <v>54</v>
      </c>
      <c r="M375" s="12" t="s">
        <v>55</v>
      </c>
      <c r="N375" s="10" t="s">
        <v>67</v>
      </c>
      <c r="O375" s="8" t="s">
        <v>54</v>
      </c>
      <c r="P375" s="8" t="s">
        <v>54</v>
      </c>
      <c r="Q375" s="12" t="s">
        <v>55</v>
      </c>
      <c r="R375" s="8" t="s">
        <v>54</v>
      </c>
      <c r="S375" s="8" t="s">
        <v>54</v>
      </c>
      <c r="T375" s="8" t="s">
        <v>54</v>
      </c>
      <c r="U375" s="10" t="s">
        <v>67</v>
      </c>
      <c r="V375" s="8" t="s">
        <v>54</v>
      </c>
      <c r="W375" s="8" t="s">
        <v>54</v>
      </c>
      <c r="X375" s="8" t="s">
        <v>54</v>
      </c>
      <c r="Y375" s="8" t="s">
        <v>54</v>
      </c>
      <c r="Z375" s="8" t="s">
        <v>54</v>
      </c>
      <c r="AA375" s="8" t="s">
        <v>54</v>
      </c>
      <c r="AB375" s="10" t="s">
        <v>67</v>
      </c>
      <c r="AC375" s="8" t="s">
        <v>54</v>
      </c>
      <c r="AD375" s="8" t="s">
        <v>54</v>
      </c>
      <c r="AE375" s="8" t="s">
        <v>54</v>
      </c>
      <c r="AF375" s="8" t="s">
        <v>54</v>
      </c>
      <c r="AG375" s="8" t="s">
        <v>54</v>
      </c>
      <c r="AH375" s="8" t="s">
        <v>54</v>
      </c>
      <c r="AI375" s="10" t="s">
        <v>67</v>
      </c>
      <c r="AJ375" s="8">
        <f>COUNTIF($E$375:$AI$375,"P")</f>
        <v>23</v>
      </c>
      <c r="AK375" s="8">
        <f>COUNTIF($E$375:$AI$375,"A")</f>
        <v>3</v>
      </c>
      <c r="AL375" s="8">
        <f>SUM($E$376:$AI$376)</f>
        <v>32</v>
      </c>
      <c r="AM375" s="8">
        <f>SUM($E$377:$AI$377)</f>
        <v>102.5</v>
      </c>
      <c r="AN375" s="8">
        <f>AL375+AM375</f>
        <v>134.5</v>
      </c>
      <c r="AO375" s="8">
        <f>COUNTIF($E$375:$AI$375,"CL")</f>
        <v>0</v>
      </c>
      <c r="AP375" s="8">
        <f>COUNTIF($E$375:$AI$375,"SL")</f>
        <v>0</v>
      </c>
      <c r="AQ375" s="8">
        <f>COUNTIF($E$375:$AI$375,"EL")</f>
        <v>0</v>
      </c>
      <c r="AR375" s="8">
        <f>COUNTIF($E$375:$AI$375,"H")</f>
        <v>0</v>
      </c>
      <c r="AS375" s="8"/>
      <c r="AT375" s="11" t="s">
        <v>12</v>
      </c>
    </row>
    <row r="376" spans="1:46" ht="15.1" customHeight="1">
      <c r="A376" s="8"/>
      <c r="B376" s="9"/>
      <c r="C376" s="8"/>
      <c r="D376" s="9"/>
      <c r="E376" s="8">
        <v>0</v>
      </c>
      <c r="F376" s="8">
        <v>2</v>
      </c>
      <c r="G376" s="8">
        <v>0</v>
      </c>
      <c r="H376" s="8">
        <v>2</v>
      </c>
      <c r="I376" s="8">
        <v>2</v>
      </c>
      <c r="J376" s="8">
        <v>2</v>
      </c>
      <c r="K376" s="8">
        <v>2</v>
      </c>
      <c r="L376" s="8">
        <v>2</v>
      </c>
      <c r="M376" s="8">
        <v>0</v>
      </c>
      <c r="N376" s="8">
        <v>0</v>
      </c>
      <c r="O376" s="8">
        <v>2</v>
      </c>
      <c r="P376" s="8">
        <v>2</v>
      </c>
      <c r="Q376" s="8">
        <v>0</v>
      </c>
      <c r="R376" s="8">
        <v>2</v>
      </c>
      <c r="S376" s="8">
        <v>2</v>
      </c>
      <c r="T376" s="8">
        <v>2</v>
      </c>
      <c r="U376" s="8">
        <v>0</v>
      </c>
      <c r="V376" s="8">
        <v>2</v>
      </c>
      <c r="W376" s="8">
        <v>2</v>
      </c>
      <c r="X376" s="8">
        <v>2</v>
      </c>
      <c r="Y376" s="8">
        <v>0</v>
      </c>
      <c r="Z376" s="8">
        <v>0</v>
      </c>
      <c r="AA376" s="8">
        <v>0</v>
      </c>
      <c r="AB376" s="8">
        <v>0</v>
      </c>
      <c r="AC376" s="8">
        <v>2</v>
      </c>
      <c r="AD376" s="8">
        <v>2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11" t="s">
        <v>12</v>
      </c>
    </row>
    <row r="377" spans="1:46" ht="15.1" customHeight="1">
      <c r="A377" s="8"/>
      <c r="B377" s="9"/>
      <c r="C377" s="8"/>
      <c r="D377" s="9"/>
      <c r="E377" s="8">
        <v>0</v>
      </c>
      <c r="F377" s="8">
        <v>3</v>
      </c>
      <c r="G377" s="8">
        <v>14</v>
      </c>
      <c r="H377" s="8">
        <v>5</v>
      </c>
      <c r="I377" s="8">
        <v>6</v>
      </c>
      <c r="J377" s="8">
        <v>7</v>
      </c>
      <c r="K377" s="8">
        <v>7</v>
      </c>
      <c r="L377" s="8">
        <v>7</v>
      </c>
      <c r="M377" s="8">
        <v>0</v>
      </c>
      <c r="N377" s="8">
        <v>16.5</v>
      </c>
      <c r="O377" s="8">
        <v>7</v>
      </c>
      <c r="P377" s="8">
        <v>0</v>
      </c>
      <c r="Q377" s="8">
        <v>0</v>
      </c>
      <c r="R377" s="8">
        <v>3</v>
      </c>
      <c r="S377" s="8">
        <v>7</v>
      </c>
      <c r="T377" s="8">
        <v>3</v>
      </c>
      <c r="U377" s="8">
        <v>0</v>
      </c>
      <c r="V377" s="8">
        <v>7</v>
      </c>
      <c r="W377" s="8">
        <v>7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3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11" t="s">
        <v>12</v>
      </c>
    </row>
    <row r="378" spans="1:46" ht="15.1" customHeight="1">
      <c r="A378" s="8">
        <v>125</v>
      </c>
      <c r="B378" s="9" t="s">
        <v>512</v>
      </c>
      <c r="C378" s="8" t="s">
        <v>513</v>
      </c>
      <c r="D378" s="9" t="s">
        <v>266</v>
      </c>
      <c r="E378" s="8" t="s">
        <v>54</v>
      </c>
      <c r="F378" s="8" t="s">
        <v>54</v>
      </c>
      <c r="G378" s="10" t="s">
        <v>67</v>
      </c>
      <c r="H378" s="8" t="s">
        <v>54</v>
      </c>
      <c r="I378" s="8" t="s">
        <v>54</v>
      </c>
      <c r="J378" s="8" t="s">
        <v>54</v>
      </c>
      <c r="K378" s="8" t="s">
        <v>54</v>
      </c>
      <c r="L378" s="8" t="s">
        <v>54</v>
      </c>
      <c r="M378" s="8" t="s">
        <v>54</v>
      </c>
      <c r="N378" s="10" t="s">
        <v>67</v>
      </c>
      <c r="O378" s="8" t="s">
        <v>54</v>
      </c>
      <c r="P378" s="8" t="s">
        <v>54</v>
      </c>
      <c r="Q378" s="8" t="s">
        <v>54</v>
      </c>
      <c r="R378" s="8" t="s">
        <v>54</v>
      </c>
      <c r="S378" s="8" t="s">
        <v>54</v>
      </c>
      <c r="T378" s="8" t="s">
        <v>54</v>
      </c>
      <c r="U378" s="10" t="s">
        <v>67</v>
      </c>
      <c r="V378" s="8" t="s">
        <v>54</v>
      </c>
      <c r="W378" s="8" t="s">
        <v>54</v>
      </c>
      <c r="X378" s="8" t="s">
        <v>54</v>
      </c>
      <c r="Y378" s="8" t="s">
        <v>54</v>
      </c>
      <c r="Z378" s="8" t="s">
        <v>54</v>
      </c>
      <c r="AA378" s="8" t="s">
        <v>54</v>
      </c>
      <c r="AB378" s="10" t="s">
        <v>67</v>
      </c>
      <c r="AC378" s="8" t="s">
        <v>54</v>
      </c>
      <c r="AD378" s="8" t="s">
        <v>54</v>
      </c>
      <c r="AE378" s="8" t="s">
        <v>54</v>
      </c>
      <c r="AF378" s="8" t="s">
        <v>54</v>
      </c>
      <c r="AG378" s="8" t="s">
        <v>54</v>
      </c>
      <c r="AH378" s="12" t="s">
        <v>55</v>
      </c>
      <c r="AI378" s="10" t="s">
        <v>67</v>
      </c>
      <c r="AJ378" s="8">
        <f>COUNTIF($E$378:$AI$378,"P")</f>
        <v>25</v>
      </c>
      <c r="AK378" s="8">
        <f>COUNTIF($E$378:$AI$378,"A")</f>
        <v>1</v>
      </c>
      <c r="AL378" s="8">
        <f>SUM($E$379:$AI$379)</f>
        <v>34</v>
      </c>
      <c r="AM378" s="8">
        <f>SUM($E$380:$AI$380)</f>
        <v>149.5</v>
      </c>
      <c r="AN378" s="8">
        <f>AL378+AM378</f>
        <v>183.5</v>
      </c>
      <c r="AO378" s="8">
        <f>COUNTIF($E$378:$AI$378,"CL")</f>
        <v>0</v>
      </c>
      <c r="AP378" s="8">
        <f>COUNTIF($E$378:$AI$378,"SL")</f>
        <v>0</v>
      </c>
      <c r="AQ378" s="8">
        <f>COUNTIF($E$378:$AI$378,"EL")</f>
        <v>0</v>
      </c>
      <c r="AR378" s="8">
        <f>COUNTIF($E$378:$AI$378,"H")</f>
        <v>0</v>
      </c>
      <c r="AS378" s="8"/>
      <c r="AT378" s="11" t="s">
        <v>13</v>
      </c>
    </row>
    <row r="379" spans="1:46" ht="15.1" customHeight="1">
      <c r="A379" s="8"/>
      <c r="B379" s="9"/>
      <c r="C379" s="8"/>
      <c r="D379" s="9"/>
      <c r="E379" s="8">
        <v>0</v>
      </c>
      <c r="F379" s="8">
        <v>2</v>
      </c>
      <c r="G379" s="8">
        <v>0</v>
      </c>
      <c r="H379" s="8">
        <v>2</v>
      </c>
      <c r="I379" s="8">
        <v>2</v>
      </c>
      <c r="J379" s="8">
        <v>2</v>
      </c>
      <c r="K379" s="8">
        <v>2</v>
      </c>
      <c r="L379" s="8">
        <v>2</v>
      </c>
      <c r="M379" s="8">
        <v>2</v>
      </c>
      <c r="N379" s="8">
        <v>0</v>
      </c>
      <c r="O379" s="8">
        <v>2</v>
      </c>
      <c r="P379" s="8">
        <v>2</v>
      </c>
      <c r="Q379" s="8">
        <v>2</v>
      </c>
      <c r="R379" s="8">
        <v>2</v>
      </c>
      <c r="S379" s="8">
        <v>2</v>
      </c>
      <c r="T379" s="8">
        <v>2</v>
      </c>
      <c r="U379" s="8">
        <v>0</v>
      </c>
      <c r="V379" s="8">
        <v>2</v>
      </c>
      <c r="W379" s="8">
        <v>2</v>
      </c>
      <c r="X379" s="8">
        <v>2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2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11" t="s">
        <v>13</v>
      </c>
    </row>
    <row r="380" spans="1:46" ht="15.1" customHeight="1">
      <c r="A380" s="8"/>
      <c r="B380" s="9"/>
      <c r="C380" s="8"/>
      <c r="D380" s="9"/>
      <c r="E380" s="8">
        <v>0</v>
      </c>
      <c r="F380" s="8">
        <v>3</v>
      </c>
      <c r="G380" s="8">
        <v>15</v>
      </c>
      <c r="H380" s="8">
        <v>7</v>
      </c>
      <c r="I380" s="8">
        <v>7</v>
      </c>
      <c r="J380" s="8">
        <v>7.5</v>
      </c>
      <c r="K380" s="8">
        <v>7</v>
      </c>
      <c r="L380" s="8">
        <v>7</v>
      </c>
      <c r="M380" s="8">
        <v>5</v>
      </c>
      <c r="N380" s="8">
        <v>17</v>
      </c>
      <c r="O380" s="8">
        <v>7</v>
      </c>
      <c r="P380" s="8">
        <v>10</v>
      </c>
      <c r="Q380" s="8">
        <v>6</v>
      </c>
      <c r="R380" s="8">
        <v>7</v>
      </c>
      <c r="S380" s="8">
        <v>7</v>
      </c>
      <c r="T380" s="8">
        <v>5</v>
      </c>
      <c r="U380" s="8">
        <v>13</v>
      </c>
      <c r="V380" s="8">
        <v>7</v>
      </c>
      <c r="W380" s="8">
        <v>7</v>
      </c>
      <c r="X380" s="8">
        <v>5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11" t="s">
        <v>13</v>
      </c>
    </row>
    <row r="381" spans="1:46" ht="15.1" customHeight="1">
      <c r="A381" s="8">
        <v>126</v>
      </c>
      <c r="B381" s="9" t="s">
        <v>514</v>
      </c>
      <c r="C381" s="8" t="s">
        <v>515</v>
      </c>
      <c r="D381" s="9" t="s">
        <v>266</v>
      </c>
      <c r="E381" s="8" t="s">
        <v>54</v>
      </c>
      <c r="F381" s="8" t="s">
        <v>54</v>
      </c>
      <c r="G381" s="10" t="s">
        <v>67</v>
      </c>
      <c r="H381" s="8" t="s">
        <v>54</v>
      </c>
      <c r="I381" s="8" t="s">
        <v>54</v>
      </c>
      <c r="J381" s="8" t="s">
        <v>54</v>
      </c>
      <c r="K381" s="8" t="s">
        <v>54</v>
      </c>
      <c r="L381" s="8" t="s">
        <v>54</v>
      </c>
      <c r="M381" s="8" t="s">
        <v>54</v>
      </c>
      <c r="N381" s="10" t="s">
        <v>67</v>
      </c>
      <c r="O381" s="8" t="s">
        <v>54</v>
      </c>
      <c r="P381" s="8" t="s">
        <v>54</v>
      </c>
      <c r="Q381" s="12" t="s">
        <v>55</v>
      </c>
      <c r="R381" s="8" t="s">
        <v>54</v>
      </c>
      <c r="S381" s="8" t="s">
        <v>54</v>
      </c>
      <c r="T381" s="8" t="s">
        <v>54</v>
      </c>
      <c r="U381" s="10" t="s">
        <v>67</v>
      </c>
      <c r="V381" s="8" t="s">
        <v>54</v>
      </c>
      <c r="W381" s="8" t="s">
        <v>54</v>
      </c>
      <c r="X381" s="8" t="s">
        <v>54</v>
      </c>
      <c r="Y381" s="8" t="s">
        <v>54</v>
      </c>
      <c r="Z381" s="8" t="s">
        <v>54</v>
      </c>
      <c r="AA381" s="8" t="s">
        <v>54</v>
      </c>
      <c r="AB381" s="10" t="s">
        <v>67</v>
      </c>
      <c r="AC381" s="8" t="s">
        <v>54</v>
      </c>
      <c r="AD381" s="8" t="s">
        <v>54</v>
      </c>
      <c r="AE381" s="8" t="s">
        <v>54</v>
      </c>
      <c r="AF381" s="8" t="s">
        <v>54</v>
      </c>
      <c r="AG381" s="8" t="s">
        <v>54</v>
      </c>
      <c r="AH381" s="12" t="s">
        <v>55</v>
      </c>
      <c r="AI381" s="10" t="s">
        <v>67</v>
      </c>
      <c r="AJ381" s="8">
        <f>COUNTIF($E$381:$AI$381,"P")</f>
        <v>24</v>
      </c>
      <c r="AK381" s="8">
        <f>COUNTIF($E$381:$AI$381,"A")</f>
        <v>2</v>
      </c>
      <c r="AL381" s="8">
        <f>SUM($E$382:$AI$382)</f>
        <v>32</v>
      </c>
      <c r="AM381" s="8">
        <f>SUM($E$383:$AI$383)</f>
        <v>140</v>
      </c>
      <c r="AN381" s="8">
        <f>AL381+AM381</f>
        <v>172</v>
      </c>
      <c r="AO381" s="8">
        <f>COUNTIF($E$381:$AI$381,"CL")</f>
        <v>0</v>
      </c>
      <c r="AP381" s="8">
        <f>COUNTIF($E$381:$AI$381,"SL")</f>
        <v>0</v>
      </c>
      <c r="AQ381" s="8">
        <f>COUNTIF($E$381:$AI$381,"EL")</f>
        <v>0</v>
      </c>
      <c r="AR381" s="8">
        <f>COUNTIF($E$381:$AI$381,"H")</f>
        <v>0</v>
      </c>
      <c r="AS381" s="8"/>
      <c r="AT381" s="11" t="s">
        <v>13</v>
      </c>
    </row>
    <row r="382" spans="1:46" ht="15.1" customHeight="1">
      <c r="A382" s="8"/>
      <c r="B382" s="9"/>
      <c r="C382" s="8"/>
      <c r="D382" s="9"/>
      <c r="E382" s="8">
        <v>0</v>
      </c>
      <c r="F382" s="8">
        <v>2</v>
      </c>
      <c r="G382" s="8">
        <v>0</v>
      </c>
      <c r="H382" s="8">
        <v>2</v>
      </c>
      <c r="I382" s="8">
        <v>2</v>
      </c>
      <c r="J382" s="8">
        <v>2</v>
      </c>
      <c r="K382" s="8">
        <v>2</v>
      </c>
      <c r="L382" s="8">
        <v>2</v>
      </c>
      <c r="M382" s="8">
        <v>2</v>
      </c>
      <c r="N382" s="8">
        <v>0</v>
      </c>
      <c r="O382" s="8">
        <v>2</v>
      </c>
      <c r="P382" s="8">
        <v>2</v>
      </c>
      <c r="Q382" s="8">
        <v>0</v>
      </c>
      <c r="R382" s="8">
        <v>2</v>
      </c>
      <c r="S382" s="8">
        <v>2</v>
      </c>
      <c r="T382" s="8">
        <v>2</v>
      </c>
      <c r="U382" s="8">
        <v>0</v>
      </c>
      <c r="V382" s="8">
        <v>2</v>
      </c>
      <c r="W382" s="8">
        <v>2</v>
      </c>
      <c r="X382" s="8">
        <v>2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2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11" t="s">
        <v>13</v>
      </c>
    </row>
    <row r="383" spans="1:46" ht="15.1" customHeight="1">
      <c r="A383" s="8"/>
      <c r="B383" s="9"/>
      <c r="C383" s="8"/>
      <c r="D383" s="9"/>
      <c r="E383" s="8">
        <v>0</v>
      </c>
      <c r="F383" s="8">
        <v>3</v>
      </c>
      <c r="G383" s="8">
        <v>15</v>
      </c>
      <c r="H383" s="8">
        <v>7</v>
      </c>
      <c r="I383" s="8">
        <v>7</v>
      </c>
      <c r="J383" s="8">
        <v>6</v>
      </c>
      <c r="K383" s="8">
        <v>7</v>
      </c>
      <c r="L383" s="8">
        <v>7</v>
      </c>
      <c r="M383" s="8">
        <v>5</v>
      </c>
      <c r="N383" s="8">
        <v>17</v>
      </c>
      <c r="O383" s="8">
        <v>7</v>
      </c>
      <c r="P383" s="8">
        <v>7</v>
      </c>
      <c r="Q383" s="8">
        <v>0</v>
      </c>
      <c r="R383" s="8">
        <v>10</v>
      </c>
      <c r="S383" s="8">
        <v>5</v>
      </c>
      <c r="T383" s="8">
        <v>5</v>
      </c>
      <c r="U383" s="8">
        <v>13</v>
      </c>
      <c r="V383" s="8">
        <v>7</v>
      </c>
      <c r="W383" s="8">
        <v>7</v>
      </c>
      <c r="X383" s="8">
        <v>5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11" t="s">
        <v>13</v>
      </c>
    </row>
    <row r="384" spans="1:46" ht="15.1" customHeight="1">
      <c r="A384" s="8">
        <v>127</v>
      </c>
      <c r="B384" s="9" t="s">
        <v>516</v>
      </c>
      <c r="C384" s="8" t="s">
        <v>517</v>
      </c>
      <c r="D384" s="9" t="s">
        <v>266</v>
      </c>
      <c r="E384" s="8" t="s">
        <v>54</v>
      </c>
      <c r="F384" s="8" t="s">
        <v>54</v>
      </c>
      <c r="G384" s="10" t="s">
        <v>67</v>
      </c>
      <c r="H384" s="8" t="s">
        <v>54</v>
      </c>
      <c r="I384" s="8" t="s">
        <v>54</v>
      </c>
      <c r="J384" s="8" t="s">
        <v>54</v>
      </c>
      <c r="K384" s="8" t="s">
        <v>54</v>
      </c>
      <c r="L384" s="8" t="s">
        <v>54</v>
      </c>
      <c r="M384" s="8" t="s">
        <v>54</v>
      </c>
      <c r="N384" s="10" t="s">
        <v>67</v>
      </c>
      <c r="O384" s="8" t="s">
        <v>54</v>
      </c>
      <c r="P384" s="8" t="s">
        <v>54</v>
      </c>
      <c r="Q384" s="8" t="s">
        <v>54</v>
      </c>
      <c r="R384" s="8" t="s">
        <v>54</v>
      </c>
      <c r="S384" s="8" t="s">
        <v>54</v>
      </c>
      <c r="T384" s="8" t="s">
        <v>54</v>
      </c>
      <c r="U384" s="10" t="s">
        <v>67</v>
      </c>
      <c r="V384" s="8" t="s">
        <v>54</v>
      </c>
      <c r="W384" s="8" t="s">
        <v>54</v>
      </c>
      <c r="X384" s="8" t="s">
        <v>54</v>
      </c>
      <c r="Y384" s="8" t="s">
        <v>54</v>
      </c>
      <c r="Z384" s="8" t="s">
        <v>54</v>
      </c>
      <c r="AA384" s="8" t="s">
        <v>54</v>
      </c>
      <c r="AB384" s="10" t="s">
        <v>67</v>
      </c>
      <c r="AC384" s="8" t="s">
        <v>54</v>
      </c>
      <c r="AD384" s="8" t="s">
        <v>54</v>
      </c>
      <c r="AE384" s="8" t="s">
        <v>54</v>
      </c>
      <c r="AF384" s="8" t="s">
        <v>54</v>
      </c>
      <c r="AG384" s="8" t="s">
        <v>54</v>
      </c>
      <c r="AH384" s="12" t="s">
        <v>55</v>
      </c>
      <c r="AI384" s="10" t="s">
        <v>67</v>
      </c>
      <c r="AJ384" s="8">
        <f>COUNTIF($E$384:$AI$384,"P")</f>
        <v>25</v>
      </c>
      <c r="AK384" s="8">
        <f>COUNTIF($E$384:$AI$384,"A")</f>
        <v>1</v>
      </c>
      <c r="AL384" s="8">
        <f>SUM($E$385:$AI$385)</f>
        <v>36</v>
      </c>
      <c r="AM384" s="8">
        <f>SUM($E$386:$AI$386)</f>
        <v>153</v>
      </c>
      <c r="AN384" s="8">
        <f>AL384+AM384</f>
        <v>189</v>
      </c>
      <c r="AO384" s="8">
        <f>COUNTIF($E$384:$AI$384,"CL")</f>
        <v>0</v>
      </c>
      <c r="AP384" s="8">
        <f>COUNTIF($E$384:$AI$384,"SL")</f>
        <v>0</v>
      </c>
      <c r="AQ384" s="8">
        <f>COUNTIF($E$384:$AI$384,"EL")</f>
        <v>0</v>
      </c>
      <c r="AR384" s="8">
        <f>COUNTIF($E$384:$AI$384,"H")</f>
        <v>0</v>
      </c>
      <c r="AS384" s="8"/>
      <c r="AT384" s="11" t="s">
        <v>13</v>
      </c>
    </row>
    <row r="385" spans="1:46" ht="15.1" customHeight="1">
      <c r="A385" s="8"/>
      <c r="B385" s="9"/>
      <c r="C385" s="8"/>
      <c r="D385" s="9"/>
      <c r="E385" s="8">
        <v>0</v>
      </c>
      <c r="F385" s="8">
        <v>2</v>
      </c>
      <c r="G385" s="8">
        <v>0</v>
      </c>
      <c r="H385" s="8">
        <v>2</v>
      </c>
      <c r="I385" s="8">
        <v>2</v>
      </c>
      <c r="J385" s="8">
        <v>2</v>
      </c>
      <c r="K385" s="8">
        <v>2</v>
      </c>
      <c r="L385" s="8">
        <v>2</v>
      </c>
      <c r="M385" s="8">
        <v>2</v>
      </c>
      <c r="N385" s="8">
        <v>0</v>
      </c>
      <c r="O385" s="8">
        <v>2</v>
      </c>
      <c r="P385" s="8">
        <v>2</v>
      </c>
      <c r="Q385" s="8">
        <v>2</v>
      </c>
      <c r="R385" s="8">
        <v>2</v>
      </c>
      <c r="S385" s="8">
        <v>2</v>
      </c>
      <c r="T385" s="8">
        <v>2</v>
      </c>
      <c r="U385" s="8">
        <v>0</v>
      </c>
      <c r="V385" s="8">
        <v>2</v>
      </c>
      <c r="W385" s="8">
        <v>2</v>
      </c>
      <c r="X385" s="8">
        <v>2</v>
      </c>
      <c r="Y385" s="8">
        <v>0</v>
      </c>
      <c r="Z385" s="8">
        <v>2</v>
      </c>
      <c r="AA385" s="8">
        <v>0</v>
      </c>
      <c r="AB385" s="8">
        <v>0</v>
      </c>
      <c r="AC385" s="8">
        <v>0</v>
      </c>
      <c r="AD385" s="8">
        <v>2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11" t="s">
        <v>13</v>
      </c>
    </row>
    <row r="386" spans="1:46" ht="15.1" customHeight="1">
      <c r="A386" s="8"/>
      <c r="B386" s="9"/>
      <c r="C386" s="8"/>
      <c r="D386" s="9"/>
      <c r="E386" s="8">
        <v>0</v>
      </c>
      <c r="F386" s="8">
        <v>3</v>
      </c>
      <c r="G386" s="8">
        <v>15</v>
      </c>
      <c r="H386" s="8">
        <v>7</v>
      </c>
      <c r="I386" s="8">
        <v>7</v>
      </c>
      <c r="J386" s="8">
        <v>7.5</v>
      </c>
      <c r="K386" s="8">
        <v>7</v>
      </c>
      <c r="L386" s="8">
        <v>7</v>
      </c>
      <c r="M386" s="8">
        <v>5</v>
      </c>
      <c r="N386" s="8">
        <v>17</v>
      </c>
      <c r="O386" s="8">
        <v>7</v>
      </c>
      <c r="P386" s="8">
        <v>10</v>
      </c>
      <c r="Q386" s="8">
        <v>6</v>
      </c>
      <c r="R386" s="8">
        <v>7</v>
      </c>
      <c r="S386" s="8">
        <v>3</v>
      </c>
      <c r="T386" s="8">
        <v>5</v>
      </c>
      <c r="U386" s="8">
        <v>13</v>
      </c>
      <c r="V386" s="8">
        <v>7</v>
      </c>
      <c r="W386" s="8">
        <v>7</v>
      </c>
      <c r="X386" s="8">
        <v>5</v>
      </c>
      <c r="Y386" s="8">
        <v>0</v>
      </c>
      <c r="Z386" s="8">
        <v>2.5</v>
      </c>
      <c r="AA386" s="8">
        <v>0</v>
      </c>
      <c r="AB386" s="8">
        <v>0</v>
      </c>
      <c r="AC386" s="8">
        <v>0</v>
      </c>
      <c r="AD386" s="8">
        <v>5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11" t="s">
        <v>13</v>
      </c>
    </row>
    <row r="387" spans="1:46" ht="15.1" customHeight="1">
      <c r="A387" s="8">
        <v>128</v>
      </c>
      <c r="B387" s="9" t="s">
        <v>518</v>
      </c>
      <c r="C387" s="8" t="s">
        <v>519</v>
      </c>
      <c r="D387" s="9" t="s">
        <v>266</v>
      </c>
      <c r="E387" s="8" t="s">
        <v>54</v>
      </c>
      <c r="F387" s="8" t="s">
        <v>54</v>
      </c>
      <c r="G387" s="10" t="s">
        <v>67</v>
      </c>
      <c r="H387" s="8" t="s">
        <v>54</v>
      </c>
      <c r="I387" s="8" t="s">
        <v>54</v>
      </c>
      <c r="J387" s="8" t="s">
        <v>54</v>
      </c>
      <c r="K387" s="8" t="s">
        <v>54</v>
      </c>
      <c r="L387" s="8" t="s">
        <v>54</v>
      </c>
      <c r="M387" s="8" t="s">
        <v>54</v>
      </c>
      <c r="N387" s="10" t="s">
        <v>67</v>
      </c>
      <c r="O387" s="8" t="s">
        <v>54</v>
      </c>
      <c r="P387" s="8" t="s">
        <v>54</v>
      </c>
      <c r="Q387" s="8" t="s">
        <v>54</v>
      </c>
      <c r="R387" s="8" t="s">
        <v>54</v>
      </c>
      <c r="S387" s="8" t="s">
        <v>54</v>
      </c>
      <c r="T387" s="8" t="s">
        <v>54</v>
      </c>
      <c r="U387" s="10" t="s">
        <v>67</v>
      </c>
      <c r="V387" s="8" t="s">
        <v>54</v>
      </c>
      <c r="W387" s="8" t="s">
        <v>54</v>
      </c>
      <c r="X387" s="8" t="s">
        <v>54</v>
      </c>
      <c r="Y387" s="8" t="s">
        <v>54</v>
      </c>
      <c r="Z387" s="8" t="s">
        <v>54</v>
      </c>
      <c r="AA387" s="8" t="s">
        <v>54</v>
      </c>
      <c r="AB387" s="10" t="s">
        <v>67</v>
      </c>
      <c r="AC387" s="8" t="s">
        <v>54</v>
      </c>
      <c r="AD387" s="8" t="s">
        <v>54</v>
      </c>
      <c r="AE387" s="8" t="s">
        <v>54</v>
      </c>
      <c r="AF387" s="8" t="s">
        <v>54</v>
      </c>
      <c r="AG387" s="8" t="s">
        <v>54</v>
      </c>
      <c r="AH387" s="12" t="s">
        <v>55</v>
      </c>
      <c r="AI387" s="10" t="s">
        <v>67</v>
      </c>
      <c r="AJ387" s="8">
        <f>COUNTIF($E$387:$AI$387,"P")</f>
        <v>25</v>
      </c>
      <c r="AK387" s="8">
        <f>COUNTIF($E$387:$AI$387,"A")</f>
        <v>1</v>
      </c>
      <c r="AL387" s="8">
        <f>SUM($E$388:$AI$388)</f>
        <v>35</v>
      </c>
      <c r="AM387" s="8">
        <f>SUM($E$389:$AI$389)</f>
        <v>145</v>
      </c>
      <c r="AN387" s="8">
        <f>AL387+AM387</f>
        <v>179.5</v>
      </c>
      <c r="AO387" s="8">
        <f>COUNTIF($E$387:$AI$387,"CL")</f>
        <v>0</v>
      </c>
      <c r="AP387" s="8">
        <f>COUNTIF($E$387:$AI$387,"SL")</f>
        <v>0</v>
      </c>
      <c r="AQ387" s="8">
        <f>COUNTIF($E$387:$AI$387,"EL")</f>
        <v>0</v>
      </c>
      <c r="AR387" s="8">
        <f>COUNTIF($E$387:$AI$387,"H")</f>
        <v>0</v>
      </c>
      <c r="AS387" s="8"/>
      <c r="AT387" s="11" t="s">
        <v>13</v>
      </c>
    </row>
    <row r="388" spans="1:46" ht="15.1" customHeight="1">
      <c r="A388" s="8"/>
      <c r="B388" s="9"/>
      <c r="C388" s="8"/>
      <c r="D388" s="9"/>
      <c r="E388" s="8">
        <v>0</v>
      </c>
      <c r="F388" s="8">
        <v>2</v>
      </c>
      <c r="G388" s="8">
        <v>0</v>
      </c>
      <c r="H388" s="8">
        <v>2</v>
      </c>
      <c r="I388" s="8">
        <v>2</v>
      </c>
      <c r="J388" s="8">
        <v>2</v>
      </c>
      <c r="K388" s="8">
        <v>2</v>
      </c>
      <c r="L388" s="8">
        <v>2</v>
      </c>
      <c r="M388" s="8">
        <v>2</v>
      </c>
      <c r="N388" s="8">
        <v>0</v>
      </c>
      <c r="O388" s="8">
        <v>2</v>
      </c>
      <c r="P388" s="8">
        <v>2</v>
      </c>
      <c r="Q388" s="8">
        <v>2</v>
      </c>
      <c r="R388" s="8">
        <v>2</v>
      </c>
      <c r="S388" s="8">
        <v>2</v>
      </c>
      <c r="T388" s="8">
        <v>2</v>
      </c>
      <c r="U388" s="8">
        <v>0</v>
      </c>
      <c r="V388" s="8">
        <v>2</v>
      </c>
      <c r="W388" s="8">
        <v>2</v>
      </c>
      <c r="X388" s="8">
        <v>2</v>
      </c>
      <c r="Y388" s="8">
        <v>0</v>
      </c>
      <c r="Z388" s="8">
        <v>0</v>
      </c>
      <c r="AA388" s="8">
        <v>0</v>
      </c>
      <c r="AB388" s="8">
        <v>0</v>
      </c>
      <c r="AC388" s="8">
        <v>1</v>
      </c>
      <c r="AD388" s="8">
        <v>2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11" t="s">
        <v>13</v>
      </c>
    </row>
    <row r="389" spans="1:46" ht="15.1" customHeight="1">
      <c r="A389" s="8"/>
      <c r="B389" s="9"/>
      <c r="C389" s="8"/>
      <c r="D389" s="9"/>
      <c r="E389" s="8">
        <v>0</v>
      </c>
      <c r="F389" s="8">
        <v>3</v>
      </c>
      <c r="G389" s="8">
        <v>14.5</v>
      </c>
      <c r="H389" s="8">
        <v>7</v>
      </c>
      <c r="I389" s="8">
        <v>7</v>
      </c>
      <c r="J389" s="8">
        <v>6</v>
      </c>
      <c r="K389" s="8">
        <v>7</v>
      </c>
      <c r="L389" s="8">
        <v>7</v>
      </c>
      <c r="M389" s="8">
        <v>5</v>
      </c>
      <c r="N389" s="8">
        <v>17</v>
      </c>
      <c r="O389" s="8">
        <v>7</v>
      </c>
      <c r="P389" s="8">
        <v>9.5</v>
      </c>
      <c r="Q389" s="8">
        <v>7</v>
      </c>
      <c r="R389" s="8">
        <v>7</v>
      </c>
      <c r="S389" s="8">
        <v>7</v>
      </c>
      <c r="T389" s="8">
        <v>5</v>
      </c>
      <c r="U389" s="8">
        <v>10</v>
      </c>
      <c r="V389" s="8">
        <v>7</v>
      </c>
      <c r="W389" s="8">
        <v>7</v>
      </c>
      <c r="X389" s="8">
        <v>5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11" t="s">
        <v>13</v>
      </c>
    </row>
    <row r="390" spans="1:46" ht="15.1" customHeight="1">
      <c r="A390" s="8">
        <v>129</v>
      </c>
      <c r="B390" s="9" t="s">
        <v>520</v>
      </c>
      <c r="C390" s="8" t="s">
        <v>521</v>
      </c>
      <c r="D390" s="9" t="s">
        <v>266</v>
      </c>
      <c r="E390" s="8" t="s">
        <v>54</v>
      </c>
      <c r="F390" s="8" t="s">
        <v>54</v>
      </c>
      <c r="G390" s="10" t="s">
        <v>67</v>
      </c>
      <c r="H390" s="8" t="s">
        <v>54</v>
      </c>
      <c r="I390" s="8" t="s">
        <v>54</v>
      </c>
      <c r="J390" s="8" t="s">
        <v>54</v>
      </c>
      <c r="K390" s="8" t="s">
        <v>54</v>
      </c>
      <c r="L390" s="8" t="s">
        <v>54</v>
      </c>
      <c r="M390" s="8" t="s">
        <v>54</v>
      </c>
      <c r="N390" s="10" t="s">
        <v>67</v>
      </c>
      <c r="O390" s="8" t="s">
        <v>54</v>
      </c>
      <c r="P390" s="8" t="s">
        <v>54</v>
      </c>
      <c r="Q390" s="8" t="s">
        <v>54</v>
      </c>
      <c r="R390" s="8" t="s">
        <v>54</v>
      </c>
      <c r="S390" s="8" t="s">
        <v>54</v>
      </c>
      <c r="T390" s="8" t="s">
        <v>54</v>
      </c>
      <c r="U390" s="10" t="s">
        <v>67</v>
      </c>
      <c r="V390" s="8" t="s">
        <v>54</v>
      </c>
      <c r="W390" s="8" t="s">
        <v>54</v>
      </c>
      <c r="X390" s="8" t="s">
        <v>54</v>
      </c>
      <c r="Y390" s="8" t="s">
        <v>54</v>
      </c>
      <c r="Z390" s="8" t="s">
        <v>54</v>
      </c>
      <c r="AA390" s="8" t="s">
        <v>54</v>
      </c>
      <c r="AB390" s="10" t="s">
        <v>67</v>
      </c>
      <c r="AC390" s="8" t="s">
        <v>54</v>
      </c>
      <c r="AD390" s="8" t="s">
        <v>54</v>
      </c>
      <c r="AE390" s="8" t="s">
        <v>54</v>
      </c>
      <c r="AF390" s="8" t="s">
        <v>54</v>
      </c>
      <c r="AG390" s="8" t="s">
        <v>54</v>
      </c>
      <c r="AH390" s="12" t="s">
        <v>55</v>
      </c>
      <c r="AI390" s="10" t="s">
        <v>67</v>
      </c>
      <c r="AJ390" s="8">
        <f>COUNTIF($E$390:$AI$390,"P")</f>
        <v>25</v>
      </c>
      <c r="AK390" s="8">
        <f>COUNTIF($E$390:$AI$390,"A")</f>
        <v>1</v>
      </c>
      <c r="AL390" s="8">
        <f>SUM($E$391:$AI$391)</f>
        <v>36</v>
      </c>
      <c r="AM390" s="8">
        <f>SUM($E$392:$AI$392)</f>
        <v>157</v>
      </c>
      <c r="AN390" s="8">
        <f>AL390+AM390</f>
        <v>193</v>
      </c>
      <c r="AO390" s="8">
        <f>COUNTIF($E$390:$AI$390,"CL")</f>
        <v>0</v>
      </c>
      <c r="AP390" s="8">
        <f>COUNTIF($E$390:$AI$390,"SL")</f>
        <v>0</v>
      </c>
      <c r="AQ390" s="8">
        <f>COUNTIF($E$390:$AI$390,"EL")</f>
        <v>0</v>
      </c>
      <c r="AR390" s="8">
        <f>COUNTIF($E$390:$AI$390,"H")</f>
        <v>0</v>
      </c>
      <c r="AS390" s="8"/>
      <c r="AT390" s="11" t="s">
        <v>13</v>
      </c>
    </row>
    <row r="391" spans="1:46" ht="15.1" customHeight="1">
      <c r="A391" s="8"/>
      <c r="B391" s="9"/>
      <c r="C391" s="8"/>
      <c r="D391" s="9"/>
      <c r="E391" s="8">
        <v>0</v>
      </c>
      <c r="F391" s="8">
        <v>2</v>
      </c>
      <c r="G391" s="8">
        <v>0</v>
      </c>
      <c r="H391" s="8">
        <v>2</v>
      </c>
      <c r="I391" s="8">
        <v>2</v>
      </c>
      <c r="J391" s="8">
        <v>2</v>
      </c>
      <c r="K391" s="8">
        <v>2</v>
      </c>
      <c r="L391" s="8">
        <v>2</v>
      </c>
      <c r="M391" s="8">
        <v>2</v>
      </c>
      <c r="N391" s="8">
        <v>0</v>
      </c>
      <c r="O391" s="8">
        <v>2</v>
      </c>
      <c r="P391" s="8">
        <v>2</v>
      </c>
      <c r="Q391" s="8">
        <v>2</v>
      </c>
      <c r="R391" s="8">
        <v>2</v>
      </c>
      <c r="S391" s="8">
        <v>2</v>
      </c>
      <c r="T391" s="8">
        <v>2</v>
      </c>
      <c r="U391" s="8">
        <v>0</v>
      </c>
      <c r="V391" s="8">
        <v>2</v>
      </c>
      <c r="W391" s="8">
        <v>2</v>
      </c>
      <c r="X391" s="8">
        <v>2</v>
      </c>
      <c r="Y391" s="8">
        <v>0</v>
      </c>
      <c r="Z391" s="8">
        <v>2</v>
      </c>
      <c r="AA391" s="8">
        <v>0</v>
      </c>
      <c r="AB391" s="8">
        <v>0</v>
      </c>
      <c r="AC391" s="8">
        <v>0</v>
      </c>
      <c r="AD391" s="8">
        <v>2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11" t="s">
        <v>13</v>
      </c>
    </row>
    <row r="392" spans="1:46" ht="15.1" customHeight="1">
      <c r="A392" s="8"/>
      <c r="B392" s="9"/>
      <c r="C392" s="8"/>
      <c r="D392" s="9"/>
      <c r="E392" s="8">
        <v>0</v>
      </c>
      <c r="F392" s="8">
        <v>3</v>
      </c>
      <c r="G392" s="8">
        <v>14.5</v>
      </c>
      <c r="H392" s="8">
        <v>7</v>
      </c>
      <c r="I392" s="8">
        <v>7</v>
      </c>
      <c r="J392" s="8">
        <v>7.5</v>
      </c>
      <c r="K392" s="8">
        <v>7</v>
      </c>
      <c r="L392" s="8">
        <v>7</v>
      </c>
      <c r="M392" s="8">
        <v>5</v>
      </c>
      <c r="N392" s="8">
        <v>17</v>
      </c>
      <c r="O392" s="8">
        <v>7</v>
      </c>
      <c r="P392" s="8">
        <v>10</v>
      </c>
      <c r="Q392" s="8">
        <v>5.5</v>
      </c>
      <c r="R392" s="8">
        <v>7</v>
      </c>
      <c r="S392" s="8">
        <v>7</v>
      </c>
      <c r="T392" s="8">
        <v>5</v>
      </c>
      <c r="U392" s="8">
        <v>13</v>
      </c>
      <c r="V392" s="8">
        <v>7</v>
      </c>
      <c r="W392" s="8">
        <v>7</v>
      </c>
      <c r="X392" s="8">
        <v>9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4.5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11" t="s">
        <v>13</v>
      </c>
    </row>
    <row r="393" spans="1:46" ht="15.1" customHeight="1">
      <c r="A393" s="8">
        <v>130</v>
      </c>
      <c r="B393" s="9" t="s">
        <v>522</v>
      </c>
      <c r="C393" s="8" t="s">
        <v>523</v>
      </c>
      <c r="D393" s="9" t="s">
        <v>266</v>
      </c>
      <c r="E393" s="8" t="s">
        <v>54</v>
      </c>
      <c r="F393" s="8" t="s">
        <v>54</v>
      </c>
      <c r="G393" s="10" t="s">
        <v>67</v>
      </c>
      <c r="H393" s="8" t="s">
        <v>54</v>
      </c>
      <c r="I393" s="8" t="s">
        <v>54</v>
      </c>
      <c r="J393" s="8" t="s">
        <v>54</v>
      </c>
      <c r="K393" s="8" t="s">
        <v>54</v>
      </c>
      <c r="L393" s="8" t="s">
        <v>54</v>
      </c>
      <c r="M393" s="8" t="s">
        <v>54</v>
      </c>
      <c r="N393" s="10" t="s">
        <v>67</v>
      </c>
      <c r="O393" s="8" t="s">
        <v>54</v>
      </c>
      <c r="P393" s="8" t="s">
        <v>54</v>
      </c>
      <c r="Q393" s="8" t="s">
        <v>54</v>
      </c>
      <c r="R393" s="8" t="s">
        <v>54</v>
      </c>
      <c r="S393" s="8" t="s">
        <v>54</v>
      </c>
      <c r="T393" s="8" t="s">
        <v>54</v>
      </c>
      <c r="U393" s="10" t="s">
        <v>67</v>
      </c>
      <c r="V393" s="8" t="s">
        <v>54</v>
      </c>
      <c r="W393" s="8" t="s">
        <v>54</v>
      </c>
      <c r="X393" s="8" t="s">
        <v>54</v>
      </c>
      <c r="Y393" s="8" t="s">
        <v>54</v>
      </c>
      <c r="Z393" s="8" t="s">
        <v>54</v>
      </c>
      <c r="AA393" s="8" t="s">
        <v>54</v>
      </c>
      <c r="AB393" s="10" t="s">
        <v>67</v>
      </c>
      <c r="AC393" s="8" t="s">
        <v>54</v>
      </c>
      <c r="AD393" s="8" t="s">
        <v>54</v>
      </c>
      <c r="AE393" s="8" t="s">
        <v>54</v>
      </c>
      <c r="AF393" s="8" t="s">
        <v>54</v>
      </c>
      <c r="AG393" s="8" t="s">
        <v>54</v>
      </c>
      <c r="AH393" s="12" t="s">
        <v>55</v>
      </c>
      <c r="AI393" s="10" t="s">
        <v>67</v>
      </c>
      <c r="AJ393" s="8">
        <f>COUNTIF($E$393:$AI$393,"P")</f>
        <v>25</v>
      </c>
      <c r="AK393" s="8">
        <f>COUNTIF($E$393:$AI$393,"A")</f>
        <v>1</v>
      </c>
      <c r="AL393" s="8">
        <f>SUM($E$394:$AI$394)</f>
        <v>36</v>
      </c>
      <c r="AM393" s="8">
        <f>SUM($E$395:$AI$395)</f>
        <v>158</v>
      </c>
      <c r="AN393" s="8">
        <f>AL393+AM393</f>
        <v>194</v>
      </c>
      <c r="AO393" s="8">
        <f>COUNTIF($E$393:$AI$393,"CL")</f>
        <v>0</v>
      </c>
      <c r="AP393" s="8">
        <f>COUNTIF($E$393:$AI$393,"SL")</f>
        <v>0</v>
      </c>
      <c r="AQ393" s="8">
        <f>COUNTIF($E$393:$AI$393,"EL")</f>
        <v>0</v>
      </c>
      <c r="AR393" s="8">
        <f>COUNTIF($E$393:$AI$393,"H")</f>
        <v>0</v>
      </c>
      <c r="AS393" s="8"/>
      <c r="AT393" s="11" t="s">
        <v>13</v>
      </c>
    </row>
    <row r="394" spans="1:46" ht="15.1" customHeight="1">
      <c r="A394" s="8"/>
      <c r="B394" s="9"/>
      <c r="C394" s="8"/>
      <c r="D394" s="9"/>
      <c r="E394" s="8">
        <v>2</v>
      </c>
      <c r="F394" s="8">
        <v>2</v>
      </c>
      <c r="G394" s="8">
        <v>0</v>
      </c>
      <c r="H394" s="8">
        <v>2</v>
      </c>
      <c r="I394" s="8">
        <v>2</v>
      </c>
      <c r="J394" s="8">
        <v>2</v>
      </c>
      <c r="K394" s="8">
        <v>2</v>
      </c>
      <c r="L394" s="8">
        <v>2</v>
      </c>
      <c r="M394" s="8">
        <v>2</v>
      </c>
      <c r="N394" s="8">
        <v>0</v>
      </c>
      <c r="O394" s="8">
        <v>2</v>
      </c>
      <c r="P394" s="8">
        <v>2</v>
      </c>
      <c r="Q394" s="8">
        <v>2</v>
      </c>
      <c r="R394" s="8">
        <v>2</v>
      </c>
      <c r="S394" s="8">
        <v>2</v>
      </c>
      <c r="T394" s="8">
        <v>2</v>
      </c>
      <c r="U394" s="8">
        <v>0</v>
      </c>
      <c r="V394" s="8">
        <v>2</v>
      </c>
      <c r="W394" s="8">
        <v>2</v>
      </c>
      <c r="X394" s="8">
        <v>2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2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11" t="s">
        <v>13</v>
      </c>
    </row>
    <row r="395" spans="1:46" ht="15.1" customHeight="1">
      <c r="A395" s="8"/>
      <c r="B395" s="9"/>
      <c r="C395" s="8"/>
      <c r="D395" s="9"/>
      <c r="E395" s="8">
        <v>4</v>
      </c>
      <c r="F395" s="8">
        <v>3</v>
      </c>
      <c r="G395" s="8">
        <v>15</v>
      </c>
      <c r="H395" s="8">
        <v>7</v>
      </c>
      <c r="I395" s="8">
        <v>7</v>
      </c>
      <c r="J395" s="8">
        <v>6</v>
      </c>
      <c r="K395" s="8">
        <v>5</v>
      </c>
      <c r="L395" s="8">
        <v>7</v>
      </c>
      <c r="M395" s="8">
        <v>5</v>
      </c>
      <c r="N395" s="8">
        <v>17</v>
      </c>
      <c r="O395" s="8">
        <v>7</v>
      </c>
      <c r="P395" s="8">
        <v>7</v>
      </c>
      <c r="Q395" s="8">
        <v>7</v>
      </c>
      <c r="R395" s="8">
        <v>7</v>
      </c>
      <c r="S395" s="8">
        <v>7</v>
      </c>
      <c r="T395" s="8">
        <v>5</v>
      </c>
      <c r="U395" s="8">
        <v>13</v>
      </c>
      <c r="V395" s="8">
        <v>7</v>
      </c>
      <c r="W395" s="8">
        <v>8</v>
      </c>
      <c r="X395" s="8">
        <v>9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5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11" t="s">
        <v>13</v>
      </c>
    </row>
    <row r="396" spans="1:46" ht="15.1" customHeight="1">
      <c r="A396" s="8">
        <v>131</v>
      </c>
      <c r="B396" s="9" t="s">
        <v>524</v>
      </c>
      <c r="C396" s="8" t="s">
        <v>525</v>
      </c>
      <c r="D396" s="9" t="s">
        <v>266</v>
      </c>
      <c r="E396" s="8" t="s">
        <v>54</v>
      </c>
      <c r="F396" s="8" t="s">
        <v>54</v>
      </c>
      <c r="G396" s="10" t="s">
        <v>67</v>
      </c>
      <c r="H396" s="8" t="s">
        <v>54</v>
      </c>
      <c r="I396" s="8" t="s">
        <v>54</v>
      </c>
      <c r="J396" s="8" t="s">
        <v>54</v>
      </c>
      <c r="K396" s="8" t="s">
        <v>54</v>
      </c>
      <c r="L396" s="8" t="s">
        <v>54</v>
      </c>
      <c r="M396" s="8" t="s">
        <v>54</v>
      </c>
      <c r="N396" s="10" t="s">
        <v>67</v>
      </c>
      <c r="O396" s="8" t="s">
        <v>54</v>
      </c>
      <c r="P396" s="8" t="s">
        <v>54</v>
      </c>
      <c r="Q396" s="8" t="s">
        <v>54</v>
      </c>
      <c r="R396" s="8" t="s">
        <v>54</v>
      </c>
      <c r="S396" s="8" t="s">
        <v>54</v>
      </c>
      <c r="T396" s="8" t="s">
        <v>54</v>
      </c>
      <c r="U396" s="10" t="s">
        <v>67</v>
      </c>
      <c r="V396" s="8" t="s">
        <v>54</v>
      </c>
      <c r="W396" s="8" t="s">
        <v>54</v>
      </c>
      <c r="X396" s="8" t="s">
        <v>54</v>
      </c>
      <c r="Y396" s="8" t="s">
        <v>54</v>
      </c>
      <c r="Z396" s="8" t="s">
        <v>54</v>
      </c>
      <c r="AA396" s="8" t="s">
        <v>54</v>
      </c>
      <c r="AB396" s="10" t="s">
        <v>67</v>
      </c>
      <c r="AC396" s="8" t="s">
        <v>54</v>
      </c>
      <c r="AD396" s="8" t="s">
        <v>54</v>
      </c>
      <c r="AE396" s="8" t="s">
        <v>54</v>
      </c>
      <c r="AF396" s="8" t="s">
        <v>54</v>
      </c>
      <c r="AG396" s="8" t="s">
        <v>54</v>
      </c>
      <c r="AH396" s="12" t="s">
        <v>55</v>
      </c>
      <c r="AI396" s="10" t="s">
        <v>67</v>
      </c>
      <c r="AJ396" s="8">
        <f>COUNTIF($E$396:$AI$396,"P")</f>
        <v>25</v>
      </c>
      <c r="AK396" s="8">
        <f>COUNTIF($E$396:$AI$396,"A")</f>
        <v>1</v>
      </c>
      <c r="AL396" s="8">
        <f>SUM($E$397:$AI$397)</f>
        <v>36</v>
      </c>
      <c r="AM396" s="8">
        <f>SUM($E$398:$AI$398)</f>
        <v>161</v>
      </c>
      <c r="AN396" s="8">
        <f>AL396+AM396</f>
        <v>197</v>
      </c>
      <c r="AO396" s="8">
        <f>COUNTIF($E$396:$AI$396,"CL")</f>
        <v>0</v>
      </c>
      <c r="AP396" s="8">
        <f>COUNTIF($E$396:$AI$396,"SL")</f>
        <v>0</v>
      </c>
      <c r="AQ396" s="8">
        <f>COUNTIF($E$396:$AI$396,"EL")</f>
        <v>0</v>
      </c>
      <c r="AR396" s="8">
        <f>COUNTIF($E$396:$AI$396,"H")</f>
        <v>0</v>
      </c>
      <c r="AS396" s="8"/>
      <c r="AT396" s="11" t="s">
        <v>13</v>
      </c>
    </row>
    <row r="397" spans="1:46" ht="15.1" customHeight="1">
      <c r="A397" s="8"/>
      <c r="B397" s="9"/>
      <c r="C397" s="8"/>
      <c r="D397" s="9"/>
      <c r="E397" s="8">
        <v>2</v>
      </c>
      <c r="F397" s="8">
        <v>2</v>
      </c>
      <c r="G397" s="8">
        <v>0</v>
      </c>
      <c r="H397" s="8">
        <v>2</v>
      </c>
      <c r="I397" s="8">
        <v>2</v>
      </c>
      <c r="J397" s="8">
        <v>2</v>
      </c>
      <c r="K397" s="8">
        <v>2</v>
      </c>
      <c r="L397" s="8">
        <v>2</v>
      </c>
      <c r="M397" s="8">
        <v>2</v>
      </c>
      <c r="N397" s="8">
        <v>0</v>
      </c>
      <c r="O397" s="8">
        <v>2</v>
      </c>
      <c r="P397" s="8">
        <v>2</v>
      </c>
      <c r="Q397" s="8">
        <v>2</v>
      </c>
      <c r="R397" s="8">
        <v>2</v>
      </c>
      <c r="S397" s="8">
        <v>2</v>
      </c>
      <c r="T397" s="8">
        <v>2</v>
      </c>
      <c r="U397" s="8">
        <v>0</v>
      </c>
      <c r="V397" s="8">
        <v>2</v>
      </c>
      <c r="W397" s="8">
        <v>2</v>
      </c>
      <c r="X397" s="8">
        <v>2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2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11" t="s">
        <v>13</v>
      </c>
    </row>
    <row r="398" spans="1:46" ht="15.1" customHeight="1">
      <c r="A398" s="8"/>
      <c r="B398" s="9"/>
      <c r="C398" s="8"/>
      <c r="D398" s="9"/>
      <c r="E398" s="8">
        <v>5</v>
      </c>
      <c r="F398" s="8">
        <v>3</v>
      </c>
      <c r="G398" s="8">
        <v>15</v>
      </c>
      <c r="H398" s="8">
        <v>7</v>
      </c>
      <c r="I398" s="8">
        <v>7</v>
      </c>
      <c r="J398" s="8">
        <v>6</v>
      </c>
      <c r="K398" s="8">
        <v>7</v>
      </c>
      <c r="L398" s="8">
        <v>7</v>
      </c>
      <c r="M398" s="8">
        <v>5</v>
      </c>
      <c r="N398" s="8">
        <v>17</v>
      </c>
      <c r="O398" s="8">
        <v>7</v>
      </c>
      <c r="P398" s="8">
        <v>7</v>
      </c>
      <c r="Q398" s="8">
        <v>7</v>
      </c>
      <c r="R398" s="8">
        <v>7</v>
      </c>
      <c r="S398" s="8">
        <v>11</v>
      </c>
      <c r="T398" s="8">
        <v>2</v>
      </c>
      <c r="U398" s="8">
        <v>13</v>
      </c>
      <c r="V398" s="8">
        <v>7</v>
      </c>
      <c r="W398" s="8">
        <v>7</v>
      </c>
      <c r="X398" s="8">
        <v>9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5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11" t="s">
        <v>13</v>
      </c>
    </row>
    <row r="399" spans="1:46" ht="15.1" customHeight="1">
      <c r="A399" s="8">
        <v>132</v>
      </c>
      <c r="B399" s="9" t="s">
        <v>526</v>
      </c>
      <c r="C399" s="8" t="s">
        <v>527</v>
      </c>
      <c r="D399" s="9" t="s">
        <v>266</v>
      </c>
      <c r="E399" s="8" t="s">
        <v>54</v>
      </c>
      <c r="F399" s="8" t="s">
        <v>54</v>
      </c>
      <c r="G399" s="10" t="s">
        <v>67</v>
      </c>
      <c r="H399" s="8" t="s">
        <v>54</v>
      </c>
      <c r="I399" s="8" t="s">
        <v>54</v>
      </c>
      <c r="J399" s="8" t="s">
        <v>54</v>
      </c>
      <c r="K399" s="12" t="s">
        <v>55</v>
      </c>
      <c r="L399" s="12" t="s">
        <v>55</v>
      </c>
      <c r="M399" s="12" t="s">
        <v>55</v>
      </c>
      <c r="N399" s="10" t="s">
        <v>67</v>
      </c>
      <c r="O399" s="8" t="s">
        <v>54</v>
      </c>
      <c r="P399" s="8" t="s">
        <v>54</v>
      </c>
      <c r="Q399" s="8" t="s">
        <v>54</v>
      </c>
      <c r="R399" s="8" t="s">
        <v>54</v>
      </c>
      <c r="S399" s="8" t="s">
        <v>54</v>
      </c>
      <c r="T399" s="8" t="s">
        <v>54</v>
      </c>
      <c r="U399" s="10" t="s">
        <v>67</v>
      </c>
      <c r="V399" s="8" t="s">
        <v>54</v>
      </c>
      <c r="W399" s="8" t="s">
        <v>54</v>
      </c>
      <c r="X399" s="8" t="s">
        <v>54</v>
      </c>
      <c r="Y399" s="8" t="s">
        <v>54</v>
      </c>
      <c r="Z399" s="8" t="s">
        <v>54</v>
      </c>
      <c r="AA399" s="8" t="s">
        <v>54</v>
      </c>
      <c r="AB399" s="10" t="s">
        <v>67</v>
      </c>
      <c r="AC399" s="8" t="s">
        <v>54</v>
      </c>
      <c r="AD399" s="8" t="s">
        <v>54</v>
      </c>
      <c r="AE399" s="8" t="s">
        <v>54</v>
      </c>
      <c r="AF399" s="8" t="s">
        <v>54</v>
      </c>
      <c r="AG399" s="8" t="s">
        <v>54</v>
      </c>
      <c r="AH399" s="12" t="s">
        <v>55</v>
      </c>
      <c r="AI399" s="10" t="s">
        <v>67</v>
      </c>
      <c r="AJ399" s="8">
        <f>COUNTIF($E$399:$AI$399,"P")</f>
        <v>22</v>
      </c>
      <c r="AK399" s="8">
        <f>COUNTIF($E$399:$AI$399,"A")</f>
        <v>4</v>
      </c>
      <c r="AL399" s="8">
        <f>SUM($E$400:$AI$400)</f>
        <v>28</v>
      </c>
      <c r="AM399" s="8">
        <f>SUM($E$401:$AI$401)</f>
        <v>113</v>
      </c>
      <c r="AN399" s="8">
        <f>AL399+AM399</f>
        <v>141</v>
      </c>
      <c r="AO399" s="8">
        <f>COUNTIF($E$399:$AI$399,"CL")</f>
        <v>0</v>
      </c>
      <c r="AP399" s="8">
        <f>COUNTIF($E$399:$AI$399,"SL")</f>
        <v>0</v>
      </c>
      <c r="AQ399" s="8">
        <f>COUNTIF($E$399:$AI$399,"EL")</f>
        <v>0</v>
      </c>
      <c r="AR399" s="8">
        <f>COUNTIF($E$399:$AI$399,"H")</f>
        <v>0</v>
      </c>
      <c r="AS399" s="8"/>
      <c r="AT399" s="11" t="s">
        <v>13</v>
      </c>
    </row>
    <row r="400" spans="1:46" ht="15.1" customHeight="1">
      <c r="A400" s="8"/>
      <c r="B400" s="9"/>
      <c r="C400" s="8"/>
      <c r="D400" s="9"/>
      <c r="E400" s="8">
        <v>0</v>
      </c>
      <c r="F400" s="8">
        <v>2</v>
      </c>
      <c r="G400" s="8">
        <v>0</v>
      </c>
      <c r="H400" s="8">
        <v>2</v>
      </c>
      <c r="I400" s="8">
        <v>2</v>
      </c>
      <c r="J400" s="8">
        <v>2</v>
      </c>
      <c r="K400" s="8">
        <v>0</v>
      </c>
      <c r="L400" s="8">
        <v>0</v>
      </c>
      <c r="M400" s="8">
        <v>0</v>
      </c>
      <c r="N400" s="8">
        <v>0</v>
      </c>
      <c r="O400" s="8">
        <v>2</v>
      </c>
      <c r="P400" s="8">
        <v>2</v>
      </c>
      <c r="Q400" s="8">
        <v>2</v>
      </c>
      <c r="R400" s="8">
        <v>2</v>
      </c>
      <c r="S400" s="8">
        <v>2</v>
      </c>
      <c r="T400" s="8">
        <v>2</v>
      </c>
      <c r="U400" s="8">
        <v>0</v>
      </c>
      <c r="V400" s="8">
        <v>2</v>
      </c>
      <c r="W400" s="8">
        <v>2</v>
      </c>
      <c r="X400" s="8">
        <v>2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2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11" t="s">
        <v>13</v>
      </c>
    </row>
    <row r="401" spans="1:46" ht="15.1" customHeight="1">
      <c r="A401" s="8"/>
      <c r="B401" s="9"/>
      <c r="C401" s="8"/>
      <c r="D401" s="9"/>
      <c r="E401" s="8">
        <v>0</v>
      </c>
      <c r="F401" s="8">
        <v>3</v>
      </c>
      <c r="G401" s="8">
        <v>15</v>
      </c>
      <c r="H401" s="8">
        <v>7</v>
      </c>
      <c r="I401" s="8">
        <v>7</v>
      </c>
      <c r="J401" s="8">
        <v>6</v>
      </c>
      <c r="K401" s="8">
        <v>0</v>
      </c>
      <c r="L401" s="8">
        <v>0</v>
      </c>
      <c r="M401" s="8">
        <v>0</v>
      </c>
      <c r="N401" s="8">
        <v>0</v>
      </c>
      <c r="O401" s="8">
        <v>7</v>
      </c>
      <c r="P401" s="8">
        <v>9.5</v>
      </c>
      <c r="Q401" s="8">
        <v>6.5</v>
      </c>
      <c r="R401" s="8">
        <v>11</v>
      </c>
      <c r="S401" s="8">
        <v>4</v>
      </c>
      <c r="T401" s="8">
        <v>5</v>
      </c>
      <c r="U401" s="8">
        <v>13</v>
      </c>
      <c r="V401" s="8">
        <v>7</v>
      </c>
      <c r="W401" s="8">
        <v>7</v>
      </c>
      <c r="X401" s="8">
        <v>5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11" t="s">
        <v>13</v>
      </c>
    </row>
    <row r="402" spans="1:46" ht="15.1" customHeight="1">
      <c r="A402" s="8">
        <v>133</v>
      </c>
      <c r="B402" s="9" t="s">
        <v>528</v>
      </c>
      <c r="C402" s="8" t="s">
        <v>529</v>
      </c>
      <c r="D402" s="9" t="s">
        <v>266</v>
      </c>
      <c r="E402" s="8" t="s">
        <v>54</v>
      </c>
      <c r="F402" s="8" t="s">
        <v>54</v>
      </c>
      <c r="G402" s="10" t="s">
        <v>67</v>
      </c>
      <c r="H402" s="8" t="s">
        <v>54</v>
      </c>
      <c r="I402" s="8" t="s">
        <v>54</v>
      </c>
      <c r="J402" s="8" t="s">
        <v>54</v>
      </c>
      <c r="K402" s="8" t="s">
        <v>54</v>
      </c>
      <c r="L402" s="8" t="s">
        <v>54</v>
      </c>
      <c r="M402" s="8" t="s">
        <v>54</v>
      </c>
      <c r="N402" s="10" t="s">
        <v>67</v>
      </c>
      <c r="O402" s="8" t="s">
        <v>54</v>
      </c>
      <c r="P402" s="8" t="s">
        <v>54</v>
      </c>
      <c r="Q402" s="8" t="s">
        <v>54</v>
      </c>
      <c r="R402" s="8" t="s">
        <v>54</v>
      </c>
      <c r="S402" s="8" t="s">
        <v>54</v>
      </c>
      <c r="T402" s="8" t="s">
        <v>54</v>
      </c>
      <c r="U402" s="10" t="s">
        <v>67</v>
      </c>
      <c r="V402" s="8" t="s">
        <v>54</v>
      </c>
      <c r="W402" s="8" t="s">
        <v>54</v>
      </c>
      <c r="X402" s="8" t="s">
        <v>54</v>
      </c>
      <c r="Y402" s="12" t="s">
        <v>55</v>
      </c>
      <c r="Z402" s="8" t="s">
        <v>54</v>
      </c>
      <c r="AA402" s="8" t="s">
        <v>54</v>
      </c>
      <c r="AB402" s="10" t="s">
        <v>67</v>
      </c>
      <c r="AC402" s="8" t="s">
        <v>54</v>
      </c>
      <c r="AD402" s="8" t="s">
        <v>54</v>
      </c>
      <c r="AE402" s="8" t="s">
        <v>54</v>
      </c>
      <c r="AF402" s="8" t="s">
        <v>54</v>
      </c>
      <c r="AG402" s="8" t="s">
        <v>54</v>
      </c>
      <c r="AH402" s="12" t="s">
        <v>55</v>
      </c>
      <c r="AI402" s="10" t="s">
        <v>67</v>
      </c>
      <c r="AJ402" s="8">
        <f>COUNTIF($E$402:$AI$402,"P")</f>
        <v>24</v>
      </c>
      <c r="AK402" s="8">
        <f>COUNTIF($E$402:$AI$402,"A")</f>
        <v>2</v>
      </c>
      <c r="AL402" s="8">
        <f>SUM($E$403:$AI$403)</f>
        <v>34</v>
      </c>
      <c r="AM402" s="8">
        <f>SUM($E$404:$AI$404)</f>
        <v>139</v>
      </c>
      <c r="AN402" s="8">
        <f>AL402+AM402</f>
        <v>173</v>
      </c>
      <c r="AO402" s="8">
        <f>COUNTIF($E$402:$AI$402,"CL")</f>
        <v>0</v>
      </c>
      <c r="AP402" s="8">
        <f>COUNTIF($E$402:$AI$402,"SL")</f>
        <v>0</v>
      </c>
      <c r="AQ402" s="8">
        <f>COUNTIF($E$402:$AI$402,"EL")</f>
        <v>0</v>
      </c>
      <c r="AR402" s="8">
        <f>COUNTIF($E$402:$AI$402,"H")</f>
        <v>0</v>
      </c>
      <c r="AS402" s="8"/>
      <c r="AT402" s="11" t="s">
        <v>13</v>
      </c>
    </row>
    <row r="403" spans="1:46" ht="15.1" customHeight="1">
      <c r="A403" s="8"/>
      <c r="B403" s="9"/>
      <c r="C403" s="8"/>
      <c r="D403" s="9"/>
      <c r="E403" s="8">
        <v>0</v>
      </c>
      <c r="F403" s="8">
        <v>2</v>
      </c>
      <c r="G403" s="8">
        <v>0</v>
      </c>
      <c r="H403" s="8">
        <v>2</v>
      </c>
      <c r="I403" s="8">
        <v>2</v>
      </c>
      <c r="J403" s="8">
        <v>2</v>
      </c>
      <c r="K403" s="8">
        <v>2</v>
      </c>
      <c r="L403" s="8">
        <v>2</v>
      </c>
      <c r="M403" s="8">
        <v>2</v>
      </c>
      <c r="N403" s="8">
        <v>0</v>
      </c>
      <c r="O403" s="8">
        <v>2</v>
      </c>
      <c r="P403" s="8">
        <v>2</v>
      </c>
      <c r="Q403" s="8">
        <v>2</v>
      </c>
      <c r="R403" s="8">
        <v>2</v>
      </c>
      <c r="S403" s="8">
        <v>2</v>
      </c>
      <c r="T403" s="8">
        <v>2</v>
      </c>
      <c r="U403" s="8">
        <v>0</v>
      </c>
      <c r="V403" s="8">
        <v>2</v>
      </c>
      <c r="W403" s="8">
        <v>2</v>
      </c>
      <c r="X403" s="8">
        <v>2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2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11" t="s">
        <v>13</v>
      </c>
    </row>
    <row r="404" spans="1:46" ht="15.1" customHeight="1">
      <c r="A404" s="8"/>
      <c r="B404" s="9"/>
      <c r="C404" s="8"/>
      <c r="D404" s="9"/>
      <c r="E404" s="8">
        <v>0</v>
      </c>
      <c r="F404" s="8">
        <v>3</v>
      </c>
      <c r="G404" s="8">
        <v>15</v>
      </c>
      <c r="H404" s="8">
        <v>7</v>
      </c>
      <c r="I404" s="8">
        <v>7</v>
      </c>
      <c r="J404" s="8">
        <v>6</v>
      </c>
      <c r="K404" s="8">
        <v>7</v>
      </c>
      <c r="L404" s="8">
        <v>7</v>
      </c>
      <c r="M404" s="8">
        <v>5</v>
      </c>
      <c r="N404" s="8">
        <v>21</v>
      </c>
      <c r="O404" s="8">
        <v>4</v>
      </c>
      <c r="P404" s="8">
        <v>7</v>
      </c>
      <c r="Q404" s="8">
        <v>7</v>
      </c>
      <c r="R404" s="8">
        <v>7</v>
      </c>
      <c r="S404" s="8">
        <v>7</v>
      </c>
      <c r="T404" s="8">
        <v>5</v>
      </c>
      <c r="U404" s="8">
        <v>0</v>
      </c>
      <c r="V404" s="8">
        <v>7</v>
      </c>
      <c r="W404" s="8">
        <v>7</v>
      </c>
      <c r="X404" s="8">
        <v>5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5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11" t="s">
        <v>13</v>
      </c>
    </row>
    <row r="405" spans="1:46" ht="15.1" customHeight="1">
      <c r="A405" s="8">
        <v>134</v>
      </c>
      <c r="B405" s="9" t="s">
        <v>530</v>
      </c>
      <c r="C405" s="8" t="s">
        <v>531</v>
      </c>
      <c r="D405" s="9" t="s">
        <v>532</v>
      </c>
      <c r="E405" s="8" t="s">
        <v>54</v>
      </c>
      <c r="F405" s="8" t="s">
        <v>54</v>
      </c>
      <c r="G405" s="10" t="s">
        <v>67</v>
      </c>
      <c r="H405" s="8" t="s">
        <v>54</v>
      </c>
      <c r="I405" s="8" t="s">
        <v>54</v>
      </c>
      <c r="J405" s="8" t="s">
        <v>54</v>
      </c>
      <c r="K405" s="8" t="s">
        <v>54</v>
      </c>
      <c r="L405" s="8" t="s">
        <v>54</v>
      </c>
      <c r="M405" s="8" t="s">
        <v>54</v>
      </c>
      <c r="N405" s="10" t="s">
        <v>67</v>
      </c>
      <c r="O405" s="8" t="s">
        <v>54</v>
      </c>
      <c r="P405" s="8" t="s">
        <v>54</v>
      </c>
      <c r="Q405" s="8" t="s">
        <v>54</v>
      </c>
      <c r="R405" s="8" t="s">
        <v>54</v>
      </c>
      <c r="S405" s="8" t="s">
        <v>54</v>
      </c>
      <c r="T405" s="8" t="s">
        <v>54</v>
      </c>
      <c r="U405" s="10" t="s">
        <v>67</v>
      </c>
      <c r="V405" s="8" t="s">
        <v>54</v>
      </c>
      <c r="W405" s="8" t="s">
        <v>54</v>
      </c>
      <c r="X405" s="8" t="s">
        <v>54</v>
      </c>
      <c r="Y405" s="8" t="s">
        <v>54</v>
      </c>
      <c r="Z405" s="8" t="s">
        <v>54</v>
      </c>
      <c r="AA405" s="8" t="s">
        <v>54</v>
      </c>
      <c r="AB405" s="10" t="s">
        <v>67</v>
      </c>
      <c r="AC405" s="8" t="s">
        <v>54</v>
      </c>
      <c r="AD405" s="8" t="s">
        <v>54</v>
      </c>
      <c r="AE405" s="8" t="s">
        <v>54</v>
      </c>
      <c r="AF405" s="8" t="s">
        <v>54</v>
      </c>
      <c r="AG405" s="8" t="s">
        <v>54</v>
      </c>
      <c r="AH405" s="12" t="s">
        <v>55</v>
      </c>
      <c r="AI405" s="10" t="s">
        <v>67</v>
      </c>
      <c r="AJ405" s="8">
        <f>COUNTIF($E$405:$AI$405,"P")</f>
        <v>25</v>
      </c>
      <c r="AK405" s="8">
        <f>COUNTIF($E$405:$AI$405,"A")</f>
        <v>1</v>
      </c>
      <c r="AL405" s="8">
        <f>SUM($E$406:$AI$406)</f>
        <v>36</v>
      </c>
      <c r="AM405" s="8">
        <f>SUM($E$407:$AI$407)</f>
        <v>152.5</v>
      </c>
      <c r="AN405" s="8">
        <f>AL405+AM405</f>
        <v>188.5</v>
      </c>
      <c r="AO405" s="8">
        <f>COUNTIF($E$405:$AI$405,"CL")</f>
        <v>0</v>
      </c>
      <c r="AP405" s="8">
        <f>COUNTIF($E$405:$AI$405,"SL")</f>
        <v>0</v>
      </c>
      <c r="AQ405" s="8">
        <f>COUNTIF($E$405:$AI$405,"EL")</f>
        <v>0</v>
      </c>
      <c r="AR405" s="8">
        <f>COUNTIF($E$405:$AI$405,"H")</f>
        <v>0</v>
      </c>
      <c r="AS405" s="8"/>
      <c r="AT405" s="11" t="s">
        <v>13</v>
      </c>
    </row>
    <row r="406" spans="1:46" ht="15.1" customHeight="1">
      <c r="A406" s="8"/>
      <c r="B406" s="9"/>
      <c r="C406" s="8"/>
      <c r="D406" s="9"/>
      <c r="E406" s="8">
        <v>0</v>
      </c>
      <c r="F406" s="8">
        <v>2</v>
      </c>
      <c r="G406" s="8">
        <v>0</v>
      </c>
      <c r="H406" s="8">
        <v>2</v>
      </c>
      <c r="I406" s="8">
        <v>2</v>
      </c>
      <c r="J406" s="8">
        <v>2</v>
      </c>
      <c r="K406" s="8">
        <v>2</v>
      </c>
      <c r="L406" s="8">
        <v>2</v>
      </c>
      <c r="M406" s="8">
        <v>2</v>
      </c>
      <c r="N406" s="8">
        <v>0</v>
      </c>
      <c r="O406" s="8">
        <v>2</v>
      </c>
      <c r="P406" s="8">
        <v>2</v>
      </c>
      <c r="Q406" s="8">
        <v>2</v>
      </c>
      <c r="R406" s="8">
        <v>2</v>
      </c>
      <c r="S406" s="8">
        <v>2</v>
      </c>
      <c r="T406" s="8">
        <v>2</v>
      </c>
      <c r="U406" s="8">
        <v>0</v>
      </c>
      <c r="V406" s="8">
        <v>2</v>
      </c>
      <c r="W406" s="8">
        <v>2</v>
      </c>
      <c r="X406" s="8">
        <v>2</v>
      </c>
      <c r="Y406" s="8">
        <v>0</v>
      </c>
      <c r="Z406" s="8">
        <v>2</v>
      </c>
      <c r="AA406" s="8">
        <v>0</v>
      </c>
      <c r="AB406" s="8">
        <v>0</v>
      </c>
      <c r="AC406" s="8">
        <v>0</v>
      </c>
      <c r="AD406" s="8">
        <v>2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11" t="s">
        <v>13</v>
      </c>
    </row>
    <row r="407" spans="1:46" ht="15.1" customHeight="1">
      <c r="A407" s="8"/>
      <c r="B407" s="9"/>
      <c r="C407" s="8"/>
      <c r="D407" s="9"/>
      <c r="E407" s="8">
        <v>0</v>
      </c>
      <c r="F407" s="8">
        <v>3</v>
      </c>
      <c r="G407" s="8">
        <v>14.5</v>
      </c>
      <c r="H407" s="8">
        <v>7</v>
      </c>
      <c r="I407" s="8">
        <v>11</v>
      </c>
      <c r="J407" s="8">
        <v>3.5</v>
      </c>
      <c r="K407" s="8">
        <v>6</v>
      </c>
      <c r="L407" s="8">
        <v>7</v>
      </c>
      <c r="M407" s="8">
        <v>5</v>
      </c>
      <c r="N407" s="8">
        <v>16.5</v>
      </c>
      <c r="O407" s="8">
        <v>7</v>
      </c>
      <c r="P407" s="8">
        <v>7</v>
      </c>
      <c r="Q407" s="8">
        <v>8</v>
      </c>
      <c r="R407" s="8">
        <v>7</v>
      </c>
      <c r="S407" s="8">
        <v>7</v>
      </c>
      <c r="T407" s="8">
        <v>6</v>
      </c>
      <c r="U407" s="8">
        <v>13</v>
      </c>
      <c r="V407" s="8">
        <v>8</v>
      </c>
      <c r="W407" s="8">
        <v>7</v>
      </c>
      <c r="X407" s="8">
        <v>9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11" t="s">
        <v>13</v>
      </c>
    </row>
    <row r="408" spans="1:46" ht="15.1" customHeight="1">
      <c r="A408" s="8">
        <v>135</v>
      </c>
      <c r="B408" s="9" t="s">
        <v>533</v>
      </c>
      <c r="C408" s="8" t="s">
        <v>534</v>
      </c>
      <c r="D408" s="9" t="s">
        <v>532</v>
      </c>
      <c r="E408" s="8" t="s">
        <v>54</v>
      </c>
      <c r="F408" s="8" t="s">
        <v>54</v>
      </c>
      <c r="G408" s="10" t="s">
        <v>67</v>
      </c>
      <c r="H408" s="8" t="s">
        <v>54</v>
      </c>
      <c r="I408" s="8" t="s">
        <v>54</v>
      </c>
      <c r="J408" s="8" t="s">
        <v>54</v>
      </c>
      <c r="K408" s="8" t="s">
        <v>54</v>
      </c>
      <c r="L408" s="8" t="s">
        <v>54</v>
      </c>
      <c r="M408" s="8" t="s">
        <v>54</v>
      </c>
      <c r="N408" s="10" t="s">
        <v>67</v>
      </c>
      <c r="O408" s="8" t="s">
        <v>54</v>
      </c>
      <c r="P408" s="8" t="s">
        <v>54</v>
      </c>
      <c r="Q408" s="8" t="s">
        <v>54</v>
      </c>
      <c r="R408" s="8" t="s">
        <v>54</v>
      </c>
      <c r="S408" s="8" t="s">
        <v>54</v>
      </c>
      <c r="T408" s="8" t="s">
        <v>54</v>
      </c>
      <c r="U408" s="10" t="s">
        <v>67</v>
      </c>
      <c r="V408" s="8" t="s">
        <v>54</v>
      </c>
      <c r="W408" s="8" t="s">
        <v>54</v>
      </c>
      <c r="X408" s="8" t="s">
        <v>54</v>
      </c>
      <c r="Y408" s="8" t="s">
        <v>54</v>
      </c>
      <c r="Z408" s="8" t="s">
        <v>54</v>
      </c>
      <c r="AA408" s="8" t="s">
        <v>54</v>
      </c>
      <c r="AB408" s="10" t="s">
        <v>67</v>
      </c>
      <c r="AC408" s="8" t="s">
        <v>54</v>
      </c>
      <c r="AD408" s="8" t="s">
        <v>54</v>
      </c>
      <c r="AE408" s="8" t="s">
        <v>54</v>
      </c>
      <c r="AF408" s="8" t="s">
        <v>54</v>
      </c>
      <c r="AG408" s="8" t="s">
        <v>54</v>
      </c>
      <c r="AH408" s="12" t="s">
        <v>55</v>
      </c>
      <c r="AI408" s="10" t="s">
        <v>67</v>
      </c>
      <c r="AJ408" s="8">
        <f>COUNTIF($E$408:$AI$408,"P")</f>
        <v>25</v>
      </c>
      <c r="AK408" s="8">
        <f>COUNTIF($E$408:$AI$408,"A")</f>
        <v>1</v>
      </c>
      <c r="AL408" s="8">
        <f>SUM($E$409:$AI$409)</f>
        <v>36</v>
      </c>
      <c r="AM408" s="8">
        <f>SUM($E$410:$AI$410)</f>
        <v>143.5</v>
      </c>
      <c r="AN408" s="8">
        <f>AL408+AM408</f>
        <v>178.5</v>
      </c>
      <c r="AO408" s="8">
        <f>COUNTIF($E$408:$AI$408,"CL")</f>
        <v>0</v>
      </c>
      <c r="AP408" s="8">
        <f>COUNTIF($E$408:$AI$408,"SL")</f>
        <v>0</v>
      </c>
      <c r="AQ408" s="8">
        <f>COUNTIF($E$408:$AI$408,"EL")</f>
        <v>0</v>
      </c>
      <c r="AR408" s="8">
        <f>COUNTIF($E$408:$AI$408,"H")</f>
        <v>0</v>
      </c>
      <c r="AS408" s="8"/>
      <c r="AT408" s="11" t="s">
        <v>13</v>
      </c>
    </row>
    <row r="409" spans="1:46" ht="15.1" customHeight="1">
      <c r="A409" s="8"/>
      <c r="B409" s="9"/>
      <c r="C409" s="8"/>
      <c r="D409" s="9"/>
      <c r="E409" s="8">
        <v>0</v>
      </c>
      <c r="F409" s="8">
        <v>2</v>
      </c>
      <c r="G409" s="8">
        <v>0</v>
      </c>
      <c r="H409" s="8">
        <v>2</v>
      </c>
      <c r="I409" s="8">
        <v>2</v>
      </c>
      <c r="J409" s="8">
        <v>2</v>
      </c>
      <c r="K409" s="8">
        <v>2</v>
      </c>
      <c r="L409" s="8">
        <v>2</v>
      </c>
      <c r="M409" s="8">
        <v>2</v>
      </c>
      <c r="N409" s="8">
        <v>0</v>
      </c>
      <c r="O409" s="8">
        <v>2</v>
      </c>
      <c r="P409" s="8">
        <v>2</v>
      </c>
      <c r="Q409" s="8">
        <v>2</v>
      </c>
      <c r="R409" s="8">
        <v>2</v>
      </c>
      <c r="S409" s="8">
        <v>2</v>
      </c>
      <c r="T409" s="8">
        <v>2</v>
      </c>
      <c r="U409" s="8">
        <v>0</v>
      </c>
      <c r="V409" s="8">
        <v>2</v>
      </c>
      <c r="W409" s="8">
        <v>2</v>
      </c>
      <c r="X409" s="8">
        <v>2</v>
      </c>
      <c r="Y409" s="8">
        <v>1</v>
      </c>
      <c r="Z409" s="8">
        <v>0</v>
      </c>
      <c r="AA409" s="8">
        <v>1</v>
      </c>
      <c r="AB409" s="8">
        <v>0</v>
      </c>
      <c r="AC409" s="8">
        <v>0</v>
      </c>
      <c r="AD409" s="8">
        <v>2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11" t="s">
        <v>13</v>
      </c>
    </row>
    <row r="410" spans="1:46" ht="15.1" customHeight="1">
      <c r="A410" s="8"/>
      <c r="B410" s="9"/>
      <c r="C410" s="8"/>
      <c r="D410" s="9"/>
      <c r="E410" s="8">
        <v>0</v>
      </c>
      <c r="F410" s="8">
        <v>3</v>
      </c>
      <c r="G410" s="8">
        <v>0</v>
      </c>
      <c r="H410" s="8">
        <v>7</v>
      </c>
      <c r="I410" s="8">
        <v>11</v>
      </c>
      <c r="J410" s="8">
        <v>3</v>
      </c>
      <c r="K410" s="8">
        <v>7</v>
      </c>
      <c r="L410" s="8">
        <v>7</v>
      </c>
      <c r="M410" s="8">
        <v>5</v>
      </c>
      <c r="N410" s="8">
        <v>17</v>
      </c>
      <c r="O410" s="8">
        <v>11</v>
      </c>
      <c r="P410" s="8">
        <v>1</v>
      </c>
      <c r="Q410" s="8">
        <v>11</v>
      </c>
      <c r="R410" s="8">
        <v>7</v>
      </c>
      <c r="S410" s="8">
        <v>9</v>
      </c>
      <c r="T410" s="8">
        <v>5</v>
      </c>
      <c r="U410" s="8">
        <v>12</v>
      </c>
      <c r="V410" s="8">
        <v>11</v>
      </c>
      <c r="W410" s="8">
        <v>7</v>
      </c>
      <c r="X410" s="8">
        <v>9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0.5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11" t="s">
        <v>13</v>
      </c>
    </row>
    <row r="411" spans="1:46" ht="15.1" customHeight="1">
      <c r="A411" s="8">
        <v>136</v>
      </c>
      <c r="B411" s="9" t="s">
        <v>535</v>
      </c>
      <c r="C411" s="8" t="s">
        <v>536</v>
      </c>
      <c r="D411" s="9" t="s">
        <v>532</v>
      </c>
      <c r="E411" s="12" t="s">
        <v>55</v>
      </c>
      <c r="F411" s="12" t="s">
        <v>55</v>
      </c>
      <c r="G411" s="10" t="s">
        <v>67</v>
      </c>
      <c r="H411" s="8" t="s">
        <v>54</v>
      </c>
      <c r="I411" s="8" t="s">
        <v>54</v>
      </c>
      <c r="J411" s="8" t="s">
        <v>54</v>
      </c>
      <c r="K411" s="8" t="s">
        <v>54</v>
      </c>
      <c r="L411" s="8" t="s">
        <v>54</v>
      </c>
      <c r="M411" s="8" t="s">
        <v>54</v>
      </c>
      <c r="N411" s="10" t="s">
        <v>67</v>
      </c>
      <c r="O411" s="8" t="s">
        <v>54</v>
      </c>
      <c r="P411" s="8" t="s">
        <v>54</v>
      </c>
      <c r="Q411" s="8" t="s">
        <v>54</v>
      </c>
      <c r="R411" s="12" t="s">
        <v>55</v>
      </c>
      <c r="S411" s="12" t="s">
        <v>55</v>
      </c>
      <c r="T411" s="12" t="s">
        <v>55</v>
      </c>
      <c r="U411" s="10" t="s">
        <v>67</v>
      </c>
      <c r="V411" s="8" t="s">
        <v>54</v>
      </c>
      <c r="W411" s="8" t="s">
        <v>54</v>
      </c>
      <c r="X411" s="8" t="s">
        <v>54</v>
      </c>
      <c r="Y411" s="8" t="s">
        <v>54</v>
      </c>
      <c r="Z411" s="8" t="s">
        <v>54</v>
      </c>
      <c r="AA411" s="8" t="s">
        <v>54</v>
      </c>
      <c r="AB411" s="10" t="s">
        <v>67</v>
      </c>
      <c r="AC411" s="8" t="s">
        <v>54</v>
      </c>
      <c r="AD411" s="8" t="s">
        <v>54</v>
      </c>
      <c r="AE411" s="8" t="s">
        <v>54</v>
      </c>
      <c r="AF411" s="8" t="s">
        <v>54</v>
      </c>
      <c r="AG411" s="8" t="s">
        <v>54</v>
      </c>
      <c r="AH411" s="12" t="s">
        <v>55</v>
      </c>
      <c r="AI411" s="10" t="s">
        <v>67</v>
      </c>
      <c r="AJ411" s="8">
        <f>COUNTIF($E$411:$AI$411,"P")</f>
        <v>20</v>
      </c>
      <c r="AK411" s="8">
        <f>COUNTIF($E$411:$AI$411,"A")</f>
        <v>6</v>
      </c>
      <c r="AL411" s="8">
        <f>SUM($E$412:$AI$412)</f>
        <v>27</v>
      </c>
      <c r="AM411" s="8">
        <f>SUM($E$413:$AI$413)</f>
        <v>94.5</v>
      </c>
      <c r="AN411" s="8">
        <f>AL411+AM411</f>
        <v>121</v>
      </c>
      <c r="AO411" s="8">
        <f>COUNTIF($E$411:$AI$411,"CL")</f>
        <v>0</v>
      </c>
      <c r="AP411" s="8">
        <f>COUNTIF($E$411:$AI$411,"SL")</f>
        <v>0</v>
      </c>
      <c r="AQ411" s="8">
        <f>COUNTIF($E$411:$AI$411,"EL")</f>
        <v>0</v>
      </c>
      <c r="AR411" s="8">
        <f>COUNTIF($E$411:$AI$411,"H")</f>
        <v>0</v>
      </c>
      <c r="AS411" s="8"/>
      <c r="AT411" s="11" t="s">
        <v>13</v>
      </c>
    </row>
    <row r="412" spans="1:46" ht="15.1" customHeight="1">
      <c r="A412" s="8"/>
      <c r="B412" s="9"/>
      <c r="C412" s="8"/>
      <c r="D412" s="9"/>
      <c r="E412" s="8">
        <v>0</v>
      </c>
      <c r="F412" s="8">
        <v>0</v>
      </c>
      <c r="G412" s="8">
        <v>0</v>
      </c>
      <c r="H412" s="8">
        <v>2</v>
      </c>
      <c r="I412" s="8">
        <v>2</v>
      </c>
      <c r="J412" s="8">
        <v>2</v>
      </c>
      <c r="K412" s="8">
        <v>2</v>
      </c>
      <c r="L412" s="8">
        <v>2</v>
      </c>
      <c r="M412" s="8">
        <v>2</v>
      </c>
      <c r="N412" s="8">
        <v>0</v>
      </c>
      <c r="O412" s="8">
        <v>2</v>
      </c>
      <c r="P412" s="8">
        <v>2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2</v>
      </c>
      <c r="W412" s="8">
        <v>2</v>
      </c>
      <c r="X412" s="8">
        <v>2</v>
      </c>
      <c r="Y412" s="8">
        <v>0</v>
      </c>
      <c r="Z412" s="8">
        <v>2</v>
      </c>
      <c r="AA412" s="8">
        <v>1</v>
      </c>
      <c r="AB412" s="8">
        <v>0</v>
      </c>
      <c r="AC412" s="8">
        <v>0</v>
      </c>
      <c r="AD412" s="8">
        <v>2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11" t="s">
        <v>13</v>
      </c>
    </row>
    <row r="413" spans="1:46" ht="15.1" customHeight="1">
      <c r="A413" s="8"/>
      <c r="B413" s="9"/>
      <c r="C413" s="8"/>
      <c r="D413" s="9"/>
      <c r="E413" s="8">
        <v>0</v>
      </c>
      <c r="F413" s="8">
        <v>0</v>
      </c>
      <c r="G413" s="8">
        <v>0</v>
      </c>
      <c r="H413" s="8">
        <v>7</v>
      </c>
      <c r="I413" s="8">
        <v>11</v>
      </c>
      <c r="J413" s="8">
        <v>5</v>
      </c>
      <c r="K413" s="8">
        <v>5</v>
      </c>
      <c r="L413" s="8">
        <v>7</v>
      </c>
      <c r="M413" s="8">
        <v>5</v>
      </c>
      <c r="N413" s="8">
        <v>16.5</v>
      </c>
      <c r="O413" s="8">
        <v>7</v>
      </c>
      <c r="P413" s="8">
        <v>7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8</v>
      </c>
      <c r="W413" s="8">
        <v>7</v>
      </c>
      <c r="X413" s="8">
        <v>9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11" t="s">
        <v>13</v>
      </c>
    </row>
    <row r="414" spans="1:46" ht="15.1" customHeight="1">
      <c r="A414" s="8">
        <v>137</v>
      </c>
      <c r="B414" s="9" t="s">
        <v>537</v>
      </c>
      <c r="C414" s="8" t="s">
        <v>538</v>
      </c>
      <c r="D414" s="9" t="s">
        <v>532</v>
      </c>
      <c r="E414" s="8" t="s">
        <v>54</v>
      </c>
      <c r="F414" s="8" t="s">
        <v>54</v>
      </c>
      <c r="G414" s="10" t="s">
        <v>67</v>
      </c>
      <c r="H414" s="8" t="s">
        <v>54</v>
      </c>
      <c r="I414" s="8" t="s">
        <v>54</v>
      </c>
      <c r="J414" s="8" t="s">
        <v>54</v>
      </c>
      <c r="K414" s="8" t="s">
        <v>54</v>
      </c>
      <c r="L414" s="8" t="s">
        <v>54</v>
      </c>
      <c r="M414" s="8" t="s">
        <v>54</v>
      </c>
      <c r="N414" s="10" t="s">
        <v>67</v>
      </c>
      <c r="O414" s="8" t="s">
        <v>54</v>
      </c>
      <c r="P414" s="8" t="s">
        <v>54</v>
      </c>
      <c r="Q414" s="8" t="s">
        <v>54</v>
      </c>
      <c r="R414" s="8" t="s">
        <v>54</v>
      </c>
      <c r="S414" s="8" t="s">
        <v>54</v>
      </c>
      <c r="T414" s="8" t="s">
        <v>54</v>
      </c>
      <c r="U414" s="10" t="s">
        <v>67</v>
      </c>
      <c r="V414" s="8" t="s">
        <v>54</v>
      </c>
      <c r="W414" s="12" t="s">
        <v>55</v>
      </c>
      <c r="X414" s="12" t="s">
        <v>55</v>
      </c>
      <c r="Y414" s="12" t="s">
        <v>55</v>
      </c>
      <c r="Z414" s="12" t="s">
        <v>55</v>
      </c>
      <c r="AA414" s="12" t="s">
        <v>55</v>
      </c>
      <c r="AB414" s="10" t="s">
        <v>67</v>
      </c>
      <c r="AC414" s="8" t="s">
        <v>54</v>
      </c>
      <c r="AD414" s="8" t="s">
        <v>54</v>
      </c>
      <c r="AE414" s="8" t="s">
        <v>54</v>
      </c>
      <c r="AF414" s="8" t="s">
        <v>54</v>
      </c>
      <c r="AG414" s="8" t="s">
        <v>54</v>
      </c>
      <c r="AH414" s="12" t="s">
        <v>55</v>
      </c>
      <c r="AI414" s="10" t="s">
        <v>67</v>
      </c>
      <c r="AJ414" s="8">
        <f>COUNTIF($E$414:$AI$414,"P")</f>
        <v>20</v>
      </c>
      <c r="AK414" s="8">
        <f>COUNTIF($E$414:$AI$414,"A")</f>
        <v>6</v>
      </c>
      <c r="AL414" s="8">
        <f>SUM($E$415:$AI$415)</f>
        <v>30</v>
      </c>
      <c r="AM414" s="8">
        <f>SUM($E$416:$AI$416)</f>
        <v>137.5</v>
      </c>
      <c r="AN414" s="8">
        <f>AL414+AM414</f>
        <v>167.5</v>
      </c>
      <c r="AO414" s="8">
        <f>COUNTIF($E$414:$AI$414,"CL")</f>
        <v>0</v>
      </c>
      <c r="AP414" s="8">
        <f>COUNTIF($E$414:$AI$414,"SL")</f>
        <v>0</v>
      </c>
      <c r="AQ414" s="8">
        <f>COUNTIF($E$414:$AI$414,"EL")</f>
        <v>0</v>
      </c>
      <c r="AR414" s="8">
        <f>COUNTIF($E$414:$AI$414,"H")</f>
        <v>0</v>
      </c>
      <c r="AS414" s="8"/>
      <c r="AT414" s="11" t="s">
        <v>13</v>
      </c>
    </row>
    <row r="415" spans="1:46" ht="15.1" customHeight="1">
      <c r="A415" s="8"/>
      <c r="B415" s="9"/>
      <c r="C415" s="8"/>
      <c r="D415" s="9"/>
      <c r="E415" s="8">
        <v>0</v>
      </c>
      <c r="F415" s="8">
        <v>2</v>
      </c>
      <c r="G415" s="8">
        <v>0</v>
      </c>
      <c r="H415" s="8">
        <v>2</v>
      </c>
      <c r="I415" s="8">
        <v>2</v>
      </c>
      <c r="J415" s="8">
        <v>2</v>
      </c>
      <c r="K415" s="8">
        <v>2</v>
      </c>
      <c r="L415" s="8">
        <v>2</v>
      </c>
      <c r="M415" s="8">
        <v>2</v>
      </c>
      <c r="N415" s="8">
        <v>0</v>
      </c>
      <c r="O415" s="8">
        <v>2</v>
      </c>
      <c r="P415" s="8">
        <v>2</v>
      </c>
      <c r="Q415" s="8">
        <v>2</v>
      </c>
      <c r="R415" s="8">
        <v>2</v>
      </c>
      <c r="S415" s="8">
        <v>2</v>
      </c>
      <c r="T415" s="8">
        <v>2</v>
      </c>
      <c r="U415" s="8">
        <v>0</v>
      </c>
      <c r="V415" s="8">
        <v>2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2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11" t="s">
        <v>13</v>
      </c>
    </row>
    <row r="416" spans="1:46" ht="15.1" customHeight="1">
      <c r="A416" s="8"/>
      <c r="B416" s="9"/>
      <c r="C416" s="8"/>
      <c r="D416" s="9"/>
      <c r="E416" s="8">
        <v>0</v>
      </c>
      <c r="F416" s="8">
        <v>3</v>
      </c>
      <c r="G416" s="8">
        <v>15</v>
      </c>
      <c r="H416" s="8">
        <v>7</v>
      </c>
      <c r="I416" s="8">
        <v>11</v>
      </c>
      <c r="J416" s="8">
        <v>3.5</v>
      </c>
      <c r="K416" s="8">
        <v>6</v>
      </c>
      <c r="L416" s="8">
        <v>7</v>
      </c>
      <c r="M416" s="8">
        <v>5</v>
      </c>
      <c r="N416" s="8">
        <v>17</v>
      </c>
      <c r="O416" s="8">
        <v>7</v>
      </c>
      <c r="P416" s="8">
        <v>7</v>
      </c>
      <c r="Q416" s="8">
        <v>8</v>
      </c>
      <c r="R416" s="8">
        <v>7</v>
      </c>
      <c r="S416" s="8">
        <v>7</v>
      </c>
      <c r="T416" s="8">
        <v>6</v>
      </c>
      <c r="U416" s="8">
        <v>13</v>
      </c>
      <c r="V416" s="8">
        <v>8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11" t="s">
        <v>13</v>
      </c>
    </row>
    <row r="417" spans="1:46" ht="15.1" customHeight="1">
      <c r="A417" s="8">
        <v>138</v>
      </c>
      <c r="B417" s="9" t="s">
        <v>539</v>
      </c>
      <c r="C417" s="8" t="s">
        <v>540</v>
      </c>
      <c r="D417" s="9" t="s">
        <v>266</v>
      </c>
      <c r="E417" s="8" t="s">
        <v>54</v>
      </c>
      <c r="F417" s="8" t="s">
        <v>54</v>
      </c>
      <c r="G417" s="10" t="s">
        <v>67</v>
      </c>
      <c r="H417" s="8" t="s">
        <v>54</v>
      </c>
      <c r="I417" s="8" t="s">
        <v>54</v>
      </c>
      <c r="J417" s="8" t="s">
        <v>54</v>
      </c>
      <c r="K417" s="8" t="s">
        <v>54</v>
      </c>
      <c r="L417" s="8" t="s">
        <v>54</v>
      </c>
      <c r="M417" s="8" t="s">
        <v>54</v>
      </c>
      <c r="N417" s="10" t="s">
        <v>67</v>
      </c>
      <c r="O417" s="8" t="s">
        <v>54</v>
      </c>
      <c r="P417" s="8" t="s">
        <v>54</v>
      </c>
      <c r="Q417" s="8" t="s">
        <v>54</v>
      </c>
      <c r="R417" s="8" t="s">
        <v>54</v>
      </c>
      <c r="S417" s="8" t="s">
        <v>54</v>
      </c>
      <c r="T417" s="8" t="s">
        <v>54</v>
      </c>
      <c r="U417" s="10" t="s">
        <v>67</v>
      </c>
      <c r="V417" s="8" t="s">
        <v>54</v>
      </c>
      <c r="W417" s="8" t="s">
        <v>54</v>
      </c>
      <c r="X417" s="8" t="s">
        <v>54</v>
      </c>
      <c r="Y417" s="8" t="s">
        <v>54</v>
      </c>
      <c r="Z417" s="8" t="s">
        <v>54</v>
      </c>
      <c r="AA417" s="8" t="s">
        <v>54</v>
      </c>
      <c r="AB417" s="10" t="s">
        <v>67</v>
      </c>
      <c r="AC417" s="8" t="s">
        <v>54</v>
      </c>
      <c r="AD417" s="8" t="s">
        <v>54</v>
      </c>
      <c r="AE417" s="8" t="s">
        <v>54</v>
      </c>
      <c r="AF417" s="8" t="s">
        <v>54</v>
      </c>
      <c r="AG417" s="8" t="s">
        <v>54</v>
      </c>
      <c r="AH417" s="12" t="s">
        <v>55</v>
      </c>
      <c r="AI417" s="10" t="s">
        <v>67</v>
      </c>
      <c r="AJ417" s="8">
        <f>COUNTIF($E$417:$AI$417,"P")</f>
        <v>25</v>
      </c>
      <c r="AK417" s="8">
        <f>COUNTIF($E$417:$AI$417,"A")</f>
        <v>1</v>
      </c>
      <c r="AL417" s="8">
        <f>SUM($E$418:$AI$418)</f>
        <v>35</v>
      </c>
      <c r="AM417" s="8">
        <f>SUM($E$419:$AI$419)</f>
        <v>138.5</v>
      </c>
      <c r="AN417" s="8">
        <f>AL417+AM417</f>
        <v>172.5</v>
      </c>
      <c r="AO417" s="8">
        <f>COUNTIF($E$417:$AI$417,"CL")</f>
        <v>0</v>
      </c>
      <c r="AP417" s="8">
        <f>COUNTIF($E$417:$AI$417,"SL")</f>
        <v>0</v>
      </c>
      <c r="AQ417" s="8">
        <f>COUNTIF($E$417:$AI$417,"EL")</f>
        <v>0</v>
      </c>
      <c r="AR417" s="8">
        <f>COUNTIF($E$417:$AI$417,"H")</f>
        <v>0</v>
      </c>
      <c r="AS417" s="8"/>
      <c r="AT417" s="11" t="s">
        <v>14</v>
      </c>
    </row>
    <row r="418" spans="1:46" ht="15.1" customHeight="1">
      <c r="A418" s="8"/>
      <c r="B418" s="9"/>
      <c r="C418" s="8"/>
      <c r="D418" s="9"/>
      <c r="E418" s="8">
        <v>2</v>
      </c>
      <c r="F418" s="8">
        <v>2</v>
      </c>
      <c r="G418" s="8">
        <v>0</v>
      </c>
      <c r="H418" s="8">
        <v>2</v>
      </c>
      <c r="I418" s="8">
        <v>2</v>
      </c>
      <c r="J418" s="8">
        <v>2</v>
      </c>
      <c r="K418" s="8">
        <v>2</v>
      </c>
      <c r="L418" s="8">
        <v>2</v>
      </c>
      <c r="M418" s="8">
        <v>2</v>
      </c>
      <c r="N418" s="8">
        <v>0</v>
      </c>
      <c r="O418" s="8">
        <v>2</v>
      </c>
      <c r="P418" s="8">
        <v>2</v>
      </c>
      <c r="Q418" s="8">
        <v>2</v>
      </c>
      <c r="R418" s="8">
        <v>2</v>
      </c>
      <c r="S418" s="8">
        <v>2</v>
      </c>
      <c r="T418" s="8">
        <v>2</v>
      </c>
      <c r="U418" s="8">
        <v>0</v>
      </c>
      <c r="V418" s="8">
        <v>2</v>
      </c>
      <c r="W418" s="8">
        <v>2</v>
      </c>
      <c r="X418" s="8">
        <v>2</v>
      </c>
      <c r="Y418" s="8">
        <v>0</v>
      </c>
      <c r="Z418" s="8">
        <v>1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11" t="s">
        <v>14</v>
      </c>
    </row>
    <row r="419" spans="1:46" ht="15.1" customHeight="1">
      <c r="A419" s="8"/>
      <c r="B419" s="9"/>
      <c r="C419" s="8"/>
      <c r="D419" s="9"/>
      <c r="E419" s="8">
        <v>0</v>
      </c>
      <c r="F419" s="8">
        <v>3</v>
      </c>
      <c r="G419" s="8">
        <v>14.5</v>
      </c>
      <c r="H419" s="8">
        <v>7</v>
      </c>
      <c r="I419" s="8">
        <v>7</v>
      </c>
      <c r="J419" s="8">
        <v>6</v>
      </c>
      <c r="K419" s="8">
        <v>7</v>
      </c>
      <c r="L419" s="8">
        <v>9</v>
      </c>
      <c r="M419" s="8">
        <v>1</v>
      </c>
      <c r="N419" s="8">
        <v>17</v>
      </c>
      <c r="O419" s="8">
        <v>7</v>
      </c>
      <c r="P419" s="8">
        <v>6</v>
      </c>
      <c r="Q419" s="8">
        <v>7</v>
      </c>
      <c r="R419" s="8">
        <v>7</v>
      </c>
      <c r="S419" s="8">
        <v>8.5</v>
      </c>
      <c r="T419" s="8">
        <v>0</v>
      </c>
      <c r="U419" s="8">
        <v>12.5</v>
      </c>
      <c r="V419" s="8">
        <v>7</v>
      </c>
      <c r="W419" s="8">
        <v>6</v>
      </c>
      <c r="X419" s="8">
        <v>6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11" t="s">
        <v>14</v>
      </c>
    </row>
    <row r="420" spans="1:46" ht="15.1" customHeight="1">
      <c r="A420" s="8">
        <v>139</v>
      </c>
      <c r="B420" s="9" t="s">
        <v>541</v>
      </c>
      <c r="C420" s="8" t="s">
        <v>542</v>
      </c>
      <c r="D420" s="9" t="s">
        <v>266</v>
      </c>
      <c r="E420" s="8" t="s">
        <v>54</v>
      </c>
      <c r="F420" s="8" t="s">
        <v>54</v>
      </c>
      <c r="G420" s="10" t="s">
        <v>67</v>
      </c>
      <c r="H420" s="8" t="s">
        <v>54</v>
      </c>
      <c r="I420" s="8" t="s">
        <v>54</v>
      </c>
      <c r="J420" s="8" t="s">
        <v>54</v>
      </c>
      <c r="K420" s="8" t="s">
        <v>54</v>
      </c>
      <c r="L420" s="8" t="s">
        <v>54</v>
      </c>
      <c r="M420" s="8" t="s">
        <v>54</v>
      </c>
      <c r="N420" s="10" t="s">
        <v>67</v>
      </c>
      <c r="O420" s="8" t="s">
        <v>54</v>
      </c>
      <c r="P420" s="8" t="s">
        <v>54</v>
      </c>
      <c r="Q420" s="8" t="s">
        <v>54</v>
      </c>
      <c r="R420" s="8" t="s">
        <v>54</v>
      </c>
      <c r="S420" s="8" t="s">
        <v>54</v>
      </c>
      <c r="T420" s="8" t="s">
        <v>54</v>
      </c>
      <c r="U420" s="10" t="s">
        <v>67</v>
      </c>
      <c r="V420" s="8" t="s">
        <v>54</v>
      </c>
      <c r="W420" s="8" t="s">
        <v>54</v>
      </c>
      <c r="X420" s="8" t="s">
        <v>54</v>
      </c>
      <c r="Y420" s="8" t="s">
        <v>54</v>
      </c>
      <c r="Z420" s="8" t="s">
        <v>54</v>
      </c>
      <c r="AA420" s="8" t="s">
        <v>54</v>
      </c>
      <c r="AB420" s="10" t="s">
        <v>67</v>
      </c>
      <c r="AC420" s="8" t="s">
        <v>54</v>
      </c>
      <c r="AD420" s="8" t="s">
        <v>54</v>
      </c>
      <c r="AE420" s="8" t="s">
        <v>54</v>
      </c>
      <c r="AF420" s="8" t="s">
        <v>54</v>
      </c>
      <c r="AG420" s="8" t="s">
        <v>54</v>
      </c>
      <c r="AH420" s="12" t="s">
        <v>55</v>
      </c>
      <c r="AI420" s="10" t="s">
        <v>67</v>
      </c>
      <c r="AJ420" s="8">
        <f>COUNTIF($E$420:$AI$420,"P")</f>
        <v>25</v>
      </c>
      <c r="AK420" s="8">
        <f>COUNTIF($E$420:$AI$420,"A")</f>
        <v>1</v>
      </c>
      <c r="AL420" s="8">
        <f>SUM($E$421:$AI$421)</f>
        <v>38</v>
      </c>
      <c r="AM420" s="8">
        <f>SUM($E$422:$AI$422)</f>
        <v>149.5</v>
      </c>
      <c r="AN420" s="8">
        <f>AL420+AM420</f>
        <v>187.5</v>
      </c>
      <c r="AO420" s="8">
        <f>COUNTIF($E$420:$AI$420,"CL")</f>
        <v>0</v>
      </c>
      <c r="AP420" s="8">
        <f>COUNTIF($E$420:$AI$420,"SL")</f>
        <v>0</v>
      </c>
      <c r="AQ420" s="8">
        <f>COUNTIF($E$420:$AI$420,"EL")</f>
        <v>0</v>
      </c>
      <c r="AR420" s="8">
        <f>COUNTIF($E$420:$AI$420,"H")</f>
        <v>0</v>
      </c>
      <c r="AS420" s="8"/>
      <c r="AT420" s="11" t="s">
        <v>14</v>
      </c>
    </row>
    <row r="421" spans="1:46" ht="15.1" customHeight="1">
      <c r="A421" s="8"/>
      <c r="B421" s="9"/>
      <c r="C421" s="8"/>
      <c r="D421" s="9"/>
      <c r="E421" s="8">
        <v>2</v>
      </c>
      <c r="F421" s="8">
        <v>2</v>
      </c>
      <c r="G421" s="8">
        <v>0</v>
      </c>
      <c r="H421" s="8">
        <v>2</v>
      </c>
      <c r="I421" s="8">
        <v>2</v>
      </c>
      <c r="J421" s="8">
        <v>2</v>
      </c>
      <c r="K421" s="8">
        <v>2</v>
      </c>
      <c r="L421" s="8">
        <v>2</v>
      </c>
      <c r="M421" s="8">
        <v>2</v>
      </c>
      <c r="N421" s="8">
        <v>0</v>
      </c>
      <c r="O421" s="8">
        <v>2</v>
      </c>
      <c r="P421" s="8">
        <v>2</v>
      </c>
      <c r="Q421" s="8">
        <v>2</v>
      </c>
      <c r="R421" s="8">
        <v>2</v>
      </c>
      <c r="S421" s="8">
        <v>2</v>
      </c>
      <c r="T421" s="8">
        <v>2</v>
      </c>
      <c r="U421" s="8">
        <v>0</v>
      </c>
      <c r="V421" s="8">
        <v>2</v>
      </c>
      <c r="W421" s="8">
        <v>2</v>
      </c>
      <c r="X421" s="8">
        <v>2</v>
      </c>
      <c r="Y421" s="8">
        <v>0</v>
      </c>
      <c r="Z421" s="8">
        <v>2</v>
      </c>
      <c r="AA421" s="8">
        <v>0</v>
      </c>
      <c r="AB421" s="8">
        <v>0</v>
      </c>
      <c r="AC421" s="8">
        <v>2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11" t="s">
        <v>14</v>
      </c>
    </row>
    <row r="422" spans="1:46" ht="15.1" customHeight="1">
      <c r="A422" s="8"/>
      <c r="B422" s="9"/>
      <c r="C422" s="8"/>
      <c r="D422" s="9"/>
      <c r="E422" s="8">
        <v>0</v>
      </c>
      <c r="F422" s="8">
        <v>3</v>
      </c>
      <c r="G422" s="8">
        <v>15</v>
      </c>
      <c r="H422" s="8">
        <v>7</v>
      </c>
      <c r="I422" s="8">
        <v>7</v>
      </c>
      <c r="J422" s="8">
        <v>5</v>
      </c>
      <c r="K422" s="8">
        <v>7</v>
      </c>
      <c r="L422" s="8">
        <v>7</v>
      </c>
      <c r="M422" s="8">
        <v>10</v>
      </c>
      <c r="N422" s="8">
        <v>15</v>
      </c>
      <c r="O422" s="8">
        <v>7</v>
      </c>
      <c r="P422" s="8">
        <v>7</v>
      </c>
      <c r="Q422" s="8">
        <v>7</v>
      </c>
      <c r="R422" s="8">
        <v>7</v>
      </c>
      <c r="S422" s="8">
        <v>9</v>
      </c>
      <c r="T422" s="8">
        <v>4</v>
      </c>
      <c r="U422" s="8">
        <v>13</v>
      </c>
      <c r="V422" s="8">
        <v>11</v>
      </c>
      <c r="W422" s="8">
        <v>4</v>
      </c>
      <c r="X422" s="8">
        <v>2</v>
      </c>
      <c r="Y422" s="8">
        <v>0</v>
      </c>
      <c r="Z422" s="8">
        <v>2.5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11" t="s">
        <v>14</v>
      </c>
    </row>
    <row r="423" spans="1:46" ht="15.1" customHeight="1">
      <c r="A423" s="8">
        <v>140</v>
      </c>
      <c r="B423" s="9" t="s">
        <v>543</v>
      </c>
      <c r="C423" s="8" t="s">
        <v>544</v>
      </c>
      <c r="D423" s="9" t="s">
        <v>266</v>
      </c>
      <c r="E423" s="8" t="s">
        <v>54</v>
      </c>
      <c r="F423" s="8" t="s">
        <v>54</v>
      </c>
      <c r="G423" s="10" t="s">
        <v>67</v>
      </c>
      <c r="H423" s="8" t="s">
        <v>54</v>
      </c>
      <c r="I423" s="8" t="s">
        <v>54</v>
      </c>
      <c r="J423" s="8" t="s">
        <v>54</v>
      </c>
      <c r="K423" s="8" t="s">
        <v>54</v>
      </c>
      <c r="L423" s="8" t="s">
        <v>54</v>
      </c>
      <c r="M423" s="8" t="s">
        <v>54</v>
      </c>
      <c r="N423" s="10" t="s">
        <v>67</v>
      </c>
      <c r="O423" s="8" t="s">
        <v>54</v>
      </c>
      <c r="P423" s="8" t="s">
        <v>54</v>
      </c>
      <c r="Q423" s="8" t="s">
        <v>54</v>
      </c>
      <c r="R423" s="8" t="s">
        <v>54</v>
      </c>
      <c r="S423" s="8" t="s">
        <v>54</v>
      </c>
      <c r="T423" s="8" t="s">
        <v>54</v>
      </c>
      <c r="U423" s="10" t="s">
        <v>67</v>
      </c>
      <c r="V423" s="8" t="s">
        <v>54</v>
      </c>
      <c r="W423" s="8" t="s">
        <v>54</v>
      </c>
      <c r="X423" s="8" t="s">
        <v>54</v>
      </c>
      <c r="Y423" s="8" t="s">
        <v>54</v>
      </c>
      <c r="Z423" s="8" t="s">
        <v>54</v>
      </c>
      <c r="AA423" s="8" t="s">
        <v>54</v>
      </c>
      <c r="AB423" s="10" t="s">
        <v>67</v>
      </c>
      <c r="AC423" s="8" t="s">
        <v>54</v>
      </c>
      <c r="AD423" s="8" t="s">
        <v>54</v>
      </c>
      <c r="AE423" s="8" t="s">
        <v>54</v>
      </c>
      <c r="AF423" s="8" t="s">
        <v>54</v>
      </c>
      <c r="AG423" s="8" t="s">
        <v>54</v>
      </c>
      <c r="AH423" s="12" t="s">
        <v>55</v>
      </c>
      <c r="AI423" s="10" t="s">
        <v>67</v>
      </c>
      <c r="AJ423" s="8">
        <f>COUNTIF($E$423:$AI$423,"P")</f>
        <v>25</v>
      </c>
      <c r="AK423" s="8">
        <f>COUNTIF($E$423:$AI$423,"A")</f>
        <v>1</v>
      </c>
      <c r="AL423" s="8">
        <f>SUM($E$424:$AI$424)</f>
        <v>39</v>
      </c>
      <c r="AM423" s="8">
        <f>SUM($E$425:$AI$425)</f>
        <v>152.5</v>
      </c>
      <c r="AN423" s="8">
        <f>AL423+AM423</f>
        <v>191.5</v>
      </c>
      <c r="AO423" s="8">
        <f>COUNTIF($E$423:$AI$423,"CL")</f>
        <v>0</v>
      </c>
      <c r="AP423" s="8">
        <f>COUNTIF($E$423:$AI$423,"SL")</f>
        <v>0</v>
      </c>
      <c r="AQ423" s="8">
        <f>COUNTIF($E$423:$AI$423,"EL")</f>
        <v>0</v>
      </c>
      <c r="AR423" s="8">
        <f>COUNTIF($E$423:$AI$423,"H")</f>
        <v>0</v>
      </c>
      <c r="AS423" s="8"/>
      <c r="AT423" s="11" t="s">
        <v>14</v>
      </c>
    </row>
    <row r="424" spans="1:46" ht="15.1" customHeight="1">
      <c r="A424" s="8"/>
      <c r="B424" s="9"/>
      <c r="C424" s="8"/>
      <c r="D424" s="9"/>
      <c r="E424" s="8">
        <v>2</v>
      </c>
      <c r="F424" s="8">
        <v>2</v>
      </c>
      <c r="G424" s="8">
        <v>0</v>
      </c>
      <c r="H424" s="8">
        <v>2</v>
      </c>
      <c r="I424" s="8">
        <v>2</v>
      </c>
      <c r="J424" s="8">
        <v>1</v>
      </c>
      <c r="K424" s="8">
        <v>2</v>
      </c>
      <c r="L424" s="8">
        <v>2</v>
      </c>
      <c r="M424" s="8">
        <v>2</v>
      </c>
      <c r="N424" s="8">
        <v>0</v>
      </c>
      <c r="O424" s="8">
        <v>2</v>
      </c>
      <c r="P424" s="8">
        <v>2</v>
      </c>
      <c r="Q424" s="8">
        <v>2</v>
      </c>
      <c r="R424" s="8">
        <v>2</v>
      </c>
      <c r="S424" s="8">
        <v>2</v>
      </c>
      <c r="T424" s="8">
        <v>2</v>
      </c>
      <c r="U424" s="8">
        <v>0</v>
      </c>
      <c r="V424" s="8">
        <v>2</v>
      </c>
      <c r="W424" s="8">
        <v>2</v>
      </c>
      <c r="X424" s="8">
        <v>2</v>
      </c>
      <c r="Y424" s="8">
        <v>0</v>
      </c>
      <c r="Z424" s="8">
        <v>2</v>
      </c>
      <c r="AA424" s="8">
        <v>0</v>
      </c>
      <c r="AB424" s="8">
        <v>0</v>
      </c>
      <c r="AC424" s="8">
        <v>2</v>
      </c>
      <c r="AD424" s="8">
        <v>2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11" t="s">
        <v>14</v>
      </c>
    </row>
    <row r="425" spans="1:46" ht="15.1" customHeight="1">
      <c r="A425" s="8"/>
      <c r="B425" s="9"/>
      <c r="C425" s="8"/>
      <c r="D425" s="9"/>
      <c r="E425" s="8">
        <v>0</v>
      </c>
      <c r="F425" s="8">
        <v>3</v>
      </c>
      <c r="G425" s="8">
        <v>15</v>
      </c>
      <c r="H425" s="8">
        <v>7</v>
      </c>
      <c r="I425" s="8">
        <v>11</v>
      </c>
      <c r="J425" s="8">
        <v>0</v>
      </c>
      <c r="K425" s="8">
        <v>7</v>
      </c>
      <c r="L425" s="8">
        <v>7</v>
      </c>
      <c r="M425" s="8">
        <v>10</v>
      </c>
      <c r="N425" s="8">
        <v>11</v>
      </c>
      <c r="O425" s="8">
        <v>7</v>
      </c>
      <c r="P425" s="8">
        <v>7</v>
      </c>
      <c r="Q425" s="8">
        <v>7</v>
      </c>
      <c r="R425" s="8">
        <v>10</v>
      </c>
      <c r="S425" s="8">
        <v>7</v>
      </c>
      <c r="T425" s="8">
        <v>11</v>
      </c>
      <c r="U425" s="8">
        <v>7</v>
      </c>
      <c r="V425" s="8">
        <v>7</v>
      </c>
      <c r="W425" s="8">
        <v>7</v>
      </c>
      <c r="X425" s="8">
        <v>6</v>
      </c>
      <c r="Y425" s="8">
        <v>0</v>
      </c>
      <c r="Z425" s="8">
        <v>2.5</v>
      </c>
      <c r="AA425" s="8">
        <v>0</v>
      </c>
      <c r="AB425" s="8">
        <v>0</v>
      </c>
      <c r="AC425" s="8">
        <v>0</v>
      </c>
      <c r="AD425" s="8">
        <v>3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11" t="s">
        <v>14</v>
      </c>
    </row>
    <row r="426" spans="1:46" ht="15.1" customHeight="1">
      <c r="A426" s="8">
        <v>141</v>
      </c>
      <c r="B426" s="9" t="s">
        <v>545</v>
      </c>
      <c r="C426" s="8" t="s">
        <v>546</v>
      </c>
      <c r="D426" s="9" t="s">
        <v>266</v>
      </c>
      <c r="E426" s="8" t="s">
        <v>54</v>
      </c>
      <c r="F426" s="8" t="s">
        <v>54</v>
      </c>
      <c r="G426" s="10" t="s">
        <v>67</v>
      </c>
      <c r="H426" s="8" t="s">
        <v>54</v>
      </c>
      <c r="I426" s="8" t="s">
        <v>54</v>
      </c>
      <c r="J426" s="8" t="s">
        <v>54</v>
      </c>
      <c r="K426" s="8" t="s">
        <v>54</v>
      </c>
      <c r="L426" s="8" t="s">
        <v>54</v>
      </c>
      <c r="M426" s="8" t="s">
        <v>54</v>
      </c>
      <c r="N426" s="10" t="s">
        <v>67</v>
      </c>
      <c r="O426" s="8" t="s">
        <v>54</v>
      </c>
      <c r="P426" s="8" t="s">
        <v>54</v>
      </c>
      <c r="Q426" s="8" t="s">
        <v>54</v>
      </c>
      <c r="R426" s="8" t="s">
        <v>54</v>
      </c>
      <c r="S426" s="8" t="s">
        <v>54</v>
      </c>
      <c r="T426" s="8" t="s">
        <v>54</v>
      </c>
      <c r="U426" s="10" t="s">
        <v>67</v>
      </c>
      <c r="V426" s="8" t="s">
        <v>54</v>
      </c>
      <c r="W426" s="8" t="s">
        <v>54</v>
      </c>
      <c r="X426" s="8" t="s">
        <v>54</v>
      </c>
      <c r="Y426" s="8" t="s">
        <v>54</v>
      </c>
      <c r="Z426" s="8" t="s">
        <v>54</v>
      </c>
      <c r="AA426" s="8" t="s">
        <v>54</v>
      </c>
      <c r="AB426" s="10" t="s">
        <v>67</v>
      </c>
      <c r="AC426" s="8" t="s">
        <v>54</v>
      </c>
      <c r="AD426" s="8" t="s">
        <v>54</v>
      </c>
      <c r="AE426" s="8" t="s">
        <v>54</v>
      </c>
      <c r="AF426" s="8" t="s">
        <v>54</v>
      </c>
      <c r="AG426" s="8" t="s">
        <v>54</v>
      </c>
      <c r="AH426" s="12" t="s">
        <v>55</v>
      </c>
      <c r="AI426" s="10" t="s">
        <v>67</v>
      </c>
      <c r="AJ426" s="8">
        <f>COUNTIF($E$426:$AI$426,"P")</f>
        <v>25</v>
      </c>
      <c r="AK426" s="8">
        <f>COUNTIF($E$426:$AI$426,"A")</f>
        <v>1</v>
      </c>
      <c r="AL426" s="8">
        <f>SUM($E$427:$AI$427)</f>
        <v>38</v>
      </c>
      <c r="AM426" s="8">
        <f>SUM($E$428:$AI$428)</f>
        <v>162.5</v>
      </c>
      <c r="AN426" s="8">
        <f>AL426+AM426</f>
        <v>200.5</v>
      </c>
      <c r="AO426" s="8">
        <f>COUNTIF($E$426:$AI$426,"CL")</f>
        <v>0</v>
      </c>
      <c r="AP426" s="8">
        <f>COUNTIF($E$426:$AI$426,"SL")</f>
        <v>0</v>
      </c>
      <c r="AQ426" s="8">
        <f>COUNTIF($E$426:$AI$426,"EL")</f>
        <v>0</v>
      </c>
      <c r="AR426" s="8">
        <f>COUNTIF($E$426:$AI$426,"H")</f>
        <v>0</v>
      </c>
      <c r="AS426" s="8"/>
      <c r="AT426" s="11" t="s">
        <v>14</v>
      </c>
    </row>
    <row r="427" spans="1:46" ht="15.1" customHeight="1">
      <c r="A427" s="8"/>
      <c r="B427" s="9"/>
      <c r="C427" s="8"/>
      <c r="D427" s="9"/>
      <c r="E427" s="8">
        <v>2</v>
      </c>
      <c r="F427" s="8">
        <v>2</v>
      </c>
      <c r="G427" s="8">
        <v>0</v>
      </c>
      <c r="H427" s="8">
        <v>2</v>
      </c>
      <c r="I427" s="8">
        <v>2</v>
      </c>
      <c r="J427" s="8">
        <v>2</v>
      </c>
      <c r="K427" s="8">
        <v>2</v>
      </c>
      <c r="L427" s="8">
        <v>2</v>
      </c>
      <c r="M427" s="8">
        <v>2</v>
      </c>
      <c r="N427" s="8">
        <v>0</v>
      </c>
      <c r="O427" s="8">
        <v>2</v>
      </c>
      <c r="P427" s="8">
        <v>2</v>
      </c>
      <c r="Q427" s="8">
        <v>2</v>
      </c>
      <c r="R427" s="8">
        <v>2</v>
      </c>
      <c r="S427" s="8">
        <v>2</v>
      </c>
      <c r="T427" s="8">
        <v>2</v>
      </c>
      <c r="U427" s="8">
        <v>0</v>
      </c>
      <c r="V427" s="8">
        <v>2</v>
      </c>
      <c r="W427" s="8">
        <v>2</v>
      </c>
      <c r="X427" s="8">
        <v>2</v>
      </c>
      <c r="Y427" s="8">
        <v>0</v>
      </c>
      <c r="Z427" s="8">
        <v>2</v>
      </c>
      <c r="AA427" s="8">
        <v>0</v>
      </c>
      <c r="AB427" s="8">
        <v>0</v>
      </c>
      <c r="AC427" s="8">
        <v>0</v>
      </c>
      <c r="AD427" s="8">
        <v>2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11" t="s">
        <v>14</v>
      </c>
    </row>
    <row r="428" spans="1:46" ht="15.1" customHeight="1">
      <c r="A428" s="8"/>
      <c r="B428" s="9"/>
      <c r="C428" s="8"/>
      <c r="D428" s="9"/>
      <c r="E428" s="8">
        <v>3</v>
      </c>
      <c r="F428" s="8">
        <v>3</v>
      </c>
      <c r="G428" s="8">
        <v>15</v>
      </c>
      <c r="H428" s="8">
        <v>7</v>
      </c>
      <c r="I428" s="8">
        <v>7</v>
      </c>
      <c r="J428" s="8">
        <v>6</v>
      </c>
      <c r="K428" s="8">
        <v>7</v>
      </c>
      <c r="L428" s="8">
        <v>7</v>
      </c>
      <c r="M428" s="8">
        <v>7</v>
      </c>
      <c r="N428" s="8">
        <v>17</v>
      </c>
      <c r="O428" s="8">
        <v>7</v>
      </c>
      <c r="P428" s="8">
        <v>7</v>
      </c>
      <c r="Q428" s="8">
        <v>7</v>
      </c>
      <c r="R428" s="8">
        <v>7</v>
      </c>
      <c r="S428" s="8">
        <v>7</v>
      </c>
      <c r="T428" s="8">
        <v>11</v>
      </c>
      <c r="U428" s="8">
        <v>12</v>
      </c>
      <c r="V428" s="8">
        <v>7</v>
      </c>
      <c r="W428" s="8">
        <v>7</v>
      </c>
      <c r="X428" s="8">
        <v>6</v>
      </c>
      <c r="Y428" s="8">
        <v>0</v>
      </c>
      <c r="Z428" s="8">
        <v>2.5</v>
      </c>
      <c r="AA428" s="8">
        <v>0</v>
      </c>
      <c r="AB428" s="8">
        <v>0</v>
      </c>
      <c r="AC428" s="8">
        <v>0</v>
      </c>
      <c r="AD428" s="8">
        <v>3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11" t="s">
        <v>14</v>
      </c>
    </row>
    <row r="429" spans="1:46" ht="15.1" customHeight="1">
      <c r="A429" s="8">
        <v>142</v>
      </c>
      <c r="B429" s="9" t="s">
        <v>547</v>
      </c>
      <c r="C429" s="8" t="s">
        <v>548</v>
      </c>
      <c r="D429" s="9" t="s">
        <v>266</v>
      </c>
      <c r="E429" s="8" t="s">
        <v>54</v>
      </c>
      <c r="F429" s="8" t="s">
        <v>54</v>
      </c>
      <c r="G429" s="10" t="s">
        <v>67</v>
      </c>
      <c r="H429" s="8" t="s">
        <v>54</v>
      </c>
      <c r="I429" s="8" t="s">
        <v>54</v>
      </c>
      <c r="J429" s="8" t="s">
        <v>54</v>
      </c>
      <c r="K429" s="8" t="s">
        <v>54</v>
      </c>
      <c r="L429" s="8" t="s">
        <v>54</v>
      </c>
      <c r="M429" s="8" t="s">
        <v>54</v>
      </c>
      <c r="N429" s="10" t="s">
        <v>67</v>
      </c>
      <c r="O429" s="8" t="s">
        <v>54</v>
      </c>
      <c r="P429" s="8" t="s">
        <v>54</v>
      </c>
      <c r="Q429" s="12" t="s">
        <v>55</v>
      </c>
      <c r="R429" s="8" t="s">
        <v>54</v>
      </c>
      <c r="S429" s="8" t="s">
        <v>54</v>
      </c>
      <c r="T429" s="8" t="s">
        <v>54</v>
      </c>
      <c r="U429" s="10" t="s">
        <v>67</v>
      </c>
      <c r="V429" s="8" t="s">
        <v>54</v>
      </c>
      <c r="W429" s="8" t="s">
        <v>54</v>
      </c>
      <c r="X429" s="8" t="s">
        <v>54</v>
      </c>
      <c r="Y429" s="8" t="s">
        <v>54</v>
      </c>
      <c r="Z429" s="8" t="s">
        <v>54</v>
      </c>
      <c r="AA429" s="8" t="s">
        <v>54</v>
      </c>
      <c r="AB429" s="10" t="s">
        <v>67</v>
      </c>
      <c r="AC429" s="8" t="s">
        <v>54</v>
      </c>
      <c r="AD429" s="8" t="s">
        <v>54</v>
      </c>
      <c r="AE429" s="12" t="s">
        <v>55</v>
      </c>
      <c r="AF429" s="8" t="s">
        <v>54</v>
      </c>
      <c r="AG429" s="8" t="s">
        <v>54</v>
      </c>
      <c r="AH429" s="12" t="s">
        <v>55</v>
      </c>
      <c r="AI429" s="10" t="s">
        <v>67</v>
      </c>
      <c r="AJ429" s="8">
        <f>COUNTIF($E$429:$AI$429,"P")</f>
        <v>23</v>
      </c>
      <c r="AK429" s="8">
        <f>COUNTIF($E$429:$AI$429,"A")</f>
        <v>3</v>
      </c>
      <c r="AL429" s="8">
        <f>SUM($E$430:$AI$430)</f>
        <v>37</v>
      </c>
      <c r="AM429" s="8">
        <f>SUM($E$431:$AI$431)</f>
        <v>134.5</v>
      </c>
      <c r="AN429" s="8">
        <f>AL429+AM429</f>
        <v>171.5</v>
      </c>
      <c r="AO429" s="8">
        <f>COUNTIF($E$429:$AI$429,"CL")</f>
        <v>0</v>
      </c>
      <c r="AP429" s="8">
        <f>COUNTIF($E$429:$AI$429,"SL")</f>
        <v>0</v>
      </c>
      <c r="AQ429" s="8">
        <f>COUNTIF($E$429:$AI$429,"EL")</f>
        <v>0</v>
      </c>
      <c r="AR429" s="8">
        <f>COUNTIF($E$429:$AI$429,"H")</f>
        <v>0</v>
      </c>
      <c r="AS429" s="8"/>
      <c r="AT429" s="11" t="s">
        <v>14</v>
      </c>
    </row>
    <row r="430" spans="1:46" ht="15.1" customHeight="1">
      <c r="A430" s="8"/>
      <c r="B430" s="9"/>
      <c r="C430" s="8"/>
      <c r="D430" s="9"/>
      <c r="E430" s="8">
        <v>2</v>
      </c>
      <c r="F430" s="8">
        <v>2</v>
      </c>
      <c r="G430" s="8">
        <v>0</v>
      </c>
      <c r="H430" s="8">
        <v>2</v>
      </c>
      <c r="I430" s="8">
        <v>2</v>
      </c>
      <c r="J430" s="8">
        <v>2</v>
      </c>
      <c r="K430" s="8">
        <v>2</v>
      </c>
      <c r="L430" s="8">
        <v>2</v>
      </c>
      <c r="M430" s="8">
        <v>2</v>
      </c>
      <c r="N430" s="8">
        <v>0</v>
      </c>
      <c r="O430" s="8">
        <v>2</v>
      </c>
      <c r="P430" s="8">
        <v>2</v>
      </c>
      <c r="Q430" s="8">
        <v>0</v>
      </c>
      <c r="R430" s="8">
        <v>2</v>
      </c>
      <c r="S430" s="8">
        <v>2</v>
      </c>
      <c r="T430" s="8">
        <v>2</v>
      </c>
      <c r="U430" s="8">
        <v>0</v>
      </c>
      <c r="V430" s="8">
        <v>2</v>
      </c>
      <c r="W430" s="8">
        <v>2</v>
      </c>
      <c r="X430" s="8">
        <v>2</v>
      </c>
      <c r="Y430" s="8">
        <v>1</v>
      </c>
      <c r="Z430" s="8">
        <v>0</v>
      </c>
      <c r="AA430" s="8">
        <v>0</v>
      </c>
      <c r="AB430" s="8">
        <v>0</v>
      </c>
      <c r="AC430" s="8">
        <v>2</v>
      </c>
      <c r="AD430" s="8">
        <v>2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11" t="s">
        <v>14</v>
      </c>
    </row>
    <row r="431" spans="1:46" ht="15.1" customHeight="1">
      <c r="A431" s="8"/>
      <c r="B431" s="9"/>
      <c r="C431" s="8"/>
      <c r="D431" s="9"/>
      <c r="E431" s="8">
        <v>3</v>
      </c>
      <c r="F431" s="8">
        <v>2</v>
      </c>
      <c r="G431" s="8">
        <v>15</v>
      </c>
      <c r="H431" s="8">
        <v>7</v>
      </c>
      <c r="I431" s="8">
        <v>7</v>
      </c>
      <c r="J431" s="8">
        <v>5.5</v>
      </c>
      <c r="K431" s="8">
        <v>7</v>
      </c>
      <c r="L431" s="8">
        <v>7</v>
      </c>
      <c r="M431" s="8">
        <v>6.5</v>
      </c>
      <c r="N431" s="8">
        <v>14</v>
      </c>
      <c r="O431" s="8">
        <v>10.5</v>
      </c>
      <c r="P431" s="8">
        <v>1</v>
      </c>
      <c r="Q431" s="8">
        <v>0</v>
      </c>
      <c r="R431" s="8">
        <v>7</v>
      </c>
      <c r="S431" s="8">
        <v>6.5</v>
      </c>
      <c r="T431" s="8">
        <v>5</v>
      </c>
      <c r="U431" s="8">
        <v>12.5</v>
      </c>
      <c r="V431" s="8">
        <v>7</v>
      </c>
      <c r="W431" s="8">
        <v>7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1</v>
      </c>
      <c r="AD431" s="8">
        <v>3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11" t="s">
        <v>14</v>
      </c>
    </row>
    <row r="432" spans="1:46" ht="15.1" customHeight="1">
      <c r="A432" s="8">
        <v>143</v>
      </c>
      <c r="B432" s="9" t="s">
        <v>549</v>
      </c>
      <c r="C432" s="8" t="s">
        <v>550</v>
      </c>
      <c r="D432" s="9" t="s">
        <v>266</v>
      </c>
      <c r="E432" s="8" t="s">
        <v>54</v>
      </c>
      <c r="F432" s="8" t="s">
        <v>54</v>
      </c>
      <c r="G432" s="10" t="s">
        <v>67</v>
      </c>
      <c r="H432" s="8" t="s">
        <v>54</v>
      </c>
      <c r="I432" s="8" t="s">
        <v>54</v>
      </c>
      <c r="J432" s="8" t="s">
        <v>54</v>
      </c>
      <c r="K432" s="8" t="s">
        <v>54</v>
      </c>
      <c r="L432" s="8" t="s">
        <v>54</v>
      </c>
      <c r="M432" s="8" t="s">
        <v>54</v>
      </c>
      <c r="N432" s="10" t="s">
        <v>67</v>
      </c>
      <c r="O432" s="8" t="s">
        <v>54</v>
      </c>
      <c r="P432" s="8" t="s">
        <v>54</v>
      </c>
      <c r="Q432" s="8" t="s">
        <v>54</v>
      </c>
      <c r="R432" s="12" t="s">
        <v>55</v>
      </c>
      <c r="S432" s="8" t="s">
        <v>54</v>
      </c>
      <c r="T432" s="8" t="s">
        <v>54</v>
      </c>
      <c r="U432" s="10" t="s">
        <v>67</v>
      </c>
      <c r="V432" s="8" t="s">
        <v>54</v>
      </c>
      <c r="W432" s="8" t="s">
        <v>54</v>
      </c>
      <c r="X432" s="8" t="s">
        <v>54</v>
      </c>
      <c r="Y432" s="8" t="s">
        <v>54</v>
      </c>
      <c r="Z432" s="8" t="s">
        <v>54</v>
      </c>
      <c r="AA432" s="8" t="s">
        <v>54</v>
      </c>
      <c r="AB432" s="10" t="s">
        <v>67</v>
      </c>
      <c r="AC432" s="8" t="s">
        <v>54</v>
      </c>
      <c r="AD432" s="8" t="s">
        <v>54</v>
      </c>
      <c r="AE432" s="8" t="s">
        <v>54</v>
      </c>
      <c r="AF432" s="8" t="s">
        <v>54</v>
      </c>
      <c r="AG432" s="8" t="s">
        <v>54</v>
      </c>
      <c r="AH432" s="12" t="s">
        <v>55</v>
      </c>
      <c r="AI432" s="10" t="s">
        <v>67</v>
      </c>
      <c r="AJ432" s="8">
        <f>COUNTIF($E$432:$AI$432,"P")</f>
        <v>24</v>
      </c>
      <c r="AK432" s="8">
        <f>COUNTIF($E$432:$AI$432,"A")</f>
        <v>2</v>
      </c>
      <c r="AL432" s="8">
        <f>SUM($E$433:$AI$433)</f>
        <v>36</v>
      </c>
      <c r="AM432" s="8">
        <f>SUM($E$434:$AI$434)</f>
        <v>119.5</v>
      </c>
      <c r="AN432" s="8">
        <f>AL432+AM432</f>
        <v>155.5</v>
      </c>
      <c r="AO432" s="8">
        <f>COUNTIF($E$432:$AI$432,"CL")</f>
        <v>0</v>
      </c>
      <c r="AP432" s="8">
        <f>COUNTIF($E$432:$AI$432,"SL")</f>
        <v>0</v>
      </c>
      <c r="AQ432" s="8">
        <f>COUNTIF($E$432:$AI$432,"EL")</f>
        <v>0</v>
      </c>
      <c r="AR432" s="8">
        <f>COUNTIF($E$432:$AI$432,"H")</f>
        <v>0</v>
      </c>
      <c r="AS432" s="8"/>
      <c r="AT432" s="11" t="s">
        <v>14</v>
      </c>
    </row>
    <row r="433" spans="1:46" ht="15.1" customHeight="1">
      <c r="A433" s="8"/>
      <c r="B433" s="9"/>
      <c r="C433" s="8"/>
      <c r="D433" s="9"/>
      <c r="E433" s="8">
        <v>2</v>
      </c>
      <c r="F433" s="8">
        <v>2</v>
      </c>
      <c r="G433" s="8">
        <v>0</v>
      </c>
      <c r="H433" s="8">
        <v>2</v>
      </c>
      <c r="I433" s="8">
        <v>2</v>
      </c>
      <c r="J433" s="8">
        <v>2</v>
      </c>
      <c r="K433" s="8">
        <v>2</v>
      </c>
      <c r="L433" s="8">
        <v>2</v>
      </c>
      <c r="M433" s="8">
        <v>2</v>
      </c>
      <c r="N433" s="8">
        <v>0</v>
      </c>
      <c r="O433" s="8">
        <v>2</v>
      </c>
      <c r="P433" s="8">
        <v>2</v>
      </c>
      <c r="Q433" s="8">
        <v>2</v>
      </c>
      <c r="R433" s="8">
        <v>0</v>
      </c>
      <c r="S433" s="8">
        <v>2</v>
      </c>
      <c r="T433" s="8">
        <v>2</v>
      </c>
      <c r="U433" s="8">
        <v>0</v>
      </c>
      <c r="V433" s="8">
        <v>2</v>
      </c>
      <c r="W433" s="8">
        <v>2</v>
      </c>
      <c r="X433" s="8">
        <v>2</v>
      </c>
      <c r="Y433" s="8">
        <v>0</v>
      </c>
      <c r="Z433" s="8">
        <v>0</v>
      </c>
      <c r="AA433" s="8">
        <v>0</v>
      </c>
      <c r="AB433" s="8">
        <v>0</v>
      </c>
      <c r="AC433" s="8">
        <v>2</v>
      </c>
      <c r="AD433" s="8">
        <v>2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11" t="s">
        <v>14</v>
      </c>
    </row>
    <row r="434" spans="1:46" ht="15.1" customHeight="1">
      <c r="A434" s="8"/>
      <c r="B434" s="9"/>
      <c r="C434" s="8"/>
      <c r="D434" s="9"/>
      <c r="E434" s="8">
        <v>2</v>
      </c>
      <c r="F434" s="8">
        <v>3</v>
      </c>
      <c r="G434" s="8">
        <v>0</v>
      </c>
      <c r="H434" s="8">
        <v>7</v>
      </c>
      <c r="I434" s="8">
        <v>7</v>
      </c>
      <c r="J434" s="8">
        <v>5</v>
      </c>
      <c r="K434" s="8">
        <v>7</v>
      </c>
      <c r="L434" s="8">
        <v>5.5</v>
      </c>
      <c r="M434" s="8">
        <v>5</v>
      </c>
      <c r="N434" s="8">
        <v>16.5</v>
      </c>
      <c r="O434" s="8">
        <v>7</v>
      </c>
      <c r="P434" s="8">
        <v>7</v>
      </c>
      <c r="Q434" s="8">
        <v>0</v>
      </c>
      <c r="R434" s="8">
        <v>0</v>
      </c>
      <c r="S434" s="8">
        <v>7</v>
      </c>
      <c r="T434" s="8">
        <v>4.5</v>
      </c>
      <c r="U434" s="8">
        <v>13</v>
      </c>
      <c r="V434" s="8">
        <v>7</v>
      </c>
      <c r="W434" s="8">
        <v>6</v>
      </c>
      <c r="X434" s="8">
        <v>6</v>
      </c>
      <c r="Y434" s="8">
        <v>0</v>
      </c>
      <c r="Z434" s="8">
        <v>0</v>
      </c>
      <c r="AA434" s="8">
        <v>0</v>
      </c>
      <c r="AB434" s="8">
        <v>0</v>
      </c>
      <c r="AC434" s="8">
        <v>1</v>
      </c>
      <c r="AD434" s="8">
        <v>3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11" t="s">
        <v>14</v>
      </c>
    </row>
    <row r="435" spans="1:46" ht="15.1" customHeight="1">
      <c r="A435" s="8">
        <v>144</v>
      </c>
      <c r="B435" s="9" t="s">
        <v>551</v>
      </c>
      <c r="C435" s="8" t="s">
        <v>552</v>
      </c>
      <c r="D435" s="9" t="s">
        <v>266</v>
      </c>
      <c r="E435" s="8" t="s">
        <v>54</v>
      </c>
      <c r="F435" s="8" t="s">
        <v>54</v>
      </c>
      <c r="G435" s="10" t="s">
        <v>67</v>
      </c>
      <c r="H435" s="12" t="s">
        <v>55</v>
      </c>
      <c r="I435" s="12" t="s">
        <v>55</v>
      </c>
      <c r="J435" s="8" t="s">
        <v>54</v>
      </c>
      <c r="K435" s="8" t="s">
        <v>54</v>
      </c>
      <c r="L435" s="8" t="s">
        <v>54</v>
      </c>
      <c r="M435" s="8" t="s">
        <v>54</v>
      </c>
      <c r="N435" s="10" t="s">
        <v>67</v>
      </c>
      <c r="O435" s="8" t="s">
        <v>54</v>
      </c>
      <c r="P435" s="8" t="s">
        <v>54</v>
      </c>
      <c r="Q435" s="8" t="s">
        <v>54</v>
      </c>
      <c r="R435" s="8" t="s">
        <v>54</v>
      </c>
      <c r="S435" s="8" t="s">
        <v>54</v>
      </c>
      <c r="T435" s="8" t="s">
        <v>54</v>
      </c>
      <c r="U435" s="10" t="s">
        <v>67</v>
      </c>
      <c r="V435" s="8" t="s">
        <v>54</v>
      </c>
      <c r="W435" s="8" t="s">
        <v>54</v>
      </c>
      <c r="X435" s="8" t="s">
        <v>54</v>
      </c>
      <c r="Y435" s="8" t="s">
        <v>54</v>
      </c>
      <c r="Z435" s="8" t="s">
        <v>54</v>
      </c>
      <c r="AA435" s="8" t="s">
        <v>54</v>
      </c>
      <c r="AB435" s="10" t="s">
        <v>67</v>
      </c>
      <c r="AC435" s="8" t="s">
        <v>54</v>
      </c>
      <c r="AD435" s="8" t="s">
        <v>54</v>
      </c>
      <c r="AE435" s="8" t="s">
        <v>54</v>
      </c>
      <c r="AF435" s="8" t="s">
        <v>54</v>
      </c>
      <c r="AG435" s="8" t="s">
        <v>54</v>
      </c>
      <c r="AH435" s="12" t="s">
        <v>55</v>
      </c>
      <c r="AI435" s="10" t="s">
        <v>67</v>
      </c>
      <c r="AJ435" s="8">
        <f>COUNTIF($E$435:$AI$435,"P")</f>
        <v>23</v>
      </c>
      <c r="AK435" s="8">
        <f>COUNTIF($E$435:$AI$435,"A")</f>
        <v>3</v>
      </c>
      <c r="AL435" s="8">
        <f>SUM($E$436:$AI$436)</f>
        <v>31</v>
      </c>
      <c r="AM435" s="8">
        <f>SUM($E$437:$AI$437)</f>
        <v>114.5</v>
      </c>
      <c r="AN435" s="8">
        <f>AL435+AM435</f>
        <v>145.5</v>
      </c>
      <c r="AO435" s="8">
        <f>COUNTIF($E$435:$AI$435,"CL")</f>
        <v>0</v>
      </c>
      <c r="AP435" s="8">
        <f>COUNTIF($E$435:$AI$435,"SL")</f>
        <v>0</v>
      </c>
      <c r="AQ435" s="8">
        <f>COUNTIF($E$435:$AI$435,"EL")</f>
        <v>0</v>
      </c>
      <c r="AR435" s="8">
        <f>COUNTIF($E$435:$AI$435,"H")</f>
        <v>0</v>
      </c>
      <c r="AS435" s="8"/>
      <c r="AT435" s="11" t="s">
        <v>14</v>
      </c>
    </row>
    <row r="436" spans="1:46" ht="15.1" customHeight="1">
      <c r="A436" s="8"/>
      <c r="B436" s="9"/>
      <c r="C436" s="8"/>
      <c r="D436" s="9"/>
      <c r="E436" s="8">
        <v>1</v>
      </c>
      <c r="F436" s="8">
        <v>2</v>
      </c>
      <c r="G436" s="8">
        <v>0</v>
      </c>
      <c r="H436" s="8">
        <v>0</v>
      </c>
      <c r="I436" s="8">
        <v>0</v>
      </c>
      <c r="J436" s="8">
        <v>2</v>
      </c>
      <c r="K436" s="8">
        <v>2</v>
      </c>
      <c r="L436" s="8">
        <v>2</v>
      </c>
      <c r="M436" s="8">
        <v>2</v>
      </c>
      <c r="N436" s="8">
        <v>0</v>
      </c>
      <c r="O436" s="8">
        <v>2</v>
      </c>
      <c r="P436" s="8">
        <v>2</v>
      </c>
      <c r="Q436" s="8">
        <v>2</v>
      </c>
      <c r="R436" s="8">
        <v>2</v>
      </c>
      <c r="S436" s="8">
        <v>2</v>
      </c>
      <c r="T436" s="8">
        <v>2</v>
      </c>
      <c r="U436" s="8">
        <v>0</v>
      </c>
      <c r="V436" s="8">
        <v>2</v>
      </c>
      <c r="W436" s="8">
        <v>2</v>
      </c>
      <c r="X436" s="8">
        <v>2</v>
      </c>
      <c r="Y436" s="8">
        <v>0</v>
      </c>
      <c r="Z436" s="8">
        <v>0</v>
      </c>
      <c r="AA436" s="8">
        <v>0</v>
      </c>
      <c r="AB436" s="8">
        <v>0</v>
      </c>
      <c r="AC436" s="8">
        <v>2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11" t="s">
        <v>14</v>
      </c>
    </row>
    <row r="437" spans="1:46" ht="15.1" customHeight="1">
      <c r="A437" s="8"/>
      <c r="B437" s="9"/>
      <c r="C437" s="8"/>
      <c r="D437" s="9"/>
      <c r="E437" s="8">
        <v>0</v>
      </c>
      <c r="F437" s="8">
        <v>3</v>
      </c>
      <c r="G437" s="8">
        <v>14.5</v>
      </c>
      <c r="H437" s="8">
        <v>0</v>
      </c>
      <c r="I437" s="8">
        <v>0</v>
      </c>
      <c r="J437" s="8">
        <v>5</v>
      </c>
      <c r="K437" s="8">
        <v>6.5</v>
      </c>
      <c r="L437" s="8">
        <v>6</v>
      </c>
      <c r="M437" s="8">
        <v>4</v>
      </c>
      <c r="N437" s="8">
        <v>16.5</v>
      </c>
      <c r="O437" s="8">
        <v>7</v>
      </c>
      <c r="P437" s="8">
        <v>1</v>
      </c>
      <c r="Q437" s="8">
        <v>6.5</v>
      </c>
      <c r="R437" s="8">
        <v>6</v>
      </c>
      <c r="S437" s="8">
        <v>7</v>
      </c>
      <c r="T437" s="8">
        <v>3.5</v>
      </c>
      <c r="U437" s="8">
        <v>12</v>
      </c>
      <c r="V437" s="8">
        <v>7</v>
      </c>
      <c r="W437" s="8">
        <v>5</v>
      </c>
      <c r="X437" s="8">
        <v>4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11" t="s">
        <v>14</v>
      </c>
    </row>
    <row r="438" spans="1:46" ht="15.1" customHeight="1">
      <c r="A438" s="8">
        <v>145</v>
      </c>
      <c r="B438" s="9" t="s">
        <v>553</v>
      </c>
      <c r="C438" s="8" t="s">
        <v>554</v>
      </c>
      <c r="D438" s="9" t="s">
        <v>266</v>
      </c>
      <c r="E438" s="8" t="s">
        <v>54</v>
      </c>
      <c r="F438" s="8" t="s">
        <v>54</v>
      </c>
      <c r="G438" s="10" t="s">
        <v>67</v>
      </c>
      <c r="H438" s="8" t="s">
        <v>54</v>
      </c>
      <c r="I438" s="12" t="s">
        <v>55</v>
      </c>
      <c r="J438" s="8" t="s">
        <v>54</v>
      </c>
      <c r="K438" s="8" t="s">
        <v>54</v>
      </c>
      <c r="L438" s="8" t="s">
        <v>54</v>
      </c>
      <c r="M438" s="8" t="s">
        <v>54</v>
      </c>
      <c r="N438" s="10" t="s">
        <v>67</v>
      </c>
      <c r="O438" s="8" t="s">
        <v>54</v>
      </c>
      <c r="P438" s="8" t="s">
        <v>54</v>
      </c>
      <c r="Q438" s="12" t="s">
        <v>55</v>
      </c>
      <c r="R438" s="12" t="s">
        <v>55</v>
      </c>
      <c r="S438" s="12" t="s">
        <v>55</v>
      </c>
      <c r="T438" s="8" t="s">
        <v>54</v>
      </c>
      <c r="U438" s="10" t="s">
        <v>67</v>
      </c>
      <c r="V438" s="8" t="s">
        <v>54</v>
      </c>
      <c r="W438" s="8" t="s">
        <v>54</v>
      </c>
      <c r="X438" s="8" t="s">
        <v>54</v>
      </c>
      <c r="Y438" s="8" t="s">
        <v>54</v>
      </c>
      <c r="Z438" s="8" t="s">
        <v>54</v>
      </c>
      <c r="AA438" s="8" t="s">
        <v>54</v>
      </c>
      <c r="AB438" s="10" t="s">
        <v>67</v>
      </c>
      <c r="AC438" s="8" t="s">
        <v>54</v>
      </c>
      <c r="AD438" s="8" t="s">
        <v>54</v>
      </c>
      <c r="AE438" s="8" t="s">
        <v>54</v>
      </c>
      <c r="AF438" s="8" t="s">
        <v>54</v>
      </c>
      <c r="AG438" s="8" t="s">
        <v>54</v>
      </c>
      <c r="AH438" s="12" t="s">
        <v>55</v>
      </c>
      <c r="AI438" s="10" t="s">
        <v>67</v>
      </c>
      <c r="AJ438" s="8">
        <f>COUNTIF($E$438:$AI$438,"P")</f>
        <v>21</v>
      </c>
      <c r="AK438" s="8">
        <f>COUNTIF($E$438:$AI$438,"A")</f>
        <v>5</v>
      </c>
      <c r="AL438" s="8">
        <f>SUM($E$439:$AI$439)</f>
        <v>30</v>
      </c>
      <c r="AM438" s="8">
        <f>SUM($E$440:$AI$440)</f>
        <v>122.5</v>
      </c>
      <c r="AN438" s="8">
        <f>AL438+AM438</f>
        <v>152.5</v>
      </c>
      <c r="AO438" s="8">
        <f>COUNTIF($E$438:$AI$438,"CL")</f>
        <v>0</v>
      </c>
      <c r="AP438" s="8">
        <f>COUNTIF($E$438:$AI$438,"SL")</f>
        <v>0</v>
      </c>
      <c r="AQ438" s="8">
        <f>COUNTIF($E$438:$AI$438,"EL")</f>
        <v>0</v>
      </c>
      <c r="AR438" s="8">
        <f>COUNTIF($E$438:$AI$438,"H")</f>
        <v>0</v>
      </c>
      <c r="AS438" s="8"/>
      <c r="AT438" s="11" t="s">
        <v>14</v>
      </c>
    </row>
    <row r="439" spans="1:46" ht="15.1" customHeight="1">
      <c r="A439" s="8"/>
      <c r="B439" s="9"/>
      <c r="C439" s="8"/>
      <c r="D439" s="9"/>
      <c r="E439" s="8">
        <v>2</v>
      </c>
      <c r="F439" s="8">
        <v>2</v>
      </c>
      <c r="G439" s="8">
        <v>0</v>
      </c>
      <c r="H439" s="8">
        <v>2</v>
      </c>
      <c r="I439" s="8">
        <v>0</v>
      </c>
      <c r="J439" s="8">
        <v>2</v>
      </c>
      <c r="K439" s="8">
        <v>2</v>
      </c>
      <c r="L439" s="8">
        <v>2</v>
      </c>
      <c r="M439" s="8">
        <v>2</v>
      </c>
      <c r="N439" s="8">
        <v>0</v>
      </c>
      <c r="O439" s="8">
        <v>2</v>
      </c>
      <c r="P439" s="8">
        <v>2</v>
      </c>
      <c r="Q439" s="8">
        <v>0</v>
      </c>
      <c r="R439" s="8">
        <v>0</v>
      </c>
      <c r="S439" s="8">
        <v>0</v>
      </c>
      <c r="T439" s="8">
        <v>2</v>
      </c>
      <c r="U439" s="8">
        <v>0</v>
      </c>
      <c r="V439" s="8">
        <v>2</v>
      </c>
      <c r="W439" s="8">
        <v>2</v>
      </c>
      <c r="X439" s="8">
        <v>2</v>
      </c>
      <c r="Y439" s="8">
        <v>0</v>
      </c>
      <c r="Z439" s="8">
        <v>2</v>
      </c>
      <c r="AA439" s="8">
        <v>0</v>
      </c>
      <c r="AB439" s="8">
        <v>0</v>
      </c>
      <c r="AC439" s="8">
        <v>2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11" t="s">
        <v>14</v>
      </c>
    </row>
    <row r="440" spans="1:46" ht="15.1" customHeight="1">
      <c r="A440" s="8"/>
      <c r="B440" s="9"/>
      <c r="C440" s="8"/>
      <c r="D440" s="9"/>
      <c r="E440" s="8">
        <v>0</v>
      </c>
      <c r="F440" s="8">
        <v>3</v>
      </c>
      <c r="G440" s="8">
        <v>13</v>
      </c>
      <c r="H440" s="8">
        <v>7</v>
      </c>
      <c r="I440" s="8">
        <v>0</v>
      </c>
      <c r="J440" s="8">
        <v>5</v>
      </c>
      <c r="K440" s="8">
        <v>7</v>
      </c>
      <c r="L440" s="8">
        <v>10</v>
      </c>
      <c r="M440" s="8">
        <v>1</v>
      </c>
      <c r="N440" s="8">
        <v>20</v>
      </c>
      <c r="O440" s="8">
        <v>7</v>
      </c>
      <c r="P440" s="8">
        <v>5</v>
      </c>
      <c r="Q440" s="8">
        <v>0</v>
      </c>
      <c r="R440" s="8">
        <v>0</v>
      </c>
      <c r="S440" s="8">
        <v>0</v>
      </c>
      <c r="T440" s="8">
        <v>11</v>
      </c>
      <c r="U440" s="8">
        <v>7</v>
      </c>
      <c r="V440" s="8">
        <v>11</v>
      </c>
      <c r="W440" s="8">
        <v>7</v>
      </c>
      <c r="X440" s="8">
        <v>6</v>
      </c>
      <c r="Y440" s="8">
        <v>0</v>
      </c>
      <c r="Z440" s="8">
        <v>2.5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11" t="s">
        <v>14</v>
      </c>
    </row>
    <row r="441" spans="1:46" ht="15.1" customHeight="1">
      <c r="A441" s="8">
        <v>146</v>
      </c>
      <c r="B441" s="9" t="s">
        <v>555</v>
      </c>
      <c r="C441" s="8" t="s">
        <v>556</v>
      </c>
      <c r="D441" s="9" t="s">
        <v>266</v>
      </c>
      <c r="E441" s="8" t="s">
        <v>54</v>
      </c>
      <c r="F441" s="8" t="s">
        <v>54</v>
      </c>
      <c r="G441" s="10" t="s">
        <v>67</v>
      </c>
      <c r="H441" s="8" t="s">
        <v>54</v>
      </c>
      <c r="I441" s="8" t="s">
        <v>54</v>
      </c>
      <c r="J441" s="8" t="s">
        <v>54</v>
      </c>
      <c r="K441" s="8" t="s">
        <v>54</v>
      </c>
      <c r="L441" s="8" t="s">
        <v>54</v>
      </c>
      <c r="M441" s="8" t="s">
        <v>54</v>
      </c>
      <c r="N441" s="10" t="s">
        <v>67</v>
      </c>
      <c r="O441" s="12" t="s">
        <v>55</v>
      </c>
      <c r="P441" s="12" t="s">
        <v>55</v>
      </c>
      <c r="Q441" s="8" t="s">
        <v>54</v>
      </c>
      <c r="R441" s="8" t="s">
        <v>54</v>
      </c>
      <c r="S441" s="8" t="s">
        <v>54</v>
      </c>
      <c r="T441" s="8" t="s">
        <v>54</v>
      </c>
      <c r="U441" s="10" t="s">
        <v>67</v>
      </c>
      <c r="V441" s="8" t="s">
        <v>54</v>
      </c>
      <c r="W441" s="8" t="s">
        <v>54</v>
      </c>
      <c r="X441" s="8" t="s">
        <v>54</v>
      </c>
      <c r="Y441" s="8" t="s">
        <v>54</v>
      </c>
      <c r="Z441" s="8" t="s">
        <v>54</v>
      </c>
      <c r="AA441" s="8" t="s">
        <v>54</v>
      </c>
      <c r="AB441" s="10" t="s">
        <v>67</v>
      </c>
      <c r="AC441" s="12" t="s">
        <v>55</v>
      </c>
      <c r="AD441" s="8" t="s">
        <v>54</v>
      </c>
      <c r="AE441" s="8" t="s">
        <v>54</v>
      </c>
      <c r="AF441" s="8" t="s">
        <v>54</v>
      </c>
      <c r="AG441" s="8" t="s">
        <v>54</v>
      </c>
      <c r="AH441" s="12" t="s">
        <v>55</v>
      </c>
      <c r="AI441" s="10" t="s">
        <v>67</v>
      </c>
      <c r="AJ441" s="8">
        <f>COUNTIF($E$441:$AI$441,"P")</f>
        <v>22</v>
      </c>
      <c r="AK441" s="8">
        <f>COUNTIF($E$441:$AI$441,"A")</f>
        <v>4</v>
      </c>
      <c r="AL441" s="8">
        <f>SUM($E$442:$AI$442)</f>
        <v>30</v>
      </c>
      <c r="AM441" s="8">
        <f>SUM($E$443:$AI$443)</f>
        <v>67.5</v>
      </c>
      <c r="AN441" s="8">
        <f>AL441+AM441</f>
        <v>97.5</v>
      </c>
      <c r="AO441" s="8">
        <f>COUNTIF($E$441:$AI$441,"CL")</f>
        <v>0</v>
      </c>
      <c r="AP441" s="8">
        <f>COUNTIF($E$441:$AI$441,"SL")</f>
        <v>0</v>
      </c>
      <c r="AQ441" s="8">
        <f>COUNTIF($E$441:$AI$441,"EL")</f>
        <v>0</v>
      </c>
      <c r="AR441" s="8">
        <f>COUNTIF($E$441:$AI$441,"H")</f>
        <v>0</v>
      </c>
      <c r="AS441" s="8"/>
      <c r="AT441" s="11" t="s">
        <v>14</v>
      </c>
    </row>
    <row r="442" spans="1:46" ht="15.1" customHeight="1">
      <c r="A442" s="8"/>
      <c r="B442" s="9"/>
      <c r="C442" s="8"/>
      <c r="D442" s="9"/>
      <c r="E442" s="8">
        <v>2</v>
      </c>
      <c r="F442" s="8">
        <v>2</v>
      </c>
      <c r="G442" s="8">
        <v>0</v>
      </c>
      <c r="H442" s="8">
        <v>2</v>
      </c>
      <c r="I442" s="8">
        <v>2</v>
      </c>
      <c r="J442" s="8">
        <v>2</v>
      </c>
      <c r="K442" s="8">
        <v>2</v>
      </c>
      <c r="L442" s="8">
        <v>2</v>
      </c>
      <c r="M442" s="8">
        <v>2</v>
      </c>
      <c r="N442" s="8">
        <v>0</v>
      </c>
      <c r="O442" s="8">
        <v>0</v>
      </c>
      <c r="P442" s="8">
        <v>0</v>
      </c>
      <c r="Q442" s="8">
        <v>2</v>
      </c>
      <c r="R442" s="8">
        <v>2</v>
      </c>
      <c r="S442" s="8">
        <v>2</v>
      </c>
      <c r="T442" s="8">
        <v>2</v>
      </c>
      <c r="U442" s="8">
        <v>0</v>
      </c>
      <c r="V442" s="8">
        <v>2</v>
      </c>
      <c r="W442" s="8">
        <v>2</v>
      </c>
      <c r="X442" s="8">
        <v>2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11" t="s">
        <v>14</v>
      </c>
    </row>
    <row r="443" spans="1:46" ht="15.1" customHeight="1">
      <c r="A443" s="8"/>
      <c r="B443" s="9"/>
      <c r="C443" s="8"/>
      <c r="D443" s="9"/>
      <c r="E443" s="8">
        <v>3</v>
      </c>
      <c r="F443" s="8">
        <v>3</v>
      </c>
      <c r="G443" s="8">
        <v>0</v>
      </c>
      <c r="H443" s="8">
        <v>4</v>
      </c>
      <c r="I443" s="8">
        <v>4</v>
      </c>
      <c r="J443" s="8">
        <v>4</v>
      </c>
      <c r="K443" s="8">
        <v>4</v>
      </c>
      <c r="L443" s="8">
        <v>4</v>
      </c>
      <c r="M443" s="8">
        <v>5</v>
      </c>
      <c r="N443" s="8">
        <v>0</v>
      </c>
      <c r="O443" s="8">
        <v>0</v>
      </c>
      <c r="P443" s="8">
        <v>0</v>
      </c>
      <c r="Q443" s="8">
        <v>6</v>
      </c>
      <c r="R443" s="8">
        <v>5</v>
      </c>
      <c r="S443" s="8">
        <v>5</v>
      </c>
      <c r="T443" s="8">
        <v>4.5</v>
      </c>
      <c r="U443" s="8">
        <v>0</v>
      </c>
      <c r="V443" s="8">
        <v>7</v>
      </c>
      <c r="W443" s="8">
        <v>5</v>
      </c>
      <c r="X443" s="8">
        <v>4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11" t="s">
        <v>14</v>
      </c>
    </row>
    <row r="444" spans="1:46" ht="15.1" customHeight="1">
      <c r="A444" s="8">
        <v>147</v>
      </c>
      <c r="B444" s="9" t="s">
        <v>557</v>
      </c>
      <c r="C444" s="8" t="s">
        <v>558</v>
      </c>
      <c r="D444" s="9" t="s">
        <v>266</v>
      </c>
      <c r="E444" s="8" t="s">
        <v>54</v>
      </c>
      <c r="F444" s="8" t="s">
        <v>54</v>
      </c>
      <c r="G444" s="10" t="s">
        <v>67</v>
      </c>
      <c r="H444" s="8" t="s">
        <v>54</v>
      </c>
      <c r="I444" s="8" t="s">
        <v>54</v>
      </c>
      <c r="J444" s="8" t="s">
        <v>54</v>
      </c>
      <c r="K444" s="8" t="s">
        <v>54</v>
      </c>
      <c r="L444" s="8" t="s">
        <v>54</v>
      </c>
      <c r="M444" s="8" t="s">
        <v>54</v>
      </c>
      <c r="N444" s="10" t="s">
        <v>67</v>
      </c>
      <c r="O444" s="8" t="s">
        <v>54</v>
      </c>
      <c r="P444" s="8" t="s">
        <v>54</v>
      </c>
      <c r="Q444" s="8" t="s">
        <v>54</v>
      </c>
      <c r="R444" s="8" t="s">
        <v>54</v>
      </c>
      <c r="S444" s="8" t="s">
        <v>54</v>
      </c>
      <c r="T444" s="8" t="s">
        <v>54</v>
      </c>
      <c r="U444" s="10" t="s">
        <v>67</v>
      </c>
      <c r="V444" s="8" t="s">
        <v>54</v>
      </c>
      <c r="W444" s="8" t="s">
        <v>54</v>
      </c>
      <c r="X444" s="8" t="s">
        <v>54</v>
      </c>
      <c r="Y444" s="8" t="s">
        <v>54</v>
      </c>
      <c r="Z444" s="8" t="s">
        <v>54</v>
      </c>
      <c r="AA444" s="8" t="s">
        <v>54</v>
      </c>
      <c r="AB444" s="10" t="s">
        <v>67</v>
      </c>
      <c r="AC444" s="8" t="s">
        <v>54</v>
      </c>
      <c r="AD444" s="8" t="s">
        <v>54</v>
      </c>
      <c r="AE444" s="8" t="s">
        <v>54</v>
      </c>
      <c r="AF444" s="8" t="s">
        <v>54</v>
      </c>
      <c r="AG444" s="8" t="s">
        <v>54</v>
      </c>
      <c r="AH444" s="8" t="s">
        <v>54</v>
      </c>
      <c r="AI444" s="10" t="s">
        <v>67</v>
      </c>
      <c r="AJ444" s="8">
        <f>COUNTIF($E$444:$AI$444,"P")</f>
        <v>26</v>
      </c>
      <c r="AK444" s="8">
        <f>COUNTIF($E$444:$AI$444,"A")</f>
        <v>0</v>
      </c>
      <c r="AL444" s="8">
        <f>SUM($E$445:$AI$445)</f>
        <v>48</v>
      </c>
      <c r="AM444" s="8">
        <f>SUM($E$446:$AI$446)</f>
        <v>88</v>
      </c>
      <c r="AN444" s="8">
        <f>AL444+AM444</f>
        <v>136</v>
      </c>
      <c r="AO444" s="8">
        <f>COUNTIF($E$444:$AI$444,"CL")</f>
        <v>0</v>
      </c>
      <c r="AP444" s="8">
        <f>COUNTIF($E$444:$AI$444,"SL")</f>
        <v>0</v>
      </c>
      <c r="AQ444" s="8">
        <f>COUNTIF($E$444:$AI$444,"EL")</f>
        <v>0</v>
      </c>
      <c r="AR444" s="8">
        <f>COUNTIF($E$444:$AI$444,"H")</f>
        <v>0</v>
      </c>
      <c r="AS444" s="8"/>
      <c r="AT444" s="11" t="s">
        <v>244</v>
      </c>
    </row>
    <row r="445" spans="1:46" ht="15.1" customHeight="1">
      <c r="A445" s="8"/>
      <c r="B445" s="9"/>
      <c r="C445" s="8"/>
      <c r="D445" s="9"/>
      <c r="E445" s="8">
        <v>2</v>
      </c>
      <c r="F445" s="8">
        <v>2</v>
      </c>
      <c r="G445" s="8">
        <v>0</v>
      </c>
      <c r="H445" s="8">
        <v>0</v>
      </c>
      <c r="I445" s="8">
        <v>2</v>
      </c>
      <c r="J445" s="8">
        <v>2</v>
      </c>
      <c r="K445" s="8">
        <v>2</v>
      </c>
      <c r="L445" s="8">
        <v>2</v>
      </c>
      <c r="M445" s="8">
        <v>2</v>
      </c>
      <c r="N445" s="8">
        <v>0</v>
      </c>
      <c r="O445" s="8">
        <v>2</v>
      </c>
      <c r="P445" s="8">
        <v>2</v>
      </c>
      <c r="Q445" s="8">
        <v>2</v>
      </c>
      <c r="R445" s="8">
        <v>2</v>
      </c>
      <c r="S445" s="8">
        <v>2</v>
      </c>
      <c r="T445" s="8">
        <v>2</v>
      </c>
      <c r="U445" s="8">
        <v>0</v>
      </c>
      <c r="V445" s="8">
        <v>2</v>
      </c>
      <c r="W445" s="8">
        <v>2</v>
      </c>
      <c r="X445" s="8">
        <v>2</v>
      </c>
      <c r="Y445" s="8">
        <v>2</v>
      </c>
      <c r="Z445" s="8">
        <v>2</v>
      </c>
      <c r="AA445" s="8">
        <v>2</v>
      </c>
      <c r="AB445" s="8">
        <v>0</v>
      </c>
      <c r="AC445" s="8">
        <v>2</v>
      </c>
      <c r="AD445" s="8">
        <v>2</v>
      </c>
      <c r="AE445" s="8">
        <v>2</v>
      </c>
      <c r="AF445" s="8">
        <v>0</v>
      </c>
      <c r="AG445" s="8">
        <v>2</v>
      </c>
      <c r="AH445" s="8">
        <v>2</v>
      </c>
      <c r="AI445" s="8">
        <v>0</v>
      </c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11" t="s">
        <v>244</v>
      </c>
    </row>
    <row r="446" spans="1:46" ht="15.1" customHeight="1">
      <c r="A446" s="8"/>
      <c r="B446" s="9"/>
      <c r="C446" s="8"/>
      <c r="D446" s="9"/>
      <c r="E446" s="8">
        <v>0</v>
      </c>
      <c r="F446" s="8">
        <v>3</v>
      </c>
      <c r="G446" s="8">
        <v>13</v>
      </c>
      <c r="H446" s="8">
        <v>0</v>
      </c>
      <c r="I446" s="8">
        <v>3</v>
      </c>
      <c r="J446" s="8">
        <v>5</v>
      </c>
      <c r="K446" s="8">
        <v>5</v>
      </c>
      <c r="L446" s="8">
        <v>8</v>
      </c>
      <c r="M446" s="8">
        <v>0</v>
      </c>
      <c r="N446" s="8">
        <v>8</v>
      </c>
      <c r="O446" s="8">
        <v>0</v>
      </c>
      <c r="P446" s="8">
        <v>3</v>
      </c>
      <c r="Q446" s="8">
        <v>5</v>
      </c>
      <c r="R446" s="8">
        <v>10</v>
      </c>
      <c r="S446" s="8">
        <v>3</v>
      </c>
      <c r="T446" s="8">
        <v>3</v>
      </c>
      <c r="U446" s="8">
        <v>0</v>
      </c>
      <c r="V446" s="8">
        <v>0</v>
      </c>
      <c r="W446" s="8">
        <v>3</v>
      </c>
      <c r="X446" s="8">
        <v>4</v>
      </c>
      <c r="Y446" s="8">
        <v>0</v>
      </c>
      <c r="Z446" s="8">
        <v>0</v>
      </c>
      <c r="AA446" s="8">
        <v>3</v>
      </c>
      <c r="AB446" s="8">
        <v>0</v>
      </c>
      <c r="AC446" s="8">
        <v>3</v>
      </c>
      <c r="AD446" s="8">
        <v>3</v>
      </c>
      <c r="AE446" s="8">
        <v>0</v>
      </c>
      <c r="AF446" s="8">
        <v>0</v>
      </c>
      <c r="AG446" s="8">
        <v>3</v>
      </c>
      <c r="AH446" s="8">
        <v>0</v>
      </c>
      <c r="AI446" s="8">
        <v>0</v>
      </c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11" t="s">
        <v>244</v>
      </c>
    </row>
    <row r="447" spans="1:46" ht="15.1" customHeight="1">
      <c r="A447" s="8">
        <v>148</v>
      </c>
      <c r="B447" s="9" t="s">
        <v>559</v>
      </c>
      <c r="C447" s="8" t="s">
        <v>560</v>
      </c>
      <c r="D447" s="9" t="s">
        <v>266</v>
      </c>
      <c r="E447" s="8" t="s">
        <v>54</v>
      </c>
      <c r="F447" s="8" t="s">
        <v>54</v>
      </c>
      <c r="G447" s="10" t="s">
        <v>67</v>
      </c>
      <c r="H447" s="8" t="s">
        <v>54</v>
      </c>
      <c r="I447" s="8" t="s">
        <v>54</v>
      </c>
      <c r="J447" s="8" t="s">
        <v>54</v>
      </c>
      <c r="K447" s="8" t="s">
        <v>54</v>
      </c>
      <c r="L447" s="8" t="s">
        <v>54</v>
      </c>
      <c r="M447" s="8" t="s">
        <v>54</v>
      </c>
      <c r="N447" s="10" t="s">
        <v>67</v>
      </c>
      <c r="O447" s="8" t="s">
        <v>54</v>
      </c>
      <c r="P447" s="8" t="s">
        <v>54</v>
      </c>
      <c r="Q447" s="8" t="s">
        <v>54</v>
      </c>
      <c r="R447" s="8" t="s">
        <v>54</v>
      </c>
      <c r="S447" s="8" t="s">
        <v>54</v>
      </c>
      <c r="T447" s="8" t="s">
        <v>54</v>
      </c>
      <c r="U447" s="10" t="s">
        <v>67</v>
      </c>
      <c r="V447" s="8" t="s">
        <v>54</v>
      </c>
      <c r="W447" s="8" t="s">
        <v>54</v>
      </c>
      <c r="X447" s="8" t="s">
        <v>54</v>
      </c>
      <c r="Y447" s="8" t="s">
        <v>54</v>
      </c>
      <c r="Z447" s="8" t="s">
        <v>54</v>
      </c>
      <c r="AA447" s="8" t="s">
        <v>54</v>
      </c>
      <c r="AB447" s="10" t="s">
        <v>67</v>
      </c>
      <c r="AC447" s="8" t="s">
        <v>54</v>
      </c>
      <c r="AD447" s="8" t="s">
        <v>54</v>
      </c>
      <c r="AE447" s="8" t="s">
        <v>54</v>
      </c>
      <c r="AF447" s="8" t="s">
        <v>54</v>
      </c>
      <c r="AG447" s="8" t="s">
        <v>54</v>
      </c>
      <c r="AH447" s="8" t="s">
        <v>54</v>
      </c>
      <c r="AI447" s="10" t="s">
        <v>67</v>
      </c>
      <c r="AJ447" s="8">
        <f>COUNTIF($E$447:$AI$447,"P")</f>
        <v>26</v>
      </c>
      <c r="AK447" s="8">
        <f>COUNTIF($E$447:$AI$447,"A")</f>
        <v>0</v>
      </c>
      <c r="AL447" s="8">
        <f>SUM($E$448:$AI$448)</f>
        <v>48</v>
      </c>
      <c r="AM447" s="8">
        <f>SUM($E$449:$AI$449)</f>
        <v>78</v>
      </c>
      <c r="AN447" s="8">
        <f>AL447+AM447</f>
        <v>125.5</v>
      </c>
      <c r="AO447" s="8">
        <f>COUNTIF($E$447:$AI$447,"CL")</f>
        <v>0</v>
      </c>
      <c r="AP447" s="8">
        <f>COUNTIF($E$447:$AI$447,"SL")</f>
        <v>0</v>
      </c>
      <c r="AQ447" s="8">
        <f>COUNTIF($E$447:$AI$447,"EL")</f>
        <v>0</v>
      </c>
      <c r="AR447" s="8">
        <f>COUNTIF($E$447:$AI$447,"H")</f>
        <v>0</v>
      </c>
      <c r="AS447" s="8"/>
      <c r="AT447" s="11" t="s">
        <v>244</v>
      </c>
    </row>
    <row r="448" spans="1:46" ht="15.1" customHeight="1">
      <c r="A448" s="8"/>
      <c r="B448" s="9"/>
      <c r="C448" s="8"/>
      <c r="D448" s="9"/>
      <c r="E448" s="8">
        <v>2</v>
      </c>
      <c r="F448" s="8">
        <v>2</v>
      </c>
      <c r="G448" s="8">
        <v>0</v>
      </c>
      <c r="H448" s="8">
        <v>2</v>
      </c>
      <c r="I448" s="8">
        <v>2</v>
      </c>
      <c r="J448" s="8">
        <v>2</v>
      </c>
      <c r="K448" s="8">
        <v>2</v>
      </c>
      <c r="L448" s="8">
        <v>2</v>
      </c>
      <c r="M448" s="8">
        <v>2</v>
      </c>
      <c r="N448" s="8">
        <v>0</v>
      </c>
      <c r="O448" s="8">
        <v>2</v>
      </c>
      <c r="P448" s="8">
        <v>2</v>
      </c>
      <c r="Q448" s="8">
        <v>2</v>
      </c>
      <c r="R448" s="8">
        <v>2</v>
      </c>
      <c r="S448" s="8">
        <v>0</v>
      </c>
      <c r="T448" s="8">
        <v>2</v>
      </c>
      <c r="U448" s="8">
        <v>0</v>
      </c>
      <c r="V448" s="8">
        <v>2</v>
      </c>
      <c r="W448" s="8">
        <v>2</v>
      </c>
      <c r="X448" s="8">
        <v>2</v>
      </c>
      <c r="Y448" s="8">
        <v>2</v>
      </c>
      <c r="Z448" s="8">
        <v>2</v>
      </c>
      <c r="AA448" s="8">
        <v>2</v>
      </c>
      <c r="AB448" s="8">
        <v>0</v>
      </c>
      <c r="AC448" s="8">
        <v>2</v>
      </c>
      <c r="AD448" s="8">
        <v>0</v>
      </c>
      <c r="AE448" s="8">
        <v>2</v>
      </c>
      <c r="AF448" s="8">
        <v>2</v>
      </c>
      <c r="AG448" s="8">
        <v>2</v>
      </c>
      <c r="AH448" s="8">
        <v>2</v>
      </c>
      <c r="AI448" s="8">
        <v>0</v>
      </c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11" t="s">
        <v>244</v>
      </c>
    </row>
    <row r="449" spans="1:46" ht="15.1" customHeight="1">
      <c r="A449" s="8"/>
      <c r="B449" s="9"/>
      <c r="C449" s="8"/>
      <c r="D449" s="9"/>
      <c r="E449" s="8">
        <v>3</v>
      </c>
      <c r="F449" s="8">
        <v>3</v>
      </c>
      <c r="G449" s="8">
        <v>13</v>
      </c>
      <c r="H449" s="8">
        <v>1</v>
      </c>
      <c r="I449" s="8">
        <v>0</v>
      </c>
      <c r="J449" s="8">
        <v>3</v>
      </c>
      <c r="K449" s="8">
        <v>5</v>
      </c>
      <c r="L449" s="8">
        <v>8</v>
      </c>
      <c r="M449" s="8">
        <v>2</v>
      </c>
      <c r="N449" s="8">
        <v>0</v>
      </c>
      <c r="O449" s="8">
        <v>3</v>
      </c>
      <c r="P449" s="8">
        <v>0</v>
      </c>
      <c r="Q449" s="8">
        <v>5</v>
      </c>
      <c r="R449" s="8">
        <v>10</v>
      </c>
      <c r="S449" s="8">
        <v>0</v>
      </c>
      <c r="T449" s="8">
        <v>2</v>
      </c>
      <c r="U449" s="8">
        <v>0</v>
      </c>
      <c r="V449" s="8">
        <v>2</v>
      </c>
      <c r="W449" s="8">
        <v>3</v>
      </c>
      <c r="X449" s="8">
        <v>0</v>
      </c>
      <c r="Y449" s="8">
        <v>3</v>
      </c>
      <c r="Z449" s="8">
        <v>3</v>
      </c>
      <c r="AA449" s="8">
        <v>0</v>
      </c>
      <c r="AB449" s="8">
        <v>0</v>
      </c>
      <c r="AC449" s="8">
        <v>0</v>
      </c>
      <c r="AD449" s="8">
        <v>0</v>
      </c>
      <c r="AE449" s="8">
        <v>3</v>
      </c>
      <c r="AF449" s="8">
        <v>3</v>
      </c>
      <c r="AG449" s="8">
        <v>0</v>
      </c>
      <c r="AH449" s="8">
        <v>3</v>
      </c>
      <c r="AI449" s="8">
        <v>0</v>
      </c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11" t="s">
        <v>244</v>
      </c>
    </row>
    <row r="450" spans="1:46" ht="15.1" customHeight="1">
      <c r="A450" s="8">
        <v>149</v>
      </c>
      <c r="B450" s="9" t="s">
        <v>561</v>
      </c>
      <c r="C450" s="8" t="s">
        <v>562</v>
      </c>
      <c r="D450" s="9" t="s">
        <v>266</v>
      </c>
      <c r="E450" s="8" t="s">
        <v>54</v>
      </c>
      <c r="F450" s="8" t="s">
        <v>54</v>
      </c>
      <c r="G450" s="10" t="s">
        <v>67</v>
      </c>
      <c r="H450" s="8" t="s">
        <v>54</v>
      </c>
      <c r="I450" s="8" t="s">
        <v>54</v>
      </c>
      <c r="J450" s="8" t="s">
        <v>54</v>
      </c>
      <c r="K450" s="8" t="s">
        <v>54</v>
      </c>
      <c r="L450" s="8" t="s">
        <v>54</v>
      </c>
      <c r="M450" s="8" t="s">
        <v>54</v>
      </c>
      <c r="N450" s="10" t="s">
        <v>67</v>
      </c>
      <c r="O450" s="8" t="s">
        <v>54</v>
      </c>
      <c r="P450" s="8" t="s">
        <v>54</v>
      </c>
      <c r="Q450" s="8" t="s">
        <v>54</v>
      </c>
      <c r="R450" s="8" t="s">
        <v>54</v>
      </c>
      <c r="S450" s="8" t="s">
        <v>54</v>
      </c>
      <c r="T450" s="8" t="s">
        <v>54</v>
      </c>
      <c r="U450" s="10" t="s">
        <v>67</v>
      </c>
      <c r="V450" s="8" t="s">
        <v>54</v>
      </c>
      <c r="W450" s="8" t="s">
        <v>54</v>
      </c>
      <c r="X450" s="8" t="s">
        <v>54</v>
      </c>
      <c r="Y450" s="8" t="s">
        <v>54</v>
      </c>
      <c r="Z450" s="8" t="s">
        <v>54</v>
      </c>
      <c r="AA450" s="8" t="s">
        <v>54</v>
      </c>
      <c r="AB450" s="10" t="s">
        <v>67</v>
      </c>
      <c r="AC450" s="8" t="s">
        <v>54</v>
      </c>
      <c r="AD450" s="8" t="s">
        <v>54</v>
      </c>
      <c r="AE450" s="8" t="s">
        <v>54</v>
      </c>
      <c r="AF450" s="8" t="s">
        <v>54</v>
      </c>
      <c r="AG450" s="8" t="s">
        <v>54</v>
      </c>
      <c r="AH450" s="8" t="s">
        <v>54</v>
      </c>
      <c r="AI450" s="10" t="s">
        <v>67</v>
      </c>
      <c r="AJ450" s="8">
        <f>COUNTIF($E$450:$AI$450,"P")</f>
        <v>26</v>
      </c>
      <c r="AK450" s="8">
        <f>COUNTIF($E$450:$AI$450,"A")</f>
        <v>0</v>
      </c>
      <c r="AL450" s="8">
        <f>SUM($E$451:$AI$451)</f>
        <v>36</v>
      </c>
      <c r="AM450" s="8">
        <f>SUM($E$452:$AI$452)</f>
        <v>142</v>
      </c>
      <c r="AN450" s="8">
        <f>AL450+AM450</f>
        <v>178</v>
      </c>
      <c r="AO450" s="8">
        <f>COUNTIF($E$450:$AI$450,"CL")</f>
        <v>0</v>
      </c>
      <c r="AP450" s="8">
        <f>COUNTIF($E$450:$AI$450,"SL")</f>
        <v>0</v>
      </c>
      <c r="AQ450" s="8">
        <f>COUNTIF($E$450:$AI$450,"EL")</f>
        <v>0</v>
      </c>
      <c r="AR450" s="8">
        <f>COUNTIF($E$450:$AI$450,"H")</f>
        <v>0</v>
      </c>
      <c r="AS450" s="8"/>
      <c r="AT450" s="11" t="s">
        <v>15</v>
      </c>
    </row>
    <row r="451" spans="1:46" ht="15.1" customHeight="1">
      <c r="A451" s="8"/>
      <c r="B451" s="9"/>
      <c r="C451" s="8"/>
      <c r="D451" s="9"/>
      <c r="E451" s="8">
        <v>2</v>
      </c>
      <c r="F451" s="8">
        <v>2</v>
      </c>
      <c r="G451" s="8">
        <v>0</v>
      </c>
      <c r="H451" s="8">
        <v>2</v>
      </c>
      <c r="I451" s="8">
        <v>2</v>
      </c>
      <c r="J451" s="8">
        <v>2</v>
      </c>
      <c r="K451" s="8">
        <v>2</v>
      </c>
      <c r="L451" s="8">
        <v>2</v>
      </c>
      <c r="M451" s="8">
        <v>2</v>
      </c>
      <c r="N451" s="8">
        <v>0</v>
      </c>
      <c r="O451" s="8">
        <v>2</v>
      </c>
      <c r="P451" s="8">
        <v>2</v>
      </c>
      <c r="Q451" s="8">
        <v>2</v>
      </c>
      <c r="R451" s="8">
        <v>2</v>
      </c>
      <c r="S451" s="8">
        <v>2</v>
      </c>
      <c r="T451" s="8">
        <v>2</v>
      </c>
      <c r="U451" s="8">
        <v>0</v>
      </c>
      <c r="V451" s="8">
        <v>2</v>
      </c>
      <c r="W451" s="8">
        <v>2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2</v>
      </c>
      <c r="AE451" s="8">
        <v>0</v>
      </c>
      <c r="AF451" s="8">
        <v>0</v>
      </c>
      <c r="AG451" s="8">
        <v>0</v>
      </c>
      <c r="AH451" s="8">
        <v>2</v>
      </c>
      <c r="AI451" s="8">
        <v>0</v>
      </c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11" t="s">
        <v>15</v>
      </c>
    </row>
    <row r="452" spans="1:46" ht="15.1" customHeight="1">
      <c r="A452" s="8"/>
      <c r="B452" s="9"/>
      <c r="C452" s="8"/>
      <c r="D452" s="9"/>
      <c r="E452" s="8">
        <v>5</v>
      </c>
      <c r="F452" s="8">
        <v>3</v>
      </c>
      <c r="G452" s="8">
        <v>14</v>
      </c>
      <c r="H452" s="8">
        <v>5</v>
      </c>
      <c r="I452" s="8">
        <v>7</v>
      </c>
      <c r="J452" s="8">
        <v>7</v>
      </c>
      <c r="K452" s="8">
        <v>7</v>
      </c>
      <c r="L452" s="8">
        <v>7</v>
      </c>
      <c r="M452" s="8">
        <v>5</v>
      </c>
      <c r="N452" s="8">
        <v>17</v>
      </c>
      <c r="O452" s="8">
        <v>7</v>
      </c>
      <c r="P452" s="8">
        <v>8</v>
      </c>
      <c r="Q452" s="8">
        <v>5</v>
      </c>
      <c r="R452" s="8">
        <v>7</v>
      </c>
      <c r="S452" s="8">
        <v>7</v>
      </c>
      <c r="T452" s="8">
        <v>3</v>
      </c>
      <c r="U452" s="8">
        <v>13</v>
      </c>
      <c r="V452" s="8">
        <v>7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5</v>
      </c>
      <c r="AE452" s="8">
        <v>0</v>
      </c>
      <c r="AF452" s="8">
        <v>0</v>
      </c>
      <c r="AG452" s="8">
        <v>0</v>
      </c>
      <c r="AH452" s="8">
        <v>3</v>
      </c>
      <c r="AI452" s="8">
        <v>0</v>
      </c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11" t="s">
        <v>15</v>
      </c>
    </row>
    <row r="453" spans="1:46" ht="15.1" customHeight="1">
      <c r="A453" s="8">
        <v>150</v>
      </c>
      <c r="B453" s="9" t="s">
        <v>563</v>
      </c>
      <c r="C453" s="8" t="s">
        <v>564</v>
      </c>
      <c r="D453" s="9" t="s">
        <v>266</v>
      </c>
      <c r="E453" s="8" t="s">
        <v>54</v>
      </c>
      <c r="F453" s="8" t="s">
        <v>54</v>
      </c>
      <c r="G453" s="10" t="s">
        <v>67</v>
      </c>
      <c r="H453" s="8" t="s">
        <v>54</v>
      </c>
      <c r="I453" s="8" t="s">
        <v>54</v>
      </c>
      <c r="J453" s="8" t="s">
        <v>54</v>
      </c>
      <c r="K453" s="8" t="s">
        <v>54</v>
      </c>
      <c r="L453" s="8" t="s">
        <v>54</v>
      </c>
      <c r="M453" s="8" t="s">
        <v>54</v>
      </c>
      <c r="N453" s="10" t="s">
        <v>67</v>
      </c>
      <c r="O453" s="8" t="s">
        <v>54</v>
      </c>
      <c r="P453" s="8" t="s">
        <v>54</v>
      </c>
      <c r="Q453" s="8" t="s">
        <v>54</v>
      </c>
      <c r="R453" s="8" t="s">
        <v>54</v>
      </c>
      <c r="S453" s="8" t="s">
        <v>54</v>
      </c>
      <c r="T453" s="8" t="s">
        <v>54</v>
      </c>
      <c r="U453" s="10" t="s">
        <v>67</v>
      </c>
      <c r="V453" s="8" t="s">
        <v>54</v>
      </c>
      <c r="W453" s="8" t="s">
        <v>54</v>
      </c>
      <c r="X453" s="8" t="s">
        <v>54</v>
      </c>
      <c r="Y453" s="8" t="s">
        <v>54</v>
      </c>
      <c r="Z453" s="8" t="s">
        <v>54</v>
      </c>
      <c r="AA453" s="8" t="s">
        <v>54</v>
      </c>
      <c r="AB453" s="10" t="s">
        <v>67</v>
      </c>
      <c r="AC453" s="8" t="s">
        <v>54</v>
      </c>
      <c r="AD453" s="8" t="s">
        <v>54</v>
      </c>
      <c r="AE453" s="8" t="s">
        <v>54</v>
      </c>
      <c r="AF453" s="8" t="s">
        <v>54</v>
      </c>
      <c r="AG453" s="8" t="s">
        <v>54</v>
      </c>
      <c r="AH453" s="8" t="s">
        <v>54</v>
      </c>
      <c r="AI453" s="10" t="s">
        <v>67</v>
      </c>
      <c r="AJ453" s="8">
        <f>COUNTIF($E$453:$AI$453,"P")</f>
        <v>26</v>
      </c>
      <c r="AK453" s="8">
        <f>COUNTIF($E$453:$AI$453,"A")</f>
        <v>0</v>
      </c>
      <c r="AL453" s="8">
        <f>SUM($E$454:$AI$454)</f>
        <v>34</v>
      </c>
      <c r="AM453" s="8">
        <f>SUM($E$455:$AI$455)</f>
        <v>138.5</v>
      </c>
      <c r="AN453" s="8">
        <f>AL453+AM453</f>
        <v>172.5</v>
      </c>
      <c r="AO453" s="8">
        <f>COUNTIF($E$453:$AI$453,"CL")</f>
        <v>0</v>
      </c>
      <c r="AP453" s="8">
        <f>COUNTIF($E$453:$AI$453,"SL")</f>
        <v>0</v>
      </c>
      <c r="AQ453" s="8">
        <f>COUNTIF($E$453:$AI$453,"EL")</f>
        <v>0</v>
      </c>
      <c r="AR453" s="8">
        <f>COUNTIF($E$453:$AI$453,"H")</f>
        <v>0</v>
      </c>
      <c r="AS453" s="8"/>
      <c r="AT453" s="11" t="s">
        <v>15</v>
      </c>
    </row>
    <row r="454" spans="1:46" ht="15.1" customHeight="1">
      <c r="A454" s="8"/>
      <c r="B454" s="9"/>
      <c r="C454" s="8"/>
      <c r="D454" s="9"/>
      <c r="E454" s="8">
        <v>2</v>
      </c>
      <c r="F454" s="8">
        <v>2</v>
      </c>
      <c r="G454" s="8">
        <v>0</v>
      </c>
      <c r="H454" s="8">
        <v>2</v>
      </c>
      <c r="I454" s="8">
        <v>2</v>
      </c>
      <c r="J454" s="8">
        <v>2</v>
      </c>
      <c r="K454" s="8">
        <v>2</v>
      </c>
      <c r="L454" s="8">
        <v>2</v>
      </c>
      <c r="M454" s="8">
        <v>2</v>
      </c>
      <c r="N454" s="8">
        <v>0</v>
      </c>
      <c r="O454" s="8">
        <v>2</v>
      </c>
      <c r="P454" s="8">
        <v>2</v>
      </c>
      <c r="Q454" s="8">
        <v>2</v>
      </c>
      <c r="R454" s="8">
        <v>2</v>
      </c>
      <c r="S454" s="8">
        <v>2</v>
      </c>
      <c r="T454" s="8">
        <v>2</v>
      </c>
      <c r="U454" s="8">
        <v>0</v>
      </c>
      <c r="V454" s="8">
        <v>2</v>
      </c>
      <c r="W454" s="8">
        <v>2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2</v>
      </c>
      <c r="AI454" s="8">
        <v>0</v>
      </c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11" t="s">
        <v>15</v>
      </c>
    </row>
    <row r="455" spans="1:46" ht="15.1" customHeight="1">
      <c r="A455" s="8"/>
      <c r="B455" s="9"/>
      <c r="C455" s="8"/>
      <c r="D455" s="9"/>
      <c r="E455" s="8">
        <v>5</v>
      </c>
      <c r="F455" s="8">
        <v>3</v>
      </c>
      <c r="G455" s="8">
        <v>13.5</v>
      </c>
      <c r="H455" s="8">
        <v>5</v>
      </c>
      <c r="I455" s="8">
        <v>7</v>
      </c>
      <c r="J455" s="8">
        <v>7</v>
      </c>
      <c r="K455" s="8">
        <v>7</v>
      </c>
      <c r="L455" s="8">
        <v>7</v>
      </c>
      <c r="M455" s="8">
        <v>5</v>
      </c>
      <c r="N455" s="8">
        <v>16.5</v>
      </c>
      <c r="O455" s="8">
        <v>11</v>
      </c>
      <c r="P455" s="8">
        <v>7</v>
      </c>
      <c r="Q455" s="8">
        <v>5</v>
      </c>
      <c r="R455" s="8">
        <v>7</v>
      </c>
      <c r="S455" s="8">
        <v>7</v>
      </c>
      <c r="T455" s="8">
        <v>3</v>
      </c>
      <c r="U455" s="8">
        <v>12.5</v>
      </c>
      <c r="V455" s="8">
        <v>7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3</v>
      </c>
      <c r="AI455" s="8">
        <v>0</v>
      </c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11" t="s">
        <v>15</v>
      </c>
    </row>
    <row r="456" spans="1:46" ht="15.1" customHeight="1">
      <c r="A456" s="8">
        <v>151</v>
      </c>
      <c r="B456" s="9" t="s">
        <v>565</v>
      </c>
      <c r="C456" s="8" t="s">
        <v>566</v>
      </c>
      <c r="D456" s="9" t="s">
        <v>266</v>
      </c>
      <c r="E456" s="8" t="s">
        <v>54</v>
      </c>
      <c r="F456" s="8" t="s">
        <v>54</v>
      </c>
      <c r="G456" s="10" t="s">
        <v>67</v>
      </c>
      <c r="H456" s="8" t="s">
        <v>54</v>
      </c>
      <c r="I456" s="8" t="s">
        <v>54</v>
      </c>
      <c r="J456" s="8" t="s">
        <v>54</v>
      </c>
      <c r="K456" s="8" t="s">
        <v>54</v>
      </c>
      <c r="L456" s="8" t="s">
        <v>54</v>
      </c>
      <c r="M456" s="8" t="s">
        <v>54</v>
      </c>
      <c r="N456" s="10" t="s">
        <v>67</v>
      </c>
      <c r="O456" s="8" t="s">
        <v>54</v>
      </c>
      <c r="P456" s="8" t="s">
        <v>54</v>
      </c>
      <c r="Q456" s="8" t="s">
        <v>54</v>
      </c>
      <c r="R456" s="8" t="s">
        <v>54</v>
      </c>
      <c r="S456" s="8" t="s">
        <v>54</v>
      </c>
      <c r="T456" s="8" t="s">
        <v>54</v>
      </c>
      <c r="U456" s="10" t="s">
        <v>67</v>
      </c>
      <c r="V456" s="8" t="s">
        <v>54</v>
      </c>
      <c r="W456" s="8" t="s">
        <v>54</v>
      </c>
      <c r="X456" s="8" t="s">
        <v>54</v>
      </c>
      <c r="Y456" s="8" t="s">
        <v>54</v>
      </c>
      <c r="Z456" s="8" t="s">
        <v>54</v>
      </c>
      <c r="AA456" s="8" t="s">
        <v>54</v>
      </c>
      <c r="AB456" s="10" t="s">
        <v>67</v>
      </c>
      <c r="AC456" s="8" t="s">
        <v>54</v>
      </c>
      <c r="AD456" s="8" t="s">
        <v>54</v>
      </c>
      <c r="AE456" s="8" t="s">
        <v>54</v>
      </c>
      <c r="AF456" s="8" t="s">
        <v>54</v>
      </c>
      <c r="AG456" s="8" t="s">
        <v>54</v>
      </c>
      <c r="AH456" s="8" t="s">
        <v>54</v>
      </c>
      <c r="AI456" s="10" t="s">
        <v>67</v>
      </c>
      <c r="AJ456" s="8">
        <f>COUNTIF($E$456:$AI$456,"P")</f>
        <v>26</v>
      </c>
      <c r="AK456" s="8">
        <f>COUNTIF($E$456:$AI$456,"A")</f>
        <v>0</v>
      </c>
      <c r="AL456" s="8">
        <f>SUM($E$457:$AI$457)</f>
        <v>32</v>
      </c>
      <c r="AM456" s="8">
        <f>SUM($E$458:$AI$458)</f>
        <v>139</v>
      </c>
      <c r="AN456" s="8">
        <f>AL456+AM456</f>
        <v>171</v>
      </c>
      <c r="AO456" s="8">
        <f>COUNTIF($E$456:$AI$456,"CL")</f>
        <v>0</v>
      </c>
      <c r="AP456" s="8">
        <f>COUNTIF($E$456:$AI$456,"SL")</f>
        <v>0</v>
      </c>
      <c r="AQ456" s="8">
        <f>COUNTIF($E$456:$AI$456,"EL")</f>
        <v>0</v>
      </c>
      <c r="AR456" s="8">
        <f>COUNTIF($E$456:$AI$456,"H")</f>
        <v>0</v>
      </c>
      <c r="AS456" s="8"/>
      <c r="AT456" s="11" t="s">
        <v>15</v>
      </c>
    </row>
    <row r="457" spans="1:46" ht="15.1" customHeight="1">
      <c r="A457" s="8"/>
      <c r="B457" s="9"/>
      <c r="C457" s="8"/>
      <c r="D457" s="9"/>
      <c r="E457" s="8">
        <v>2</v>
      </c>
      <c r="F457" s="8">
        <v>2</v>
      </c>
      <c r="G457" s="8">
        <v>0</v>
      </c>
      <c r="H457" s="8">
        <v>2</v>
      </c>
      <c r="I457" s="8">
        <v>2</v>
      </c>
      <c r="J457" s="8">
        <v>2</v>
      </c>
      <c r="K457" s="8">
        <v>2</v>
      </c>
      <c r="L457" s="8">
        <v>2</v>
      </c>
      <c r="M457" s="8">
        <v>2</v>
      </c>
      <c r="N457" s="8">
        <v>0</v>
      </c>
      <c r="O457" s="8">
        <v>2</v>
      </c>
      <c r="P457" s="8">
        <v>2</v>
      </c>
      <c r="Q457" s="8">
        <v>2</v>
      </c>
      <c r="R457" s="8">
        <v>2</v>
      </c>
      <c r="S457" s="8">
        <v>2</v>
      </c>
      <c r="T457" s="8">
        <v>2</v>
      </c>
      <c r="U457" s="8">
        <v>0</v>
      </c>
      <c r="V457" s="8">
        <v>2</v>
      </c>
      <c r="W457" s="8">
        <v>2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11" t="s">
        <v>15</v>
      </c>
    </row>
    <row r="458" spans="1:46" ht="15.1" customHeight="1">
      <c r="A458" s="8"/>
      <c r="B458" s="9"/>
      <c r="C458" s="8"/>
      <c r="D458" s="9"/>
      <c r="E458" s="8">
        <v>5</v>
      </c>
      <c r="F458" s="8">
        <v>3</v>
      </c>
      <c r="G458" s="8">
        <v>14</v>
      </c>
      <c r="H458" s="8">
        <v>5</v>
      </c>
      <c r="I458" s="8">
        <v>7</v>
      </c>
      <c r="J458" s="8">
        <v>7</v>
      </c>
      <c r="K458" s="8">
        <v>7</v>
      </c>
      <c r="L458" s="8">
        <v>7</v>
      </c>
      <c r="M458" s="8">
        <v>5</v>
      </c>
      <c r="N458" s="8">
        <v>16.5</v>
      </c>
      <c r="O458" s="8">
        <v>7</v>
      </c>
      <c r="P458" s="8">
        <v>7</v>
      </c>
      <c r="Q458" s="8">
        <v>4.5</v>
      </c>
      <c r="R458" s="8">
        <v>7</v>
      </c>
      <c r="S458" s="8">
        <v>7</v>
      </c>
      <c r="T458" s="8">
        <v>3</v>
      </c>
      <c r="U458" s="8">
        <v>12.5</v>
      </c>
      <c r="V458" s="8">
        <v>7</v>
      </c>
      <c r="W458" s="8">
        <v>7.5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11" t="s">
        <v>15</v>
      </c>
    </row>
    <row r="459" spans="1:46" ht="15.1" customHeight="1">
      <c r="A459" s="8">
        <v>152</v>
      </c>
      <c r="B459" s="9" t="s">
        <v>567</v>
      </c>
      <c r="C459" s="8" t="s">
        <v>568</v>
      </c>
      <c r="D459" s="9" t="s">
        <v>266</v>
      </c>
      <c r="E459" s="8" t="s">
        <v>54</v>
      </c>
      <c r="F459" s="8" t="s">
        <v>54</v>
      </c>
      <c r="G459" s="10" t="s">
        <v>67</v>
      </c>
      <c r="H459" s="8" t="s">
        <v>54</v>
      </c>
      <c r="I459" s="8" t="s">
        <v>54</v>
      </c>
      <c r="J459" s="8" t="s">
        <v>54</v>
      </c>
      <c r="K459" s="8" t="s">
        <v>54</v>
      </c>
      <c r="L459" s="8" t="s">
        <v>54</v>
      </c>
      <c r="M459" s="8" t="s">
        <v>54</v>
      </c>
      <c r="N459" s="10" t="s">
        <v>67</v>
      </c>
      <c r="O459" s="8" t="s">
        <v>54</v>
      </c>
      <c r="P459" s="8" t="s">
        <v>54</v>
      </c>
      <c r="Q459" s="8" t="s">
        <v>54</v>
      </c>
      <c r="R459" s="8" t="s">
        <v>54</v>
      </c>
      <c r="S459" s="8" t="s">
        <v>54</v>
      </c>
      <c r="T459" s="8" t="s">
        <v>54</v>
      </c>
      <c r="U459" s="10" t="s">
        <v>67</v>
      </c>
      <c r="V459" s="8" t="s">
        <v>54</v>
      </c>
      <c r="W459" s="8" t="s">
        <v>54</v>
      </c>
      <c r="X459" s="8" t="s">
        <v>54</v>
      </c>
      <c r="Y459" s="8" t="s">
        <v>54</v>
      </c>
      <c r="Z459" s="8" t="s">
        <v>54</v>
      </c>
      <c r="AA459" s="8" t="s">
        <v>54</v>
      </c>
      <c r="AB459" s="10" t="s">
        <v>67</v>
      </c>
      <c r="AC459" s="8" t="s">
        <v>54</v>
      </c>
      <c r="AD459" s="8" t="s">
        <v>54</v>
      </c>
      <c r="AE459" s="8" t="s">
        <v>54</v>
      </c>
      <c r="AF459" s="8" t="s">
        <v>54</v>
      </c>
      <c r="AG459" s="8" t="s">
        <v>54</v>
      </c>
      <c r="AH459" s="8" t="s">
        <v>54</v>
      </c>
      <c r="AI459" s="10" t="s">
        <v>67</v>
      </c>
      <c r="AJ459" s="8">
        <f>COUNTIF($E$459:$AI$459,"P")</f>
        <v>26</v>
      </c>
      <c r="AK459" s="8">
        <f>COUNTIF($E$459:$AI$459,"A")</f>
        <v>0</v>
      </c>
      <c r="AL459" s="8">
        <f>SUM($E$460:$AI$460)</f>
        <v>36</v>
      </c>
      <c r="AM459" s="8">
        <f>SUM($E$461:$AI$461)</f>
        <v>133</v>
      </c>
      <c r="AN459" s="8">
        <f>AL459+AM459</f>
        <v>169</v>
      </c>
      <c r="AO459" s="8">
        <f>COUNTIF($E$459:$AI$459,"CL")</f>
        <v>0</v>
      </c>
      <c r="AP459" s="8">
        <f>COUNTIF($E$459:$AI$459,"SL")</f>
        <v>0</v>
      </c>
      <c r="AQ459" s="8">
        <f>COUNTIF($E$459:$AI$459,"EL")</f>
        <v>0</v>
      </c>
      <c r="AR459" s="8">
        <f>COUNTIF($E$459:$AI$459,"H")</f>
        <v>0</v>
      </c>
      <c r="AS459" s="8"/>
      <c r="AT459" s="11" t="s">
        <v>15</v>
      </c>
    </row>
    <row r="460" spans="1:46" ht="15.1" customHeight="1">
      <c r="A460" s="8"/>
      <c r="B460" s="9"/>
      <c r="C460" s="8"/>
      <c r="D460" s="9"/>
      <c r="E460" s="8">
        <v>2</v>
      </c>
      <c r="F460" s="8">
        <v>2</v>
      </c>
      <c r="G460" s="8">
        <v>0</v>
      </c>
      <c r="H460" s="8">
        <v>2</v>
      </c>
      <c r="I460" s="8">
        <v>2</v>
      </c>
      <c r="J460" s="8">
        <v>2</v>
      </c>
      <c r="K460" s="8">
        <v>2</v>
      </c>
      <c r="L460" s="8">
        <v>2</v>
      </c>
      <c r="M460" s="8">
        <v>2</v>
      </c>
      <c r="N460" s="8">
        <v>0</v>
      </c>
      <c r="O460" s="8">
        <v>2</v>
      </c>
      <c r="P460" s="8">
        <v>2</v>
      </c>
      <c r="Q460" s="8">
        <v>2</v>
      </c>
      <c r="R460" s="8">
        <v>2</v>
      </c>
      <c r="S460" s="8">
        <v>2</v>
      </c>
      <c r="T460" s="8">
        <v>2</v>
      </c>
      <c r="U460" s="8">
        <v>0</v>
      </c>
      <c r="V460" s="8">
        <v>2</v>
      </c>
      <c r="W460" s="8">
        <v>2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2</v>
      </c>
      <c r="AD460" s="8">
        <v>2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11" t="s">
        <v>15</v>
      </c>
    </row>
    <row r="461" spans="1:46" ht="15.1" customHeight="1">
      <c r="A461" s="8"/>
      <c r="B461" s="9"/>
      <c r="C461" s="8"/>
      <c r="D461" s="9"/>
      <c r="E461" s="8">
        <v>5</v>
      </c>
      <c r="F461" s="8">
        <v>3</v>
      </c>
      <c r="G461" s="8">
        <v>13.5</v>
      </c>
      <c r="H461" s="8">
        <v>5</v>
      </c>
      <c r="I461" s="8">
        <v>7</v>
      </c>
      <c r="J461" s="8">
        <v>7</v>
      </c>
      <c r="K461" s="8">
        <v>7</v>
      </c>
      <c r="L461" s="8">
        <v>7</v>
      </c>
      <c r="M461" s="8">
        <v>5</v>
      </c>
      <c r="N461" s="8">
        <v>16.5</v>
      </c>
      <c r="O461" s="8">
        <v>7</v>
      </c>
      <c r="P461" s="8">
        <v>6.5</v>
      </c>
      <c r="Q461" s="8">
        <v>5</v>
      </c>
      <c r="R461" s="8">
        <v>7</v>
      </c>
      <c r="S461" s="8">
        <v>7</v>
      </c>
      <c r="T461" s="8">
        <v>3</v>
      </c>
      <c r="U461" s="8">
        <v>12.5</v>
      </c>
      <c r="V461" s="8">
        <v>7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2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11" t="s">
        <v>15</v>
      </c>
    </row>
    <row r="462" spans="1:46" ht="15.1" customHeight="1">
      <c r="A462" s="8">
        <v>153</v>
      </c>
      <c r="B462" s="9" t="s">
        <v>362</v>
      </c>
      <c r="C462" s="8" t="s">
        <v>569</v>
      </c>
      <c r="D462" s="9" t="s">
        <v>266</v>
      </c>
      <c r="E462" s="8" t="s">
        <v>54</v>
      </c>
      <c r="F462" s="8" t="s">
        <v>54</v>
      </c>
      <c r="G462" s="10" t="s">
        <v>67</v>
      </c>
      <c r="H462" s="12" t="s">
        <v>55</v>
      </c>
      <c r="I462" s="12" t="s">
        <v>55</v>
      </c>
      <c r="J462" s="8" t="s">
        <v>54</v>
      </c>
      <c r="K462" s="8" t="s">
        <v>54</v>
      </c>
      <c r="L462" s="8" t="s">
        <v>54</v>
      </c>
      <c r="M462" s="8" t="s">
        <v>54</v>
      </c>
      <c r="N462" s="10" t="s">
        <v>67</v>
      </c>
      <c r="O462" s="8" t="s">
        <v>54</v>
      </c>
      <c r="P462" s="8" t="s">
        <v>54</v>
      </c>
      <c r="Q462" s="8" t="s">
        <v>54</v>
      </c>
      <c r="R462" s="8" t="s">
        <v>54</v>
      </c>
      <c r="S462" s="8" t="s">
        <v>54</v>
      </c>
      <c r="T462" s="8" t="s">
        <v>54</v>
      </c>
      <c r="U462" s="10" t="s">
        <v>67</v>
      </c>
      <c r="V462" s="8" t="s">
        <v>54</v>
      </c>
      <c r="W462" s="8" t="s">
        <v>54</v>
      </c>
      <c r="X462" s="8" t="s">
        <v>54</v>
      </c>
      <c r="Y462" s="8" t="s">
        <v>54</v>
      </c>
      <c r="Z462" s="8" t="s">
        <v>54</v>
      </c>
      <c r="AA462" s="8" t="s">
        <v>54</v>
      </c>
      <c r="AB462" s="10" t="s">
        <v>67</v>
      </c>
      <c r="AC462" s="8" t="s">
        <v>54</v>
      </c>
      <c r="AD462" s="8" t="s">
        <v>54</v>
      </c>
      <c r="AE462" s="8" t="s">
        <v>54</v>
      </c>
      <c r="AF462" s="8" t="s">
        <v>54</v>
      </c>
      <c r="AG462" s="8" t="s">
        <v>54</v>
      </c>
      <c r="AH462" s="8" t="s">
        <v>54</v>
      </c>
      <c r="AI462" s="10" t="s">
        <v>67</v>
      </c>
      <c r="AJ462" s="8">
        <f>COUNTIF($E$462:$AI$462,"P")</f>
        <v>24</v>
      </c>
      <c r="AK462" s="8">
        <f>COUNTIF($E$462:$AI$462,"A")</f>
        <v>2</v>
      </c>
      <c r="AL462" s="8">
        <f>SUM($E$463:$AI$463)</f>
        <v>32</v>
      </c>
      <c r="AM462" s="8">
        <f>SUM($E$464:$AI$464)</f>
        <v>130</v>
      </c>
      <c r="AN462" s="8">
        <f>AL462+AM462</f>
        <v>162</v>
      </c>
      <c r="AO462" s="8">
        <f>COUNTIF($E$462:$AI$462,"CL")</f>
        <v>0</v>
      </c>
      <c r="AP462" s="8">
        <f>COUNTIF($E$462:$AI$462,"SL")</f>
        <v>0</v>
      </c>
      <c r="AQ462" s="8">
        <f>COUNTIF($E$462:$AI$462,"EL")</f>
        <v>0</v>
      </c>
      <c r="AR462" s="8">
        <f>COUNTIF($E$462:$AI$462,"H")</f>
        <v>0</v>
      </c>
      <c r="AS462" s="8"/>
      <c r="AT462" s="11" t="s">
        <v>15</v>
      </c>
    </row>
    <row r="463" spans="1:46" ht="15.1" customHeight="1">
      <c r="A463" s="8"/>
      <c r="B463" s="9"/>
      <c r="C463" s="8"/>
      <c r="D463" s="9"/>
      <c r="E463" s="8">
        <v>2</v>
      </c>
      <c r="F463" s="8">
        <v>2</v>
      </c>
      <c r="G463" s="8">
        <v>0</v>
      </c>
      <c r="H463" s="8">
        <v>0</v>
      </c>
      <c r="I463" s="8">
        <v>0</v>
      </c>
      <c r="J463" s="8">
        <v>2</v>
      </c>
      <c r="K463" s="8">
        <v>2</v>
      </c>
      <c r="L463" s="8">
        <v>2</v>
      </c>
      <c r="M463" s="8">
        <v>2</v>
      </c>
      <c r="N463" s="8">
        <v>0</v>
      </c>
      <c r="O463" s="8">
        <v>2</v>
      </c>
      <c r="P463" s="8">
        <v>2</v>
      </c>
      <c r="Q463" s="8">
        <v>2</v>
      </c>
      <c r="R463" s="8">
        <v>2</v>
      </c>
      <c r="S463" s="8">
        <v>2</v>
      </c>
      <c r="T463" s="8">
        <v>2</v>
      </c>
      <c r="U463" s="8">
        <v>0</v>
      </c>
      <c r="V463" s="8">
        <v>2</v>
      </c>
      <c r="W463" s="8">
        <v>2</v>
      </c>
      <c r="X463" s="8">
        <v>2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2</v>
      </c>
      <c r="AI463" s="8">
        <v>0</v>
      </c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11" t="s">
        <v>15</v>
      </c>
    </row>
    <row r="464" spans="1:46" ht="15.1" customHeight="1">
      <c r="A464" s="8"/>
      <c r="B464" s="9"/>
      <c r="C464" s="8"/>
      <c r="D464" s="9"/>
      <c r="E464" s="8">
        <v>5</v>
      </c>
      <c r="F464" s="8">
        <v>3</v>
      </c>
      <c r="G464" s="8">
        <v>13.5</v>
      </c>
      <c r="H464" s="8">
        <v>0</v>
      </c>
      <c r="I464" s="8">
        <v>0</v>
      </c>
      <c r="J464" s="8">
        <v>11</v>
      </c>
      <c r="K464" s="8">
        <v>7</v>
      </c>
      <c r="L464" s="8">
        <v>7</v>
      </c>
      <c r="M464" s="8">
        <v>5</v>
      </c>
      <c r="N464" s="8">
        <v>16.5</v>
      </c>
      <c r="O464" s="8">
        <v>7</v>
      </c>
      <c r="P464" s="8">
        <v>7</v>
      </c>
      <c r="Q464" s="8">
        <v>5</v>
      </c>
      <c r="R464" s="8">
        <v>7</v>
      </c>
      <c r="S464" s="8">
        <v>7</v>
      </c>
      <c r="T464" s="8">
        <v>3</v>
      </c>
      <c r="U464" s="8">
        <v>13</v>
      </c>
      <c r="V464" s="8">
        <v>7</v>
      </c>
      <c r="W464" s="8">
        <v>0</v>
      </c>
      <c r="X464" s="8">
        <v>3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3</v>
      </c>
      <c r="AI464" s="8">
        <v>0</v>
      </c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11" t="s">
        <v>15</v>
      </c>
    </row>
    <row r="465" spans="1:46" ht="15.1" customHeight="1">
      <c r="A465" s="8">
        <v>154</v>
      </c>
      <c r="B465" s="9" t="s">
        <v>570</v>
      </c>
      <c r="C465" s="8" t="s">
        <v>571</v>
      </c>
      <c r="D465" s="9" t="s">
        <v>266</v>
      </c>
      <c r="E465" s="12" t="s">
        <v>55</v>
      </c>
      <c r="F465" s="12" t="s">
        <v>55</v>
      </c>
      <c r="G465" s="10" t="s">
        <v>67</v>
      </c>
      <c r="H465" s="12" t="s">
        <v>55</v>
      </c>
      <c r="I465" s="8" t="s">
        <v>54</v>
      </c>
      <c r="J465" s="8" t="s">
        <v>54</v>
      </c>
      <c r="K465" s="8" t="s">
        <v>54</v>
      </c>
      <c r="L465" s="8" t="s">
        <v>54</v>
      </c>
      <c r="M465" s="8" t="s">
        <v>54</v>
      </c>
      <c r="N465" s="10" t="s">
        <v>67</v>
      </c>
      <c r="O465" s="8" t="s">
        <v>54</v>
      </c>
      <c r="P465" s="8" t="s">
        <v>54</v>
      </c>
      <c r="Q465" s="8" t="s">
        <v>54</v>
      </c>
      <c r="R465" s="12" t="s">
        <v>55</v>
      </c>
      <c r="S465" s="8" t="s">
        <v>54</v>
      </c>
      <c r="T465" s="8" t="s">
        <v>54</v>
      </c>
      <c r="U465" s="10" t="s">
        <v>67</v>
      </c>
      <c r="V465" s="8" t="s">
        <v>54</v>
      </c>
      <c r="W465" s="8" t="s">
        <v>54</v>
      </c>
      <c r="X465" s="8" t="s">
        <v>54</v>
      </c>
      <c r="Y465" s="8" t="s">
        <v>54</v>
      </c>
      <c r="Z465" s="8" t="s">
        <v>54</v>
      </c>
      <c r="AA465" s="8" t="s">
        <v>54</v>
      </c>
      <c r="AB465" s="10" t="s">
        <v>67</v>
      </c>
      <c r="AC465" s="8" t="s">
        <v>54</v>
      </c>
      <c r="AD465" s="8" t="s">
        <v>54</v>
      </c>
      <c r="AE465" s="8" t="s">
        <v>54</v>
      </c>
      <c r="AF465" s="8" t="s">
        <v>54</v>
      </c>
      <c r="AG465" s="8" t="s">
        <v>54</v>
      </c>
      <c r="AH465" s="8" t="s">
        <v>54</v>
      </c>
      <c r="AI465" s="10" t="s">
        <v>67</v>
      </c>
      <c r="AJ465" s="8">
        <f>COUNTIF($E$465:$AI$465,"P")</f>
        <v>22</v>
      </c>
      <c r="AK465" s="8">
        <f>COUNTIF($E$465:$AI$465,"A")</f>
        <v>4</v>
      </c>
      <c r="AL465" s="8">
        <f>SUM($E$466:$AI$466)</f>
        <v>26</v>
      </c>
      <c r="AM465" s="8">
        <f>SUM($E$467:$AI$467)</f>
        <v>95.5</v>
      </c>
      <c r="AN465" s="8">
        <f>AL465+AM465</f>
        <v>121.5</v>
      </c>
      <c r="AO465" s="8">
        <f>COUNTIF($E$465:$AI$465,"CL")</f>
        <v>0</v>
      </c>
      <c r="AP465" s="8">
        <f>COUNTIF($E$465:$AI$465,"SL")</f>
        <v>0</v>
      </c>
      <c r="AQ465" s="8">
        <f>COUNTIF($E$465:$AI$465,"EL")</f>
        <v>0</v>
      </c>
      <c r="AR465" s="8">
        <f>COUNTIF($E$465:$AI$465,"H")</f>
        <v>0</v>
      </c>
      <c r="AS465" s="8"/>
      <c r="AT465" s="11" t="s">
        <v>15</v>
      </c>
    </row>
    <row r="466" spans="1:46" ht="15.1" customHeight="1">
      <c r="A466" s="8"/>
      <c r="B466" s="9"/>
      <c r="C466" s="8"/>
      <c r="D466" s="9"/>
      <c r="E466" s="8">
        <v>0</v>
      </c>
      <c r="F466" s="8">
        <v>0</v>
      </c>
      <c r="G466" s="8">
        <v>0</v>
      </c>
      <c r="H466" s="8">
        <v>0</v>
      </c>
      <c r="I466" s="8">
        <v>2</v>
      </c>
      <c r="J466" s="8">
        <v>2</v>
      </c>
      <c r="K466" s="8">
        <v>2</v>
      </c>
      <c r="L466" s="8">
        <v>2</v>
      </c>
      <c r="M466" s="8">
        <v>2</v>
      </c>
      <c r="N466" s="8">
        <v>0</v>
      </c>
      <c r="O466" s="8">
        <v>2</v>
      </c>
      <c r="P466" s="8">
        <v>2</v>
      </c>
      <c r="Q466" s="8">
        <v>2</v>
      </c>
      <c r="R466" s="8">
        <v>0</v>
      </c>
      <c r="S466" s="8">
        <v>2</v>
      </c>
      <c r="T466" s="8">
        <v>2</v>
      </c>
      <c r="U466" s="8">
        <v>0</v>
      </c>
      <c r="V466" s="8">
        <v>2</v>
      </c>
      <c r="W466" s="8">
        <v>2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2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11" t="s">
        <v>15</v>
      </c>
    </row>
    <row r="467" spans="1:46" ht="15.1" customHeight="1">
      <c r="A467" s="8"/>
      <c r="B467" s="9"/>
      <c r="C467" s="8"/>
      <c r="D467" s="9"/>
      <c r="E467" s="8">
        <v>0</v>
      </c>
      <c r="F467" s="8">
        <v>0</v>
      </c>
      <c r="G467" s="8">
        <v>0</v>
      </c>
      <c r="H467" s="8">
        <v>0</v>
      </c>
      <c r="I467" s="8">
        <v>7</v>
      </c>
      <c r="J467" s="8">
        <v>6.5</v>
      </c>
      <c r="K467" s="8">
        <v>6.5</v>
      </c>
      <c r="L467" s="8">
        <v>6.5</v>
      </c>
      <c r="M467" s="8">
        <v>4</v>
      </c>
      <c r="N467" s="8">
        <v>16</v>
      </c>
      <c r="O467" s="8">
        <v>7</v>
      </c>
      <c r="P467" s="8">
        <v>6.5</v>
      </c>
      <c r="Q467" s="8">
        <v>5</v>
      </c>
      <c r="R467" s="8">
        <v>0</v>
      </c>
      <c r="S467" s="8">
        <v>6.5</v>
      </c>
      <c r="T467" s="8">
        <v>3</v>
      </c>
      <c r="U467" s="8">
        <v>12.5</v>
      </c>
      <c r="V467" s="8">
        <v>6.5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2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11" t="s">
        <v>15</v>
      </c>
    </row>
    <row r="468" spans="1:46" ht="15.1" customHeight="1">
      <c r="A468" s="8">
        <v>155</v>
      </c>
      <c r="B468" s="9" t="s">
        <v>572</v>
      </c>
      <c r="C468" s="8" t="s">
        <v>573</v>
      </c>
      <c r="D468" s="9" t="s">
        <v>266</v>
      </c>
      <c r="E468" s="8" t="s">
        <v>54</v>
      </c>
      <c r="F468" s="8" t="s">
        <v>54</v>
      </c>
      <c r="G468" s="10" t="s">
        <v>67</v>
      </c>
      <c r="H468" s="8" t="s">
        <v>54</v>
      </c>
      <c r="I468" s="8" t="s">
        <v>54</v>
      </c>
      <c r="J468" s="12" t="s">
        <v>55</v>
      </c>
      <c r="K468" s="12" t="s">
        <v>55</v>
      </c>
      <c r="L468" s="8" t="s">
        <v>54</v>
      </c>
      <c r="M468" s="8" t="s">
        <v>54</v>
      </c>
      <c r="N468" s="10" t="s">
        <v>67</v>
      </c>
      <c r="O468" s="8" t="s">
        <v>54</v>
      </c>
      <c r="P468" s="8" t="s">
        <v>54</v>
      </c>
      <c r="Q468" s="8" t="s">
        <v>54</v>
      </c>
      <c r="R468" s="8" t="s">
        <v>54</v>
      </c>
      <c r="S468" s="12" t="s">
        <v>55</v>
      </c>
      <c r="T468" s="8" t="s">
        <v>54</v>
      </c>
      <c r="U468" s="10" t="s">
        <v>67</v>
      </c>
      <c r="V468" s="8" t="s">
        <v>54</v>
      </c>
      <c r="W468" s="8" t="s">
        <v>54</v>
      </c>
      <c r="X468" s="8" t="s">
        <v>54</v>
      </c>
      <c r="Y468" s="8" t="s">
        <v>54</v>
      </c>
      <c r="Z468" s="8" t="s">
        <v>54</v>
      </c>
      <c r="AA468" s="8" t="s">
        <v>54</v>
      </c>
      <c r="AB468" s="10" t="s">
        <v>67</v>
      </c>
      <c r="AC468" s="8" t="s">
        <v>54</v>
      </c>
      <c r="AD468" s="8" t="s">
        <v>54</v>
      </c>
      <c r="AE468" s="8" t="s">
        <v>54</v>
      </c>
      <c r="AF468" s="8" t="s">
        <v>54</v>
      </c>
      <c r="AG468" s="8" t="s">
        <v>54</v>
      </c>
      <c r="AH468" s="8" t="s">
        <v>54</v>
      </c>
      <c r="AI468" s="10" t="s">
        <v>67</v>
      </c>
      <c r="AJ468" s="8">
        <f>COUNTIF($E$468:$AI$468,"P")</f>
        <v>23</v>
      </c>
      <c r="AK468" s="8">
        <f>COUNTIF($E$468:$AI$468,"A")</f>
        <v>3</v>
      </c>
      <c r="AL468" s="8">
        <f>SUM($E$469:$AI$469)</f>
        <v>30</v>
      </c>
      <c r="AM468" s="8">
        <f>SUM($E$470:$AI$470)</f>
        <v>114</v>
      </c>
      <c r="AN468" s="8">
        <f>AL468+AM468</f>
        <v>144</v>
      </c>
      <c r="AO468" s="8">
        <f>COUNTIF($E$468:$AI$468,"CL")</f>
        <v>0</v>
      </c>
      <c r="AP468" s="8">
        <f>COUNTIF($E$468:$AI$468,"SL")</f>
        <v>0</v>
      </c>
      <c r="AQ468" s="8">
        <f>COUNTIF($E$468:$AI$468,"EL")</f>
        <v>0</v>
      </c>
      <c r="AR468" s="8">
        <f>COUNTIF($E$468:$AI$468,"H")</f>
        <v>0</v>
      </c>
      <c r="AS468" s="8"/>
      <c r="AT468" s="11" t="s">
        <v>15</v>
      </c>
    </row>
    <row r="469" spans="1:46" ht="15.1" customHeight="1">
      <c r="A469" s="8"/>
      <c r="B469" s="9"/>
      <c r="C469" s="8"/>
      <c r="D469" s="9"/>
      <c r="E469" s="8">
        <v>2</v>
      </c>
      <c r="F469" s="8">
        <v>2</v>
      </c>
      <c r="G469" s="8">
        <v>0</v>
      </c>
      <c r="H469" s="8">
        <v>2</v>
      </c>
      <c r="I469" s="8">
        <v>2</v>
      </c>
      <c r="J469" s="8">
        <v>0</v>
      </c>
      <c r="K469" s="8">
        <v>0</v>
      </c>
      <c r="L469" s="8">
        <v>2</v>
      </c>
      <c r="M469" s="8">
        <v>2</v>
      </c>
      <c r="N469" s="8">
        <v>0</v>
      </c>
      <c r="O469" s="8">
        <v>2</v>
      </c>
      <c r="P469" s="8">
        <v>2</v>
      </c>
      <c r="Q469" s="8">
        <v>2</v>
      </c>
      <c r="R469" s="8">
        <v>2</v>
      </c>
      <c r="S469" s="8">
        <v>0</v>
      </c>
      <c r="T469" s="8">
        <v>2</v>
      </c>
      <c r="U469" s="8">
        <v>0</v>
      </c>
      <c r="V469" s="8">
        <v>2</v>
      </c>
      <c r="W469" s="8">
        <v>2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2</v>
      </c>
      <c r="AD469" s="8">
        <v>0</v>
      </c>
      <c r="AE469" s="8">
        <v>0</v>
      </c>
      <c r="AF469" s="8">
        <v>0</v>
      </c>
      <c r="AG469" s="8">
        <v>0</v>
      </c>
      <c r="AH469" s="8">
        <v>2</v>
      </c>
      <c r="AI469" s="8">
        <v>0</v>
      </c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11" t="s">
        <v>15</v>
      </c>
    </row>
    <row r="470" spans="1:46" ht="15.1" customHeight="1">
      <c r="A470" s="8"/>
      <c r="B470" s="9"/>
      <c r="C470" s="8"/>
      <c r="D470" s="9"/>
      <c r="E470" s="8">
        <v>4.5</v>
      </c>
      <c r="F470" s="8">
        <v>3</v>
      </c>
      <c r="G470" s="8">
        <v>14</v>
      </c>
      <c r="H470" s="8">
        <v>5</v>
      </c>
      <c r="I470" s="8">
        <v>7</v>
      </c>
      <c r="J470" s="8">
        <v>0</v>
      </c>
      <c r="K470" s="8">
        <v>0</v>
      </c>
      <c r="L470" s="8">
        <v>7</v>
      </c>
      <c r="M470" s="8">
        <v>5</v>
      </c>
      <c r="N470" s="8">
        <v>16.5</v>
      </c>
      <c r="O470" s="8">
        <v>7</v>
      </c>
      <c r="P470" s="8">
        <v>7</v>
      </c>
      <c r="Q470" s="8">
        <v>5</v>
      </c>
      <c r="R470" s="8">
        <v>7</v>
      </c>
      <c r="S470" s="8">
        <v>0</v>
      </c>
      <c r="T470" s="8">
        <v>3</v>
      </c>
      <c r="U470" s="8">
        <v>13</v>
      </c>
      <c r="V470" s="8">
        <v>7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3</v>
      </c>
      <c r="AI470" s="8">
        <v>0</v>
      </c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11" t="s">
        <v>15</v>
      </c>
    </row>
    <row r="471" spans="1:46" ht="15.1" customHeight="1">
      <c r="A471" s="8">
        <v>156</v>
      </c>
      <c r="B471" s="9" t="s">
        <v>574</v>
      </c>
      <c r="C471" s="8" t="s">
        <v>575</v>
      </c>
      <c r="D471" s="9" t="s">
        <v>266</v>
      </c>
      <c r="E471" s="8" t="s">
        <v>54</v>
      </c>
      <c r="F471" s="8" t="s">
        <v>54</v>
      </c>
      <c r="G471" s="10" t="s">
        <v>67</v>
      </c>
      <c r="H471" s="8" t="s">
        <v>54</v>
      </c>
      <c r="I471" s="8" t="s">
        <v>54</v>
      </c>
      <c r="J471" s="8" t="s">
        <v>54</v>
      </c>
      <c r="K471" s="8" t="s">
        <v>54</v>
      </c>
      <c r="L471" s="8" t="s">
        <v>54</v>
      </c>
      <c r="M471" s="8" t="s">
        <v>54</v>
      </c>
      <c r="N471" s="10" t="s">
        <v>67</v>
      </c>
      <c r="O471" s="8" t="s">
        <v>54</v>
      </c>
      <c r="P471" s="8" t="s">
        <v>54</v>
      </c>
      <c r="Q471" s="8" t="s">
        <v>54</v>
      </c>
      <c r="R471" s="8" t="s">
        <v>54</v>
      </c>
      <c r="S471" s="12" t="s">
        <v>55</v>
      </c>
      <c r="T471" s="8" t="s">
        <v>54</v>
      </c>
      <c r="U471" s="10" t="s">
        <v>67</v>
      </c>
      <c r="V471" s="8" t="s">
        <v>54</v>
      </c>
      <c r="W471" s="8" t="s">
        <v>54</v>
      </c>
      <c r="X471" s="8" t="s">
        <v>54</v>
      </c>
      <c r="Y471" s="8" t="s">
        <v>54</v>
      </c>
      <c r="Z471" s="8" t="s">
        <v>54</v>
      </c>
      <c r="AA471" s="8" t="s">
        <v>54</v>
      </c>
      <c r="AB471" s="10" t="s">
        <v>67</v>
      </c>
      <c r="AC471" s="8" t="s">
        <v>54</v>
      </c>
      <c r="AD471" s="8" t="s">
        <v>54</v>
      </c>
      <c r="AE471" s="8" t="s">
        <v>54</v>
      </c>
      <c r="AF471" s="8" t="s">
        <v>54</v>
      </c>
      <c r="AG471" s="8" t="s">
        <v>54</v>
      </c>
      <c r="AH471" s="8" t="s">
        <v>54</v>
      </c>
      <c r="AI471" s="10" t="s">
        <v>67</v>
      </c>
      <c r="AJ471" s="8">
        <f>COUNTIF($E$471:$AI$471,"P")</f>
        <v>25</v>
      </c>
      <c r="AK471" s="8">
        <f>COUNTIF($E$471:$AI$471,"A")</f>
        <v>1</v>
      </c>
      <c r="AL471" s="8">
        <f>SUM($E$472:$AI$472)</f>
        <v>34</v>
      </c>
      <c r="AM471" s="8">
        <f>SUM($E$473:$AI$473)</f>
        <v>132.5</v>
      </c>
      <c r="AN471" s="8">
        <f>AL471+AM471</f>
        <v>166.5</v>
      </c>
      <c r="AO471" s="8">
        <f>COUNTIF($E$471:$AI$471,"CL")</f>
        <v>0</v>
      </c>
      <c r="AP471" s="8">
        <f>COUNTIF($E$471:$AI$471,"SL")</f>
        <v>0</v>
      </c>
      <c r="AQ471" s="8">
        <f>COUNTIF($E$471:$AI$471,"EL")</f>
        <v>0</v>
      </c>
      <c r="AR471" s="8">
        <f>COUNTIF($E$471:$AI$471,"H")</f>
        <v>0</v>
      </c>
      <c r="AS471" s="8"/>
      <c r="AT471" s="11" t="s">
        <v>15</v>
      </c>
    </row>
    <row r="472" spans="1:46" ht="15.1" customHeight="1">
      <c r="A472" s="8"/>
      <c r="B472" s="9"/>
      <c r="C472" s="8"/>
      <c r="D472" s="9"/>
      <c r="E472" s="8">
        <v>2</v>
      </c>
      <c r="F472" s="8">
        <v>2</v>
      </c>
      <c r="G472" s="8">
        <v>0</v>
      </c>
      <c r="H472" s="8">
        <v>2</v>
      </c>
      <c r="I472" s="8">
        <v>2</v>
      </c>
      <c r="J472" s="8">
        <v>2</v>
      </c>
      <c r="K472" s="8">
        <v>2</v>
      </c>
      <c r="L472" s="8">
        <v>2</v>
      </c>
      <c r="M472" s="8">
        <v>2</v>
      </c>
      <c r="N472" s="8">
        <v>0</v>
      </c>
      <c r="O472" s="8">
        <v>2</v>
      </c>
      <c r="P472" s="8">
        <v>2</v>
      </c>
      <c r="Q472" s="8">
        <v>2</v>
      </c>
      <c r="R472" s="8">
        <v>2</v>
      </c>
      <c r="S472" s="8">
        <v>0</v>
      </c>
      <c r="T472" s="8">
        <v>2</v>
      </c>
      <c r="U472" s="8">
        <v>0</v>
      </c>
      <c r="V472" s="8">
        <v>2</v>
      </c>
      <c r="W472" s="8">
        <v>2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2</v>
      </c>
      <c r="AD472" s="8">
        <v>0</v>
      </c>
      <c r="AE472" s="8">
        <v>0</v>
      </c>
      <c r="AF472" s="8">
        <v>0</v>
      </c>
      <c r="AG472" s="8">
        <v>0</v>
      </c>
      <c r="AH472" s="8">
        <v>2</v>
      </c>
      <c r="AI472" s="8">
        <v>0</v>
      </c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11" t="s">
        <v>15</v>
      </c>
    </row>
    <row r="473" spans="1:46" ht="15.1" customHeight="1">
      <c r="A473" s="8"/>
      <c r="B473" s="9"/>
      <c r="C473" s="8"/>
      <c r="D473" s="9"/>
      <c r="E473" s="8">
        <v>5</v>
      </c>
      <c r="F473" s="8">
        <v>3</v>
      </c>
      <c r="G473" s="8">
        <v>14</v>
      </c>
      <c r="H473" s="8">
        <v>5</v>
      </c>
      <c r="I473" s="8">
        <v>7</v>
      </c>
      <c r="J473" s="8">
        <v>7</v>
      </c>
      <c r="K473" s="8">
        <v>7</v>
      </c>
      <c r="L473" s="8">
        <v>7</v>
      </c>
      <c r="M473" s="8">
        <v>5</v>
      </c>
      <c r="N473" s="8">
        <v>16.5</v>
      </c>
      <c r="O473" s="8">
        <v>11</v>
      </c>
      <c r="P473" s="8">
        <v>7</v>
      </c>
      <c r="Q473" s="8">
        <v>5</v>
      </c>
      <c r="R473" s="8">
        <v>7</v>
      </c>
      <c r="S473" s="8">
        <v>0</v>
      </c>
      <c r="T473" s="8">
        <v>3</v>
      </c>
      <c r="U473" s="8">
        <v>13</v>
      </c>
      <c r="V473" s="8">
        <v>7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3</v>
      </c>
      <c r="AI473" s="8">
        <v>0</v>
      </c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11" t="s">
        <v>15</v>
      </c>
    </row>
    <row r="474" spans="1:46" ht="15.1" customHeight="1">
      <c r="A474" s="8">
        <v>157</v>
      </c>
      <c r="B474" s="9" t="s">
        <v>576</v>
      </c>
      <c r="C474" s="8" t="s">
        <v>577</v>
      </c>
      <c r="D474" s="9" t="s">
        <v>266</v>
      </c>
      <c r="E474" s="8" t="s">
        <v>54</v>
      </c>
      <c r="F474" s="8" t="s">
        <v>54</v>
      </c>
      <c r="G474" s="10" t="s">
        <v>67</v>
      </c>
      <c r="H474" s="12" t="s">
        <v>55</v>
      </c>
      <c r="I474" s="12" t="s">
        <v>55</v>
      </c>
      <c r="J474" s="8" t="s">
        <v>54</v>
      </c>
      <c r="K474" s="8" t="s">
        <v>54</v>
      </c>
      <c r="L474" s="8" t="s">
        <v>54</v>
      </c>
      <c r="M474" s="8" t="s">
        <v>54</v>
      </c>
      <c r="N474" s="10" t="s">
        <v>67</v>
      </c>
      <c r="O474" s="8" t="s">
        <v>54</v>
      </c>
      <c r="P474" s="12" t="s">
        <v>55</v>
      </c>
      <c r="Q474" s="12" t="s">
        <v>55</v>
      </c>
      <c r="R474" s="8" t="s">
        <v>54</v>
      </c>
      <c r="S474" s="8" t="s">
        <v>54</v>
      </c>
      <c r="T474" s="8" t="s">
        <v>54</v>
      </c>
      <c r="U474" s="10" t="s">
        <v>67</v>
      </c>
      <c r="V474" s="8" t="s">
        <v>54</v>
      </c>
      <c r="W474" s="8" t="s">
        <v>54</v>
      </c>
      <c r="X474" s="8" t="s">
        <v>54</v>
      </c>
      <c r="Y474" s="8" t="s">
        <v>54</v>
      </c>
      <c r="Z474" s="8" t="s">
        <v>54</v>
      </c>
      <c r="AA474" s="8" t="s">
        <v>54</v>
      </c>
      <c r="AB474" s="10" t="s">
        <v>67</v>
      </c>
      <c r="AC474" s="8" t="s">
        <v>54</v>
      </c>
      <c r="AD474" s="8" t="s">
        <v>54</v>
      </c>
      <c r="AE474" s="8" t="s">
        <v>54</v>
      </c>
      <c r="AF474" s="8" t="s">
        <v>54</v>
      </c>
      <c r="AG474" s="8" t="s">
        <v>54</v>
      </c>
      <c r="AH474" s="8" t="s">
        <v>54</v>
      </c>
      <c r="AI474" s="10" t="s">
        <v>67</v>
      </c>
      <c r="AJ474" s="8">
        <f>COUNTIF($E$474:$AI$474,"P")</f>
        <v>22</v>
      </c>
      <c r="AK474" s="8">
        <f>COUNTIF($E$474:$AI$474,"A")</f>
        <v>4</v>
      </c>
      <c r="AL474" s="8">
        <f>SUM($E$475:$AI$475)</f>
        <v>22</v>
      </c>
      <c r="AM474" s="8">
        <f>SUM($E$476:$AI$476)</f>
        <v>103.5</v>
      </c>
      <c r="AN474" s="8">
        <f>AL474+AM474</f>
        <v>125.5</v>
      </c>
      <c r="AO474" s="8">
        <f>COUNTIF($E$474:$AI$474,"CL")</f>
        <v>0</v>
      </c>
      <c r="AP474" s="8">
        <f>COUNTIF($E$474:$AI$474,"SL")</f>
        <v>0</v>
      </c>
      <c r="AQ474" s="8">
        <f>COUNTIF($E$474:$AI$474,"EL")</f>
        <v>0</v>
      </c>
      <c r="AR474" s="8">
        <f>COUNTIF($E$474:$AI$474,"H")</f>
        <v>0</v>
      </c>
      <c r="AS474" s="8"/>
      <c r="AT474" s="11" t="s">
        <v>15</v>
      </c>
    </row>
    <row r="475" spans="1:46" ht="15.1" customHeight="1">
      <c r="A475" s="8"/>
      <c r="B475" s="9"/>
      <c r="C475" s="8"/>
      <c r="D475" s="9"/>
      <c r="E475" s="8">
        <v>2</v>
      </c>
      <c r="F475" s="8">
        <v>0</v>
      </c>
      <c r="G475" s="8">
        <v>0</v>
      </c>
      <c r="H475" s="8">
        <v>0</v>
      </c>
      <c r="I475" s="8">
        <v>0</v>
      </c>
      <c r="J475" s="8">
        <v>2</v>
      </c>
      <c r="K475" s="8">
        <v>2</v>
      </c>
      <c r="L475" s="8">
        <v>2</v>
      </c>
      <c r="M475" s="8">
        <v>2</v>
      </c>
      <c r="N475" s="8">
        <v>0</v>
      </c>
      <c r="O475" s="8">
        <v>2</v>
      </c>
      <c r="P475" s="8">
        <v>0</v>
      </c>
      <c r="Q475" s="8">
        <v>0</v>
      </c>
      <c r="R475" s="8">
        <v>2</v>
      </c>
      <c r="S475" s="8">
        <v>2</v>
      </c>
      <c r="T475" s="8">
        <v>2</v>
      </c>
      <c r="U475" s="8">
        <v>0</v>
      </c>
      <c r="V475" s="8">
        <v>2</v>
      </c>
      <c r="W475" s="8">
        <v>2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11" t="s">
        <v>15</v>
      </c>
    </row>
    <row r="476" spans="1:46" ht="15.1" customHeight="1">
      <c r="A476" s="8"/>
      <c r="B476" s="9"/>
      <c r="C476" s="8"/>
      <c r="D476" s="9"/>
      <c r="E476" s="8">
        <v>4.5</v>
      </c>
      <c r="F476" s="8">
        <v>0</v>
      </c>
      <c r="G476" s="8">
        <v>13.5</v>
      </c>
      <c r="H476" s="8">
        <v>0</v>
      </c>
      <c r="I476" s="8">
        <v>0</v>
      </c>
      <c r="J476" s="8">
        <v>7</v>
      </c>
      <c r="K476" s="8">
        <v>7</v>
      </c>
      <c r="L476" s="8">
        <v>7</v>
      </c>
      <c r="M476" s="8">
        <v>5</v>
      </c>
      <c r="N476" s="8">
        <v>16.5</v>
      </c>
      <c r="O476" s="8">
        <v>7</v>
      </c>
      <c r="P476" s="8">
        <v>0</v>
      </c>
      <c r="Q476" s="8">
        <v>0</v>
      </c>
      <c r="R476" s="8">
        <v>7</v>
      </c>
      <c r="S476" s="8">
        <v>7</v>
      </c>
      <c r="T476" s="8">
        <v>3</v>
      </c>
      <c r="U476" s="8">
        <v>12.5</v>
      </c>
      <c r="V476" s="8">
        <v>6.5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11" t="s">
        <v>15</v>
      </c>
    </row>
    <row r="477" spans="1:46" ht="15.1" customHeight="1">
      <c r="A477" s="8">
        <v>158</v>
      </c>
      <c r="B477" s="9" t="s">
        <v>578</v>
      </c>
      <c r="C477" s="8" t="s">
        <v>579</v>
      </c>
      <c r="D477" s="9" t="s">
        <v>266</v>
      </c>
      <c r="E477" s="8" t="s">
        <v>54</v>
      </c>
      <c r="F477" s="8" t="s">
        <v>54</v>
      </c>
      <c r="G477" s="10" t="s">
        <v>67</v>
      </c>
      <c r="H477" s="8" t="s">
        <v>54</v>
      </c>
      <c r="I477" s="8" t="s">
        <v>54</v>
      </c>
      <c r="J477" s="8" t="s">
        <v>54</v>
      </c>
      <c r="K477" s="8" t="s">
        <v>54</v>
      </c>
      <c r="L477" s="8" t="s">
        <v>54</v>
      </c>
      <c r="M477" s="8" t="s">
        <v>54</v>
      </c>
      <c r="N477" s="10" t="s">
        <v>67</v>
      </c>
      <c r="O477" s="8" t="s">
        <v>54</v>
      </c>
      <c r="P477" s="8" t="s">
        <v>54</v>
      </c>
      <c r="Q477" s="8" t="s">
        <v>54</v>
      </c>
      <c r="R477" s="12" t="s">
        <v>55</v>
      </c>
      <c r="S477" s="12" t="s">
        <v>55</v>
      </c>
      <c r="T477" s="12" t="s">
        <v>55</v>
      </c>
      <c r="U477" s="10" t="s">
        <v>67</v>
      </c>
      <c r="V477" s="8" t="s">
        <v>54</v>
      </c>
      <c r="W477" s="8" t="s">
        <v>54</v>
      </c>
      <c r="X477" s="8" t="s">
        <v>54</v>
      </c>
      <c r="Y477" s="8" t="s">
        <v>54</v>
      </c>
      <c r="Z477" s="8" t="s">
        <v>54</v>
      </c>
      <c r="AA477" s="8" t="s">
        <v>54</v>
      </c>
      <c r="AB477" s="10" t="s">
        <v>67</v>
      </c>
      <c r="AC477" s="8" t="s">
        <v>54</v>
      </c>
      <c r="AD477" s="8" t="s">
        <v>54</v>
      </c>
      <c r="AE477" s="12" t="s">
        <v>55</v>
      </c>
      <c r="AF477" s="8" t="s">
        <v>54</v>
      </c>
      <c r="AG477" s="8" t="s">
        <v>54</v>
      </c>
      <c r="AH477" s="8" t="s">
        <v>54</v>
      </c>
      <c r="AI477" s="10" t="s">
        <v>67</v>
      </c>
      <c r="AJ477" s="8">
        <f>COUNTIF($E$477:$AI$477,"P")</f>
        <v>22</v>
      </c>
      <c r="AK477" s="8">
        <f>COUNTIF($E$477:$AI$477,"A")</f>
        <v>4</v>
      </c>
      <c r="AL477" s="8">
        <f>SUM($E$478:$AI$478)</f>
        <v>28</v>
      </c>
      <c r="AM477" s="8">
        <f>SUM($E$479:$AI$479)</f>
        <v>114.5</v>
      </c>
      <c r="AN477" s="8">
        <f>AL477+AM477</f>
        <v>142.5</v>
      </c>
      <c r="AO477" s="8">
        <f>COUNTIF($E$477:$AI$477,"CL")</f>
        <v>0</v>
      </c>
      <c r="AP477" s="8">
        <f>COUNTIF($E$477:$AI$477,"SL")</f>
        <v>0</v>
      </c>
      <c r="AQ477" s="8">
        <f>COUNTIF($E$477:$AI$477,"EL")</f>
        <v>0</v>
      </c>
      <c r="AR477" s="8">
        <f>COUNTIF($E$477:$AI$477,"H")</f>
        <v>0</v>
      </c>
      <c r="AS477" s="8"/>
      <c r="AT477" s="11" t="s">
        <v>15</v>
      </c>
    </row>
    <row r="478" spans="1:46" ht="15.1" customHeight="1">
      <c r="A478" s="8"/>
      <c r="B478" s="9"/>
      <c r="C478" s="8"/>
      <c r="D478" s="9"/>
      <c r="E478" s="8">
        <v>2</v>
      </c>
      <c r="F478" s="8">
        <v>2</v>
      </c>
      <c r="G478" s="8">
        <v>0</v>
      </c>
      <c r="H478" s="8">
        <v>2</v>
      </c>
      <c r="I478" s="8">
        <v>2</v>
      </c>
      <c r="J478" s="8">
        <v>2</v>
      </c>
      <c r="K478" s="8">
        <v>2</v>
      </c>
      <c r="L478" s="8">
        <v>2</v>
      </c>
      <c r="M478" s="8">
        <v>2</v>
      </c>
      <c r="N478" s="8">
        <v>0</v>
      </c>
      <c r="O478" s="8">
        <v>2</v>
      </c>
      <c r="P478" s="8">
        <v>2</v>
      </c>
      <c r="Q478" s="8">
        <v>2</v>
      </c>
      <c r="R478" s="8">
        <v>0</v>
      </c>
      <c r="S478" s="8">
        <v>0</v>
      </c>
      <c r="T478" s="8">
        <v>0</v>
      </c>
      <c r="U478" s="8">
        <v>0</v>
      </c>
      <c r="V478" s="8">
        <v>2</v>
      </c>
      <c r="W478" s="8">
        <v>2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2</v>
      </c>
      <c r="AI478" s="8">
        <v>0</v>
      </c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11" t="s">
        <v>15</v>
      </c>
    </row>
    <row r="479" spans="1:46" ht="15.1" customHeight="1">
      <c r="A479" s="8"/>
      <c r="B479" s="9"/>
      <c r="C479" s="8"/>
      <c r="D479" s="9"/>
      <c r="E479" s="8">
        <v>5</v>
      </c>
      <c r="F479" s="8">
        <v>3</v>
      </c>
      <c r="G479" s="8">
        <v>14</v>
      </c>
      <c r="H479" s="8">
        <v>5</v>
      </c>
      <c r="I479" s="8">
        <v>7</v>
      </c>
      <c r="J479" s="8">
        <v>7</v>
      </c>
      <c r="K479" s="8">
        <v>7</v>
      </c>
      <c r="L479" s="8">
        <v>7</v>
      </c>
      <c r="M479" s="8">
        <v>5</v>
      </c>
      <c r="N479" s="8">
        <v>16.5</v>
      </c>
      <c r="O479" s="8">
        <v>7</v>
      </c>
      <c r="P479" s="8">
        <v>7</v>
      </c>
      <c r="Q479" s="8">
        <v>5</v>
      </c>
      <c r="R479" s="8">
        <v>0</v>
      </c>
      <c r="S479" s="8">
        <v>0</v>
      </c>
      <c r="T479" s="8">
        <v>0</v>
      </c>
      <c r="U479" s="8">
        <v>13</v>
      </c>
      <c r="V479" s="8">
        <v>3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3</v>
      </c>
      <c r="AI479" s="8">
        <v>0</v>
      </c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11" t="s">
        <v>15</v>
      </c>
    </row>
    <row r="480" spans="1:46" ht="15.1" customHeight="1">
      <c r="A480" s="8">
        <v>159</v>
      </c>
      <c r="B480" s="9" t="s">
        <v>580</v>
      </c>
      <c r="C480" s="8" t="s">
        <v>581</v>
      </c>
      <c r="D480" s="9" t="s">
        <v>266</v>
      </c>
      <c r="E480" s="8" t="s">
        <v>54</v>
      </c>
      <c r="F480" s="8" t="s">
        <v>54</v>
      </c>
      <c r="G480" s="10" t="s">
        <v>67</v>
      </c>
      <c r="H480" s="8" t="s">
        <v>54</v>
      </c>
      <c r="I480" s="8" t="s">
        <v>54</v>
      </c>
      <c r="J480" s="8" t="s">
        <v>54</v>
      </c>
      <c r="K480" s="8" t="s">
        <v>54</v>
      </c>
      <c r="L480" s="8" t="s">
        <v>54</v>
      </c>
      <c r="M480" s="8" t="s">
        <v>54</v>
      </c>
      <c r="N480" s="10" t="s">
        <v>67</v>
      </c>
      <c r="O480" s="8" t="s">
        <v>54</v>
      </c>
      <c r="P480" s="8" t="s">
        <v>54</v>
      </c>
      <c r="Q480" s="8" t="s">
        <v>54</v>
      </c>
      <c r="R480" s="8" t="s">
        <v>54</v>
      </c>
      <c r="S480" s="8" t="s">
        <v>54</v>
      </c>
      <c r="T480" s="8" t="s">
        <v>54</v>
      </c>
      <c r="U480" s="10" t="s">
        <v>67</v>
      </c>
      <c r="V480" s="8" t="s">
        <v>54</v>
      </c>
      <c r="W480" s="8" t="s">
        <v>54</v>
      </c>
      <c r="X480" s="8" t="s">
        <v>54</v>
      </c>
      <c r="Y480" s="8" t="s">
        <v>54</v>
      </c>
      <c r="Z480" s="8" t="s">
        <v>54</v>
      </c>
      <c r="AA480" s="8" t="s">
        <v>54</v>
      </c>
      <c r="AB480" s="10" t="s">
        <v>67</v>
      </c>
      <c r="AC480" s="8" t="s">
        <v>54</v>
      </c>
      <c r="AD480" s="8" t="s">
        <v>54</v>
      </c>
      <c r="AE480" s="8" t="s">
        <v>54</v>
      </c>
      <c r="AF480" s="8" t="s">
        <v>54</v>
      </c>
      <c r="AG480" s="8" t="s">
        <v>54</v>
      </c>
      <c r="AH480" s="8" t="s">
        <v>54</v>
      </c>
      <c r="AI480" s="10" t="s">
        <v>67</v>
      </c>
      <c r="AJ480" s="8">
        <f>COUNTIF($E$480:$AI$480,"P")</f>
        <v>26</v>
      </c>
      <c r="AK480" s="8">
        <f>COUNTIF($E$480:$AI$480,"A")</f>
        <v>0</v>
      </c>
      <c r="AL480" s="8">
        <f>SUM($E$481:$AI$481)</f>
        <v>36</v>
      </c>
      <c r="AM480" s="8">
        <f>SUM($E$482:$AI$482)</f>
        <v>140</v>
      </c>
      <c r="AN480" s="8">
        <f>AL480+AM480</f>
        <v>176</v>
      </c>
      <c r="AO480" s="8">
        <f>COUNTIF($E$480:$AI$480,"CL")</f>
        <v>0</v>
      </c>
      <c r="AP480" s="8">
        <f>COUNTIF($E$480:$AI$480,"SL")</f>
        <v>0</v>
      </c>
      <c r="AQ480" s="8">
        <f>COUNTIF($E$480:$AI$480,"EL")</f>
        <v>0</v>
      </c>
      <c r="AR480" s="8">
        <f>COUNTIF($E$480:$AI$480,"H")</f>
        <v>0</v>
      </c>
      <c r="AS480" s="8"/>
      <c r="AT480" s="11" t="s">
        <v>15</v>
      </c>
    </row>
    <row r="481" spans="1:46" ht="15.1" customHeight="1">
      <c r="A481" s="8"/>
      <c r="B481" s="9"/>
      <c r="C481" s="8"/>
      <c r="D481" s="9"/>
      <c r="E481" s="8">
        <v>2</v>
      </c>
      <c r="F481" s="8">
        <v>2</v>
      </c>
      <c r="G481" s="8">
        <v>0</v>
      </c>
      <c r="H481" s="8">
        <v>2</v>
      </c>
      <c r="I481" s="8">
        <v>2</v>
      </c>
      <c r="J481" s="8">
        <v>2</v>
      </c>
      <c r="K481" s="8">
        <v>2</v>
      </c>
      <c r="L481" s="8">
        <v>2</v>
      </c>
      <c r="M481" s="8">
        <v>2</v>
      </c>
      <c r="N481" s="8">
        <v>0</v>
      </c>
      <c r="O481" s="8">
        <v>2</v>
      </c>
      <c r="P481" s="8">
        <v>2</v>
      </c>
      <c r="Q481" s="8">
        <v>2</v>
      </c>
      <c r="R481" s="8">
        <v>2</v>
      </c>
      <c r="S481" s="8">
        <v>2</v>
      </c>
      <c r="T481" s="8">
        <v>2</v>
      </c>
      <c r="U481" s="8">
        <v>0</v>
      </c>
      <c r="V481" s="8">
        <v>2</v>
      </c>
      <c r="W481" s="8">
        <v>2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2</v>
      </c>
      <c r="AD481" s="8">
        <v>0</v>
      </c>
      <c r="AE481" s="8">
        <v>0</v>
      </c>
      <c r="AF481" s="8">
        <v>0</v>
      </c>
      <c r="AG481" s="8">
        <v>0</v>
      </c>
      <c r="AH481" s="8">
        <v>2</v>
      </c>
      <c r="AI481" s="8">
        <v>0</v>
      </c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11" t="s">
        <v>15</v>
      </c>
    </row>
    <row r="482" spans="1:46" ht="15.1" customHeight="1">
      <c r="A482" s="8"/>
      <c r="B482" s="9"/>
      <c r="C482" s="8"/>
      <c r="D482" s="9"/>
      <c r="E482" s="8">
        <v>5</v>
      </c>
      <c r="F482" s="8">
        <v>3</v>
      </c>
      <c r="G482" s="8">
        <v>14</v>
      </c>
      <c r="H482" s="8">
        <v>5</v>
      </c>
      <c r="I482" s="8">
        <v>7</v>
      </c>
      <c r="J482" s="8">
        <v>7</v>
      </c>
      <c r="K482" s="8">
        <v>7</v>
      </c>
      <c r="L482" s="8">
        <v>7</v>
      </c>
      <c r="M482" s="8">
        <v>5</v>
      </c>
      <c r="N482" s="8">
        <v>17</v>
      </c>
      <c r="O482" s="8">
        <v>11</v>
      </c>
      <c r="P482" s="8">
        <v>7</v>
      </c>
      <c r="Q482" s="8">
        <v>5</v>
      </c>
      <c r="R482" s="8">
        <v>7</v>
      </c>
      <c r="S482" s="8">
        <v>7</v>
      </c>
      <c r="T482" s="8">
        <v>3</v>
      </c>
      <c r="U482" s="8">
        <v>13</v>
      </c>
      <c r="V482" s="8">
        <v>7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3</v>
      </c>
      <c r="AI482" s="8">
        <v>0</v>
      </c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11" t="s">
        <v>15</v>
      </c>
    </row>
    <row r="483" spans="1:46" ht="15.1" customHeight="1">
      <c r="A483" s="8">
        <v>160</v>
      </c>
      <c r="B483" s="9" t="s">
        <v>582</v>
      </c>
      <c r="C483" s="8" t="s">
        <v>583</v>
      </c>
      <c r="D483" s="9" t="s">
        <v>266</v>
      </c>
      <c r="E483" s="8" t="s">
        <v>54</v>
      </c>
      <c r="F483" s="12" t="s">
        <v>55</v>
      </c>
      <c r="G483" s="10" t="s">
        <v>67</v>
      </c>
      <c r="H483" s="8" t="s">
        <v>54</v>
      </c>
      <c r="I483" s="8" t="s">
        <v>54</v>
      </c>
      <c r="J483" s="8" t="s">
        <v>54</v>
      </c>
      <c r="K483" s="8" t="s">
        <v>54</v>
      </c>
      <c r="L483" s="8" t="s">
        <v>54</v>
      </c>
      <c r="M483" s="8" t="s">
        <v>54</v>
      </c>
      <c r="N483" s="10" t="s">
        <v>67</v>
      </c>
      <c r="O483" s="8" t="s">
        <v>54</v>
      </c>
      <c r="P483" s="12" t="s">
        <v>55</v>
      </c>
      <c r="Q483" s="8" t="s">
        <v>54</v>
      </c>
      <c r="R483" s="8" t="s">
        <v>54</v>
      </c>
      <c r="S483" s="8" t="s">
        <v>54</v>
      </c>
      <c r="T483" s="8" t="s">
        <v>54</v>
      </c>
      <c r="U483" s="10" t="s">
        <v>67</v>
      </c>
      <c r="V483" s="8" t="s">
        <v>54</v>
      </c>
      <c r="W483" s="8" t="s">
        <v>54</v>
      </c>
      <c r="X483" s="8" t="s">
        <v>54</v>
      </c>
      <c r="Y483" s="8" t="s">
        <v>54</v>
      </c>
      <c r="Z483" s="8" t="s">
        <v>54</v>
      </c>
      <c r="AA483" s="8" t="s">
        <v>54</v>
      </c>
      <c r="AB483" s="10" t="s">
        <v>67</v>
      </c>
      <c r="AC483" s="8" t="s">
        <v>54</v>
      </c>
      <c r="AD483" s="8" t="s">
        <v>54</v>
      </c>
      <c r="AE483" s="8" t="s">
        <v>54</v>
      </c>
      <c r="AF483" s="8" t="s">
        <v>54</v>
      </c>
      <c r="AG483" s="8" t="s">
        <v>54</v>
      </c>
      <c r="AH483" s="8" t="s">
        <v>54</v>
      </c>
      <c r="AI483" s="10" t="s">
        <v>67</v>
      </c>
      <c r="AJ483" s="8">
        <f>COUNTIF($E$483:$AI$483,"P")</f>
        <v>24</v>
      </c>
      <c r="AK483" s="8">
        <f>COUNTIF($E$483:$AI$483,"A")</f>
        <v>2</v>
      </c>
      <c r="AL483" s="8">
        <f>SUM($E$484:$AI$484)</f>
        <v>30</v>
      </c>
      <c r="AM483" s="8">
        <f>SUM($E$485:$AI$485)</f>
        <v>125</v>
      </c>
      <c r="AN483" s="8">
        <f>AL483+AM483</f>
        <v>155</v>
      </c>
      <c r="AO483" s="8">
        <f>COUNTIF($E$483:$AI$483,"CL")</f>
        <v>0</v>
      </c>
      <c r="AP483" s="8">
        <f>COUNTIF($E$483:$AI$483,"SL")</f>
        <v>0</v>
      </c>
      <c r="AQ483" s="8">
        <f>COUNTIF($E$483:$AI$483,"EL")</f>
        <v>0</v>
      </c>
      <c r="AR483" s="8">
        <f>COUNTIF($E$483:$AI$483,"H")</f>
        <v>0</v>
      </c>
      <c r="AS483" s="8"/>
      <c r="AT483" s="11" t="s">
        <v>15</v>
      </c>
    </row>
    <row r="484" spans="1:46" ht="15.1" customHeight="1">
      <c r="A484" s="8"/>
      <c r="B484" s="9"/>
      <c r="C484" s="8"/>
      <c r="D484" s="9"/>
      <c r="E484" s="8">
        <v>2</v>
      </c>
      <c r="F484" s="8">
        <v>0</v>
      </c>
      <c r="G484" s="8">
        <v>0</v>
      </c>
      <c r="H484" s="8">
        <v>2</v>
      </c>
      <c r="I484" s="8">
        <v>2</v>
      </c>
      <c r="J484" s="8">
        <v>2</v>
      </c>
      <c r="K484" s="8">
        <v>2</v>
      </c>
      <c r="L484" s="8">
        <v>2</v>
      </c>
      <c r="M484" s="8">
        <v>2</v>
      </c>
      <c r="N484" s="8">
        <v>0</v>
      </c>
      <c r="O484" s="8">
        <v>2</v>
      </c>
      <c r="P484" s="8">
        <v>0</v>
      </c>
      <c r="Q484" s="8">
        <v>2</v>
      </c>
      <c r="R484" s="8">
        <v>2</v>
      </c>
      <c r="S484" s="8">
        <v>2</v>
      </c>
      <c r="T484" s="8">
        <v>2</v>
      </c>
      <c r="U484" s="8">
        <v>0</v>
      </c>
      <c r="V484" s="8">
        <v>2</v>
      </c>
      <c r="W484" s="8">
        <v>2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2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11" t="s">
        <v>15</v>
      </c>
    </row>
    <row r="485" spans="1:46" ht="15.1" customHeight="1">
      <c r="A485" s="8"/>
      <c r="B485" s="9"/>
      <c r="C485" s="8"/>
      <c r="D485" s="9"/>
      <c r="E485" s="8">
        <v>5</v>
      </c>
      <c r="F485" s="8">
        <v>0</v>
      </c>
      <c r="G485" s="8">
        <v>14</v>
      </c>
      <c r="H485" s="8">
        <v>5</v>
      </c>
      <c r="I485" s="8">
        <v>7</v>
      </c>
      <c r="J485" s="8">
        <v>7</v>
      </c>
      <c r="K485" s="8">
        <v>7</v>
      </c>
      <c r="L485" s="8">
        <v>7</v>
      </c>
      <c r="M485" s="8">
        <v>5</v>
      </c>
      <c r="N485" s="8">
        <v>17</v>
      </c>
      <c r="O485" s="8">
        <v>7</v>
      </c>
      <c r="P485" s="8">
        <v>0</v>
      </c>
      <c r="Q485" s="8">
        <v>5</v>
      </c>
      <c r="R485" s="8">
        <v>7</v>
      </c>
      <c r="S485" s="8">
        <v>7</v>
      </c>
      <c r="T485" s="8">
        <v>3</v>
      </c>
      <c r="U485" s="8">
        <v>13</v>
      </c>
      <c r="V485" s="8">
        <v>7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2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11" t="s">
        <v>15</v>
      </c>
    </row>
    <row r="486" spans="1:46" ht="15.1" customHeight="1">
      <c r="A486" s="8">
        <v>161</v>
      </c>
      <c r="B486" s="9" t="s">
        <v>584</v>
      </c>
      <c r="C486" s="8" t="s">
        <v>585</v>
      </c>
      <c r="D486" s="9" t="s">
        <v>266</v>
      </c>
      <c r="E486" s="8" t="s">
        <v>54</v>
      </c>
      <c r="F486" s="8" t="s">
        <v>54</v>
      </c>
      <c r="G486" s="10" t="s">
        <v>67</v>
      </c>
      <c r="H486" s="8" t="s">
        <v>54</v>
      </c>
      <c r="I486" s="8" t="s">
        <v>54</v>
      </c>
      <c r="J486" s="8" t="s">
        <v>54</v>
      </c>
      <c r="K486" s="8" t="s">
        <v>54</v>
      </c>
      <c r="L486" s="8" t="s">
        <v>54</v>
      </c>
      <c r="M486" s="8" t="s">
        <v>54</v>
      </c>
      <c r="N486" s="10" t="s">
        <v>67</v>
      </c>
      <c r="O486" s="8" t="s">
        <v>54</v>
      </c>
      <c r="P486" s="8" t="s">
        <v>54</v>
      </c>
      <c r="Q486" s="8" t="s">
        <v>54</v>
      </c>
      <c r="R486" s="8" t="s">
        <v>54</v>
      </c>
      <c r="S486" s="8" t="s">
        <v>54</v>
      </c>
      <c r="T486" s="8" t="s">
        <v>54</v>
      </c>
      <c r="U486" s="10" t="s">
        <v>67</v>
      </c>
      <c r="V486" s="8" t="s">
        <v>54</v>
      </c>
      <c r="W486" s="8" t="s">
        <v>54</v>
      </c>
      <c r="X486" s="8" t="s">
        <v>54</v>
      </c>
      <c r="Y486" s="8" t="s">
        <v>54</v>
      </c>
      <c r="Z486" s="8" t="s">
        <v>54</v>
      </c>
      <c r="AA486" s="8" t="s">
        <v>54</v>
      </c>
      <c r="AB486" s="10" t="s">
        <v>67</v>
      </c>
      <c r="AC486" s="8" t="s">
        <v>54</v>
      </c>
      <c r="AD486" s="8" t="s">
        <v>54</v>
      </c>
      <c r="AE486" s="8" t="s">
        <v>54</v>
      </c>
      <c r="AF486" s="8" t="s">
        <v>54</v>
      </c>
      <c r="AG486" s="8" t="s">
        <v>54</v>
      </c>
      <c r="AH486" s="8" t="s">
        <v>54</v>
      </c>
      <c r="AI486" s="10" t="s">
        <v>67</v>
      </c>
      <c r="AJ486" s="8">
        <f>COUNTIF($E$486:$AI$486,"P")</f>
        <v>26</v>
      </c>
      <c r="AK486" s="8">
        <f>COUNTIF($E$486:$AI$486,"A")</f>
        <v>0</v>
      </c>
      <c r="AL486" s="8">
        <f>SUM($E$487:$AI$487)</f>
        <v>32</v>
      </c>
      <c r="AM486" s="8">
        <f>SUM($E$488:$AI$488)</f>
        <v>140</v>
      </c>
      <c r="AN486" s="8">
        <f>AL486+AM486</f>
        <v>172</v>
      </c>
      <c r="AO486" s="8">
        <f>COUNTIF($E$486:$AI$486,"CL")</f>
        <v>0</v>
      </c>
      <c r="AP486" s="8">
        <f>COUNTIF($E$486:$AI$486,"SL")</f>
        <v>0</v>
      </c>
      <c r="AQ486" s="8">
        <f>COUNTIF($E$486:$AI$486,"EL")</f>
        <v>0</v>
      </c>
      <c r="AR486" s="8">
        <f>COUNTIF($E$486:$AI$486,"H")</f>
        <v>0</v>
      </c>
      <c r="AS486" s="8"/>
      <c r="AT486" s="11" t="s">
        <v>15</v>
      </c>
    </row>
    <row r="487" spans="1:46" ht="15.1" customHeight="1">
      <c r="A487" s="8"/>
      <c r="B487" s="9"/>
      <c r="C487" s="8"/>
      <c r="D487" s="9"/>
      <c r="E487" s="8">
        <v>2</v>
      </c>
      <c r="F487" s="8">
        <v>2</v>
      </c>
      <c r="G487" s="8">
        <v>0</v>
      </c>
      <c r="H487" s="8">
        <v>2</v>
      </c>
      <c r="I487" s="8">
        <v>2</v>
      </c>
      <c r="J487" s="8">
        <v>2</v>
      </c>
      <c r="K487" s="8">
        <v>2</v>
      </c>
      <c r="L487" s="8">
        <v>2</v>
      </c>
      <c r="M487" s="8">
        <v>2</v>
      </c>
      <c r="N487" s="8">
        <v>0</v>
      </c>
      <c r="O487" s="8">
        <v>2</v>
      </c>
      <c r="P487" s="8">
        <v>2</v>
      </c>
      <c r="Q487" s="8">
        <v>2</v>
      </c>
      <c r="R487" s="8">
        <v>2</v>
      </c>
      <c r="S487" s="8">
        <v>2</v>
      </c>
      <c r="T487" s="8">
        <v>2</v>
      </c>
      <c r="U487" s="8">
        <v>0</v>
      </c>
      <c r="V487" s="8">
        <v>2</v>
      </c>
      <c r="W487" s="8">
        <v>2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11" t="s">
        <v>15</v>
      </c>
    </row>
    <row r="488" spans="1:46" ht="15.1" customHeight="1">
      <c r="A488" s="8"/>
      <c r="B488" s="9"/>
      <c r="C488" s="8"/>
      <c r="D488" s="9"/>
      <c r="E488" s="8">
        <v>5</v>
      </c>
      <c r="F488" s="8">
        <v>3</v>
      </c>
      <c r="G488" s="8">
        <v>14</v>
      </c>
      <c r="H488" s="8">
        <v>5</v>
      </c>
      <c r="I488" s="8">
        <v>7</v>
      </c>
      <c r="J488" s="8">
        <v>7</v>
      </c>
      <c r="K488" s="8">
        <v>7</v>
      </c>
      <c r="L488" s="8">
        <v>7</v>
      </c>
      <c r="M488" s="8">
        <v>5</v>
      </c>
      <c r="N488" s="8">
        <v>16.5</v>
      </c>
      <c r="O488" s="8">
        <v>7</v>
      </c>
      <c r="P488" s="8">
        <v>7</v>
      </c>
      <c r="Q488" s="8">
        <v>5</v>
      </c>
      <c r="R488" s="8">
        <v>7</v>
      </c>
      <c r="S488" s="8">
        <v>7</v>
      </c>
      <c r="T488" s="8">
        <v>3</v>
      </c>
      <c r="U488" s="8">
        <v>12.5</v>
      </c>
      <c r="V488" s="8">
        <v>7</v>
      </c>
      <c r="W488" s="8">
        <v>8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11" t="s">
        <v>15</v>
      </c>
    </row>
    <row r="489" spans="1:46" ht="15.1" customHeight="1">
      <c r="A489" s="8">
        <v>162</v>
      </c>
      <c r="B489" s="9" t="s">
        <v>586</v>
      </c>
      <c r="C489" s="8" t="s">
        <v>587</v>
      </c>
      <c r="D489" s="9" t="s">
        <v>266</v>
      </c>
      <c r="E489" s="8" t="s">
        <v>54</v>
      </c>
      <c r="F489" s="8" t="s">
        <v>54</v>
      </c>
      <c r="G489" s="10" t="s">
        <v>67</v>
      </c>
      <c r="H489" s="8" t="s">
        <v>54</v>
      </c>
      <c r="I489" s="8" t="s">
        <v>54</v>
      </c>
      <c r="J489" s="8" t="s">
        <v>54</v>
      </c>
      <c r="K489" s="8" t="s">
        <v>54</v>
      </c>
      <c r="L489" s="8" t="s">
        <v>54</v>
      </c>
      <c r="M489" s="8" t="s">
        <v>54</v>
      </c>
      <c r="N489" s="10" t="s">
        <v>67</v>
      </c>
      <c r="O489" s="8" t="s">
        <v>54</v>
      </c>
      <c r="P489" s="8" t="s">
        <v>54</v>
      </c>
      <c r="Q489" s="8" t="s">
        <v>54</v>
      </c>
      <c r="R489" s="8" t="s">
        <v>54</v>
      </c>
      <c r="S489" s="8" t="s">
        <v>54</v>
      </c>
      <c r="T489" s="8" t="s">
        <v>54</v>
      </c>
      <c r="U489" s="10" t="s">
        <v>67</v>
      </c>
      <c r="V489" s="8" t="s">
        <v>54</v>
      </c>
      <c r="W489" s="8" t="s">
        <v>54</v>
      </c>
      <c r="X489" s="8" t="s">
        <v>54</v>
      </c>
      <c r="Y489" s="8" t="s">
        <v>54</v>
      </c>
      <c r="Z489" s="8" t="s">
        <v>54</v>
      </c>
      <c r="AA489" s="8" t="s">
        <v>54</v>
      </c>
      <c r="AB489" s="10" t="s">
        <v>67</v>
      </c>
      <c r="AC489" s="8" t="s">
        <v>54</v>
      </c>
      <c r="AD489" s="8" t="s">
        <v>54</v>
      </c>
      <c r="AE489" s="8" t="s">
        <v>54</v>
      </c>
      <c r="AF489" s="8" t="s">
        <v>54</v>
      </c>
      <c r="AG489" s="8" t="s">
        <v>54</v>
      </c>
      <c r="AH489" s="8" t="s">
        <v>54</v>
      </c>
      <c r="AI489" s="10" t="s">
        <v>67</v>
      </c>
      <c r="AJ489" s="8">
        <f>COUNTIF($E$489:$AI$489,"P")</f>
        <v>26</v>
      </c>
      <c r="AK489" s="8">
        <f>COUNTIF($E$489:$AI$489,"A")</f>
        <v>0</v>
      </c>
      <c r="AL489" s="8">
        <f>SUM($E$490:$AI$490)</f>
        <v>32</v>
      </c>
      <c r="AM489" s="8">
        <f>SUM($E$491:$AI$491)</f>
        <v>134</v>
      </c>
      <c r="AN489" s="8">
        <f>AL489+AM489</f>
        <v>166</v>
      </c>
      <c r="AO489" s="8">
        <f>COUNTIF($E$489:$AI$489,"CL")</f>
        <v>0</v>
      </c>
      <c r="AP489" s="8">
        <f>COUNTIF($E$489:$AI$489,"SL")</f>
        <v>0</v>
      </c>
      <c r="AQ489" s="8">
        <f>COUNTIF($E$489:$AI$489,"EL")</f>
        <v>0</v>
      </c>
      <c r="AR489" s="8">
        <f>COUNTIF($E$489:$AI$489,"H")</f>
        <v>0</v>
      </c>
      <c r="AS489" s="8"/>
      <c r="AT489" s="11" t="s">
        <v>15</v>
      </c>
    </row>
    <row r="490" spans="1:46" ht="15.1" customHeight="1">
      <c r="A490" s="8"/>
      <c r="B490" s="9"/>
      <c r="C490" s="8"/>
      <c r="D490" s="9"/>
      <c r="E490" s="8">
        <v>2</v>
      </c>
      <c r="F490" s="8">
        <v>2</v>
      </c>
      <c r="G490" s="8">
        <v>0</v>
      </c>
      <c r="H490" s="8">
        <v>2</v>
      </c>
      <c r="I490" s="8">
        <v>2</v>
      </c>
      <c r="J490" s="8">
        <v>2</v>
      </c>
      <c r="K490" s="8">
        <v>2</v>
      </c>
      <c r="L490" s="8">
        <v>2</v>
      </c>
      <c r="M490" s="8">
        <v>2</v>
      </c>
      <c r="N490" s="8">
        <v>0</v>
      </c>
      <c r="O490" s="8">
        <v>2</v>
      </c>
      <c r="P490" s="8">
        <v>2</v>
      </c>
      <c r="Q490" s="8">
        <v>2</v>
      </c>
      <c r="R490" s="8">
        <v>2</v>
      </c>
      <c r="S490" s="8">
        <v>2</v>
      </c>
      <c r="T490" s="8">
        <v>2</v>
      </c>
      <c r="U490" s="8">
        <v>0</v>
      </c>
      <c r="V490" s="8">
        <v>2</v>
      </c>
      <c r="W490" s="8">
        <v>2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11" t="s">
        <v>15</v>
      </c>
    </row>
    <row r="491" spans="1:46" ht="15.1" customHeight="1">
      <c r="A491" s="8"/>
      <c r="B491" s="9"/>
      <c r="C491" s="8"/>
      <c r="D491" s="9"/>
      <c r="E491" s="8">
        <v>5</v>
      </c>
      <c r="F491" s="8">
        <v>3</v>
      </c>
      <c r="G491" s="8">
        <v>14</v>
      </c>
      <c r="H491" s="8">
        <v>5</v>
      </c>
      <c r="I491" s="8">
        <v>7</v>
      </c>
      <c r="J491" s="8">
        <v>7</v>
      </c>
      <c r="K491" s="8">
        <v>7</v>
      </c>
      <c r="L491" s="8">
        <v>7</v>
      </c>
      <c r="M491" s="8">
        <v>5</v>
      </c>
      <c r="N491" s="8">
        <v>17</v>
      </c>
      <c r="O491" s="8">
        <v>7</v>
      </c>
      <c r="P491" s="8">
        <v>7</v>
      </c>
      <c r="Q491" s="8">
        <v>5</v>
      </c>
      <c r="R491" s="8">
        <v>8</v>
      </c>
      <c r="S491" s="8">
        <v>7</v>
      </c>
      <c r="T491" s="8">
        <v>3</v>
      </c>
      <c r="U491" s="8">
        <v>13</v>
      </c>
      <c r="V491" s="8">
        <v>7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11" t="s">
        <v>15</v>
      </c>
    </row>
    <row r="492" spans="1:46" ht="15.1" customHeight="1">
      <c r="A492" s="8">
        <v>163</v>
      </c>
      <c r="B492" s="9" t="s">
        <v>588</v>
      </c>
      <c r="C492" s="8" t="s">
        <v>589</v>
      </c>
      <c r="D492" s="9" t="s">
        <v>266</v>
      </c>
      <c r="E492" s="8" t="s">
        <v>54</v>
      </c>
      <c r="F492" s="8" t="s">
        <v>54</v>
      </c>
      <c r="G492" s="10" t="s">
        <v>67</v>
      </c>
      <c r="H492" s="8" t="s">
        <v>54</v>
      </c>
      <c r="I492" s="8" t="s">
        <v>54</v>
      </c>
      <c r="J492" s="8" t="s">
        <v>54</v>
      </c>
      <c r="K492" s="8" t="s">
        <v>54</v>
      </c>
      <c r="L492" s="8" t="s">
        <v>54</v>
      </c>
      <c r="M492" s="12" t="s">
        <v>55</v>
      </c>
      <c r="N492" s="10" t="s">
        <v>67</v>
      </c>
      <c r="O492" s="8" t="s">
        <v>54</v>
      </c>
      <c r="P492" s="8" t="s">
        <v>54</v>
      </c>
      <c r="Q492" s="8" t="s">
        <v>54</v>
      </c>
      <c r="R492" s="8" t="s">
        <v>54</v>
      </c>
      <c r="S492" s="8" t="s">
        <v>54</v>
      </c>
      <c r="T492" s="8" t="s">
        <v>54</v>
      </c>
      <c r="U492" s="10" t="s">
        <v>67</v>
      </c>
      <c r="V492" s="8" t="s">
        <v>54</v>
      </c>
      <c r="W492" s="8" t="s">
        <v>54</v>
      </c>
      <c r="X492" s="8" t="s">
        <v>54</v>
      </c>
      <c r="Y492" s="8" t="s">
        <v>54</v>
      </c>
      <c r="Z492" s="8" t="s">
        <v>54</v>
      </c>
      <c r="AA492" s="8" t="s">
        <v>54</v>
      </c>
      <c r="AB492" s="10" t="s">
        <v>67</v>
      </c>
      <c r="AC492" s="12" t="s">
        <v>55</v>
      </c>
      <c r="AD492" s="12" t="s">
        <v>55</v>
      </c>
      <c r="AE492" s="8" t="s">
        <v>54</v>
      </c>
      <c r="AF492" s="8" t="s">
        <v>54</v>
      </c>
      <c r="AG492" s="8" t="s">
        <v>54</v>
      </c>
      <c r="AH492" s="8" t="s">
        <v>54</v>
      </c>
      <c r="AI492" s="10" t="s">
        <v>67</v>
      </c>
      <c r="AJ492" s="8">
        <f>COUNTIF($E$492:$AI$492,"P")</f>
        <v>23</v>
      </c>
      <c r="AK492" s="8">
        <f>COUNTIF($E$492:$AI$492,"A")</f>
        <v>3</v>
      </c>
      <c r="AL492" s="8">
        <f>SUM($E$493:$AI$493)</f>
        <v>35</v>
      </c>
      <c r="AM492" s="8">
        <f>SUM($E$494:$AI$494)</f>
        <v>119.5</v>
      </c>
      <c r="AN492" s="8">
        <f>AL492+AM492</f>
        <v>154.5</v>
      </c>
      <c r="AO492" s="8">
        <f>COUNTIF($E$492:$AI$492,"CL")</f>
        <v>0</v>
      </c>
      <c r="AP492" s="8">
        <f>COUNTIF($E$492:$AI$492,"SL")</f>
        <v>0</v>
      </c>
      <c r="AQ492" s="8">
        <f>COUNTIF($E$492:$AI$492,"EL")</f>
        <v>0</v>
      </c>
      <c r="AR492" s="8">
        <f>COUNTIF($E$492:$AI$492,"H")</f>
        <v>0</v>
      </c>
      <c r="AS492" s="8"/>
      <c r="AT492" s="11" t="s">
        <v>15</v>
      </c>
    </row>
    <row r="493" spans="1:46" ht="15.1" customHeight="1">
      <c r="A493" s="8"/>
      <c r="B493" s="9"/>
      <c r="C493" s="8"/>
      <c r="D493" s="9"/>
      <c r="E493" s="8">
        <v>2</v>
      </c>
      <c r="F493" s="8">
        <v>2</v>
      </c>
      <c r="G493" s="8">
        <v>0</v>
      </c>
      <c r="H493" s="8">
        <v>2</v>
      </c>
      <c r="I493" s="8">
        <v>2</v>
      </c>
      <c r="J493" s="8">
        <v>2</v>
      </c>
      <c r="K493" s="8">
        <v>2</v>
      </c>
      <c r="L493" s="8">
        <v>2</v>
      </c>
      <c r="M493" s="8">
        <v>0</v>
      </c>
      <c r="N493" s="8">
        <v>0</v>
      </c>
      <c r="O493" s="8">
        <v>2</v>
      </c>
      <c r="P493" s="8">
        <v>2</v>
      </c>
      <c r="Q493" s="8">
        <v>2</v>
      </c>
      <c r="R493" s="8">
        <v>2</v>
      </c>
      <c r="S493" s="8">
        <v>2</v>
      </c>
      <c r="T493" s="8">
        <v>2</v>
      </c>
      <c r="U493" s="8">
        <v>0</v>
      </c>
      <c r="V493" s="8">
        <v>2</v>
      </c>
      <c r="W493" s="8">
        <v>2</v>
      </c>
      <c r="X493" s="8">
        <v>2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1</v>
      </c>
      <c r="AG493" s="8">
        <v>0</v>
      </c>
      <c r="AH493" s="8">
        <v>2</v>
      </c>
      <c r="AI493" s="8">
        <v>0</v>
      </c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11" t="s">
        <v>15</v>
      </c>
    </row>
    <row r="494" spans="1:46" ht="15.1" customHeight="1">
      <c r="A494" s="8"/>
      <c r="B494" s="9"/>
      <c r="C494" s="8"/>
      <c r="D494" s="9"/>
      <c r="E494" s="8">
        <v>5</v>
      </c>
      <c r="F494" s="8">
        <v>3</v>
      </c>
      <c r="G494" s="8">
        <v>14</v>
      </c>
      <c r="H494" s="8">
        <v>5</v>
      </c>
      <c r="I494" s="8">
        <v>6.5</v>
      </c>
      <c r="J494" s="8">
        <v>10.5</v>
      </c>
      <c r="K494" s="8">
        <v>7</v>
      </c>
      <c r="L494" s="8">
        <v>7</v>
      </c>
      <c r="M494" s="8">
        <v>0</v>
      </c>
      <c r="N494" s="8">
        <v>0</v>
      </c>
      <c r="O494" s="8">
        <v>7</v>
      </c>
      <c r="P494" s="8">
        <v>7</v>
      </c>
      <c r="Q494" s="8">
        <v>5</v>
      </c>
      <c r="R494" s="8">
        <v>6.5</v>
      </c>
      <c r="S494" s="8">
        <v>7</v>
      </c>
      <c r="T494" s="8">
        <v>3</v>
      </c>
      <c r="U494" s="8">
        <v>13</v>
      </c>
      <c r="V494" s="8">
        <v>7</v>
      </c>
      <c r="W494" s="8">
        <v>0</v>
      </c>
      <c r="X494" s="8">
        <v>3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3</v>
      </c>
      <c r="AI494" s="8">
        <v>0</v>
      </c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11" t="s">
        <v>15</v>
      </c>
    </row>
    <row r="495" spans="1:46" ht="15.1" customHeight="1">
      <c r="A495" s="8">
        <v>164</v>
      </c>
      <c r="B495" s="9" t="s">
        <v>590</v>
      </c>
      <c r="C495" s="8" t="s">
        <v>591</v>
      </c>
      <c r="D495" s="9" t="s">
        <v>266</v>
      </c>
      <c r="E495" s="8" t="s">
        <v>54</v>
      </c>
      <c r="F495" s="12" t="s">
        <v>55</v>
      </c>
      <c r="G495" s="10" t="s">
        <v>67</v>
      </c>
      <c r="H495" s="12" t="s">
        <v>55</v>
      </c>
      <c r="I495" s="12" t="s">
        <v>55</v>
      </c>
      <c r="J495" s="8" t="s">
        <v>54</v>
      </c>
      <c r="K495" s="8" t="s">
        <v>54</v>
      </c>
      <c r="L495" s="8" t="s">
        <v>54</v>
      </c>
      <c r="M495" s="8" t="s">
        <v>54</v>
      </c>
      <c r="N495" s="10" t="s">
        <v>67</v>
      </c>
      <c r="O495" s="8" t="s">
        <v>54</v>
      </c>
      <c r="P495" s="8" t="s">
        <v>54</v>
      </c>
      <c r="Q495" s="8" t="s">
        <v>54</v>
      </c>
      <c r="R495" s="8" t="s">
        <v>54</v>
      </c>
      <c r="S495" s="8" t="s">
        <v>54</v>
      </c>
      <c r="T495" s="8" t="s">
        <v>54</v>
      </c>
      <c r="U495" s="10" t="s">
        <v>67</v>
      </c>
      <c r="V495" s="8" t="s">
        <v>54</v>
      </c>
      <c r="W495" s="8" t="s">
        <v>54</v>
      </c>
      <c r="X495" s="8" t="s">
        <v>54</v>
      </c>
      <c r="Y495" s="8" t="s">
        <v>54</v>
      </c>
      <c r="Z495" s="8" t="s">
        <v>54</v>
      </c>
      <c r="AA495" s="8" t="s">
        <v>54</v>
      </c>
      <c r="AB495" s="10" t="s">
        <v>67</v>
      </c>
      <c r="AC495" s="8" t="s">
        <v>54</v>
      </c>
      <c r="AD495" s="8" t="s">
        <v>54</v>
      </c>
      <c r="AE495" s="8" t="s">
        <v>54</v>
      </c>
      <c r="AF495" s="8" t="s">
        <v>54</v>
      </c>
      <c r="AG495" s="8" t="s">
        <v>54</v>
      </c>
      <c r="AH495" s="8" t="s">
        <v>54</v>
      </c>
      <c r="AI495" s="10" t="s">
        <v>67</v>
      </c>
      <c r="AJ495" s="8">
        <f>COUNTIF($E$495:$AI$495,"P")</f>
        <v>23</v>
      </c>
      <c r="AK495" s="8">
        <f>COUNTIF($E$495:$AI$495,"A")</f>
        <v>3</v>
      </c>
      <c r="AL495" s="8">
        <f>SUM($E$496:$AI$496)</f>
        <v>30</v>
      </c>
      <c r="AM495" s="8">
        <f>SUM($E$497:$AI$497)</f>
        <v>122.5</v>
      </c>
      <c r="AN495" s="8">
        <f>AL495+AM495</f>
        <v>152.5</v>
      </c>
      <c r="AO495" s="8">
        <f>COUNTIF($E$495:$AI$495,"CL")</f>
        <v>0</v>
      </c>
      <c r="AP495" s="8">
        <f>COUNTIF($E$495:$AI$495,"SL")</f>
        <v>0</v>
      </c>
      <c r="AQ495" s="8">
        <f>COUNTIF($E$495:$AI$495,"EL")</f>
        <v>0</v>
      </c>
      <c r="AR495" s="8">
        <f>COUNTIF($E$495:$AI$495,"H")</f>
        <v>0</v>
      </c>
      <c r="AS495" s="8"/>
      <c r="AT495" s="11" t="s">
        <v>15</v>
      </c>
    </row>
    <row r="496" spans="1:46" ht="15.1" customHeight="1">
      <c r="A496" s="8"/>
      <c r="B496" s="9"/>
      <c r="C496" s="8"/>
      <c r="D496" s="9"/>
      <c r="E496" s="8">
        <v>2</v>
      </c>
      <c r="F496" s="8">
        <v>0</v>
      </c>
      <c r="G496" s="8">
        <v>0</v>
      </c>
      <c r="H496" s="8">
        <v>0</v>
      </c>
      <c r="I496" s="8">
        <v>0</v>
      </c>
      <c r="J496" s="8">
        <v>2</v>
      </c>
      <c r="K496" s="8">
        <v>2</v>
      </c>
      <c r="L496" s="8">
        <v>2</v>
      </c>
      <c r="M496" s="8">
        <v>2</v>
      </c>
      <c r="N496" s="8">
        <v>0</v>
      </c>
      <c r="O496" s="8">
        <v>2</v>
      </c>
      <c r="P496" s="8">
        <v>2</v>
      </c>
      <c r="Q496" s="8">
        <v>2</v>
      </c>
      <c r="R496" s="8">
        <v>2</v>
      </c>
      <c r="S496" s="8">
        <v>2</v>
      </c>
      <c r="T496" s="8">
        <v>2</v>
      </c>
      <c r="U496" s="8">
        <v>0</v>
      </c>
      <c r="V496" s="8">
        <v>2</v>
      </c>
      <c r="W496" s="8">
        <v>2</v>
      </c>
      <c r="X496" s="8">
        <v>2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2</v>
      </c>
      <c r="AI496" s="8">
        <v>0</v>
      </c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11" t="s">
        <v>15</v>
      </c>
    </row>
    <row r="497" spans="1:46" ht="15.1" customHeight="1">
      <c r="A497" s="8"/>
      <c r="B497" s="9"/>
      <c r="C497" s="8"/>
      <c r="D497" s="9"/>
      <c r="E497" s="8">
        <v>5</v>
      </c>
      <c r="F497" s="8">
        <v>0</v>
      </c>
      <c r="G497" s="8">
        <v>13.5</v>
      </c>
      <c r="H497" s="8">
        <v>0</v>
      </c>
      <c r="I497" s="8">
        <v>0</v>
      </c>
      <c r="J497" s="8">
        <v>7</v>
      </c>
      <c r="K497" s="8">
        <v>7</v>
      </c>
      <c r="L497" s="8">
        <v>7</v>
      </c>
      <c r="M497" s="8">
        <v>5</v>
      </c>
      <c r="N497" s="8">
        <v>16.5</v>
      </c>
      <c r="O497" s="8">
        <v>7</v>
      </c>
      <c r="P497" s="8">
        <v>7</v>
      </c>
      <c r="Q497" s="8">
        <v>5</v>
      </c>
      <c r="R497" s="8">
        <v>7</v>
      </c>
      <c r="S497" s="8">
        <v>7</v>
      </c>
      <c r="T497" s="8">
        <v>3</v>
      </c>
      <c r="U497" s="8">
        <v>12.5</v>
      </c>
      <c r="V497" s="8">
        <v>7</v>
      </c>
      <c r="W497" s="8">
        <v>0</v>
      </c>
      <c r="X497" s="8">
        <v>3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3</v>
      </c>
      <c r="AI497" s="8">
        <v>0</v>
      </c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11" t="s">
        <v>15</v>
      </c>
    </row>
    <row r="498" spans="1:46" ht="15.1" customHeight="1">
      <c r="A498" s="8">
        <v>165</v>
      </c>
      <c r="B498" s="9" t="s">
        <v>592</v>
      </c>
      <c r="C498" s="8" t="s">
        <v>593</v>
      </c>
      <c r="D498" s="9" t="s">
        <v>266</v>
      </c>
      <c r="E498" s="8" t="s">
        <v>54</v>
      </c>
      <c r="F498" s="8" t="s">
        <v>54</v>
      </c>
      <c r="G498" s="10" t="s">
        <v>67</v>
      </c>
      <c r="H498" s="8" t="s">
        <v>54</v>
      </c>
      <c r="I498" s="8" t="s">
        <v>54</v>
      </c>
      <c r="J498" s="8" t="s">
        <v>54</v>
      </c>
      <c r="K498" s="8" t="s">
        <v>54</v>
      </c>
      <c r="L498" s="8" t="s">
        <v>54</v>
      </c>
      <c r="M498" s="8" t="s">
        <v>54</v>
      </c>
      <c r="N498" s="10" t="s">
        <v>67</v>
      </c>
      <c r="O498" s="8" t="s">
        <v>54</v>
      </c>
      <c r="P498" s="8" t="s">
        <v>54</v>
      </c>
      <c r="Q498" s="8" t="s">
        <v>54</v>
      </c>
      <c r="R498" s="8" t="s">
        <v>54</v>
      </c>
      <c r="S498" s="8" t="s">
        <v>54</v>
      </c>
      <c r="T498" s="8" t="s">
        <v>54</v>
      </c>
      <c r="U498" s="10" t="s">
        <v>67</v>
      </c>
      <c r="V498" s="8" t="s">
        <v>54</v>
      </c>
      <c r="W498" s="8" t="s">
        <v>54</v>
      </c>
      <c r="X498" s="8" t="s">
        <v>54</v>
      </c>
      <c r="Y498" s="8" t="s">
        <v>54</v>
      </c>
      <c r="Z498" s="8" t="s">
        <v>54</v>
      </c>
      <c r="AA498" s="8" t="s">
        <v>54</v>
      </c>
      <c r="AB498" s="10" t="s">
        <v>67</v>
      </c>
      <c r="AC498" s="8" t="s">
        <v>54</v>
      </c>
      <c r="AD498" s="8" t="s">
        <v>54</v>
      </c>
      <c r="AE498" s="8" t="s">
        <v>54</v>
      </c>
      <c r="AF498" s="8" t="s">
        <v>54</v>
      </c>
      <c r="AG498" s="8" t="s">
        <v>54</v>
      </c>
      <c r="AH498" s="8" t="s">
        <v>54</v>
      </c>
      <c r="AI498" s="10" t="s">
        <v>67</v>
      </c>
      <c r="AJ498" s="8">
        <f>COUNTIF($E$498:$AI$498,"P")</f>
        <v>26</v>
      </c>
      <c r="AK498" s="8">
        <f>COUNTIF($E$498:$AI$498,"A")</f>
        <v>0</v>
      </c>
      <c r="AL498" s="8">
        <f>SUM($E$499:$AI$499)</f>
        <v>32</v>
      </c>
      <c r="AM498" s="8">
        <f>SUM($E$500:$AI$500)</f>
        <v>133</v>
      </c>
      <c r="AN498" s="8">
        <f>AL498+AM498</f>
        <v>165</v>
      </c>
      <c r="AO498" s="8">
        <f>COUNTIF($E$498:$AI$498,"CL")</f>
        <v>0</v>
      </c>
      <c r="AP498" s="8">
        <f>COUNTIF($E$498:$AI$498,"SL")</f>
        <v>0</v>
      </c>
      <c r="AQ498" s="8">
        <f>COUNTIF($E$498:$AI$498,"EL")</f>
        <v>0</v>
      </c>
      <c r="AR498" s="8">
        <f>COUNTIF($E$498:$AI$498,"H")</f>
        <v>0</v>
      </c>
      <c r="AS498" s="8"/>
      <c r="AT498" s="11" t="s">
        <v>15</v>
      </c>
    </row>
    <row r="499" spans="1:46" ht="15.1" customHeight="1">
      <c r="A499" s="8"/>
      <c r="B499" s="9"/>
      <c r="C499" s="8"/>
      <c r="D499" s="9"/>
      <c r="E499" s="8">
        <v>2</v>
      </c>
      <c r="F499" s="8">
        <v>2</v>
      </c>
      <c r="G499" s="8">
        <v>0</v>
      </c>
      <c r="H499" s="8">
        <v>2</v>
      </c>
      <c r="I499" s="8">
        <v>2</v>
      </c>
      <c r="J499" s="8">
        <v>2</v>
      </c>
      <c r="K499" s="8">
        <v>2</v>
      </c>
      <c r="L499" s="8">
        <v>2</v>
      </c>
      <c r="M499" s="8">
        <v>2</v>
      </c>
      <c r="N499" s="8">
        <v>0</v>
      </c>
      <c r="O499" s="8">
        <v>2</v>
      </c>
      <c r="P499" s="8">
        <v>2</v>
      </c>
      <c r="Q499" s="8">
        <v>2</v>
      </c>
      <c r="R499" s="8">
        <v>2</v>
      </c>
      <c r="S499" s="8">
        <v>2</v>
      </c>
      <c r="T499" s="8">
        <v>2</v>
      </c>
      <c r="U499" s="8">
        <v>0</v>
      </c>
      <c r="V499" s="8">
        <v>2</v>
      </c>
      <c r="W499" s="8">
        <v>2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11" t="s">
        <v>15</v>
      </c>
    </row>
    <row r="500" spans="1:46" ht="15.1" customHeight="1">
      <c r="A500" s="8"/>
      <c r="B500" s="9"/>
      <c r="C500" s="8"/>
      <c r="D500" s="9"/>
      <c r="E500" s="8">
        <v>5</v>
      </c>
      <c r="F500" s="8">
        <v>3</v>
      </c>
      <c r="G500" s="8">
        <v>14</v>
      </c>
      <c r="H500" s="8">
        <v>5</v>
      </c>
      <c r="I500" s="8">
        <v>7</v>
      </c>
      <c r="J500" s="8">
        <v>7</v>
      </c>
      <c r="K500" s="8">
        <v>7</v>
      </c>
      <c r="L500" s="8">
        <v>7</v>
      </c>
      <c r="M500" s="8">
        <v>5</v>
      </c>
      <c r="N500" s="8">
        <v>16.5</v>
      </c>
      <c r="O500" s="8">
        <v>7</v>
      </c>
      <c r="P500" s="8">
        <v>7</v>
      </c>
      <c r="Q500" s="8">
        <v>5</v>
      </c>
      <c r="R500" s="8">
        <v>8</v>
      </c>
      <c r="S500" s="8">
        <v>7</v>
      </c>
      <c r="T500" s="8">
        <v>3</v>
      </c>
      <c r="U500" s="8">
        <v>12.5</v>
      </c>
      <c r="V500" s="8">
        <v>7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11" t="s">
        <v>15</v>
      </c>
    </row>
    <row r="501" spans="1:46" ht="15.1" customHeight="1">
      <c r="A501" s="8">
        <v>166</v>
      </c>
      <c r="B501" s="9" t="s">
        <v>594</v>
      </c>
      <c r="C501" s="8" t="s">
        <v>595</v>
      </c>
      <c r="D501" s="9" t="s">
        <v>266</v>
      </c>
      <c r="E501" s="8" t="s">
        <v>54</v>
      </c>
      <c r="F501" s="8" t="s">
        <v>54</v>
      </c>
      <c r="G501" s="10" t="s">
        <v>67</v>
      </c>
      <c r="H501" s="8" t="s">
        <v>54</v>
      </c>
      <c r="I501" s="8" t="s">
        <v>54</v>
      </c>
      <c r="J501" s="8" t="s">
        <v>54</v>
      </c>
      <c r="K501" s="8" t="s">
        <v>54</v>
      </c>
      <c r="L501" s="8" t="s">
        <v>54</v>
      </c>
      <c r="M501" s="8" t="s">
        <v>54</v>
      </c>
      <c r="N501" s="10" t="s">
        <v>67</v>
      </c>
      <c r="O501" s="8" t="s">
        <v>54</v>
      </c>
      <c r="P501" s="8" t="s">
        <v>54</v>
      </c>
      <c r="Q501" s="8" t="s">
        <v>54</v>
      </c>
      <c r="R501" s="8" t="s">
        <v>54</v>
      </c>
      <c r="S501" s="8" t="s">
        <v>54</v>
      </c>
      <c r="T501" s="8" t="s">
        <v>54</v>
      </c>
      <c r="U501" s="10" t="s">
        <v>67</v>
      </c>
      <c r="V501" s="8" t="s">
        <v>54</v>
      </c>
      <c r="W501" s="8" t="s">
        <v>54</v>
      </c>
      <c r="X501" s="8" t="s">
        <v>54</v>
      </c>
      <c r="Y501" s="8" t="s">
        <v>54</v>
      </c>
      <c r="Z501" s="8" t="s">
        <v>54</v>
      </c>
      <c r="AA501" s="8" t="s">
        <v>54</v>
      </c>
      <c r="AB501" s="10" t="s">
        <v>67</v>
      </c>
      <c r="AC501" s="8" t="s">
        <v>54</v>
      </c>
      <c r="AD501" s="8" t="s">
        <v>54</v>
      </c>
      <c r="AE501" s="8" t="s">
        <v>54</v>
      </c>
      <c r="AF501" s="8" t="s">
        <v>54</v>
      </c>
      <c r="AG501" s="8" t="s">
        <v>54</v>
      </c>
      <c r="AH501" s="8" t="s">
        <v>54</v>
      </c>
      <c r="AI501" s="10" t="s">
        <v>67</v>
      </c>
      <c r="AJ501" s="8">
        <f>COUNTIF($E$501:$AI$501,"P")</f>
        <v>26</v>
      </c>
      <c r="AK501" s="8">
        <f>COUNTIF($E$501:$AI$501,"A")</f>
        <v>0</v>
      </c>
      <c r="AL501" s="8">
        <f>SUM($E$502:$AI$502)</f>
        <v>34</v>
      </c>
      <c r="AM501" s="8">
        <f>SUM($E$503:$AI$503)</f>
        <v>138.5</v>
      </c>
      <c r="AN501" s="8">
        <f>AL501+AM501</f>
        <v>172.5</v>
      </c>
      <c r="AO501" s="8">
        <f>COUNTIF($E$501:$AI$501,"CL")</f>
        <v>0</v>
      </c>
      <c r="AP501" s="8">
        <f>COUNTIF($E$501:$AI$501,"SL")</f>
        <v>0</v>
      </c>
      <c r="AQ501" s="8">
        <f>COUNTIF($E$501:$AI$501,"EL")</f>
        <v>0</v>
      </c>
      <c r="AR501" s="8">
        <f>COUNTIF($E$501:$AI$501,"H")</f>
        <v>0</v>
      </c>
      <c r="AS501" s="8"/>
      <c r="AT501" s="11" t="s">
        <v>15</v>
      </c>
    </row>
    <row r="502" spans="1:46" ht="15.1" customHeight="1">
      <c r="A502" s="8"/>
      <c r="B502" s="9"/>
      <c r="C502" s="8"/>
      <c r="D502" s="9"/>
      <c r="E502" s="8">
        <v>2</v>
      </c>
      <c r="F502" s="8">
        <v>2</v>
      </c>
      <c r="G502" s="8">
        <v>0</v>
      </c>
      <c r="H502" s="8">
        <v>2</v>
      </c>
      <c r="I502" s="8">
        <v>2</v>
      </c>
      <c r="J502" s="8">
        <v>2</v>
      </c>
      <c r="K502" s="8">
        <v>2</v>
      </c>
      <c r="L502" s="8">
        <v>2</v>
      </c>
      <c r="M502" s="8">
        <v>2</v>
      </c>
      <c r="N502" s="8">
        <v>0</v>
      </c>
      <c r="O502" s="8">
        <v>2</v>
      </c>
      <c r="P502" s="8">
        <v>2</v>
      </c>
      <c r="Q502" s="8">
        <v>2</v>
      </c>
      <c r="R502" s="8">
        <v>2</v>
      </c>
      <c r="S502" s="8">
        <v>2</v>
      </c>
      <c r="T502" s="8">
        <v>2</v>
      </c>
      <c r="U502" s="8">
        <v>0</v>
      </c>
      <c r="V502" s="8">
        <v>2</v>
      </c>
      <c r="W502" s="8">
        <v>2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2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11" t="s">
        <v>15</v>
      </c>
    </row>
    <row r="503" spans="1:46" ht="15.1" customHeight="1">
      <c r="A503" s="8"/>
      <c r="B503" s="9"/>
      <c r="C503" s="8"/>
      <c r="D503" s="9"/>
      <c r="E503" s="8">
        <v>4.5</v>
      </c>
      <c r="F503" s="8">
        <v>3</v>
      </c>
      <c r="G503" s="8">
        <v>13.5</v>
      </c>
      <c r="H503" s="8">
        <v>5</v>
      </c>
      <c r="I503" s="8">
        <v>7</v>
      </c>
      <c r="J503" s="8">
        <v>7</v>
      </c>
      <c r="K503" s="8">
        <v>7</v>
      </c>
      <c r="L503" s="8">
        <v>7</v>
      </c>
      <c r="M503" s="8">
        <v>5</v>
      </c>
      <c r="N503" s="8">
        <v>16.5</v>
      </c>
      <c r="O503" s="8">
        <v>11</v>
      </c>
      <c r="P503" s="8">
        <v>7</v>
      </c>
      <c r="Q503" s="8">
        <v>5</v>
      </c>
      <c r="R503" s="8">
        <v>7</v>
      </c>
      <c r="S503" s="8">
        <v>7</v>
      </c>
      <c r="T503" s="8">
        <v>3</v>
      </c>
      <c r="U503" s="8">
        <v>12.5</v>
      </c>
      <c r="V503" s="8">
        <v>6.5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4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11" t="s">
        <v>15</v>
      </c>
    </row>
    <row r="504" spans="1:46" ht="15.1" customHeight="1">
      <c r="A504" s="8">
        <v>167</v>
      </c>
      <c r="B504" s="9" t="s">
        <v>596</v>
      </c>
      <c r="C504" s="8" t="s">
        <v>597</v>
      </c>
      <c r="D504" s="9" t="s">
        <v>266</v>
      </c>
      <c r="E504" s="8" t="s">
        <v>54</v>
      </c>
      <c r="F504" s="8" t="s">
        <v>54</v>
      </c>
      <c r="G504" s="10" t="s">
        <v>67</v>
      </c>
      <c r="H504" s="8" t="s">
        <v>54</v>
      </c>
      <c r="I504" s="8" t="s">
        <v>54</v>
      </c>
      <c r="J504" s="8" t="s">
        <v>54</v>
      </c>
      <c r="K504" s="8" t="s">
        <v>54</v>
      </c>
      <c r="L504" s="8" t="s">
        <v>54</v>
      </c>
      <c r="M504" s="8" t="s">
        <v>54</v>
      </c>
      <c r="N504" s="10" t="s">
        <v>67</v>
      </c>
      <c r="O504" s="8" t="s">
        <v>54</v>
      </c>
      <c r="P504" s="8" t="s">
        <v>54</v>
      </c>
      <c r="Q504" s="8" t="s">
        <v>54</v>
      </c>
      <c r="R504" s="8" t="s">
        <v>54</v>
      </c>
      <c r="S504" s="12" t="s">
        <v>55</v>
      </c>
      <c r="T504" s="8" t="s">
        <v>54</v>
      </c>
      <c r="U504" s="10" t="s">
        <v>67</v>
      </c>
      <c r="V504" s="8" t="s">
        <v>54</v>
      </c>
      <c r="W504" s="8" t="s">
        <v>54</v>
      </c>
      <c r="X504" s="8" t="s">
        <v>54</v>
      </c>
      <c r="Y504" s="8" t="s">
        <v>54</v>
      </c>
      <c r="Z504" s="8" t="s">
        <v>54</v>
      </c>
      <c r="AA504" s="8" t="s">
        <v>54</v>
      </c>
      <c r="AB504" s="10" t="s">
        <v>67</v>
      </c>
      <c r="AC504" s="8" t="s">
        <v>54</v>
      </c>
      <c r="AD504" s="8" t="s">
        <v>54</v>
      </c>
      <c r="AE504" s="8" t="s">
        <v>54</v>
      </c>
      <c r="AF504" s="8" t="s">
        <v>54</v>
      </c>
      <c r="AG504" s="8" t="s">
        <v>54</v>
      </c>
      <c r="AH504" s="8" t="s">
        <v>54</v>
      </c>
      <c r="AI504" s="10" t="s">
        <v>67</v>
      </c>
      <c r="AJ504" s="8">
        <f>COUNTIF($E$504:$AI$504,"P")</f>
        <v>25</v>
      </c>
      <c r="AK504" s="8">
        <f>COUNTIF($E$504:$AI$504,"A")</f>
        <v>1</v>
      </c>
      <c r="AL504" s="8">
        <f>SUM($E$505:$AI$505)</f>
        <v>30</v>
      </c>
      <c r="AM504" s="8">
        <f>SUM($E$506:$AI$506)</f>
        <v>120.5</v>
      </c>
      <c r="AN504" s="8">
        <f>AL504+AM504</f>
        <v>150.5</v>
      </c>
      <c r="AO504" s="8">
        <f>COUNTIF($E$504:$AI$504,"CL")</f>
        <v>0</v>
      </c>
      <c r="AP504" s="8">
        <f>COUNTIF($E$504:$AI$504,"SL")</f>
        <v>0</v>
      </c>
      <c r="AQ504" s="8">
        <f>COUNTIF($E$504:$AI$504,"EL")</f>
        <v>0</v>
      </c>
      <c r="AR504" s="8">
        <f>COUNTIF($E$504:$AI$504,"H")</f>
        <v>0</v>
      </c>
      <c r="AS504" s="8"/>
      <c r="AT504" s="11" t="s">
        <v>15</v>
      </c>
    </row>
    <row r="505" spans="1:46" ht="15.1" customHeight="1">
      <c r="A505" s="8"/>
      <c r="B505" s="9"/>
      <c r="C505" s="8"/>
      <c r="D505" s="9"/>
      <c r="E505" s="8">
        <v>2</v>
      </c>
      <c r="F505" s="8">
        <v>2</v>
      </c>
      <c r="G505" s="8">
        <v>0</v>
      </c>
      <c r="H505" s="8">
        <v>2</v>
      </c>
      <c r="I505" s="8">
        <v>2</v>
      </c>
      <c r="J505" s="8">
        <v>2</v>
      </c>
      <c r="K505" s="8">
        <v>2</v>
      </c>
      <c r="L505" s="8">
        <v>2</v>
      </c>
      <c r="M505" s="8">
        <v>2</v>
      </c>
      <c r="N505" s="8">
        <v>0</v>
      </c>
      <c r="O505" s="8">
        <v>2</v>
      </c>
      <c r="P505" s="8">
        <v>2</v>
      </c>
      <c r="Q505" s="8">
        <v>2</v>
      </c>
      <c r="R505" s="8">
        <v>2</v>
      </c>
      <c r="S505" s="8">
        <v>0</v>
      </c>
      <c r="T505" s="8">
        <v>2</v>
      </c>
      <c r="U505" s="8">
        <v>0</v>
      </c>
      <c r="V505" s="8">
        <v>2</v>
      </c>
      <c r="W505" s="8">
        <v>2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11" t="s">
        <v>15</v>
      </c>
    </row>
    <row r="506" spans="1:46" ht="15.1" customHeight="1">
      <c r="A506" s="8"/>
      <c r="B506" s="9"/>
      <c r="C506" s="8"/>
      <c r="D506" s="9"/>
      <c r="E506" s="8">
        <v>5</v>
      </c>
      <c r="F506" s="8">
        <v>3</v>
      </c>
      <c r="G506" s="8">
        <v>13.5</v>
      </c>
      <c r="H506" s="8">
        <v>5</v>
      </c>
      <c r="I506" s="8">
        <v>7</v>
      </c>
      <c r="J506" s="8">
        <v>7</v>
      </c>
      <c r="K506" s="8">
        <v>7</v>
      </c>
      <c r="L506" s="8">
        <v>7</v>
      </c>
      <c r="M506" s="8">
        <v>5</v>
      </c>
      <c r="N506" s="8">
        <v>12.5</v>
      </c>
      <c r="O506" s="8">
        <v>7</v>
      </c>
      <c r="P506" s="8">
        <v>7</v>
      </c>
      <c r="Q506" s="8">
        <v>5</v>
      </c>
      <c r="R506" s="8">
        <v>7</v>
      </c>
      <c r="S506" s="8">
        <v>0</v>
      </c>
      <c r="T506" s="8">
        <v>3</v>
      </c>
      <c r="U506" s="8">
        <v>12.5</v>
      </c>
      <c r="V506" s="8">
        <v>7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11" t="s">
        <v>15</v>
      </c>
    </row>
    <row r="507" spans="1:46" ht="15.1" customHeight="1">
      <c r="A507" s="8">
        <v>168</v>
      </c>
      <c r="B507" s="9" t="s">
        <v>598</v>
      </c>
      <c r="C507" s="8" t="s">
        <v>599</v>
      </c>
      <c r="D507" s="9" t="s">
        <v>266</v>
      </c>
      <c r="E507" s="8" t="s">
        <v>54</v>
      </c>
      <c r="F507" s="8" t="s">
        <v>54</v>
      </c>
      <c r="G507" s="10" t="s">
        <v>67</v>
      </c>
      <c r="H507" s="8" t="s">
        <v>54</v>
      </c>
      <c r="I507" s="8" t="s">
        <v>54</v>
      </c>
      <c r="J507" s="8" t="s">
        <v>54</v>
      </c>
      <c r="K507" s="8" t="s">
        <v>54</v>
      </c>
      <c r="L507" s="8" t="s">
        <v>54</v>
      </c>
      <c r="M507" s="8" t="s">
        <v>54</v>
      </c>
      <c r="N507" s="10" t="s">
        <v>67</v>
      </c>
      <c r="O507" s="8" t="s">
        <v>54</v>
      </c>
      <c r="P507" s="8" t="s">
        <v>54</v>
      </c>
      <c r="Q507" s="8" t="s">
        <v>54</v>
      </c>
      <c r="R507" s="8" t="s">
        <v>54</v>
      </c>
      <c r="S507" s="8" t="s">
        <v>54</v>
      </c>
      <c r="T507" s="8" t="s">
        <v>54</v>
      </c>
      <c r="U507" s="10" t="s">
        <v>67</v>
      </c>
      <c r="V507" s="8" t="s">
        <v>54</v>
      </c>
      <c r="W507" s="8" t="s">
        <v>54</v>
      </c>
      <c r="X507" s="8" t="s">
        <v>54</v>
      </c>
      <c r="Y507" s="8" t="s">
        <v>54</v>
      </c>
      <c r="Z507" s="8" t="s">
        <v>54</v>
      </c>
      <c r="AA507" s="8" t="s">
        <v>54</v>
      </c>
      <c r="AB507" s="10" t="s">
        <v>67</v>
      </c>
      <c r="AC507" s="8" t="s">
        <v>54</v>
      </c>
      <c r="AD507" s="8" t="s">
        <v>54</v>
      </c>
      <c r="AE507" s="8" t="s">
        <v>54</v>
      </c>
      <c r="AF507" s="8" t="s">
        <v>54</v>
      </c>
      <c r="AG507" s="8" t="s">
        <v>54</v>
      </c>
      <c r="AH507" s="8" t="s">
        <v>54</v>
      </c>
      <c r="AI507" s="10" t="s">
        <v>67</v>
      </c>
      <c r="AJ507" s="8">
        <f>COUNTIF($E$507:$AI$507,"P")</f>
        <v>26</v>
      </c>
      <c r="AK507" s="8">
        <f>COUNTIF($E$507:$AI$507,"A")</f>
        <v>0</v>
      </c>
      <c r="AL507" s="8">
        <f>SUM($E$508:$AI$508)</f>
        <v>36</v>
      </c>
      <c r="AM507" s="8">
        <f>SUM($E$509:$AI$509)</f>
        <v>143</v>
      </c>
      <c r="AN507" s="8">
        <f>AL507+AM507</f>
        <v>179</v>
      </c>
      <c r="AO507" s="8">
        <f>COUNTIF($E$507:$AI$507,"CL")</f>
        <v>0</v>
      </c>
      <c r="AP507" s="8">
        <f>COUNTIF($E$507:$AI$507,"SL")</f>
        <v>0</v>
      </c>
      <c r="AQ507" s="8">
        <f>COUNTIF($E$507:$AI$507,"EL")</f>
        <v>0</v>
      </c>
      <c r="AR507" s="8">
        <f>COUNTIF($E$507:$AI$507,"H")</f>
        <v>0</v>
      </c>
      <c r="AS507" s="8"/>
      <c r="AT507" s="11" t="s">
        <v>15</v>
      </c>
    </row>
    <row r="508" spans="1:46" ht="15.1" customHeight="1">
      <c r="A508" s="8"/>
      <c r="B508" s="9"/>
      <c r="C508" s="8"/>
      <c r="D508" s="9"/>
      <c r="E508" s="8">
        <v>2</v>
      </c>
      <c r="F508" s="8">
        <v>2</v>
      </c>
      <c r="G508" s="8">
        <v>0</v>
      </c>
      <c r="H508" s="8">
        <v>2</v>
      </c>
      <c r="I508" s="8">
        <v>2</v>
      </c>
      <c r="J508" s="8">
        <v>2</v>
      </c>
      <c r="K508" s="8">
        <v>2</v>
      </c>
      <c r="L508" s="8">
        <v>2</v>
      </c>
      <c r="M508" s="8">
        <v>2</v>
      </c>
      <c r="N508" s="8">
        <v>0</v>
      </c>
      <c r="O508" s="8">
        <v>2</v>
      </c>
      <c r="P508" s="8">
        <v>2</v>
      </c>
      <c r="Q508" s="8">
        <v>2</v>
      </c>
      <c r="R508" s="8">
        <v>2</v>
      </c>
      <c r="S508" s="8">
        <v>2</v>
      </c>
      <c r="T508" s="8">
        <v>2</v>
      </c>
      <c r="U508" s="8">
        <v>0</v>
      </c>
      <c r="V508" s="8">
        <v>2</v>
      </c>
      <c r="W508" s="8">
        <v>2</v>
      </c>
      <c r="X508" s="8">
        <v>2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2</v>
      </c>
      <c r="AI508" s="8">
        <v>0</v>
      </c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11" t="s">
        <v>15</v>
      </c>
    </row>
    <row r="509" spans="1:46" ht="15.1" customHeight="1">
      <c r="A509" s="8"/>
      <c r="B509" s="9"/>
      <c r="C509" s="8"/>
      <c r="D509" s="9"/>
      <c r="E509" s="8">
        <v>5</v>
      </c>
      <c r="F509" s="8">
        <v>3</v>
      </c>
      <c r="G509" s="8">
        <v>14</v>
      </c>
      <c r="H509" s="8">
        <v>5</v>
      </c>
      <c r="I509" s="8">
        <v>7</v>
      </c>
      <c r="J509" s="8">
        <v>11</v>
      </c>
      <c r="K509" s="8">
        <v>7</v>
      </c>
      <c r="L509" s="8">
        <v>7</v>
      </c>
      <c r="M509" s="8">
        <v>5</v>
      </c>
      <c r="N509" s="8">
        <v>17</v>
      </c>
      <c r="O509" s="8">
        <v>7</v>
      </c>
      <c r="P509" s="8">
        <v>7</v>
      </c>
      <c r="Q509" s="8">
        <v>5</v>
      </c>
      <c r="R509" s="8">
        <v>7</v>
      </c>
      <c r="S509" s="8">
        <v>7</v>
      </c>
      <c r="T509" s="8">
        <v>3</v>
      </c>
      <c r="U509" s="8">
        <v>13</v>
      </c>
      <c r="V509" s="8">
        <v>7</v>
      </c>
      <c r="W509" s="8">
        <v>0</v>
      </c>
      <c r="X509" s="8">
        <v>3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3</v>
      </c>
      <c r="AI509" s="8">
        <v>0</v>
      </c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11" t="s">
        <v>15</v>
      </c>
    </row>
    <row r="510" spans="1:46" ht="15.1" customHeight="1">
      <c r="A510" s="8">
        <v>169</v>
      </c>
      <c r="B510" s="9" t="s">
        <v>600</v>
      </c>
      <c r="C510" s="8" t="s">
        <v>601</v>
      </c>
      <c r="D510" s="9" t="s">
        <v>266</v>
      </c>
      <c r="E510" s="8" t="s">
        <v>54</v>
      </c>
      <c r="F510" s="8" t="s">
        <v>54</v>
      </c>
      <c r="G510" s="10" t="s">
        <v>67</v>
      </c>
      <c r="H510" s="8" t="s">
        <v>54</v>
      </c>
      <c r="I510" s="8" t="s">
        <v>54</v>
      </c>
      <c r="J510" s="8" t="s">
        <v>54</v>
      </c>
      <c r="K510" s="8" t="s">
        <v>54</v>
      </c>
      <c r="L510" s="8" t="s">
        <v>54</v>
      </c>
      <c r="M510" s="8" t="s">
        <v>54</v>
      </c>
      <c r="N510" s="10" t="s">
        <v>67</v>
      </c>
      <c r="O510" s="8" t="s">
        <v>54</v>
      </c>
      <c r="P510" s="8" t="s">
        <v>54</v>
      </c>
      <c r="Q510" s="8" t="s">
        <v>54</v>
      </c>
      <c r="R510" s="12" t="s">
        <v>55</v>
      </c>
      <c r="S510" s="12" t="s">
        <v>55</v>
      </c>
      <c r="T510" s="8" t="s">
        <v>54</v>
      </c>
      <c r="U510" s="10" t="s">
        <v>67</v>
      </c>
      <c r="V510" s="8" t="s">
        <v>54</v>
      </c>
      <c r="W510" s="8" t="s">
        <v>54</v>
      </c>
      <c r="X510" s="8" t="s">
        <v>54</v>
      </c>
      <c r="Y510" s="8" t="s">
        <v>54</v>
      </c>
      <c r="Z510" s="8" t="s">
        <v>54</v>
      </c>
      <c r="AA510" s="8" t="s">
        <v>54</v>
      </c>
      <c r="AB510" s="10" t="s">
        <v>67</v>
      </c>
      <c r="AC510" s="8" t="s">
        <v>54</v>
      </c>
      <c r="AD510" s="8" t="s">
        <v>54</v>
      </c>
      <c r="AE510" s="8" t="s">
        <v>54</v>
      </c>
      <c r="AF510" s="8" t="s">
        <v>54</v>
      </c>
      <c r="AG510" s="8" t="s">
        <v>54</v>
      </c>
      <c r="AH510" s="8" t="s">
        <v>54</v>
      </c>
      <c r="AI510" s="10" t="s">
        <v>67</v>
      </c>
      <c r="AJ510" s="8">
        <f>COUNTIF($E$510:$AI$510,"P")</f>
        <v>24</v>
      </c>
      <c r="AK510" s="8">
        <f>COUNTIF($E$510:$AI$510,"A")</f>
        <v>2</v>
      </c>
      <c r="AL510" s="8">
        <f>SUM($E$511:$AI$511)</f>
        <v>32</v>
      </c>
      <c r="AM510" s="8">
        <f>SUM($E$512:$AI$512)</f>
        <v>107.5</v>
      </c>
      <c r="AN510" s="8">
        <f>AL510+AM510</f>
        <v>139.5</v>
      </c>
      <c r="AO510" s="8">
        <f>COUNTIF($E$510:$AI$510,"CL")</f>
        <v>0</v>
      </c>
      <c r="AP510" s="8">
        <f>COUNTIF($E$510:$AI$510,"SL")</f>
        <v>0</v>
      </c>
      <c r="AQ510" s="8">
        <f>COUNTIF($E$510:$AI$510,"EL")</f>
        <v>0</v>
      </c>
      <c r="AR510" s="8">
        <f>COUNTIF($E$510:$AI$510,"H")</f>
        <v>0</v>
      </c>
      <c r="AS510" s="8"/>
      <c r="AT510" s="11" t="s">
        <v>15</v>
      </c>
    </row>
    <row r="511" spans="1:46" ht="15.1" customHeight="1">
      <c r="A511" s="8"/>
      <c r="B511" s="9"/>
      <c r="C511" s="8"/>
      <c r="D511" s="9"/>
      <c r="E511" s="8">
        <v>2</v>
      </c>
      <c r="F511" s="8">
        <v>2</v>
      </c>
      <c r="G511" s="8">
        <v>0</v>
      </c>
      <c r="H511" s="8">
        <v>2</v>
      </c>
      <c r="I511" s="8">
        <v>2</v>
      </c>
      <c r="J511" s="8">
        <v>2</v>
      </c>
      <c r="K511" s="8">
        <v>2</v>
      </c>
      <c r="L511" s="8">
        <v>2</v>
      </c>
      <c r="M511" s="8">
        <v>2</v>
      </c>
      <c r="N511" s="8">
        <v>0</v>
      </c>
      <c r="O511" s="8">
        <v>2</v>
      </c>
      <c r="P511" s="8">
        <v>2</v>
      </c>
      <c r="Q511" s="8">
        <v>2</v>
      </c>
      <c r="R511" s="8">
        <v>0</v>
      </c>
      <c r="S511" s="8">
        <v>0</v>
      </c>
      <c r="T511" s="8">
        <v>2</v>
      </c>
      <c r="U511" s="8">
        <v>0</v>
      </c>
      <c r="V511" s="8">
        <v>2</v>
      </c>
      <c r="W511" s="8">
        <v>2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2</v>
      </c>
      <c r="AE511" s="8">
        <v>0</v>
      </c>
      <c r="AF511" s="8">
        <v>0</v>
      </c>
      <c r="AG511" s="8">
        <v>0</v>
      </c>
      <c r="AH511" s="8">
        <v>2</v>
      </c>
      <c r="AI511" s="8">
        <v>0</v>
      </c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11" t="s">
        <v>15</v>
      </c>
    </row>
    <row r="512" spans="1:46" ht="15.1" customHeight="1">
      <c r="A512" s="8"/>
      <c r="B512" s="9"/>
      <c r="C512" s="8"/>
      <c r="D512" s="9"/>
      <c r="E512" s="8">
        <v>5</v>
      </c>
      <c r="F512" s="8">
        <v>3</v>
      </c>
      <c r="G512" s="8">
        <v>14</v>
      </c>
      <c r="H512" s="8">
        <v>5</v>
      </c>
      <c r="I512" s="8">
        <v>7</v>
      </c>
      <c r="J512" s="8">
        <v>7</v>
      </c>
      <c r="K512" s="8">
        <v>7</v>
      </c>
      <c r="L512" s="8">
        <v>7</v>
      </c>
      <c r="M512" s="8">
        <v>5</v>
      </c>
      <c r="N512" s="8">
        <v>0</v>
      </c>
      <c r="O512" s="8">
        <v>7</v>
      </c>
      <c r="P512" s="8">
        <v>9.5</v>
      </c>
      <c r="Q512" s="8">
        <v>3</v>
      </c>
      <c r="R512" s="8">
        <v>0</v>
      </c>
      <c r="S512" s="8">
        <v>0</v>
      </c>
      <c r="T512" s="8">
        <v>3</v>
      </c>
      <c r="U512" s="8">
        <v>13</v>
      </c>
      <c r="V512" s="8">
        <v>7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2</v>
      </c>
      <c r="AE512" s="8">
        <v>0</v>
      </c>
      <c r="AF512" s="8">
        <v>0</v>
      </c>
      <c r="AG512" s="8">
        <v>0</v>
      </c>
      <c r="AH512" s="8">
        <v>3</v>
      </c>
      <c r="AI512" s="8">
        <v>0</v>
      </c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11" t="s">
        <v>15</v>
      </c>
    </row>
    <row r="513" spans="1:46" ht="15.1" customHeight="1">
      <c r="A513" s="8">
        <v>170</v>
      </c>
      <c r="B513" s="9" t="s">
        <v>602</v>
      </c>
      <c r="C513" s="8" t="s">
        <v>603</v>
      </c>
      <c r="D513" s="9" t="s">
        <v>266</v>
      </c>
      <c r="E513" s="8" t="s">
        <v>54</v>
      </c>
      <c r="F513" s="8" t="s">
        <v>54</v>
      </c>
      <c r="G513" s="10" t="s">
        <v>67</v>
      </c>
      <c r="H513" s="8" t="s">
        <v>54</v>
      </c>
      <c r="I513" s="8" t="s">
        <v>54</v>
      </c>
      <c r="J513" s="8" t="s">
        <v>54</v>
      </c>
      <c r="K513" s="8" t="s">
        <v>54</v>
      </c>
      <c r="L513" s="8" t="s">
        <v>54</v>
      </c>
      <c r="M513" s="8" t="s">
        <v>54</v>
      </c>
      <c r="N513" s="10" t="s">
        <v>67</v>
      </c>
      <c r="O513" s="12" t="s">
        <v>55</v>
      </c>
      <c r="P513" s="8" t="s">
        <v>54</v>
      </c>
      <c r="Q513" s="8" t="s">
        <v>54</v>
      </c>
      <c r="R513" s="8" t="s">
        <v>54</v>
      </c>
      <c r="S513" s="8" t="s">
        <v>54</v>
      </c>
      <c r="T513" s="8" t="s">
        <v>54</v>
      </c>
      <c r="U513" s="10" t="s">
        <v>67</v>
      </c>
      <c r="V513" s="8" t="s">
        <v>54</v>
      </c>
      <c r="W513" s="8" t="s">
        <v>54</v>
      </c>
      <c r="X513" s="8" t="s">
        <v>54</v>
      </c>
      <c r="Y513" s="8" t="s">
        <v>54</v>
      </c>
      <c r="Z513" s="8" t="s">
        <v>54</v>
      </c>
      <c r="AA513" s="8" t="s">
        <v>54</v>
      </c>
      <c r="AB513" s="10" t="s">
        <v>67</v>
      </c>
      <c r="AC513" s="8" t="s">
        <v>54</v>
      </c>
      <c r="AD513" s="8" t="s">
        <v>54</v>
      </c>
      <c r="AE513" s="8" t="s">
        <v>54</v>
      </c>
      <c r="AF513" s="8" t="s">
        <v>54</v>
      </c>
      <c r="AG513" s="12" t="s">
        <v>55</v>
      </c>
      <c r="AH513" s="8" t="s">
        <v>54</v>
      </c>
      <c r="AI513" s="10" t="s">
        <v>67</v>
      </c>
      <c r="AJ513" s="8">
        <f>COUNTIF($E$513:$AI$513,"P")</f>
        <v>24</v>
      </c>
      <c r="AK513" s="8">
        <f>COUNTIF($E$513:$AI$513,"A")</f>
        <v>2</v>
      </c>
      <c r="AL513" s="8">
        <f>SUM($E$514:$AI$514)</f>
        <v>28</v>
      </c>
      <c r="AM513" s="8">
        <f>SUM($E$515:$AI$515)</f>
        <v>115</v>
      </c>
      <c r="AN513" s="8">
        <f>AL513+AM513</f>
        <v>143</v>
      </c>
      <c r="AO513" s="8">
        <f>COUNTIF($E$513:$AI$513,"CL")</f>
        <v>0</v>
      </c>
      <c r="AP513" s="8">
        <f>COUNTIF($E$513:$AI$513,"SL")</f>
        <v>0</v>
      </c>
      <c r="AQ513" s="8">
        <f>COUNTIF($E$513:$AI$513,"EL")</f>
        <v>0</v>
      </c>
      <c r="AR513" s="8">
        <f>COUNTIF($E$513:$AI$513,"H")</f>
        <v>0</v>
      </c>
      <c r="AS513" s="8"/>
      <c r="AT513" s="11" t="s">
        <v>15</v>
      </c>
    </row>
    <row r="514" spans="1:46" ht="15.1" customHeight="1">
      <c r="A514" s="8"/>
      <c r="B514" s="9"/>
      <c r="C514" s="8"/>
      <c r="D514" s="9"/>
      <c r="E514" s="8">
        <v>2</v>
      </c>
      <c r="F514" s="8">
        <v>2</v>
      </c>
      <c r="G514" s="8">
        <v>0</v>
      </c>
      <c r="H514" s="8">
        <v>2</v>
      </c>
      <c r="I514" s="8">
        <v>2</v>
      </c>
      <c r="J514" s="8">
        <v>2</v>
      </c>
      <c r="K514" s="8">
        <v>2</v>
      </c>
      <c r="L514" s="8">
        <v>2</v>
      </c>
      <c r="M514" s="8">
        <v>0</v>
      </c>
      <c r="N514" s="8">
        <v>0</v>
      </c>
      <c r="O514" s="8">
        <v>0</v>
      </c>
      <c r="P514" s="8">
        <v>2</v>
      </c>
      <c r="Q514" s="8">
        <v>2</v>
      </c>
      <c r="R514" s="8">
        <v>2</v>
      </c>
      <c r="S514" s="8">
        <v>2</v>
      </c>
      <c r="T514" s="8">
        <v>2</v>
      </c>
      <c r="U514" s="8">
        <v>0</v>
      </c>
      <c r="V514" s="8">
        <v>2</v>
      </c>
      <c r="W514" s="8">
        <v>2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11" t="s">
        <v>15</v>
      </c>
    </row>
    <row r="515" spans="1:46" ht="15.1" customHeight="1">
      <c r="A515" s="8"/>
      <c r="B515" s="9"/>
      <c r="C515" s="8"/>
      <c r="D515" s="9"/>
      <c r="E515" s="8">
        <v>5</v>
      </c>
      <c r="F515" s="8">
        <v>3</v>
      </c>
      <c r="G515" s="8">
        <v>14</v>
      </c>
      <c r="H515" s="8">
        <v>5</v>
      </c>
      <c r="I515" s="8">
        <v>7</v>
      </c>
      <c r="J515" s="8">
        <v>5</v>
      </c>
      <c r="K515" s="8">
        <v>7</v>
      </c>
      <c r="L515" s="8">
        <v>7</v>
      </c>
      <c r="M515" s="8">
        <v>0</v>
      </c>
      <c r="N515" s="8">
        <v>16.5</v>
      </c>
      <c r="O515" s="8">
        <v>0</v>
      </c>
      <c r="P515" s="8">
        <v>7</v>
      </c>
      <c r="Q515" s="8">
        <v>5</v>
      </c>
      <c r="R515" s="8">
        <v>7</v>
      </c>
      <c r="S515" s="8">
        <v>7</v>
      </c>
      <c r="T515" s="8">
        <v>3</v>
      </c>
      <c r="U515" s="8">
        <v>9.5</v>
      </c>
      <c r="V515" s="8">
        <v>7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11" t="s">
        <v>15</v>
      </c>
    </row>
    <row r="516" spans="1:46" ht="15.1" customHeight="1">
      <c r="A516" s="8">
        <v>171</v>
      </c>
      <c r="B516" s="9" t="s">
        <v>604</v>
      </c>
      <c r="C516" s="8" t="s">
        <v>605</v>
      </c>
      <c r="D516" s="9" t="s">
        <v>266</v>
      </c>
      <c r="E516" s="8" t="s">
        <v>54</v>
      </c>
      <c r="F516" s="8" t="s">
        <v>54</v>
      </c>
      <c r="G516" s="10" t="s">
        <v>67</v>
      </c>
      <c r="H516" s="8" t="s">
        <v>54</v>
      </c>
      <c r="I516" s="8" t="s">
        <v>54</v>
      </c>
      <c r="J516" s="8" t="s">
        <v>54</v>
      </c>
      <c r="K516" s="8" t="s">
        <v>54</v>
      </c>
      <c r="L516" s="8" t="s">
        <v>54</v>
      </c>
      <c r="M516" s="8" t="s">
        <v>54</v>
      </c>
      <c r="N516" s="10" t="s">
        <v>67</v>
      </c>
      <c r="O516" s="8" t="s">
        <v>54</v>
      </c>
      <c r="P516" s="8" t="s">
        <v>54</v>
      </c>
      <c r="Q516" s="8" t="s">
        <v>54</v>
      </c>
      <c r="R516" s="8" t="s">
        <v>54</v>
      </c>
      <c r="S516" s="8" t="s">
        <v>54</v>
      </c>
      <c r="T516" s="8" t="s">
        <v>54</v>
      </c>
      <c r="U516" s="10" t="s">
        <v>67</v>
      </c>
      <c r="V516" s="8" t="s">
        <v>54</v>
      </c>
      <c r="W516" s="8" t="s">
        <v>54</v>
      </c>
      <c r="X516" s="8" t="s">
        <v>54</v>
      </c>
      <c r="Y516" s="8" t="s">
        <v>54</v>
      </c>
      <c r="Z516" s="8" t="s">
        <v>54</v>
      </c>
      <c r="AA516" s="8" t="s">
        <v>54</v>
      </c>
      <c r="AB516" s="10" t="s">
        <v>67</v>
      </c>
      <c r="AC516" s="8" t="s">
        <v>54</v>
      </c>
      <c r="AD516" s="8" t="s">
        <v>54</v>
      </c>
      <c r="AE516" s="8" t="s">
        <v>54</v>
      </c>
      <c r="AF516" s="8" t="s">
        <v>54</v>
      </c>
      <c r="AG516" s="8" t="s">
        <v>54</v>
      </c>
      <c r="AH516" s="8" t="s">
        <v>54</v>
      </c>
      <c r="AI516" s="10" t="s">
        <v>67</v>
      </c>
      <c r="AJ516" s="8">
        <f>COUNTIF($E$516:$AI$516,"P")</f>
        <v>26</v>
      </c>
      <c r="AK516" s="8">
        <f>COUNTIF($E$516:$AI$516,"A")</f>
        <v>0</v>
      </c>
      <c r="AL516" s="8">
        <f>SUM($E$517:$AI$517)</f>
        <v>34</v>
      </c>
      <c r="AM516" s="8">
        <f>SUM($E$518:$AI$518)</f>
        <v>135.5</v>
      </c>
      <c r="AN516" s="8">
        <f>AL516+AM516</f>
        <v>169.5</v>
      </c>
      <c r="AO516" s="8">
        <f>COUNTIF($E$516:$AI$516,"CL")</f>
        <v>0</v>
      </c>
      <c r="AP516" s="8">
        <f>COUNTIF($E$516:$AI$516,"SL")</f>
        <v>0</v>
      </c>
      <c r="AQ516" s="8">
        <f>COUNTIF($E$516:$AI$516,"EL")</f>
        <v>0</v>
      </c>
      <c r="AR516" s="8">
        <f>COUNTIF($E$516:$AI$516,"H")</f>
        <v>0</v>
      </c>
      <c r="AS516" s="8"/>
      <c r="AT516" s="11" t="s">
        <v>15</v>
      </c>
    </row>
    <row r="517" spans="1:46" ht="15.1" customHeight="1">
      <c r="A517" s="8"/>
      <c r="B517" s="9"/>
      <c r="C517" s="8"/>
      <c r="D517" s="9"/>
      <c r="E517" s="8">
        <v>2</v>
      </c>
      <c r="F517" s="8">
        <v>2</v>
      </c>
      <c r="G517" s="8">
        <v>0</v>
      </c>
      <c r="H517" s="8">
        <v>2</v>
      </c>
      <c r="I517" s="8">
        <v>2</v>
      </c>
      <c r="J517" s="8">
        <v>2</v>
      </c>
      <c r="K517" s="8">
        <v>2</v>
      </c>
      <c r="L517" s="8">
        <v>2</v>
      </c>
      <c r="M517" s="8">
        <v>2</v>
      </c>
      <c r="N517" s="8">
        <v>0</v>
      </c>
      <c r="O517" s="8">
        <v>2</v>
      </c>
      <c r="P517" s="8">
        <v>2</v>
      </c>
      <c r="Q517" s="8">
        <v>2</v>
      </c>
      <c r="R517" s="8">
        <v>2</v>
      </c>
      <c r="S517" s="8">
        <v>2</v>
      </c>
      <c r="T517" s="8">
        <v>2</v>
      </c>
      <c r="U517" s="8">
        <v>0</v>
      </c>
      <c r="V517" s="8">
        <v>2</v>
      </c>
      <c r="W517" s="8">
        <v>2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2</v>
      </c>
      <c r="AI517" s="8">
        <v>0</v>
      </c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11" t="s">
        <v>15</v>
      </c>
    </row>
    <row r="518" spans="1:46" ht="15.1" customHeight="1">
      <c r="A518" s="8"/>
      <c r="B518" s="9"/>
      <c r="C518" s="8"/>
      <c r="D518" s="9"/>
      <c r="E518" s="8">
        <v>5</v>
      </c>
      <c r="F518" s="8">
        <v>3</v>
      </c>
      <c r="G518" s="8">
        <v>14</v>
      </c>
      <c r="H518" s="8">
        <v>5</v>
      </c>
      <c r="I518" s="8">
        <v>7</v>
      </c>
      <c r="J518" s="8">
        <v>7</v>
      </c>
      <c r="K518" s="8">
        <v>7</v>
      </c>
      <c r="L518" s="8">
        <v>7</v>
      </c>
      <c r="M518" s="8">
        <v>5</v>
      </c>
      <c r="N518" s="8">
        <v>16.5</v>
      </c>
      <c r="O518" s="8">
        <v>7</v>
      </c>
      <c r="P518" s="8">
        <v>7</v>
      </c>
      <c r="Q518" s="8">
        <v>5</v>
      </c>
      <c r="R518" s="8">
        <v>7</v>
      </c>
      <c r="S518" s="8">
        <v>7</v>
      </c>
      <c r="T518" s="8">
        <v>3</v>
      </c>
      <c r="U518" s="8">
        <v>13</v>
      </c>
      <c r="V518" s="8">
        <v>7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3</v>
      </c>
      <c r="AI518" s="8">
        <v>0</v>
      </c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11" t="s">
        <v>15</v>
      </c>
    </row>
    <row r="519" spans="1:46" ht="15.1" customHeight="1">
      <c r="A519" s="8">
        <v>172</v>
      </c>
      <c r="B519" s="9" t="s">
        <v>606</v>
      </c>
      <c r="C519" s="8" t="s">
        <v>607</v>
      </c>
      <c r="D519" s="9" t="s">
        <v>266</v>
      </c>
      <c r="E519" s="8" t="s">
        <v>54</v>
      </c>
      <c r="F519" s="8" t="s">
        <v>54</v>
      </c>
      <c r="G519" s="10" t="s">
        <v>67</v>
      </c>
      <c r="H519" s="8" t="s">
        <v>54</v>
      </c>
      <c r="I519" s="8" t="s">
        <v>54</v>
      </c>
      <c r="J519" s="8" t="s">
        <v>54</v>
      </c>
      <c r="K519" s="8" t="s">
        <v>54</v>
      </c>
      <c r="L519" s="8" t="s">
        <v>54</v>
      </c>
      <c r="M519" s="8" t="s">
        <v>54</v>
      </c>
      <c r="N519" s="10" t="s">
        <v>67</v>
      </c>
      <c r="O519" s="8" t="s">
        <v>54</v>
      </c>
      <c r="P519" s="8" t="s">
        <v>54</v>
      </c>
      <c r="Q519" s="8" t="s">
        <v>54</v>
      </c>
      <c r="R519" s="8" t="s">
        <v>54</v>
      </c>
      <c r="S519" s="8" t="s">
        <v>54</v>
      </c>
      <c r="T519" s="8" t="s">
        <v>54</v>
      </c>
      <c r="U519" s="10" t="s">
        <v>67</v>
      </c>
      <c r="V519" s="8" t="s">
        <v>54</v>
      </c>
      <c r="W519" s="8" t="s">
        <v>54</v>
      </c>
      <c r="X519" s="8" t="s">
        <v>54</v>
      </c>
      <c r="Y519" s="8" t="s">
        <v>54</v>
      </c>
      <c r="Z519" s="8" t="s">
        <v>54</v>
      </c>
      <c r="AA519" s="8" t="s">
        <v>54</v>
      </c>
      <c r="AB519" s="10" t="s">
        <v>67</v>
      </c>
      <c r="AC519" s="8" t="s">
        <v>54</v>
      </c>
      <c r="AD519" s="8" t="s">
        <v>54</v>
      </c>
      <c r="AE519" s="8" t="s">
        <v>54</v>
      </c>
      <c r="AF519" s="8" t="s">
        <v>54</v>
      </c>
      <c r="AG519" s="8" t="s">
        <v>54</v>
      </c>
      <c r="AH519" s="8" t="s">
        <v>54</v>
      </c>
      <c r="AI519" s="10" t="s">
        <v>67</v>
      </c>
      <c r="AJ519" s="8">
        <f>COUNTIF($E$519:$AI$519,"P")</f>
        <v>26</v>
      </c>
      <c r="AK519" s="8">
        <f>COUNTIF($E$519:$AI$519,"A")</f>
        <v>0</v>
      </c>
      <c r="AL519" s="8">
        <f>SUM($E$520:$AI$520)</f>
        <v>34</v>
      </c>
      <c r="AM519" s="8">
        <f>SUM($E$521:$AI$521)</f>
        <v>140</v>
      </c>
      <c r="AN519" s="8">
        <f>AL519+AM519</f>
        <v>174</v>
      </c>
      <c r="AO519" s="8">
        <f>COUNTIF($E$519:$AI$519,"CL")</f>
        <v>0</v>
      </c>
      <c r="AP519" s="8">
        <f>COUNTIF($E$519:$AI$519,"SL")</f>
        <v>0</v>
      </c>
      <c r="AQ519" s="8">
        <f>COUNTIF($E$519:$AI$519,"EL")</f>
        <v>0</v>
      </c>
      <c r="AR519" s="8">
        <f>COUNTIF($E$519:$AI$519,"H")</f>
        <v>0</v>
      </c>
      <c r="AS519" s="8"/>
      <c r="AT519" s="11" t="s">
        <v>15</v>
      </c>
    </row>
    <row r="520" spans="1:46" ht="15.1" customHeight="1">
      <c r="A520" s="8"/>
      <c r="B520" s="9"/>
      <c r="C520" s="8"/>
      <c r="D520" s="9"/>
      <c r="E520" s="8">
        <v>2</v>
      </c>
      <c r="F520" s="8">
        <v>2</v>
      </c>
      <c r="G520" s="8">
        <v>0</v>
      </c>
      <c r="H520" s="8">
        <v>2</v>
      </c>
      <c r="I520" s="8">
        <v>2</v>
      </c>
      <c r="J520" s="8">
        <v>2</v>
      </c>
      <c r="K520" s="8">
        <v>2</v>
      </c>
      <c r="L520" s="8">
        <v>2</v>
      </c>
      <c r="M520" s="8">
        <v>2</v>
      </c>
      <c r="N520" s="8">
        <v>0</v>
      </c>
      <c r="O520" s="8">
        <v>2</v>
      </c>
      <c r="P520" s="8">
        <v>2</v>
      </c>
      <c r="Q520" s="8">
        <v>2</v>
      </c>
      <c r="R520" s="8">
        <v>2</v>
      </c>
      <c r="S520" s="8">
        <v>2</v>
      </c>
      <c r="T520" s="8">
        <v>2</v>
      </c>
      <c r="U520" s="8">
        <v>0</v>
      </c>
      <c r="V520" s="8">
        <v>2</v>
      </c>
      <c r="W520" s="8">
        <v>2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2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11" t="s">
        <v>15</v>
      </c>
    </row>
    <row r="521" spans="1:46" ht="15.1" customHeight="1">
      <c r="A521" s="8"/>
      <c r="B521" s="9"/>
      <c r="C521" s="8"/>
      <c r="D521" s="9"/>
      <c r="E521" s="8">
        <v>5</v>
      </c>
      <c r="F521" s="8">
        <v>3</v>
      </c>
      <c r="G521" s="8">
        <v>14</v>
      </c>
      <c r="H521" s="8">
        <v>5</v>
      </c>
      <c r="I521" s="8">
        <v>7</v>
      </c>
      <c r="J521" s="8">
        <v>7</v>
      </c>
      <c r="K521" s="8">
        <v>7</v>
      </c>
      <c r="L521" s="8">
        <v>7</v>
      </c>
      <c r="M521" s="8">
        <v>5</v>
      </c>
      <c r="N521" s="8">
        <v>16.5</v>
      </c>
      <c r="O521" s="8">
        <v>7</v>
      </c>
      <c r="P521" s="8">
        <v>9.5</v>
      </c>
      <c r="Q521" s="8">
        <v>5</v>
      </c>
      <c r="R521" s="8">
        <v>7</v>
      </c>
      <c r="S521" s="8">
        <v>7</v>
      </c>
      <c r="T521" s="8">
        <v>3</v>
      </c>
      <c r="U521" s="8">
        <v>13</v>
      </c>
      <c r="V521" s="8">
        <v>7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5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11" t="s">
        <v>15</v>
      </c>
    </row>
    <row r="522" spans="1:46" ht="15.1" customHeight="1">
      <c r="A522" s="8">
        <v>173</v>
      </c>
      <c r="B522" s="9" t="s">
        <v>608</v>
      </c>
      <c r="C522" s="8" t="s">
        <v>609</v>
      </c>
      <c r="D522" s="9" t="s">
        <v>266</v>
      </c>
      <c r="E522" s="12" t="s">
        <v>55</v>
      </c>
      <c r="F522" s="12" t="s">
        <v>55</v>
      </c>
      <c r="G522" s="10" t="s">
        <v>67</v>
      </c>
      <c r="H522" s="8" t="s">
        <v>54</v>
      </c>
      <c r="I522" s="8" t="s">
        <v>54</v>
      </c>
      <c r="J522" s="12" t="s">
        <v>55</v>
      </c>
      <c r="K522" s="8" t="s">
        <v>54</v>
      </c>
      <c r="L522" s="8" t="s">
        <v>54</v>
      </c>
      <c r="M522" s="8" t="s">
        <v>54</v>
      </c>
      <c r="N522" s="10" t="s">
        <v>67</v>
      </c>
      <c r="O522" s="8" t="s">
        <v>54</v>
      </c>
      <c r="P522" s="8" t="s">
        <v>54</v>
      </c>
      <c r="Q522" s="8" t="s">
        <v>54</v>
      </c>
      <c r="R522" s="8" t="s">
        <v>54</v>
      </c>
      <c r="S522" s="12" t="s">
        <v>55</v>
      </c>
      <c r="T522" s="12" t="s">
        <v>55</v>
      </c>
      <c r="U522" s="10" t="s">
        <v>67</v>
      </c>
      <c r="V522" s="8" t="s">
        <v>54</v>
      </c>
      <c r="W522" s="8" t="s">
        <v>54</v>
      </c>
      <c r="X522" s="8" t="s">
        <v>54</v>
      </c>
      <c r="Y522" s="8" t="s">
        <v>54</v>
      </c>
      <c r="Z522" s="8" t="s">
        <v>54</v>
      </c>
      <c r="AA522" s="8" t="s">
        <v>54</v>
      </c>
      <c r="AB522" s="10" t="s">
        <v>67</v>
      </c>
      <c r="AC522" s="8" t="s">
        <v>54</v>
      </c>
      <c r="AD522" s="8" t="s">
        <v>54</v>
      </c>
      <c r="AE522" s="8" t="s">
        <v>54</v>
      </c>
      <c r="AF522" s="8" t="s">
        <v>54</v>
      </c>
      <c r="AG522" s="8" t="s">
        <v>54</v>
      </c>
      <c r="AH522" s="8" t="s">
        <v>54</v>
      </c>
      <c r="AI522" s="10" t="s">
        <v>67</v>
      </c>
      <c r="AJ522" s="8">
        <f>COUNTIF($E$522:$AI$522,"P")</f>
        <v>21</v>
      </c>
      <c r="AK522" s="8">
        <f>COUNTIF($E$522:$AI$522,"A")</f>
        <v>5</v>
      </c>
      <c r="AL522" s="8">
        <f>SUM($E$523:$AI$523)</f>
        <v>18</v>
      </c>
      <c r="AM522" s="8">
        <f>SUM($E$524:$AI$524)</f>
        <v>59</v>
      </c>
      <c r="AN522" s="8">
        <f>AL522+AM522</f>
        <v>77</v>
      </c>
      <c r="AO522" s="8">
        <f>COUNTIF($E$522:$AI$522,"CL")</f>
        <v>0</v>
      </c>
      <c r="AP522" s="8">
        <f>COUNTIF($E$522:$AI$522,"SL")</f>
        <v>0</v>
      </c>
      <c r="AQ522" s="8">
        <f>COUNTIF($E$522:$AI$522,"EL")</f>
        <v>0</v>
      </c>
      <c r="AR522" s="8">
        <f>COUNTIF($E$522:$AI$522,"H")</f>
        <v>0</v>
      </c>
      <c r="AS522" s="8"/>
      <c r="AT522" s="11" t="s">
        <v>15</v>
      </c>
    </row>
    <row r="523" spans="1:46" ht="15.1" customHeight="1">
      <c r="A523" s="8"/>
      <c r="B523" s="9"/>
      <c r="C523" s="8"/>
      <c r="D523" s="9"/>
      <c r="E523" s="8">
        <v>0</v>
      </c>
      <c r="F523" s="8">
        <v>0</v>
      </c>
      <c r="G523" s="8">
        <v>0</v>
      </c>
      <c r="H523" s="8">
        <v>2</v>
      </c>
      <c r="I523" s="8">
        <v>0</v>
      </c>
      <c r="J523" s="8">
        <v>0</v>
      </c>
      <c r="K523" s="8">
        <v>0</v>
      </c>
      <c r="L523" s="8">
        <v>2</v>
      </c>
      <c r="M523" s="8">
        <v>2</v>
      </c>
      <c r="N523" s="8">
        <v>0</v>
      </c>
      <c r="O523" s="8">
        <v>2</v>
      </c>
      <c r="P523" s="8">
        <v>2</v>
      </c>
      <c r="Q523" s="8">
        <v>2</v>
      </c>
      <c r="R523" s="8">
        <v>2</v>
      </c>
      <c r="S523" s="8">
        <v>0</v>
      </c>
      <c r="T523" s="8">
        <v>0</v>
      </c>
      <c r="U523" s="8">
        <v>0</v>
      </c>
      <c r="V523" s="8">
        <v>2</v>
      </c>
      <c r="W523" s="8">
        <v>2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11" t="s">
        <v>15</v>
      </c>
    </row>
    <row r="524" spans="1:46" ht="15.1" customHeight="1">
      <c r="A524" s="8"/>
      <c r="B524" s="9"/>
      <c r="C524" s="8"/>
      <c r="D524" s="9"/>
      <c r="E524" s="8">
        <v>0</v>
      </c>
      <c r="F524" s="8">
        <v>0</v>
      </c>
      <c r="G524" s="8">
        <v>0</v>
      </c>
      <c r="H524" s="8">
        <v>5</v>
      </c>
      <c r="I524" s="8">
        <v>0</v>
      </c>
      <c r="J524" s="8">
        <v>0</v>
      </c>
      <c r="K524" s="8">
        <v>0</v>
      </c>
      <c r="L524" s="8">
        <v>4</v>
      </c>
      <c r="M524" s="8">
        <v>5</v>
      </c>
      <c r="N524" s="8">
        <v>0</v>
      </c>
      <c r="O524" s="8">
        <v>7</v>
      </c>
      <c r="P524" s="8">
        <v>7</v>
      </c>
      <c r="Q524" s="8">
        <v>5</v>
      </c>
      <c r="R524" s="8">
        <v>6</v>
      </c>
      <c r="S524" s="8">
        <v>0</v>
      </c>
      <c r="T524" s="8">
        <v>0</v>
      </c>
      <c r="U524" s="8">
        <v>13</v>
      </c>
      <c r="V524" s="8">
        <v>7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11" t="s">
        <v>15</v>
      </c>
    </row>
    <row r="525" spans="1:46" ht="15.1" customHeight="1">
      <c r="A525" s="8">
        <v>174</v>
      </c>
      <c r="B525" s="9" t="s">
        <v>610</v>
      </c>
      <c r="C525" s="8" t="s">
        <v>611</v>
      </c>
      <c r="D525" s="9" t="s">
        <v>266</v>
      </c>
      <c r="E525" s="8" t="s">
        <v>54</v>
      </c>
      <c r="F525" s="8" t="s">
        <v>54</v>
      </c>
      <c r="G525" s="10" t="s">
        <v>67</v>
      </c>
      <c r="H525" s="8" t="s">
        <v>54</v>
      </c>
      <c r="I525" s="8" t="s">
        <v>54</v>
      </c>
      <c r="J525" s="8" t="s">
        <v>54</v>
      </c>
      <c r="K525" s="8" t="s">
        <v>54</v>
      </c>
      <c r="L525" s="8" t="s">
        <v>54</v>
      </c>
      <c r="M525" s="8" t="s">
        <v>54</v>
      </c>
      <c r="N525" s="10" t="s">
        <v>67</v>
      </c>
      <c r="O525" s="12" t="s">
        <v>55</v>
      </c>
      <c r="P525" s="8" t="s">
        <v>54</v>
      </c>
      <c r="Q525" s="8" t="s">
        <v>54</v>
      </c>
      <c r="R525" s="8" t="s">
        <v>54</v>
      </c>
      <c r="S525" s="8" t="s">
        <v>54</v>
      </c>
      <c r="T525" s="8" t="s">
        <v>54</v>
      </c>
      <c r="U525" s="10" t="s">
        <v>67</v>
      </c>
      <c r="V525" s="8" t="s">
        <v>54</v>
      </c>
      <c r="W525" s="12" t="s">
        <v>55</v>
      </c>
      <c r="X525" s="8" t="s">
        <v>54</v>
      </c>
      <c r="Y525" s="8" t="s">
        <v>54</v>
      </c>
      <c r="Z525" s="8" t="s">
        <v>54</v>
      </c>
      <c r="AA525" s="8" t="s">
        <v>54</v>
      </c>
      <c r="AB525" s="10" t="s">
        <v>67</v>
      </c>
      <c r="AC525" s="8" t="s">
        <v>54</v>
      </c>
      <c r="AD525" s="8" t="s">
        <v>54</v>
      </c>
      <c r="AE525" s="8" t="s">
        <v>54</v>
      </c>
      <c r="AF525" s="8" t="s">
        <v>54</v>
      </c>
      <c r="AG525" s="8" t="s">
        <v>54</v>
      </c>
      <c r="AH525" s="8" t="s">
        <v>54</v>
      </c>
      <c r="AI525" s="10" t="s">
        <v>67</v>
      </c>
      <c r="AJ525" s="8">
        <f>COUNTIF($E$525:$AI$525,"P")</f>
        <v>24</v>
      </c>
      <c r="AK525" s="8">
        <f>COUNTIF($E$525:$AI$525,"A")</f>
        <v>2</v>
      </c>
      <c r="AL525" s="8">
        <f>SUM($E$526:$AI$526)</f>
        <v>28</v>
      </c>
      <c r="AM525" s="8">
        <f>SUM($E$527:$AI$527)</f>
        <v>129.5</v>
      </c>
      <c r="AN525" s="8">
        <f>AL525+AM525</f>
        <v>157.5</v>
      </c>
      <c r="AO525" s="8">
        <f>COUNTIF($E$525:$AI$525,"CL")</f>
        <v>0</v>
      </c>
      <c r="AP525" s="8">
        <f>COUNTIF($E$525:$AI$525,"SL")</f>
        <v>0</v>
      </c>
      <c r="AQ525" s="8">
        <f>COUNTIF($E$525:$AI$525,"EL")</f>
        <v>0</v>
      </c>
      <c r="AR525" s="8">
        <f>COUNTIF($E$525:$AI$525,"H")</f>
        <v>0</v>
      </c>
      <c r="AS525" s="8"/>
      <c r="AT525" s="11" t="s">
        <v>15</v>
      </c>
    </row>
    <row r="526" spans="1:46" ht="15.1" customHeight="1">
      <c r="A526" s="8"/>
      <c r="B526" s="9"/>
      <c r="C526" s="8"/>
      <c r="D526" s="9"/>
      <c r="E526" s="8">
        <v>2</v>
      </c>
      <c r="F526" s="8">
        <v>2</v>
      </c>
      <c r="G526" s="8">
        <v>0</v>
      </c>
      <c r="H526" s="8">
        <v>2</v>
      </c>
      <c r="I526" s="8">
        <v>2</v>
      </c>
      <c r="J526" s="8">
        <v>2</v>
      </c>
      <c r="K526" s="8">
        <v>2</v>
      </c>
      <c r="L526" s="8">
        <v>2</v>
      </c>
      <c r="M526" s="8">
        <v>2</v>
      </c>
      <c r="N526" s="8">
        <v>0</v>
      </c>
      <c r="O526" s="8">
        <v>0</v>
      </c>
      <c r="P526" s="8">
        <v>2</v>
      </c>
      <c r="Q526" s="8">
        <v>2</v>
      </c>
      <c r="R526" s="8">
        <v>2</v>
      </c>
      <c r="S526" s="8">
        <v>2</v>
      </c>
      <c r="T526" s="8">
        <v>2</v>
      </c>
      <c r="U526" s="8">
        <v>0</v>
      </c>
      <c r="V526" s="8">
        <v>2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11" t="s">
        <v>15</v>
      </c>
    </row>
    <row r="527" spans="1:46" ht="15.1" customHeight="1">
      <c r="A527" s="8"/>
      <c r="B527" s="9"/>
      <c r="C527" s="8"/>
      <c r="D527" s="9"/>
      <c r="E527" s="8">
        <v>5</v>
      </c>
      <c r="F527" s="8">
        <v>3</v>
      </c>
      <c r="G527" s="8">
        <v>14</v>
      </c>
      <c r="H527" s="8">
        <v>5</v>
      </c>
      <c r="I527" s="8">
        <v>7</v>
      </c>
      <c r="J527" s="8">
        <v>7</v>
      </c>
      <c r="K527" s="8">
        <v>7</v>
      </c>
      <c r="L527" s="8">
        <v>7</v>
      </c>
      <c r="M527" s="8">
        <v>5</v>
      </c>
      <c r="N527" s="8">
        <v>16.5</v>
      </c>
      <c r="O527" s="8">
        <v>0</v>
      </c>
      <c r="P527" s="8">
        <v>7</v>
      </c>
      <c r="Q527" s="8">
        <v>5</v>
      </c>
      <c r="R527" s="8">
        <v>7</v>
      </c>
      <c r="S527" s="8">
        <v>7</v>
      </c>
      <c r="T527" s="8">
        <v>7</v>
      </c>
      <c r="U527" s="8">
        <v>13</v>
      </c>
      <c r="V527" s="8">
        <v>7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11" t="s">
        <v>15</v>
      </c>
    </row>
    <row r="528" spans="1:46" ht="15.1" customHeight="1">
      <c r="A528" s="8">
        <v>175</v>
      </c>
      <c r="B528" s="9" t="s">
        <v>612</v>
      </c>
      <c r="C528" s="8" t="s">
        <v>613</v>
      </c>
      <c r="D528" s="9" t="s">
        <v>266</v>
      </c>
      <c r="E528" s="8" t="s">
        <v>54</v>
      </c>
      <c r="F528" s="8" t="s">
        <v>54</v>
      </c>
      <c r="G528" s="10" t="s">
        <v>67</v>
      </c>
      <c r="H528" s="8" t="s">
        <v>54</v>
      </c>
      <c r="I528" s="8" t="s">
        <v>54</v>
      </c>
      <c r="J528" s="8" t="s">
        <v>54</v>
      </c>
      <c r="K528" s="8" t="s">
        <v>54</v>
      </c>
      <c r="L528" s="8" t="s">
        <v>54</v>
      </c>
      <c r="M528" s="8" t="s">
        <v>54</v>
      </c>
      <c r="N528" s="10" t="s">
        <v>67</v>
      </c>
      <c r="O528" s="8" t="s">
        <v>54</v>
      </c>
      <c r="P528" s="8" t="s">
        <v>54</v>
      </c>
      <c r="Q528" s="8" t="s">
        <v>54</v>
      </c>
      <c r="R528" s="8" t="s">
        <v>54</v>
      </c>
      <c r="S528" s="8" t="s">
        <v>54</v>
      </c>
      <c r="T528" s="8" t="s">
        <v>54</v>
      </c>
      <c r="U528" s="10" t="s">
        <v>67</v>
      </c>
      <c r="V528" s="8" t="s">
        <v>54</v>
      </c>
      <c r="W528" s="8" t="s">
        <v>54</v>
      </c>
      <c r="X528" s="8" t="s">
        <v>54</v>
      </c>
      <c r="Y528" s="8" t="s">
        <v>54</v>
      </c>
      <c r="Z528" s="8" t="s">
        <v>54</v>
      </c>
      <c r="AA528" s="8" t="s">
        <v>54</v>
      </c>
      <c r="AB528" s="10" t="s">
        <v>67</v>
      </c>
      <c r="AC528" s="8" t="s">
        <v>54</v>
      </c>
      <c r="AD528" s="8" t="s">
        <v>54</v>
      </c>
      <c r="AE528" s="8" t="s">
        <v>54</v>
      </c>
      <c r="AF528" s="8" t="s">
        <v>54</v>
      </c>
      <c r="AG528" s="8" t="s">
        <v>54</v>
      </c>
      <c r="AH528" s="8" t="s">
        <v>54</v>
      </c>
      <c r="AI528" s="10" t="s">
        <v>67</v>
      </c>
      <c r="AJ528" s="8">
        <f>COUNTIF($E$528:$AI$528,"P")</f>
        <v>26</v>
      </c>
      <c r="AK528" s="8">
        <f>COUNTIF($E$528:$AI$528,"A")</f>
        <v>0</v>
      </c>
      <c r="AL528" s="8">
        <f>SUM($E$529:$AI$529)</f>
        <v>30</v>
      </c>
      <c r="AM528" s="8">
        <f>SUM($E$530:$AI$530)</f>
        <v>123.5</v>
      </c>
      <c r="AN528" s="8">
        <f>AL528+AM528</f>
        <v>153.5</v>
      </c>
      <c r="AO528" s="8">
        <f>COUNTIF($E$528:$AI$528,"CL")</f>
        <v>0</v>
      </c>
      <c r="AP528" s="8">
        <f>COUNTIF($E$528:$AI$528,"SL")</f>
        <v>0</v>
      </c>
      <c r="AQ528" s="8">
        <f>COUNTIF($E$528:$AI$528,"EL")</f>
        <v>0</v>
      </c>
      <c r="AR528" s="8">
        <f>COUNTIF($E$528:$AI$528,"H")</f>
        <v>0</v>
      </c>
      <c r="AS528" s="8"/>
      <c r="AT528" s="11" t="s">
        <v>15</v>
      </c>
    </row>
    <row r="529" spans="1:46" ht="15.1" customHeight="1">
      <c r="A529" s="8"/>
      <c r="B529" s="9"/>
      <c r="C529" s="8"/>
      <c r="D529" s="9"/>
      <c r="E529" s="8">
        <v>2</v>
      </c>
      <c r="F529" s="8">
        <v>2</v>
      </c>
      <c r="G529" s="8">
        <v>0</v>
      </c>
      <c r="H529" s="8">
        <v>2</v>
      </c>
      <c r="I529" s="8">
        <v>2</v>
      </c>
      <c r="J529" s="8">
        <v>2</v>
      </c>
      <c r="K529" s="8">
        <v>2</v>
      </c>
      <c r="L529" s="8">
        <v>2</v>
      </c>
      <c r="M529" s="8">
        <v>2</v>
      </c>
      <c r="N529" s="8">
        <v>0</v>
      </c>
      <c r="O529" s="8">
        <v>2</v>
      </c>
      <c r="P529" s="8">
        <v>2</v>
      </c>
      <c r="Q529" s="8">
        <v>0</v>
      </c>
      <c r="R529" s="8">
        <v>2</v>
      </c>
      <c r="S529" s="8">
        <v>2</v>
      </c>
      <c r="T529" s="8">
        <v>2</v>
      </c>
      <c r="U529" s="8">
        <v>0</v>
      </c>
      <c r="V529" s="8">
        <v>2</v>
      </c>
      <c r="W529" s="8">
        <v>2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11" t="s">
        <v>15</v>
      </c>
    </row>
    <row r="530" spans="1:46" ht="15.1" customHeight="1">
      <c r="A530" s="8"/>
      <c r="B530" s="9"/>
      <c r="C530" s="8"/>
      <c r="D530" s="9"/>
      <c r="E530" s="8">
        <v>5</v>
      </c>
      <c r="F530" s="8">
        <v>3</v>
      </c>
      <c r="G530" s="8">
        <v>14</v>
      </c>
      <c r="H530" s="8">
        <v>5</v>
      </c>
      <c r="I530" s="8">
        <v>7</v>
      </c>
      <c r="J530" s="8">
        <v>7</v>
      </c>
      <c r="K530" s="8">
        <v>7</v>
      </c>
      <c r="L530" s="8">
        <v>7</v>
      </c>
      <c r="M530" s="8">
        <v>5</v>
      </c>
      <c r="N530" s="8">
        <v>13</v>
      </c>
      <c r="O530" s="8">
        <v>7</v>
      </c>
      <c r="P530" s="8">
        <v>7</v>
      </c>
      <c r="Q530" s="8">
        <v>0</v>
      </c>
      <c r="R530" s="8">
        <v>7</v>
      </c>
      <c r="S530" s="8">
        <v>6.5</v>
      </c>
      <c r="T530" s="8">
        <v>3</v>
      </c>
      <c r="U530" s="8">
        <v>13</v>
      </c>
      <c r="V530" s="8">
        <v>7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11" t="s">
        <v>15</v>
      </c>
    </row>
    <row r="531" spans="1:46" ht="15.1" customHeight="1">
      <c r="A531" s="8">
        <v>176</v>
      </c>
      <c r="B531" s="9" t="s">
        <v>614</v>
      </c>
      <c r="C531" s="8" t="s">
        <v>615</v>
      </c>
      <c r="D531" s="9" t="s">
        <v>266</v>
      </c>
      <c r="E531" s="8" t="s">
        <v>54</v>
      </c>
      <c r="F531" s="8" t="s">
        <v>54</v>
      </c>
      <c r="G531" s="10" t="s">
        <v>67</v>
      </c>
      <c r="H531" s="8" t="s">
        <v>54</v>
      </c>
      <c r="I531" s="8" t="s">
        <v>54</v>
      </c>
      <c r="J531" s="8" t="s">
        <v>54</v>
      </c>
      <c r="K531" s="8" t="s">
        <v>54</v>
      </c>
      <c r="L531" s="12" t="s">
        <v>55</v>
      </c>
      <c r="M531" s="8" t="s">
        <v>54</v>
      </c>
      <c r="N531" s="10" t="s">
        <v>67</v>
      </c>
      <c r="O531" s="8" t="s">
        <v>54</v>
      </c>
      <c r="P531" s="8" t="s">
        <v>54</v>
      </c>
      <c r="Q531" s="8" t="s">
        <v>54</v>
      </c>
      <c r="R531" s="8" t="s">
        <v>54</v>
      </c>
      <c r="S531" s="8" t="s">
        <v>54</v>
      </c>
      <c r="T531" s="8" t="s">
        <v>54</v>
      </c>
      <c r="U531" s="10" t="s">
        <v>67</v>
      </c>
      <c r="V531" s="8" t="s">
        <v>54</v>
      </c>
      <c r="W531" s="8" t="s">
        <v>54</v>
      </c>
      <c r="X531" s="8" t="s">
        <v>54</v>
      </c>
      <c r="Y531" s="8" t="s">
        <v>54</v>
      </c>
      <c r="Z531" s="8" t="s">
        <v>54</v>
      </c>
      <c r="AA531" s="12" t="s">
        <v>55</v>
      </c>
      <c r="AB531" s="10" t="s">
        <v>67</v>
      </c>
      <c r="AC531" s="12" t="s">
        <v>55</v>
      </c>
      <c r="AD531" s="12" t="s">
        <v>55</v>
      </c>
      <c r="AE531" s="8" t="s">
        <v>54</v>
      </c>
      <c r="AF531" s="8" t="s">
        <v>54</v>
      </c>
      <c r="AG531" s="8" t="s">
        <v>54</v>
      </c>
      <c r="AH531" s="8" t="s">
        <v>54</v>
      </c>
      <c r="AI531" s="10" t="s">
        <v>67</v>
      </c>
      <c r="AJ531" s="8">
        <f>COUNTIF($E$531:$AI$531,"P")</f>
        <v>22</v>
      </c>
      <c r="AK531" s="8">
        <f>COUNTIF($E$531:$AI$531,"A")</f>
        <v>4</v>
      </c>
      <c r="AL531" s="8">
        <f>SUM($E$532:$AI$532)</f>
        <v>30</v>
      </c>
      <c r="AM531" s="8">
        <f>SUM($E$533:$AI$533)</f>
        <v>124.5</v>
      </c>
      <c r="AN531" s="8">
        <f>AL531+AM531</f>
        <v>154.5</v>
      </c>
      <c r="AO531" s="8">
        <f>COUNTIF($E$531:$AI$531,"CL")</f>
        <v>0</v>
      </c>
      <c r="AP531" s="8">
        <f>COUNTIF($E$531:$AI$531,"SL")</f>
        <v>0</v>
      </c>
      <c r="AQ531" s="8">
        <f>COUNTIF($E$531:$AI$531,"EL")</f>
        <v>0</v>
      </c>
      <c r="AR531" s="8">
        <f>COUNTIF($E$531:$AI$531,"H")</f>
        <v>0</v>
      </c>
      <c r="AS531" s="8"/>
      <c r="AT531" s="11" t="s">
        <v>15</v>
      </c>
    </row>
    <row r="532" spans="1:46" ht="15.1" customHeight="1">
      <c r="A532" s="8"/>
      <c r="B532" s="9"/>
      <c r="C532" s="8"/>
      <c r="D532" s="9"/>
      <c r="E532" s="8">
        <v>2</v>
      </c>
      <c r="F532" s="8">
        <v>2</v>
      </c>
      <c r="G532" s="8">
        <v>0</v>
      </c>
      <c r="H532" s="8">
        <v>2</v>
      </c>
      <c r="I532" s="8">
        <v>2</v>
      </c>
      <c r="J532" s="8">
        <v>2</v>
      </c>
      <c r="K532" s="8">
        <v>2</v>
      </c>
      <c r="L532" s="8">
        <v>0</v>
      </c>
      <c r="M532" s="8">
        <v>2</v>
      </c>
      <c r="N532" s="8">
        <v>0</v>
      </c>
      <c r="O532" s="8">
        <v>2</v>
      </c>
      <c r="P532" s="8">
        <v>2</v>
      </c>
      <c r="Q532" s="8">
        <v>2</v>
      </c>
      <c r="R532" s="8">
        <v>2</v>
      </c>
      <c r="S532" s="8">
        <v>2</v>
      </c>
      <c r="T532" s="8">
        <v>2</v>
      </c>
      <c r="U532" s="8">
        <v>0</v>
      </c>
      <c r="V532" s="8">
        <v>2</v>
      </c>
      <c r="W532" s="8">
        <v>2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11" t="s">
        <v>15</v>
      </c>
    </row>
    <row r="533" spans="1:46" ht="15.1" customHeight="1">
      <c r="A533" s="8"/>
      <c r="B533" s="9"/>
      <c r="C533" s="8"/>
      <c r="D533" s="9"/>
      <c r="E533" s="8">
        <v>5</v>
      </c>
      <c r="F533" s="8">
        <v>3</v>
      </c>
      <c r="G533" s="8">
        <v>13.5</v>
      </c>
      <c r="H533" s="8">
        <v>5</v>
      </c>
      <c r="I533" s="8">
        <v>7</v>
      </c>
      <c r="J533" s="8">
        <v>7</v>
      </c>
      <c r="K533" s="8">
        <v>7</v>
      </c>
      <c r="L533" s="8">
        <v>0</v>
      </c>
      <c r="M533" s="8">
        <v>5</v>
      </c>
      <c r="N533" s="8">
        <v>16.5</v>
      </c>
      <c r="O533" s="8">
        <v>7</v>
      </c>
      <c r="P533" s="8">
        <v>6</v>
      </c>
      <c r="Q533" s="8">
        <v>5</v>
      </c>
      <c r="R533" s="8">
        <v>8</v>
      </c>
      <c r="S533" s="8">
        <v>7</v>
      </c>
      <c r="T533" s="8">
        <v>3</v>
      </c>
      <c r="U533" s="8">
        <v>12.5</v>
      </c>
      <c r="V533" s="8">
        <v>7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11" t="s">
        <v>15</v>
      </c>
    </row>
    <row r="534" spans="1:46" ht="15.1" customHeight="1">
      <c r="A534" s="8">
        <v>177</v>
      </c>
      <c r="B534" s="9" t="s">
        <v>616</v>
      </c>
      <c r="C534" s="8" t="s">
        <v>617</v>
      </c>
      <c r="D534" s="9" t="s">
        <v>266</v>
      </c>
      <c r="E534" s="8" t="s">
        <v>54</v>
      </c>
      <c r="F534" s="8" t="s">
        <v>54</v>
      </c>
      <c r="G534" s="10" t="s">
        <v>67</v>
      </c>
      <c r="H534" s="8" t="s">
        <v>54</v>
      </c>
      <c r="I534" s="8" t="s">
        <v>54</v>
      </c>
      <c r="J534" s="8" t="s">
        <v>54</v>
      </c>
      <c r="K534" s="8" t="s">
        <v>54</v>
      </c>
      <c r="L534" s="8" t="s">
        <v>54</v>
      </c>
      <c r="M534" s="8" t="s">
        <v>54</v>
      </c>
      <c r="N534" s="10" t="s">
        <v>67</v>
      </c>
      <c r="O534" s="8" t="s">
        <v>54</v>
      </c>
      <c r="P534" s="8" t="s">
        <v>54</v>
      </c>
      <c r="Q534" s="8" t="s">
        <v>54</v>
      </c>
      <c r="R534" s="12" t="s">
        <v>55</v>
      </c>
      <c r="S534" s="8" t="s">
        <v>54</v>
      </c>
      <c r="T534" s="8" t="s">
        <v>54</v>
      </c>
      <c r="U534" s="10" t="s">
        <v>67</v>
      </c>
      <c r="V534" s="8" t="s">
        <v>54</v>
      </c>
      <c r="W534" s="8" t="s">
        <v>54</v>
      </c>
      <c r="X534" s="8" t="s">
        <v>54</v>
      </c>
      <c r="Y534" s="8" t="s">
        <v>54</v>
      </c>
      <c r="Z534" s="8" t="s">
        <v>54</v>
      </c>
      <c r="AA534" s="8" t="s">
        <v>54</v>
      </c>
      <c r="AB534" s="10" t="s">
        <v>67</v>
      </c>
      <c r="AC534" s="8" t="s">
        <v>54</v>
      </c>
      <c r="AD534" s="8" t="s">
        <v>54</v>
      </c>
      <c r="AE534" s="8" t="s">
        <v>54</v>
      </c>
      <c r="AF534" s="12" t="s">
        <v>55</v>
      </c>
      <c r="AG534" s="8" t="s">
        <v>54</v>
      </c>
      <c r="AH534" s="8" t="s">
        <v>54</v>
      </c>
      <c r="AI534" s="10" t="s">
        <v>67</v>
      </c>
      <c r="AJ534" s="8">
        <f>COUNTIF($E$534:$AI$534,"P")</f>
        <v>24</v>
      </c>
      <c r="AK534" s="8">
        <f>COUNTIF($E$534:$AI$534,"A")</f>
        <v>2</v>
      </c>
      <c r="AL534" s="8">
        <f>SUM($E$535:$AI$535)</f>
        <v>34</v>
      </c>
      <c r="AM534" s="8">
        <f>SUM($E$536:$AI$536)</f>
        <v>118.5</v>
      </c>
      <c r="AN534" s="8">
        <f>AL534+AM534</f>
        <v>152.5</v>
      </c>
      <c r="AO534" s="8">
        <f>COUNTIF($E$534:$AI$534,"CL")</f>
        <v>0</v>
      </c>
      <c r="AP534" s="8">
        <f>COUNTIF($E$534:$AI$534,"SL")</f>
        <v>0</v>
      </c>
      <c r="AQ534" s="8">
        <f>COUNTIF($E$534:$AI$534,"EL")</f>
        <v>0</v>
      </c>
      <c r="AR534" s="8">
        <f>COUNTIF($E$534:$AI$534,"H")</f>
        <v>0</v>
      </c>
      <c r="AS534" s="8"/>
      <c r="AT534" s="11" t="s">
        <v>15</v>
      </c>
    </row>
    <row r="535" spans="1:46" ht="15.1" customHeight="1">
      <c r="A535" s="8"/>
      <c r="B535" s="9"/>
      <c r="C535" s="8"/>
      <c r="D535" s="9"/>
      <c r="E535" s="8">
        <v>2</v>
      </c>
      <c r="F535" s="8">
        <v>2</v>
      </c>
      <c r="G535" s="8">
        <v>0</v>
      </c>
      <c r="H535" s="8">
        <v>2</v>
      </c>
      <c r="I535" s="8">
        <v>2</v>
      </c>
      <c r="J535" s="8">
        <v>2</v>
      </c>
      <c r="K535" s="8">
        <v>2</v>
      </c>
      <c r="L535" s="8">
        <v>2</v>
      </c>
      <c r="M535" s="8">
        <v>2</v>
      </c>
      <c r="N535" s="8">
        <v>0</v>
      </c>
      <c r="O535" s="8">
        <v>2</v>
      </c>
      <c r="P535" s="8">
        <v>2</v>
      </c>
      <c r="Q535" s="8">
        <v>2</v>
      </c>
      <c r="R535" s="8">
        <v>0</v>
      </c>
      <c r="S535" s="8">
        <v>2</v>
      </c>
      <c r="T535" s="8">
        <v>2</v>
      </c>
      <c r="U535" s="8">
        <v>0</v>
      </c>
      <c r="V535" s="8">
        <v>2</v>
      </c>
      <c r="W535" s="8">
        <v>2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2</v>
      </c>
      <c r="AD535" s="8">
        <v>0</v>
      </c>
      <c r="AE535" s="8">
        <v>0</v>
      </c>
      <c r="AF535" s="8">
        <v>0</v>
      </c>
      <c r="AG535" s="8">
        <v>0</v>
      </c>
      <c r="AH535" s="8">
        <v>2</v>
      </c>
      <c r="AI535" s="8">
        <v>0</v>
      </c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11" t="s">
        <v>15</v>
      </c>
    </row>
    <row r="536" spans="1:46" ht="15.1" customHeight="1">
      <c r="A536" s="8"/>
      <c r="B536" s="9"/>
      <c r="C536" s="8"/>
      <c r="D536" s="9"/>
      <c r="E536" s="8">
        <v>5</v>
      </c>
      <c r="F536" s="8">
        <v>3</v>
      </c>
      <c r="G536" s="8">
        <v>14</v>
      </c>
      <c r="H536" s="8">
        <v>5</v>
      </c>
      <c r="I536" s="8">
        <v>7</v>
      </c>
      <c r="J536" s="8">
        <v>7</v>
      </c>
      <c r="K536" s="8">
        <v>7</v>
      </c>
      <c r="L536" s="8">
        <v>7</v>
      </c>
      <c r="M536" s="8">
        <v>5</v>
      </c>
      <c r="N536" s="8">
        <v>0</v>
      </c>
      <c r="O536" s="8">
        <v>11</v>
      </c>
      <c r="P536" s="8">
        <v>7</v>
      </c>
      <c r="Q536" s="8">
        <v>3.5</v>
      </c>
      <c r="R536" s="8">
        <v>0</v>
      </c>
      <c r="S536" s="8">
        <v>7</v>
      </c>
      <c r="T536" s="8">
        <v>3</v>
      </c>
      <c r="U536" s="8">
        <v>13</v>
      </c>
      <c r="V536" s="8">
        <v>7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4</v>
      </c>
      <c r="AD536" s="8">
        <v>0</v>
      </c>
      <c r="AE536" s="8">
        <v>0</v>
      </c>
      <c r="AF536" s="8">
        <v>0</v>
      </c>
      <c r="AG536" s="8">
        <v>0</v>
      </c>
      <c r="AH536" s="8">
        <v>3</v>
      </c>
      <c r="AI536" s="8">
        <v>0</v>
      </c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11" t="s">
        <v>15</v>
      </c>
    </row>
    <row r="537" spans="1:46" ht="15.1" customHeight="1">
      <c r="A537" s="8">
        <v>178</v>
      </c>
      <c r="B537" s="9" t="s">
        <v>618</v>
      </c>
      <c r="C537" s="8" t="s">
        <v>619</v>
      </c>
      <c r="D537" s="9" t="s">
        <v>266</v>
      </c>
      <c r="E537" s="8" t="s">
        <v>54</v>
      </c>
      <c r="F537" s="8" t="s">
        <v>54</v>
      </c>
      <c r="G537" s="10" t="s">
        <v>67</v>
      </c>
      <c r="H537" s="8" t="s">
        <v>54</v>
      </c>
      <c r="I537" s="8" t="s">
        <v>54</v>
      </c>
      <c r="J537" s="8" t="s">
        <v>54</v>
      </c>
      <c r="K537" s="8" t="s">
        <v>54</v>
      </c>
      <c r="L537" s="8" t="s">
        <v>54</v>
      </c>
      <c r="M537" s="8" t="s">
        <v>54</v>
      </c>
      <c r="N537" s="10" t="s">
        <v>67</v>
      </c>
      <c r="O537" s="8" t="s">
        <v>54</v>
      </c>
      <c r="P537" s="8" t="s">
        <v>54</v>
      </c>
      <c r="Q537" s="8" t="s">
        <v>54</v>
      </c>
      <c r="R537" s="8" t="s">
        <v>54</v>
      </c>
      <c r="S537" s="8" t="s">
        <v>54</v>
      </c>
      <c r="T537" s="8" t="s">
        <v>54</v>
      </c>
      <c r="U537" s="10" t="s">
        <v>67</v>
      </c>
      <c r="V537" s="8" t="s">
        <v>54</v>
      </c>
      <c r="W537" s="8" t="s">
        <v>54</v>
      </c>
      <c r="X537" s="8" t="s">
        <v>54</v>
      </c>
      <c r="Y537" s="8" t="s">
        <v>54</v>
      </c>
      <c r="Z537" s="8" t="s">
        <v>54</v>
      </c>
      <c r="AA537" s="8" t="s">
        <v>54</v>
      </c>
      <c r="AB537" s="10" t="s">
        <v>67</v>
      </c>
      <c r="AC537" s="8" t="s">
        <v>54</v>
      </c>
      <c r="AD537" s="8" t="s">
        <v>54</v>
      </c>
      <c r="AE537" s="8" t="s">
        <v>54</v>
      </c>
      <c r="AF537" s="8" t="s">
        <v>54</v>
      </c>
      <c r="AG537" s="8" t="s">
        <v>54</v>
      </c>
      <c r="AH537" s="8" t="s">
        <v>54</v>
      </c>
      <c r="AI537" s="10" t="s">
        <v>67</v>
      </c>
      <c r="AJ537" s="8">
        <f>COUNTIF($E$537:$AI$537,"P")</f>
        <v>26</v>
      </c>
      <c r="AK537" s="8">
        <f>COUNTIF($E$537:$AI$537,"A")</f>
        <v>0</v>
      </c>
      <c r="AL537" s="8">
        <f>SUM($E$538:$AI$538)</f>
        <v>34</v>
      </c>
      <c r="AM537" s="8">
        <f>SUM($E$539:$AI$539)</f>
        <v>136</v>
      </c>
      <c r="AN537" s="8">
        <f>AL537+AM537</f>
        <v>170</v>
      </c>
      <c r="AO537" s="8">
        <f>COUNTIF($E$537:$AI$537,"CL")</f>
        <v>0</v>
      </c>
      <c r="AP537" s="8">
        <f>COUNTIF($E$537:$AI$537,"SL")</f>
        <v>0</v>
      </c>
      <c r="AQ537" s="8">
        <f>COUNTIF($E$537:$AI$537,"EL")</f>
        <v>0</v>
      </c>
      <c r="AR537" s="8">
        <f>COUNTIF($E$537:$AI$537,"H")</f>
        <v>0</v>
      </c>
      <c r="AS537" s="8"/>
      <c r="AT537" s="11" t="s">
        <v>15</v>
      </c>
    </row>
    <row r="538" spans="1:46" ht="15.1" customHeight="1">
      <c r="A538" s="8"/>
      <c r="B538" s="9"/>
      <c r="C538" s="8"/>
      <c r="D538" s="9"/>
      <c r="E538" s="8">
        <v>2</v>
      </c>
      <c r="F538" s="8">
        <v>2</v>
      </c>
      <c r="G538" s="8">
        <v>0</v>
      </c>
      <c r="H538" s="8">
        <v>2</v>
      </c>
      <c r="I538" s="8">
        <v>2</v>
      </c>
      <c r="J538" s="8">
        <v>2</v>
      </c>
      <c r="K538" s="8">
        <v>2</v>
      </c>
      <c r="L538" s="8">
        <v>2</v>
      </c>
      <c r="M538" s="8">
        <v>2</v>
      </c>
      <c r="N538" s="8">
        <v>0</v>
      </c>
      <c r="O538" s="8">
        <v>2</v>
      </c>
      <c r="P538" s="8">
        <v>2</v>
      </c>
      <c r="Q538" s="8">
        <v>2</v>
      </c>
      <c r="R538" s="8">
        <v>2</v>
      </c>
      <c r="S538" s="8">
        <v>2</v>
      </c>
      <c r="T538" s="8">
        <v>2</v>
      </c>
      <c r="U538" s="8">
        <v>0</v>
      </c>
      <c r="V538" s="8">
        <v>2</v>
      </c>
      <c r="W538" s="8">
        <v>2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2</v>
      </c>
      <c r="AI538" s="8">
        <v>0</v>
      </c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11" t="s">
        <v>15</v>
      </c>
    </row>
    <row r="539" spans="1:46" ht="15.1" customHeight="1">
      <c r="A539" s="8"/>
      <c r="B539" s="9"/>
      <c r="C539" s="8"/>
      <c r="D539" s="9"/>
      <c r="E539" s="8">
        <v>5</v>
      </c>
      <c r="F539" s="8">
        <v>3</v>
      </c>
      <c r="G539" s="8">
        <v>14</v>
      </c>
      <c r="H539" s="8">
        <v>5</v>
      </c>
      <c r="I539" s="8">
        <v>7</v>
      </c>
      <c r="J539" s="8">
        <v>7</v>
      </c>
      <c r="K539" s="8">
        <v>7</v>
      </c>
      <c r="L539" s="8">
        <v>7</v>
      </c>
      <c r="M539" s="8">
        <v>5</v>
      </c>
      <c r="N539" s="8">
        <v>17</v>
      </c>
      <c r="O539" s="8">
        <v>7</v>
      </c>
      <c r="P539" s="8">
        <v>7</v>
      </c>
      <c r="Q539" s="8">
        <v>5</v>
      </c>
      <c r="R539" s="8">
        <v>7</v>
      </c>
      <c r="S539" s="8">
        <v>7</v>
      </c>
      <c r="T539" s="8">
        <v>3</v>
      </c>
      <c r="U539" s="8">
        <v>13</v>
      </c>
      <c r="V539" s="8">
        <v>7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3</v>
      </c>
      <c r="AI539" s="8">
        <v>0</v>
      </c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11" t="s">
        <v>15</v>
      </c>
    </row>
    <row r="540" spans="1:46" ht="15.1" customHeight="1">
      <c r="A540" s="8">
        <v>179</v>
      </c>
      <c r="B540" s="9" t="s">
        <v>620</v>
      </c>
      <c r="C540" s="8" t="s">
        <v>621</v>
      </c>
      <c r="D540" s="9" t="s">
        <v>266</v>
      </c>
      <c r="E540" s="12" t="s">
        <v>55</v>
      </c>
      <c r="F540" s="12" t="s">
        <v>55</v>
      </c>
      <c r="G540" s="10" t="s">
        <v>67</v>
      </c>
      <c r="H540" s="8" t="s">
        <v>54</v>
      </c>
      <c r="I540" s="8" t="s">
        <v>54</v>
      </c>
      <c r="J540" s="8" t="s">
        <v>54</v>
      </c>
      <c r="K540" s="8" t="s">
        <v>54</v>
      </c>
      <c r="L540" s="8" t="s">
        <v>54</v>
      </c>
      <c r="M540" s="12" t="s">
        <v>55</v>
      </c>
      <c r="N540" s="10" t="s">
        <v>67</v>
      </c>
      <c r="O540" s="8" t="s">
        <v>54</v>
      </c>
      <c r="P540" s="8" t="s">
        <v>54</v>
      </c>
      <c r="Q540" s="8" t="s">
        <v>54</v>
      </c>
      <c r="R540" s="8" t="s">
        <v>54</v>
      </c>
      <c r="S540" s="8" t="s">
        <v>54</v>
      </c>
      <c r="T540" s="8" t="s">
        <v>54</v>
      </c>
      <c r="U540" s="10" t="s">
        <v>67</v>
      </c>
      <c r="V540" s="8" t="s">
        <v>54</v>
      </c>
      <c r="W540" s="12" t="s">
        <v>55</v>
      </c>
      <c r="X540" s="8" t="s">
        <v>54</v>
      </c>
      <c r="Y540" s="8" t="s">
        <v>54</v>
      </c>
      <c r="Z540" s="8" t="s">
        <v>54</v>
      </c>
      <c r="AA540" s="8" t="s">
        <v>54</v>
      </c>
      <c r="AB540" s="10" t="s">
        <v>67</v>
      </c>
      <c r="AC540" s="8" t="s">
        <v>54</v>
      </c>
      <c r="AD540" s="12" t="s">
        <v>55</v>
      </c>
      <c r="AE540" s="12" t="s">
        <v>55</v>
      </c>
      <c r="AF540" s="8" t="s">
        <v>54</v>
      </c>
      <c r="AG540" s="8" t="s">
        <v>54</v>
      </c>
      <c r="AH540" s="8" t="s">
        <v>54</v>
      </c>
      <c r="AI540" s="10" t="s">
        <v>67</v>
      </c>
      <c r="AJ540" s="8">
        <f>COUNTIF($E$540:$AI$540,"P")</f>
        <v>20</v>
      </c>
      <c r="AK540" s="8">
        <f>COUNTIF($E$540:$AI$540,"A")</f>
        <v>6</v>
      </c>
      <c r="AL540" s="8">
        <f>SUM($E$541:$AI$541)</f>
        <v>20</v>
      </c>
      <c r="AM540" s="8">
        <f>SUM($E$542:$AI$542)</f>
        <v>90</v>
      </c>
      <c r="AN540" s="8">
        <f>AL540+AM540</f>
        <v>110</v>
      </c>
      <c r="AO540" s="8">
        <f>COUNTIF($E$540:$AI$540,"CL")</f>
        <v>0</v>
      </c>
      <c r="AP540" s="8">
        <f>COUNTIF($E$540:$AI$540,"SL")</f>
        <v>0</v>
      </c>
      <c r="AQ540" s="8">
        <f>COUNTIF($E$540:$AI$540,"EL")</f>
        <v>0</v>
      </c>
      <c r="AR540" s="8">
        <f>COUNTIF($E$540:$AI$540,"H")</f>
        <v>0</v>
      </c>
      <c r="AS540" s="8"/>
      <c r="AT540" s="11" t="s">
        <v>15</v>
      </c>
    </row>
    <row r="541" spans="1:46" ht="15.1" customHeight="1">
      <c r="A541" s="8"/>
      <c r="B541" s="9"/>
      <c r="C541" s="8"/>
      <c r="D541" s="9"/>
      <c r="E541" s="8">
        <v>0</v>
      </c>
      <c r="F541" s="8">
        <v>0</v>
      </c>
      <c r="G541" s="8">
        <v>0</v>
      </c>
      <c r="H541" s="8">
        <v>2</v>
      </c>
      <c r="I541" s="8">
        <v>2</v>
      </c>
      <c r="J541" s="8">
        <v>2</v>
      </c>
      <c r="K541" s="8">
        <v>2</v>
      </c>
      <c r="L541" s="8">
        <v>2</v>
      </c>
      <c r="M541" s="8">
        <v>0</v>
      </c>
      <c r="N541" s="8">
        <v>0</v>
      </c>
      <c r="O541" s="8">
        <v>2</v>
      </c>
      <c r="P541" s="8">
        <v>2</v>
      </c>
      <c r="Q541" s="8">
        <v>2</v>
      </c>
      <c r="R541" s="8">
        <v>0</v>
      </c>
      <c r="S541" s="8">
        <v>2</v>
      </c>
      <c r="T541" s="8">
        <v>2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11" t="s">
        <v>15</v>
      </c>
    </row>
    <row r="542" spans="1:46" ht="15.1" customHeight="1">
      <c r="A542" s="8"/>
      <c r="B542" s="9"/>
      <c r="C542" s="8"/>
      <c r="D542" s="9"/>
      <c r="E542" s="8">
        <v>0</v>
      </c>
      <c r="F542" s="8">
        <v>0</v>
      </c>
      <c r="G542" s="8">
        <v>14</v>
      </c>
      <c r="H542" s="8">
        <v>5</v>
      </c>
      <c r="I542" s="8">
        <v>11</v>
      </c>
      <c r="J542" s="8">
        <v>7</v>
      </c>
      <c r="K542" s="8">
        <v>7</v>
      </c>
      <c r="L542" s="8">
        <v>7</v>
      </c>
      <c r="M542" s="8">
        <v>0</v>
      </c>
      <c r="N542" s="8">
        <v>0</v>
      </c>
      <c r="O542" s="8">
        <v>7</v>
      </c>
      <c r="P542" s="8">
        <v>7</v>
      </c>
      <c r="Q542" s="8">
        <v>5</v>
      </c>
      <c r="R542" s="8">
        <v>0</v>
      </c>
      <c r="S542" s="8">
        <v>7</v>
      </c>
      <c r="T542" s="8">
        <v>3</v>
      </c>
      <c r="U542" s="8">
        <v>10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11" t="s">
        <v>15</v>
      </c>
    </row>
    <row r="543" spans="1:46" ht="15.1" customHeight="1">
      <c r="A543" s="8">
        <v>180</v>
      </c>
      <c r="B543" s="9" t="s">
        <v>622</v>
      </c>
      <c r="C543" s="8" t="s">
        <v>623</v>
      </c>
      <c r="D543" s="9" t="s">
        <v>266</v>
      </c>
      <c r="E543" s="8" t="s">
        <v>54</v>
      </c>
      <c r="F543" s="8" t="s">
        <v>54</v>
      </c>
      <c r="G543" s="10" t="s">
        <v>67</v>
      </c>
      <c r="H543" s="12" t="s">
        <v>55</v>
      </c>
      <c r="I543" s="8" t="s">
        <v>54</v>
      </c>
      <c r="J543" s="8" t="s">
        <v>54</v>
      </c>
      <c r="K543" s="8" t="s">
        <v>54</v>
      </c>
      <c r="L543" s="8" t="s">
        <v>54</v>
      </c>
      <c r="M543" s="12" t="s">
        <v>55</v>
      </c>
      <c r="N543" s="10" t="s">
        <v>67</v>
      </c>
      <c r="O543" s="8" t="s">
        <v>54</v>
      </c>
      <c r="P543" s="8" t="s">
        <v>54</v>
      </c>
      <c r="Q543" s="8" t="s">
        <v>54</v>
      </c>
      <c r="R543" s="8" t="s">
        <v>54</v>
      </c>
      <c r="S543" s="8" t="s">
        <v>54</v>
      </c>
      <c r="T543" s="8" t="s">
        <v>54</v>
      </c>
      <c r="U543" s="10" t="s">
        <v>67</v>
      </c>
      <c r="V543" s="8" t="s">
        <v>54</v>
      </c>
      <c r="W543" s="8" t="s">
        <v>54</v>
      </c>
      <c r="X543" s="8" t="s">
        <v>54</v>
      </c>
      <c r="Y543" s="8" t="s">
        <v>54</v>
      </c>
      <c r="Z543" s="8" t="s">
        <v>54</v>
      </c>
      <c r="AA543" s="8" t="s">
        <v>54</v>
      </c>
      <c r="AB543" s="10" t="s">
        <v>67</v>
      </c>
      <c r="AC543" s="8" t="s">
        <v>54</v>
      </c>
      <c r="AD543" s="8" t="s">
        <v>54</v>
      </c>
      <c r="AE543" s="8" t="s">
        <v>54</v>
      </c>
      <c r="AF543" s="8" t="s">
        <v>54</v>
      </c>
      <c r="AG543" s="8" t="s">
        <v>54</v>
      </c>
      <c r="AH543" s="8" t="s">
        <v>54</v>
      </c>
      <c r="AI543" s="10" t="s">
        <v>67</v>
      </c>
      <c r="AJ543" s="8">
        <f>COUNTIF($E$543:$AI$543,"P")</f>
        <v>24</v>
      </c>
      <c r="AK543" s="8">
        <f>COUNTIF($E$543:$AI$543,"A")</f>
        <v>2</v>
      </c>
      <c r="AL543" s="8">
        <f>SUM($E$544:$AI$544)</f>
        <v>34</v>
      </c>
      <c r="AM543" s="8">
        <f>SUM($E$545:$AI$545)</f>
        <v>112.5</v>
      </c>
      <c r="AN543" s="8">
        <f>AL543+AM543</f>
        <v>146.5</v>
      </c>
      <c r="AO543" s="8">
        <f>COUNTIF($E$543:$AI$543,"CL")</f>
        <v>0</v>
      </c>
      <c r="AP543" s="8">
        <f>COUNTIF($E$543:$AI$543,"SL")</f>
        <v>0</v>
      </c>
      <c r="AQ543" s="8">
        <f>COUNTIF($E$543:$AI$543,"EL")</f>
        <v>0</v>
      </c>
      <c r="AR543" s="8">
        <f>COUNTIF($E$543:$AI$543,"H")</f>
        <v>0</v>
      </c>
      <c r="AS543" s="8"/>
      <c r="AT543" s="11" t="s">
        <v>15</v>
      </c>
    </row>
    <row r="544" spans="1:46" ht="15.1" customHeight="1">
      <c r="A544" s="8"/>
      <c r="B544" s="9"/>
      <c r="C544" s="8"/>
      <c r="D544" s="9"/>
      <c r="E544" s="8">
        <v>2</v>
      </c>
      <c r="F544" s="8">
        <v>2</v>
      </c>
      <c r="G544" s="8">
        <v>0</v>
      </c>
      <c r="H544" s="8">
        <v>0</v>
      </c>
      <c r="I544" s="8">
        <v>2</v>
      </c>
      <c r="J544" s="8">
        <v>2</v>
      </c>
      <c r="K544" s="8">
        <v>2</v>
      </c>
      <c r="L544" s="8">
        <v>2</v>
      </c>
      <c r="M544" s="8">
        <v>0</v>
      </c>
      <c r="N544" s="8">
        <v>0</v>
      </c>
      <c r="O544" s="8">
        <v>2</v>
      </c>
      <c r="P544" s="8">
        <v>2</v>
      </c>
      <c r="Q544" s="8">
        <v>2</v>
      </c>
      <c r="R544" s="8">
        <v>2</v>
      </c>
      <c r="S544" s="8">
        <v>2</v>
      </c>
      <c r="T544" s="8">
        <v>2</v>
      </c>
      <c r="U544" s="8">
        <v>0</v>
      </c>
      <c r="V544" s="8">
        <v>2</v>
      </c>
      <c r="W544" s="8">
        <v>2</v>
      </c>
      <c r="X544" s="8">
        <v>2</v>
      </c>
      <c r="Y544" s="8">
        <v>0</v>
      </c>
      <c r="Z544" s="8">
        <v>0</v>
      </c>
      <c r="AA544" s="8">
        <v>0</v>
      </c>
      <c r="AB544" s="8">
        <v>0</v>
      </c>
      <c r="AC544" s="8">
        <v>2</v>
      </c>
      <c r="AD544" s="8">
        <v>0</v>
      </c>
      <c r="AE544" s="8">
        <v>0</v>
      </c>
      <c r="AF544" s="8">
        <v>0</v>
      </c>
      <c r="AG544" s="8">
        <v>0</v>
      </c>
      <c r="AH544" s="8">
        <v>2</v>
      </c>
      <c r="AI544" s="8">
        <v>0</v>
      </c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11" t="s">
        <v>15</v>
      </c>
    </row>
    <row r="545" spans="1:46" ht="15.1" customHeight="1">
      <c r="A545" s="8"/>
      <c r="B545" s="9"/>
      <c r="C545" s="8"/>
      <c r="D545" s="9"/>
      <c r="E545" s="8">
        <v>4.5</v>
      </c>
      <c r="F545" s="8">
        <v>3</v>
      </c>
      <c r="G545" s="8">
        <v>13.5</v>
      </c>
      <c r="H545" s="8">
        <v>0</v>
      </c>
      <c r="I545" s="8">
        <v>7</v>
      </c>
      <c r="J545" s="8">
        <v>11</v>
      </c>
      <c r="K545" s="8">
        <v>5</v>
      </c>
      <c r="L545" s="8">
        <v>7</v>
      </c>
      <c r="M545" s="8">
        <v>0</v>
      </c>
      <c r="N545" s="8">
        <v>0</v>
      </c>
      <c r="O545" s="8">
        <v>7</v>
      </c>
      <c r="P545" s="8">
        <v>7</v>
      </c>
      <c r="Q545" s="8">
        <v>5</v>
      </c>
      <c r="R545" s="8">
        <v>7</v>
      </c>
      <c r="S545" s="8">
        <v>7</v>
      </c>
      <c r="T545" s="8">
        <v>3</v>
      </c>
      <c r="U545" s="8">
        <v>12.5</v>
      </c>
      <c r="V545" s="8">
        <v>7</v>
      </c>
      <c r="W545" s="8">
        <v>0</v>
      </c>
      <c r="X545" s="8">
        <v>3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3</v>
      </c>
      <c r="AI545" s="8">
        <v>0</v>
      </c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11" t="s">
        <v>15</v>
      </c>
    </row>
    <row r="546" spans="1:46" ht="15.1" customHeight="1">
      <c r="A546" s="8">
        <v>181</v>
      </c>
      <c r="B546" s="9" t="s">
        <v>624</v>
      </c>
      <c r="C546" s="8" t="s">
        <v>625</v>
      </c>
      <c r="D546" s="9" t="s">
        <v>266</v>
      </c>
      <c r="E546" s="8" t="s">
        <v>54</v>
      </c>
      <c r="F546" s="8" t="s">
        <v>54</v>
      </c>
      <c r="G546" s="10" t="s">
        <v>67</v>
      </c>
      <c r="H546" s="8" t="s">
        <v>54</v>
      </c>
      <c r="I546" s="8" t="s">
        <v>54</v>
      </c>
      <c r="J546" s="8" t="s">
        <v>54</v>
      </c>
      <c r="K546" s="8" t="s">
        <v>54</v>
      </c>
      <c r="L546" s="8" t="s">
        <v>54</v>
      </c>
      <c r="M546" s="8" t="s">
        <v>54</v>
      </c>
      <c r="N546" s="10" t="s">
        <v>67</v>
      </c>
      <c r="O546" s="8" t="s">
        <v>54</v>
      </c>
      <c r="P546" s="8" t="s">
        <v>54</v>
      </c>
      <c r="Q546" s="8" t="s">
        <v>54</v>
      </c>
      <c r="R546" s="8" t="s">
        <v>54</v>
      </c>
      <c r="S546" s="8" t="s">
        <v>54</v>
      </c>
      <c r="T546" s="8" t="s">
        <v>54</v>
      </c>
      <c r="U546" s="10" t="s">
        <v>67</v>
      </c>
      <c r="V546" s="8" t="s">
        <v>54</v>
      </c>
      <c r="W546" s="8" t="s">
        <v>54</v>
      </c>
      <c r="X546" s="8" t="s">
        <v>54</v>
      </c>
      <c r="Y546" s="8" t="s">
        <v>54</v>
      </c>
      <c r="Z546" s="8" t="s">
        <v>54</v>
      </c>
      <c r="AA546" s="8" t="s">
        <v>54</v>
      </c>
      <c r="AB546" s="10" t="s">
        <v>67</v>
      </c>
      <c r="AC546" s="8" t="s">
        <v>54</v>
      </c>
      <c r="AD546" s="8" t="s">
        <v>54</v>
      </c>
      <c r="AE546" s="8" t="s">
        <v>54</v>
      </c>
      <c r="AF546" s="8" t="s">
        <v>54</v>
      </c>
      <c r="AG546" s="8" t="s">
        <v>54</v>
      </c>
      <c r="AH546" s="8" t="s">
        <v>54</v>
      </c>
      <c r="AI546" s="10" t="s">
        <v>67</v>
      </c>
      <c r="AJ546" s="8">
        <f>COUNTIF($E$546:$AI$546,"P")</f>
        <v>26</v>
      </c>
      <c r="AK546" s="8">
        <f>COUNTIF($E$546:$AI$546,"A")</f>
        <v>0</v>
      </c>
      <c r="AL546" s="8">
        <f>SUM($E$547:$AI$547)</f>
        <v>36</v>
      </c>
      <c r="AM546" s="8">
        <f>SUM($E$548:$AI$548)</f>
        <v>138</v>
      </c>
      <c r="AN546" s="8">
        <f>AL546+AM546</f>
        <v>174</v>
      </c>
      <c r="AO546" s="8">
        <f>COUNTIF($E$546:$AI$546,"CL")</f>
        <v>0</v>
      </c>
      <c r="AP546" s="8">
        <f>COUNTIF($E$546:$AI$546,"SL")</f>
        <v>0</v>
      </c>
      <c r="AQ546" s="8">
        <f>COUNTIF($E$546:$AI$546,"EL")</f>
        <v>0</v>
      </c>
      <c r="AR546" s="8">
        <f>COUNTIF($E$546:$AI$546,"H")</f>
        <v>0</v>
      </c>
      <c r="AS546" s="8"/>
      <c r="AT546" s="11" t="s">
        <v>15</v>
      </c>
    </row>
    <row r="547" spans="1:46" ht="15.1" customHeight="1">
      <c r="A547" s="8"/>
      <c r="B547" s="9"/>
      <c r="C547" s="8"/>
      <c r="D547" s="9"/>
      <c r="E547" s="8">
        <v>2</v>
      </c>
      <c r="F547" s="8">
        <v>2</v>
      </c>
      <c r="G547" s="8">
        <v>0</v>
      </c>
      <c r="H547" s="8">
        <v>2</v>
      </c>
      <c r="I547" s="8">
        <v>2</v>
      </c>
      <c r="J547" s="8">
        <v>2</v>
      </c>
      <c r="K547" s="8">
        <v>2</v>
      </c>
      <c r="L547" s="8">
        <v>2</v>
      </c>
      <c r="M547" s="8">
        <v>2</v>
      </c>
      <c r="N547" s="8">
        <v>0</v>
      </c>
      <c r="O547" s="8">
        <v>2</v>
      </c>
      <c r="P547" s="8">
        <v>2</v>
      </c>
      <c r="Q547" s="8">
        <v>2</v>
      </c>
      <c r="R547" s="8">
        <v>2</v>
      </c>
      <c r="S547" s="8">
        <v>2</v>
      </c>
      <c r="T547" s="8">
        <v>2</v>
      </c>
      <c r="U547" s="8">
        <v>0</v>
      </c>
      <c r="V547" s="8">
        <v>2</v>
      </c>
      <c r="W547" s="8">
        <v>2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2</v>
      </c>
      <c r="AE547" s="8">
        <v>0</v>
      </c>
      <c r="AF547" s="8">
        <v>0</v>
      </c>
      <c r="AG547" s="8">
        <v>0</v>
      </c>
      <c r="AH547" s="8">
        <v>2</v>
      </c>
      <c r="AI547" s="8">
        <v>0</v>
      </c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11" t="s">
        <v>15</v>
      </c>
    </row>
    <row r="548" spans="1:46" ht="15.1" customHeight="1">
      <c r="A548" s="8"/>
      <c r="B548" s="9"/>
      <c r="C548" s="8"/>
      <c r="D548" s="9"/>
      <c r="E548" s="8">
        <v>5</v>
      </c>
      <c r="F548" s="8">
        <v>3</v>
      </c>
      <c r="G548" s="8">
        <v>14</v>
      </c>
      <c r="H548" s="8">
        <v>5</v>
      </c>
      <c r="I548" s="8">
        <v>7</v>
      </c>
      <c r="J548" s="8">
        <v>7</v>
      </c>
      <c r="K548" s="8">
        <v>7</v>
      </c>
      <c r="L548" s="8">
        <v>7</v>
      </c>
      <c r="M548" s="8">
        <v>5</v>
      </c>
      <c r="N548" s="8">
        <v>16.5</v>
      </c>
      <c r="O548" s="8">
        <v>7</v>
      </c>
      <c r="P548" s="8">
        <v>7</v>
      </c>
      <c r="Q548" s="8">
        <v>5</v>
      </c>
      <c r="R548" s="8">
        <v>8</v>
      </c>
      <c r="S548" s="8">
        <v>7</v>
      </c>
      <c r="T548" s="8">
        <v>3</v>
      </c>
      <c r="U548" s="8">
        <v>12.5</v>
      </c>
      <c r="V548" s="8">
        <v>7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2</v>
      </c>
      <c r="AE548" s="8">
        <v>0</v>
      </c>
      <c r="AF548" s="8">
        <v>0</v>
      </c>
      <c r="AG548" s="8">
        <v>0</v>
      </c>
      <c r="AH548" s="8">
        <v>3</v>
      </c>
      <c r="AI548" s="8">
        <v>0</v>
      </c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11" t="s">
        <v>15</v>
      </c>
    </row>
    <row r="549" spans="1:46" ht="15.1" customHeight="1">
      <c r="A549" s="8">
        <v>182</v>
      </c>
      <c r="B549" s="9" t="s">
        <v>626</v>
      </c>
      <c r="C549" s="8" t="s">
        <v>627</v>
      </c>
      <c r="D549" s="9" t="s">
        <v>266</v>
      </c>
      <c r="E549" s="8" t="s">
        <v>54</v>
      </c>
      <c r="F549" s="8" t="s">
        <v>54</v>
      </c>
      <c r="G549" s="10" t="s">
        <v>67</v>
      </c>
      <c r="H549" s="8" t="s">
        <v>54</v>
      </c>
      <c r="I549" s="8" t="s">
        <v>54</v>
      </c>
      <c r="J549" s="8" t="s">
        <v>54</v>
      </c>
      <c r="K549" s="8" t="s">
        <v>54</v>
      </c>
      <c r="L549" s="8" t="s">
        <v>54</v>
      </c>
      <c r="M549" s="8" t="s">
        <v>54</v>
      </c>
      <c r="N549" s="10" t="s">
        <v>67</v>
      </c>
      <c r="O549" s="8" t="s">
        <v>54</v>
      </c>
      <c r="P549" s="8" t="s">
        <v>54</v>
      </c>
      <c r="Q549" s="8" t="s">
        <v>54</v>
      </c>
      <c r="R549" s="8" t="s">
        <v>54</v>
      </c>
      <c r="S549" s="8" t="s">
        <v>54</v>
      </c>
      <c r="T549" s="8" t="s">
        <v>54</v>
      </c>
      <c r="U549" s="10" t="s">
        <v>67</v>
      </c>
      <c r="V549" s="8" t="s">
        <v>54</v>
      </c>
      <c r="W549" s="8" t="s">
        <v>54</v>
      </c>
      <c r="X549" s="8" t="s">
        <v>54</v>
      </c>
      <c r="Y549" s="8" t="s">
        <v>54</v>
      </c>
      <c r="Z549" s="8" t="s">
        <v>54</v>
      </c>
      <c r="AA549" s="8" t="s">
        <v>54</v>
      </c>
      <c r="AB549" s="10" t="s">
        <v>67</v>
      </c>
      <c r="AC549" s="8" t="s">
        <v>54</v>
      </c>
      <c r="AD549" s="8" t="s">
        <v>54</v>
      </c>
      <c r="AE549" s="8" t="s">
        <v>54</v>
      </c>
      <c r="AF549" s="8" t="s">
        <v>54</v>
      </c>
      <c r="AG549" s="8" t="s">
        <v>54</v>
      </c>
      <c r="AH549" s="8" t="s">
        <v>54</v>
      </c>
      <c r="AI549" s="10" t="s">
        <v>67</v>
      </c>
      <c r="AJ549" s="8">
        <f>COUNTIF($E$549:$AI$549,"P")</f>
        <v>26</v>
      </c>
      <c r="AK549" s="8">
        <f>COUNTIF($E$549:$AI$549,"A")</f>
        <v>0</v>
      </c>
      <c r="AL549" s="8">
        <f>SUM($E$550:$AI$550)</f>
        <v>32</v>
      </c>
      <c r="AM549" s="8">
        <f>SUM($E$551:$AI$551)</f>
        <v>132</v>
      </c>
      <c r="AN549" s="8">
        <f>AL549+AM549</f>
        <v>164</v>
      </c>
      <c r="AO549" s="8">
        <f>COUNTIF($E$549:$AI$549,"CL")</f>
        <v>0</v>
      </c>
      <c r="AP549" s="8">
        <f>COUNTIF($E$549:$AI$549,"SL")</f>
        <v>0</v>
      </c>
      <c r="AQ549" s="8">
        <f>COUNTIF($E$549:$AI$549,"EL")</f>
        <v>0</v>
      </c>
      <c r="AR549" s="8">
        <f>COUNTIF($E$549:$AI$549,"H")</f>
        <v>0</v>
      </c>
      <c r="AS549" s="8"/>
      <c r="AT549" s="11" t="s">
        <v>15</v>
      </c>
    </row>
    <row r="550" spans="1:46" ht="15.1" customHeight="1">
      <c r="A550" s="8"/>
      <c r="B550" s="9"/>
      <c r="C550" s="8"/>
      <c r="D550" s="9"/>
      <c r="E550" s="8">
        <v>0</v>
      </c>
      <c r="F550" s="8">
        <v>2</v>
      </c>
      <c r="G550" s="8">
        <v>0</v>
      </c>
      <c r="H550" s="8">
        <v>2</v>
      </c>
      <c r="I550" s="8">
        <v>2</v>
      </c>
      <c r="J550" s="8">
        <v>2</v>
      </c>
      <c r="K550" s="8">
        <v>2</v>
      </c>
      <c r="L550" s="8">
        <v>2</v>
      </c>
      <c r="M550" s="8">
        <v>2</v>
      </c>
      <c r="N550" s="8">
        <v>0</v>
      </c>
      <c r="O550" s="8">
        <v>2</v>
      </c>
      <c r="P550" s="8">
        <v>2</v>
      </c>
      <c r="Q550" s="8">
        <v>2</v>
      </c>
      <c r="R550" s="8">
        <v>2</v>
      </c>
      <c r="S550" s="8">
        <v>2</v>
      </c>
      <c r="T550" s="8">
        <v>2</v>
      </c>
      <c r="U550" s="8">
        <v>0</v>
      </c>
      <c r="V550" s="8">
        <v>2</v>
      </c>
      <c r="W550" s="8">
        <v>2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2</v>
      </c>
      <c r="AI550" s="8">
        <v>0</v>
      </c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11" t="s">
        <v>15</v>
      </c>
    </row>
    <row r="551" spans="1:46" ht="15.1" customHeight="1">
      <c r="A551" s="8"/>
      <c r="B551" s="9"/>
      <c r="C551" s="8"/>
      <c r="D551" s="9"/>
      <c r="E551" s="8">
        <v>0</v>
      </c>
      <c r="F551" s="8">
        <v>3</v>
      </c>
      <c r="G551" s="8">
        <v>14</v>
      </c>
      <c r="H551" s="8">
        <v>5</v>
      </c>
      <c r="I551" s="8">
        <v>7</v>
      </c>
      <c r="J551" s="8">
        <v>7</v>
      </c>
      <c r="K551" s="8">
        <v>7</v>
      </c>
      <c r="L551" s="8">
        <v>7</v>
      </c>
      <c r="M551" s="8">
        <v>5</v>
      </c>
      <c r="N551" s="8">
        <v>17</v>
      </c>
      <c r="O551" s="8">
        <v>7</v>
      </c>
      <c r="P551" s="8">
        <v>7</v>
      </c>
      <c r="Q551" s="8">
        <v>5</v>
      </c>
      <c r="R551" s="8">
        <v>8</v>
      </c>
      <c r="S551" s="8">
        <v>7</v>
      </c>
      <c r="T551" s="8">
        <v>3</v>
      </c>
      <c r="U551" s="8">
        <v>13</v>
      </c>
      <c r="V551" s="8">
        <v>7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3</v>
      </c>
      <c r="AI551" s="8">
        <v>0</v>
      </c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11" t="s">
        <v>15</v>
      </c>
    </row>
    <row r="552" spans="1:46" ht="15.1" customHeight="1">
      <c r="A552" s="8">
        <v>183</v>
      </c>
      <c r="B552" s="9" t="s">
        <v>628</v>
      </c>
      <c r="C552" s="8" t="s">
        <v>629</v>
      </c>
      <c r="D552" s="9" t="s">
        <v>266</v>
      </c>
      <c r="E552" s="8" t="s">
        <v>54</v>
      </c>
      <c r="F552" s="8" t="s">
        <v>54</v>
      </c>
      <c r="G552" s="10" t="s">
        <v>67</v>
      </c>
      <c r="H552" s="8" t="s">
        <v>54</v>
      </c>
      <c r="I552" s="8" t="s">
        <v>54</v>
      </c>
      <c r="J552" s="8" t="s">
        <v>54</v>
      </c>
      <c r="K552" s="8" t="s">
        <v>54</v>
      </c>
      <c r="L552" s="8" t="s">
        <v>54</v>
      </c>
      <c r="M552" s="8" t="s">
        <v>54</v>
      </c>
      <c r="N552" s="10" t="s">
        <v>67</v>
      </c>
      <c r="O552" s="8" t="s">
        <v>54</v>
      </c>
      <c r="P552" s="8" t="s">
        <v>54</v>
      </c>
      <c r="Q552" s="8" t="s">
        <v>54</v>
      </c>
      <c r="R552" s="8" t="s">
        <v>54</v>
      </c>
      <c r="S552" s="8" t="s">
        <v>54</v>
      </c>
      <c r="T552" s="8" t="s">
        <v>54</v>
      </c>
      <c r="U552" s="10" t="s">
        <v>67</v>
      </c>
      <c r="V552" s="8" t="s">
        <v>54</v>
      </c>
      <c r="W552" s="8" t="s">
        <v>54</v>
      </c>
      <c r="X552" s="8" t="s">
        <v>54</v>
      </c>
      <c r="Y552" s="8" t="s">
        <v>54</v>
      </c>
      <c r="Z552" s="8" t="s">
        <v>54</v>
      </c>
      <c r="AA552" s="8" t="s">
        <v>54</v>
      </c>
      <c r="AB552" s="10" t="s">
        <v>67</v>
      </c>
      <c r="AC552" s="8" t="s">
        <v>54</v>
      </c>
      <c r="AD552" s="8" t="s">
        <v>54</v>
      </c>
      <c r="AE552" s="8" t="s">
        <v>54</v>
      </c>
      <c r="AF552" s="8" t="s">
        <v>54</v>
      </c>
      <c r="AG552" s="8" t="s">
        <v>54</v>
      </c>
      <c r="AH552" s="8" t="s">
        <v>54</v>
      </c>
      <c r="AI552" s="10" t="s">
        <v>67</v>
      </c>
      <c r="AJ552" s="8">
        <f>COUNTIF($E$552:$AI$552,"P")</f>
        <v>26</v>
      </c>
      <c r="AK552" s="8">
        <f>COUNTIF($E$552:$AI$552,"A")</f>
        <v>0</v>
      </c>
      <c r="AL552" s="8">
        <f>SUM($E$553:$AI$553)</f>
        <v>34</v>
      </c>
      <c r="AM552" s="8">
        <f>SUM($E$554:$AI$554)</f>
        <v>141</v>
      </c>
      <c r="AN552" s="8">
        <f>AL552+AM552</f>
        <v>175</v>
      </c>
      <c r="AO552" s="8">
        <f>COUNTIF($E$552:$AI$552,"CL")</f>
        <v>0</v>
      </c>
      <c r="AP552" s="8">
        <f>COUNTIF($E$552:$AI$552,"SL")</f>
        <v>0</v>
      </c>
      <c r="AQ552" s="8">
        <f>COUNTIF($E$552:$AI$552,"EL")</f>
        <v>0</v>
      </c>
      <c r="AR552" s="8">
        <f>COUNTIF($E$552:$AI$552,"H")</f>
        <v>0</v>
      </c>
      <c r="AS552" s="8"/>
      <c r="AT552" s="11" t="s">
        <v>15</v>
      </c>
    </row>
    <row r="553" spans="1:46" ht="15.1" customHeight="1">
      <c r="A553" s="8"/>
      <c r="B553" s="9"/>
      <c r="C553" s="8"/>
      <c r="D553" s="9"/>
      <c r="E553" s="8">
        <v>2</v>
      </c>
      <c r="F553" s="8">
        <v>2</v>
      </c>
      <c r="G553" s="8">
        <v>0</v>
      </c>
      <c r="H553" s="8">
        <v>2</v>
      </c>
      <c r="I553" s="8">
        <v>2</v>
      </c>
      <c r="J553" s="8">
        <v>2</v>
      </c>
      <c r="K553" s="8">
        <v>2</v>
      </c>
      <c r="L553" s="8">
        <v>2</v>
      </c>
      <c r="M553" s="8">
        <v>2</v>
      </c>
      <c r="N553" s="8">
        <v>0</v>
      </c>
      <c r="O553" s="8">
        <v>2</v>
      </c>
      <c r="P553" s="8">
        <v>2</v>
      </c>
      <c r="Q553" s="8">
        <v>2</v>
      </c>
      <c r="R553" s="8">
        <v>2</v>
      </c>
      <c r="S553" s="8">
        <v>2</v>
      </c>
      <c r="T553" s="8">
        <v>2</v>
      </c>
      <c r="U553" s="8">
        <v>0</v>
      </c>
      <c r="V553" s="8">
        <v>2</v>
      </c>
      <c r="W553" s="8">
        <v>2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2</v>
      </c>
      <c r="AI553" s="8">
        <v>0</v>
      </c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11" t="s">
        <v>15</v>
      </c>
    </row>
    <row r="554" spans="1:46" ht="15.1" customHeight="1">
      <c r="A554" s="8"/>
      <c r="B554" s="9"/>
      <c r="C554" s="8"/>
      <c r="D554" s="9"/>
      <c r="E554" s="8">
        <v>5</v>
      </c>
      <c r="F554" s="8">
        <v>3</v>
      </c>
      <c r="G554" s="8">
        <v>13.5</v>
      </c>
      <c r="H554" s="8">
        <v>5</v>
      </c>
      <c r="I554" s="8">
        <v>7</v>
      </c>
      <c r="J554" s="8">
        <v>7</v>
      </c>
      <c r="K554" s="8">
        <v>7</v>
      </c>
      <c r="L554" s="8">
        <v>7</v>
      </c>
      <c r="M554" s="8">
        <v>5</v>
      </c>
      <c r="N554" s="8">
        <v>16.5</v>
      </c>
      <c r="O554" s="8">
        <v>7</v>
      </c>
      <c r="P554" s="8">
        <v>9.5</v>
      </c>
      <c r="Q554" s="8">
        <v>5</v>
      </c>
      <c r="R554" s="8">
        <v>7</v>
      </c>
      <c r="S554" s="8">
        <v>7</v>
      </c>
      <c r="T554" s="8">
        <v>7</v>
      </c>
      <c r="U554" s="8">
        <v>12.5</v>
      </c>
      <c r="V554" s="8">
        <v>7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3</v>
      </c>
      <c r="AI554" s="8">
        <v>0</v>
      </c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11" t="s">
        <v>15</v>
      </c>
    </row>
    <row r="555" spans="1:46" ht="15.1" customHeight="1">
      <c r="A555" s="8">
        <v>184</v>
      </c>
      <c r="B555" s="9" t="s">
        <v>630</v>
      </c>
      <c r="C555" s="8" t="s">
        <v>631</v>
      </c>
      <c r="D555" s="9" t="s">
        <v>266</v>
      </c>
      <c r="E555" s="8" t="s">
        <v>54</v>
      </c>
      <c r="F555" s="8" t="s">
        <v>54</v>
      </c>
      <c r="G555" s="10" t="s">
        <v>67</v>
      </c>
      <c r="H555" s="8" t="s">
        <v>54</v>
      </c>
      <c r="I555" s="8" t="s">
        <v>54</v>
      </c>
      <c r="J555" s="8" t="s">
        <v>54</v>
      </c>
      <c r="K555" s="8" t="s">
        <v>54</v>
      </c>
      <c r="L555" s="8" t="s">
        <v>54</v>
      </c>
      <c r="M555" s="8" t="s">
        <v>54</v>
      </c>
      <c r="N555" s="10" t="s">
        <v>67</v>
      </c>
      <c r="O555" s="8" t="s">
        <v>54</v>
      </c>
      <c r="P555" s="8" t="s">
        <v>54</v>
      </c>
      <c r="Q555" s="8" t="s">
        <v>54</v>
      </c>
      <c r="R555" s="8" t="s">
        <v>54</v>
      </c>
      <c r="S555" s="8" t="s">
        <v>54</v>
      </c>
      <c r="T555" s="8" t="s">
        <v>54</v>
      </c>
      <c r="U555" s="10" t="s">
        <v>67</v>
      </c>
      <c r="V555" s="8" t="s">
        <v>54</v>
      </c>
      <c r="W555" s="8" t="s">
        <v>54</v>
      </c>
      <c r="X555" s="8" t="s">
        <v>54</v>
      </c>
      <c r="Y555" s="8" t="s">
        <v>54</v>
      </c>
      <c r="Z555" s="8" t="s">
        <v>54</v>
      </c>
      <c r="AA555" s="8" t="s">
        <v>54</v>
      </c>
      <c r="AB555" s="10" t="s">
        <v>67</v>
      </c>
      <c r="AC555" s="8" t="s">
        <v>54</v>
      </c>
      <c r="AD555" s="8" t="s">
        <v>54</v>
      </c>
      <c r="AE555" s="8" t="s">
        <v>54</v>
      </c>
      <c r="AF555" s="8" t="s">
        <v>54</v>
      </c>
      <c r="AG555" s="8" t="s">
        <v>54</v>
      </c>
      <c r="AH555" s="8" t="s">
        <v>54</v>
      </c>
      <c r="AI555" s="10" t="s">
        <v>67</v>
      </c>
      <c r="AJ555" s="8">
        <f>COUNTIF($E$555:$AI$555,"P")</f>
        <v>26</v>
      </c>
      <c r="AK555" s="8">
        <f>COUNTIF($E$555:$AI$555,"A")</f>
        <v>0</v>
      </c>
      <c r="AL555" s="8">
        <f>SUM($E$556:$AI$556)</f>
        <v>34</v>
      </c>
      <c r="AM555" s="8">
        <f>SUM($E$557:$AI$557)</f>
        <v>130.5</v>
      </c>
      <c r="AN555" s="8">
        <f>AL555+AM555</f>
        <v>164.5</v>
      </c>
      <c r="AO555" s="8">
        <f>COUNTIF($E$555:$AI$555,"CL")</f>
        <v>0</v>
      </c>
      <c r="AP555" s="8">
        <f>COUNTIF($E$555:$AI$555,"SL")</f>
        <v>0</v>
      </c>
      <c r="AQ555" s="8">
        <f>COUNTIF($E$555:$AI$555,"EL")</f>
        <v>0</v>
      </c>
      <c r="AR555" s="8">
        <f>COUNTIF($E$555:$AI$555,"H")</f>
        <v>0</v>
      </c>
      <c r="AS555" s="8"/>
      <c r="AT555" s="11" t="s">
        <v>15</v>
      </c>
    </row>
    <row r="556" spans="1:46" ht="15.1" customHeight="1">
      <c r="A556" s="8"/>
      <c r="B556" s="9"/>
      <c r="C556" s="8"/>
      <c r="D556" s="9"/>
      <c r="E556" s="8">
        <v>2</v>
      </c>
      <c r="F556" s="8">
        <v>2</v>
      </c>
      <c r="G556" s="8">
        <v>0</v>
      </c>
      <c r="H556" s="8">
        <v>2</v>
      </c>
      <c r="I556" s="8">
        <v>2</v>
      </c>
      <c r="J556" s="8">
        <v>2</v>
      </c>
      <c r="K556" s="8">
        <v>2</v>
      </c>
      <c r="L556" s="8">
        <v>2</v>
      </c>
      <c r="M556" s="8">
        <v>2</v>
      </c>
      <c r="N556" s="8">
        <v>0</v>
      </c>
      <c r="O556" s="8">
        <v>2</v>
      </c>
      <c r="P556" s="8">
        <v>2</v>
      </c>
      <c r="Q556" s="8">
        <v>2</v>
      </c>
      <c r="R556" s="8">
        <v>2</v>
      </c>
      <c r="S556" s="8">
        <v>2</v>
      </c>
      <c r="T556" s="8">
        <v>2</v>
      </c>
      <c r="U556" s="8">
        <v>0</v>
      </c>
      <c r="V556" s="8">
        <v>2</v>
      </c>
      <c r="W556" s="8">
        <v>2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2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11" t="s">
        <v>15</v>
      </c>
    </row>
    <row r="557" spans="1:46" ht="15.1" customHeight="1">
      <c r="A557" s="8"/>
      <c r="B557" s="9"/>
      <c r="C557" s="8"/>
      <c r="D557" s="9"/>
      <c r="E557" s="8">
        <v>5</v>
      </c>
      <c r="F557" s="8">
        <v>3</v>
      </c>
      <c r="G557" s="8">
        <v>14</v>
      </c>
      <c r="H557" s="8">
        <v>5</v>
      </c>
      <c r="I557" s="8">
        <v>4.5</v>
      </c>
      <c r="J557" s="8">
        <v>7</v>
      </c>
      <c r="K557" s="8">
        <v>7</v>
      </c>
      <c r="L557" s="8">
        <v>7</v>
      </c>
      <c r="M557" s="8">
        <v>5</v>
      </c>
      <c r="N557" s="8">
        <v>17</v>
      </c>
      <c r="O557" s="8">
        <v>7</v>
      </c>
      <c r="P557" s="8">
        <v>7</v>
      </c>
      <c r="Q557" s="8">
        <v>5</v>
      </c>
      <c r="R557" s="8">
        <v>7</v>
      </c>
      <c r="S557" s="8">
        <v>7</v>
      </c>
      <c r="T557" s="8">
        <v>3</v>
      </c>
      <c r="U557" s="8">
        <v>13</v>
      </c>
      <c r="V557" s="8">
        <v>7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11" t="s">
        <v>15</v>
      </c>
    </row>
    <row r="558" spans="1:46" ht="15.1" customHeight="1">
      <c r="A558" s="8">
        <v>185</v>
      </c>
      <c r="B558" s="9" t="s">
        <v>632</v>
      </c>
      <c r="C558" s="8" t="s">
        <v>633</v>
      </c>
      <c r="D558" s="9" t="s">
        <v>266</v>
      </c>
      <c r="E558" s="8" t="s">
        <v>54</v>
      </c>
      <c r="F558" s="8" t="s">
        <v>54</v>
      </c>
      <c r="G558" s="10" t="s">
        <v>67</v>
      </c>
      <c r="H558" s="8" t="s">
        <v>54</v>
      </c>
      <c r="I558" s="8" t="s">
        <v>54</v>
      </c>
      <c r="J558" s="8" t="s">
        <v>54</v>
      </c>
      <c r="K558" s="8" t="s">
        <v>54</v>
      </c>
      <c r="L558" s="8" t="s">
        <v>54</v>
      </c>
      <c r="M558" s="8" t="s">
        <v>54</v>
      </c>
      <c r="N558" s="10" t="s">
        <v>67</v>
      </c>
      <c r="O558" s="8" t="s">
        <v>54</v>
      </c>
      <c r="P558" s="8" t="s">
        <v>54</v>
      </c>
      <c r="Q558" s="8" t="s">
        <v>54</v>
      </c>
      <c r="R558" s="8" t="s">
        <v>54</v>
      </c>
      <c r="S558" s="8" t="s">
        <v>54</v>
      </c>
      <c r="T558" s="8" t="s">
        <v>54</v>
      </c>
      <c r="U558" s="10" t="s">
        <v>67</v>
      </c>
      <c r="V558" s="8" t="s">
        <v>54</v>
      </c>
      <c r="W558" s="8" t="s">
        <v>54</v>
      </c>
      <c r="X558" s="8" t="s">
        <v>54</v>
      </c>
      <c r="Y558" s="8" t="s">
        <v>54</v>
      </c>
      <c r="Z558" s="8" t="s">
        <v>54</v>
      </c>
      <c r="AA558" s="8" t="s">
        <v>54</v>
      </c>
      <c r="AB558" s="10" t="s">
        <v>67</v>
      </c>
      <c r="AC558" s="8" t="s">
        <v>54</v>
      </c>
      <c r="AD558" s="8" t="s">
        <v>54</v>
      </c>
      <c r="AE558" s="8" t="s">
        <v>54</v>
      </c>
      <c r="AF558" s="8" t="s">
        <v>54</v>
      </c>
      <c r="AG558" s="8" t="s">
        <v>54</v>
      </c>
      <c r="AH558" s="8" t="s">
        <v>54</v>
      </c>
      <c r="AI558" s="10" t="s">
        <v>67</v>
      </c>
      <c r="AJ558" s="8">
        <f>COUNTIF($E$558:$AI$558,"P")</f>
        <v>26</v>
      </c>
      <c r="AK558" s="8">
        <f>COUNTIF($E$558:$AI$558,"A")</f>
        <v>0</v>
      </c>
      <c r="AL558" s="8">
        <f>SUM($E$559:$AI$559)</f>
        <v>34</v>
      </c>
      <c r="AM558" s="8">
        <f>SUM($E$560:$AI$560)</f>
        <v>113.5</v>
      </c>
      <c r="AN558" s="8">
        <f>AL558+AM558</f>
        <v>147.5</v>
      </c>
      <c r="AO558" s="8">
        <f>COUNTIF($E$558:$AI$558,"CL")</f>
        <v>0</v>
      </c>
      <c r="AP558" s="8">
        <f>COUNTIF($E$558:$AI$558,"SL")</f>
        <v>0</v>
      </c>
      <c r="AQ558" s="8">
        <f>COUNTIF($E$558:$AI$558,"EL")</f>
        <v>0</v>
      </c>
      <c r="AR558" s="8">
        <f>COUNTIF($E$558:$AI$558,"H")</f>
        <v>0</v>
      </c>
      <c r="AS558" s="8"/>
      <c r="AT558" s="11" t="s">
        <v>15</v>
      </c>
    </row>
    <row r="559" spans="1:46" ht="15.1" customHeight="1">
      <c r="A559" s="8"/>
      <c r="B559" s="9"/>
      <c r="C559" s="8"/>
      <c r="D559" s="9"/>
      <c r="E559" s="8">
        <v>2</v>
      </c>
      <c r="F559" s="8">
        <v>2</v>
      </c>
      <c r="G559" s="8">
        <v>0</v>
      </c>
      <c r="H559" s="8">
        <v>2</v>
      </c>
      <c r="I559" s="8">
        <v>2</v>
      </c>
      <c r="J559" s="8">
        <v>2</v>
      </c>
      <c r="K559" s="8">
        <v>2</v>
      </c>
      <c r="L559" s="8">
        <v>2</v>
      </c>
      <c r="M559" s="8">
        <v>2</v>
      </c>
      <c r="N559" s="8">
        <v>0</v>
      </c>
      <c r="O559" s="8">
        <v>2</v>
      </c>
      <c r="P559" s="8">
        <v>2</v>
      </c>
      <c r="Q559" s="8">
        <v>2</v>
      </c>
      <c r="R559" s="8">
        <v>2</v>
      </c>
      <c r="S559" s="8">
        <v>2</v>
      </c>
      <c r="T559" s="8">
        <v>2</v>
      </c>
      <c r="U559" s="8">
        <v>0</v>
      </c>
      <c r="V559" s="8">
        <v>2</v>
      </c>
      <c r="W559" s="8">
        <v>2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2</v>
      </c>
      <c r="AI559" s="8">
        <v>0</v>
      </c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11" t="s">
        <v>15</v>
      </c>
    </row>
    <row r="560" spans="1:46" ht="15.1" customHeight="1">
      <c r="A560" s="8"/>
      <c r="B560" s="9"/>
      <c r="C560" s="8"/>
      <c r="D560" s="9"/>
      <c r="E560" s="8">
        <v>4.5</v>
      </c>
      <c r="F560" s="8">
        <v>3</v>
      </c>
      <c r="G560" s="8">
        <v>13.5</v>
      </c>
      <c r="H560" s="8">
        <v>4.5</v>
      </c>
      <c r="I560" s="8">
        <v>7</v>
      </c>
      <c r="J560" s="8">
        <v>7</v>
      </c>
      <c r="K560" s="8">
        <v>6.5</v>
      </c>
      <c r="L560" s="8">
        <v>6.5</v>
      </c>
      <c r="M560" s="8">
        <v>5</v>
      </c>
      <c r="N560" s="8">
        <v>0</v>
      </c>
      <c r="O560" s="8">
        <v>7</v>
      </c>
      <c r="P560" s="8">
        <v>6.5</v>
      </c>
      <c r="Q560" s="8">
        <v>4.5</v>
      </c>
      <c r="R560" s="8">
        <v>7</v>
      </c>
      <c r="S560" s="8">
        <v>6.5</v>
      </c>
      <c r="T560" s="8">
        <v>3</v>
      </c>
      <c r="U560" s="8">
        <v>12</v>
      </c>
      <c r="V560" s="8">
        <v>6.5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3</v>
      </c>
      <c r="AI560" s="8">
        <v>0</v>
      </c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11" t="s">
        <v>15</v>
      </c>
    </row>
    <row r="561" spans="1:46" ht="15.1" customHeight="1">
      <c r="A561" s="8">
        <v>186</v>
      </c>
      <c r="B561" s="9" t="s">
        <v>634</v>
      </c>
      <c r="C561" s="8" t="s">
        <v>635</v>
      </c>
      <c r="D561" s="9" t="s">
        <v>266</v>
      </c>
      <c r="E561" s="8" t="s">
        <v>54</v>
      </c>
      <c r="F561" s="8" t="s">
        <v>54</v>
      </c>
      <c r="G561" s="10" t="s">
        <v>67</v>
      </c>
      <c r="H561" s="8" t="s">
        <v>54</v>
      </c>
      <c r="I561" s="8" t="s">
        <v>54</v>
      </c>
      <c r="J561" s="8" t="s">
        <v>54</v>
      </c>
      <c r="K561" s="8" t="s">
        <v>54</v>
      </c>
      <c r="L561" s="8" t="s">
        <v>54</v>
      </c>
      <c r="M561" s="8" t="s">
        <v>54</v>
      </c>
      <c r="N561" s="10" t="s">
        <v>67</v>
      </c>
      <c r="O561" s="8" t="s">
        <v>54</v>
      </c>
      <c r="P561" s="8" t="s">
        <v>54</v>
      </c>
      <c r="Q561" s="8" t="s">
        <v>54</v>
      </c>
      <c r="R561" s="8" t="s">
        <v>54</v>
      </c>
      <c r="S561" s="8" t="s">
        <v>54</v>
      </c>
      <c r="T561" s="8" t="s">
        <v>54</v>
      </c>
      <c r="U561" s="10" t="s">
        <v>67</v>
      </c>
      <c r="V561" s="12" t="s">
        <v>55</v>
      </c>
      <c r="W561" s="8" t="s">
        <v>54</v>
      </c>
      <c r="X561" s="8" t="s">
        <v>54</v>
      </c>
      <c r="Y561" s="8" t="s">
        <v>54</v>
      </c>
      <c r="Z561" s="8" t="s">
        <v>54</v>
      </c>
      <c r="AA561" s="12" t="s">
        <v>55</v>
      </c>
      <c r="AB561" s="10" t="s">
        <v>67</v>
      </c>
      <c r="AC561" s="8" t="s">
        <v>54</v>
      </c>
      <c r="AD561" s="8" t="s">
        <v>54</v>
      </c>
      <c r="AE561" s="8" t="s">
        <v>54</v>
      </c>
      <c r="AF561" s="8" t="s">
        <v>54</v>
      </c>
      <c r="AG561" s="8" t="s">
        <v>54</v>
      </c>
      <c r="AH561" s="8" t="s">
        <v>54</v>
      </c>
      <c r="AI561" s="10" t="s">
        <v>67</v>
      </c>
      <c r="AJ561" s="8">
        <f>COUNTIF($E$561:$AI$561,"P")</f>
        <v>24</v>
      </c>
      <c r="AK561" s="8">
        <f>COUNTIF($E$561:$AI$561,"A")</f>
        <v>2</v>
      </c>
      <c r="AL561" s="8">
        <f>SUM($E$562:$AI$562)</f>
        <v>36</v>
      </c>
      <c r="AM561" s="8">
        <f>SUM($E$563:$AI$563)</f>
        <v>100.5</v>
      </c>
      <c r="AN561" s="8">
        <f>AL561+AM561</f>
        <v>136.5</v>
      </c>
      <c r="AO561" s="8">
        <f>COUNTIF($E$561:$AI$561,"CL")</f>
        <v>0</v>
      </c>
      <c r="AP561" s="8">
        <f>COUNTIF($E$561:$AI$561,"SL")</f>
        <v>0</v>
      </c>
      <c r="AQ561" s="8">
        <f>COUNTIF($E$561:$AI$561,"EL")</f>
        <v>0</v>
      </c>
      <c r="AR561" s="8">
        <f>COUNTIF($E$561:$AI$561,"H")</f>
        <v>0</v>
      </c>
      <c r="AS561" s="8"/>
      <c r="AT561" s="11" t="s">
        <v>15</v>
      </c>
    </row>
    <row r="562" spans="1:46" ht="15.1" customHeight="1">
      <c r="A562" s="8"/>
      <c r="B562" s="9"/>
      <c r="C562" s="8"/>
      <c r="D562" s="9"/>
      <c r="E562" s="8">
        <v>2</v>
      </c>
      <c r="F562" s="8">
        <v>2</v>
      </c>
      <c r="G562" s="8">
        <v>0</v>
      </c>
      <c r="H562" s="8">
        <v>2</v>
      </c>
      <c r="I562" s="8">
        <v>2</v>
      </c>
      <c r="J562" s="8">
        <v>2</v>
      </c>
      <c r="K562" s="8">
        <v>2</v>
      </c>
      <c r="L562" s="8">
        <v>2</v>
      </c>
      <c r="M562" s="8">
        <v>2</v>
      </c>
      <c r="N562" s="8">
        <v>0</v>
      </c>
      <c r="O562" s="8">
        <v>2</v>
      </c>
      <c r="P562" s="8">
        <v>2</v>
      </c>
      <c r="Q562" s="8">
        <v>2</v>
      </c>
      <c r="R562" s="8">
        <v>2</v>
      </c>
      <c r="S562" s="8">
        <v>2</v>
      </c>
      <c r="T562" s="8">
        <v>2</v>
      </c>
      <c r="U562" s="8">
        <v>0</v>
      </c>
      <c r="V562" s="8">
        <v>0</v>
      </c>
      <c r="W562" s="8">
        <v>2</v>
      </c>
      <c r="X562" s="8">
        <v>2</v>
      </c>
      <c r="Y562" s="8">
        <v>0</v>
      </c>
      <c r="Z562" s="8">
        <v>0</v>
      </c>
      <c r="AA562" s="8">
        <v>0</v>
      </c>
      <c r="AB562" s="8">
        <v>0</v>
      </c>
      <c r="AC562" s="8">
        <v>2</v>
      </c>
      <c r="AD562" s="8">
        <v>2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11" t="s">
        <v>15</v>
      </c>
    </row>
    <row r="563" spans="1:46" ht="15.1" customHeight="1">
      <c r="A563" s="8"/>
      <c r="B563" s="9"/>
      <c r="C563" s="8"/>
      <c r="D563" s="9"/>
      <c r="E563" s="8">
        <v>4</v>
      </c>
      <c r="F563" s="8">
        <v>2</v>
      </c>
      <c r="G563" s="8">
        <v>13.5</v>
      </c>
      <c r="H563" s="8">
        <v>4</v>
      </c>
      <c r="I563" s="8">
        <v>6</v>
      </c>
      <c r="J563" s="8">
        <v>5</v>
      </c>
      <c r="K563" s="8">
        <v>3</v>
      </c>
      <c r="L563" s="8">
        <v>5</v>
      </c>
      <c r="M563" s="8">
        <v>3.5</v>
      </c>
      <c r="N563" s="8">
        <v>16.5</v>
      </c>
      <c r="O563" s="8">
        <v>6.5</v>
      </c>
      <c r="P563" s="8">
        <v>6.5</v>
      </c>
      <c r="Q563" s="8">
        <v>5</v>
      </c>
      <c r="R563" s="8">
        <v>5</v>
      </c>
      <c r="S563" s="8">
        <v>3</v>
      </c>
      <c r="T563" s="8">
        <v>3</v>
      </c>
      <c r="U563" s="8">
        <v>0</v>
      </c>
      <c r="V563" s="8">
        <v>0</v>
      </c>
      <c r="W563" s="8">
        <v>6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3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11" t="s">
        <v>15</v>
      </c>
    </row>
    <row r="564" spans="1:46" ht="15.1" customHeight="1">
      <c r="A564" s="8">
        <v>187</v>
      </c>
      <c r="B564" s="9" t="s">
        <v>636</v>
      </c>
      <c r="C564" s="8" t="s">
        <v>637</v>
      </c>
      <c r="D564" s="9" t="s">
        <v>266</v>
      </c>
      <c r="E564" s="8" t="s">
        <v>54</v>
      </c>
      <c r="F564" s="8" t="s">
        <v>54</v>
      </c>
      <c r="G564" s="10" t="s">
        <v>67</v>
      </c>
      <c r="H564" s="12" t="s">
        <v>55</v>
      </c>
      <c r="I564" s="12" t="s">
        <v>55</v>
      </c>
      <c r="J564" s="8" t="s">
        <v>54</v>
      </c>
      <c r="K564" s="8" t="s">
        <v>54</v>
      </c>
      <c r="L564" s="8" t="s">
        <v>54</v>
      </c>
      <c r="M564" s="8" t="s">
        <v>54</v>
      </c>
      <c r="N564" s="10" t="s">
        <v>67</v>
      </c>
      <c r="O564" s="8" t="s">
        <v>54</v>
      </c>
      <c r="P564" s="8" t="s">
        <v>54</v>
      </c>
      <c r="Q564" s="8" t="s">
        <v>54</v>
      </c>
      <c r="R564" s="8" t="s">
        <v>54</v>
      </c>
      <c r="S564" s="8" t="s">
        <v>54</v>
      </c>
      <c r="T564" s="8" t="s">
        <v>54</v>
      </c>
      <c r="U564" s="10" t="s">
        <v>67</v>
      </c>
      <c r="V564" s="8" t="s">
        <v>54</v>
      </c>
      <c r="W564" s="8" t="s">
        <v>54</v>
      </c>
      <c r="X564" s="8" t="s">
        <v>54</v>
      </c>
      <c r="Y564" s="12" t="s">
        <v>55</v>
      </c>
      <c r="Z564" s="8" t="s">
        <v>54</v>
      </c>
      <c r="AA564" s="8" t="s">
        <v>54</v>
      </c>
      <c r="AB564" s="10" t="s">
        <v>67</v>
      </c>
      <c r="AC564" s="8" t="s">
        <v>54</v>
      </c>
      <c r="AD564" s="8" t="s">
        <v>54</v>
      </c>
      <c r="AE564" s="8" t="s">
        <v>54</v>
      </c>
      <c r="AF564" s="8" t="s">
        <v>54</v>
      </c>
      <c r="AG564" s="8" t="s">
        <v>54</v>
      </c>
      <c r="AH564" s="8" t="s">
        <v>54</v>
      </c>
      <c r="AI564" s="10" t="s">
        <v>67</v>
      </c>
      <c r="AJ564" s="8">
        <f>COUNTIF($E$564:$AI$564,"P")</f>
        <v>23</v>
      </c>
      <c r="AK564" s="8">
        <f>COUNTIF($E$564:$AI$564,"A")</f>
        <v>3</v>
      </c>
      <c r="AL564" s="8">
        <f>SUM($E$565:$AI$565)</f>
        <v>32</v>
      </c>
      <c r="AM564" s="8">
        <f>SUM($E$566:$AI$566)</f>
        <v>108</v>
      </c>
      <c r="AN564" s="8">
        <f>AL564+AM564</f>
        <v>140</v>
      </c>
      <c r="AO564" s="8">
        <f>COUNTIF($E$564:$AI$564,"CL")</f>
        <v>0</v>
      </c>
      <c r="AP564" s="8">
        <f>COUNTIF($E$564:$AI$564,"SL")</f>
        <v>0</v>
      </c>
      <c r="AQ564" s="8">
        <f>COUNTIF($E$564:$AI$564,"EL")</f>
        <v>0</v>
      </c>
      <c r="AR564" s="8">
        <f>COUNTIF($E$564:$AI$564,"H")</f>
        <v>0</v>
      </c>
      <c r="AS564" s="8"/>
      <c r="AT564" s="11" t="s">
        <v>15</v>
      </c>
    </row>
    <row r="565" spans="1:46" ht="15.1" customHeight="1">
      <c r="A565" s="8"/>
      <c r="B565" s="9"/>
      <c r="C565" s="8"/>
      <c r="D565" s="9"/>
      <c r="E565" s="8">
        <v>2</v>
      </c>
      <c r="F565" s="8">
        <v>2</v>
      </c>
      <c r="G565" s="8">
        <v>0</v>
      </c>
      <c r="H565" s="8">
        <v>0</v>
      </c>
      <c r="I565" s="8">
        <v>0</v>
      </c>
      <c r="J565" s="8">
        <v>2</v>
      </c>
      <c r="K565" s="8">
        <v>2</v>
      </c>
      <c r="L565" s="8">
        <v>2</v>
      </c>
      <c r="M565" s="8">
        <v>2</v>
      </c>
      <c r="N565" s="8">
        <v>0</v>
      </c>
      <c r="O565" s="8">
        <v>2</v>
      </c>
      <c r="P565" s="8">
        <v>2</v>
      </c>
      <c r="Q565" s="8">
        <v>2</v>
      </c>
      <c r="R565" s="8">
        <v>2</v>
      </c>
      <c r="S565" s="8">
        <v>2</v>
      </c>
      <c r="T565" s="8">
        <v>2</v>
      </c>
      <c r="U565" s="8">
        <v>0</v>
      </c>
      <c r="V565" s="8">
        <v>2</v>
      </c>
      <c r="W565" s="8">
        <v>2</v>
      </c>
      <c r="X565" s="8">
        <v>2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2</v>
      </c>
      <c r="AI565" s="8">
        <v>0</v>
      </c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11" t="s">
        <v>15</v>
      </c>
    </row>
    <row r="566" spans="1:46" ht="15.1" customHeight="1">
      <c r="A566" s="8"/>
      <c r="B566" s="9"/>
      <c r="C566" s="8"/>
      <c r="D566" s="9"/>
      <c r="E566" s="8">
        <v>4.5</v>
      </c>
      <c r="F566" s="8">
        <v>0</v>
      </c>
      <c r="G566" s="8">
        <v>0</v>
      </c>
      <c r="H566" s="8">
        <v>0</v>
      </c>
      <c r="I566" s="8">
        <v>0</v>
      </c>
      <c r="J566" s="8">
        <v>11</v>
      </c>
      <c r="K566" s="8">
        <v>7</v>
      </c>
      <c r="L566" s="8">
        <v>7</v>
      </c>
      <c r="M566" s="8">
        <v>4.5</v>
      </c>
      <c r="N566" s="8">
        <v>16.5</v>
      </c>
      <c r="O566" s="8">
        <v>7</v>
      </c>
      <c r="P566" s="8">
        <v>6.5</v>
      </c>
      <c r="Q566" s="8">
        <v>4.5</v>
      </c>
      <c r="R566" s="8">
        <v>7</v>
      </c>
      <c r="S566" s="8">
        <v>7</v>
      </c>
      <c r="T566" s="8">
        <v>3</v>
      </c>
      <c r="U566" s="8">
        <v>9.5</v>
      </c>
      <c r="V566" s="8">
        <v>7</v>
      </c>
      <c r="W566" s="8">
        <v>0</v>
      </c>
      <c r="X566" s="8">
        <v>3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3</v>
      </c>
      <c r="AI566" s="8">
        <v>0</v>
      </c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11" t="s">
        <v>15</v>
      </c>
    </row>
    <row r="567" spans="1:46" ht="15.1" customHeight="1">
      <c r="A567" s="8">
        <v>188</v>
      </c>
      <c r="B567" s="9" t="s">
        <v>638</v>
      </c>
      <c r="C567" s="8" t="s">
        <v>639</v>
      </c>
      <c r="D567" s="9" t="s">
        <v>266</v>
      </c>
      <c r="E567" s="8" t="s">
        <v>54</v>
      </c>
      <c r="F567" s="8" t="s">
        <v>54</v>
      </c>
      <c r="G567" s="10" t="s">
        <v>67</v>
      </c>
      <c r="H567" s="8" t="s">
        <v>54</v>
      </c>
      <c r="I567" s="8" t="s">
        <v>54</v>
      </c>
      <c r="J567" s="8" t="s">
        <v>54</v>
      </c>
      <c r="K567" s="8" t="s">
        <v>54</v>
      </c>
      <c r="L567" s="8" t="s">
        <v>54</v>
      </c>
      <c r="M567" s="8" t="s">
        <v>54</v>
      </c>
      <c r="N567" s="10" t="s">
        <v>67</v>
      </c>
      <c r="O567" s="8" t="s">
        <v>54</v>
      </c>
      <c r="P567" s="8" t="s">
        <v>54</v>
      </c>
      <c r="Q567" s="8" t="s">
        <v>54</v>
      </c>
      <c r="R567" s="8" t="s">
        <v>54</v>
      </c>
      <c r="S567" s="8" t="s">
        <v>54</v>
      </c>
      <c r="T567" s="8" t="s">
        <v>54</v>
      </c>
      <c r="U567" s="10" t="s">
        <v>67</v>
      </c>
      <c r="V567" s="8" t="s">
        <v>54</v>
      </c>
      <c r="W567" s="8" t="s">
        <v>54</v>
      </c>
      <c r="X567" s="8" t="s">
        <v>54</v>
      </c>
      <c r="Y567" s="8" t="s">
        <v>54</v>
      </c>
      <c r="Z567" s="8" t="s">
        <v>54</v>
      </c>
      <c r="AA567" s="8" t="s">
        <v>54</v>
      </c>
      <c r="AB567" s="10" t="s">
        <v>67</v>
      </c>
      <c r="AC567" s="8" t="s">
        <v>54</v>
      </c>
      <c r="AD567" s="8" t="s">
        <v>54</v>
      </c>
      <c r="AE567" s="8" t="s">
        <v>54</v>
      </c>
      <c r="AF567" s="8" t="s">
        <v>54</v>
      </c>
      <c r="AG567" s="8" t="s">
        <v>54</v>
      </c>
      <c r="AH567" s="8" t="s">
        <v>54</v>
      </c>
      <c r="AI567" s="10" t="s">
        <v>67</v>
      </c>
      <c r="AJ567" s="8">
        <f>COUNTIF($E$567:$AI$567,"P")</f>
        <v>26</v>
      </c>
      <c r="AK567" s="8">
        <f>COUNTIF($E$567:$AI$567,"A")</f>
        <v>0</v>
      </c>
      <c r="AL567" s="8">
        <f>SUM($E$568:$AI$568)</f>
        <v>34</v>
      </c>
      <c r="AM567" s="8">
        <f>SUM($E$569:$AI$569)</f>
        <v>143.5</v>
      </c>
      <c r="AN567" s="8">
        <f>AL567+AM567</f>
        <v>177.5</v>
      </c>
      <c r="AO567" s="8">
        <f>COUNTIF($E$567:$AI$567,"CL")</f>
        <v>0</v>
      </c>
      <c r="AP567" s="8">
        <f>COUNTIF($E$567:$AI$567,"SL")</f>
        <v>0</v>
      </c>
      <c r="AQ567" s="8">
        <f>COUNTIF($E$567:$AI$567,"EL")</f>
        <v>0</v>
      </c>
      <c r="AR567" s="8">
        <f>COUNTIF($E$567:$AI$567,"H")</f>
        <v>0</v>
      </c>
      <c r="AS567" s="8"/>
      <c r="AT567" s="11" t="s">
        <v>15</v>
      </c>
    </row>
    <row r="568" spans="1:46" ht="15.1" customHeight="1">
      <c r="A568" s="8"/>
      <c r="B568" s="9"/>
      <c r="C568" s="8"/>
      <c r="D568" s="9"/>
      <c r="E568" s="8">
        <v>2</v>
      </c>
      <c r="F568" s="8">
        <v>2</v>
      </c>
      <c r="G568" s="8">
        <v>0</v>
      </c>
      <c r="H568" s="8">
        <v>2</v>
      </c>
      <c r="I568" s="8">
        <v>2</v>
      </c>
      <c r="J568" s="8">
        <v>2</v>
      </c>
      <c r="K568" s="8">
        <v>2</v>
      </c>
      <c r="L568" s="8">
        <v>2</v>
      </c>
      <c r="M568" s="8">
        <v>2</v>
      </c>
      <c r="N568" s="8">
        <v>0</v>
      </c>
      <c r="O568" s="8">
        <v>2</v>
      </c>
      <c r="P568" s="8">
        <v>2</v>
      </c>
      <c r="Q568" s="8">
        <v>2</v>
      </c>
      <c r="R568" s="8">
        <v>2</v>
      </c>
      <c r="S568" s="8">
        <v>2</v>
      </c>
      <c r="T568" s="8">
        <v>2</v>
      </c>
      <c r="U568" s="8">
        <v>0</v>
      </c>
      <c r="V568" s="8">
        <v>2</v>
      </c>
      <c r="W568" s="8">
        <v>2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2</v>
      </c>
      <c r="AI568" s="8">
        <v>0</v>
      </c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11" t="s">
        <v>15</v>
      </c>
    </row>
    <row r="569" spans="1:46" ht="15.1" customHeight="1">
      <c r="A569" s="8"/>
      <c r="B569" s="9"/>
      <c r="C569" s="8"/>
      <c r="D569" s="9"/>
      <c r="E569" s="8">
        <v>5</v>
      </c>
      <c r="F569" s="8">
        <v>3</v>
      </c>
      <c r="G569" s="8">
        <v>14</v>
      </c>
      <c r="H569" s="8">
        <v>5</v>
      </c>
      <c r="I569" s="8">
        <v>7</v>
      </c>
      <c r="J569" s="8">
        <v>7</v>
      </c>
      <c r="K569" s="8">
        <v>7</v>
      </c>
      <c r="L569" s="8">
        <v>7</v>
      </c>
      <c r="M569" s="8">
        <v>5</v>
      </c>
      <c r="N569" s="8">
        <v>16.5</v>
      </c>
      <c r="O569" s="8">
        <v>11</v>
      </c>
      <c r="P569" s="8">
        <v>7</v>
      </c>
      <c r="Q569" s="8">
        <v>5</v>
      </c>
      <c r="R569" s="8">
        <v>7</v>
      </c>
      <c r="S569" s="8">
        <v>7</v>
      </c>
      <c r="T569" s="8">
        <v>7</v>
      </c>
      <c r="U569" s="8">
        <v>13</v>
      </c>
      <c r="V569" s="8">
        <v>7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3</v>
      </c>
      <c r="AI569" s="8">
        <v>0</v>
      </c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11" t="s">
        <v>15</v>
      </c>
    </row>
    <row r="570" spans="1:46" ht="15.1" customHeight="1">
      <c r="A570" s="8">
        <v>189</v>
      </c>
      <c r="B570" s="9" t="s">
        <v>640</v>
      </c>
      <c r="C570" s="8" t="s">
        <v>641</v>
      </c>
      <c r="D570" s="9" t="s">
        <v>266</v>
      </c>
      <c r="E570" s="8" t="s">
        <v>54</v>
      </c>
      <c r="F570" s="8" t="s">
        <v>54</v>
      </c>
      <c r="G570" s="10" t="s">
        <v>67</v>
      </c>
      <c r="H570" s="8" t="s">
        <v>54</v>
      </c>
      <c r="I570" s="8" t="s">
        <v>54</v>
      </c>
      <c r="J570" s="8" t="s">
        <v>54</v>
      </c>
      <c r="K570" s="12" t="s">
        <v>55</v>
      </c>
      <c r="L570" s="12" t="s">
        <v>55</v>
      </c>
      <c r="M570" s="12" t="s">
        <v>55</v>
      </c>
      <c r="N570" s="10" t="s">
        <v>67</v>
      </c>
      <c r="O570" s="8" t="s">
        <v>54</v>
      </c>
      <c r="P570" s="8" t="s">
        <v>54</v>
      </c>
      <c r="Q570" s="8" t="s">
        <v>54</v>
      </c>
      <c r="R570" s="8" t="s">
        <v>54</v>
      </c>
      <c r="S570" s="12" t="s">
        <v>55</v>
      </c>
      <c r="T570" s="8" t="s">
        <v>54</v>
      </c>
      <c r="U570" s="10" t="s">
        <v>67</v>
      </c>
      <c r="V570" s="8" t="s">
        <v>54</v>
      </c>
      <c r="W570" s="8" t="s">
        <v>54</v>
      </c>
      <c r="X570" s="12" t="s">
        <v>55</v>
      </c>
      <c r="Y570" s="8" t="s">
        <v>54</v>
      </c>
      <c r="Z570" s="8" t="s">
        <v>54</v>
      </c>
      <c r="AA570" s="8" t="s">
        <v>54</v>
      </c>
      <c r="AB570" s="10" t="s">
        <v>67</v>
      </c>
      <c r="AC570" s="8" t="s">
        <v>54</v>
      </c>
      <c r="AD570" s="8" t="s">
        <v>54</v>
      </c>
      <c r="AE570" s="8" t="s">
        <v>54</v>
      </c>
      <c r="AF570" s="8" t="s">
        <v>54</v>
      </c>
      <c r="AG570" s="8" t="s">
        <v>54</v>
      </c>
      <c r="AH570" s="8" t="s">
        <v>54</v>
      </c>
      <c r="AI570" s="10" t="s">
        <v>67</v>
      </c>
      <c r="AJ570" s="8">
        <f>COUNTIF($E$570:$AI$570,"P")</f>
        <v>21</v>
      </c>
      <c r="AK570" s="8">
        <f>COUNTIF($E$570:$AI$570,"A")</f>
        <v>5</v>
      </c>
      <c r="AL570" s="8">
        <f>SUM($E$571:$AI$571)</f>
        <v>28</v>
      </c>
      <c r="AM570" s="8">
        <f>SUM($E$572:$AI$572)</f>
        <v>80.5</v>
      </c>
      <c r="AN570" s="8">
        <f>AL570+AM570</f>
        <v>108.5</v>
      </c>
      <c r="AO570" s="8">
        <f>COUNTIF($E$570:$AI$570,"CL")</f>
        <v>0</v>
      </c>
      <c r="AP570" s="8">
        <f>COUNTIF($E$570:$AI$570,"SL")</f>
        <v>0</v>
      </c>
      <c r="AQ570" s="8">
        <f>COUNTIF($E$570:$AI$570,"EL")</f>
        <v>0</v>
      </c>
      <c r="AR570" s="8">
        <f>COUNTIF($E$570:$AI$570,"H")</f>
        <v>0</v>
      </c>
      <c r="AS570" s="8"/>
      <c r="AT570" s="11" t="s">
        <v>15</v>
      </c>
    </row>
    <row r="571" spans="1:46" ht="15.1" customHeight="1">
      <c r="A571" s="8"/>
      <c r="B571" s="9"/>
      <c r="C571" s="8"/>
      <c r="D571" s="9"/>
      <c r="E571" s="8">
        <v>2</v>
      </c>
      <c r="F571" s="8">
        <v>2</v>
      </c>
      <c r="G571" s="8">
        <v>0</v>
      </c>
      <c r="H571" s="8">
        <v>2</v>
      </c>
      <c r="I571" s="8">
        <v>2</v>
      </c>
      <c r="J571" s="8">
        <v>2</v>
      </c>
      <c r="K571" s="8">
        <v>0</v>
      </c>
      <c r="L571" s="8">
        <v>0</v>
      </c>
      <c r="M571" s="8">
        <v>0</v>
      </c>
      <c r="N571" s="8">
        <v>0</v>
      </c>
      <c r="O571" s="8">
        <v>2</v>
      </c>
      <c r="P571" s="8">
        <v>2</v>
      </c>
      <c r="Q571" s="8">
        <v>2</v>
      </c>
      <c r="R571" s="8">
        <v>2</v>
      </c>
      <c r="S571" s="8">
        <v>0</v>
      </c>
      <c r="T571" s="8">
        <v>2</v>
      </c>
      <c r="U571" s="8">
        <v>0</v>
      </c>
      <c r="V571" s="8">
        <v>2</v>
      </c>
      <c r="W571" s="8">
        <v>2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2</v>
      </c>
      <c r="AD571" s="8">
        <v>2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11" t="s">
        <v>15</v>
      </c>
    </row>
    <row r="572" spans="1:46" ht="15.1" customHeight="1">
      <c r="A572" s="8"/>
      <c r="B572" s="9"/>
      <c r="C572" s="8"/>
      <c r="D572" s="9"/>
      <c r="E572" s="8">
        <v>4</v>
      </c>
      <c r="F572" s="8">
        <v>3</v>
      </c>
      <c r="G572" s="8">
        <v>0</v>
      </c>
      <c r="H572" s="8">
        <v>5</v>
      </c>
      <c r="I572" s="8">
        <v>6</v>
      </c>
      <c r="J572" s="8">
        <v>4.5</v>
      </c>
      <c r="K572" s="8">
        <v>0</v>
      </c>
      <c r="L572" s="8">
        <v>0</v>
      </c>
      <c r="M572" s="8">
        <v>0</v>
      </c>
      <c r="N572" s="8">
        <v>0</v>
      </c>
      <c r="O572" s="8">
        <v>7</v>
      </c>
      <c r="P572" s="8">
        <v>7</v>
      </c>
      <c r="Q572" s="8">
        <v>5</v>
      </c>
      <c r="R572" s="8">
        <v>7</v>
      </c>
      <c r="S572" s="8">
        <v>0</v>
      </c>
      <c r="T572" s="8">
        <v>3</v>
      </c>
      <c r="U572" s="8">
        <v>12</v>
      </c>
      <c r="V572" s="8">
        <v>7</v>
      </c>
      <c r="W572" s="8">
        <v>7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3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11" t="s">
        <v>15</v>
      </c>
    </row>
    <row r="573" spans="1:46" ht="15.1" customHeight="1">
      <c r="A573" s="8">
        <v>190</v>
      </c>
      <c r="B573" s="9" t="s">
        <v>642</v>
      </c>
      <c r="C573" s="8" t="s">
        <v>643</v>
      </c>
      <c r="D573" s="9" t="s">
        <v>266</v>
      </c>
      <c r="E573" s="8" t="s">
        <v>54</v>
      </c>
      <c r="F573" s="8" t="s">
        <v>54</v>
      </c>
      <c r="G573" s="10" t="s">
        <v>67</v>
      </c>
      <c r="H573" s="8" t="s">
        <v>54</v>
      </c>
      <c r="I573" s="8" t="s">
        <v>54</v>
      </c>
      <c r="J573" s="8" t="s">
        <v>54</v>
      </c>
      <c r="K573" s="8" t="s">
        <v>54</v>
      </c>
      <c r="L573" s="8" t="s">
        <v>54</v>
      </c>
      <c r="M573" s="8" t="s">
        <v>54</v>
      </c>
      <c r="N573" s="10" t="s">
        <v>67</v>
      </c>
      <c r="O573" s="8" t="s">
        <v>54</v>
      </c>
      <c r="P573" s="8" t="s">
        <v>54</v>
      </c>
      <c r="Q573" s="8" t="s">
        <v>54</v>
      </c>
      <c r="R573" s="8" t="s">
        <v>54</v>
      </c>
      <c r="S573" s="8" t="s">
        <v>54</v>
      </c>
      <c r="T573" s="8" t="s">
        <v>54</v>
      </c>
      <c r="U573" s="10" t="s">
        <v>67</v>
      </c>
      <c r="V573" s="8" t="s">
        <v>54</v>
      </c>
      <c r="W573" s="8" t="s">
        <v>54</v>
      </c>
      <c r="X573" s="8" t="s">
        <v>54</v>
      </c>
      <c r="Y573" s="8" t="s">
        <v>54</v>
      </c>
      <c r="Z573" s="8" t="s">
        <v>54</v>
      </c>
      <c r="AA573" s="8" t="s">
        <v>54</v>
      </c>
      <c r="AB573" s="10" t="s">
        <v>67</v>
      </c>
      <c r="AC573" s="8" t="s">
        <v>54</v>
      </c>
      <c r="AD573" s="8" t="s">
        <v>54</v>
      </c>
      <c r="AE573" s="8" t="s">
        <v>54</v>
      </c>
      <c r="AF573" s="8" t="s">
        <v>54</v>
      </c>
      <c r="AG573" s="8" t="s">
        <v>54</v>
      </c>
      <c r="AH573" s="8" t="s">
        <v>54</v>
      </c>
      <c r="AI573" s="10" t="s">
        <v>67</v>
      </c>
      <c r="AJ573" s="8">
        <f>COUNTIF($E$573:$AI$573,"P")</f>
        <v>26</v>
      </c>
      <c r="AK573" s="8">
        <f>COUNTIF($E$573:$AI$573,"A")</f>
        <v>0</v>
      </c>
      <c r="AL573" s="8">
        <f>SUM($E$574:$AI$574)</f>
        <v>36</v>
      </c>
      <c r="AM573" s="8">
        <f>SUM($E$575:$AI$575)</f>
        <v>138</v>
      </c>
      <c r="AN573" s="8">
        <f>AL573+AM573</f>
        <v>174</v>
      </c>
      <c r="AO573" s="8">
        <f>COUNTIF($E$573:$AI$573,"CL")</f>
        <v>0</v>
      </c>
      <c r="AP573" s="8">
        <f>COUNTIF($E$573:$AI$573,"SL")</f>
        <v>0</v>
      </c>
      <c r="AQ573" s="8">
        <f>COUNTIF($E$573:$AI$573,"EL")</f>
        <v>0</v>
      </c>
      <c r="AR573" s="8">
        <f>COUNTIF($E$573:$AI$573,"H")</f>
        <v>0</v>
      </c>
      <c r="AS573" s="8"/>
      <c r="AT573" s="11" t="s">
        <v>15</v>
      </c>
    </row>
    <row r="574" spans="1:46" ht="15.1" customHeight="1">
      <c r="A574" s="8"/>
      <c r="B574" s="9"/>
      <c r="C574" s="8"/>
      <c r="D574" s="9"/>
      <c r="E574" s="8">
        <v>2</v>
      </c>
      <c r="F574" s="8">
        <v>2</v>
      </c>
      <c r="G574" s="8">
        <v>0</v>
      </c>
      <c r="H574" s="8">
        <v>2</v>
      </c>
      <c r="I574" s="8">
        <v>2</v>
      </c>
      <c r="J574" s="8">
        <v>2</v>
      </c>
      <c r="K574" s="8">
        <v>2</v>
      </c>
      <c r="L574" s="8">
        <v>2</v>
      </c>
      <c r="M574" s="8">
        <v>2</v>
      </c>
      <c r="N574" s="8">
        <v>0</v>
      </c>
      <c r="O574" s="8">
        <v>2</v>
      </c>
      <c r="P574" s="8">
        <v>2</v>
      </c>
      <c r="Q574" s="8">
        <v>2</v>
      </c>
      <c r="R574" s="8">
        <v>2</v>
      </c>
      <c r="S574" s="8">
        <v>2</v>
      </c>
      <c r="T574" s="8">
        <v>2</v>
      </c>
      <c r="U574" s="8">
        <v>0</v>
      </c>
      <c r="V574" s="8">
        <v>2</v>
      </c>
      <c r="W574" s="8">
        <v>2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2</v>
      </c>
      <c r="AE574" s="8">
        <v>0</v>
      </c>
      <c r="AF574" s="8">
        <v>0</v>
      </c>
      <c r="AG574" s="8">
        <v>0</v>
      </c>
      <c r="AH574" s="8">
        <v>2</v>
      </c>
      <c r="AI574" s="8">
        <v>0</v>
      </c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11" t="s">
        <v>15</v>
      </c>
    </row>
    <row r="575" spans="1:46" ht="15.1" customHeight="1">
      <c r="A575" s="8"/>
      <c r="B575" s="9"/>
      <c r="C575" s="8"/>
      <c r="D575" s="9"/>
      <c r="E575" s="8">
        <v>5</v>
      </c>
      <c r="F575" s="8">
        <v>3</v>
      </c>
      <c r="G575" s="8">
        <v>14</v>
      </c>
      <c r="H575" s="8">
        <v>5</v>
      </c>
      <c r="I575" s="8">
        <v>7</v>
      </c>
      <c r="J575" s="8">
        <v>7</v>
      </c>
      <c r="K575" s="8">
        <v>7</v>
      </c>
      <c r="L575" s="8">
        <v>7</v>
      </c>
      <c r="M575" s="8">
        <v>5</v>
      </c>
      <c r="N575" s="8">
        <v>17</v>
      </c>
      <c r="O575" s="8">
        <v>7</v>
      </c>
      <c r="P575" s="8">
        <v>7</v>
      </c>
      <c r="Q575" s="8">
        <v>5</v>
      </c>
      <c r="R575" s="8">
        <v>7</v>
      </c>
      <c r="S575" s="8">
        <v>7</v>
      </c>
      <c r="T575" s="8">
        <v>3</v>
      </c>
      <c r="U575" s="8">
        <v>13</v>
      </c>
      <c r="V575" s="8">
        <v>7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2</v>
      </c>
      <c r="AE575" s="8">
        <v>0</v>
      </c>
      <c r="AF575" s="8">
        <v>0</v>
      </c>
      <c r="AG575" s="8">
        <v>0</v>
      </c>
      <c r="AH575" s="8">
        <v>3</v>
      </c>
      <c r="AI575" s="8">
        <v>0</v>
      </c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11" t="s">
        <v>15</v>
      </c>
    </row>
    <row r="576" spans="1:46" ht="15.1" customHeight="1">
      <c r="A576" s="8">
        <v>191</v>
      </c>
      <c r="B576" s="9" t="s">
        <v>644</v>
      </c>
      <c r="C576" s="8" t="s">
        <v>645</v>
      </c>
      <c r="D576" s="9" t="s">
        <v>266</v>
      </c>
      <c r="E576" s="8" t="s">
        <v>54</v>
      </c>
      <c r="F576" s="8" t="s">
        <v>54</v>
      </c>
      <c r="G576" s="10" t="s">
        <v>67</v>
      </c>
      <c r="H576" s="8" t="s">
        <v>54</v>
      </c>
      <c r="I576" s="8" t="s">
        <v>54</v>
      </c>
      <c r="J576" s="8" t="s">
        <v>54</v>
      </c>
      <c r="K576" s="8" t="s">
        <v>54</v>
      </c>
      <c r="L576" s="8" t="s">
        <v>54</v>
      </c>
      <c r="M576" s="8" t="s">
        <v>54</v>
      </c>
      <c r="N576" s="10" t="s">
        <v>67</v>
      </c>
      <c r="O576" s="8" t="s">
        <v>54</v>
      </c>
      <c r="P576" s="8" t="s">
        <v>54</v>
      </c>
      <c r="Q576" s="8" t="s">
        <v>54</v>
      </c>
      <c r="R576" s="8" t="s">
        <v>54</v>
      </c>
      <c r="S576" s="8" t="s">
        <v>54</v>
      </c>
      <c r="T576" s="8" t="s">
        <v>54</v>
      </c>
      <c r="U576" s="10" t="s">
        <v>67</v>
      </c>
      <c r="V576" s="8" t="s">
        <v>54</v>
      </c>
      <c r="W576" s="8" t="s">
        <v>54</v>
      </c>
      <c r="X576" s="8" t="s">
        <v>54</v>
      </c>
      <c r="Y576" s="8" t="s">
        <v>54</v>
      </c>
      <c r="Z576" s="8" t="s">
        <v>54</v>
      </c>
      <c r="AA576" s="8" t="s">
        <v>54</v>
      </c>
      <c r="AB576" s="10" t="s">
        <v>67</v>
      </c>
      <c r="AC576" s="8" t="s">
        <v>54</v>
      </c>
      <c r="AD576" s="8" t="s">
        <v>54</v>
      </c>
      <c r="AE576" s="8" t="s">
        <v>54</v>
      </c>
      <c r="AF576" s="8" t="s">
        <v>54</v>
      </c>
      <c r="AG576" s="8" t="s">
        <v>54</v>
      </c>
      <c r="AH576" s="8" t="s">
        <v>54</v>
      </c>
      <c r="AI576" s="10" t="s">
        <v>67</v>
      </c>
      <c r="AJ576" s="8">
        <f>COUNTIF($E$576:$AI$576,"P")</f>
        <v>26</v>
      </c>
      <c r="AK576" s="8">
        <f>COUNTIF($E$576:$AI$576,"A")</f>
        <v>0</v>
      </c>
      <c r="AL576" s="8">
        <f>SUM($E$577:$AI$577)</f>
        <v>32</v>
      </c>
      <c r="AM576" s="8">
        <f>SUM($E$578:$AI$578)</f>
        <v>132</v>
      </c>
      <c r="AN576" s="8">
        <f>AL576+AM576</f>
        <v>164</v>
      </c>
      <c r="AO576" s="8">
        <f>COUNTIF($E$576:$AI$576,"CL")</f>
        <v>0</v>
      </c>
      <c r="AP576" s="8">
        <f>COUNTIF($E$576:$AI$576,"SL")</f>
        <v>0</v>
      </c>
      <c r="AQ576" s="8">
        <f>COUNTIF($E$576:$AI$576,"EL")</f>
        <v>0</v>
      </c>
      <c r="AR576" s="8">
        <f>COUNTIF($E$576:$AI$576,"H")</f>
        <v>0</v>
      </c>
      <c r="AS576" s="8"/>
      <c r="AT576" s="11" t="s">
        <v>15</v>
      </c>
    </row>
    <row r="577" spans="1:46" ht="15.1" customHeight="1">
      <c r="A577" s="8"/>
      <c r="B577" s="9"/>
      <c r="C577" s="8"/>
      <c r="D577" s="9"/>
      <c r="E577" s="8">
        <v>2</v>
      </c>
      <c r="F577" s="8">
        <v>2</v>
      </c>
      <c r="G577" s="8">
        <v>0</v>
      </c>
      <c r="H577" s="8">
        <v>2</v>
      </c>
      <c r="I577" s="8">
        <v>2</v>
      </c>
      <c r="J577" s="8">
        <v>2</v>
      </c>
      <c r="K577" s="8">
        <v>2</v>
      </c>
      <c r="L577" s="8">
        <v>2</v>
      </c>
      <c r="M577" s="8">
        <v>2</v>
      </c>
      <c r="N577" s="8">
        <v>0</v>
      </c>
      <c r="O577" s="8">
        <v>2</v>
      </c>
      <c r="P577" s="8">
        <v>2</v>
      </c>
      <c r="Q577" s="8">
        <v>2</v>
      </c>
      <c r="R577" s="8">
        <v>2</v>
      </c>
      <c r="S577" s="8">
        <v>2</v>
      </c>
      <c r="T577" s="8">
        <v>2</v>
      </c>
      <c r="U577" s="8">
        <v>0</v>
      </c>
      <c r="V577" s="8">
        <v>2</v>
      </c>
      <c r="W577" s="8">
        <v>2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11" t="s">
        <v>15</v>
      </c>
    </row>
    <row r="578" spans="1:46" ht="15.1" customHeight="1">
      <c r="A578" s="8"/>
      <c r="B578" s="9"/>
      <c r="C578" s="8"/>
      <c r="D578" s="9"/>
      <c r="E578" s="8">
        <v>5</v>
      </c>
      <c r="F578" s="8">
        <v>3</v>
      </c>
      <c r="G578" s="8">
        <v>14</v>
      </c>
      <c r="H578" s="8">
        <v>5</v>
      </c>
      <c r="I578" s="8">
        <v>7</v>
      </c>
      <c r="J578" s="8">
        <v>7</v>
      </c>
      <c r="K578" s="8">
        <v>7</v>
      </c>
      <c r="L578" s="8">
        <v>7</v>
      </c>
      <c r="M578" s="8">
        <v>5</v>
      </c>
      <c r="N578" s="8">
        <v>16.5</v>
      </c>
      <c r="O578" s="8">
        <v>7</v>
      </c>
      <c r="P578" s="8">
        <v>7</v>
      </c>
      <c r="Q578" s="8">
        <v>5</v>
      </c>
      <c r="R578" s="8">
        <v>7</v>
      </c>
      <c r="S578" s="8">
        <v>7</v>
      </c>
      <c r="T578" s="8">
        <v>3</v>
      </c>
      <c r="U578" s="8">
        <v>12.5</v>
      </c>
      <c r="V578" s="8">
        <v>7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11" t="s">
        <v>15</v>
      </c>
    </row>
    <row r="579" spans="1:46" ht="15.1" customHeight="1">
      <c r="A579" s="8">
        <v>192</v>
      </c>
      <c r="B579" s="9" t="s">
        <v>646</v>
      </c>
      <c r="C579" s="8" t="s">
        <v>647</v>
      </c>
      <c r="D579" s="9" t="s">
        <v>266</v>
      </c>
      <c r="E579" s="8" t="s">
        <v>54</v>
      </c>
      <c r="F579" s="12" t="s">
        <v>55</v>
      </c>
      <c r="G579" s="10" t="s">
        <v>67</v>
      </c>
      <c r="H579" s="8" t="s">
        <v>54</v>
      </c>
      <c r="I579" s="8" t="s">
        <v>54</v>
      </c>
      <c r="J579" s="8" t="s">
        <v>54</v>
      </c>
      <c r="K579" s="8" t="s">
        <v>54</v>
      </c>
      <c r="L579" s="8" t="s">
        <v>54</v>
      </c>
      <c r="M579" s="8" t="s">
        <v>54</v>
      </c>
      <c r="N579" s="10" t="s">
        <v>67</v>
      </c>
      <c r="O579" s="8" t="s">
        <v>54</v>
      </c>
      <c r="P579" s="8" t="s">
        <v>54</v>
      </c>
      <c r="Q579" s="8" t="s">
        <v>54</v>
      </c>
      <c r="R579" s="8" t="s">
        <v>54</v>
      </c>
      <c r="S579" s="8" t="s">
        <v>54</v>
      </c>
      <c r="T579" s="8" t="s">
        <v>54</v>
      </c>
      <c r="U579" s="10" t="s">
        <v>67</v>
      </c>
      <c r="V579" s="8" t="s">
        <v>54</v>
      </c>
      <c r="W579" s="8" t="s">
        <v>54</v>
      </c>
      <c r="X579" s="8" t="s">
        <v>54</v>
      </c>
      <c r="Y579" s="8" t="s">
        <v>54</v>
      </c>
      <c r="Z579" s="8" t="s">
        <v>54</v>
      </c>
      <c r="AA579" s="8" t="s">
        <v>54</v>
      </c>
      <c r="AB579" s="10" t="s">
        <v>67</v>
      </c>
      <c r="AC579" s="8" t="s">
        <v>54</v>
      </c>
      <c r="AD579" s="8" t="s">
        <v>54</v>
      </c>
      <c r="AE579" s="8" t="s">
        <v>54</v>
      </c>
      <c r="AF579" s="8" t="s">
        <v>54</v>
      </c>
      <c r="AG579" s="8" t="s">
        <v>54</v>
      </c>
      <c r="AH579" s="8" t="s">
        <v>54</v>
      </c>
      <c r="AI579" s="10" t="s">
        <v>67</v>
      </c>
      <c r="AJ579" s="8">
        <f>COUNTIF($E$579:$AI$579,"P")</f>
        <v>25</v>
      </c>
      <c r="AK579" s="8">
        <f>COUNTIF($E$579:$AI$579,"A")</f>
        <v>1</v>
      </c>
      <c r="AL579" s="8">
        <f>SUM($E$580:$AI$580)</f>
        <v>30</v>
      </c>
      <c r="AM579" s="8">
        <f>SUM($E$581:$AI$581)</f>
        <v>126</v>
      </c>
      <c r="AN579" s="8">
        <f>AL579+AM579</f>
        <v>156</v>
      </c>
      <c r="AO579" s="8">
        <f>COUNTIF($E$579:$AI$579,"CL")</f>
        <v>0</v>
      </c>
      <c r="AP579" s="8">
        <f>COUNTIF($E$579:$AI$579,"SL")</f>
        <v>0</v>
      </c>
      <c r="AQ579" s="8">
        <f>COUNTIF($E$579:$AI$579,"EL")</f>
        <v>0</v>
      </c>
      <c r="AR579" s="8">
        <f>COUNTIF($E$579:$AI$579,"H")</f>
        <v>0</v>
      </c>
      <c r="AS579" s="8"/>
      <c r="AT579" s="11" t="s">
        <v>15</v>
      </c>
    </row>
    <row r="580" spans="1:46" ht="15.1" customHeight="1">
      <c r="A580" s="8"/>
      <c r="B580" s="9"/>
      <c r="C580" s="8"/>
      <c r="D580" s="9"/>
      <c r="E580" s="8">
        <v>0</v>
      </c>
      <c r="F580" s="8">
        <v>0</v>
      </c>
      <c r="G580" s="8">
        <v>0</v>
      </c>
      <c r="H580" s="8">
        <v>2</v>
      </c>
      <c r="I580" s="8">
        <v>2</v>
      </c>
      <c r="J580" s="8">
        <v>2</v>
      </c>
      <c r="K580" s="8">
        <v>2</v>
      </c>
      <c r="L580" s="8">
        <v>2</v>
      </c>
      <c r="M580" s="8">
        <v>2</v>
      </c>
      <c r="N580" s="8">
        <v>0</v>
      </c>
      <c r="O580" s="8">
        <v>2</v>
      </c>
      <c r="P580" s="8">
        <v>2</v>
      </c>
      <c r="Q580" s="8">
        <v>2</v>
      </c>
      <c r="R580" s="8">
        <v>2</v>
      </c>
      <c r="S580" s="8">
        <v>2</v>
      </c>
      <c r="T580" s="8">
        <v>2</v>
      </c>
      <c r="U580" s="8">
        <v>0</v>
      </c>
      <c r="V580" s="8">
        <v>2</v>
      </c>
      <c r="W580" s="8">
        <v>2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2</v>
      </c>
      <c r="AI580" s="8">
        <v>0</v>
      </c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11" t="s">
        <v>15</v>
      </c>
    </row>
    <row r="581" spans="1:46" ht="15.1" customHeight="1">
      <c r="A581" s="8"/>
      <c r="B581" s="9"/>
      <c r="C581" s="8"/>
      <c r="D581" s="9"/>
      <c r="E581" s="8">
        <v>0</v>
      </c>
      <c r="F581" s="8">
        <v>0</v>
      </c>
      <c r="G581" s="8">
        <v>13.5</v>
      </c>
      <c r="H581" s="8">
        <v>5</v>
      </c>
      <c r="I581" s="8">
        <v>7</v>
      </c>
      <c r="J581" s="8">
        <v>7</v>
      </c>
      <c r="K581" s="8">
        <v>7</v>
      </c>
      <c r="L581" s="8">
        <v>7</v>
      </c>
      <c r="M581" s="8">
        <v>5</v>
      </c>
      <c r="N581" s="8">
        <v>16.5</v>
      </c>
      <c r="O581" s="8">
        <v>7</v>
      </c>
      <c r="P581" s="8">
        <v>6.5</v>
      </c>
      <c r="Q581" s="8">
        <v>5</v>
      </c>
      <c r="R581" s="8">
        <v>7</v>
      </c>
      <c r="S581" s="8">
        <v>7</v>
      </c>
      <c r="T581" s="8">
        <v>3</v>
      </c>
      <c r="U581" s="8">
        <v>12.5</v>
      </c>
      <c r="V581" s="8">
        <v>7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3</v>
      </c>
      <c r="AI581" s="8">
        <v>0</v>
      </c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11" t="s">
        <v>15</v>
      </c>
    </row>
    <row r="582" spans="1:46" ht="15.1" customHeight="1">
      <c r="A582" s="8">
        <v>193</v>
      </c>
      <c r="B582" s="9" t="s">
        <v>648</v>
      </c>
      <c r="C582" s="8" t="s">
        <v>649</v>
      </c>
      <c r="D582" s="9" t="s">
        <v>266</v>
      </c>
      <c r="E582" s="8" t="s">
        <v>54</v>
      </c>
      <c r="F582" s="8" t="s">
        <v>54</v>
      </c>
      <c r="G582" s="10" t="s">
        <v>67</v>
      </c>
      <c r="H582" s="8" t="s">
        <v>54</v>
      </c>
      <c r="I582" s="8" t="s">
        <v>54</v>
      </c>
      <c r="J582" s="8" t="s">
        <v>54</v>
      </c>
      <c r="K582" s="8" t="s">
        <v>54</v>
      </c>
      <c r="L582" s="8" t="s">
        <v>54</v>
      </c>
      <c r="M582" s="8" t="s">
        <v>54</v>
      </c>
      <c r="N582" s="10" t="s">
        <v>67</v>
      </c>
      <c r="O582" s="8" t="s">
        <v>54</v>
      </c>
      <c r="P582" s="8" t="s">
        <v>54</v>
      </c>
      <c r="Q582" s="8" t="s">
        <v>54</v>
      </c>
      <c r="R582" s="8" t="s">
        <v>54</v>
      </c>
      <c r="S582" s="8" t="s">
        <v>54</v>
      </c>
      <c r="T582" s="8" t="s">
        <v>54</v>
      </c>
      <c r="U582" s="10" t="s">
        <v>67</v>
      </c>
      <c r="V582" s="8" t="s">
        <v>54</v>
      </c>
      <c r="W582" s="8" t="s">
        <v>54</v>
      </c>
      <c r="X582" s="8" t="s">
        <v>54</v>
      </c>
      <c r="Y582" s="8" t="s">
        <v>54</v>
      </c>
      <c r="Z582" s="8" t="s">
        <v>54</v>
      </c>
      <c r="AA582" s="8" t="s">
        <v>54</v>
      </c>
      <c r="AB582" s="10" t="s">
        <v>67</v>
      </c>
      <c r="AC582" s="8" t="s">
        <v>54</v>
      </c>
      <c r="AD582" s="8" t="s">
        <v>54</v>
      </c>
      <c r="AE582" s="8" t="s">
        <v>54</v>
      </c>
      <c r="AF582" s="8" t="s">
        <v>54</v>
      </c>
      <c r="AG582" s="8" t="s">
        <v>54</v>
      </c>
      <c r="AH582" s="8" t="s">
        <v>54</v>
      </c>
      <c r="AI582" s="10" t="s">
        <v>67</v>
      </c>
      <c r="AJ582" s="8">
        <f>COUNTIF($E$582:$AI$582,"P")</f>
        <v>26</v>
      </c>
      <c r="AK582" s="8">
        <f>COUNTIF($E$582:$AI$582,"A")</f>
        <v>0</v>
      </c>
      <c r="AL582" s="8">
        <f>SUM($E$583:$AI$583)</f>
        <v>46</v>
      </c>
      <c r="AM582" s="8">
        <f>SUM($E$584:$AI$584)</f>
        <v>104</v>
      </c>
      <c r="AN582" s="8">
        <f>AL582+AM582</f>
        <v>150</v>
      </c>
      <c r="AO582" s="8">
        <f>COUNTIF($E$582:$AI$582,"CL")</f>
        <v>0</v>
      </c>
      <c r="AP582" s="8">
        <f>COUNTIF($E$582:$AI$582,"SL")</f>
        <v>0</v>
      </c>
      <c r="AQ582" s="8">
        <f>COUNTIF($E$582:$AI$582,"EL")</f>
        <v>0</v>
      </c>
      <c r="AR582" s="8">
        <f>COUNTIF($E$582:$AI$582,"H")</f>
        <v>0</v>
      </c>
      <c r="AS582" s="8"/>
      <c r="AT582" s="11" t="s">
        <v>16</v>
      </c>
    </row>
    <row r="583" spans="1:46" ht="15.1" customHeight="1">
      <c r="A583" s="8"/>
      <c r="B583" s="9"/>
      <c r="C583" s="8"/>
      <c r="D583" s="9"/>
      <c r="E583" s="8">
        <v>2</v>
      </c>
      <c r="F583" s="8">
        <v>2</v>
      </c>
      <c r="G583" s="8">
        <v>0</v>
      </c>
      <c r="H583" s="8">
        <v>2</v>
      </c>
      <c r="I583" s="8">
        <v>2</v>
      </c>
      <c r="J583" s="8">
        <v>2</v>
      </c>
      <c r="K583" s="8">
        <v>2</v>
      </c>
      <c r="L583" s="8">
        <v>2</v>
      </c>
      <c r="M583" s="8">
        <v>2</v>
      </c>
      <c r="N583" s="8">
        <v>0</v>
      </c>
      <c r="O583" s="8">
        <v>2</v>
      </c>
      <c r="P583" s="8">
        <v>2</v>
      </c>
      <c r="Q583" s="8">
        <v>2</v>
      </c>
      <c r="R583" s="8">
        <v>2</v>
      </c>
      <c r="S583" s="8">
        <v>2</v>
      </c>
      <c r="T583" s="8">
        <v>2</v>
      </c>
      <c r="U583" s="8">
        <v>0</v>
      </c>
      <c r="V583" s="8">
        <v>2</v>
      </c>
      <c r="W583" s="8">
        <v>2</v>
      </c>
      <c r="X583" s="8">
        <v>2</v>
      </c>
      <c r="Y583" s="8">
        <v>0</v>
      </c>
      <c r="Z583" s="8">
        <v>2</v>
      </c>
      <c r="AA583" s="8">
        <v>0</v>
      </c>
      <c r="AB583" s="8">
        <v>0</v>
      </c>
      <c r="AC583" s="8">
        <v>2</v>
      </c>
      <c r="AD583" s="8">
        <v>2</v>
      </c>
      <c r="AE583" s="8">
        <v>0</v>
      </c>
      <c r="AF583" s="8">
        <v>2</v>
      </c>
      <c r="AG583" s="8">
        <v>2</v>
      </c>
      <c r="AH583" s="8">
        <v>2</v>
      </c>
      <c r="AI583" s="8">
        <v>0</v>
      </c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11" t="s">
        <v>16</v>
      </c>
    </row>
    <row r="584" spans="1:46" ht="15.1" customHeight="1">
      <c r="A584" s="8"/>
      <c r="B584" s="9"/>
      <c r="C584" s="8"/>
      <c r="D584" s="9"/>
      <c r="E584" s="8">
        <v>3.5</v>
      </c>
      <c r="F584" s="8">
        <v>3</v>
      </c>
      <c r="G584" s="8">
        <v>14</v>
      </c>
      <c r="H584" s="8">
        <v>4</v>
      </c>
      <c r="I584" s="8">
        <v>6</v>
      </c>
      <c r="J584" s="8">
        <v>3</v>
      </c>
      <c r="K584" s="8">
        <v>3</v>
      </c>
      <c r="L584" s="8">
        <v>4.5</v>
      </c>
      <c r="M584" s="8">
        <v>3.5</v>
      </c>
      <c r="N584" s="8">
        <v>13</v>
      </c>
      <c r="O584" s="8">
        <v>5</v>
      </c>
      <c r="P584" s="8">
        <v>5</v>
      </c>
      <c r="Q584" s="8">
        <v>4.5</v>
      </c>
      <c r="R584" s="8">
        <v>5</v>
      </c>
      <c r="S584" s="8">
        <v>4</v>
      </c>
      <c r="T584" s="8">
        <v>3</v>
      </c>
      <c r="U584" s="8">
        <v>8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3</v>
      </c>
      <c r="AE584" s="8">
        <v>0</v>
      </c>
      <c r="AF584" s="8">
        <v>3</v>
      </c>
      <c r="AG584" s="8">
        <v>3</v>
      </c>
      <c r="AH584" s="8">
        <v>3</v>
      </c>
      <c r="AI584" s="8">
        <v>0</v>
      </c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11" t="s">
        <v>16</v>
      </c>
    </row>
    <row r="585" spans="1:46" ht="15.1" customHeight="1">
      <c r="A585" s="8">
        <v>194</v>
      </c>
      <c r="B585" s="9" t="s">
        <v>650</v>
      </c>
      <c r="C585" s="8" t="s">
        <v>651</v>
      </c>
      <c r="D585" s="9" t="s">
        <v>266</v>
      </c>
      <c r="E585" s="8" t="s">
        <v>54</v>
      </c>
      <c r="F585" s="8" t="s">
        <v>54</v>
      </c>
      <c r="G585" s="10" t="s">
        <v>67</v>
      </c>
      <c r="H585" s="8" t="s">
        <v>54</v>
      </c>
      <c r="I585" s="8" t="s">
        <v>54</v>
      </c>
      <c r="J585" s="8" t="s">
        <v>54</v>
      </c>
      <c r="K585" s="8" t="s">
        <v>54</v>
      </c>
      <c r="L585" s="8" t="s">
        <v>54</v>
      </c>
      <c r="M585" s="8" t="s">
        <v>54</v>
      </c>
      <c r="N585" s="10" t="s">
        <v>67</v>
      </c>
      <c r="O585" s="8" t="s">
        <v>54</v>
      </c>
      <c r="P585" s="8" t="s">
        <v>54</v>
      </c>
      <c r="Q585" s="8" t="s">
        <v>54</v>
      </c>
      <c r="R585" s="8" t="s">
        <v>54</v>
      </c>
      <c r="S585" s="12" t="s">
        <v>55</v>
      </c>
      <c r="T585" s="8" t="s">
        <v>54</v>
      </c>
      <c r="U585" s="10" t="s">
        <v>67</v>
      </c>
      <c r="V585" s="8" t="s">
        <v>54</v>
      </c>
      <c r="W585" s="8" t="s">
        <v>54</v>
      </c>
      <c r="X585" s="8" t="s">
        <v>54</v>
      </c>
      <c r="Y585" s="8" t="s">
        <v>54</v>
      </c>
      <c r="Z585" s="8" t="s">
        <v>54</v>
      </c>
      <c r="AA585" s="8" t="s">
        <v>54</v>
      </c>
      <c r="AB585" s="10" t="s">
        <v>67</v>
      </c>
      <c r="AC585" s="8" t="s">
        <v>54</v>
      </c>
      <c r="AD585" s="8" t="s">
        <v>54</v>
      </c>
      <c r="AE585" s="8" t="s">
        <v>54</v>
      </c>
      <c r="AF585" s="8" t="s">
        <v>54</v>
      </c>
      <c r="AG585" s="8" t="s">
        <v>54</v>
      </c>
      <c r="AH585" s="8" t="s">
        <v>54</v>
      </c>
      <c r="AI585" s="10" t="s">
        <v>67</v>
      </c>
      <c r="AJ585" s="8">
        <f>COUNTIF($E$585:$AI$585,"P")</f>
        <v>25</v>
      </c>
      <c r="AK585" s="8">
        <f>COUNTIF($E$585:$AI$585,"A")</f>
        <v>1</v>
      </c>
      <c r="AL585" s="8">
        <f>SUM($E$586:$AI$586)</f>
        <v>42</v>
      </c>
      <c r="AM585" s="8">
        <f>SUM($E$587:$AI$587)</f>
        <v>98.5</v>
      </c>
      <c r="AN585" s="8">
        <f>AL585+AM585</f>
        <v>140.5</v>
      </c>
      <c r="AO585" s="8">
        <f>COUNTIF($E$585:$AI$585,"CL")</f>
        <v>0</v>
      </c>
      <c r="AP585" s="8">
        <f>COUNTIF($E$585:$AI$585,"SL")</f>
        <v>0</v>
      </c>
      <c r="AQ585" s="8">
        <f>COUNTIF($E$585:$AI$585,"EL")</f>
        <v>0</v>
      </c>
      <c r="AR585" s="8">
        <f>COUNTIF($E$585:$AI$585,"H")</f>
        <v>0</v>
      </c>
      <c r="AS585" s="8"/>
      <c r="AT585" s="11" t="s">
        <v>16</v>
      </c>
    </row>
    <row r="586" spans="1:46" ht="15.1" customHeight="1">
      <c r="A586" s="8"/>
      <c r="B586" s="9"/>
      <c r="C586" s="8"/>
      <c r="D586" s="9"/>
      <c r="E586" s="8">
        <v>2</v>
      </c>
      <c r="F586" s="8">
        <v>2</v>
      </c>
      <c r="G586" s="8">
        <v>0</v>
      </c>
      <c r="H586" s="8">
        <v>2</v>
      </c>
      <c r="I586" s="8">
        <v>2</v>
      </c>
      <c r="J586" s="8">
        <v>2</v>
      </c>
      <c r="K586" s="8">
        <v>2</v>
      </c>
      <c r="L586" s="8">
        <v>2</v>
      </c>
      <c r="M586" s="8">
        <v>2</v>
      </c>
      <c r="N586" s="8">
        <v>0</v>
      </c>
      <c r="O586" s="8">
        <v>2</v>
      </c>
      <c r="P586" s="8">
        <v>2</v>
      </c>
      <c r="Q586" s="8">
        <v>2</v>
      </c>
      <c r="R586" s="8">
        <v>2</v>
      </c>
      <c r="S586" s="8">
        <v>0</v>
      </c>
      <c r="T586" s="8">
        <v>2</v>
      </c>
      <c r="U586" s="8">
        <v>0</v>
      </c>
      <c r="V586" s="8">
        <v>2</v>
      </c>
      <c r="W586" s="8">
        <v>2</v>
      </c>
      <c r="X586" s="8">
        <v>2</v>
      </c>
      <c r="Y586" s="8">
        <v>0</v>
      </c>
      <c r="Z586" s="8">
        <v>0</v>
      </c>
      <c r="AA586" s="8">
        <v>2</v>
      </c>
      <c r="AB586" s="8">
        <v>0</v>
      </c>
      <c r="AC586" s="8">
        <v>0</v>
      </c>
      <c r="AD586" s="8">
        <v>2</v>
      </c>
      <c r="AE586" s="8">
        <v>0</v>
      </c>
      <c r="AF586" s="8">
        <v>2</v>
      </c>
      <c r="AG586" s="8">
        <v>2</v>
      </c>
      <c r="AH586" s="8">
        <v>2</v>
      </c>
      <c r="AI586" s="8">
        <v>0</v>
      </c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11" t="s">
        <v>16</v>
      </c>
    </row>
    <row r="587" spans="1:46" ht="15.1" customHeight="1">
      <c r="A587" s="8"/>
      <c r="B587" s="9"/>
      <c r="C587" s="8"/>
      <c r="D587" s="9"/>
      <c r="E587" s="8">
        <v>4</v>
      </c>
      <c r="F587" s="8">
        <v>3</v>
      </c>
      <c r="G587" s="8">
        <v>14</v>
      </c>
      <c r="H587" s="8">
        <v>4</v>
      </c>
      <c r="I587" s="8">
        <v>6</v>
      </c>
      <c r="J587" s="8">
        <v>3</v>
      </c>
      <c r="K587" s="8">
        <v>3</v>
      </c>
      <c r="L587" s="8">
        <v>4.5</v>
      </c>
      <c r="M587" s="8">
        <v>3.5</v>
      </c>
      <c r="N587" s="8">
        <v>13</v>
      </c>
      <c r="O587" s="8">
        <v>5</v>
      </c>
      <c r="P587" s="8">
        <v>5</v>
      </c>
      <c r="Q587" s="8">
        <v>4.5</v>
      </c>
      <c r="R587" s="8">
        <v>3</v>
      </c>
      <c r="S587" s="8">
        <v>0</v>
      </c>
      <c r="T587" s="8">
        <v>3</v>
      </c>
      <c r="U587" s="8">
        <v>8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3</v>
      </c>
      <c r="AE587" s="8">
        <v>0</v>
      </c>
      <c r="AF587" s="8">
        <v>3</v>
      </c>
      <c r="AG587" s="8">
        <v>3</v>
      </c>
      <c r="AH587" s="8">
        <v>3</v>
      </c>
      <c r="AI587" s="8">
        <v>0</v>
      </c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11" t="s">
        <v>16</v>
      </c>
    </row>
    <row r="588" spans="1:46" ht="15.1" customHeight="1">
      <c r="A588" s="8">
        <v>195</v>
      </c>
      <c r="B588" s="9" t="s">
        <v>652</v>
      </c>
      <c r="C588" s="8" t="s">
        <v>653</v>
      </c>
      <c r="D588" s="9" t="s">
        <v>266</v>
      </c>
      <c r="E588" s="8" t="s">
        <v>54</v>
      </c>
      <c r="F588" s="8" t="s">
        <v>54</v>
      </c>
      <c r="G588" s="10" t="s">
        <v>67</v>
      </c>
      <c r="H588" s="8" t="s">
        <v>54</v>
      </c>
      <c r="I588" s="8" t="s">
        <v>54</v>
      </c>
      <c r="J588" s="8" t="s">
        <v>54</v>
      </c>
      <c r="K588" s="8" t="s">
        <v>54</v>
      </c>
      <c r="L588" s="8" t="s">
        <v>54</v>
      </c>
      <c r="M588" s="8" t="s">
        <v>54</v>
      </c>
      <c r="N588" s="10" t="s">
        <v>67</v>
      </c>
      <c r="O588" s="8" t="s">
        <v>54</v>
      </c>
      <c r="P588" s="8" t="s">
        <v>54</v>
      </c>
      <c r="Q588" s="8" t="s">
        <v>54</v>
      </c>
      <c r="R588" s="8" t="s">
        <v>54</v>
      </c>
      <c r="S588" s="8" t="s">
        <v>54</v>
      </c>
      <c r="T588" s="8" t="s">
        <v>54</v>
      </c>
      <c r="U588" s="10" t="s">
        <v>67</v>
      </c>
      <c r="V588" s="8" t="s">
        <v>54</v>
      </c>
      <c r="W588" s="8" t="s">
        <v>54</v>
      </c>
      <c r="X588" s="8" t="s">
        <v>54</v>
      </c>
      <c r="Y588" s="8" t="s">
        <v>54</v>
      </c>
      <c r="Z588" s="8" t="s">
        <v>54</v>
      </c>
      <c r="AA588" s="8" t="s">
        <v>54</v>
      </c>
      <c r="AB588" s="10" t="s">
        <v>67</v>
      </c>
      <c r="AC588" s="8" t="s">
        <v>54</v>
      </c>
      <c r="AD588" s="8" t="s">
        <v>54</v>
      </c>
      <c r="AE588" s="8" t="s">
        <v>54</v>
      </c>
      <c r="AF588" s="8" t="s">
        <v>54</v>
      </c>
      <c r="AG588" s="8" t="s">
        <v>54</v>
      </c>
      <c r="AH588" s="8" t="s">
        <v>54</v>
      </c>
      <c r="AI588" s="10" t="s">
        <v>67</v>
      </c>
      <c r="AJ588" s="8">
        <f>COUNTIF($E$588:$AI$588,"P")</f>
        <v>26</v>
      </c>
      <c r="AK588" s="8">
        <f>COUNTIF($E$588:$AI$588,"A")</f>
        <v>0</v>
      </c>
      <c r="AL588" s="8">
        <f>SUM($E$589:$AI$589)</f>
        <v>44</v>
      </c>
      <c r="AM588" s="8">
        <f>SUM($E$590:$AI$590)</f>
        <v>91.5</v>
      </c>
      <c r="AN588" s="8">
        <f>AL588+AM588</f>
        <v>135.5</v>
      </c>
      <c r="AO588" s="8">
        <f>COUNTIF($E$588:$AI$588,"CL")</f>
        <v>0</v>
      </c>
      <c r="AP588" s="8">
        <f>COUNTIF($E$588:$AI$588,"SL")</f>
        <v>0</v>
      </c>
      <c r="AQ588" s="8">
        <f>COUNTIF($E$588:$AI$588,"EL")</f>
        <v>0</v>
      </c>
      <c r="AR588" s="8">
        <f>COUNTIF($E$588:$AI$588,"H")</f>
        <v>0</v>
      </c>
      <c r="AS588" s="8"/>
      <c r="AT588" s="11" t="s">
        <v>16</v>
      </c>
    </row>
    <row r="589" spans="1:46" ht="15.1" customHeight="1">
      <c r="A589" s="8"/>
      <c r="B589" s="9"/>
      <c r="C589" s="8"/>
      <c r="D589" s="9"/>
      <c r="E589" s="8">
        <v>2</v>
      </c>
      <c r="F589" s="8">
        <v>2</v>
      </c>
      <c r="G589" s="8">
        <v>0</v>
      </c>
      <c r="H589" s="8">
        <v>2</v>
      </c>
      <c r="I589" s="8">
        <v>2</v>
      </c>
      <c r="J589" s="8">
        <v>2</v>
      </c>
      <c r="K589" s="8">
        <v>2</v>
      </c>
      <c r="L589" s="8">
        <v>2</v>
      </c>
      <c r="M589" s="8">
        <v>2</v>
      </c>
      <c r="N589" s="8">
        <v>0</v>
      </c>
      <c r="O589" s="8">
        <v>2</v>
      </c>
      <c r="P589" s="8">
        <v>2</v>
      </c>
      <c r="Q589" s="8">
        <v>2</v>
      </c>
      <c r="R589" s="8">
        <v>2</v>
      </c>
      <c r="S589" s="8">
        <v>2</v>
      </c>
      <c r="T589" s="8">
        <v>2</v>
      </c>
      <c r="U589" s="8">
        <v>0</v>
      </c>
      <c r="V589" s="8">
        <v>2</v>
      </c>
      <c r="W589" s="8">
        <v>2</v>
      </c>
      <c r="X589" s="8">
        <v>2</v>
      </c>
      <c r="Y589" s="8">
        <v>0</v>
      </c>
      <c r="Z589" s="8">
        <v>0</v>
      </c>
      <c r="AA589" s="8">
        <v>2</v>
      </c>
      <c r="AB589" s="8">
        <v>0</v>
      </c>
      <c r="AC589" s="8">
        <v>0</v>
      </c>
      <c r="AD589" s="8">
        <v>2</v>
      </c>
      <c r="AE589" s="8">
        <v>0</v>
      </c>
      <c r="AF589" s="8">
        <v>2</v>
      </c>
      <c r="AG589" s="8">
        <v>2</v>
      </c>
      <c r="AH589" s="8">
        <v>2</v>
      </c>
      <c r="AI589" s="8">
        <v>0</v>
      </c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11" t="s">
        <v>16</v>
      </c>
    </row>
    <row r="590" spans="1:46" ht="15.1" customHeight="1">
      <c r="A590" s="8"/>
      <c r="B590" s="9"/>
      <c r="C590" s="8"/>
      <c r="D590" s="9"/>
      <c r="E590" s="8">
        <v>4</v>
      </c>
      <c r="F590" s="8">
        <v>3</v>
      </c>
      <c r="G590" s="8">
        <v>14</v>
      </c>
      <c r="H590" s="8">
        <v>4</v>
      </c>
      <c r="I590" s="8">
        <v>6</v>
      </c>
      <c r="J590" s="8">
        <v>3</v>
      </c>
      <c r="K590" s="8">
        <v>3</v>
      </c>
      <c r="L590" s="8">
        <v>4.5</v>
      </c>
      <c r="M590" s="8">
        <v>3.5</v>
      </c>
      <c r="N590" s="8">
        <v>0</v>
      </c>
      <c r="O590" s="8">
        <v>5</v>
      </c>
      <c r="P590" s="8">
        <v>5</v>
      </c>
      <c r="Q590" s="8">
        <v>4.5</v>
      </c>
      <c r="R590" s="8">
        <v>5</v>
      </c>
      <c r="S590" s="8">
        <v>4</v>
      </c>
      <c r="T590" s="8">
        <v>3</v>
      </c>
      <c r="U590" s="8">
        <v>8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3</v>
      </c>
      <c r="AE590" s="8">
        <v>0</v>
      </c>
      <c r="AF590" s="8">
        <v>3</v>
      </c>
      <c r="AG590" s="8">
        <v>3</v>
      </c>
      <c r="AH590" s="8">
        <v>3</v>
      </c>
      <c r="AI590" s="8">
        <v>0</v>
      </c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11" t="s">
        <v>16</v>
      </c>
    </row>
    <row r="591" spans="1:46" ht="15.1" customHeight="1">
      <c r="A591" s="8">
        <v>196</v>
      </c>
      <c r="B591" s="9" t="s">
        <v>654</v>
      </c>
      <c r="C591" s="8" t="s">
        <v>655</v>
      </c>
      <c r="D591" s="9" t="s">
        <v>266</v>
      </c>
      <c r="E591" s="8" t="s">
        <v>54</v>
      </c>
      <c r="F591" s="8" t="s">
        <v>54</v>
      </c>
      <c r="G591" s="10" t="s">
        <v>67</v>
      </c>
      <c r="H591" s="8" t="s">
        <v>54</v>
      </c>
      <c r="I591" s="8" t="s">
        <v>54</v>
      </c>
      <c r="J591" s="8" t="s">
        <v>54</v>
      </c>
      <c r="K591" s="8" t="s">
        <v>54</v>
      </c>
      <c r="L591" s="8" t="s">
        <v>54</v>
      </c>
      <c r="M591" s="8" t="s">
        <v>54</v>
      </c>
      <c r="N591" s="10" t="s">
        <v>67</v>
      </c>
      <c r="O591" s="8" t="s">
        <v>54</v>
      </c>
      <c r="P591" s="8" t="s">
        <v>54</v>
      </c>
      <c r="Q591" s="8" t="s">
        <v>54</v>
      </c>
      <c r="R591" s="8" t="s">
        <v>54</v>
      </c>
      <c r="S591" s="8" t="s">
        <v>54</v>
      </c>
      <c r="T591" s="8" t="s">
        <v>54</v>
      </c>
      <c r="U591" s="10" t="s">
        <v>67</v>
      </c>
      <c r="V591" s="8" t="s">
        <v>54</v>
      </c>
      <c r="W591" s="8" t="s">
        <v>54</v>
      </c>
      <c r="X591" s="8" t="s">
        <v>54</v>
      </c>
      <c r="Y591" s="8" t="s">
        <v>54</v>
      </c>
      <c r="Z591" s="8" t="s">
        <v>54</v>
      </c>
      <c r="AA591" s="8" t="s">
        <v>54</v>
      </c>
      <c r="AB591" s="10" t="s">
        <v>67</v>
      </c>
      <c r="AC591" s="8" t="s">
        <v>54</v>
      </c>
      <c r="AD591" s="8" t="s">
        <v>54</v>
      </c>
      <c r="AE591" s="8" t="s">
        <v>54</v>
      </c>
      <c r="AF591" s="8" t="s">
        <v>54</v>
      </c>
      <c r="AG591" s="8" t="s">
        <v>54</v>
      </c>
      <c r="AH591" s="8" t="s">
        <v>54</v>
      </c>
      <c r="AI591" s="10" t="s">
        <v>67</v>
      </c>
      <c r="AJ591" s="8">
        <f>COUNTIF($E$591:$AI$591,"P")</f>
        <v>26</v>
      </c>
      <c r="AK591" s="8">
        <f>COUNTIF($E$591:$AI$591,"A")</f>
        <v>0</v>
      </c>
      <c r="AL591" s="8">
        <f>SUM($E$592:$AI$592)</f>
        <v>46</v>
      </c>
      <c r="AM591" s="8">
        <f>SUM($E$593:$AI$593)</f>
        <v>104</v>
      </c>
      <c r="AN591" s="8">
        <f>AL591+AM591</f>
        <v>150</v>
      </c>
      <c r="AO591" s="8">
        <f>COUNTIF($E$591:$AI$591,"CL")</f>
        <v>0</v>
      </c>
      <c r="AP591" s="8">
        <f>COUNTIF($E$591:$AI$591,"SL")</f>
        <v>0</v>
      </c>
      <c r="AQ591" s="8">
        <f>COUNTIF($E$591:$AI$591,"EL")</f>
        <v>0</v>
      </c>
      <c r="AR591" s="8">
        <f>COUNTIF($E$591:$AI$591,"H")</f>
        <v>0</v>
      </c>
      <c r="AS591" s="8"/>
      <c r="AT591" s="11" t="s">
        <v>16</v>
      </c>
    </row>
    <row r="592" spans="1:46" ht="15.1" customHeight="1">
      <c r="A592" s="8"/>
      <c r="B592" s="9"/>
      <c r="C592" s="8"/>
      <c r="D592" s="9"/>
      <c r="E592" s="8">
        <v>2</v>
      </c>
      <c r="F592" s="8">
        <v>2</v>
      </c>
      <c r="G592" s="8">
        <v>0</v>
      </c>
      <c r="H592" s="8">
        <v>2</v>
      </c>
      <c r="I592" s="8">
        <v>2</v>
      </c>
      <c r="J592" s="8">
        <v>2</v>
      </c>
      <c r="K592" s="8">
        <v>2</v>
      </c>
      <c r="L592" s="8">
        <v>2</v>
      </c>
      <c r="M592" s="8">
        <v>2</v>
      </c>
      <c r="N592" s="8">
        <v>0</v>
      </c>
      <c r="O592" s="8">
        <v>2</v>
      </c>
      <c r="P592" s="8">
        <v>2</v>
      </c>
      <c r="Q592" s="8">
        <v>2</v>
      </c>
      <c r="R592" s="8">
        <v>2</v>
      </c>
      <c r="S592" s="8">
        <v>2</v>
      </c>
      <c r="T592" s="8">
        <v>2</v>
      </c>
      <c r="U592" s="8">
        <v>0</v>
      </c>
      <c r="V592" s="8">
        <v>2</v>
      </c>
      <c r="W592" s="8">
        <v>2</v>
      </c>
      <c r="X592" s="8">
        <v>2</v>
      </c>
      <c r="Y592" s="8">
        <v>0</v>
      </c>
      <c r="Z592" s="8">
        <v>2</v>
      </c>
      <c r="AA592" s="8">
        <v>0</v>
      </c>
      <c r="AB592" s="8">
        <v>0</v>
      </c>
      <c r="AC592" s="8">
        <v>2</v>
      </c>
      <c r="AD592" s="8">
        <v>2</v>
      </c>
      <c r="AE592" s="8">
        <v>0</v>
      </c>
      <c r="AF592" s="8">
        <v>2</v>
      </c>
      <c r="AG592" s="8">
        <v>2</v>
      </c>
      <c r="AH592" s="8">
        <v>2</v>
      </c>
      <c r="AI592" s="8">
        <v>0</v>
      </c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11" t="s">
        <v>16</v>
      </c>
    </row>
    <row r="593" spans="1:46" ht="15.1" customHeight="1">
      <c r="A593" s="8"/>
      <c r="B593" s="9"/>
      <c r="C593" s="8"/>
      <c r="D593" s="9"/>
      <c r="E593" s="8">
        <v>4</v>
      </c>
      <c r="F593" s="8">
        <v>3</v>
      </c>
      <c r="G593" s="8">
        <v>14</v>
      </c>
      <c r="H593" s="8">
        <v>4</v>
      </c>
      <c r="I593" s="8">
        <v>6</v>
      </c>
      <c r="J593" s="8">
        <v>2.5</v>
      </c>
      <c r="K593" s="8">
        <v>3</v>
      </c>
      <c r="L593" s="8">
        <v>4.5</v>
      </c>
      <c r="M593" s="8">
        <v>3.5</v>
      </c>
      <c r="N593" s="8">
        <v>13</v>
      </c>
      <c r="O593" s="8">
        <v>5</v>
      </c>
      <c r="P593" s="8">
        <v>5</v>
      </c>
      <c r="Q593" s="8">
        <v>4.5</v>
      </c>
      <c r="R593" s="8">
        <v>5</v>
      </c>
      <c r="S593" s="8">
        <v>4</v>
      </c>
      <c r="T593" s="8">
        <v>3</v>
      </c>
      <c r="U593" s="8">
        <v>8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3</v>
      </c>
      <c r="AE593" s="8">
        <v>0</v>
      </c>
      <c r="AF593" s="8">
        <v>3</v>
      </c>
      <c r="AG593" s="8">
        <v>3</v>
      </c>
      <c r="AH593" s="8">
        <v>3</v>
      </c>
      <c r="AI593" s="8">
        <v>0</v>
      </c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11" t="s">
        <v>16</v>
      </c>
    </row>
    <row r="594" spans="1:46" ht="15.1" customHeight="1">
      <c r="A594" s="8">
        <v>197</v>
      </c>
      <c r="B594" s="9" t="s">
        <v>508</v>
      </c>
      <c r="C594" s="8" t="s">
        <v>656</v>
      </c>
      <c r="D594" s="9" t="s">
        <v>266</v>
      </c>
      <c r="E594" s="8" t="s">
        <v>54</v>
      </c>
      <c r="F594" s="8" t="s">
        <v>54</v>
      </c>
      <c r="G594" s="10" t="s">
        <v>67</v>
      </c>
      <c r="H594" s="8" t="s">
        <v>54</v>
      </c>
      <c r="I594" s="8" t="s">
        <v>54</v>
      </c>
      <c r="J594" s="8" t="s">
        <v>54</v>
      </c>
      <c r="K594" s="8" t="s">
        <v>54</v>
      </c>
      <c r="L594" s="8" t="s">
        <v>54</v>
      </c>
      <c r="M594" s="8" t="s">
        <v>54</v>
      </c>
      <c r="N594" s="10" t="s">
        <v>67</v>
      </c>
      <c r="O594" s="8" t="s">
        <v>54</v>
      </c>
      <c r="P594" s="8" t="s">
        <v>54</v>
      </c>
      <c r="Q594" s="8" t="s">
        <v>54</v>
      </c>
      <c r="R594" s="8" t="s">
        <v>54</v>
      </c>
      <c r="S594" s="8" t="s">
        <v>54</v>
      </c>
      <c r="T594" s="8" t="s">
        <v>54</v>
      </c>
      <c r="U594" s="10" t="s">
        <v>67</v>
      </c>
      <c r="V594" s="8" t="s">
        <v>54</v>
      </c>
      <c r="W594" s="8" t="s">
        <v>54</v>
      </c>
      <c r="X594" s="8" t="s">
        <v>54</v>
      </c>
      <c r="Y594" s="8" t="s">
        <v>54</v>
      </c>
      <c r="Z594" s="8" t="s">
        <v>59</v>
      </c>
      <c r="AA594" s="8" t="s">
        <v>59</v>
      </c>
      <c r="AB594" s="10" t="s">
        <v>67</v>
      </c>
      <c r="AC594" s="8" t="s">
        <v>54</v>
      </c>
      <c r="AD594" s="8" t="s">
        <v>54</v>
      </c>
      <c r="AE594" s="8" t="s">
        <v>54</v>
      </c>
      <c r="AF594" s="8" t="s">
        <v>54</v>
      </c>
      <c r="AG594" s="8" t="s">
        <v>54</v>
      </c>
      <c r="AH594" s="8" t="s">
        <v>54</v>
      </c>
      <c r="AI594" s="10" t="s">
        <v>67</v>
      </c>
      <c r="AJ594" s="8">
        <f>COUNTIF($E$594:$AI$594,"P")</f>
        <v>24</v>
      </c>
      <c r="AK594" s="8">
        <f>COUNTIF($E$594:$AI$594,"A")</f>
        <v>0</v>
      </c>
      <c r="AL594" s="8">
        <f>SUM($E$595:$AI$595)</f>
        <v>32</v>
      </c>
      <c r="AM594" s="8">
        <f>SUM($E$596:$AI$596)</f>
        <v>96</v>
      </c>
      <c r="AN594" s="8">
        <f>AL594+AM594</f>
        <v>128</v>
      </c>
      <c r="AO594" s="8">
        <f>COUNTIF($E$594:$AI$594,"CL")</f>
        <v>2</v>
      </c>
      <c r="AP594" s="8">
        <f>COUNTIF($E$594:$AI$594,"SL")</f>
        <v>0</v>
      </c>
      <c r="AQ594" s="8">
        <f>COUNTIF($E$594:$AI$594,"EL")</f>
        <v>0</v>
      </c>
      <c r="AR594" s="8">
        <f>COUNTIF($E$594:$AI$594,"H")</f>
        <v>0</v>
      </c>
      <c r="AS594" s="8"/>
      <c r="AT594" s="11" t="s">
        <v>17</v>
      </c>
    </row>
    <row r="595" spans="1:46" ht="15.1" customHeight="1">
      <c r="A595" s="8"/>
      <c r="B595" s="9"/>
      <c r="C595" s="8"/>
      <c r="D595" s="9"/>
      <c r="E595" s="8">
        <v>2</v>
      </c>
      <c r="F595" s="8">
        <v>2</v>
      </c>
      <c r="G595" s="8">
        <v>0</v>
      </c>
      <c r="H595" s="8">
        <v>2</v>
      </c>
      <c r="I595" s="8">
        <v>2</v>
      </c>
      <c r="J595" s="8">
        <v>2</v>
      </c>
      <c r="K595" s="8">
        <v>2</v>
      </c>
      <c r="L595" s="8">
        <v>2</v>
      </c>
      <c r="M595" s="8">
        <v>2</v>
      </c>
      <c r="N595" s="8">
        <v>0</v>
      </c>
      <c r="O595" s="8">
        <v>2</v>
      </c>
      <c r="P595" s="8">
        <v>2</v>
      </c>
      <c r="Q595" s="8">
        <v>2</v>
      </c>
      <c r="R595" s="8">
        <v>2</v>
      </c>
      <c r="S595" s="8">
        <v>2</v>
      </c>
      <c r="T595" s="8">
        <v>2</v>
      </c>
      <c r="U595" s="8">
        <v>0</v>
      </c>
      <c r="V595" s="8">
        <v>2</v>
      </c>
      <c r="W595" s="8">
        <v>2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11" t="s">
        <v>17</v>
      </c>
    </row>
    <row r="596" spans="1:46" ht="15.1" customHeight="1">
      <c r="A596" s="8"/>
      <c r="B596" s="9"/>
      <c r="C596" s="8"/>
      <c r="D596" s="9"/>
      <c r="E596" s="8">
        <v>4</v>
      </c>
      <c r="F596" s="8">
        <v>3</v>
      </c>
      <c r="G596" s="8">
        <v>0</v>
      </c>
      <c r="H596" s="8">
        <v>5</v>
      </c>
      <c r="I596" s="8">
        <v>7</v>
      </c>
      <c r="J596" s="8">
        <v>7</v>
      </c>
      <c r="K596" s="8">
        <v>7</v>
      </c>
      <c r="L596" s="8">
        <v>7</v>
      </c>
      <c r="M596" s="8">
        <v>5</v>
      </c>
      <c r="N596" s="8">
        <v>17</v>
      </c>
      <c r="O596" s="8">
        <v>7</v>
      </c>
      <c r="P596" s="8">
        <v>5</v>
      </c>
      <c r="Q596" s="8">
        <v>5</v>
      </c>
      <c r="R596" s="8">
        <v>7</v>
      </c>
      <c r="S596" s="8">
        <v>7</v>
      </c>
      <c r="T596" s="8">
        <v>3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11" t="s">
        <v>17</v>
      </c>
    </row>
    <row r="597" spans="1:46" ht="15.1" customHeight="1">
      <c r="A597" s="8">
        <v>198</v>
      </c>
      <c r="B597" s="9" t="s">
        <v>657</v>
      </c>
      <c r="C597" s="8" t="s">
        <v>658</v>
      </c>
      <c r="D597" s="9" t="s">
        <v>266</v>
      </c>
      <c r="E597" s="8" t="s">
        <v>54</v>
      </c>
      <c r="F597" s="8" t="s">
        <v>54</v>
      </c>
      <c r="G597" s="10" t="s">
        <v>67</v>
      </c>
      <c r="H597" s="8" t="s">
        <v>54</v>
      </c>
      <c r="I597" s="8" t="s">
        <v>54</v>
      </c>
      <c r="J597" s="8" t="s">
        <v>54</v>
      </c>
      <c r="K597" s="8" t="s">
        <v>54</v>
      </c>
      <c r="L597" s="8" t="s">
        <v>54</v>
      </c>
      <c r="M597" s="8" t="s">
        <v>54</v>
      </c>
      <c r="N597" s="10" t="s">
        <v>67</v>
      </c>
      <c r="O597" s="8" t="s">
        <v>54</v>
      </c>
      <c r="P597" s="8" t="s">
        <v>54</v>
      </c>
      <c r="Q597" s="8" t="s">
        <v>54</v>
      </c>
      <c r="R597" s="8" t="s">
        <v>54</v>
      </c>
      <c r="S597" s="8" t="s">
        <v>54</v>
      </c>
      <c r="T597" s="8" t="s">
        <v>54</v>
      </c>
      <c r="U597" s="10" t="s">
        <v>67</v>
      </c>
      <c r="V597" s="8" t="s">
        <v>54</v>
      </c>
      <c r="W597" s="8" t="s">
        <v>54</v>
      </c>
      <c r="X597" s="8" t="s">
        <v>54</v>
      </c>
      <c r="Y597" s="8" t="s">
        <v>54</v>
      </c>
      <c r="Z597" s="8" t="s">
        <v>54</v>
      </c>
      <c r="AA597" s="8" t="s">
        <v>54</v>
      </c>
      <c r="AB597" s="10" t="s">
        <v>67</v>
      </c>
      <c r="AC597" s="8" t="s">
        <v>54</v>
      </c>
      <c r="AD597" s="8" t="s">
        <v>54</v>
      </c>
      <c r="AE597" s="8" t="s">
        <v>54</v>
      </c>
      <c r="AF597" s="8" t="s">
        <v>54</v>
      </c>
      <c r="AG597" s="8" t="s">
        <v>54</v>
      </c>
      <c r="AH597" s="8" t="s">
        <v>54</v>
      </c>
      <c r="AI597" s="10" t="s">
        <v>67</v>
      </c>
      <c r="AJ597" s="8">
        <f>COUNTIF($E$597:$AI$597,"P")</f>
        <v>26</v>
      </c>
      <c r="AK597" s="8">
        <f>COUNTIF($E$597:$AI$597,"A")</f>
        <v>0</v>
      </c>
      <c r="AL597" s="8">
        <f>SUM($E$598:$AI$598)</f>
        <v>30</v>
      </c>
      <c r="AM597" s="8">
        <f>SUM($E$599:$AI$599)</f>
        <v>62</v>
      </c>
      <c r="AN597" s="8">
        <f>AL597+AM597</f>
        <v>92</v>
      </c>
      <c r="AO597" s="8">
        <f>COUNTIF($E$597:$AI$597,"CL")</f>
        <v>0</v>
      </c>
      <c r="AP597" s="8">
        <f>COUNTIF($E$597:$AI$597,"SL")</f>
        <v>0</v>
      </c>
      <c r="AQ597" s="8">
        <f>COUNTIF($E$597:$AI$597,"EL")</f>
        <v>0</v>
      </c>
      <c r="AR597" s="8">
        <f>COUNTIF($E$597:$AI$597,"H")</f>
        <v>0</v>
      </c>
      <c r="AS597" s="8"/>
      <c r="AT597" s="11" t="s">
        <v>17</v>
      </c>
    </row>
    <row r="598" spans="1:46" ht="15.1" customHeight="1">
      <c r="A598" s="8"/>
      <c r="B598" s="9"/>
      <c r="C598" s="8"/>
      <c r="D598" s="9"/>
      <c r="E598" s="8">
        <v>2</v>
      </c>
      <c r="F598" s="8">
        <v>2</v>
      </c>
      <c r="G598" s="8">
        <v>0</v>
      </c>
      <c r="H598" s="8">
        <v>2</v>
      </c>
      <c r="I598" s="8">
        <v>2</v>
      </c>
      <c r="J598" s="8">
        <v>2</v>
      </c>
      <c r="K598" s="8">
        <v>2</v>
      </c>
      <c r="L598" s="8">
        <v>2</v>
      </c>
      <c r="M598" s="8">
        <v>2</v>
      </c>
      <c r="N598" s="8">
        <v>0</v>
      </c>
      <c r="O598" s="8">
        <v>2</v>
      </c>
      <c r="P598" s="8">
        <v>2</v>
      </c>
      <c r="Q598" s="8">
        <v>2</v>
      </c>
      <c r="R598" s="8">
        <v>2</v>
      </c>
      <c r="S598" s="8">
        <v>2</v>
      </c>
      <c r="T598" s="8">
        <v>2</v>
      </c>
      <c r="U598" s="8">
        <v>0</v>
      </c>
      <c r="V598" s="8">
        <v>0</v>
      </c>
      <c r="W598" s="8">
        <v>2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11" t="s">
        <v>17</v>
      </c>
    </row>
    <row r="599" spans="1:46" ht="15.1" customHeight="1">
      <c r="A599" s="8"/>
      <c r="B599" s="9"/>
      <c r="C599" s="8"/>
      <c r="D599" s="9"/>
      <c r="E599" s="8">
        <v>3</v>
      </c>
      <c r="F599" s="8">
        <v>3</v>
      </c>
      <c r="G599" s="8">
        <v>0</v>
      </c>
      <c r="H599" s="8">
        <v>0</v>
      </c>
      <c r="I599" s="8">
        <v>3</v>
      </c>
      <c r="J599" s="8">
        <v>3</v>
      </c>
      <c r="K599" s="8">
        <v>3</v>
      </c>
      <c r="L599" s="8">
        <v>3</v>
      </c>
      <c r="M599" s="8">
        <v>3</v>
      </c>
      <c r="N599" s="8">
        <v>13</v>
      </c>
      <c r="O599" s="8">
        <v>7</v>
      </c>
      <c r="P599" s="8">
        <v>5</v>
      </c>
      <c r="Q599" s="8">
        <v>5</v>
      </c>
      <c r="R599" s="8">
        <v>3</v>
      </c>
      <c r="S599" s="8">
        <v>5</v>
      </c>
      <c r="T599" s="8">
        <v>3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11" t="s">
        <v>17</v>
      </c>
    </row>
    <row r="600" spans="1:46" ht="15.1" customHeight="1">
      <c r="A600" s="8">
        <v>199</v>
      </c>
      <c r="B600" s="9" t="s">
        <v>659</v>
      </c>
      <c r="C600" s="8" t="s">
        <v>660</v>
      </c>
      <c r="D600" s="9" t="s">
        <v>266</v>
      </c>
      <c r="E600" s="8" t="s">
        <v>54</v>
      </c>
      <c r="F600" s="8" t="s">
        <v>54</v>
      </c>
      <c r="G600" s="10" t="s">
        <v>67</v>
      </c>
      <c r="H600" s="8" t="s">
        <v>54</v>
      </c>
      <c r="I600" s="8" t="s">
        <v>54</v>
      </c>
      <c r="J600" s="8" t="s">
        <v>54</v>
      </c>
      <c r="K600" s="8" t="s">
        <v>54</v>
      </c>
      <c r="L600" s="8" t="s">
        <v>54</v>
      </c>
      <c r="M600" s="8" t="s">
        <v>54</v>
      </c>
      <c r="N600" s="10" t="s">
        <v>67</v>
      </c>
      <c r="O600" s="8" t="s">
        <v>54</v>
      </c>
      <c r="P600" s="8" t="s">
        <v>54</v>
      </c>
      <c r="Q600" s="8" t="s">
        <v>54</v>
      </c>
      <c r="R600" s="8" t="s">
        <v>54</v>
      </c>
      <c r="S600" s="8" t="s">
        <v>54</v>
      </c>
      <c r="T600" s="8" t="s">
        <v>54</v>
      </c>
      <c r="U600" s="10" t="s">
        <v>67</v>
      </c>
      <c r="V600" s="8" t="s">
        <v>54</v>
      </c>
      <c r="W600" s="8" t="s">
        <v>54</v>
      </c>
      <c r="X600" s="8" t="s">
        <v>54</v>
      </c>
      <c r="Y600" s="8" t="s">
        <v>54</v>
      </c>
      <c r="Z600" s="8" t="s">
        <v>54</v>
      </c>
      <c r="AA600" s="8" t="s">
        <v>54</v>
      </c>
      <c r="AB600" s="10" t="s">
        <v>67</v>
      </c>
      <c r="AC600" s="8" t="s">
        <v>54</v>
      </c>
      <c r="AD600" s="8" t="s">
        <v>54</v>
      </c>
      <c r="AE600" s="8" t="s">
        <v>54</v>
      </c>
      <c r="AF600" s="8" t="s">
        <v>54</v>
      </c>
      <c r="AG600" s="8" t="s">
        <v>54</v>
      </c>
      <c r="AH600" s="8" t="s">
        <v>54</v>
      </c>
      <c r="AI600" s="10" t="s">
        <v>67</v>
      </c>
      <c r="AJ600" s="8">
        <f>COUNTIF($E$600:$AI$600,"P")</f>
        <v>26</v>
      </c>
      <c r="AK600" s="8">
        <f>COUNTIF($E$600:$AI$600,"A")</f>
        <v>0</v>
      </c>
      <c r="AL600" s="8">
        <f>SUM($E$601:$AI$601)</f>
        <v>30</v>
      </c>
      <c r="AM600" s="8">
        <f>SUM($E$602:$AI$602)</f>
        <v>55</v>
      </c>
      <c r="AN600" s="8">
        <f>AL600+AM600</f>
        <v>85</v>
      </c>
      <c r="AO600" s="8">
        <f>COUNTIF($E$600:$AI$600,"CL")</f>
        <v>0</v>
      </c>
      <c r="AP600" s="8">
        <f>COUNTIF($E$600:$AI$600,"SL")</f>
        <v>0</v>
      </c>
      <c r="AQ600" s="8">
        <f>COUNTIF($E$600:$AI$600,"EL")</f>
        <v>0</v>
      </c>
      <c r="AR600" s="8">
        <f>COUNTIF($E$600:$AI$600,"H")</f>
        <v>0</v>
      </c>
      <c r="AS600" s="8"/>
      <c r="AT600" s="11" t="s">
        <v>17</v>
      </c>
    </row>
    <row r="601" spans="1:46" ht="15.1" customHeight="1">
      <c r="A601" s="8"/>
      <c r="B601" s="9"/>
      <c r="C601" s="8"/>
      <c r="D601" s="9"/>
      <c r="E601" s="8">
        <v>0</v>
      </c>
      <c r="F601" s="8">
        <v>2</v>
      </c>
      <c r="G601" s="8">
        <v>0</v>
      </c>
      <c r="H601" s="8">
        <v>2</v>
      </c>
      <c r="I601" s="8">
        <v>2</v>
      </c>
      <c r="J601" s="8">
        <v>2</v>
      </c>
      <c r="K601" s="8">
        <v>2</v>
      </c>
      <c r="L601" s="8">
        <v>2</v>
      </c>
      <c r="M601" s="8">
        <v>2</v>
      </c>
      <c r="N601" s="8">
        <v>0</v>
      </c>
      <c r="O601" s="8">
        <v>2</v>
      </c>
      <c r="P601" s="8">
        <v>2</v>
      </c>
      <c r="Q601" s="8">
        <v>2</v>
      </c>
      <c r="R601" s="8">
        <v>2</v>
      </c>
      <c r="S601" s="8">
        <v>2</v>
      </c>
      <c r="T601" s="8">
        <v>2</v>
      </c>
      <c r="U601" s="8">
        <v>0</v>
      </c>
      <c r="V601" s="8">
        <v>2</v>
      </c>
      <c r="W601" s="8">
        <v>2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11" t="s">
        <v>17</v>
      </c>
    </row>
    <row r="602" spans="1:46" ht="15.1" customHeight="1">
      <c r="A602" s="8"/>
      <c r="B602" s="9"/>
      <c r="C602" s="8"/>
      <c r="D602" s="9"/>
      <c r="E602" s="8">
        <v>0</v>
      </c>
      <c r="F602" s="8">
        <v>3</v>
      </c>
      <c r="G602" s="8">
        <v>0</v>
      </c>
      <c r="H602" s="8">
        <v>0</v>
      </c>
      <c r="I602" s="8">
        <v>3</v>
      </c>
      <c r="J602" s="8">
        <v>3</v>
      </c>
      <c r="K602" s="8">
        <v>3</v>
      </c>
      <c r="L602" s="8">
        <v>3</v>
      </c>
      <c r="M602" s="8">
        <v>3</v>
      </c>
      <c r="N602" s="8">
        <v>13</v>
      </c>
      <c r="O602" s="8">
        <v>7</v>
      </c>
      <c r="P602" s="8">
        <v>5</v>
      </c>
      <c r="Q602" s="8">
        <v>3</v>
      </c>
      <c r="R602" s="8">
        <v>3</v>
      </c>
      <c r="S602" s="8">
        <v>3</v>
      </c>
      <c r="T602" s="8">
        <v>3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11" t="s">
        <v>17</v>
      </c>
    </row>
    <row r="603" spans="1:46" ht="15.1" customHeight="1">
      <c r="A603" s="8">
        <v>200</v>
      </c>
      <c r="B603" s="9" t="s">
        <v>661</v>
      </c>
      <c r="C603" s="8" t="s">
        <v>662</v>
      </c>
      <c r="D603" s="9" t="s">
        <v>266</v>
      </c>
      <c r="E603" s="12" t="s">
        <v>55</v>
      </c>
      <c r="F603" s="8" t="s">
        <v>54</v>
      </c>
      <c r="G603" s="10" t="s">
        <v>67</v>
      </c>
      <c r="H603" s="8" t="s">
        <v>54</v>
      </c>
      <c r="I603" s="8" t="s">
        <v>54</v>
      </c>
      <c r="J603" s="8" t="s">
        <v>54</v>
      </c>
      <c r="K603" s="8" t="s">
        <v>54</v>
      </c>
      <c r="L603" s="8" t="s">
        <v>54</v>
      </c>
      <c r="M603" s="12" t="s">
        <v>55</v>
      </c>
      <c r="N603" s="10" t="s">
        <v>67</v>
      </c>
      <c r="O603" s="8" t="s">
        <v>54</v>
      </c>
      <c r="P603" s="8" t="s">
        <v>54</v>
      </c>
      <c r="Q603" s="8" t="s">
        <v>54</v>
      </c>
      <c r="R603" s="8" t="s">
        <v>54</v>
      </c>
      <c r="S603" s="8" t="s">
        <v>54</v>
      </c>
      <c r="T603" s="8" t="s">
        <v>54</v>
      </c>
      <c r="U603" s="10" t="s">
        <v>67</v>
      </c>
      <c r="V603" s="8" t="s">
        <v>54</v>
      </c>
      <c r="W603" s="8" t="s">
        <v>54</v>
      </c>
      <c r="X603" s="8" t="s">
        <v>54</v>
      </c>
      <c r="Y603" s="8" t="s">
        <v>54</v>
      </c>
      <c r="Z603" s="8" t="s">
        <v>54</v>
      </c>
      <c r="AA603" s="8" t="s">
        <v>54</v>
      </c>
      <c r="AB603" s="10" t="s">
        <v>67</v>
      </c>
      <c r="AC603" s="8" t="s">
        <v>54</v>
      </c>
      <c r="AD603" s="8" t="s">
        <v>54</v>
      </c>
      <c r="AE603" s="8" t="s">
        <v>54</v>
      </c>
      <c r="AF603" s="8" t="s">
        <v>54</v>
      </c>
      <c r="AG603" s="8" t="s">
        <v>54</v>
      </c>
      <c r="AH603" s="8" t="s">
        <v>54</v>
      </c>
      <c r="AI603" s="10" t="s">
        <v>67</v>
      </c>
      <c r="AJ603" s="8">
        <f>COUNTIF($E$603:$AI$603,"P")</f>
        <v>24</v>
      </c>
      <c r="AK603" s="8">
        <f>COUNTIF($E$603:$AI$603,"A")</f>
        <v>2</v>
      </c>
      <c r="AL603" s="8">
        <f>SUM($E$604:$AI$604)</f>
        <v>28</v>
      </c>
      <c r="AM603" s="8">
        <f>SUM($E$605:$AI$605)</f>
        <v>37.5</v>
      </c>
      <c r="AN603" s="8">
        <f>AL603+AM603</f>
        <v>65.5</v>
      </c>
      <c r="AO603" s="8">
        <f>COUNTIF($E$603:$AI$603,"CL")</f>
        <v>0</v>
      </c>
      <c r="AP603" s="8">
        <f>COUNTIF($E$603:$AI$603,"SL")</f>
        <v>0</v>
      </c>
      <c r="AQ603" s="8">
        <f>COUNTIF($E$603:$AI$603,"EL")</f>
        <v>0</v>
      </c>
      <c r="AR603" s="8">
        <f>COUNTIF($E$603:$AI$603,"H")</f>
        <v>0</v>
      </c>
      <c r="AS603" s="8"/>
      <c r="AT603" s="11" t="s">
        <v>17</v>
      </c>
    </row>
    <row r="604" spans="1:46" ht="15.1" customHeight="1">
      <c r="A604" s="8"/>
      <c r="B604" s="9"/>
      <c r="C604" s="8"/>
      <c r="D604" s="9"/>
      <c r="E604" s="8">
        <v>0</v>
      </c>
      <c r="F604" s="8">
        <v>2</v>
      </c>
      <c r="G604" s="8">
        <v>0</v>
      </c>
      <c r="H604" s="8">
        <v>2</v>
      </c>
      <c r="I604" s="8">
        <v>2</v>
      </c>
      <c r="J604" s="8">
        <v>2</v>
      </c>
      <c r="K604" s="8">
        <v>2</v>
      </c>
      <c r="L604" s="8">
        <v>2</v>
      </c>
      <c r="M604" s="8">
        <v>0</v>
      </c>
      <c r="N604" s="8">
        <v>0</v>
      </c>
      <c r="O604" s="8">
        <v>2</v>
      </c>
      <c r="P604" s="8">
        <v>2</v>
      </c>
      <c r="Q604" s="8">
        <v>2</v>
      </c>
      <c r="R604" s="8">
        <v>2</v>
      </c>
      <c r="S604" s="8">
        <v>2</v>
      </c>
      <c r="T604" s="8">
        <v>2</v>
      </c>
      <c r="U604" s="8">
        <v>0</v>
      </c>
      <c r="V604" s="8">
        <v>2</v>
      </c>
      <c r="W604" s="8">
        <v>2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11" t="s">
        <v>17</v>
      </c>
    </row>
    <row r="605" spans="1:46" ht="15.1" customHeight="1">
      <c r="A605" s="8"/>
      <c r="B605" s="9"/>
      <c r="C605" s="8"/>
      <c r="D605" s="9"/>
      <c r="E605" s="8">
        <v>0</v>
      </c>
      <c r="F605" s="8">
        <v>0</v>
      </c>
      <c r="G605" s="8">
        <v>0</v>
      </c>
      <c r="H605" s="8">
        <v>0</v>
      </c>
      <c r="I605" s="8">
        <v>3</v>
      </c>
      <c r="J605" s="8">
        <v>3</v>
      </c>
      <c r="K605" s="8">
        <v>3</v>
      </c>
      <c r="L605" s="8">
        <v>3</v>
      </c>
      <c r="M605" s="8">
        <v>0</v>
      </c>
      <c r="N605" s="8">
        <v>0</v>
      </c>
      <c r="O605" s="8">
        <v>5</v>
      </c>
      <c r="P605" s="8">
        <v>4.5</v>
      </c>
      <c r="Q605" s="8">
        <v>3</v>
      </c>
      <c r="R605" s="8">
        <v>5</v>
      </c>
      <c r="S605" s="8">
        <v>5</v>
      </c>
      <c r="T605" s="8">
        <v>3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11" t="s">
        <v>17</v>
      </c>
    </row>
    <row r="606" spans="1:46" ht="15.1" customHeight="1">
      <c r="A606" s="8">
        <v>201</v>
      </c>
      <c r="B606" s="9" t="s">
        <v>663</v>
      </c>
      <c r="C606" s="8" t="s">
        <v>664</v>
      </c>
      <c r="D606" s="9" t="s">
        <v>266</v>
      </c>
      <c r="E606" s="8" t="s">
        <v>54</v>
      </c>
      <c r="F606" s="8" t="s">
        <v>54</v>
      </c>
      <c r="G606" s="10" t="s">
        <v>67</v>
      </c>
      <c r="H606" s="8" t="s">
        <v>54</v>
      </c>
      <c r="I606" s="8" t="s">
        <v>54</v>
      </c>
      <c r="J606" s="8" t="s">
        <v>54</v>
      </c>
      <c r="K606" s="8" t="s">
        <v>54</v>
      </c>
      <c r="L606" s="8" t="s">
        <v>54</v>
      </c>
      <c r="M606" s="8" t="s">
        <v>54</v>
      </c>
      <c r="N606" s="10" t="s">
        <v>67</v>
      </c>
      <c r="O606" s="8" t="s">
        <v>54</v>
      </c>
      <c r="P606" s="8" t="s">
        <v>54</v>
      </c>
      <c r="Q606" s="8" t="s">
        <v>54</v>
      </c>
      <c r="R606" s="8" t="s">
        <v>54</v>
      </c>
      <c r="S606" s="8" t="s">
        <v>54</v>
      </c>
      <c r="T606" s="8" t="s">
        <v>54</v>
      </c>
      <c r="U606" s="10" t="s">
        <v>67</v>
      </c>
      <c r="V606" s="8" t="s">
        <v>54</v>
      </c>
      <c r="W606" s="8" t="s">
        <v>54</v>
      </c>
      <c r="X606" s="8" t="s">
        <v>54</v>
      </c>
      <c r="Y606" s="8" t="s">
        <v>54</v>
      </c>
      <c r="Z606" s="8" t="s">
        <v>54</v>
      </c>
      <c r="AA606" s="8" t="s">
        <v>54</v>
      </c>
      <c r="AB606" s="10" t="s">
        <v>67</v>
      </c>
      <c r="AC606" s="8" t="s">
        <v>54</v>
      </c>
      <c r="AD606" s="8" t="s">
        <v>54</v>
      </c>
      <c r="AE606" s="8" t="s">
        <v>54</v>
      </c>
      <c r="AF606" s="12" t="s">
        <v>55</v>
      </c>
      <c r="AG606" s="12" t="s">
        <v>55</v>
      </c>
      <c r="AH606" s="12" t="s">
        <v>55</v>
      </c>
      <c r="AI606" s="10" t="s">
        <v>67</v>
      </c>
      <c r="AJ606" s="8">
        <f>COUNTIF($E$606:$AI$606,"P")</f>
        <v>23</v>
      </c>
      <c r="AK606" s="8">
        <f>COUNTIF($E$606:$AI$606,"A")</f>
        <v>3</v>
      </c>
      <c r="AL606" s="8">
        <f>SUM($E$607:$AI$607)</f>
        <v>32</v>
      </c>
      <c r="AM606" s="8">
        <f>SUM($E$608:$AI$608)</f>
        <v>108</v>
      </c>
      <c r="AN606" s="8">
        <f>AL606+AM606</f>
        <v>140</v>
      </c>
      <c r="AO606" s="8">
        <f>COUNTIF($E$606:$AI$606,"CL")</f>
        <v>0</v>
      </c>
      <c r="AP606" s="8">
        <f>COUNTIF($E$606:$AI$606,"SL")</f>
        <v>0</v>
      </c>
      <c r="AQ606" s="8">
        <f>COUNTIF($E$606:$AI$606,"EL")</f>
        <v>0</v>
      </c>
      <c r="AR606" s="8">
        <f>COUNTIF($E$606:$AI$606,"H")</f>
        <v>0</v>
      </c>
      <c r="AS606" s="8"/>
      <c r="AT606" s="11" t="s">
        <v>17</v>
      </c>
    </row>
    <row r="607" spans="1:46" ht="15.1" customHeight="1">
      <c r="A607" s="8"/>
      <c r="B607" s="9"/>
      <c r="C607" s="8"/>
      <c r="D607" s="9"/>
      <c r="E607" s="8">
        <v>2</v>
      </c>
      <c r="F607" s="8">
        <v>2</v>
      </c>
      <c r="G607" s="8">
        <v>0</v>
      </c>
      <c r="H607" s="8">
        <v>2</v>
      </c>
      <c r="I607" s="8">
        <v>2</v>
      </c>
      <c r="J607" s="8">
        <v>2</v>
      </c>
      <c r="K607" s="8">
        <v>2</v>
      </c>
      <c r="L607" s="8">
        <v>2</v>
      </c>
      <c r="M607" s="8">
        <v>2</v>
      </c>
      <c r="N607" s="8">
        <v>0</v>
      </c>
      <c r="O607" s="8">
        <v>2</v>
      </c>
      <c r="P607" s="8">
        <v>2</v>
      </c>
      <c r="Q607" s="8">
        <v>2</v>
      </c>
      <c r="R607" s="8">
        <v>2</v>
      </c>
      <c r="S607" s="8">
        <v>2</v>
      </c>
      <c r="T607" s="8">
        <v>2</v>
      </c>
      <c r="U607" s="8">
        <v>0</v>
      </c>
      <c r="V607" s="8">
        <v>2</v>
      </c>
      <c r="W607" s="8">
        <v>2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11" t="s">
        <v>17</v>
      </c>
    </row>
    <row r="608" spans="1:46" ht="15.1" customHeight="1">
      <c r="A608" s="8"/>
      <c r="B608" s="9"/>
      <c r="C608" s="8"/>
      <c r="D608" s="9"/>
      <c r="E608" s="8">
        <v>3</v>
      </c>
      <c r="F608" s="8">
        <v>3</v>
      </c>
      <c r="G608" s="8">
        <v>14</v>
      </c>
      <c r="H608" s="8">
        <v>3</v>
      </c>
      <c r="I608" s="8">
        <v>7</v>
      </c>
      <c r="J608" s="8">
        <v>7</v>
      </c>
      <c r="K608" s="8">
        <v>7</v>
      </c>
      <c r="L608" s="8">
        <v>7</v>
      </c>
      <c r="M608" s="8">
        <v>5</v>
      </c>
      <c r="N608" s="8">
        <v>16.5</v>
      </c>
      <c r="O608" s="8">
        <v>7</v>
      </c>
      <c r="P608" s="8">
        <v>6.5</v>
      </c>
      <c r="Q608" s="8">
        <v>5</v>
      </c>
      <c r="R608" s="8">
        <v>7</v>
      </c>
      <c r="S608" s="8">
        <v>7</v>
      </c>
      <c r="T608" s="8">
        <v>3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11" t="s">
        <v>17</v>
      </c>
    </row>
    <row r="609" spans="1:46" ht="15.1" customHeight="1">
      <c r="A609" s="8">
        <v>202</v>
      </c>
      <c r="B609" s="9" t="s">
        <v>665</v>
      </c>
      <c r="C609" s="8" t="s">
        <v>666</v>
      </c>
      <c r="D609" s="9" t="s">
        <v>266</v>
      </c>
      <c r="E609" s="8" t="s">
        <v>54</v>
      </c>
      <c r="F609" s="8" t="s">
        <v>54</v>
      </c>
      <c r="G609" s="10" t="s">
        <v>67</v>
      </c>
      <c r="H609" s="8" t="s">
        <v>54</v>
      </c>
      <c r="I609" s="8" t="s">
        <v>54</v>
      </c>
      <c r="J609" s="8" t="s">
        <v>54</v>
      </c>
      <c r="K609" s="8" t="s">
        <v>54</v>
      </c>
      <c r="L609" s="8" t="s">
        <v>54</v>
      </c>
      <c r="M609" s="8" t="s">
        <v>54</v>
      </c>
      <c r="N609" s="10" t="s">
        <v>67</v>
      </c>
      <c r="O609" s="8" t="s">
        <v>54</v>
      </c>
      <c r="P609" s="8" t="s">
        <v>54</v>
      </c>
      <c r="Q609" s="8" t="s">
        <v>54</v>
      </c>
      <c r="R609" s="8" t="s">
        <v>54</v>
      </c>
      <c r="S609" s="8" t="s">
        <v>54</v>
      </c>
      <c r="T609" s="8" t="s">
        <v>54</v>
      </c>
      <c r="U609" s="10" t="s">
        <v>67</v>
      </c>
      <c r="V609" s="8" t="s">
        <v>54</v>
      </c>
      <c r="W609" s="8" t="s">
        <v>54</v>
      </c>
      <c r="X609" s="8" t="s">
        <v>54</v>
      </c>
      <c r="Y609" s="8" t="s">
        <v>54</v>
      </c>
      <c r="Z609" s="8" t="s">
        <v>54</v>
      </c>
      <c r="AA609" s="8" t="s">
        <v>54</v>
      </c>
      <c r="AB609" s="10" t="s">
        <v>67</v>
      </c>
      <c r="AC609" s="8" t="s">
        <v>54</v>
      </c>
      <c r="AD609" s="8" t="s">
        <v>54</v>
      </c>
      <c r="AE609" s="8" t="s">
        <v>54</v>
      </c>
      <c r="AF609" s="8" t="s">
        <v>54</v>
      </c>
      <c r="AG609" s="8" t="s">
        <v>54</v>
      </c>
      <c r="AH609" s="8" t="s">
        <v>54</v>
      </c>
      <c r="AI609" s="10" t="s">
        <v>67</v>
      </c>
      <c r="AJ609" s="8">
        <f>COUNTIF($E$609:$AI$609,"P")</f>
        <v>26</v>
      </c>
      <c r="AK609" s="8">
        <f>COUNTIF($E$609:$AI$609,"A")</f>
        <v>0</v>
      </c>
      <c r="AL609" s="8">
        <f>SUM($E$610:$AI$610)</f>
        <v>32</v>
      </c>
      <c r="AM609" s="8">
        <f>SUM($E$611:$AI$611)</f>
        <v>66</v>
      </c>
      <c r="AN609" s="8">
        <f>AL609+AM609</f>
        <v>98</v>
      </c>
      <c r="AO609" s="8">
        <f>COUNTIF($E$609:$AI$609,"CL")</f>
        <v>0</v>
      </c>
      <c r="AP609" s="8">
        <f>COUNTIF($E$609:$AI$609,"SL")</f>
        <v>0</v>
      </c>
      <c r="AQ609" s="8">
        <f>COUNTIF($E$609:$AI$609,"EL")</f>
        <v>0</v>
      </c>
      <c r="AR609" s="8">
        <f>COUNTIF($E$609:$AI$609,"H")</f>
        <v>0</v>
      </c>
      <c r="AS609" s="8"/>
      <c r="AT609" s="11" t="s">
        <v>17</v>
      </c>
    </row>
    <row r="610" spans="1:46" ht="15.1" customHeight="1">
      <c r="A610" s="8"/>
      <c r="B610" s="9"/>
      <c r="C610" s="8"/>
      <c r="D610" s="9"/>
      <c r="E610" s="8">
        <v>2</v>
      </c>
      <c r="F610" s="8">
        <v>2</v>
      </c>
      <c r="G610" s="8">
        <v>0</v>
      </c>
      <c r="H610" s="8">
        <v>2</v>
      </c>
      <c r="I610" s="8">
        <v>2</v>
      </c>
      <c r="J610" s="8">
        <v>2</v>
      </c>
      <c r="K610" s="8">
        <v>2</v>
      </c>
      <c r="L610" s="8">
        <v>2</v>
      </c>
      <c r="M610" s="8">
        <v>2</v>
      </c>
      <c r="N610" s="8">
        <v>0</v>
      </c>
      <c r="O610" s="8">
        <v>2</v>
      </c>
      <c r="P610" s="8">
        <v>2</v>
      </c>
      <c r="Q610" s="8">
        <v>2</v>
      </c>
      <c r="R610" s="8">
        <v>2</v>
      </c>
      <c r="S610" s="8">
        <v>2</v>
      </c>
      <c r="T610" s="8">
        <v>2</v>
      </c>
      <c r="U610" s="8">
        <v>0</v>
      </c>
      <c r="V610" s="8">
        <v>2</v>
      </c>
      <c r="W610" s="8">
        <v>2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11" t="s">
        <v>17</v>
      </c>
    </row>
    <row r="611" spans="1:46" ht="15.1" customHeight="1">
      <c r="A611" s="8"/>
      <c r="B611" s="9"/>
      <c r="C611" s="8"/>
      <c r="D611" s="9"/>
      <c r="E611" s="8">
        <v>4</v>
      </c>
      <c r="F611" s="8">
        <v>3</v>
      </c>
      <c r="G611" s="8">
        <v>0</v>
      </c>
      <c r="H611" s="8">
        <v>3</v>
      </c>
      <c r="I611" s="8">
        <v>3</v>
      </c>
      <c r="J611" s="8">
        <v>3</v>
      </c>
      <c r="K611" s="8">
        <v>3</v>
      </c>
      <c r="L611" s="8">
        <v>3</v>
      </c>
      <c r="M611" s="8">
        <v>3</v>
      </c>
      <c r="N611" s="8">
        <v>13</v>
      </c>
      <c r="O611" s="8">
        <v>5</v>
      </c>
      <c r="P611" s="8">
        <v>5</v>
      </c>
      <c r="Q611" s="8">
        <v>5</v>
      </c>
      <c r="R611" s="8">
        <v>5</v>
      </c>
      <c r="S611" s="8">
        <v>5</v>
      </c>
      <c r="T611" s="8">
        <v>3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11" t="s">
        <v>17</v>
      </c>
    </row>
    <row r="612" spans="1:46" ht="15.1" customHeight="1">
      <c r="A612" s="8">
        <v>203</v>
      </c>
      <c r="B612" s="9" t="s">
        <v>667</v>
      </c>
      <c r="C612" s="8" t="s">
        <v>668</v>
      </c>
      <c r="D612" s="9" t="s">
        <v>266</v>
      </c>
      <c r="E612" s="8" t="s">
        <v>54</v>
      </c>
      <c r="F612" s="8" t="s">
        <v>54</v>
      </c>
      <c r="G612" s="10" t="s">
        <v>67</v>
      </c>
      <c r="H612" s="8" t="s">
        <v>54</v>
      </c>
      <c r="I612" s="8" t="s">
        <v>54</v>
      </c>
      <c r="J612" s="8" t="s">
        <v>54</v>
      </c>
      <c r="K612" s="8" t="s">
        <v>54</v>
      </c>
      <c r="L612" s="8" t="s">
        <v>54</v>
      </c>
      <c r="M612" s="8" t="s">
        <v>54</v>
      </c>
      <c r="N612" s="10" t="s">
        <v>67</v>
      </c>
      <c r="O612" s="8" t="s">
        <v>54</v>
      </c>
      <c r="P612" s="8" t="s">
        <v>54</v>
      </c>
      <c r="Q612" s="8" t="s">
        <v>54</v>
      </c>
      <c r="R612" s="8" t="s">
        <v>54</v>
      </c>
      <c r="S612" s="8" t="s">
        <v>54</v>
      </c>
      <c r="T612" s="8" t="s">
        <v>54</v>
      </c>
      <c r="U612" s="10" t="s">
        <v>67</v>
      </c>
      <c r="V612" s="8" t="s">
        <v>54</v>
      </c>
      <c r="W612" s="8" t="s">
        <v>54</v>
      </c>
      <c r="X612" s="8" t="s">
        <v>54</v>
      </c>
      <c r="Y612" s="8" t="s">
        <v>54</v>
      </c>
      <c r="Z612" s="8" t="s">
        <v>54</v>
      </c>
      <c r="AA612" s="8" t="s">
        <v>54</v>
      </c>
      <c r="AB612" s="10" t="s">
        <v>67</v>
      </c>
      <c r="AC612" s="8" t="s">
        <v>54</v>
      </c>
      <c r="AD612" s="8" t="s">
        <v>54</v>
      </c>
      <c r="AE612" s="8" t="s">
        <v>54</v>
      </c>
      <c r="AF612" s="8" t="s">
        <v>54</v>
      </c>
      <c r="AG612" s="8" t="s">
        <v>54</v>
      </c>
      <c r="AH612" s="8" t="s">
        <v>54</v>
      </c>
      <c r="AI612" s="10" t="s">
        <v>67</v>
      </c>
      <c r="AJ612" s="8">
        <f>COUNTIF($E$612:$AI$612,"P")</f>
        <v>26</v>
      </c>
      <c r="AK612" s="8">
        <f>COUNTIF($E$612:$AI$612,"A")</f>
        <v>0</v>
      </c>
      <c r="AL612" s="8">
        <f>SUM($E$613:$AI$613)</f>
        <v>30</v>
      </c>
      <c r="AM612" s="8">
        <f>SUM($E$614:$AI$614)</f>
        <v>80</v>
      </c>
      <c r="AN612" s="8">
        <f>AL612+AM612</f>
        <v>110</v>
      </c>
      <c r="AO612" s="8">
        <f>COUNTIF($E$612:$AI$612,"CL")</f>
        <v>0</v>
      </c>
      <c r="AP612" s="8">
        <f>COUNTIF($E$612:$AI$612,"SL")</f>
        <v>0</v>
      </c>
      <c r="AQ612" s="8">
        <f>COUNTIF($E$612:$AI$612,"EL")</f>
        <v>0</v>
      </c>
      <c r="AR612" s="8">
        <f>COUNTIF($E$612:$AI$612,"H")</f>
        <v>0</v>
      </c>
      <c r="AS612" s="8"/>
      <c r="AT612" s="11" t="s">
        <v>17</v>
      </c>
    </row>
    <row r="613" spans="1:46" ht="15.1" customHeight="1">
      <c r="A613" s="8"/>
      <c r="B613" s="9"/>
      <c r="C613" s="8"/>
      <c r="D613" s="9"/>
      <c r="E613" s="8">
        <v>2</v>
      </c>
      <c r="F613" s="8">
        <v>0</v>
      </c>
      <c r="G613" s="8">
        <v>0</v>
      </c>
      <c r="H613" s="8">
        <v>2</v>
      </c>
      <c r="I613" s="8">
        <v>2</v>
      </c>
      <c r="J613" s="8">
        <v>2</v>
      </c>
      <c r="K613" s="8">
        <v>2</v>
      </c>
      <c r="L613" s="8">
        <v>2</v>
      </c>
      <c r="M613" s="8">
        <v>2</v>
      </c>
      <c r="N613" s="8">
        <v>0</v>
      </c>
      <c r="O613" s="8">
        <v>2</v>
      </c>
      <c r="P613" s="8">
        <v>2</v>
      </c>
      <c r="Q613" s="8">
        <v>2</v>
      </c>
      <c r="R613" s="8">
        <v>2</v>
      </c>
      <c r="S613" s="8">
        <v>2</v>
      </c>
      <c r="T613" s="8">
        <v>2</v>
      </c>
      <c r="U613" s="8">
        <v>0</v>
      </c>
      <c r="V613" s="8">
        <v>2</v>
      </c>
      <c r="W613" s="8">
        <v>2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11" t="s">
        <v>17</v>
      </c>
    </row>
    <row r="614" spans="1:46" ht="15.1" customHeight="1">
      <c r="A614" s="8"/>
      <c r="B614" s="9"/>
      <c r="C614" s="8"/>
      <c r="D614" s="9"/>
      <c r="E614" s="8">
        <v>3</v>
      </c>
      <c r="F614" s="8">
        <v>0</v>
      </c>
      <c r="G614" s="8">
        <v>0</v>
      </c>
      <c r="H614" s="8">
        <v>3</v>
      </c>
      <c r="I614" s="8">
        <v>3</v>
      </c>
      <c r="J614" s="8">
        <v>3</v>
      </c>
      <c r="K614" s="8">
        <v>3</v>
      </c>
      <c r="L614" s="8">
        <v>7</v>
      </c>
      <c r="M614" s="8">
        <v>5</v>
      </c>
      <c r="N614" s="8">
        <v>17</v>
      </c>
      <c r="O614" s="8">
        <v>7</v>
      </c>
      <c r="P614" s="8">
        <v>7</v>
      </c>
      <c r="Q614" s="8">
        <v>5</v>
      </c>
      <c r="R614" s="8">
        <v>7</v>
      </c>
      <c r="S614" s="8">
        <v>7</v>
      </c>
      <c r="T614" s="8">
        <v>3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11" t="s">
        <v>17</v>
      </c>
    </row>
    <row r="615" spans="1:46" ht="15.1" customHeight="1">
      <c r="A615" s="8">
        <v>204</v>
      </c>
      <c r="B615" s="9" t="s">
        <v>669</v>
      </c>
      <c r="C615" s="8" t="s">
        <v>670</v>
      </c>
      <c r="D615" s="9" t="s">
        <v>266</v>
      </c>
      <c r="E615" s="8" t="s">
        <v>54</v>
      </c>
      <c r="F615" s="8" t="s">
        <v>54</v>
      </c>
      <c r="G615" s="10" t="s">
        <v>67</v>
      </c>
      <c r="H615" s="8" t="s">
        <v>54</v>
      </c>
      <c r="I615" s="8" t="s">
        <v>54</v>
      </c>
      <c r="J615" s="8" t="s">
        <v>54</v>
      </c>
      <c r="K615" s="12" t="s">
        <v>55</v>
      </c>
      <c r="L615" s="12" t="s">
        <v>55</v>
      </c>
      <c r="M615" s="12" t="s">
        <v>55</v>
      </c>
      <c r="N615" s="10" t="s">
        <v>67</v>
      </c>
      <c r="O615" s="8" t="s">
        <v>54</v>
      </c>
      <c r="P615" s="12" t="s">
        <v>55</v>
      </c>
      <c r="Q615" s="12" t="s">
        <v>55</v>
      </c>
      <c r="R615" s="8" t="s">
        <v>54</v>
      </c>
      <c r="S615" s="8" t="s">
        <v>54</v>
      </c>
      <c r="T615" s="8" t="s">
        <v>54</v>
      </c>
      <c r="U615" s="10" t="s">
        <v>67</v>
      </c>
      <c r="V615" s="8" t="s">
        <v>54</v>
      </c>
      <c r="W615" s="8" t="s">
        <v>54</v>
      </c>
      <c r="X615" s="8" t="s">
        <v>54</v>
      </c>
      <c r="Y615" s="8" t="s">
        <v>54</v>
      </c>
      <c r="Z615" s="8" t="s">
        <v>54</v>
      </c>
      <c r="AA615" s="8" t="s">
        <v>54</v>
      </c>
      <c r="AB615" s="10" t="s">
        <v>67</v>
      </c>
      <c r="AC615" s="8" t="s">
        <v>54</v>
      </c>
      <c r="AD615" s="8" t="s">
        <v>54</v>
      </c>
      <c r="AE615" s="8" t="s">
        <v>54</v>
      </c>
      <c r="AF615" s="8" t="s">
        <v>54</v>
      </c>
      <c r="AG615" s="8" t="s">
        <v>54</v>
      </c>
      <c r="AH615" s="8" t="s">
        <v>54</v>
      </c>
      <c r="AI615" s="10" t="s">
        <v>67</v>
      </c>
      <c r="AJ615" s="8">
        <f>COUNTIF($E$615:$AI$615,"P")</f>
        <v>21</v>
      </c>
      <c r="AK615" s="8">
        <f>COUNTIF($E$615:$AI$615,"A")</f>
        <v>5</v>
      </c>
      <c r="AL615" s="8">
        <f>SUM($E$616:$AI$616)</f>
        <v>20</v>
      </c>
      <c r="AM615" s="8">
        <f>SUM($E$617:$AI$617)</f>
        <v>24</v>
      </c>
      <c r="AN615" s="8">
        <f>AL615+AM615</f>
        <v>44</v>
      </c>
      <c r="AO615" s="8">
        <f>COUNTIF($E$615:$AI$615,"CL")</f>
        <v>0</v>
      </c>
      <c r="AP615" s="8">
        <f>COUNTIF($E$615:$AI$615,"SL")</f>
        <v>0</v>
      </c>
      <c r="AQ615" s="8">
        <f>COUNTIF($E$615:$AI$615,"EL")</f>
        <v>0</v>
      </c>
      <c r="AR615" s="8">
        <f>COUNTIF($E$615:$AI$615,"H")</f>
        <v>0</v>
      </c>
      <c r="AS615" s="8"/>
      <c r="AT615" s="11" t="s">
        <v>17</v>
      </c>
    </row>
    <row r="616" spans="1:46" ht="15.1" customHeight="1">
      <c r="A616" s="8"/>
      <c r="B616" s="9"/>
      <c r="C616" s="8"/>
      <c r="D616" s="9"/>
      <c r="E616" s="8">
        <v>2</v>
      </c>
      <c r="F616" s="8">
        <v>2</v>
      </c>
      <c r="G616" s="8">
        <v>0</v>
      </c>
      <c r="H616" s="8">
        <v>2</v>
      </c>
      <c r="I616" s="8">
        <v>2</v>
      </c>
      <c r="J616" s="8">
        <v>2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2</v>
      </c>
      <c r="S616" s="8">
        <v>2</v>
      </c>
      <c r="T616" s="8">
        <v>2</v>
      </c>
      <c r="U616" s="8">
        <v>0</v>
      </c>
      <c r="V616" s="8">
        <v>2</v>
      </c>
      <c r="W616" s="8">
        <v>2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11" t="s">
        <v>17</v>
      </c>
    </row>
    <row r="617" spans="1:46" ht="15.1" customHeight="1">
      <c r="A617" s="8"/>
      <c r="B617" s="9"/>
      <c r="C617" s="8"/>
      <c r="D617" s="9"/>
      <c r="E617" s="8">
        <v>3</v>
      </c>
      <c r="F617" s="8">
        <v>3</v>
      </c>
      <c r="G617" s="8">
        <v>0</v>
      </c>
      <c r="H617" s="8">
        <v>3</v>
      </c>
      <c r="I617" s="8">
        <v>3</v>
      </c>
      <c r="J617" s="8">
        <v>3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3</v>
      </c>
      <c r="S617" s="8">
        <v>3</v>
      </c>
      <c r="T617" s="8">
        <v>3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11" t="s">
        <v>17</v>
      </c>
    </row>
    <row r="618" spans="1:46" ht="15.1" customHeight="1">
      <c r="A618" s="8">
        <v>205</v>
      </c>
      <c r="B618" s="9" t="s">
        <v>671</v>
      </c>
      <c r="C618" s="8" t="s">
        <v>672</v>
      </c>
      <c r="D618" s="9" t="s">
        <v>266</v>
      </c>
      <c r="E618" s="8" t="s">
        <v>54</v>
      </c>
      <c r="F618" s="8" t="s">
        <v>54</v>
      </c>
      <c r="G618" s="10" t="s">
        <v>67</v>
      </c>
      <c r="H618" s="8" t="s">
        <v>54</v>
      </c>
      <c r="I618" s="8" t="s">
        <v>54</v>
      </c>
      <c r="J618" s="8" t="s">
        <v>54</v>
      </c>
      <c r="K618" s="8" t="s">
        <v>54</v>
      </c>
      <c r="L618" s="8" t="s">
        <v>54</v>
      </c>
      <c r="M618" s="8" t="s">
        <v>54</v>
      </c>
      <c r="N618" s="10" t="s">
        <v>67</v>
      </c>
      <c r="O618" s="8" t="s">
        <v>54</v>
      </c>
      <c r="P618" s="8" t="s">
        <v>54</v>
      </c>
      <c r="Q618" s="8" t="s">
        <v>54</v>
      </c>
      <c r="R618" s="8" t="s">
        <v>54</v>
      </c>
      <c r="S618" s="8" t="s">
        <v>54</v>
      </c>
      <c r="T618" s="8" t="s">
        <v>54</v>
      </c>
      <c r="U618" s="10" t="s">
        <v>67</v>
      </c>
      <c r="V618" s="8" t="s">
        <v>54</v>
      </c>
      <c r="W618" s="8" t="s">
        <v>54</v>
      </c>
      <c r="X618" s="8" t="s">
        <v>54</v>
      </c>
      <c r="Y618" s="8" t="s">
        <v>54</v>
      </c>
      <c r="Z618" s="8" t="s">
        <v>54</v>
      </c>
      <c r="AA618" s="8" t="s">
        <v>54</v>
      </c>
      <c r="AB618" s="10" t="s">
        <v>67</v>
      </c>
      <c r="AC618" s="8" t="s">
        <v>54</v>
      </c>
      <c r="AD618" s="8" t="s">
        <v>54</v>
      </c>
      <c r="AE618" s="8" t="s">
        <v>54</v>
      </c>
      <c r="AF618" s="8" t="s">
        <v>54</v>
      </c>
      <c r="AG618" s="8" t="s">
        <v>54</v>
      </c>
      <c r="AH618" s="8" t="s">
        <v>54</v>
      </c>
      <c r="AI618" s="10" t="s">
        <v>67</v>
      </c>
      <c r="AJ618" s="8">
        <f>COUNTIF($E$618:$AI$618,"P")</f>
        <v>26</v>
      </c>
      <c r="AK618" s="8">
        <f>COUNTIF($E$618:$AI$618,"A")</f>
        <v>0</v>
      </c>
      <c r="AL618" s="8">
        <f>SUM($E$619:$AI$619)</f>
        <v>30</v>
      </c>
      <c r="AM618" s="8">
        <f>SUM($E$620:$AI$620)</f>
        <v>105</v>
      </c>
      <c r="AN618" s="8">
        <f>AL618+AM618</f>
        <v>135</v>
      </c>
      <c r="AO618" s="8">
        <f>COUNTIF($E$618:$AI$618,"CL")</f>
        <v>0</v>
      </c>
      <c r="AP618" s="8">
        <f>COUNTIF($E$618:$AI$618,"SL")</f>
        <v>0</v>
      </c>
      <c r="AQ618" s="8">
        <f>COUNTIF($E$618:$AI$618,"EL")</f>
        <v>0</v>
      </c>
      <c r="AR618" s="8">
        <f>COUNTIF($E$618:$AI$618,"H")</f>
        <v>0</v>
      </c>
      <c r="AS618" s="8"/>
      <c r="AT618" s="11" t="s">
        <v>17</v>
      </c>
    </row>
    <row r="619" spans="1:46" ht="15.1" customHeight="1">
      <c r="A619" s="8"/>
      <c r="B619" s="9"/>
      <c r="C619" s="8"/>
      <c r="D619" s="9"/>
      <c r="E619" s="8">
        <v>2</v>
      </c>
      <c r="F619" s="8">
        <v>2</v>
      </c>
      <c r="G619" s="8">
        <v>0</v>
      </c>
      <c r="H619" s="8">
        <v>2</v>
      </c>
      <c r="I619" s="8">
        <v>2</v>
      </c>
      <c r="J619" s="8">
        <v>2</v>
      </c>
      <c r="K619" s="8">
        <v>2</v>
      </c>
      <c r="L619" s="8">
        <v>2</v>
      </c>
      <c r="M619" s="8">
        <v>2</v>
      </c>
      <c r="N619" s="8">
        <v>0</v>
      </c>
      <c r="O619" s="8">
        <v>2</v>
      </c>
      <c r="P619" s="8">
        <v>2</v>
      </c>
      <c r="Q619" s="8">
        <v>2</v>
      </c>
      <c r="R619" s="8">
        <v>2</v>
      </c>
      <c r="S619" s="8">
        <v>2</v>
      </c>
      <c r="T619" s="8">
        <v>2</v>
      </c>
      <c r="U619" s="8">
        <v>0</v>
      </c>
      <c r="V619" s="8">
        <v>0</v>
      </c>
      <c r="W619" s="8">
        <v>2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11" t="s">
        <v>17</v>
      </c>
    </row>
    <row r="620" spans="1:46" ht="15.1" customHeight="1">
      <c r="A620" s="8"/>
      <c r="B620" s="9"/>
      <c r="C620" s="8"/>
      <c r="D620" s="9"/>
      <c r="E620" s="8">
        <v>3</v>
      </c>
      <c r="F620" s="8">
        <v>3</v>
      </c>
      <c r="G620" s="8">
        <v>14</v>
      </c>
      <c r="H620" s="8">
        <v>3</v>
      </c>
      <c r="I620" s="8">
        <v>3</v>
      </c>
      <c r="J620" s="8">
        <v>7</v>
      </c>
      <c r="K620" s="8">
        <v>7</v>
      </c>
      <c r="L620" s="8">
        <v>7</v>
      </c>
      <c r="M620" s="8">
        <v>5</v>
      </c>
      <c r="N620" s="8">
        <v>17</v>
      </c>
      <c r="O620" s="8">
        <v>7</v>
      </c>
      <c r="P620" s="8">
        <v>7</v>
      </c>
      <c r="Q620" s="8">
        <v>5</v>
      </c>
      <c r="R620" s="8">
        <v>7</v>
      </c>
      <c r="S620" s="8">
        <v>7</v>
      </c>
      <c r="T620" s="8">
        <v>3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11" t="s">
        <v>17</v>
      </c>
    </row>
    <row r="621" spans="1:46" ht="15.1" customHeight="1">
      <c r="A621" s="8">
        <v>206</v>
      </c>
      <c r="B621" s="9" t="s">
        <v>673</v>
      </c>
      <c r="C621" s="8" t="s">
        <v>674</v>
      </c>
      <c r="D621" s="9" t="s">
        <v>266</v>
      </c>
      <c r="E621" s="8" t="s">
        <v>54</v>
      </c>
      <c r="F621" s="8" t="s">
        <v>54</v>
      </c>
      <c r="G621" s="10" t="s">
        <v>67</v>
      </c>
      <c r="H621" s="8" t="s">
        <v>54</v>
      </c>
      <c r="I621" s="8" t="s">
        <v>54</v>
      </c>
      <c r="J621" s="8" t="s">
        <v>54</v>
      </c>
      <c r="K621" s="8" t="s">
        <v>54</v>
      </c>
      <c r="L621" s="8" t="s">
        <v>54</v>
      </c>
      <c r="M621" s="8" t="s">
        <v>54</v>
      </c>
      <c r="N621" s="10" t="s">
        <v>67</v>
      </c>
      <c r="O621" s="8" t="s">
        <v>54</v>
      </c>
      <c r="P621" s="8" t="s">
        <v>54</v>
      </c>
      <c r="Q621" s="8" t="s">
        <v>54</v>
      </c>
      <c r="R621" s="8" t="s">
        <v>54</v>
      </c>
      <c r="S621" s="8" t="s">
        <v>54</v>
      </c>
      <c r="T621" s="8" t="s">
        <v>54</v>
      </c>
      <c r="U621" s="10" t="s">
        <v>67</v>
      </c>
      <c r="V621" s="8" t="s">
        <v>54</v>
      </c>
      <c r="W621" s="8" t="s">
        <v>54</v>
      </c>
      <c r="X621" s="8" t="s">
        <v>54</v>
      </c>
      <c r="Y621" s="8" t="s">
        <v>54</v>
      </c>
      <c r="Z621" s="8" t="s">
        <v>54</v>
      </c>
      <c r="AA621" s="8" t="s">
        <v>54</v>
      </c>
      <c r="AB621" s="10" t="s">
        <v>67</v>
      </c>
      <c r="AC621" s="8" t="s">
        <v>54</v>
      </c>
      <c r="AD621" s="8" t="s">
        <v>54</v>
      </c>
      <c r="AE621" s="8" t="s">
        <v>54</v>
      </c>
      <c r="AF621" s="8" t="s">
        <v>54</v>
      </c>
      <c r="AG621" s="8" t="s">
        <v>54</v>
      </c>
      <c r="AH621" s="8" t="s">
        <v>54</v>
      </c>
      <c r="AI621" s="10" t="s">
        <v>67</v>
      </c>
      <c r="AJ621" s="8">
        <f>COUNTIF($E$621:$AI$621,"P")</f>
        <v>26</v>
      </c>
      <c r="AK621" s="8">
        <f>COUNTIF($E$621:$AI$621,"A")</f>
        <v>0</v>
      </c>
      <c r="AL621" s="8">
        <f>SUM($E$622:$AI$622)</f>
        <v>28</v>
      </c>
      <c r="AM621" s="8">
        <f>SUM($E$623:$AI$623)</f>
        <v>20.5</v>
      </c>
      <c r="AN621" s="8">
        <f>AL621+AM621</f>
        <v>48.5</v>
      </c>
      <c r="AO621" s="8">
        <f>COUNTIF($E$621:$AI$621,"CL")</f>
        <v>0</v>
      </c>
      <c r="AP621" s="8">
        <f>COUNTIF($E$621:$AI$621,"SL")</f>
        <v>0</v>
      </c>
      <c r="AQ621" s="8">
        <f>COUNTIF($E$621:$AI$621,"EL")</f>
        <v>0</v>
      </c>
      <c r="AR621" s="8">
        <f>COUNTIF($E$621:$AI$621,"H")</f>
        <v>0</v>
      </c>
      <c r="AS621" s="8"/>
      <c r="AT621" s="11" t="s">
        <v>17</v>
      </c>
    </row>
    <row r="622" spans="1:46" ht="15.1" customHeight="1">
      <c r="A622" s="8"/>
      <c r="B622" s="9"/>
      <c r="C622" s="8"/>
      <c r="D622" s="9"/>
      <c r="E622" s="8">
        <v>2</v>
      </c>
      <c r="F622" s="8">
        <v>0</v>
      </c>
      <c r="G622" s="8">
        <v>0</v>
      </c>
      <c r="H622" s="8">
        <v>2</v>
      </c>
      <c r="I622" s="8">
        <v>2</v>
      </c>
      <c r="J622" s="8">
        <v>2</v>
      </c>
      <c r="K622" s="8">
        <v>2</v>
      </c>
      <c r="L622" s="8">
        <v>0</v>
      </c>
      <c r="M622" s="8">
        <v>2</v>
      </c>
      <c r="N622" s="8">
        <v>0</v>
      </c>
      <c r="O622" s="8">
        <v>2</v>
      </c>
      <c r="P622" s="8">
        <v>2</v>
      </c>
      <c r="Q622" s="8">
        <v>2</v>
      </c>
      <c r="R622" s="8">
        <v>2</v>
      </c>
      <c r="S622" s="8">
        <v>2</v>
      </c>
      <c r="T622" s="8">
        <v>2</v>
      </c>
      <c r="U622" s="8">
        <v>0</v>
      </c>
      <c r="V622" s="8">
        <v>2</v>
      </c>
      <c r="W622" s="8">
        <v>2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11" t="s">
        <v>17</v>
      </c>
    </row>
    <row r="623" spans="1:46" ht="15.1" customHeight="1">
      <c r="A623" s="8"/>
      <c r="B623" s="9"/>
      <c r="C623" s="8"/>
      <c r="D623" s="9"/>
      <c r="E623" s="8">
        <v>0.5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5</v>
      </c>
      <c r="P623" s="8">
        <v>3</v>
      </c>
      <c r="Q623" s="8">
        <v>3</v>
      </c>
      <c r="R623" s="8">
        <v>3</v>
      </c>
      <c r="S623" s="8">
        <v>3</v>
      </c>
      <c r="T623" s="8">
        <v>3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11" t="s">
        <v>17</v>
      </c>
    </row>
    <row r="624" spans="1:46" ht="15.1" customHeight="1">
      <c r="A624" s="8">
        <v>207</v>
      </c>
      <c r="B624" s="9" t="s">
        <v>675</v>
      </c>
      <c r="C624" s="8" t="s">
        <v>676</v>
      </c>
      <c r="D624" s="9" t="s">
        <v>266</v>
      </c>
      <c r="E624" s="8" t="s">
        <v>54</v>
      </c>
      <c r="F624" s="8" t="s">
        <v>54</v>
      </c>
      <c r="G624" s="10" t="s">
        <v>67</v>
      </c>
      <c r="H624" s="8" t="s">
        <v>54</v>
      </c>
      <c r="I624" s="8" t="s">
        <v>54</v>
      </c>
      <c r="J624" s="8" t="s">
        <v>54</v>
      </c>
      <c r="K624" s="8" t="s">
        <v>54</v>
      </c>
      <c r="L624" s="8" t="s">
        <v>54</v>
      </c>
      <c r="M624" s="8" t="s">
        <v>54</v>
      </c>
      <c r="N624" s="10" t="s">
        <v>67</v>
      </c>
      <c r="O624" s="8" t="s">
        <v>54</v>
      </c>
      <c r="P624" s="8" t="s">
        <v>54</v>
      </c>
      <c r="Q624" s="8" t="s">
        <v>54</v>
      </c>
      <c r="R624" s="8" t="s">
        <v>54</v>
      </c>
      <c r="S624" s="8" t="s">
        <v>54</v>
      </c>
      <c r="T624" s="8" t="s">
        <v>54</v>
      </c>
      <c r="U624" s="10" t="s">
        <v>67</v>
      </c>
      <c r="V624" s="8" t="s">
        <v>54</v>
      </c>
      <c r="W624" s="8" t="s">
        <v>54</v>
      </c>
      <c r="X624" s="8" t="s">
        <v>54</v>
      </c>
      <c r="Y624" s="8" t="s">
        <v>54</v>
      </c>
      <c r="Z624" s="8" t="s">
        <v>54</v>
      </c>
      <c r="AA624" s="8" t="s">
        <v>54</v>
      </c>
      <c r="AB624" s="10" t="s">
        <v>67</v>
      </c>
      <c r="AC624" s="8" t="s">
        <v>54</v>
      </c>
      <c r="AD624" s="8" t="s">
        <v>54</v>
      </c>
      <c r="AE624" s="8" t="s">
        <v>54</v>
      </c>
      <c r="AF624" s="8" t="s">
        <v>54</v>
      </c>
      <c r="AG624" s="8" t="s">
        <v>54</v>
      </c>
      <c r="AH624" s="8" t="s">
        <v>54</v>
      </c>
      <c r="AI624" s="10" t="s">
        <v>67</v>
      </c>
      <c r="AJ624" s="8">
        <f>COUNTIF($E$624:$AI$624,"P")</f>
        <v>26</v>
      </c>
      <c r="AK624" s="8">
        <f>COUNTIF($E$624:$AI$624,"A")</f>
        <v>0</v>
      </c>
      <c r="AL624" s="8">
        <f>SUM($E$625:$AI$625)</f>
        <v>32</v>
      </c>
      <c r="AM624" s="8">
        <f>SUM($E$626:$AI$626)</f>
        <v>20</v>
      </c>
      <c r="AN624" s="8">
        <f>AL624+AM624</f>
        <v>52</v>
      </c>
      <c r="AO624" s="8">
        <f>COUNTIF($E$624:$AI$624,"CL")</f>
        <v>0</v>
      </c>
      <c r="AP624" s="8">
        <f>COUNTIF($E$624:$AI$624,"SL")</f>
        <v>0</v>
      </c>
      <c r="AQ624" s="8">
        <f>COUNTIF($E$624:$AI$624,"EL")</f>
        <v>0</v>
      </c>
      <c r="AR624" s="8">
        <f>COUNTIF($E$624:$AI$624,"H")</f>
        <v>0</v>
      </c>
      <c r="AS624" s="8"/>
      <c r="AT624" s="11" t="s">
        <v>17</v>
      </c>
    </row>
    <row r="625" spans="1:46" ht="15.1" customHeight="1">
      <c r="A625" s="8"/>
      <c r="B625" s="9"/>
      <c r="C625" s="8"/>
      <c r="D625" s="9"/>
      <c r="E625" s="8">
        <v>2</v>
      </c>
      <c r="F625" s="8">
        <v>2</v>
      </c>
      <c r="G625" s="8">
        <v>0</v>
      </c>
      <c r="H625" s="8">
        <v>2</v>
      </c>
      <c r="I625" s="8">
        <v>2</v>
      </c>
      <c r="J625" s="8">
        <v>2</v>
      </c>
      <c r="K625" s="8">
        <v>2</v>
      </c>
      <c r="L625" s="8">
        <v>2</v>
      </c>
      <c r="M625" s="8">
        <v>2</v>
      </c>
      <c r="N625" s="8">
        <v>0</v>
      </c>
      <c r="O625" s="8">
        <v>2</v>
      </c>
      <c r="P625" s="8">
        <v>2</v>
      </c>
      <c r="Q625" s="8">
        <v>2</v>
      </c>
      <c r="R625" s="8">
        <v>2</v>
      </c>
      <c r="S625" s="8">
        <v>2</v>
      </c>
      <c r="T625" s="8">
        <v>2</v>
      </c>
      <c r="U625" s="8">
        <v>0</v>
      </c>
      <c r="V625" s="8">
        <v>2</v>
      </c>
      <c r="W625" s="8">
        <v>2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11" t="s">
        <v>17</v>
      </c>
    </row>
    <row r="626" spans="1:46" ht="15.1" customHeight="1">
      <c r="A626" s="8"/>
      <c r="B626" s="9"/>
      <c r="C626" s="8"/>
      <c r="D626" s="9"/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5</v>
      </c>
      <c r="P626" s="8">
        <v>3</v>
      </c>
      <c r="Q626" s="8">
        <v>3</v>
      </c>
      <c r="R626" s="8">
        <v>3</v>
      </c>
      <c r="S626" s="8">
        <v>3</v>
      </c>
      <c r="T626" s="8">
        <v>3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11" t="s">
        <v>17</v>
      </c>
    </row>
    <row r="627" spans="1:46" ht="15.1" customHeight="1">
      <c r="A627" s="8">
        <v>208</v>
      </c>
      <c r="B627" s="9" t="s">
        <v>677</v>
      </c>
      <c r="C627" s="8" t="s">
        <v>678</v>
      </c>
      <c r="D627" s="9" t="s">
        <v>451</v>
      </c>
      <c r="E627" s="8" t="s">
        <v>54</v>
      </c>
      <c r="F627" s="8" t="s">
        <v>54</v>
      </c>
      <c r="G627" s="10" t="s">
        <v>67</v>
      </c>
      <c r="H627" s="8" t="s">
        <v>54</v>
      </c>
      <c r="I627" s="8" t="s">
        <v>54</v>
      </c>
      <c r="J627" s="8" t="s">
        <v>54</v>
      </c>
      <c r="K627" s="8" t="s">
        <v>54</v>
      </c>
      <c r="L627" s="8" t="s">
        <v>54</v>
      </c>
      <c r="M627" s="8" t="s">
        <v>54</v>
      </c>
      <c r="N627" s="10" t="s">
        <v>67</v>
      </c>
      <c r="O627" s="8" t="s">
        <v>54</v>
      </c>
      <c r="P627" s="8" t="s">
        <v>54</v>
      </c>
      <c r="Q627" s="8" t="s">
        <v>54</v>
      </c>
      <c r="R627" s="8" t="s">
        <v>54</v>
      </c>
      <c r="S627" s="8" t="s">
        <v>54</v>
      </c>
      <c r="T627" s="8" t="s">
        <v>54</v>
      </c>
      <c r="U627" s="10" t="s">
        <v>67</v>
      </c>
      <c r="V627" s="8" t="s">
        <v>54</v>
      </c>
      <c r="W627" s="8" t="s">
        <v>54</v>
      </c>
      <c r="X627" s="8" t="s">
        <v>54</v>
      </c>
      <c r="Y627" s="8" t="s">
        <v>54</v>
      </c>
      <c r="Z627" s="8" t="s">
        <v>54</v>
      </c>
      <c r="AA627" s="8" t="s">
        <v>54</v>
      </c>
      <c r="AB627" s="10" t="s">
        <v>67</v>
      </c>
      <c r="AC627" s="8" t="s">
        <v>54</v>
      </c>
      <c r="AD627" s="8" t="s">
        <v>54</v>
      </c>
      <c r="AE627" s="8" t="s">
        <v>54</v>
      </c>
      <c r="AF627" s="8" t="s">
        <v>54</v>
      </c>
      <c r="AG627" s="8" t="s">
        <v>54</v>
      </c>
      <c r="AH627" s="8" t="s">
        <v>54</v>
      </c>
      <c r="AI627" s="10" t="s">
        <v>67</v>
      </c>
      <c r="AJ627" s="8">
        <f>COUNTIF($E$627:$AI$627,"P")</f>
        <v>26</v>
      </c>
      <c r="AK627" s="8">
        <f>COUNTIF($E$627:$AI$627,"A")</f>
        <v>0</v>
      </c>
      <c r="AL627" s="8">
        <f>SUM($E$628:$AI$628)</f>
        <v>38</v>
      </c>
      <c r="AM627" s="8">
        <f>SUM($E$629:$AI$629)</f>
        <v>115.5</v>
      </c>
      <c r="AN627" s="8">
        <f>AL627+AM627</f>
        <v>153.5</v>
      </c>
      <c r="AO627" s="8">
        <f>COUNTIF($E$627:$AI$627,"CL")</f>
        <v>0</v>
      </c>
      <c r="AP627" s="8">
        <f>COUNTIF($E$627:$AI$627,"SL")</f>
        <v>0</v>
      </c>
      <c r="AQ627" s="8">
        <f>COUNTIF($E$627:$AI$627,"EL")</f>
        <v>0</v>
      </c>
      <c r="AR627" s="8">
        <f>COUNTIF($E$627:$AI$627,"H")</f>
        <v>0</v>
      </c>
      <c r="AS627" s="8"/>
      <c r="AT627" s="11" t="s">
        <v>245</v>
      </c>
    </row>
    <row r="628" spans="1:46" ht="15.1" customHeight="1">
      <c r="A628" s="8"/>
      <c r="B628" s="9"/>
      <c r="C628" s="8"/>
      <c r="D628" s="9"/>
      <c r="E628" s="8">
        <v>2</v>
      </c>
      <c r="F628" s="8">
        <v>2</v>
      </c>
      <c r="G628" s="8">
        <v>0</v>
      </c>
      <c r="H628" s="8">
        <v>2</v>
      </c>
      <c r="I628" s="8">
        <v>2</v>
      </c>
      <c r="J628" s="8">
        <v>2</v>
      </c>
      <c r="K628" s="8">
        <v>2</v>
      </c>
      <c r="L628" s="8">
        <v>2</v>
      </c>
      <c r="M628" s="8">
        <v>2</v>
      </c>
      <c r="N628" s="8">
        <v>0</v>
      </c>
      <c r="O628" s="8">
        <v>2</v>
      </c>
      <c r="P628" s="8">
        <v>2</v>
      </c>
      <c r="Q628" s="8">
        <v>2</v>
      </c>
      <c r="R628" s="8">
        <v>2</v>
      </c>
      <c r="S628" s="8">
        <v>2</v>
      </c>
      <c r="T628" s="8">
        <v>2</v>
      </c>
      <c r="U628" s="8">
        <v>0</v>
      </c>
      <c r="V628" s="8">
        <v>2</v>
      </c>
      <c r="W628" s="8">
        <v>2</v>
      </c>
      <c r="X628" s="8">
        <v>2</v>
      </c>
      <c r="Y628" s="8">
        <v>0</v>
      </c>
      <c r="Z628" s="8">
        <v>0</v>
      </c>
      <c r="AA628" s="8">
        <v>0</v>
      </c>
      <c r="AB628" s="8">
        <v>0</v>
      </c>
      <c r="AC628" s="8">
        <v>2</v>
      </c>
      <c r="AD628" s="8">
        <v>2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11" t="s">
        <v>245</v>
      </c>
    </row>
    <row r="629" spans="1:46" ht="15.1" customHeight="1">
      <c r="A629" s="8"/>
      <c r="B629" s="9"/>
      <c r="C629" s="8"/>
      <c r="D629" s="9"/>
      <c r="E629" s="8">
        <v>4</v>
      </c>
      <c r="F629" s="8">
        <v>2</v>
      </c>
      <c r="G629" s="8">
        <v>14</v>
      </c>
      <c r="H629" s="8">
        <v>4</v>
      </c>
      <c r="I629" s="8">
        <v>6</v>
      </c>
      <c r="J629" s="8">
        <v>5</v>
      </c>
      <c r="K629" s="8">
        <v>3</v>
      </c>
      <c r="L629" s="8">
        <v>5</v>
      </c>
      <c r="M629" s="8">
        <v>4</v>
      </c>
      <c r="N629" s="8">
        <v>16.5</v>
      </c>
      <c r="O629" s="8">
        <v>7</v>
      </c>
      <c r="P629" s="8">
        <v>7</v>
      </c>
      <c r="Q629" s="8">
        <v>5</v>
      </c>
      <c r="R629" s="8">
        <v>5</v>
      </c>
      <c r="S629" s="8">
        <v>3</v>
      </c>
      <c r="T629" s="8">
        <v>3</v>
      </c>
      <c r="U629" s="8">
        <v>13</v>
      </c>
      <c r="V629" s="8">
        <v>0</v>
      </c>
      <c r="W629" s="8">
        <v>6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3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11" t="s">
        <v>245</v>
      </c>
    </row>
    <row r="630" spans="1:46" ht="15.1" customHeight="1">
      <c r="A630" s="8">
        <v>209</v>
      </c>
      <c r="B630" s="9" t="s">
        <v>679</v>
      </c>
      <c r="C630" s="8" t="s">
        <v>680</v>
      </c>
      <c r="D630" s="9" t="s">
        <v>451</v>
      </c>
      <c r="E630" s="8" t="s">
        <v>54</v>
      </c>
      <c r="F630" s="8" t="s">
        <v>54</v>
      </c>
      <c r="G630" s="10" t="s">
        <v>67</v>
      </c>
      <c r="H630" s="8" t="s">
        <v>54</v>
      </c>
      <c r="I630" s="8" t="s">
        <v>54</v>
      </c>
      <c r="J630" s="8" t="s">
        <v>54</v>
      </c>
      <c r="K630" s="8" t="s">
        <v>54</v>
      </c>
      <c r="L630" s="8" t="s">
        <v>54</v>
      </c>
      <c r="M630" s="8" t="s">
        <v>54</v>
      </c>
      <c r="N630" s="10" t="s">
        <v>67</v>
      </c>
      <c r="O630" s="8" t="s">
        <v>54</v>
      </c>
      <c r="P630" s="8" t="s">
        <v>54</v>
      </c>
      <c r="Q630" s="8" t="s">
        <v>54</v>
      </c>
      <c r="R630" s="8" t="s">
        <v>54</v>
      </c>
      <c r="S630" s="8" t="s">
        <v>54</v>
      </c>
      <c r="T630" s="8" t="s">
        <v>54</v>
      </c>
      <c r="U630" s="10" t="s">
        <v>67</v>
      </c>
      <c r="V630" s="8" t="s">
        <v>54</v>
      </c>
      <c r="W630" s="8" t="s">
        <v>54</v>
      </c>
      <c r="X630" s="8" t="s">
        <v>54</v>
      </c>
      <c r="Y630" s="8" t="s">
        <v>54</v>
      </c>
      <c r="Z630" s="8" t="s">
        <v>54</v>
      </c>
      <c r="AA630" s="8" t="s">
        <v>54</v>
      </c>
      <c r="AB630" s="10" t="s">
        <v>67</v>
      </c>
      <c r="AC630" s="8" t="s">
        <v>54</v>
      </c>
      <c r="AD630" s="8" t="s">
        <v>54</v>
      </c>
      <c r="AE630" s="8" t="s">
        <v>54</v>
      </c>
      <c r="AF630" s="8" t="s">
        <v>54</v>
      </c>
      <c r="AG630" s="8" t="s">
        <v>54</v>
      </c>
      <c r="AH630" s="8" t="s">
        <v>54</v>
      </c>
      <c r="AI630" s="10" t="s">
        <v>67</v>
      </c>
      <c r="AJ630" s="8">
        <f>COUNTIF($E$630:$AI$630,"P")</f>
        <v>26</v>
      </c>
      <c r="AK630" s="8">
        <f>COUNTIF($E$630:$AI$630,"A")</f>
        <v>0</v>
      </c>
      <c r="AL630" s="8">
        <f>SUM($E$631:$AI$631)</f>
        <v>38</v>
      </c>
      <c r="AM630" s="8">
        <f>SUM($E$632:$AI$632)</f>
        <v>116</v>
      </c>
      <c r="AN630" s="8">
        <f>AL630+AM630</f>
        <v>154</v>
      </c>
      <c r="AO630" s="8">
        <f>COUNTIF($E$630:$AI$630,"CL")</f>
        <v>0</v>
      </c>
      <c r="AP630" s="8">
        <f>COUNTIF($E$630:$AI$630,"SL")</f>
        <v>0</v>
      </c>
      <c r="AQ630" s="8">
        <f>COUNTIF($E$630:$AI$630,"EL")</f>
        <v>0</v>
      </c>
      <c r="AR630" s="8">
        <f>COUNTIF($E$630:$AI$630,"H")</f>
        <v>0</v>
      </c>
      <c r="AS630" s="8"/>
      <c r="AT630" s="11" t="s">
        <v>245</v>
      </c>
    </row>
    <row r="631" spans="1:46" ht="15.1" customHeight="1">
      <c r="A631" s="8"/>
      <c r="B631" s="9"/>
      <c r="C631" s="8"/>
      <c r="D631" s="9"/>
      <c r="E631" s="8">
        <v>2</v>
      </c>
      <c r="F631" s="8">
        <v>2</v>
      </c>
      <c r="G631" s="8">
        <v>0</v>
      </c>
      <c r="H631" s="8">
        <v>2</v>
      </c>
      <c r="I631" s="8">
        <v>2</v>
      </c>
      <c r="J631" s="8">
        <v>2</v>
      </c>
      <c r="K631" s="8">
        <v>2</v>
      </c>
      <c r="L631" s="8">
        <v>2</v>
      </c>
      <c r="M631" s="8">
        <v>2</v>
      </c>
      <c r="N631" s="8">
        <v>0</v>
      </c>
      <c r="O631" s="8">
        <v>2</v>
      </c>
      <c r="P631" s="8">
        <v>2</v>
      </c>
      <c r="Q631" s="8">
        <v>2</v>
      </c>
      <c r="R631" s="8">
        <v>2</v>
      </c>
      <c r="S631" s="8">
        <v>2</v>
      </c>
      <c r="T631" s="8">
        <v>2</v>
      </c>
      <c r="U631" s="8">
        <v>0</v>
      </c>
      <c r="V631" s="8">
        <v>2</v>
      </c>
      <c r="W631" s="8">
        <v>2</v>
      </c>
      <c r="X631" s="8">
        <v>2</v>
      </c>
      <c r="Y631" s="8">
        <v>0</v>
      </c>
      <c r="Z631" s="8">
        <v>0</v>
      </c>
      <c r="AA631" s="8">
        <v>0</v>
      </c>
      <c r="AB631" s="8">
        <v>0</v>
      </c>
      <c r="AC631" s="8">
        <v>2</v>
      </c>
      <c r="AD631" s="8">
        <v>2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11" t="s">
        <v>245</v>
      </c>
    </row>
    <row r="632" spans="1:46" ht="15.1" customHeight="1">
      <c r="A632" s="8"/>
      <c r="B632" s="9"/>
      <c r="C632" s="8"/>
      <c r="D632" s="9"/>
      <c r="E632" s="8">
        <v>4</v>
      </c>
      <c r="F632" s="8">
        <v>2</v>
      </c>
      <c r="G632" s="8">
        <v>14</v>
      </c>
      <c r="H632" s="8">
        <v>4</v>
      </c>
      <c r="I632" s="8">
        <v>6</v>
      </c>
      <c r="J632" s="8">
        <v>5</v>
      </c>
      <c r="K632" s="8">
        <v>3</v>
      </c>
      <c r="L632" s="8">
        <v>5</v>
      </c>
      <c r="M632" s="8">
        <v>4</v>
      </c>
      <c r="N632" s="8">
        <v>17</v>
      </c>
      <c r="O632" s="8">
        <v>7</v>
      </c>
      <c r="P632" s="8">
        <v>7</v>
      </c>
      <c r="Q632" s="8">
        <v>5</v>
      </c>
      <c r="R632" s="8">
        <v>5</v>
      </c>
      <c r="S632" s="8">
        <v>3</v>
      </c>
      <c r="T632" s="8">
        <v>3</v>
      </c>
      <c r="U632" s="8">
        <v>13</v>
      </c>
      <c r="V632" s="8">
        <v>0</v>
      </c>
      <c r="W632" s="8">
        <v>6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3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11" t="s">
        <v>245</v>
      </c>
    </row>
    <row r="633" spans="1:46" ht="15.1" customHeight="1">
      <c r="A633" s="8">
        <v>210</v>
      </c>
      <c r="B633" s="9" t="s">
        <v>681</v>
      </c>
      <c r="C633" s="8" t="s">
        <v>682</v>
      </c>
      <c r="D633" s="9" t="s">
        <v>451</v>
      </c>
      <c r="E633" s="12" t="s">
        <v>55</v>
      </c>
      <c r="F633" s="12" t="s">
        <v>55</v>
      </c>
      <c r="G633" s="10" t="s">
        <v>67</v>
      </c>
      <c r="H633" s="8" t="s">
        <v>54</v>
      </c>
      <c r="I633" s="8" t="s">
        <v>54</v>
      </c>
      <c r="J633" s="8" t="s">
        <v>54</v>
      </c>
      <c r="K633" s="8" t="s">
        <v>54</v>
      </c>
      <c r="L633" s="12" t="s">
        <v>55</v>
      </c>
      <c r="M633" s="8" t="s">
        <v>54</v>
      </c>
      <c r="N633" s="10" t="s">
        <v>67</v>
      </c>
      <c r="O633" s="8" t="s">
        <v>54</v>
      </c>
      <c r="P633" s="12" t="s">
        <v>55</v>
      </c>
      <c r="Q633" s="8" t="s">
        <v>54</v>
      </c>
      <c r="R633" s="8" t="s">
        <v>54</v>
      </c>
      <c r="S633" s="8" t="s">
        <v>54</v>
      </c>
      <c r="T633" s="8" t="s">
        <v>54</v>
      </c>
      <c r="U633" s="10" t="s">
        <v>67</v>
      </c>
      <c r="V633" s="12" t="s">
        <v>55</v>
      </c>
      <c r="W633" s="12" t="s">
        <v>55</v>
      </c>
      <c r="X633" s="12" t="s">
        <v>55</v>
      </c>
      <c r="Y633" s="12" t="s">
        <v>55</v>
      </c>
      <c r="Z633" s="12" t="s">
        <v>55</v>
      </c>
      <c r="AA633" s="12" t="s">
        <v>55</v>
      </c>
      <c r="AB633" s="10" t="s">
        <v>67</v>
      </c>
      <c r="AC633" s="12" t="s">
        <v>55</v>
      </c>
      <c r="AD633" s="12" t="s">
        <v>55</v>
      </c>
      <c r="AE633" s="8"/>
      <c r="AF633" s="8"/>
      <c r="AG633" s="8"/>
      <c r="AH633" s="8"/>
      <c r="AI633" s="10"/>
      <c r="AJ633" s="8">
        <f>COUNTIF($E$633:$AI$633,"P")</f>
        <v>10</v>
      </c>
      <c r="AK633" s="8">
        <f>COUNTIF($E$633:$AI$633,"A")</f>
        <v>12</v>
      </c>
      <c r="AL633" s="8">
        <f>SUM($E$634:$AI$634)</f>
        <v>20</v>
      </c>
      <c r="AM633" s="8">
        <f>SUM($E$635:$AI$635)</f>
        <v>72</v>
      </c>
      <c r="AN633" s="8">
        <f>AL633+AM633</f>
        <v>92</v>
      </c>
      <c r="AO633" s="8">
        <f>COUNTIF($E$633:$AI$633,"CL")</f>
        <v>0</v>
      </c>
      <c r="AP633" s="8">
        <f>COUNTIF($E$633:$AI$633,"SL")</f>
        <v>0</v>
      </c>
      <c r="AQ633" s="8">
        <f>COUNTIF($E$633:$AI$633,"EL")</f>
        <v>0</v>
      </c>
      <c r="AR633" s="8">
        <f>COUNTIF($E$633:$AI$633,"H")</f>
        <v>0</v>
      </c>
      <c r="AS633" s="8"/>
      <c r="AT633" s="11" t="s">
        <v>245</v>
      </c>
    </row>
    <row r="634" spans="1:46" ht="15.1" customHeight="1">
      <c r="A634" s="8"/>
      <c r="B634" s="9"/>
      <c r="C634" s="8"/>
      <c r="D634" s="9"/>
      <c r="E634" s="8">
        <v>0</v>
      </c>
      <c r="F634" s="8">
        <v>0</v>
      </c>
      <c r="G634" s="8">
        <v>0</v>
      </c>
      <c r="H634" s="8">
        <v>2</v>
      </c>
      <c r="I634" s="8">
        <v>2</v>
      </c>
      <c r="J634" s="8">
        <v>2</v>
      </c>
      <c r="K634" s="8">
        <v>2</v>
      </c>
      <c r="L634" s="8">
        <v>0</v>
      </c>
      <c r="M634" s="8">
        <v>2</v>
      </c>
      <c r="N634" s="8">
        <v>0</v>
      </c>
      <c r="O634" s="8">
        <v>2</v>
      </c>
      <c r="P634" s="8">
        <v>0</v>
      </c>
      <c r="Q634" s="8">
        <v>2</v>
      </c>
      <c r="R634" s="8">
        <v>2</v>
      </c>
      <c r="S634" s="8">
        <v>2</v>
      </c>
      <c r="T634" s="8">
        <v>2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11" t="s">
        <v>245</v>
      </c>
    </row>
    <row r="635" spans="1:46" ht="15.1" customHeight="1">
      <c r="A635" s="8"/>
      <c r="B635" s="9"/>
      <c r="C635" s="8"/>
      <c r="D635" s="9"/>
      <c r="E635" s="8">
        <v>0</v>
      </c>
      <c r="F635" s="8">
        <v>0</v>
      </c>
      <c r="G635" s="8">
        <v>14</v>
      </c>
      <c r="H635" s="8">
        <v>4</v>
      </c>
      <c r="I635" s="8">
        <v>5.5</v>
      </c>
      <c r="J635" s="8">
        <v>4.5</v>
      </c>
      <c r="K635" s="8">
        <v>2.5</v>
      </c>
      <c r="L635" s="8">
        <v>0</v>
      </c>
      <c r="M635" s="8">
        <v>3.5</v>
      </c>
      <c r="N635" s="8">
        <v>16.5</v>
      </c>
      <c r="O635" s="8">
        <v>7</v>
      </c>
      <c r="P635" s="8">
        <v>0</v>
      </c>
      <c r="Q635" s="8">
        <v>5</v>
      </c>
      <c r="R635" s="8">
        <v>4.5</v>
      </c>
      <c r="S635" s="8">
        <v>2.5</v>
      </c>
      <c r="T635" s="8">
        <v>2.5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11" t="s">
        <v>245</v>
      </c>
    </row>
    <row r="636" spans="1:46" ht="15.1" customHeight="1">
      <c r="A636" s="8">
        <v>211</v>
      </c>
      <c r="B636" s="9" t="s">
        <v>683</v>
      </c>
      <c r="C636" s="8" t="s">
        <v>684</v>
      </c>
      <c r="D636" s="9" t="s">
        <v>451</v>
      </c>
      <c r="E636" s="8" t="s">
        <v>54</v>
      </c>
      <c r="F636" s="8" t="s">
        <v>54</v>
      </c>
      <c r="G636" s="10" t="s">
        <v>67</v>
      </c>
      <c r="H636" s="8" t="s">
        <v>54</v>
      </c>
      <c r="I636" s="12" t="s">
        <v>55</v>
      </c>
      <c r="J636" s="8" t="s">
        <v>54</v>
      </c>
      <c r="K636" s="8" t="s">
        <v>54</v>
      </c>
      <c r="L636" s="8" t="s">
        <v>54</v>
      </c>
      <c r="M636" s="8" t="s">
        <v>54</v>
      </c>
      <c r="N636" s="10" t="s">
        <v>67</v>
      </c>
      <c r="O636" s="12" t="s">
        <v>55</v>
      </c>
      <c r="P636" s="12" t="s">
        <v>55</v>
      </c>
      <c r="Q636" s="12" t="s">
        <v>55</v>
      </c>
      <c r="R636" s="8" t="s">
        <v>54</v>
      </c>
      <c r="S636" s="8" t="s">
        <v>54</v>
      </c>
      <c r="T636" s="8" t="s">
        <v>54</v>
      </c>
      <c r="U636" s="10" t="s">
        <v>67</v>
      </c>
      <c r="V636" s="8" t="s">
        <v>54</v>
      </c>
      <c r="W636" s="8" t="s">
        <v>54</v>
      </c>
      <c r="X636" s="8" t="s">
        <v>54</v>
      </c>
      <c r="Y636" s="8" t="s">
        <v>54</v>
      </c>
      <c r="Z636" s="8" t="s">
        <v>54</v>
      </c>
      <c r="AA636" s="8" t="s">
        <v>54</v>
      </c>
      <c r="AB636" s="10" t="s">
        <v>67</v>
      </c>
      <c r="AC636" s="8" t="s">
        <v>54</v>
      </c>
      <c r="AD636" s="8" t="s">
        <v>54</v>
      </c>
      <c r="AE636" s="8" t="s">
        <v>54</v>
      </c>
      <c r="AF636" s="8" t="s">
        <v>54</v>
      </c>
      <c r="AG636" s="8" t="s">
        <v>54</v>
      </c>
      <c r="AH636" s="8" t="s">
        <v>54</v>
      </c>
      <c r="AI636" s="10" t="s">
        <v>67</v>
      </c>
      <c r="AJ636" s="8">
        <f>COUNTIF($E$636:$AI$636,"P")</f>
        <v>22</v>
      </c>
      <c r="AK636" s="8">
        <f>COUNTIF($E$636:$AI$636,"A")</f>
        <v>4</v>
      </c>
      <c r="AL636" s="8">
        <f>SUM($E$637:$AI$637)</f>
        <v>30</v>
      </c>
      <c r="AM636" s="8">
        <f>SUM($E$638:$AI$638)</f>
        <v>87.5</v>
      </c>
      <c r="AN636" s="8">
        <f>AL636+AM636</f>
        <v>117.5</v>
      </c>
      <c r="AO636" s="8">
        <f>COUNTIF($E$636:$AI$636,"CL")</f>
        <v>0</v>
      </c>
      <c r="AP636" s="8">
        <f>COUNTIF($E$636:$AI$636,"SL")</f>
        <v>0</v>
      </c>
      <c r="AQ636" s="8">
        <f>COUNTIF($E$636:$AI$636,"EL")</f>
        <v>0</v>
      </c>
      <c r="AR636" s="8">
        <f>COUNTIF($E$636:$AI$636,"H")</f>
        <v>0</v>
      </c>
      <c r="AS636" s="8"/>
      <c r="AT636" s="11" t="s">
        <v>245</v>
      </c>
    </row>
    <row r="637" spans="1:46" ht="15.1" customHeight="1">
      <c r="A637" s="8"/>
      <c r="B637" s="9"/>
      <c r="C637" s="8"/>
      <c r="D637" s="9"/>
      <c r="E637" s="8">
        <v>2</v>
      </c>
      <c r="F637" s="8">
        <v>2</v>
      </c>
      <c r="G637" s="8">
        <v>0</v>
      </c>
      <c r="H637" s="8">
        <v>2</v>
      </c>
      <c r="I637" s="8">
        <v>0</v>
      </c>
      <c r="J637" s="8">
        <v>2</v>
      </c>
      <c r="K637" s="8">
        <v>2</v>
      </c>
      <c r="L637" s="8">
        <v>2</v>
      </c>
      <c r="M637" s="8">
        <v>2</v>
      </c>
      <c r="N637" s="8">
        <v>0</v>
      </c>
      <c r="O637" s="8">
        <v>0</v>
      </c>
      <c r="P637" s="8">
        <v>0</v>
      </c>
      <c r="Q637" s="8">
        <v>0</v>
      </c>
      <c r="R637" s="8">
        <v>2</v>
      </c>
      <c r="S637" s="8">
        <v>2</v>
      </c>
      <c r="T637" s="8">
        <v>2</v>
      </c>
      <c r="U637" s="8">
        <v>0</v>
      </c>
      <c r="V637" s="8">
        <v>2</v>
      </c>
      <c r="W637" s="8">
        <v>2</v>
      </c>
      <c r="X637" s="8">
        <v>2</v>
      </c>
      <c r="Y637" s="8">
        <v>0</v>
      </c>
      <c r="Z637" s="8">
        <v>0</v>
      </c>
      <c r="AA637" s="8">
        <v>0</v>
      </c>
      <c r="AB637" s="8">
        <v>0</v>
      </c>
      <c r="AC637" s="8">
        <v>2</v>
      </c>
      <c r="AD637" s="8">
        <v>2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11" t="s">
        <v>245</v>
      </c>
    </row>
    <row r="638" spans="1:46" ht="15.1" customHeight="1">
      <c r="A638" s="8"/>
      <c r="B638" s="9"/>
      <c r="C638" s="8"/>
      <c r="D638" s="9"/>
      <c r="E638" s="8">
        <v>4</v>
      </c>
      <c r="F638" s="8">
        <v>2</v>
      </c>
      <c r="G638" s="8">
        <v>13.5</v>
      </c>
      <c r="H638" s="8">
        <v>4</v>
      </c>
      <c r="I638" s="8">
        <v>0</v>
      </c>
      <c r="J638" s="8">
        <v>7</v>
      </c>
      <c r="K638" s="8">
        <v>7</v>
      </c>
      <c r="L638" s="8">
        <v>5</v>
      </c>
      <c r="M638" s="8">
        <v>4</v>
      </c>
      <c r="N638" s="8">
        <v>8</v>
      </c>
      <c r="O638" s="8">
        <v>0</v>
      </c>
      <c r="P638" s="8">
        <v>0</v>
      </c>
      <c r="Q638" s="8">
        <v>0</v>
      </c>
      <c r="R638" s="8">
        <v>7</v>
      </c>
      <c r="S638" s="8">
        <v>7</v>
      </c>
      <c r="T638" s="8">
        <v>3</v>
      </c>
      <c r="U638" s="8">
        <v>13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3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11" t="s">
        <v>245</v>
      </c>
    </row>
    <row r="639" spans="1:46" ht="15.1" customHeight="1">
      <c r="A639" s="8">
        <v>212</v>
      </c>
      <c r="B639" s="9" t="s">
        <v>685</v>
      </c>
      <c r="C639" s="8" t="s">
        <v>686</v>
      </c>
      <c r="D639" s="9" t="s">
        <v>451</v>
      </c>
      <c r="E639" s="8" t="s">
        <v>54</v>
      </c>
      <c r="F639" s="8" t="s">
        <v>54</v>
      </c>
      <c r="G639" s="10" t="s">
        <v>67</v>
      </c>
      <c r="H639" s="8" t="s">
        <v>54</v>
      </c>
      <c r="I639" s="8" t="s">
        <v>54</v>
      </c>
      <c r="J639" s="8" t="s">
        <v>54</v>
      </c>
      <c r="K639" s="8" t="s">
        <v>54</v>
      </c>
      <c r="L639" s="8" t="s">
        <v>54</v>
      </c>
      <c r="M639" s="8" t="s">
        <v>54</v>
      </c>
      <c r="N639" s="10" t="s">
        <v>67</v>
      </c>
      <c r="O639" s="8" t="s">
        <v>54</v>
      </c>
      <c r="P639" s="8" t="s">
        <v>54</v>
      </c>
      <c r="Q639" s="8" t="s">
        <v>54</v>
      </c>
      <c r="R639" s="8" t="s">
        <v>54</v>
      </c>
      <c r="S639" s="8" t="s">
        <v>54</v>
      </c>
      <c r="T639" s="8" t="s">
        <v>54</v>
      </c>
      <c r="U639" s="10" t="s">
        <v>67</v>
      </c>
      <c r="V639" s="8" t="s">
        <v>54</v>
      </c>
      <c r="W639" s="8" t="s">
        <v>54</v>
      </c>
      <c r="X639" s="8" t="s">
        <v>54</v>
      </c>
      <c r="Y639" s="8" t="s">
        <v>54</v>
      </c>
      <c r="Z639" s="8" t="s">
        <v>54</v>
      </c>
      <c r="AA639" s="8" t="s">
        <v>54</v>
      </c>
      <c r="AB639" s="10" t="s">
        <v>67</v>
      </c>
      <c r="AC639" s="8" t="s">
        <v>54</v>
      </c>
      <c r="AD639" s="8" t="s">
        <v>54</v>
      </c>
      <c r="AE639" s="8" t="s">
        <v>54</v>
      </c>
      <c r="AF639" s="8" t="s">
        <v>54</v>
      </c>
      <c r="AG639" s="8" t="s">
        <v>54</v>
      </c>
      <c r="AH639" s="12" t="s">
        <v>55</v>
      </c>
      <c r="AI639" s="10" t="s">
        <v>67</v>
      </c>
      <c r="AJ639" s="8">
        <f>COUNTIF($E$639:$AI$639,"P")</f>
        <v>25</v>
      </c>
      <c r="AK639" s="8">
        <f>COUNTIF($E$639:$AI$639,"A")</f>
        <v>1</v>
      </c>
      <c r="AL639" s="8">
        <f>SUM($E$640:$AI$640)</f>
        <v>38</v>
      </c>
      <c r="AM639" s="8">
        <f>SUM($E$641:$AI$641)</f>
        <v>113</v>
      </c>
      <c r="AN639" s="8">
        <f>AL639+AM639</f>
        <v>151</v>
      </c>
      <c r="AO639" s="8">
        <f>COUNTIF($E$639:$AI$639,"CL")</f>
        <v>0</v>
      </c>
      <c r="AP639" s="8">
        <f>COUNTIF($E$639:$AI$639,"SL")</f>
        <v>0</v>
      </c>
      <c r="AQ639" s="8">
        <f>COUNTIF($E$639:$AI$639,"EL")</f>
        <v>0</v>
      </c>
      <c r="AR639" s="8">
        <f>COUNTIF($E$639:$AI$639,"H")</f>
        <v>0</v>
      </c>
      <c r="AS639" s="8"/>
      <c r="AT639" s="11" t="s">
        <v>245</v>
      </c>
    </row>
    <row r="640" spans="1:46" ht="15.1" customHeight="1">
      <c r="A640" s="8"/>
      <c r="B640" s="9"/>
      <c r="C640" s="8"/>
      <c r="D640" s="9"/>
      <c r="E640" s="8">
        <v>2</v>
      </c>
      <c r="F640" s="8">
        <v>2</v>
      </c>
      <c r="G640" s="8">
        <v>0</v>
      </c>
      <c r="H640" s="8">
        <v>2</v>
      </c>
      <c r="I640" s="8">
        <v>2</v>
      </c>
      <c r="J640" s="8">
        <v>2</v>
      </c>
      <c r="K640" s="8">
        <v>2</v>
      </c>
      <c r="L640" s="8">
        <v>2</v>
      </c>
      <c r="M640" s="8">
        <v>2</v>
      </c>
      <c r="N640" s="8">
        <v>0</v>
      </c>
      <c r="O640" s="8">
        <v>2</v>
      </c>
      <c r="P640" s="8">
        <v>2</v>
      </c>
      <c r="Q640" s="8">
        <v>2</v>
      </c>
      <c r="R640" s="8">
        <v>2</v>
      </c>
      <c r="S640" s="8">
        <v>2</v>
      </c>
      <c r="T640" s="8">
        <v>2</v>
      </c>
      <c r="U640" s="8">
        <v>0</v>
      </c>
      <c r="V640" s="8">
        <v>2</v>
      </c>
      <c r="W640" s="8">
        <v>2</v>
      </c>
      <c r="X640" s="8">
        <v>2</v>
      </c>
      <c r="Y640" s="8">
        <v>0</v>
      </c>
      <c r="Z640" s="8">
        <v>0</v>
      </c>
      <c r="AA640" s="8">
        <v>0</v>
      </c>
      <c r="AB640" s="8">
        <v>0</v>
      </c>
      <c r="AC640" s="8">
        <v>2</v>
      </c>
      <c r="AD640" s="8">
        <v>2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11" t="s">
        <v>245</v>
      </c>
    </row>
    <row r="641" spans="1:46" ht="15.1" customHeight="1">
      <c r="A641" s="8"/>
      <c r="B641" s="9"/>
      <c r="C641" s="8"/>
      <c r="D641" s="9"/>
      <c r="E641" s="8">
        <v>3.5</v>
      </c>
      <c r="F641" s="8">
        <v>2</v>
      </c>
      <c r="G641" s="8">
        <v>13.5</v>
      </c>
      <c r="H641" s="8">
        <v>4</v>
      </c>
      <c r="I641" s="8">
        <v>6</v>
      </c>
      <c r="J641" s="8">
        <v>5</v>
      </c>
      <c r="K641" s="8">
        <v>3</v>
      </c>
      <c r="L641" s="8">
        <v>5</v>
      </c>
      <c r="M641" s="8">
        <v>4</v>
      </c>
      <c r="N641" s="8">
        <v>16.5</v>
      </c>
      <c r="O641" s="8">
        <v>7</v>
      </c>
      <c r="P641" s="8">
        <v>7</v>
      </c>
      <c r="Q641" s="8">
        <v>5</v>
      </c>
      <c r="R641" s="8">
        <v>5</v>
      </c>
      <c r="S641" s="8">
        <v>3</v>
      </c>
      <c r="T641" s="8">
        <v>3</v>
      </c>
      <c r="U641" s="8">
        <v>12</v>
      </c>
      <c r="V641" s="8">
        <v>0</v>
      </c>
      <c r="W641" s="8">
        <v>6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2.5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11" t="s">
        <v>245</v>
      </c>
    </row>
    <row r="642" spans="1:46" ht="15.1" customHeight="1">
      <c r="A642" s="8">
        <v>213</v>
      </c>
      <c r="B642" s="9" t="s">
        <v>687</v>
      </c>
      <c r="C642" s="8" t="s">
        <v>688</v>
      </c>
      <c r="D642" s="9" t="s">
        <v>451</v>
      </c>
      <c r="E642" s="8" t="s">
        <v>54</v>
      </c>
      <c r="F642" s="8" t="s">
        <v>54</v>
      </c>
      <c r="G642" s="10" t="s">
        <v>67</v>
      </c>
      <c r="H642" s="8" t="s">
        <v>54</v>
      </c>
      <c r="I642" s="8" t="s">
        <v>54</v>
      </c>
      <c r="J642" s="8" t="s">
        <v>54</v>
      </c>
      <c r="K642" s="8" t="s">
        <v>54</v>
      </c>
      <c r="L642" s="8" t="s">
        <v>54</v>
      </c>
      <c r="M642" s="8" t="s">
        <v>54</v>
      </c>
      <c r="N642" s="10" t="s">
        <v>67</v>
      </c>
      <c r="O642" s="8" t="s">
        <v>54</v>
      </c>
      <c r="P642" s="8" t="s">
        <v>54</v>
      </c>
      <c r="Q642" s="8" t="s">
        <v>54</v>
      </c>
      <c r="R642" s="8" t="s">
        <v>54</v>
      </c>
      <c r="S642" s="8" t="s">
        <v>54</v>
      </c>
      <c r="T642" s="8" t="s">
        <v>54</v>
      </c>
      <c r="U642" s="10" t="s">
        <v>67</v>
      </c>
      <c r="V642" s="8" t="s">
        <v>54</v>
      </c>
      <c r="W642" s="8" t="s">
        <v>54</v>
      </c>
      <c r="X642" s="8" t="s">
        <v>54</v>
      </c>
      <c r="Y642" s="8" t="s">
        <v>54</v>
      </c>
      <c r="Z642" s="8" t="s">
        <v>54</v>
      </c>
      <c r="AA642" s="8" t="s">
        <v>54</v>
      </c>
      <c r="AB642" s="10" t="s">
        <v>67</v>
      </c>
      <c r="AC642" s="8" t="s">
        <v>54</v>
      </c>
      <c r="AD642" s="8" t="s">
        <v>54</v>
      </c>
      <c r="AE642" s="8" t="s">
        <v>54</v>
      </c>
      <c r="AF642" s="8" t="s">
        <v>54</v>
      </c>
      <c r="AG642" s="8" t="s">
        <v>54</v>
      </c>
      <c r="AH642" s="8" t="s">
        <v>54</v>
      </c>
      <c r="AI642" s="10" t="s">
        <v>67</v>
      </c>
      <c r="AJ642" s="8">
        <f>COUNTIF($E$642:$AI$642,"P")</f>
        <v>26</v>
      </c>
      <c r="AK642" s="8">
        <f>COUNTIF($E$642:$AI$642,"A")</f>
        <v>0</v>
      </c>
      <c r="AL642" s="8">
        <f>SUM($E$643:$AI$643)</f>
        <v>36</v>
      </c>
      <c r="AM642" s="8">
        <f>SUM($E$644:$AI$644)</f>
        <v>107</v>
      </c>
      <c r="AN642" s="8">
        <f>AL642+AM642</f>
        <v>143</v>
      </c>
      <c r="AO642" s="8">
        <f>COUNTIF($E$642:$AI$642,"CL")</f>
        <v>0</v>
      </c>
      <c r="AP642" s="8">
        <f>COUNTIF($E$642:$AI$642,"SL")</f>
        <v>0</v>
      </c>
      <c r="AQ642" s="8">
        <f>COUNTIF($E$642:$AI$642,"EL")</f>
        <v>0</v>
      </c>
      <c r="AR642" s="8">
        <f>COUNTIF($E$642:$AI$642,"H")</f>
        <v>0</v>
      </c>
      <c r="AS642" s="8"/>
      <c r="AT642" s="11" t="s">
        <v>245</v>
      </c>
    </row>
    <row r="643" spans="1:46" ht="15.1" customHeight="1">
      <c r="A643" s="8"/>
      <c r="B643" s="9"/>
      <c r="C643" s="8"/>
      <c r="D643" s="9"/>
      <c r="E643" s="8">
        <v>2</v>
      </c>
      <c r="F643" s="8">
        <v>2</v>
      </c>
      <c r="G643" s="8">
        <v>0</v>
      </c>
      <c r="H643" s="8">
        <v>2</v>
      </c>
      <c r="I643" s="8">
        <v>2</v>
      </c>
      <c r="J643" s="8">
        <v>0</v>
      </c>
      <c r="K643" s="8">
        <v>2</v>
      </c>
      <c r="L643" s="8">
        <v>2</v>
      </c>
      <c r="M643" s="8">
        <v>2</v>
      </c>
      <c r="N643" s="8">
        <v>0</v>
      </c>
      <c r="O643" s="8">
        <v>2</v>
      </c>
      <c r="P643" s="8">
        <v>2</v>
      </c>
      <c r="Q643" s="8">
        <v>2</v>
      </c>
      <c r="R643" s="8">
        <v>2</v>
      </c>
      <c r="S643" s="8">
        <v>2</v>
      </c>
      <c r="T643" s="8">
        <v>2</v>
      </c>
      <c r="U643" s="8">
        <v>0</v>
      </c>
      <c r="V643" s="8">
        <v>2</v>
      </c>
      <c r="W643" s="8">
        <v>2</v>
      </c>
      <c r="X643" s="8">
        <v>2</v>
      </c>
      <c r="Y643" s="8">
        <v>0</v>
      </c>
      <c r="Z643" s="8">
        <v>0</v>
      </c>
      <c r="AA643" s="8">
        <v>0</v>
      </c>
      <c r="AB643" s="8">
        <v>0</v>
      </c>
      <c r="AC643" s="8">
        <v>2</v>
      </c>
      <c r="AD643" s="8">
        <v>2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11" t="s">
        <v>245</v>
      </c>
    </row>
    <row r="644" spans="1:46" ht="15.1" customHeight="1">
      <c r="A644" s="8"/>
      <c r="B644" s="9"/>
      <c r="C644" s="8"/>
      <c r="D644" s="9"/>
      <c r="E644" s="8">
        <v>4</v>
      </c>
      <c r="F644" s="8">
        <v>3</v>
      </c>
      <c r="G644" s="8">
        <v>13.5</v>
      </c>
      <c r="H644" s="8">
        <v>4</v>
      </c>
      <c r="I644" s="8">
        <v>6</v>
      </c>
      <c r="J644" s="8">
        <v>0</v>
      </c>
      <c r="K644" s="8">
        <v>3</v>
      </c>
      <c r="L644" s="8">
        <v>5</v>
      </c>
      <c r="M644" s="8">
        <v>4</v>
      </c>
      <c r="N644" s="8">
        <v>16.5</v>
      </c>
      <c r="O644" s="8">
        <v>7</v>
      </c>
      <c r="P644" s="8">
        <v>7</v>
      </c>
      <c r="Q644" s="8">
        <v>5</v>
      </c>
      <c r="R644" s="8">
        <v>5</v>
      </c>
      <c r="S644" s="8">
        <v>3</v>
      </c>
      <c r="T644" s="8">
        <v>2.5</v>
      </c>
      <c r="U644" s="8">
        <v>9.5</v>
      </c>
      <c r="V644" s="8">
        <v>0</v>
      </c>
      <c r="W644" s="8">
        <v>6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3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11" t="s">
        <v>245</v>
      </c>
    </row>
    <row r="645" spans="1:46" ht="15.1" customHeight="1">
      <c r="A645" s="8">
        <v>214</v>
      </c>
      <c r="B645" s="9" t="s">
        <v>689</v>
      </c>
      <c r="C645" s="8" t="s">
        <v>690</v>
      </c>
      <c r="D645" s="9" t="s">
        <v>451</v>
      </c>
      <c r="E645" s="8" t="s">
        <v>54</v>
      </c>
      <c r="F645" s="8" t="s">
        <v>54</v>
      </c>
      <c r="G645" s="10" t="s">
        <v>67</v>
      </c>
      <c r="H645" s="8" t="s">
        <v>54</v>
      </c>
      <c r="I645" s="8" t="s">
        <v>54</v>
      </c>
      <c r="J645" s="8" t="s">
        <v>54</v>
      </c>
      <c r="K645" s="8" t="s">
        <v>54</v>
      </c>
      <c r="L645" s="8" t="s">
        <v>54</v>
      </c>
      <c r="M645" s="8" t="s">
        <v>54</v>
      </c>
      <c r="N645" s="10" t="s">
        <v>67</v>
      </c>
      <c r="O645" s="8" t="s">
        <v>54</v>
      </c>
      <c r="P645" s="8" t="s">
        <v>54</v>
      </c>
      <c r="Q645" s="8" t="s">
        <v>54</v>
      </c>
      <c r="R645" s="8" t="s">
        <v>54</v>
      </c>
      <c r="S645" s="8" t="s">
        <v>54</v>
      </c>
      <c r="T645" s="8" t="s">
        <v>54</v>
      </c>
      <c r="U645" s="10" t="s">
        <v>67</v>
      </c>
      <c r="V645" s="8" t="s">
        <v>54</v>
      </c>
      <c r="W645" s="8" t="s">
        <v>54</v>
      </c>
      <c r="X645" s="8" t="s">
        <v>54</v>
      </c>
      <c r="Y645" s="8" t="s">
        <v>54</v>
      </c>
      <c r="Z645" s="8" t="s">
        <v>54</v>
      </c>
      <c r="AA645" s="8" t="s">
        <v>54</v>
      </c>
      <c r="AB645" s="10" t="s">
        <v>67</v>
      </c>
      <c r="AC645" s="8" t="s">
        <v>54</v>
      </c>
      <c r="AD645" s="8" t="s">
        <v>54</v>
      </c>
      <c r="AE645" s="8" t="s">
        <v>54</v>
      </c>
      <c r="AF645" s="8" t="s">
        <v>54</v>
      </c>
      <c r="AG645" s="8" t="s">
        <v>54</v>
      </c>
      <c r="AH645" s="8" t="s">
        <v>54</v>
      </c>
      <c r="AI645" s="10" t="s">
        <v>67</v>
      </c>
      <c r="AJ645" s="8">
        <f>COUNTIF($E$645:$AI$645,"P")</f>
        <v>26</v>
      </c>
      <c r="AK645" s="8">
        <f>COUNTIF($E$645:$AI$645,"A")</f>
        <v>0</v>
      </c>
      <c r="AL645" s="8">
        <f>SUM($E$646:$AI$646)</f>
        <v>38</v>
      </c>
      <c r="AM645" s="8">
        <f>SUM($E$647:$AI$647)</f>
        <v>99.5</v>
      </c>
      <c r="AN645" s="8">
        <f>AL645+AM645</f>
        <v>137.5</v>
      </c>
      <c r="AO645" s="8">
        <f>COUNTIF($E$645:$AI$645,"CL")</f>
        <v>0</v>
      </c>
      <c r="AP645" s="8">
        <f>COUNTIF($E$645:$AI$645,"SL")</f>
        <v>0</v>
      </c>
      <c r="AQ645" s="8">
        <f>COUNTIF($E$645:$AI$645,"EL")</f>
        <v>0</v>
      </c>
      <c r="AR645" s="8">
        <f>COUNTIF($E$645:$AI$645,"H")</f>
        <v>0</v>
      </c>
      <c r="AS645" s="8"/>
      <c r="AT645" s="11" t="s">
        <v>245</v>
      </c>
    </row>
    <row r="646" spans="1:46" ht="15.1" customHeight="1">
      <c r="A646" s="8"/>
      <c r="B646" s="9"/>
      <c r="C646" s="8"/>
      <c r="D646" s="9"/>
      <c r="E646" s="8">
        <v>2</v>
      </c>
      <c r="F646" s="8">
        <v>2</v>
      </c>
      <c r="G646" s="8">
        <v>0</v>
      </c>
      <c r="H646" s="8">
        <v>2</v>
      </c>
      <c r="I646" s="8">
        <v>2</v>
      </c>
      <c r="J646" s="8">
        <v>2</v>
      </c>
      <c r="K646" s="8">
        <v>2</v>
      </c>
      <c r="L646" s="8">
        <v>2</v>
      </c>
      <c r="M646" s="8">
        <v>2</v>
      </c>
      <c r="N646" s="8">
        <v>0</v>
      </c>
      <c r="O646" s="8">
        <v>2</v>
      </c>
      <c r="P646" s="8">
        <v>2</v>
      </c>
      <c r="Q646" s="8">
        <v>2</v>
      </c>
      <c r="R646" s="8">
        <v>2</v>
      </c>
      <c r="S646" s="8">
        <v>2</v>
      </c>
      <c r="T646" s="8">
        <v>2</v>
      </c>
      <c r="U646" s="8">
        <v>0</v>
      </c>
      <c r="V646" s="8">
        <v>2</v>
      </c>
      <c r="W646" s="8">
        <v>2</v>
      </c>
      <c r="X646" s="8">
        <v>2</v>
      </c>
      <c r="Y646" s="8">
        <v>0</v>
      </c>
      <c r="Z646" s="8">
        <v>0</v>
      </c>
      <c r="AA646" s="8">
        <v>0</v>
      </c>
      <c r="AB646" s="8">
        <v>0</v>
      </c>
      <c r="AC646" s="8">
        <v>2</v>
      </c>
      <c r="AD646" s="8">
        <v>2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11" t="s">
        <v>245</v>
      </c>
    </row>
    <row r="647" spans="1:46" ht="15.1" customHeight="1">
      <c r="A647" s="8"/>
      <c r="B647" s="9"/>
      <c r="C647" s="8"/>
      <c r="D647" s="9"/>
      <c r="E647" s="8">
        <v>3.5</v>
      </c>
      <c r="F647" s="8">
        <v>2</v>
      </c>
      <c r="G647" s="8">
        <v>12</v>
      </c>
      <c r="H647" s="8">
        <v>4</v>
      </c>
      <c r="I647" s="8">
        <v>6</v>
      </c>
      <c r="J647" s="8">
        <v>5</v>
      </c>
      <c r="K647" s="8">
        <v>3</v>
      </c>
      <c r="L647" s="8">
        <v>5</v>
      </c>
      <c r="M647" s="8">
        <v>4</v>
      </c>
      <c r="N647" s="8">
        <v>16.5</v>
      </c>
      <c r="O647" s="8">
        <v>7</v>
      </c>
      <c r="P647" s="8">
        <v>7</v>
      </c>
      <c r="Q647" s="8">
        <v>5</v>
      </c>
      <c r="R647" s="8">
        <v>4.5</v>
      </c>
      <c r="S647" s="8">
        <v>3</v>
      </c>
      <c r="T647" s="8">
        <v>3</v>
      </c>
      <c r="U647" s="8">
        <v>0</v>
      </c>
      <c r="V647" s="8">
        <v>0</v>
      </c>
      <c r="W647" s="8">
        <v>6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3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11" t="s">
        <v>245</v>
      </c>
    </row>
    <row r="648" spans="1:46" ht="15.1" customHeight="1">
      <c r="A648" s="8">
        <v>215</v>
      </c>
      <c r="B648" s="9" t="s">
        <v>691</v>
      </c>
      <c r="C648" s="8" t="s">
        <v>692</v>
      </c>
      <c r="D648" s="9" t="s">
        <v>451</v>
      </c>
      <c r="E648" s="8" t="s">
        <v>54</v>
      </c>
      <c r="F648" s="8" t="s">
        <v>54</v>
      </c>
      <c r="G648" s="10" t="s">
        <v>67</v>
      </c>
      <c r="H648" s="8" t="s">
        <v>54</v>
      </c>
      <c r="I648" s="8" t="s">
        <v>54</v>
      </c>
      <c r="J648" s="8" t="s">
        <v>54</v>
      </c>
      <c r="K648" s="8" t="s">
        <v>54</v>
      </c>
      <c r="L648" s="8" t="s">
        <v>54</v>
      </c>
      <c r="M648" s="8" t="s">
        <v>54</v>
      </c>
      <c r="N648" s="10" t="s">
        <v>67</v>
      </c>
      <c r="O648" s="8" t="s">
        <v>54</v>
      </c>
      <c r="P648" s="8" t="s">
        <v>54</v>
      </c>
      <c r="Q648" s="8" t="s">
        <v>54</v>
      </c>
      <c r="R648" s="8" t="s">
        <v>54</v>
      </c>
      <c r="S648" s="8" t="s">
        <v>54</v>
      </c>
      <c r="T648" s="8" t="s">
        <v>54</v>
      </c>
      <c r="U648" s="10" t="s">
        <v>67</v>
      </c>
      <c r="V648" s="8" t="s">
        <v>54</v>
      </c>
      <c r="W648" s="8" t="s">
        <v>54</v>
      </c>
      <c r="X648" s="8" t="s">
        <v>54</v>
      </c>
      <c r="Y648" s="8" t="s">
        <v>54</v>
      </c>
      <c r="Z648" s="8" t="s">
        <v>54</v>
      </c>
      <c r="AA648" s="8" t="s">
        <v>54</v>
      </c>
      <c r="AB648" s="10" t="s">
        <v>67</v>
      </c>
      <c r="AC648" s="8" t="s">
        <v>54</v>
      </c>
      <c r="AD648" s="8" t="s">
        <v>54</v>
      </c>
      <c r="AE648" s="8" t="s">
        <v>54</v>
      </c>
      <c r="AF648" s="8" t="s">
        <v>54</v>
      </c>
      <c r="AG648" s="8" t="s">
        <v>54</v>
      </c>
      <c r="AH648" s="8" t="s">
        <v>54</v>
      </c>
      <c r="AI648" s="10" t="s">
        <v>67</v>
      </c>
      <c r="AJ648" s="8">
        <f>COUNTIF($E$648:$AI$648,"P")</f>
        <v>26</v>
      </c>
      <c r="AK648" s="8">
        <f>COUNTIF($E$648:$AI$648,"A")</f>
        <v>0</v>
      </c>
      <c r="AL648" s="8">
        <f>SUM($E$649:$AI$649)</f>
        <v>38</v>
      </c>
      <c r="AM648" s="8">
        <f>SUM($E$650:$AI$650)</f>
        <v>115.5</v>
      </c>
      <c r="AN648" s="8">
        <f>AL648+AM648</f>
        <v>153.5</v>
      </c>
      <c r="AO648" s="8">
        <f>COUNTIF($E$648:$AI$648,"CL")</f>
        <v>0</v>
      </c>
      <c r="AP648" s="8">
        <f>COUNTIF($E$648:$AI$648,"SL")</f>
        <v>0</v>
      </c>
      <c r="AQ648" s="8">
        <f>COUNTIF($E$648:$AI$648,"EL")</f>
        <v>0</v>
      </c>
      <c r="AR648" s="8">
        <f>COUNTIF($E$648:$AI$648,"H")</f>
        <v>0</v>
      </c>
      <c r="AS648" s="8"/>
      <c r="AT648" s="11" t="s">
        <v>245</v>
      </c>
    </row>
    <row r="649" spans="1:46" ht="15.1" customHeight="1">
      <c r="A649" s="8"/>
      <c r="B649" s="9"/>
      <c r="C649" s="8"/>
      <c r="D649" s="9"/>
      <c r="E649" s="8">
        <v>2</v>
      </c>
      <c r="F649" s="8">
        <v>2</v>
      </c>
      <c r="G649" s="8">
        <v>0</v>
      </c>
      <c r="H649" s="8">
        <v>2</v>
      </c>
      <c r="I649" s="8">
        <v>2</v>
      </c>
      <c r="J649" s="8">
        <v>2</v>
      </c>
      <c r="K649" s="8">
        <v>2</v>
      </c>
      <c r="L649" s="8">
        <v>2</v>
      </c>
      <c r="M649" s="8">
        <v>2</v>
      </c>
      <c r="N649" s="8">
        <v>0</v>
      </c>
      <c r="O649" s="8">
        <v>2</v>
      </c>
      <c r="P649" s="8">
        <v>2</v>
      </c>
      <c r="Q649" s="8">
        <v>2</v>
      </c>
      <c r="R649" s="8">
        <v>2</v>
      </c>
      <c r="S649" s="8">
        <v>2</v>
      </c>
      <c r="T649" s="8">
        <v>2</v>
      </c>
      <c r="U649" s="8">
        <v>0</v>
      </c>
      <c r="V649" s="8">
        <v>2</v>
      </c>
      <c r="W649" s="8">
        <v>2</v>
      </c>
      <c r="X649" s="8">
        <v>2</v>
      </c>
      <c r="Y649" s="8">
        <v>0</v>
      </c>
      <c r="Z649" s="8">
        <v>0</v>
      </c>
      <c r="AA649" s="8">
        <v>0</v>
      </c>
      <c r="AB649" s="8">
        <v>0</v>
      </c>
      <c r="AC649" s="8">
        <v>2</v>
      </c>
      <c r="AD649" s="8">
        <v>2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11" t="s">
        <v>245</v>
      </c>
    </row>
    <row r="650" spans="1:46" ht="15.1" customHeight="1">
      <c r="A650" s="8"/>
      <c r="B650" s="9"/>
      <c r="C650" s="8"/>
      <c r="D650" s="9"/>
      <c r="E650" s="8">
        <v>3.5</v>
      </c>
      <c r="F650" s="8">
        <v>2</v>
      </c>
      <c r="G650" s="8">
        <v>14</v>
      </c>
      <c r="H650" s="8">
        <v>4</v>
      </c>
      <c r="I650" s="8">
        <v>6</v>
      </c>
      <c r="J650" s="8">
        <v>5</v>
      </c>
      <c r="K650" s="8">
        <v>3</v>
      </c>
      <c r="L650" s="8">
        <v>5</v>
      </c>
      <c r="M650" s="8">
        <v>4</v>
      </c>
      <c r="N650" s="8">
        <v>17</v>
      </c>
      <c r="O650" s="8">
        <v>7</v>
      </c>
      <c r="P650" s="8">
        <v>7</v>
      </c>
      <c r="Q650" s="8">
        <v>5</v>
      </c>
      <c r="R650" s="8">
        <v>5</v>
      </c>
      <c r="S650" s="8">
        <v>3</v>
      </c>
      <c r="T650" s="8">
        <v>3</v>
      </c>
      <c r="U650" s="8">
        <v>13</v>
      </c>
      <c r="V650" s="8">
        <v>0</v>
      </c>
      <c r="W650" s="8">
        <v>6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3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11" t="s">
        <v>245</v>
      </c>
    </row>
    <row r="651" spans="1:46" ht="15.1" customHeight="1">
      <c r="A651" s="8">
        <v>216</v>
      </c>
      <c r="B651" s="9" t="s">
        <v>693</v>
      </c>
      <c r="C651" s="8" t="s">
        <v>694</v>
      </c>
      <c r="D651" s="9" t="s">
        <v>451</v>
      </c>
      <c r="E651" s="8" t="s">
        <v>54</v>
      </c>
      <c r="F651" s="8" t="s">
        <v>54</v>
      </c>
      <c r="G651" s="10" t="s">
        <v>67</v>
      </c>
      <c r="H651" s="8" t="s">
        <v>54</v>
      </c>
      <c r="I651" s="8" t="s">
        <v>54</v>
      </c>
      <c r="J651" s="8" t="s">
        <v>54</v>
      </c>
      <c r="K651" s="8" t="s">
        <v>54</v>
      </c>
      <c r="L651" s="8" t="s">
        <v>54</v>
      </c>
      <c r="M651" s="8" t="s">
        <v>54</v>
      </c>
      <c r="N651" s="10" t="s">
        <v>67</v>
      </c>
      <c r="O651" s="8" t="s">
        <v>54</v>
      </c>
      <c r="P651" s="8" t="s">
        <v>54</v>
      </c>
      <c r="Q651" s="8" t="s">
        <v>54</v>
      </c>
      <c r="R651" s="8" t="s">
        <v>54</v>
      </c>
      <c r="S651" s="8" t="s">
        <v>54</v>
      </c>
      <c r="T651" s="8" t="s">
        <v>54</v>
      </c>
      <c r="U651" s="10" t="s">
        <v>67</v>
      </c>
      <c r="V651" s="8" t="s">
        <v>54</v>
      </c>
      <c r="W651" s="8" t="s">
        <v>54</v>
      </c>
      <c r="X651" s="8" t="s">
        <v>54</v>
      </c>
      <c r="Y651" s="8" t="s">
        <v>54</v>
      </c>
      <c r="Z651" s="8" t="s">
        <v>54</v>
      </c>
      <c r="AA651" s="8" t="s">
        <v>54</v>
      </c>
      <c r="AB651" s="10" t="s">
        <v>67</v>
      </c>
      <c r="AC651" s="8" t="s">
        <v>54</v>
      </c>
      <c r="AD651" s="8" t="s">
        <v>54</v>
      </c>
      <c r="AE651" s="8" t="s">
        <v>54</v>
      </c>
      <c r="AF651" s="8" t="s">
        <v>54</v>
      </c>
      <c r="AG651" s="8" t="s">
        <v>54</v>
      </c>
      <c r="AH651" s="8" t="s">
        <v>54</v>
      </c>
      <c r="AI651" s="10" t="s">
        <v>67</v>
      </c>
      <c r="AJ651" s="8">
        <f>COUNTIF($E$651:$AI$651,"P")</f>
        <v>26</v>
      </c>
      <c r="AK651" s="8">
        <f>COUNTIF($E$651:$AI$651,"A")</f>
        <v>0</v>
      </c>
      <c r="AL651" s="8">
        <f>SUM($E$652:$AI$652)</f>
        <v>38</v>
      </c>
      <c r="AM651" s="8">
        <f>SUM($E$653:$AI$653)</f>
        <v>114</v>
      </c>
      <c r="AN651" s="8">
        <f>AL651+AM651</f>
        <v>152</v>
      </c>
      <c r="AO651" s="8">
        <f>COUNTIF($E$651:$AI$651,"CL")</f>
        <v>0</v>
      </c>
      <c r="AP651" s="8">
        <f>COUNTIF($E$651:$AI$651,"SL")</f>
        <v>0</v>
      </c>
      <c r="AQ651" s="8">
        <f>COUNTIF($E$651:$AI$651,"EL")</f>
        <v>0</v>
      </c>
      <c r="AR651" s="8">
        <f>COUNTIF($E$651:$AI$651,"H")</f>
        <v>0</v>
      </c>
      <c r="AS651" s="8"/>
      <c r="AT651" s="11" t="s">
        <v>245</v>
      </c>
    </row>
    <row r="652" spans="1:46" ht="15.1" customHeight="1">
      <c r="A652" s="8"/>
      <c r="B652" s="9"/>
      <c r="C652" s="8"/>
      <c r="D652" s="9"/>
      <c r="E652" s="8">
        <v>2</v>
      </c>
      <c r="F652" s="8">
        <v>2</v>
      </c>
      <c r="G652" s="8">
        <v>0</v>
      </c>
      <c r="H652" s="8">
        <v>2</v>
      </c>
      <c r="I652" s="8">
        <v>2</v>
      </c>
      <c r="J652" s="8">
        <v>2</v>
      </c>
      <c r="K652" s="8">
        <v>2</v>
      </c>
      <c r="L652" s="8">
        <v>2</v>
      </c>
      <c r="M652" s="8">
        <v>2</v>
      </c>
      <c r="N652" s="8">
        <v>0</v>
      </c>
      <c r="O652" s="8">
        <v>2</v>
      </c>
      <c r="P652" s="8">
        <v>2</v>
      </c>
      <c r="Q652" s="8">
        <v>2</v>
      </c>
      <c r="R652" s="8">
        <v>2</v>
      </c>
      <c r="S652" s="8">
        <v>2</v>
      </c>
      <c r="T652" s="8">
        <v>2</v>
      </c>
      <c r="U652" s="8">
        <v>0</v>
      </c>
      <c r="V652" s="8">
        <v>2</v>
      </c>
      <c r="W652" s="8">
        <v>2</v>
      </c>
      <c r="X652" s="8">
        <v>2</v>
      </c>
      <c r="Y652" s="8">
        <v>0</v>
      </c>
      <c r="Z652" s="8">
        <v>0</v>
      </c>
      <c r="AA652" s="8">
        <v>0</v>
      </c>
      <c r="AB652" s="8">
        <v>0</v>
      </c>
      <c r="AC652" s="8">
        <v>2</v>
      </c>
      <c r="AD652" s="8">
        <v>2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11" t="s">
        <v>245</v>
      </c>
    </row>
    <row r="653" spans="1:46" ht="15.1" customHeight="1">
      <c r="A653" s="8"/>
      <c r="B653" s="9"/>
      <c r="C653" s="8"/>
      <c r="D653" s="9"/>
      <c r="E653" s="8">
        <v>3.5</v>
      </c>
      <c r="F653" s="8">
        <v>2</v>
      </c>
      <c r="G653" s="8">
        <v>13.5</v>
      </c>
      <c r="H653" s="8">
        <v>4</v>
      </c>
      <c r="I653" s="8">
        <v>6</v>
      </c>
      <c r="J653" s="8">
        <v>5</v>
      </c>
      <c r="K653" s="8">
        <v>3</v>
      </c>
      <c r="L653" s="8">
        <v>5</v>
      </c>
      <c r="M653" s="8">
        <v>4</v>
      </c>
      <c r="N653" s="8">
        <v>16.5</v>
      </c>
      <c r="O653" s="8">
        <v>7</v>
      </c>
      <c r="P653" s="8">
        <v>7</v>
      </c>
      <c r="Q653" s="8">
        <v>5</v>
      </c>
      <c r="R653" s="8">
        <v>5</v>
      </c>
      <c r="S653" s="8">
        <v>3</v>
      </c>
      <c r="T653" s="8">
        <v>3</v>
      </c>
      <c r="U653" s="8">
        <v>12.5</v>
      </c>
      <c r="V653" s="8">
        <v>0</v>
      </c>
      <c r="W653" s="8">
        <v>6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3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11" t="s">
        <v>245</v>
      </c>
    </row>
    <row r="654" spans="1:46" ht="15.1" customHeight="1">
      <c r="A654" s="8">
        <v>217</v>
      </c>
      <c r="B654" s="9" t="s">
        <v>695</v>
      </c>
      <c r="C654" s="8" t="s">
        <v>696</v>
      </c>
      <c r="D654" s="9" t="s">
        <v>451</v>
      </c>
      <c r="E654" s="8" t="s">
        <v>54</v>
      </c>
      <c r="F654" s="8" t="s">
        <v>54</v>
      </c>
      <c r="G654" s="10" t="s">
        <v>67</v>
      </c>
      <c r="H654" s="8" t="s">
        <v>54</v>
      </c>
      <c r="I654" s="8" t="s">
        <v>54</v>
      </c>
      <c r="J654" s="8" t="s">
        <v>54</v>
      </c>
      <c r="K654" s="8" t="s">
        <v>54</v>
      </c>
      <c r="L654" s="8" t="s">
        <v>54</v>
      </c>
      <c r="M654" s="8" t="s">
        <v>54</v>
      </c>
      <c r="N654" s="10" t="s">
        <v>67</v>
      </c>
      <c r="O654" s="8" t="s">
        <v>54</v>
      </c>
      <c r="P654" s="8" t="s">
        <v>54</v>
      </c>
      <c r="Q654" s="8" t="s">
        <v>54</v>
      </c>
      <c r="R654" s="8" t="s">
        <v>54</v>
      </c>
      <c r="S654" s="8" t="s">
        <v>54</v>
      </c>
      <c r="T654" s="8" t="s">
        <v>54</v>
      </c>
      <c r="U654" s="10" t="s">
        <v>67</v>
      </c>
      <c r="V654" s="8" t="s">
        <v>54</v>
      </c>
      <c r="W654" s="8" t="s">
        <v>54</v>
      </c>
      <c r="X654" s="8" t="s">
        <v>54</v>
      </c>
      <c r="Y654" s="8" t="s">
        <v>54</v>
      </c>
      <c r="Z654" s="8" t="s">
        <v>54</v>
      </c>
      <c r="AA654" s="8" t="s">
        <v>54</v>
      </c>
      <c r="AB654" s="10" t="s">
        <v>67</v>
      </c>
      <c r="AC654" s="8" t="s">
        <v>54</v>
      </c>
      <c r="AD654" s="8" t="s">
        <v>54</v>
      </c>
      <c r="AE654" s="8" t="s">
        <v>54</v>
      </c>
      <c r="AF654" s="8" t="s">
        <v>54</v>
      </c>
      <c r="AG654" s="8" t="s">
        <v>54</v>
      </c>
      <c r="AH654" s="8" t="s">
        <v>54</v>
      </c>
      <c r="AI654" s="10" t="s">
        <v>67</v>
      </c>
      <c r="AJ654" s="8">
        <f>COUNTIF($E$654:$AI$654,"P")</f>
        <v>26</v>
      </c>
      <c r="AK654" s="8">
        <f>COUNTIF($E$654:$AI$654,"A")</f>
        <v>0</v>
      </c>
      <c r="AL654" s="8">
        <f>SUM($E$655:$AI$655)</f>
        <v>38</v>
      </c>
      <c r="AM654" s="8">
        <f>SUM($E$656:$AI$656)</f>
        <v>115</v>
      </c>
      <c r="AN654" s="8">
        <f>AL654+AM654</f>
        <v>153</v>
      </c>
      <c r="AO654" s="8">
        <f>COUNTIF($E$654:$AI$654,"CL")</f>
        <v>0</v>
      </c>
      <c r="AP654" s="8">
        <f>COUNTIF($E$654:$AI$654,"SL")</f>
        <v>0</v>
      </c>
      <c r="AQ654" s="8">
        <f>COUNTIF($E$654:$AI$654,"EL")</f>
        <v>0</v>
      </c>
      <c r="AR654" s="8">
        <f>COUNTIF($E$654:$AI$654,"H")</f>
        <v>0</v>
      </c>
      <c r="AS654" s="8"/>
      <c r="AT654" s="11" t="s">
        <v>245</v>
      </c>
    </row>
    <row r="655" spans="1:46" ht="15.1" customHeight="1">
      <c r="A655" s="8"/>
      <c r="B655" s="9"/>
      <c r="C655" s="8"/>
      <c r="D655" s="9"/>
      <c r="E655" s="8">
        <v>2</v>
      </c>
      <c r="F655" s="8">
        <v>2</v>
      </c>
      <c r="G655" s="8">
        <v>0</v>
      </c>
      <c r="H655" s="8">
        <v>2</v>
      </c>
      <c r="I655" s="8">
        <v>2</v>
      </c>
      <c r="J655" s="8">
        <v>2</v>
      </c>
      <c r="K655" s="8">
        <v>2</v>
      </c>
      <c r="L655" s="8">
        <v>2</v>
      </c>
      <c r="M655" s="8">
        <v>2</v>
      </c>
      <c r="N655" s="8">
        <v>0</v>
      </c>
      <c r="O655" s="8">
        <v>2</v>
      </c>
      <c r="P655" s="8">
        <v>2</v>
      </c>
      <c r="Q655" s="8">
        <v>2</v>
      </c>
      <c r="R655" s="8">
        <v>2</v>
      </c>
      <c r="S655" s="8">
        <v>2</v>
      </c>
      <c r="T655" s="8">
        <v>2</v>
      </c>
      <c r="U655" s="8">
        <v>0</v>
      </c>
      <c r="V655" s="8">
        <v>2</v>
      </c>
      <c r="W655" s="8">
        <v>2</v>
      </c>
      <c r="X655" s="8">
        <v>2</v>
      </c>
      <c r="Y655" s="8">
        <v>0</v>
      </c>
      <c r="Z655" s="8">
        <v>0</v>
      </c>
      <c r="AA655" s="8">
        <v>0</v>
      </c>
      <c r="AB655" s="8">
        <v>0</v>
      </c>
      <c r="AC655" s="8">
        <v>2</v>
      </c>
      <c r="AD655" s="8">
        <v>2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11" t="s">
        <v>245</v>
      </c>
    </row>
    <row r="656" spans="1:46" ht="15.1" customHeight="1">
      <c r="A656" s="8"/>
      <c r="B656" s="9"/>
      <c r="C656" s="8"/>
      <c r="D656" s="9"/>
      <c r="E656" s="8">
        <v>4</v>
      </c>
      <c r="F656" s="8">
        <v>2</v>
      </c>
      <c r="G656" s="8">
        <v>13.5</v>
      </c>
      <c r="H656" s="8">
        <v>4</v>
      </c>
      <c r="I656" s="8">
        <v>6</v>
      </c>
      <c r="J656" s="8">
        <v>5</v>
      </c>
      <c r="K656" s="8">
        <v>3</v>
      </c>
      <c r="L656" s="8">
        <v>5</v>
      </c>
      <c r="M656" s="8">
        <v>4</v>
      </c>
      <c r="N656" s="8">
        <v>16.5</v>
      </c>
      <c r="O656" s="8">
        <v>7</v>
      </c>
      <c r="P656" s="8">
        <v>7</v>
      </c>
      <c r="Q656" s="8">
        <v>5</v>
      </c>
      <c r="R656" s="8">
        <v>5</v>
      </c>
      <c r="S656" s="8">
        <v>3</v>
      </c>
      <c r="T656" s="8">
        <v>3</v>
      </c>
      <c r="U656" s="8">
        <v>13</v>
      </c>
      <c r="V656" s="8">
        <v>0</v>
      </c>
      <c r="W656" s="8">
        <v>6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3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11" t="s">
        <v>245</v>
      </c>
    </row>
    <row r="657" spans="1:46" ht="15.1" customHeight="1">
      <c r="A657" s="8">
        <v>218</v>
      </c>
      <c r="B657" s="9" t="s">
        <v>697</v>
      </c>
      <c r="C657" s="8" t="s">
        <v>698</v>
      </c>
      <c r="D657" s="9" t="s">
        <v>699</v>
      </c>
      <c r="E657" s="8" t="s">
        <v>54</v>
      </c>
      <c r="F657" s="8" t="s">
        <v>54</v>
      </c>
      <c r="G657" s="10" t="s">
        <v>67</v>
      </c>
      <c r="H657" s="8" t="s">
        <v>54</v>
      </c>
      <c r="I657" s="8" t="s">
        <v>54</v>
      </c>
      <c r="J657" s="8" t="s">
        <v>54</v>
      </c>
      <c r="K657" s="8" t="s">
        <v>54</v>
      </c>
      <c r="L657" s="8" t="s">
        <v>54</v>
      </c>
      <c r="M657" s="8" t="s">
        <v>54</v>
      </c>
      <c r="N657" s="10" t="s">
        <v>67</v>
      </c>
      <c r="O657" s="8" t="s">
        <v>54</v>
      </c>
      <c r="P657" s="8" t="s">
        <v>54</v>
      </c>
      <c r="Q657" s="8" t="s">
        <v>54</v>
      </c>
      <c r="R657" s="8" t="s">
        <v>54</v>
      </c>
      <c r="S657" s="8" t="s">
        <v>54</v>
      </c>
      <c r="T657" s="8" t="s">
        <v>54</v>
      </c>
      <c r="U657" s="10" t="s">
        <v>67</v>
      </c>
      <c r="V657" s="8" t="s">
        <v>54</v>
      </c>
      <c r="W657" s="8" t="s">
        <v>54</v>
      </c>
      <c r="X657" s="8" t="s">
        <v>54</v>
      </c>
      <c r="Y657" s="8" t="s">
        <v>54</v>
      </c>
      <c r="Z657" s="8" t="s">
        <v>54</v>
      </c>
      <c r="AA657" s="8" t="s">
        <v>54</v>
      </c>
      <c r="AB657" s="10" t="s">
        <v>67</v>
      </c>
      <c r="AC657" s="8" t="s">
        <v>54</v>
      </c>
      <c r="AD657" s="8" t="s">
        <v>54</v>
      </c>
      <c r="AE657" s="8" t="s">
        <v>54</v>
      </c>
      <c r="AF657" s="8" t="s">
        <v>54</v>
      </c>
      <c r="AG657" s="8" t="s">
        <v>54</v>
      </c>
      <c r="AH657" s="8" t="s">
        <v>54</v>
      </c>
      <c r="AI657" s="10" t="s">
        <v>67</v>
      </c>
      <c r="AJ657" s="8">
        <f>COUNTIF($E$657:$AI$657,"P")</f>
        <v>26</v>
      </c>
      <c r="AK657" s="8">
        <f>COUNTIF($E$657:$AI$657,"A")</f>
        <v>0</v>
      </c>
      <c r="AL657" s="8">
        <f>SUM($E$658:$AI$658)</f>
        <v>32</v>
      </c>
      <c r="AM657" s="8">
        <f>SUM($E$659:$AI$659)</f>
        <v>118</v>
      </c>
      <c r="AN657" s="8">
        <f>AL657+AM657</f>
        <v>150</v>
      </c>
      <c r="AO657" s="8">
        <f>COUNTIF($E$657:$AI$657,"CL")</f>
        <v>0</v>
      </c>
      <c r="AP657" s="8">
        <f>COUNTIF($E$657:$AI$657,"SL")</f>
        <v>0</v>
      </c>
      <c r="AQ657" s="8">
        <f>COUNTIF($E$657:$AI$657,"EL")</f>
        <v>0</v>
      </c>
      <c r="AR657" s="8">
        <f>COUNTIF($E$657:$AI$657,"H")</f>
        <v>0</v>
      </c>
      <c r="AS657" s="8"/>
      <c r="AT657" s="11" t="s">
        <v>246</v>
      </c>
    </row>
    <row r="658" spans="1:46" ht="15.1" customHeight="1">
      <c r="A658" s="8"/>
      <c r="B658" s="9"/>
      <c r="C658" s="8"/>
      <c r="D658" s="9"/>
      <c r="E658" s="8">
        <v>2</v>
      </c>
      <c r="F658" s="8">
        <v>2</v>
      </c>
      <c r="G658" s="8">
        <v>0</v>
      </c>
      <c r="H658" s="8">
        <v>2</v>
      </c>
      <c r="I658" s="8">
        <v>2</v>
      </c>
      <c r="J658" s="8">
        <v>2</v>
      </c>
      <c r="K658" s="8">
        <v>2</v>
      </c>
      <c r="L658" s="8">
        <v>2</v>
      </c>
      <c r="M658" s="8">
        <v>2</v>
      </c>
      <c r="N658" s="8">
        <v>0</v>
      </c>
      <c r="O658" s="8">
        <v>2</v>
      </c>
      <c r="P658" s="8">
        <v>2</v>
      </c>
      <c r="Q658" s="8">
        <v>2</v>
      </c>
      <c r="R658" s="8">
        <v>2</v>
      </c>
      <c r="S658" s="8">
        <v>2</v>
      </c>
      <c r="T658" s="8">
        <v>2</v>
      </c>
      <c r="U658" s="8">
        <v>0</v>
      </c>
      <c r="V658" s="8">
        <v>2</v>
      </c>
      <c r="W658" s="8">
        <v>2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11" t="s">
        <v>246</v>
      </c>
    </row>
    <row r="659" spans="1:46" ht="15.1" customHeight="1">
      <c r="A659" s="8"/>
      <c r="B659" s="9"/>
      <c r="C659" s="8"/>
      <c r="D659" s="9"/>
      <c r="E659" s="8">
        <v>5</v>
      </c>
      <c r="F659" s="8">
        <v>3</v>
      </c>
      <c r="G659" s="8">
        <v>12</v>
      </c>
      <c r="H659" s="8">
        <v>5</v>
      </c>
      <c r="I659" s="8">
        <v>7</v>
      </c>
      <c r="J659" s="8">
        <v>7</v>
      </c>
      <c r="K659" s="8">
        <v>5</v>
      </c>
      <c r="L659" s="8">
        <v>2</v>
      </c>
      <c r="M659" s="8">
        <v>5</v>
      </c>
      <c r="N659" s="8">
        <v>17</v>
      </c>
      <c r="O659" s="8">
        <v>7</v>
      </c>
      <c r="P659" s="8">
        <v>7</v>
      </c>
      <c r="Q659" s="8">
        <v>7</v>
      </c>
      <c r="R659" s="8">
        <v>7</v>
      </c>
      <c r="S659" s="8">
        <v>7</v>
      </c>
      <c r="T659" s="8">
        <v>2</v>
      </c>
      <c r="U659" s="8">
        <v>0</v>
      </c>
      <c r="V659" s="8">
        <v>6</v>
      </c>
      <c r="W659" s="8">
        <v>7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11" t="s">
        <v>246</v>
      </c>
    </row>
    <row r="660" spans="1:46" ht="15.1" customHeight="1">
      <c r="A660" s="8">
        <v>219</v>
      </c>
      <c r="B660" s="9" t="s">
        <v>700</v>
      </c>
      <c r="C660" s="8" t="s">
        <v>701</v>
      </c>
      <c r="D660" s="9" t="s">
        <v>699</v>
      </c>
      <c r="E660" s="8" t="s">
        <v>54</v>
      </c>
      <c r="F660" s="8" t="s">
        <v>54</v>
      </c>
      <c r="G660" s="10" t="s">
        <v>67</v>
      </c>
      <c r="H660" s="8" t="s">
        <v>54</v>
      </c>
      <c r="I660" s="8" t="s">
        <v>54</v>
      </c>
      <c r="J660" s="8" t="s">
        <v>54</v>
      </c>
      <c r="K660" s="8" t="s">
        <v>54</v>
      </c>
      <c r="L660" s="8" t="s">
        <v>54</v>
      </c>
      <c r="M660" s="8" t="s">
        <v>54</v>
      </c>
      <c r="N660" s="10" t="s">
        <v>67</v>
      </c>
      <c r="O660" s="8" t="s">
        <v>54</v>
      </c>
      <c r="P660" s="8" t="s">
        <v>54</v>
      </c>
      <c r="Q660" s="8" t="s">
        <v>54</v>
      </c>
      <c r="R660" s="8" t="s">
        <v>54</v>
      </c>
      <c r="S660" s="8" t="s">
        <v>54</v>
      </c>
      <c r="T660" s="8" t="s">
        <v>54</v>
      </c>
      <c r="U660" s="10" t="s">
        <v>67</v>
      </c>
      <c r="V660" s="8" t="s">
        <v>54</v>
      </c>
      <c r="W660" s="8" t="s">
        <v>54</v>
      </c>
      <c r="X660" s="8" t="s">
        <v>54</v>
      </c>
      <c r="Y660" s="8" t="s">
        <v>54</v>
      </c>
      <c r="Z660" s="8" t="s">
        <v>54</v>
      </c>
      <c r="AA660" s="8" t="s">
        <v>54</v>
      </c>
      <c r="AB660" s="10" t="s">
        <v>67</v>
      </c>
      <c r="AC660" s="8" t="s">
        <v>54</v>
      </c>
      <c r="AD660" s="8" t="s">
        <v>54</v>
      </c>
      <c r="AE660" s="8" t="s">
        <v>54</v>
      </c>
      <c r="AF660" s="8" t="s">
        <v>54</v>
      </c>
      <c r="AG660" s="8" t="s">
        <v>54</v>
      </c>
      <c r="AH660" s="8" t="s">
        <v>54</v>
      </c>
      <c r="AI660" s="10" t="s">
        <v>67</v>
      </c>
      <c r="AJ660" s="8">
        <f>COUNTIF($E$660:$AI$660,"P")</f>
        <v>26</v>
      </c>
      <c r="AK660" s="8">
        <f>COUNTIF($E$660:$AI$660,"A")</f>
        <v>0</v>
      </c>
      <c r="AL660" s="8">
        <f>SUM($E$661:$AI$661)</f>
        <v>34</v>
      </c>
      <c r="AM660" s="8">
        <f>SUM($E$662:$AI$662)</f>
        <v>110</v>
      </c>
      <c r="AN660" s="8">
        <f>AL660+AM660</f>
        <v>144</v>
      </c>
      <c r="AO660" s="8">
        <f>COUNTIF($E$660:$AI$660,"CL")</f>
        <v>0</v>
      </c>
      <c r="AP660" s="8">
        <f>COUNTIF($E$660:$AI$660,"SL")</f>
        <v>0</v>
      </c>
      <c r="AQ660" s="8">
        <f>COUNTIF($E$660:$AI$660,"EL")</f>
        <v>0</v>
      </c>
      <c r="AR660" s="8">
        <f>COUNTIF($E$660:$AI$660,"H")</f>
        <v>0</v>
      </c>
      <c r="AS660" s="8"/>
      <c r="AT660" s="11" t="s">
        <v>246</v>
      </c>
    </row>
    <row r="661" spans="1:46" ht="15.1" customHeight="1">
      <c r="A661" s="8"/>
      <c r="B661" s="9"/>
      <c r="C661" s="8"/>
      <c r="D661" s="9"/>
      <c r="E661" s="8">
        <v>2</v>
      </c>
      <c r="F661" s="8">
        <v>2</v>
      </c>
      <c r="G661" s="8">
        <v>0</v>
      </c>
      <c r="H661" s="8">
        <v>2</v>
      </c>
      <c r="I661" s="8">
        <v>2</v>
      </c>
      <c r="J661" s="8">
        <v>2</v>
      </c>
      <c r="K661" s="8">
        <v>2</v>
      </c>
      <c r="L661" s="8">
        <v>2</v>
      </c>
      <c r="M661" s="8">
        <v>2</v>
      </c>
      <c r="N661" s="8">
        <v>0</v>
      </c>
      <c r="O661" s="8">
        <v>2</v>
      </c>
      <c r="P661" s="8">
        <v>2</v>
      </c>
      <c r="Q661" s="8">
        <v>2</v>
      </c>
      <c r="R661" s="8">
        <v>2</v>
      </c>
      <c r="S661" s="8">
        <v>2</v>
      </c>
      <c r="T661" s="8">
        <v>2</v>
      </c>
      <c r="U661" s="8">
        <v>0</v>
      </c>
      <c r="V661" s="8">
        <v>2</v>
      </c>
      <c r="W661" s="8">
        <v>2</v>
      </c>
      <c r="X661" s="8">
        <v>2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11" t="s">
        <v>246</v>
      </c>
    </row>
    <row r="662" spans="1:46" ht="15.1" customHeight="1">
      <c r="A662" s="8"/>
      <c r="B662" s="9"/>
      <c r="C662" s="8"/>
      <c r="D662" s="9"/>
      <c r="E662" s="8">
        <v>5</v>
      </c>
      <c r="F662" s="8">
        <v>3</v>
      </c>
      <c r="G662" s="8">
        <v>0</v>
      </c>
      <c r="H662" s="8">
        <v>5</v>
      </c>
      <c r="I662" s="8">
        <v>7</v>
      </c>
      <c r="J662" s="8">
        <v>7</v>
      </c>
      <c r="K662" s="8">
        <v>5</v>
      </c>
      <c r="L662" s="8">
        <v>2</v>
      </c>
      <c r="M662" s="8">
        <v>5</v>
      </c>
      <c r="N662" s="8">
        <v>17</v>
      </c>
      <c r="O662" s="8">
        <v>7</v>
      </c>
      <c r="P662" s="8">
        <v>7</v>
      </c>
      <c r="Q662" s="8">
        <v>5</v>
      </c>
      <c r="R662" s="8">
        <v>7</v>
      </c>
      <c r="S662" s="8">
        <v>7</v>
      </c>
      <c r="T662" s="8">
        <v>3</v>
      </c>
      <c r="U662" s="8">
        <v>0</v>
      </c>
      <c r="V662" s="8">
        <v>6</v>
      </c>
      <c r="W662" s="8">
        <v>7</v>
      </c>
      <c r="X662" s="8">
        <v>5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11" t="s">
        <v>246</v>
      </c>
    </row>
    <row r="663" spans="1:46" ht="15.1" customHeight="1">
      <c r="A663" s="8">
        <v>220</v>
      </c>
      <c r="B663" s="9" t="s">
        <v>702</v>
      </c>
      <c r="C663" s="8" t="s">
        <v>703</v>
      </c>
      <c r="D663" s="9" t="s">
        <v>699</v>
      </c>
      <c r="E663" s="8" t="s">
        <v>54</v>
      </c>
      <c r="F663" s="8" t="s">
        <v>54</v>
      </c>
      <c r="G663" s="10" t="s">
        <v>67</v>
      </c>
      <c r="H663" s="8" t="s">
        <v>54</v>
      </c>
      <c r="I663" s="8" t="s">
        <v>54</v>
      </c>
      <c r="J663" s="8" t="s">
        <v>54</v>
      </c>
      <c r="K663" s="8" t="s">
        <v>54</v>
      </c>
      <c r="L663" s="8" t="s">
        <v>54</v>
      </c>
      <c r="M663" s="8" t="s">
        <v>54</v>
      </c>
      <c r="N663" s="10" t="s">
        <v>67</v>
      </c>
      <c r="O663" s="8" t="s">
        <v>54</v>
      </c>
      <c r="P663" s="8" t="s">
        <v>54</v>
      </c>
      <c r="Q663" s="8" t="s">
        <v>54</v>
      </c>
      <c r="R663" s="8" t="s">
        <v>54</v>
      </c>
      <c r="S663" s="8" t="s">
        <v>54</v>
      </c>
      <c r="T663" s="8" t="s">
        <v>54</v>
      </c>
      <c r="U663" s="10" t="s">
        <v>67</v>
      </c>
      <c r="V663" s="8" t="s">
        <v>54</v>
      </c>
      <c r="W663" s="8" t="s">
        <v>54</v>
      </c>
      <c r="X663" s="8" t="s">
        <v>54</v>
      </c>
      <c r="Y663" s="8" t="s">
        <v>54</v>
      </c>
      <c r="Z663" s="8" t="s">
        <v>54</v>
      </c>
      <c r="AA663" s="8" t="s">
        <v>54</v>
      </c>
      <c r="AB663" s="10" t="s">
        <v>67</v>
      </c>
      <c r="AC663" s="8" t="s">
        <v>54</v>
      </c>
      <c r="AD663" s="8" t="s">
        <v>54</v>
      </c>
      <c r="AE663" s="8" t="s">
        <v>54</v>
      </c>
      <c r="AF663" s="8" t="s">
        <v>54</v>
      </c>
      <c r="AG663" s="8" t="s">
        <v>54</v>
      </c>
      <c r="AH663" s="8" t="s">
        <v>54</v>
      </c>
      <c r="AI663" s="10" t="s">
        <v>67</v>
      </c>
      <c r="AJ663" s="8">
        <f>COUNTIF($E$663:$AI$663,"P")</f>
        <v>26</v>
      </c>
      <c r="AK663" s="8">
        <f>COUNTIF($E$663:$AI$663,"A")</f>
        <v>0</v>
      </c>
      <c r="AL663" s="8">
        <f>SUM($E$664:$AI$664)</f>
        <v>34</v>
      </c>
      <c r="AM663" s="8">
        <f>SUM($E$665:$AI$665)</f>
        <v>131</v>
      </c>
      <c r="AN663" s="8">
        <f>AL663+AM663</f>
        <v>165</v>
      </c>
      <c r="AO663" s="8">
        <f>COUNTIF($E$663:$AI$663,"CL")</f>
        <v>0</v>
      </c>
      <c r="AP663" s="8">
        <f>COUNTIF($E$663:$AI$663,"SL")</f>
        <v>0</v>
      </c>
      <c r="AQ663" s="8">
        <f>COUNTIF($E$663:$AI$663,"EL")</f>
        <v>0</v>
      </c>
      <c r="AR663" s="8">
        <f>COUNTIF($E$663:$AI$663,"H")</f>
        <v>0</v>
      </c>
      <c r="AS663" s="8"/>
      <c r="AT663" s="11" t="s">
        <v>246</v>
      </c>
    </row>
    <row r="664" spans="1:46" ht="15.1" customHeight="1">
      <c r="A664" s="8"/>
      <c r="B664" s="9"/>
      <c r="C664" s="8"/>
      <c r="D664" s="9"/>
      <c r="E664" s="8">
        <v>2</v>
      </c>
      <c r="F664" s="8">
        <v>2</v>
      </c>
      <c r="G664" s="8">
        <v>0</v>
      </c>
      <c r="H664" s="8">
        <v>2</v>
      </c>
      <c r="I664" s="8">
        <v>2</v>
      </c>
      <c r="J664" s="8">
        <v>2</v>
      </c>
      <c r="K664" s="8">
        <v>2</v>
      </c>
      <c r="L664" s="8">
        <v>2</v>
      </c>
      <c r="M664" s="8">
        <v>2</v>
      </c>
      <c r="N664" s="8">
        <v>0</v>
      </c>
      <c r="O664" s="8">
        <v>2</v>
      </c>
      <c r="P664" s="8">
        <v>2</v>
      </c>
      <c r="Q664" s="8">
        <v>2</v>
      </c>
      <c r="R664" s="8">
        <v>2</v>
      </c>
      <c r="S664" s="8">
        <v>2</v>
      </c>
      <c r="T664" s="8">
        <v>2</v>
      </c>
      <c r="U664" s="8">
        <v>0</v>
      </c>
      <c r="V664" s="8">
        <v>2</v>
      </c>
      <c r="W664" s="8">
        <v>2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2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11" t="s">
        <v>246</v>
      </c>
    </row>
    <row r="665" spans="1:46" ht="15.1" customHeight="1">
      <c r="A665" s="8"/>
      <c r="B665" s="9"/>
      <c r="C665" s="8"/>
      <c r="D665" s="9"/>
      <c r="E665" s="8">
        <v>5</v>
      </c>
      <c r="F665" s="8">
        <v>3</v>
      </c>
      <c r="G665" s="8">
        <v>14</v>
      </c>
      <c r="H665" s="8">
        <v>5</v>
      </c>
      <c r="I665" s="8">
        <v>5</v>
      </c>
      <c r="J665" s="8">
        <v>7</v>
      </c>
      <c r="K665" s="8">
        <v>7</v>
      </c>
      <c r="L665" s="8">
        <v>7</v>
      </c>
      <c r="M665" s="8">
        <v>5</v>
      </c>
      <c r="N665" s="8">
        <v>17</v>
      </c>
      <c r="O665" s="8">
        <v>7</v>
      </c>
      <c r="P665" s="8">
        <v>7</v>
      </c>
      <c r="Q665" s="8">
        <v>5</v>
      </c>
      <c r="R665" s="8">
        <v>7</v>
      </c>
      <c r="S665" s="8">
        <v>7</v>
      </c>
      <c r="T665" s="8">
        <v>3</v>
      </c>
      <c r="U665" s="8">
        <v>13</v>
      </c>
      <c r="V665" s="8">
        <v>7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11" t="s">
        <v>246</v>
      </c>
    </row>
    <row r="666" spans="1:46" ht="15.1" customHeight="1">
      <c r="A666" s="8">
        <v>221</v>
      </c>
      <c r="B666" s="9" t="s">
        <v>704</v>
      </c>
      <c r="C666" s="8" t="s">
        <v>705</v>
      </c>
      <c r="D666" s="9" t="s">
        <v>699</v>
      </c>
      <c r="E666" s="8" t="s">
        <v>54</v>
      </c>
      <c r="F666" s="8" t="s">
        <v>54</v>
      </c>
      <c r="G666" s="10" t="s">
        <v>67</v>
      </c>
      <c r="H666" s="8" t="s">
        <v>54</v>
      </c>
      <c r="I666" s="8" t="s">
        <v>54</v>
      </c>
      <c r="J666" s="8" t="s">
        <v>54</v>
      </c>
      <c r="K666" s="8" t="s">
        <v>54</v>
      </c>
      <c r="L666" s="8" t="s">
        <v>54</v>
      </c>
      <c r="M666" s="8" t="s">
        <v>54</v>
      </c>
      <c r="N666" s="10" t="s">
        <v>67</v>
      </c>
      <c r="O666" s="8" t="s">
        <v>54</v>
      </c>
      <c r="P666" s="8" t="s">
        <v>54</v>
      </c>
      <c r="Q666" s="8" t="s">
        <v>54</v>
      </c>
      <c r="R666" s="8" t="s">
        <v>54</v>
      </c>
      <c r="S666" s="8" t="s">
        <v>54</v>
      </c>
      <c r="T666" s="8" t="s">
        <v>54</v>
      </c>
      <c r="U666" s="10" t="s">
        <v>67</v>
      </c>
      <c r="V666" s="8" t="s">
        <v>54</v>
      </c>
      <c r="W666" s="8" t="s">
        <v>54</v>
      </c>
      <c r="X666" s="8" t="s">
        <v>54</v>
      </c>
      <c r="Y666" s="8" t="s">
        <v>54</v>
      </c>
      <c r="Z666" s="8" t="s">
        <v>54</v>
      </c>
      <c r="AA666" s="8" t="s">
        <v>54</v>
      </c>
      <c r="AB666" s="10" t="s">
        <v>67</v>
      </c>
      <c r="AC666" s="8" t="s">
        <v>54</v>
      </c>
      <c r="AD666" s="8" t="s">
        <v>54</v>
      </c>
      <c r="AE666" s="8" t="s">
        <v>54</v>
      </c>
      <c r="AF666" s="8" t="s">
        <v>54</v>
      </c>
      <c r="AG666" s="8" t="s">
        <v>54</v>
      </c>
      <c r="AH666" s="12" t="s">
        <v>55</v>
      </c>
      <c r="AI666" s="10" t="s">
        <v>67</v>
      </c>
      <c r="AJ666" s="8">
        <f>COUNTIF($E$666:$AI$666,"P")</f>
        <v>25</v>
      </c>
      <c r="AK666" s="8">
        <f>COUNTIF($E$666:$AI$666,"A")</f>
        <v>1</v>
      </c>
      <c r="AL666" s="8">
        <f>SUM($E$667:$AI$667)</f>
        <v>34</v>
      </c>
      <c r="AM666" s="8">
        <f>SUM($E$668:$AI$668)</f>
        <v>151</v>
      </c>
      <c r="AN666" s="8">
        <f>AL666+AM666</f>
        <v>185</v>
      </c>
      <c r="AO666" s="8">
        <f>COUNTIF($E$666:$AI$666,"CL")</f>
        <v>0</v>
      </c>
      <c r="AP666" s="8">
        <f>COUNTIF($E$666:$AI$666,"SL")</f>
        <v>0</v>
      </c>
      <c r="AQ666" s="8">
        <f>COUNTIF($E$666:$AI$666,"EL")</f>
        <v>0</v>
      </c>
      <c r="AR666" s="8">
        <f>COUNTIF($E$666:$AI$666,"H")</f>
        <v>0</v>
      </c>
      <c r="AS666" s="8"/>
      <c r="AT666" s="11" t="s">
        <v>246</v>
      </c>
    </row>
    <row r="667" spans="1:46" ht="15.1" customHeight="1">
      <c r="A667" s="8"/>
      <c r="B667" s="9"/>
      <c r="C667" s="8"/>
      <c r="D667" s="9"/>
      <c r="E667" s="8">
        <v>2</v>
      </c>
      <c r="F667" s="8">
        <v>2</v>
      </c>
      <c r="G667" s="8">
        <v>0</v>
      </c>
      <c r="H667" s="8">
        <v>2</v>
      </c>
      <c r="I667" s="8">
        <v>2</v>
      </c>
      <c r="J667" s="8">
        <v>2</v>
      </c>
      <c r="K667" s="8">
        <v>2</v>
      </c>
      <c r="L667" s="8">
        <v>2</v>
      </c>
      <c r="M667" s="8">
        <v>2</v>
      </c>
      <c r="N667" s="8">
        <v>0</v>
      </c>
      <c r="O667" s="8">
        <v>2</v>
      </c>
      <c r="P667" s="8">
        <v>2</v>
      </c>
      <c r="Q667" s="8">
        <v>2</v>
      </c>
      <c r="R667" s="8">
        <v>2</v>
      </c>
      <c r="S667" s="8">
        <v>2</v>
      </c>
      <c r="T667" s="8">
        <v>2</v>
      </c>
      <c r="U667" s="8">
        <v>0</v>
      </c>
      <c r="V667" s="8">
        <v>2</v>
      </c>
      <c r="W667" s="8">
        <v>2</v>
      </c>
      <c r="X667" s="8">
        <v>2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11" t="s">
        <v>246</v>
      </c>
    </row>
    <row r="668" spans="1:46" ht="15.1" customHeight="1">
      <c r="A668" s="8"/>
      <c r="B668" s="9"/>
      <c r="C668" s="8"/>
      <c r="D668" s="9"/>
      <c r="E668" s="8">
        <v>6</v>
      </c>
      <c r="F668" s="8">
        <v>3</v>
      </c>
      <c r="G668" s="8">
        <v>11.5</v>
      </c>
      <c r="H668" s="8">
        <v>7</v>
      </c>
      <c r="I668" s="8">
        <v>7</v>
      </c>
      <c r="J668" s="8">
        <v>7</v>
      </c>
      <c r="K668" s="8">
        <v>7</v>
      </c>
      <c r="L668" s="8">
        <v>7</v>
      </c>
      <c r="M668" s="8">
        <v>7</v>
      </c>
      <c r="N668" s="8">
        <v>17</v>
      </c>
      <c r="O668" s="8">
        <v>7</v>
      </c>
      <c r="P668" s="8">
        <v>7</v>
      </c>
      <c r="Q668" s="8">
        <v>7</v>
      </c>
      <c r="R668" s="8">
        <v>7</v>
      </c>
      <c r="S668" s="8">
        <v>7</v>
      </c>
      <c r="T668" s="8">
        <v>5</v>
      </c>
      <c r="U668" s="8">
        <v>12.5</v>
      </c>
      <c r="V668" s="8">
        <v>7</v>
      </c>
      <c r="W668" s="8">
        <v>7</v>
      </c>
      <c r="X668" s="8">
        <v>5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11" t="s">
        <v>246</v>
      </c>
    </row>
    <row r="669" spans="1:46" ht="15.1" customHeight="1">
      <c r="A669" s="8">
        <v>222</v>
      </c>
      <c r="B669" s="9" t="s">
        <v>706</v>
      </c>
      <c r="C669" s="8" t="s">
        <v>707</v>
      </c>
      <c r="D669" s="9" t="s">
        <v>699</v>
      </c>
      <c r="E669" s="8" t="s">
        <v>54</v>
      </c>
      <c r="F669" s="8" t="s">
        <v>54</v>
      </c>
      <c r="G669" s="10" t="s">
        <v>67</v>
      </c>
      <c r="H669" s="8" t="s">
        <v>54</v>
      </c>
      <c r="I669" s="8" t="s">
        <v>54</v>
      </c>
      <c r="J669" s="8" t="s">
        <v>54</v>
      </c>
      <c r="K669" s="8" t="s">
        <v>54</v>
      </c>
      <c r="L669" s="8" t="s">
        <v>54</v>
      </c>
      <c r="M669" s="8" t="s">
        <v>54</v>
      </c>
      <c r="N669" s="10" t="s">
        <v>67</v>
      </c>
      <c r="O669" s="8" t="s">
        <v>54</v>
      </c>
      <c r="P669" s="8" t="s">
        <v>54</v>
      </c>
      <c r="Q669" s="8" t="s">
        <v>54</v>
      </c>
      <c r="R669" s="8" t="s">
        <v>54</v>
      </c>
      <c r="S669" s="8" t="s">
        <v>54</v>
      </c>
      <c r="T669" s="8" t="s">
        <v>54</v>
      </c>
      <c r="U669" s="10" t="s">
        <v>67</v>
      </c>
      <c r="V669" s="8" t="s">
        <v>54</v>
      </c>
      <c r="W669" s="8" t="s">
        <v>54</v>
      </c>
      <c r="X669" s="8" t="s">
        <v>54</v>
      </c>
      <c r="Y669" s="8" t="s">
        <v>54</v>
      </c>
      <c r="Z669" s="8" t="s">
        <v>54</v>
      </c>
      <c r="AA669" s="8" t="s">
        <v>54</v>
      </c>
      <c r="AB669" s="10" t="s">
        <v>67</v>
      </c>
      <c r="AC669" s="8" t="s">
        <v>54</v>
      </c>
      <c r="AD669" s="8" t="s">
        <v>54</v>
      </c>
      <c r="AE669" s="8" t="s">
        <v>54</v>
      </c>
      <c r="AF669" s="8" t="s">
        <v>54</v>
      </c>
      <c r="AG669" s="8" t="s">
        <v>54</v>
      </c>
      <c r="AH669" s="8" t="s">
        <v>54</v>
      </c>
      <c r="AI669" s="10" t="s">
        <v>67</v>
      </c>
      <c r="AJ669" s="8">
        <f>COUNTIF($E$669:$AI$669,"P")</f>
        <v>26</v>
      </c>
      <c r="AK669" s="8">
        <f>COUNTIF($E$669:$AI$669,"A")</f>
        <v>0</v>
      </c>
      <c r="AL669" s="8">
        <f>SUM($E$670:$AI$670)</f>
        <v>33</v>
      </c>
      <c r="AM669" s="8">
        <f>SUM($E$671:$AI$671)</f>
        <v>33</v>
      </c>
      <c r="AN669" s="8">
        <f>AL669+AM669</f>
        <v>66</v>
      </c>
      <c r="AO669" s="8">
        <f>COUNTIF($E$669:$AI$669,"CL")</f>
        <v>0</v>
      </c>
      <c r="AP669" s="8">
        <f>COUNTIF($E$669:$AI$669,"SL")</f>
        <v>0</v>
      </c>
      <c r="AQ669" s="8">
        <f>COUNTIF($E$669:$AI$669,"EL")</f>
        <v>0</v>
      </c>
      <c r="AR669" s="8">
        <f>COUNTIF($E$669:$AI$669,"H")</f>
        <v>0</v>
      </c>
      <c r="AS669" s="8"/>
      <c r="AT669" s="11" t="s">
        <v>246</v>
      </c>
    </row>
    <row r="670" spans="1:46" ht="15.1" customHeight="1">
      <c r="A670" s="8"/>
      <c r="B670" s="9"/>
      <c r="C670" s="8"/>
      <c r="D670" s="9"/>
      <c r="E670" s="8">
        <v>2</v>
      </c>
      <c r="F670" s="8">
        <v>2</v>
      </c>
      <c r="G670" s="8">
        <v>0</v>
      </c>
      <c r="H670" s="8">
        <v>2</v>
      </c>
      <c r="I670" s="8">
        <v>2</v>
      </c>
      <c r="J670" s="8">
        <v>2</v>
      </c>
      <c r="K670" s="8">
        <v>1</v>
      </c>
      <c r="L670" s="8">
        <v>2</v>
      </c>
      <c r="M670" s="8">
        <v>2</v>
      </c>
      <c r="N670" s="8">
        <v>0</v>
      </c>
      <c r="O670" s="8">
        <v>2</v>
      </c>
      <c r="P670" s="8">
        <v>2</v>
      </c>
      <c r="Q670" s="8">
        <v>2</v>
      </c>
      <c r="R670" s="8">
        <v>2</v>
      </c>
      <c r="S670" s="8">
        <v>0</v>
      </c>
      <c r="T670" s="8">
        <v>2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2</v>
      </c>
      <c r="AE670" s="8">
        <v>2</v>
      </c>
      <c r="AF670" s="8">
        <v>2</v>
      </c>
      <c r="AG670" s="8">
        <v>0</v>
      </c>
      <c r="AH670" s="8">
        <v>2</v>
      </c>
      <c r="AI670" s="8">
        <v>0</v>
      </c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11" t="s">
        <v>246</v>
      </c>
    </row>
    <row r="671" spans="1:46" ht="15.1" customHeight="1">
      <c r="A671" s="8"/>
      <c r="B671" s="9"/>
      <c r="C671" s="8"/>
      <c r="D671" s="9"/>
      <c r="E671" s="8">
        <v>3</v>
      </c>
      <c r="F671" s="8">
        <v>3</v>
      </c>
      <c r="G671" s="8">
        <v>8</v>
      </c>
      <c r="H671" s="8">
        <v>3</v>
      </c>
      <c r="I671" s="8">
        <v>3</v>
      </c>
      <c r="J671" s="8">
        <v>3</v>
      </c>
      <c r="K671" s="8">
        <v>0</v>
      </c>
      <c r="L671" s="8">
        <v>3</v>
      </c>
      <c r="M671" s="8">
        <v>3</v>
      </c>
      <c r="N671" s="8">
        <v>0</v>
      </c>
      <c r="O671" s="8">
        <v>0</v>
      </c>
      <c r="P671" s="8">
        <v>0</v>
      </c>
      <c r="Q671" s="8">
        <v>0</v>
      </c>
      <c r="R671" s="8">
        <v>3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0.5</v>
      </c>
      <c r="AG671" s="8">
        <v>0</v>
      </c>
      <c r="AH671" s="8">
        <v>0.5</v>
      </c>
      <c r="AI671" s="8">
        <v>0</v>
      </c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11" t="s">
        <v>246</v>
      </c>
    </row>
    <row r="672" spans="1:46" ht="15.1" customHeight="1">
      <c r="A672" s="8">
        <v>223</v>
      </c>
      <c r="B672" s="9" t="s">
        <v>708</v>
      </c>
      <c r="C672" s="8" t="s">
        <v>709</v>
      </c>
      <c r="D672" s="9" t="s">
        <v>699</v>
      </c>
      <c r="E672" s="8" t="s">
        <v>54</v>
      </c>
      <c r="F672" s="8" t="s">
        <v>54</v>
      </c>
      <c r="G672" s="10" t="s">
        <v>67</v>
      </c>
      <c r="H672" s="8" t="s">
        <v>54</v>
      </c>
      <c r="I672" s="8" t="s">
        <v>54</v>
      </c>
      <c r="J672" s="8" t="s">
        <v>54</v>
      </c>
      <c r="K672" s="8" t="s">
        <v>54</v>
      </c>
      <c r="L672" s="8" t="s">
        <v>54</v>
      </c>
      <c r="M672" s="12" t="s">
        <v>55</v>
      </c>
      <c r="N672" s="10" t="s">
        <v>67</v>
      </c>
      <c r="O672" s="8" t="s">
        <v>54</v>
      </c>
      <c r="P672" s="8" t="s">
        <v>54</v>
      </c>
      <c r="Q672" s="8" t="s">
        <v>54</v>
      </c>
      <c r="R672" s="8" t="s">
        <v>54</v>
      </c>
      <c r="S672" s="8" t="s">
        <v>54</v>
      </c>
      <c r="T672" s="8" t="s">
        <v>54</v>
      </c>
      <c r="U672" s="10" t="s">
        <v>67</v>
      </c>
      <c r="V672" s="8" t="s">
        <v>54</v>
      </c>
      <c r="W672" s="12" t="s">
        <v>55</v>
      </c>
      <c r="X672" s="12" t="s">
        <v>55</v>
      </c>
      <c r="Y672" s="12" t="s">
        <v>55</v>
      </c>
      <c r="Z672" s="12" t="s">
        <v>55</v>
      </c>
      <c r="AA672" s="12" t="s">
        <v>55</v>
      </c>
      <c r="AB672" s="10" t="s">
        <v>67</v>
      </c>
      <c r="AC672" s="12" t="s">
        <v>55</v>
      </c>
      <c r="AD672" s="12" t="s">
        <v>55</v>
      </c>
      <c r="AE672" s="12" t="s">
        <v>55</v>
      </c>
      <c r="AF672" s="12" t="s">
        <v>55</v>
      </c>
      <c r="AG672" s="8"/>
      <c r="AH672" s="8"/>
      <c r="AI672" s="10"/>
      <c r="AJ672" s="8">
        <f>COUNTIF($E$672:$AI$672,"P")</f>
        <v>14</v>
      </c>
      <c r="AK672" s="8">
        <f>COUNTIF($E$672:$AI$672,"A")</f>
        <v>10</v>
      </c>
      <c r="AL672" s="8">
        <f>SUM($E$673:$AI$673)</f>
        <v>28</v>
      </c>
      <c r="AM672" s="8">
        <f>SUM($E$674:$AI$674)</f>
        <v>66.5</v>
      </c>
      <c r="AN672" s="8">
        <f>AL672+AM672</f>
        <v>94.5</v>
      </c>
      <c r="AO672" s="8">
        <f>COUNTIF($E$672:$AI$672,"CL")</f>
        <v>0</v>
      </c>
      <c r="AP672" s="8">
        <f>COUNTIF($E$672:$AI$672,"SL")</f>
        <v>0</v>
      </c>
      <c r="AQ672" s="8">
        <f>COUNTIF($E$672:$AI$672,"EL")</f>
        <v>0</v>
      </c>
      <c r="AR672" s="8">
        <f>COUNTIF($E$672:$AI$672,"H")</f>
        <v>0</v>
      </c>
      <c r="AS672" s="8"/>
      <c r="AT672" s="11" t="s">
        <v>246</v>
      </c>
    </row>
    <row r="673" spans="1:46" ht="15.1" customHeight="1">
      <c r="A673" s="8"/>
      <c r="B673" s="9"/>
      <c r="C673" s="8"/>
      <c r="D673" s="9"/>
      <c r="E673" s="8">
        <v>2</v>
      </c>
      <c r="F673" s="8">
        <v>2</v>
      </c>
      <c r="G673" s="8">
        <v>0</v>
      </c>
      <c r="H673" s="8">
        <v>2</v>
      </c>
      <c r="I673" s="8">
        <v>2</v>
      </c>
      <c r="J673" s="8">
        <v>2</v>
      </c>
      <c r="K673" s="8">
        <v>2</v>
      </c>
      <c r="L673" s="8">
        <v>2</v>
      </c>
      <c r="M673" s="8">
        <v>0</v>
      </c>
      <c r="N673" s="8">
        <v>0</v>
      </c>
      <c r="O673" s="8">
        <v>2</v>
      </c>
      <c r="P673" s="8">
        <v>2</v>
      </c>
      <c r="Q673" s="8">
        <v>2</v>
      </c>
      <c r="R673" s="8">
        <v>2</v>
      </c>
      <c r="S673" s="8">
        <v>2</v>
      </c>
      <c r="T673" s="8">
        <v>2</v>
      </c>
      <c r="U673" s="8">
        <v>0</v>
      </c>
      <c r="V673" s="8">
        <v>2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11" t="s">
        <v>246</v>
      </c>
    </row>
    <row r="674" spans="1:46" ht="15.1" customHeight="1">
      <c r="A674" s="8"/>
      <c r="B674" s="9"/>
      <c r="C674" s="8"/>
      <c r="D674" s="9"/>
      <c r="E674" s="8">
        <v>4</v>
      </c>
      <c r="F674" s="8">
        <v>3</v>
      </c>
      <c r="G674" s="8">
        <v>14</v>
      </c>
      <c r="H674" s="8">
        <v>4</v>
      </c>
      <c r="I674" s="8">
        <v>6</v>
      </c>
      <c r="J674" s="8">
        <v>3</v>
      </c>
      <c r="K674" s="8">
        <v>3</v>
      </c>
      <c r="L674" s="8">
        <v>4.5</v>
      </c>
      <c r="M674" s="8">
        <v>0</v>
      </c>
      <c r="N674" s="8">
        <v>0</v>
      </c>
      <c r="O674" s="8">
        <v>5</v>
      </c>
      <c r="P674" s="8">
        <v>5</v>
      </c>
      <c r="Q674" s="8">
        <v>4</v>
      </c>
      <c r="R674" s="8">
        <v>5</v>
      </c>
      <c r="S674" s="8">
        <v>3</v>
      </c>
      <c r="T674" s="8">
        <v>3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11" t="s">
        <v>246</v>
      </c>
    </row>
    <row r="675" spans="1:46" ht="15.1" customHeight="1">
      <c r="A675" s="8">
        <v>224</v>
      </c>
      <c r="B675" s="9" t="s">
        <v>710</v>
      </c>
      <c r="C675" s="8" t="s">
        <v>711</v>
      </c>
      <c r="D675" s="9" t="s">
        <v>699</v>
      </c>
      <c r="E675" s="8" t="s">
        <v>54</v>
      </c>
      <c r="F675" s="8" t="s">
        <v>54</v>
      </c>
      <c r="G675" s="10" t="s">
        <v>67</v>
      </c>
      <c r="H675" s="8" t="s">
        <v>54</v>
      </c>
      <c r="I675" s="8" t="s">
        <v>54</v>
      </c>
      <c r="J675" s="8" t="s">
        <v>54</v>
      </c>
      <c r="K675" s="8" t="s">
        <v>54</v>
      </c>
      <c r="L675" s="8" t="s">
        <v>54</v>
      </c>
      <c r="M675" s="8" t="s">
        <v>54</v>
      </c>
      <c r="N675" s="10" t="s">
        <v>67</v>
      </c>
      <c r="O675" s="8" t="s">
        <v>54</v>
      </c>
      <c r="P675" s="8" t="s">
        <v>54</v>
      </c>
      <c r="Q675" s="8" t="s">
        <v>54</v>
      </c>
      <c r="R675" s="8" t="s">
        <v>54</v>
      </c>
      <c r="S675" s="8" t="s">
        <v>54</v>
      </c>
      <c r="T675" s="8" t="s">
        <v>54</v>
      </c>
      <c r="U675" s="10" t="s">
        <v>67</v>
      </c>
      <c r="V675" s="8" t="s">
        <v>54</v>
      </c>
      <c r="W675" s="8" t="s">
        <v>54</v>
      </c>
      <c r="X675" s="8" t="s">
        <v>54</v>
      </c>
      <c r="Y675" s="8" t="s">
        <v>54</v>
      </c>
      <c r="Z675" s="8" t="s">
        <v>54</v>
      </c>
      <c r="AA675" s="8" t="s">
        <v>54</v>
      </c>
      <c r="AB675" s="10" t="s">
        <v>67</v>
      </c>
      <c r="AC675" s="8" t="s">
        <v>54</v>
      </c>
      <c r="AD675" s="8" t="s">
        <v>54</v>
      </c>
      <c r="AE675" s="8" t="s">
        <v>54</v>
      </c>
      <c r="AF675" s="8" t="s">
        <v>54</v>
      </c>
      <c r="AG675" s="8" t="s">
        <v>54</v>
      </c>
      <c r="AH675" s="8" t="s">
        <v>54</v>
      </c>
      <c r="AI675" s="10" t="s">
        <v>67</v>
      </c>
      <c r="AJ675" s="8">
        <f>COUNTIF($E$675:$AI$675,"P")</f>
        <v>26</v>
      </c>
      <c r="AK675" s="8">
        <f>COUNTIF($E$675:$AI$675,"A")</f>
        <v>0</v>
      </c>
      <c r="AL675" s="8">
        <f>SUM($E$676:$AI$676)</f>
        <v>28</v>
      </c>
      <c r="AM675" s="8">
        <f>SUM($E$677:$AI$677)</f>
        <v>86.5</v>
      </c>
      <c r="AN675" s="8">
        <f>AL675+AM675</f>
        <v>114.5</v>
      </c>
      <c r="AO675" s="8">
        <f>COUNTIF($E$675:$AI$675,"CL")</f>
        <v>0</v>
      </c>
      <c r="AP675" s="8">
        <f>COUNTIF($E$675:$AI$675,"SL")</f>
        <v>0</v>
      </c>
      <c r="AQ675" s="8">
        <f>COUNTIF($E$675:$AI$675,"EL")</f>
        <v>0</v>
      </c>
      <c r="AR675" s="8">
        <f>COUNTIF($E$675:$AI$675,"H")</f>
        <v>0</v>
      </c>
      <c r="AS675" s="8"/>
      <c r="AT675" s="11" t="s">
        <v>246</v>
      </c>
    </row>
    <row r="676" spans="1:46" ht="15.1" customHeight="1">
      <c r="A676" s="8"/>
      <c r="B676" s="9"/>
      <c r="C676" s="8"/>
      <c r="D676" s="9"/>
      <c r="E676" s="8">
        <v>2</v>
      </c>
      <c r="F676" s="8">
        <v>2</v>
      </c>
      <c r="G676" s="8">
        <v>0</v>
      </c>
      <c r="H676" s="8">
        <v>2</v>
      </c>
      <c r="I676" s="8">
        <v>2</v>
      </c>
      <c r="J676" s="8">
        <v>2</v>
      </c>
      <c r="K676" s="8">
        <v>2</v>
      </c>
      <c r="L676" s="8">
        <v>0</v>
      </c>
      <c r="M676" s="8">
        <v>0</v>
      </c>
      <c r="N676" s="8">
        <v>0</v>
      </c>
      <c r="O676" s="8">
        <v>2</v>
      </c>
      <c r="P676" s="8">
        <v>2</v>
      </c>
      <c r="Q676" s="8">
        <v>2</v>
      </c>
      <c r="R676" s="8">
        <v>2</v>
      </c>
      <c r="S676" s="8">
        <v>2</v>
      </c>
      <c r="T676" s="8">
        <v>2</v>
      </c>
      <c r="U676" s="8">
        <v>0</v>
      </c>
      <c r="V676" s="8">
        <v>0</v>
      </c>
      <c r="W676" s="8">
        <v>2</v>
      </c>
      <c r="X676" s="8">
        <v>2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11" t="s">
        <v>246</v>
      </c>
    </row>
    <row r="677" spans="1:46" ht="15.1" customHeight="1">
      <c r="A677" s="8"/>
      <c r="B677" s="9"/>
      <c r="C677" s="8"/>
      <c r="D677" s="9"/>
      <c r="E677" s="8">
        <v>5</v>
      </c>
      <c r="F677" s="8">
        <v>3</v>
      </c>
      <c r="G677" s="8">
        <v>11.5</v>
      </c>
      <c r="H677" s="8">
        <v>5</v>
      </c>
      <c r="I677" s="8">
        <v>7</v>
      </c>
      <c r="J677" s="8">
        <v>5</v>
      </c>
      <c r="K677" s="8">
        <v>5</v>
      </c>
      <c r="L677" s="8">
        <v>0</v>
      </c>
      <c r="M677" s="8">
        <v>0</v>
      </c>
      <c r="N677" s="8">
        <v>0</v>
      </c>
      <c r="O677" s="8">
        <v>7</v>
      </c>
      <c r="P677" s="8">
        <v>7</v>
      </c>
      <c r="Q677" s="8">
        <v>7</v>
      </c>
      <c r="R677" s="8">
        <v>7</v>
      </c>
      <c r="S677" s="8">
        <v>7</v>
      </c>
      <c r="T677" s="8">
        <v>2</v>
      </c>
      <c r="U677" s="8">
        <v>0</v>
      </c>
      <c r="V677" s="8">
        <v>0</v>
      </c>
      <c r="W677" s="8">
        <v>3</v>
      </c>
      <c r="X677" s="8">
        <v>5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11" t="s">
        <v>246</v>
      </c>
    </row>
    <row r="678" spans="1:46" ht="15.1" customHeight="1">
      <c r="A678" s="8">
        <v>225</v>
      </c>
      <c r="B678" s="9" t="s">
        <v>712</v>
      </c>
      <c r="C678" s="8" t="s">
        <v>713</v>
      </c>
      <c r="D678" s="9" t="s">
        <v>714</v>
      </c>
      <c r="E678" s="8" t="s">
        <v>54</v>
      </c>
      <c r="F678" s="8" t="s">
        <v>54</v>
      </c>
      <c r="G678" s="10" t="s">
        <v>67</v>
      </c>
      <c r="H678" s="8" t="s">
        <v>54</v>
      </c>
      <c r="I678" s="8" t="s">
        <v>54</v>
      </c>
      <c r="J678" s="8" t="s">
        <v>54</v>
      </c>
      <c r="K678" s="8" t="s">
        <v>54</v>
      </c>
      <c r="L678" s="8" t="s">
        <v>54</v>
      </c>
      <c r="M678" s="8" t="s">
        <v>54</v>
      </c>
      <c r="N678" s="10" t="s">
        <v>67</v>
      </c>
      <c r="O678" s="8" t="s">
        <v>54</v>
      </c>
      <c r="P678" s="8" t="s">
        <v>54</v>
      </c>
      <c r="Q678" s="8" t="s">
        <v>54</v>
      </c>
      <c r="R678" s="8" t="s">
        <v>54</v>
      </c>
      <c r="S678" s="8" t="s">
        <v>54</v>
      </c>
      <c r="T678" s="8" t="s">
        <v>54</v>
      </c>
      <c r="U678" s="10" t="s">
        <v>67</v>
      </c>
      <c r="V678" s="8" t="s">
        <v>54</v>
      </c>
      <c r="W678" s="8" t="s">
        <v>54</v>
      </c>
      <c r="X678" s="8" t="s">
        <v>54</v>
      </c>
      <c r="Y678" s="8" t="s">
        <v>54</v>
      </c>
      <c r="Z678" s="8" t="s">
        <v>54</v>
      </c>
      <c r="AA678" s="8" t="s">
        <v>54</v>
      </c>
      <c r="AB678" s="10" t="s">
        <v>67</v>
      </c>
      <c r="AC678" s="8" t="s">
        <v>54</v>
      </c>
      <c r="AD678" s="8" t="s">
        <v>54</v>
      </c>
      <c r="AE678" s="8" t="s">
        <v>54</v>
      </c>
      <c r="AF678" s="8" t="s">
        <v>54</v>
      </c>
      <c r="AG678" s="8" t="s">
        <v>54</v>
      </c>
      <c r="AH678" s="8" t="s">
        <v>54</v>
      </c>
      <c r="AI678" s="10" t="s">
        <v>67</v>
      </c>
      <c r="AJ678" s="8">
        <f>COUNTIF($E$678:$AI$678,"P")</f>
        <v>26</v>
      </c>
      <c r="AK678" s="8">
        <f>COUNTIF($E$678:$AI$678,"A")</f>
        <v>0</v>
      </c>
      <c r="AL678" s="8">
        <f>SUM($E$679:$AI$679)</f>
        <v>2</v>
      </c>
      <c r="AM678" s="8">
        <f>SUM($E$680:$AI$680)</f>
        <v>8</v>
      </c>
      <c r="AN678" s="8">
        <f>AL678+AM678</f>
        <v>10</v>
      </c>
      <c r="AO678" s="8">
        <f>COUNTIF($E$678:$AI$678,"CL")</f>
        <v>0</v>
      </c>
      <c r="AP678" s="8">
        <f>COUNTIF($E$678:$AI$678,"SL")</f>
        <v>0</v>
      </c>
      <c r="AQ678" s="8">
        <f>COUNTIF($E$678:$AI$678,"EL")</f>
        <v>0</v>
      </c>
      <c r="AR678" s="8">
        <f>COUNTIF($E$678:$AI$678,"H")</f>
        <v>0</v>
      </c>
      <c r="AS678" s="8"/>
      <c r="AT678" s="11" t="s">
        <v>246</v>
      </c>
    </row>
    <row r="679" spans="1:46" ht="15.1" customHeight="1">
      <c r="A679" s="8"/>
      <c r="B679" s="9"/>
      <c r="C679" s="8"/>
      <c r="D679" s="9"/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2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11" t="s">
        <v>246</v>
      </c>
    </row>
    <row r="680" spans="1:46" ht="15.1" customHeight="1">
      <c r="A680" s="8"/>
      <c r="B680" s="9"/>
      <c r="C680" s="8"/>
      <c r="D680" s="9"/>
      <c r="E680" s="8">
        <v>0</v>
      </c>
      <c r="F680" s="8">
        <v>0</v>
      </c>
      <c r="G680" s="8">
        <v>8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11" t="s">
        <v>246</v>
      </c>
    </row>
    <row r="681" spans="1:46" ht="15.1" customHeight="1">
      <c r="A681" s="8">
        <v>226</v>
      </c>
      <c r="B681" s="9" t="s">
        <v>715</v>
      </c>
      <c r="C681" s="8" t="s">
        <v>716</v>
      </c>
      <c r="D681" s="9" t="s">
        <v>699</v>
      </c>
      <c r="E681" s="8" t="s">
        <v>54</v>
      </c>
      <c r="F681" s="8" t="s">
        <v>54</v>
      </c>
      <c r="G681" s="10" t="s">
        <v>67</v>
      </c>
      <c r="H681" s="8" t="s">
        <v>54</v>
      </c>
      <c r="I681" s="8" t="s">
        <v>54</v>
      </c>
      <c r="J681" s="8" t="s">
        <v>54</v>
      </c>
      <c r="K681" s="8" t="s">
        <v>54</v>
      </c>
      <c r="L681" s="8" t="s">
        <v>54</v>
      </c>
      <c r="M681" s="8" t="s">
        <v>54</v>
      </c>
      <c r="N681" s="10" t="s">
        <v>67</v>
      </c>
      <c r="O681" s="12" t="s">
        <v>55</v>
      </c>
      <c r="P681" s="8" t="s">
        <v>54</v>
      </c>
      <c r="Q681" s="8" t="s">
        <v>54</v>
      </c>
      <c r="R681" s="8" t="s">
        <v>54</v>
      </c>
      <c r="S681" s="8" t="s">
        <v>54</v>
      </c>
      <c r="T681" s="8" t="s">
        <v>54</v>
      </c>
      <c r="U681" s="10" t="s">
        <v>67</v>
      </c>
      <c r="V681" s="8" t="s">
        <v>54</v>
      </c>
      <c r="W681" s="8" t="s">
        <v>54</v>
      </c>
      <c r="X681" s="8" t="s">
        <v>54</v>
      </c>
      <c r="Y681" s="8" t="s">
        <v>54</v>
      </c>
      <c r="Z681" s="8" t="s">
        <v>54</v>
      </c>
      <c r="AA681" s="8" t="s">
        <v>54</v>
      </c>
      <c r="AB681" s="10" t="s">
        <v>67</v>
      </c>
      <c r="AC681" s="8" t="s">
        <v>59</v>
      </c>
      <c r="AD681" s="8" t="s">
        <v>59</v>
      </c>
      <c r="AE681" s="8" t="s">
        <v>59</v>
      </c>
      <c r="AF681" s="12" t="s">
        <v>55</v>
      </c>
      <c r="AG681" s="12" t="s">
        <v>55</v>
      </c>
      <c r="AH681" s="12" t="s">
        <v>55</v>
      </c>
      <c r="AI681" s="10" t="s">
        <v>67</v>
      </c>
      <c r="AJ681" s="8">
        <f>COUNTIF($E$681:$AI$681,"P")</f>
        <v>19</v>
      </c>
      <c r="AK681" s="8">
        <f>COUNTIF($E$681:$AI$681,"A")</f>
        <v>4</v>
      </c>
      <c r="AL681" s="8">
        <f>SUM($E$682:$AI$682)</f>
        <v>32</v>
      </c>
      <c r="AM681" s="8">
        <f>SUM($E$683:$AI$683)</f>
        <v>132</v>
      </c>
      <c r="AN681" s="8">
        <f>AL681+AM681</f>
        <v>164</v>
      </c>
      <c r="AO681" s="8">
        <f>COUNTIF($E$681:$AI$681,"CL")</f>
        <v>3</v>
      </c>
      <c r="AP681" s="8">
        <f>COUNTIF($E$681:$AI$681,"SL")</f>
        <v>0</v>
      </c>
      <c r="AQ681" s="8">
        <f>COUNTIF($E$681:$AI$681,"EL")</f>
        <v>0</v>
      </c>
      <c r="AR681" s="8">
        <f>COUNTIF($E$681:$AI$681,"H")</f>
        <v>0</v>
      </c>
      <c r="AS681" s="8"/>
      <c r="AT681" s="11" t="s">
        <v>246</v>
      </c>
    </row>
    <row r="682" spans="1:46" ht="15.1" customHeight="1">
      <c r="A682" s="8"/>
      <c r="B682" s="9"/>
      <c r="C682" s="8"/>
      <c r="D682" s="9"/>
      <c r="E682" s="8">
        <v>2</v>
      </c>
      <c r="F682" s="8">
        <v>2</v>
      </c>
      <c r="G682" s="8">
        <v>0</v>
      </c>
      <c r="H682" s="8">
        <v>2</v>
      </c>
      <c r="I682" s="8">
        <v>2</v>
      </c>
      <c r="J682" s="8">
        <v>2</v>
      </c>
      <c r="K682" s="8">
        <v>2</v>
      </c>
      <c r="L682" s="8">
        <v>2</v>
      </c>
      <c r="M682" s="8">
        <v>2</v>
      </c>
      <c r="N682" s="8">
        <v>0</v>
      </c>
      <c r="O682" s="8">
        <v>0</v>
      </c>
      <c r="P682" s="8">
        <v>2</v>
      </c>
      <c r="Q682" s="8">
        <v>2</v>
      </c>
      <c r="R682" s="8">
        <v>0</v>
      </c>
      <c r="S682" s="8">
        <v>2</v>
      </c>
      <c r="T682" s="8">
        <v>2</v>
      </c>
      <c r="U682" s="8">
        <v>0</v>
      </c>
      <c r="V682" s="8">
        <v>2</v>
      </c>
      <c r="W682" s="8">
        <v>2</v>
      </c>
      <c r="X682" s="8">
        <v>2</v>
      </c>
      <c r="Y682" s="8">
        <v>2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11" t="s">
        <v>246</v>
      </c>
    </row>
    <row r="683" spans="1:46" ht="15.1" customHeight="1">
      <c r="A683" s="8"/>
      <c r="B683" s="9"/>
      <c r="C683" s="8"/>
      <c r="D683" s="9"/>
      <c r="E683" s="8">
        <v>6</v>
      </c>
      <c r="F683" s="8">
        <v>3</v>
      </c>
      <c r="G683" s="8">
        <v>12</v>
      </c>
      <c r="H683" s="8">
        <v>7</v>
      </c>
      <c r="I683" s="8">
        <v>7</v>
      </c>
      <c r="J683" s="8">
        <v>7</v>
      </c>
      <c r="K683" s="8">
        <v>7</v>
      </c>
      <c r="L683" s="8">
        <v>7</v>
      </c>
      <c r="M683" s="8">
        <v>5</v>
      </c>
      <c r="N683" s="8">
        <v>13</v>
      </c>
      <c r="O683" s="8">
        <v>0</v>
      </c>
      <c r="P683" s="8">
        <v>7</v>
      </c>
      <c r="Q683" s="8">
        <v>7</v>
      </c>
      <c r="R683" s="8">
        <v>0</v>
      </c>
      <c r="S683" s="8">
        <v>7</v>
      </c>
      <c r="T683" s="8">
        <v>5</v>
      </c>
      <c r="U683" s="8">
        <v>13</v>
      </c>
      <c r="V683" s="8">
        <v>7</v>
      </c>
      <c r="W683" s="8">
        <v>7</v>
      </c>
      <c r="X683" s="8">
        <v>5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11" t="s">
        <v>246</v>
      </c>
    </row>
    <row r="684" spans="1:46" ht="15.1" customHeight="1">
      <c r="A684" s="8">
        <v>227</v>
      </c>
      <c r="B684" s="9" t="s">
        <v>717</v>
      </c>
      <c r="C684" s="8" t="s">
        <v>718</v>
      </c>
      <c r="D684" s="9" t="s">
        <v>714</v>
      </c>
      <c r="E684" s="8" t="s">
        <v>54</v>
      </c>
      <c r="F684" s="8" t="s">
        <v>54</v>
      </c>
      <c r="G684" s="10" t="s">
        <v>67</v>
      </c>
      <c r="H684" s="8" t="s">
        <v>54</v>
      </c>
      <c r="I684" s="8" t="s">
        <v>54</v>
      </c>
      <c r="J684" s="8" t="s">
        <v>54</v>
      </c>
      <c r="K684" s="8" t="s">
        <v>54</v>
      </c>
      <c r="L684" s="8" t="s">
        <v>54</v>
      </c>
      <c r="M684" s="8" t="s">
        <v>54</v>
      </c>
      <c r="N684" s="10" t="s">
        <v>67</v>
      </c>
      <c r="O684" s="8" t="s">
        <v>54</v>
      </c>
      <c r="P684" s="8" t="s">
        <v>54</v>
      </c>
      <c r="Q684" s="8" t="s">
        <v>54</v>
      </c>
      <c r="R684" s="8" t="s">
        <v>54</v>
      </c>
      <c r="S684" s="8" t="s">
        <v>54</v>
      </c>
      <c r="T684" s="8" t="s">
        <v>54</v>
      </c>
      <c r="U684" s="10" t="s">
        <v>67</v>
      </c>
      <c r="V684" s="8" t="s">
        <v>54</v>
      </c>
      <c r="W684" s="8" t="s">
        <v>54</v>
      </c>
      <c r="X684" s="8" t="s">
        <v>54</v>
      </c>
      <c r="Y684" s="8" t="s">
        <v>54</v>
      </c>
      <c r="Z684" s="8" t="s">
        <v>54</v>
      </c>
      <c r="AA684" s="8" t="s">
        <v>54</v>
      </c>
      <c r="AB684" s="10" t="s">
        <v>67</v>
      </c>
      <c r="AC684" s="8" t="s">
        <v>54</v>
      </c>
      <c r="AD684" s="8" t="s">
        <v>54</v>
      </c>
      <c r="AE684" s="8" t="s">
        <v>54</v>
      </c>
      <c r="AF684" s="8" t="s">
        <v>54</v>
      </c>
      <c r="AG684" s="8" t="s">
        <v>54</v>
      </c>
      <c r="AH684" s="8" t="s">
        <v>54</v>
      </c>
      <c r="AI684" s="10" t="s">
        <v>67</v>
      </c>
      <c r="AJ684" s="8">
        <f>COUNTIF($E$684:$AI$684,"P")</f>
        <v>26</v>
      </c>
      <c r="AK684" s="8">
        <f>COUNTIF($E$684:$AI$684,"A")</f>
        <v>0</v>
      </c>
      <c r="AL684" s="8">
        <f>SUM($E$685:$AI$685)</f>
        <v>35</v>
      </c>
      <c r="AM684" s="8">
        <f>SUM($E$686:$AI$686)</f>
        <v>26</v>
      </c>
      <c r="AN684" s="8">
        <f>AL684+AM684</f>
        <v>60.5</v>
      </c>
      <c r="AO684" s="8">
        <f>COUNTIF($E$684:$AI$684,"CL")</f>
        <v>0</v>
      </c>
      <c r="AP684" s="8">
        <f>COUNTIF($E$684:$AI$684,"SL")</f>
        <v>0</v>
      </c>
      <c r="AQ684" s="8">
        <f>COUNTIF($E$684:$AI$684,"EL")</f>
        <v>0</v>
      </c>
      <c r="AR684" s="8">
        <f>COUNTIF($E$684:$AI$684,"H")</f>
        <v>0</v>
      </c>
      <c r="AS684" s="8"/>
      <c r="AT684" s="11" t="s">
        <v>246</v>
      </c>
    </row>
    <row r="685" spans="1:46" ht="15.1" customHeight="1">
      <c r="A685" s="8"/>
      <c r="B685" s="9"/>
      <c r="C685" s="8"/>
      <c r="D685" s="9"/>
      <c r="E685" s="8">
        <v>2</v>
      </c>
      <c r="F685" s="8">
        <v>2</v>
      </c>
      <c r="G685" s="8">
        <v>0</v>
      </c>
      <c r="H685" s="8">
        <v>2</v>
      </c>
      <c r="I685" s="8">
        <v>2</v>
      </c>
      <c r="J685" s="8">
        <v>2</v>
      </c>
      <c r="K685" s="8">
        <v>2</v>
      </c>
      <c r="L685" s="8">
        <v>2</v>
      </c>
      <c r="M685" s="8">
        <v>2</v>
      </c>
      <c r="N685" s="8">
        <v>0</v>
      </c>
      <c r="O685" s="8">
        <v>2</v>
      </c>
      <c r="P685" s="8">
        <v>2</v>
      </c>
      <c r="Q685" s="8">
        <v>2</v>
      </c>
      <c r="R685" s="8">
        <v>2</v>
      </c>
      <c r="S685" s="8">
        <v>2</v>
      </c>
      <c r="T685" s="8">
        <v>2</v>
      </c>
      <c r="U685" s="8">
        <v>0</v>
      </c>
      <c r="V685" s="8">
        <v>2</v>
      </c>
      <c r="W685" s="8">
        <v>2</v>
      </c>
      <c r="X685" s="8">
        <v>2</v>
      </c>
      <c r="Y685" s="8">
        <v>0</v>
      </c>
      <c r="Z685" s="8">
        <v>0</v>
      </c>
      <c r="AA685" s="8">
        <v>1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11" t="s">
        <v>246</v>
      </c>
    </row>
    <row r="686" spans="1:46" ht="15.1" customHeight="1">
      <c r="A686" s="8"/>
      <c r="B686" s="9"/>
      <c r="C686" s="8"/>
      <c r="D686" s="9"/>
      <c r="E686" s="8">
        <v>3</v>
      </c>
      <c r="F686" s="8">
        <v>3</v>
      </c>
      <c r="G686" s="8">
        <v>8</v>
      </c>
      <c r="H686" s="8">
        <v>3</v>
      </c>
      <c r="I686" s="8">
        <v>3</v>
      </c>
      <c r="J686" s="8">
        <v>2</v>
      </c>
      <c r="K686" s="8">
        <v>2</v>
      </c>
      <c r="L686" s="8">
        <v>0</v>
      </c>
      <c r="M686" s="8">
        <v>0</v>
      </c>
      <c r="N686" s="8">
        <v>0</v>
      </c>
      <c r="O686" s="8">
        <v>2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11" t="s">
        <v>246</v>
      </c>
    </row>
    <row r="687" spans="1:46" ht="15.1" customHeight="1">
      <c r="A687" s="8">
        <v>228</v>
      </c>
      <c r="B687" s="9" t="s">
        <v>719</v>
      </c>
      <c r="C687" s="8" t="s">
        <v>720</v>
      </c>
      <c r="D687" s="9" t="s">
        <v>699</v>
      </c>
      <c r="E687" s="8" t="s">
        <v>54</v>
      </c>
      <c r="F687" s="8" t="s">
        <v>54</v>
      </c>
      <c r="G687" s="10" t="s">
        <v>67</v>
      </c>
      <c r="H687" s="8" t="s">
        <v>54</v>
      </c>
      <c r="I687" s="8" t="s">
        <v>54</v>
      </c>
      <c r="J687" s="8" t="s">
        <v>54</v>
      </c>
      <c r="K687" s="8" t="s">
        <v>54</v>
      </c>
      <c r="L687" s="8" t="s">
        <v>54</v>
      </c>
      <c r="M687" s="8" t="s">
        <v>54</v>
      </c>
      <c r="N687" s="10" t="s">
        <v>67</v>
      </c>
      <c r="O687" s="8" t="s">
        <v>54</v>
      </c>
      <c r="P687" s="8" t="s">
        <v>54</v>
      </c>
      <c r="Q687" s="8" t="s">
        <v>54</v>
      </c>
      <c r="R687" s="8" t="s">
        <v>54</v>
      </c>
      <c r="S687" s="8" t="s">
        <v>54</v>
      </c>
      <c r="T687" s="8" t="s">
        <v>54</v>
      </c>
      <c r="U687" s="10" t="s">
        <v>67</v>
      </c>
      <c r="V687" s="8" t="s">
        <v>54</v>
      </c>
      <c r="W687" s="8" t="s">
        <v>54</v>
      </c>
      <c r="X687" s="8" t="s">
        <v>54</v>
      </c>
      <c r="Y687" s="8" t="s">
        <v>54</v>
      </c>
      <c r="Z687" s="8" t="s">
        <v>54</v>
      </c>
      <c r="AA687" s="8" t="s">
        <v>54</v>
      </c>
      <c r="AB687" s="10" t="s">
        <v>67</v>
      </c>
      <c r="AC687" s="8" t="s">
        <v>54</v>
      </c>
      <c r="AD687" s="8" t="s">
        <v>54</v>
      </c>
      <c r="AE687" s="8" t="s">
        <v>54</v>
      </c>
      <c r="AF687" s="8" t="s">
        <v>54</v>
      </c>
      <c r="AG687" s="8" t="s">
        <v>54</v>
      </c>
      <c r="AH687" s="8" t="s">
        <v>54</v>
      </c>
      <c r="AI687" s="10" t="s">
        <v>67</v>
      </c>
      <c r="AJ687" s="8">
        <f>COUNTIF($E$687:$AI$687,"P")</f>
        <v>26</v>
      </c>
      <c r="AK687" s="8">
        <f>COUNTIF($E$687:$AI$687,"A")</f>
        <v>0</v>
      </c>
      <c r="AL687" s="8">
        <f>SUM($E$688:$AI$688)</f>
        <v>34</v>
      </c>
      <c r="AM687" s="8">
        <f>SUM($E$689:$AI$689)</f>
        <v>121</v>
      </c>
      <c r="AN687" s="8">
        <f>AL687+AM687</f>
        <v>155</v>
      </c>
      <c r="AO687" s="8">
        <f>COUNTIF($E$687:$AI$687,"CL")</f>
        <v>0</v>
      </c>
      <c r="AP687" s="8">
        <f>COUNTIF($E$687:$AI$687,"SL")</f>
        <v>0</v>
      </c>
      <c r="AQ687" s="8">
        <f>COUNTIF($E$687:$AI$687,"EL")</f>
        <v>0</v>
      </c>
      <c r="AR687" s="8">
        <f>COUNTIF($E$687:$AI$687,"H")</f>
        <v>0</v>
      </c>
      <c r="AS687" s="8"/>
      <c r="AT687" s="11" t="s">
        <v>246</v>
      </c>
    </row>
    <row r="688" spans="1:46" ht="15.1" customHeight="1">
      <c r="A688" s="8"/>
      <c r="B688" s="9"/>
      <c r="C688" s="8"/>
      <c r="D688" s="9"/>
      <c r="E688" s="8">
        <v>2</v>
      </c>
      <c r="F688" s="8">
        <v>2</v>
      </c>
      <c r="G688" s="8">
        <v>0</v>
      </c>
      <c r="H688" s="8">
        <v>2</v>
      </c>
      <c r="I688" s="8">
        <v>2</v>
      </c>
      <c r="J688" s="8">
        <v>2</v>
      </c>
      <c r="K688" s="8">
        <v>2</v>
      </c>
      <c r="L688" s="8">
        <v>2</v>
      </c>
      <c r="M688" s="8">
        <v>2</v>
      </c>
      <c r="N688" s="8">
        <v>0</v>
      </c>
      <c r="O688" s="8">
        <v>2</v>
      </c>
      <c r="P688" s="8">
        <v>2</v>
      </c>
      <c r="Q688" s="8">
        <v>2</v>
      </c>
      <c r="R688" s="8">
        <v>2</v>
      </c>
      <c r="S688" s="8">
        <v>2</v>
      </c>
      <c r="T688" s="8">
        <v>2</v>
      </c>
      <c r="U688" s="8">
        <v>0</v>
      </c>
      <c r="V688" s="8">
        <v>2</v>
      </c>
      <c r="W688" s="8">
        <v>2</v>
      </c>
      <c r="X688" s="8">
        <v>2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11" t="s">
        <v>246</v>
      </c>
    </row>
    <row r="689" spans="1:46" ht="15.1" customHeight="1">
      <c r="A689" s="8"/>
      <c r="B689" s="9"/>
      <c r="C689" s="8"/>
      <c r="D689" s="9"/>
      <c r="E689" s="8">
        <v>5</v>
      </c>
      <c r="F689" s="8">
        <v>3</v>
      </c>
      <c r="G689" s="8">
        <v>12</v>
      </c>
      <c r="H689" s="8">
        <v>7</v>
      </c>
      <c r="I689" s="8">
        <v>7</v>
      </c>
      <c r="J689" s="8">
        <v>5</v>
      </c>
      <c r="K689" s="8">
        <v>5</v>
      </c>
      <c r="L689" s="8">
        <v>3</v>
      </c>
      <c r="M689" s="8">
        <v>7</v>
      </c>
      <c r="N689" s="8">
        <v>17</v>
      </c>
      <c r="O689" s="8">
        <v>7</v>
      </c>
      <c r="P689" s="8">
        <v>7</v>
      </c>
      <c r="Q689" s="8">
        <v>7</v>
      </c>
      <c r="R689" s="8">
        <v>7</v>
      </c>
      <c r="S689" s="8">
        <v>7</v>
      </c>
      <c r="T689" s="8">
        <v>2</v>
      </c>
      <c r="U689" s="8">
        <v>0</v>
      </c>
      <c r="V689" s="8">
        <v>6</v>
      </c>
      <c r="W689" s="8">
        <v>7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11" t="s">
        <v>246</v>
      </c>
    </row>
    <row r="690" spans="1:46" ht="15.1" customHeight="1">
      <c r="A690" s="8">
        <v>229</v>
      </c>
      <c r="B690" s="9" t="s">
        <v>721</v>
      </c>
      <c r="C690" s="8" t="s">
        <v>722</v>
      </c>
      <c r="D690" s="9" t="s">
        <v>699</v>
      </c>
      <c r="E690" s="8" t="s">
        <v>54</v>
      </c>
      <c r="F690" s="8" t="s">
        <v>54</v>
      </c>
      <c r="G690" s="10" t="s">
        <v>67</v>
      </c>
      <c r="H690" s="8" t="s">
        <v>54</v>
      </c>
      <c r="I690" s="8" t="s">
        <v>54</v>
      </c>
      <c r="J690" s="8" t="s">
        <v>54</v>
      </c>
      <c r="K690" s="8" t="s">
        <v>54</v>
      </c>
      <c r="L690" s="8" t="s">
        <v>54</v>
      </c>
      <c r="M690" s="8" t="s">
        <v>54</v>
      </c>
      <c r="N690" s="10" t="s">
        <v>67</v>
      </c>
      <c r="O690" s="8" t="s">
        <v>54</v>
      </c>
      <c r="P690" s="8" t="s">
        <v>54</v>
      </c>
      <c r="Q690" s="8" t="s">
        <v>54</v>
      </c>
      <c r="R690" s="8" t="s">
        <v>54</v>
      </c>
      <c r="S690" s="8" t="s">
        <v>54</v>
      </c>
      <c r="T690" s="8" t="s">
        <v>54</v>
      </c>
      <c r="U690" s="10" t="s">
        <v>67</v>
      </c>
      <c r="V690" s="8" t="s">
        <v>54</v>
      </c>
      <c r="W690" s="8" t="s">
        <v>54</v>
      </c>
      <c r="X690" s="8" t="s">
        <v>54</v>
      </c>
      <c r="Y690" s="8" t="s">
        <v>54</v>
      </c>
      <c r="Z690" s="8" t="s">
        <v>54</v>
      </c>
      <c r="AA690" s="8" t="s">
        <v>54</v>
      </c>
      <c r="AB690" s="10" t="s">
        <v>67</v>
      </c>
      <c r="AC690" s="8" t="s">
        <v>54</v>
      </c>
      <c r="AD690" s="8" t="s">
        <v>54</v>
      </c>
      <c r="AE690" s="8" t="s">
        <v>54</v>
      </c>
      <c r="AF690" s="8" t="s">
        <v>54</v>
      </c>
      <c r="AG690" s="8" t="s">
        <v>54</v>
      </c>
      <c r="AH690" s="8" t="s">
        <v>54</v>
      </c>
      <c r="AI690" s="10" t="s">
        <v>67</v>
      </c>
      <c r="AJ690" s="8">
        <f>COUNTIF($E$690:$AI$690,"P")</f>
        <v>26</v>
      </c>
      <c r="AK690" s="8">
        <f>COUNTIF($E$690:$AI$690,"A")</f>
        <v>0</v>
      </c>
      <c r="AL690" s="8">
        <f>SUM($E$691:$AI$691)</f>
        <v>34</v>
      </c>
      <c r="AM690" s="8">
        <f>SUM($E$692:$AI$692)</f>
        <v>150</v>
      </c>
      <c r="AN690" s="8">
        <f>AL690+AM690</f>
        <v>184</v>
      </c>
      <c r="AO690" s="8">
        <f>COUNTIF($E$690:$AI$690,"CL")</f>
        <v>0</v>
      </c>
      <c r="AP690" s="8">
        <f>COUNTIF($E$690:$AI$690,"SL")</f>
        <v>0</v>
      </c>
      <c r="AQ690" s="8">
        <f>COUNTIF($E$690:$AI$690,"EL")</f>
        <v>0</v>
      </c>
      <c r="AR690" s="8">
        <f>COUNTIF($E$690:$AI$690,"H")</f>
        <v>0</v>
      </c>
      <c r="AS690" s="8"/>
      <c r="AT690" s="11" t="s">
        <v>246</v>
      </c>
    </row>
    <row r="691" spans="1:46" ht="15.1" customHeight="1">
      <c r="A691" s="8"/>
      <c r="B691" s="9"/>
      <c r="C691" s="8"/>
      <c r="D691" s="9"/>
      <c r="E691" s="8">
        <v>2</v>
      </c>
      <c r="F691" s="8">
        <v>2</v>
      </c>
      <c r="G691" s="8">
        <v>0</v>
      </c>
      <c r="H691" s="8">
        <v>2</v>
      </c>
      <c r="I691" s="8">
        <v>2</v>
      </c>
      <c r="J691" s="8">
        <v>2</v>
      </c>
      <c r="K691" s="8">
        <v>2</v>
      </c>
      <c r="L691" s="8">
        <v>2</v>
      </c>
      <c r="M691" s="8">
        <v>2</v>
      </c>
      <c r="N691" s="8">
        <v>0</v>
      </c>
      <c r="O691" s="8">
        <v>2</v>
      </c>
      <c r="P691" s="8">
        <v>2</v>
      </c>
      <c r="Q691" s="8">
        <v>2</v>
      </c>
      <c r="R691" s="8">
        <v>2</v>
      </c>
      <c r="S691" s="8">
        <v>2</v>
      </c>
      <c r="T691" s="8">
        <v>2</v>
      </c>
      <c r="U691" s="8">
        <v>0</v>
      </c>
      <c r="V691" s="8">
        <v>2</v>
      </c>
      <c r="W691" s="8">
        <v>2</v>
      </c>
      <c r="X691" s="8">
        <v>2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11" t="s">
        <v>246</v>
      </c>
    </row>
    <row r="692" spans="1:46" ht="15.1" customHeight="1">
      <c r="A692" s="8"/>
      <c r="B692" s="9"/>
      <c r="C692" s="8"/>
      <c r="D692" s="9"/>
      <c r="E692" s="8">
        <v>6</v>
      </c>
      <c r="F692" s="8">
        <v>3</v>
      </c>
      <c r="G692" s="8">
        <v>12</v>
      </c>
      <c r="H692" s="8">
        <v>7</v>
      </c>
      <c r="I692" s="8">
        <v>7</v>
      </c>
      <c r="J692" s="8">
        <v>7</v>
      </c>
      <c r="K692" s="8">
        <v>7</v>
      </c>
      <c r="L692" s="8">
        <v>7</v>
      </c>
      <c r="M692" s="8">
        <v>7</v>
      </c>
      <c r="N692" s="8">
        <v>16.5</v>
      </c>
      <c r="O692" s="8">
        <v>7</v>
      </c>
      <c r="P692" s="8">
        <v>7</v>
      </c>
      <c r="Q692" s="8">
        <v>7</v>
      </c>
      <c r="R692" s="8">
        <v>7</v>
      </c>
      <c r="S692" s="8">
        <v>7</v>
      </c>
      <c r="T692" s="8">
        <v>5</v>
      </c>
      <c r="U692" s="8">
        <v>12.5</v>
      </c>
      <c r="V692" s="8">
        <v>6</v>
      </c>
      <c r="W692" s="8">
        <v>7</v>
      </c>
      <c r="X692" s="8">
        <v>5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11" t="s">
        <v>246</v>
      </c>
    </row>
    <row r="693" spans="1:46" ht="15.1" customHeight="1">
      <c r="A693" s="8">
        <v>230</v>
      </c>
      <c r="B693" s="9" t="s">
        <v>723</v>
      </c>
      <c r="C693" s="8" t="s">
        <v>724</v>
      </c>
      <c r="D693" s="9" t="s">
        <v>699</v>
      </c>
      <c r="E693" s="8" t="s">
        <v>54</v>
      </c>
      <c r="F693" s="8" t="s">
        <v>54</v>
      </c>
      <c r="G693" s="10" t="s">
        <v>67</v>
      </c>
      <c r="H693" s="8" t="s">
        <v>54</v>
      </c>
      <c r="I693" s="8" t="s">
        <v>54</v>
      </c>
      <c r="J693" s="8" t="s">
        <v>54</v>
      </c>
      <c r="K693" s="8" t="s">
        <v>54</v>
      </c>
      <c r="L693" s="8" t="s">
        <v>54</v>
      </c>
      <c r="M693" s="8" t="s">
        <v>54</v>
      </c>
      <c r="N693" s="10" t="s">
        <v>67</v>
      </c>
      <c r="O693" s="8" t="s">
        <v>54</v>
      </c>
      <c r="P693" s="8" t="s">
        <v>54</v>
      </c>
      <c r="Q693" s="8" t="s">
        <v>54</v>
      </c>
      <c r="R693" s="8" t="s">
        <v>54</v>
      </c>
      <c r="S693" s="8" t="s">
        <v>54</v>
      </c>
      <c r="T693" s="8" t="s">
        <v>54</v>
      </c>
      <c r="U693" s="10" t="s">
        <v>67</v>
      </c>
      <c r="V693" s="8" t="s">
        <v>54</v>
      </c>
      <c r="W693" s="8" t="s">
        <v>54</v>
      </c>
      <c r="X693" s="8" t="s">
        <v>54</v>
      </c>
      <c r="Y693" s="8" t="s">
        <v>54</v>
      </c>
      <c r="Z693" s="8" t="s">
        <v>54</v>
      </c>
      <c r="AA693" s="8" t="s">
        <v>54</v>
      </c>
      <c r="AB693" s="10" t="s">
        <v>67</v>
      </c>
      <c r="AC693" s="8" t="s">
        <v>54</v>
      </c>
      <c r="AD693" s="8" t="s">
        <v>54</v>
      </c>
      <c r="AE693" s="8" t="s">
        <v>54</v>
      </c>
      <c r="AF693" s="8" t="s">
        <v>54</v>
      </c>
      <c r="AG693" s="8" t="s">
        <v>54</v>
      </c>
      <c r="AH693" s="8" t="s">
        <v>54</v>
      </c>
      <c r="AI693" s="10" t="s">
        <v>67</v>
      </c>
      <c r="AJ693" s="8">
        <f>COUNTIF($E$693:$AI$693,"P")</f>
        <v>26</v>
      </c>
      <c r="AK693" s="8">
        <f>COUNTIF($E$693:$AI$693,"A")</f>
        <v>0</v>
      </c>
      <c r="AL693" s="8">
        <f>SUM($E$694:$AI$694)</f>
        <v>32</v>
      </c>
      <c r="AM693" s="8">
        <f>SUM($E$695:$AI$695)</f>
        <v>22.5</v>
      </c>
      <c r="AN693" s="8">
        <f>AL693+AM693</f>
        <v>54.5</v>
      </c>
      <c r="AO693" s="8">
        <f>COUNTIF($E$693:$AI$693,"CL")</f>
        <v>0</v>
      </c>
      <c r="AP693" s="8">
        <f>COUNTIF($E$693:$AI$693,"SL")</f>
        <v>0</v>
      </c>
      <c r="AQ693" s="8">
        <f>COUNTIF($E$693:$AI$693,"EL")</f>
        <v>0</v>
      </c>
      <c r="AR693" s="8">
        <f>COUNTIF($E$693:$AI$693,"H")</f>
        <v>0</v>
      </c>
      <c r="AS693" s="8"/>
      <c r="AT693" s="11" t="s">
        <v>246</v>
      </c>
    </row>
    <row r="694" spans="1:46" ht="15.1" customHeight="1">
      <c r="A694" s="8"/>
      <c r="B694" s="9"/>
      <c r="C694" s="8"/>
      <c r="D694" s="9"/>
      <c r="E694" s="8">
        <v>2</v>
      </c>
      <c r="F694" s="8">
        <v>2</v>
      </c>
      <c r="G694" s="8">
        <v>0</v>
      </c>
      <c r="H694" s="8">
        <v>2</v>
      </c>
      <c r="I694" s="8">
        <v>2</v>
      </c>
      <c r="J694" s="8">
        <v>2</v>
      </c>
      <c r="K694" s="8">
        <v>2</v>
      </c>
      <c r="L694" s="8">
        <v>2</v>
      </c>
      <c r="M694" s="8">
        <v>2</v>
      </c>
      <c r="N694" s="8">
        <v>0</v>
      </c>
      <c r="O694" s="8">
        <v>2</v>
      </c>
      <c r="P694" s="8">
        <v>2</v>
      </c>
      <c r="Q694" s="8">
        <v>2</v>
      </c>
      <c r="R694" s="8">
        <v>2</v>
      </c>
      <c r="S694" s="8">
        <v>0</v>
      </c>
      <c r="T694" s="8">
        <v>2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2</v>
      </c>
      <c r="AE694" s="8">
        <v>2</v>
      </c>
      <c r="AF694" s="8">
        <v>0</v>
      </c>
      <c r="AG694" s="8">
        <v>2</v>
      </c>
      <c r="AH694" s="8">
        <v>0</v>
      </c>
      <c r="AI694" s="8">
        <v>0</v>
      </c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11" t="s">
        <v>246</v>
      </c>
    </row>
    <row r="695" spans="1:46" ht="15.1" customHeight="1">
      <c r="A695" s="8"/>
      <c r="B695" s="9"/>
      <c r="C695" s="8"/>
      <c r="D695" s="9"/>
      <c r="E695" s="8">
        <v>3</v>
      </c>
      <c r="F695" s="8">
        <v>3</v>
      </c>
      <c r="G695" s="8">
        <v>7.5</v>
      </c>
      <c r="H695" s="8">
        <v>3</v>
      </c>
      <c r="I695" s="8">
        <v>2</v>
      </c>
      <c r="J695" s="8">
        <v>1</v>
      </c>
      <c r="K695" s="8">
        <v>0</v>
      </c>
      <c r="L695" s="8">
        <v>0</v>
      </c>
      <c r="M695" s="8">
        <v>0</v>
      </c>
      <c r="N695" s="8">
        <v>0</v>
      </c>
      <c r="O695" s="8">
        <v>2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0.5</v>
      </c>
      <c r="AF695" s="8">
        <v>0</v>
      </c>
      <c r="AG695" s="8">
        <v>0.5</v>
      </c>
      <c r="AH695" s="8">
        <v>0</v>
      </c>
      <c r="AI695" s="8">
        <v>0</v>
      </c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11" t="s">
        <v>246</v>
      </c>
    </row>
    <row r="696" spans="1:46" ht="15.1" customHeight="1">
      <c r="A696" s="8">
        <v>231</v>
      </c>
      <c r="B696" s="9" t="s">
        <v>725</v>
      </c>
      <c r="C696" s="8" t="s">
        <v>726</v>
      </c>
      <c r="D696" s="9" t="s">
        <v>699</v>
      </c>
      <c r="E696" s="8" t="s">
        <v>54</v>
      </c>
      <c r="F696" s="8" t="s">
        <v>54</v>
      </c>
      <c r="G696" s="10" t="s">
        <v>67</v>
      </c>
      <c r="H696" s="8" t="s">
        <v>54</v>
      </c>
      <c r="I696" s="8" t="s">
        <v>54</v>
      </c>
      <c r="J696" s="8" t="s">
        <v>54</v>
      </c>
      <c r="K696" s="8" t="s">
        <v>54</v>
      </c>
      <c r="L696" s="8" t="s">
        <v>54</v>
      </c>
      <c r="M696" s="8" t="s">
        <v>54</v>
      </c>
      <c r="N696" s="10" t="s">
        <v>67</v>
      </c>
      <c r="O696" s="8" t="s">
        <v>54</v>
      </c>
      <c r="P696" s="8" t="s">
        <v>54</v>
      </c>
      <c r="Q696" s="8" t="s">
        <v>54</v>
      </c>
      <c r="R696" s="8" t="s">
        <v>54</v>
      </c>
      <c r="S696" s="8" t="s">
        <v>54</v>
      </c>
      <c r="T696" s="8" t="s">
        <v>54</v>
      </c>
      <c r="U696" s="10" t="s">
        <v>67</v>
      </c>
      <c r="V696" s="8" t="s">
        <v>54</v>
      </c>
      <c r="W696" s="8" t="s">
        <v>54</v>
      </c>
      <c r="X696" s="8" t="s">
        <v>54</v>
      </c>
      <c r="Y696" s="8" t="s">
        <v>54</v>
      </c>
      <c r="Z696" s="8" t="s">
        <v>54</v>
      </c>
      <c r="AA696" s="8" t="s">
        <v>54</v>
      </c>
      <c r="AB696" s="10" t="s">
        <v>67</v>
      </c>
      <c r="AC696" s="8" t="s">
        <v>54</v>
      </c>
      <c r="AD696" s="8" t="s">
        <v>54</v>
      </c>
      <c r="AE696" s="8" t="s">
        <v>54</v>
      </c>
      <c r="AF696" s="8" t="s">
        <v>54</v>
      </c>
      <c r="AG696" s="8" t="s">
        <v>54</v>
      </c>
      <c r="AH696" s="8" t="s">
        <v>54</v>
      </c>
      <c r="AI696" s="10" t="s">
        <v>67</v>
      </c>
      <c r="AJ696" s="8">
        <f>COUNTIF($E$696:$AI$696,"P")</f>
        <v>26</v>
      </c>
      <c r="AK696" s="8">
        <f>COUNTIF($E$696:$AI$696,"A")</f>
        <v>0</v>
      </c>
      <c r="AL696" s="8">
        <f>SUM($E$697:$AI$697)</f>
        <v>38</v>
      </c>
      <c r="AM696" s="8">
        <f>SUM($E$698:$AI$698)</f>
        <v>144</v>
      </c>
      <c r="AN696" s="8">
        <f>AL696+AM696</f>
        <v>182</v>
      </c>
      <c r="AO696" s="8">
        <f>COUNTIF($E$696:$AI$696,"CL")</f>
        <v>0</v>
      </c>
      <c r="AP696" s="8">
        <f>COUNTIF($E$696:$AI$696,"SL")</f>
        <v>0</v>
      </c>
      <c r="AQ696" s="8">
        <f>COUNTIF($E$696:$AI$696,"EL")</f>
        <v>0</v>
      </c>
      <c r="AR696" s="8">
        <f>COUNTIF($E$696:$AI$696,"H")</f>
        <v>0</v>
      </c>
      <c r="AS696" s="8"/>
      <c r="AT696" s="11" t="s">
        <v>246</v>
      </c>
    </row>
    <row r="697" spans="1:46" ht="15.1" customHeight="1">
      <c r="A697" s="8"/>
      <c r="B697" s="9"/>
      <c r="C697" s="8"/>
      <c r="D697" s="9"/>
      <c r="E697" s="8">
        <v>2</v>
      </c>
      <c r="F697" s="8">
        <v>2</v>
      </c>
      <c r="G697" s="8">
        <v>0</v>
      </c>
      <c r="H697" s="8">
        <v>2</v>
      </c>
      <c r="I697" s="8">
        <v>2</v>
      </c>
      <c r="J697" s="8">
        <v>2</v>
      </c>
      <c r="K697" s="8">
        <v>2</v>
      </c>
      <c r="L697" s="8">
        <v>2</v>
      </c>
      <c r="M697" s="8">
        <v>2</v>
      </c>
      <c r="N697" s="8">
        <v>0</v>
      </c>
      <c r="O697" s="8">
        <v>2</v>
      </c>
      <c r="P697" s="8">
        <v>2</v>
      </c>
      <c r="Q697" s="8">
        <v>2</v>
      </c>
      <c r="R697" s="8">
        <v>2</v>
      </c>
      <c r="S697" s="8">
        <v>2</v>
      </c>
      <c r="T697" s="8">
        <v>2</v>
      </c>
      <c r="U697" s="8">
        <v>0</v>
      </c>
      <c r="V697" s="8">
        <v>2</v>
      </c>
      <c r="W697" s="8">
        <v>2</v>
      </c>
      <c r="X697" s="8">
        <v>2</v>
      </c>
      <c r="Y697" s="8">
        <v>0</v>
      </c>
      <c r="Z697" s="8">
        <v>0</v>
      </c>
      <c r="AA697" s="8">
        <v>0</v>
      </c>
      <c r="AB697" s="8">
        <v>0</v>
      </c>
      <c r="AC697" s="8">
        <v>2</v>
      </c>
      <c r="AD697" s="8">
        <v>2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11" t="s">
        <v>246</v>
      </c>
    </row>
    <row r="698" spans="1:46" ht="15.1" customHeight="1">
      <c r="A698" s="8"/>
      <c r="B698" s="9"/>
      <c r="C698" s="8"/>
      <c r="D698" s="9"/>
      <c r="E698" s="8">
        <v>4</v>
      </c>
      <c r="F698" s="8">
        <v>3</v>
      </c>
      <c r="G698" s="8">
        <v>14</v>
      </c>
      <c r="H698" s="8">
        <v>5</v>
      </c>
      <c r="I698" s="8">
        <v>7</v>
      </c>
      <c r="J698" s="8">
        <v>7</v>
      </c>
      <c r="K698" s="8">
        <v>7</v>
      </c>
      <c r="L698" s="8">
        <v>7</v>
      </c>
      <c r="M698" s="8">
        <v>5</v>
      </c>
      <c r="N698" s="8">
        <v>17</v>
      </c>
      <c r="O698" s="8">
        <v>7</v>
      </c>
      <c r="P698" s="8">
        <v>7</v>
      </c>
      <c r="Q698" s="8">
        <v>5</v>
      </c>
      <c r="R698" s="8">
        <v>7</v>
      </c>
      <c r="S698" s="8">
        <v>7</v>
      </c>
      <c r="T698" s="8">
        <v>5</v>
      </c>
      <c r="U698" s="8">
        <v>13</v>
      </c>
      <c r="V698" s="8">
        <v>7</v>
      </c>
      <c r="W698" s="8">
        <v>7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3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11" t="s">
        <v>246</v>
      </c>
    </row>
    <row r="699" spans="1:46" ht="15.1" customHeight="1">
      <c r="A699" s="8">
        <v>232</v>
      </c>
      <c r="B699" s="9" t="s">
        <v>727</v>
      </c>
      <c r="C699" s="8" t="s">
        <v>728</v>
      </c>
      <c r="D699" s="9" t="s">
        <v>699</v>
      </c>
      <c r="E699" s="8" t="s">
        <v>54</v>
      </c>
      <c r="F699" s="8" t="s">
        <v>54</v>
      </c>
      <c r="G699" s="10" t="s">
        <v>67</v>
      </c>
      <c r="H699" s="8" t="s">
        <v>54</v>
      </c>
      <c r="I699" s="8" t="s">
        <v>54</v>
      </c>
      <c r="J699" s="8" t="s">
        <v>54</v>
      </c>
      <c r="K699" s="8" t="s">
        <v>54</v>
      </c>
      <c r="L699" s="8" t="s">
        <v>54</v>
      </c>
      <c r="M699" s="8" t="s">
        <v>54</v>
      </c>
      <c r="N699" s="10" t="s">
        <v>67</v>
      </c>
      <c r="O699" s="8" t="s">
        <v>54</v>
      </c>
      <c r="P699" s="8" t="s">
        <v>54</v>
      </c>
      <c r="Q699" s="8" t="s">
        <v>54</v>
      </c>
      <c r="R699" s="8" t="s">
        <v>54</v>
      </c>
      <c r="S699" s="8" t="s">
        <v>54</v>
      </c>
      <c r="T699" s="8" t="s">
        <v>54</v>
      </c>
      <c r="U699" s="10" t="s">
        <v>67</v>
      </c>
      <c r="V699" s="8" t="s">
        <v>54</v>
      </c>
      <c r="W699" s="8" t="s">
        <v>54</v>
      </c>
      <c r="X699" s="8" t="s">
        <v>54</v>
      </c>
      <c r="Y699" s="8" t="s">
        <v>54</v>
      </c>
      <c r="Z699" s="8" t="s">
        <v>54</v>
      </c>
      <c r="AA699" s="8" t="s">
        <v>54</v>
      </c>
      <c r="AB699" s="10" t="s">
        <v>67</v>
      </c>
      <c r="AC699" s="8" t="s">
        <v>54</v>
      </c>
      <c r="AD699" s="8" t="s">
        <v>54</v>
      </c>
      <c r="AE699" s="8" t="s">
        <v>54</v>
      </c>
      <c r="AF699" s="8" t="s">
        <v>54</v>
      </c>
      <c r="AG699" s="8" t="s">
        <v>54</v>
      </c>
      <c r="AH699" s="8" t="s">
        <v>54</v>
      </c>
      <c r="AI699" s="10" t="s">
        <v>67</v>
      </c>
      <c r="AJ699" s="8">
        <f>COUNTIF($E$699:$AI$699,"P")</f>
        <v>26</v>
      </c>
      <c r="AK699" s="8">
        <f>COUNTIF($E$699:$AI$699,"A")</f>
        <v>0</v>
      </c>
      <c r="AL699" s="8">
        <f>SUM($E$700:$AI$700)</f>
        <v>32</v>
      </c>
      <c r="AM699" s="8">
        <f>SUM($E$701:$AI$701)</f>
        <v>114.5</v>
      </c>
      <c r="AN699" s="8">
        <f>AL699+AM699</f>
        <v>146.5</v>
      </c>
      <c r="AO699" s="8">
        <f>COUNTIF($E$699:$AI$699,"CL")</f>
        <v>0</v>
      </c>
      <c r="AP699" s="8">
        <f>COUNTIF($E$699:$AI$699,"SL")</f>
        <v>0</v>
      </c>
      <c r="AQ699" s="8">
        <f>COUNTIF($E$699:$AI$699,"EL")</f>
        <v>0</v>
      </c>
      <c r="AR699" s="8">
        <f>COUNTIF($E$699:$AI$699,"H")</f>
        <v>0</v>
      </c>
      <c r="AS699" s="8"/>
      <c r="AT699" s="11" t="s">
        <v>246</v>
      </c>
    </row>
    <row r="700" spans="1:46" ht="15.1" customHeight="1">
      <c r="A700" s="8"/>
      <c r="B700" s="9"/>
      <c r="C700" s="8"/>
      <c r="D700" s="9"/>
      <c r="E700" s="8">
        <v>2</v>
      </c>
      <c r="F700" s="8">
        <v>2</v>
      </c>
      <c r="G700" s="8">
        <v>0</v>
      </c>
      <c r="H700" s="8">
        <v>2</v>
      </c>
      <c r="I700" s="8">
        <v>2</v>
      </c>
      <c r="J700" s="8">
        <v>2</v>
      </c>
      <c r="K700" s="8">
        <v>2</v>
      </c>
      <c r="L700" s="8">
        <v>2</v>
      </c>
      <c r="M700" s="8">
        <v>2</v>
      </c>
      <c r="N700" s="8">
        <v>0</v>
      </c>
      <c r="O700" s="8">
        <v>2</v>
      </c>
      <c r="P700" s="8">
        <v>2</v>
      </c>
      <c r="Q700" s="8">
        <v>2</v>
      </c>
      <c r="R700" s="8">
        <v>2</v>
      </c>
      <c r="S700" s="8">
        <v>2</v>
      </c>
      <c r="T700" s="8">
        <v>2</v>
      </c>
      <c r="U700" s="8">
        <v>0</v>
      </c>
      <c r="V700" s="8">
        <v>0</v>
      </c>
      <c r="W700" s="8">
        <v>2</v>
      </c>
      <c r="X700" s="8">
        <v>2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11" t="s">
        <v>246</v>
      </c>
    </row>
    <row r="701" spans="1:46" ht="15.1" customHeight="1">
      <c r="A701" s="8"/>
      <c r="B701" s="9"/>
      <c r="C701" s="8"/>
      <c r="D701" s="9"/>
      <c r="E701" s="8">
        <v>5</v>
      </c>
      <c r="F701" s="8">
        <v>3</v>
      </c>
      <c r="G701" s="8">
        <v>11.5</v>
      </c>
      <c r="H701" s="8">
        <v>2.5</v>
      </c>
      <c r="I701" s="8">
        <v>7</v>
      </c>
      <c r="J701" s="8">
        <v>7</v>
      </c>
      <c r="K701" s="8">
        <v>5</v>
      </c>
      <c r="L701" s="8">
        <v>2</v>
      </c>
      <c r="M701" s="8">
        <v>5</v>
      </c>
      <c r="N701" s="8">
        <v>16.5</v>
      </c>
      <c r="O701" s="8">
        <v>7</v>
      </c>
      <c r="P701" s="8">
        <v>7</v>
      </c>
      <c r="Q701" s="8">
        <v>7</v>
      </c>
      <c r="R701" s="8">
        <v>7</v>
      </c>
      <c r="S701" s="8">
        <v>7</v>
      </c>
      <c r="T701" s="8">
        <v>3</v>
      </c>
      <c r="U701" s="8">
        <v>0</v>
      </c>
      <c r="V701" s="8">
        <v>0</v>
      </c>
      <c r="W701" s="8">
        <v>7</v>
      </c>
      <c r="X701" s="8">
        <v>5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11" t="s">
        <v>246</v>
      </c>
    </row>
    <row r="702" spans="1:46" ht="15.1" customHeight="1">
      <c r="A702" s="8">
        <v>233</v>
      </c>
      <c r="B702" s="9" t="s">
        <v>729</v>
      </c>
      <c r="C702" s="8" t="s">
        <v>730</v>
      </c>
      <c r="D702" s="9" t="s">
        <v>699</v>
      </c>
      <c r="E702" s="8" t="s">
        <v>54</v>
      </c>
      <c r="F702" s="8" t="s">
        <v>54</v>
      </c>
      <c r="G702" s="10" t="s">
        <v>67</v>
      </c>
      <c r="H702" s="8" t="s">
        <v>54</v>
      </c>
      <c r="I702" s="8" t="s">
        <v>54</v>
      </c>
      <c r="J702" s="8" t="s">
        <v>54</v>
      </c>
      <c r="K702" s="8" t="s">
        <v>54</v>
      </c>
      <c r="L702" s="8" t="s">
        <v>54</v>
      </c>
      <c r="M702" s="8" t="s">
        <v>54</v>
      </c>
      <c r="N702" s="10" t="s">
        <v>67</v>
      </c>
      <c r="O702" s="8" t="s">
        <v>54</v>
      </c>
      <c r="P702" s="8" t="s">
        <v>54</v>
      </c>
      <c r="Q702" s="8" t="s">
        <v>54</v>
      </c>
      <c r="R702" s="8" t="s">
        <v>54</v>
      </c>
      <c r="S702" s="8" t="s">
        <v>54</v>
      </c>
      <c r="T702" s="8" t="s">
        <v>54</v>
      </c>
      <c r="U702" s="10" t="s">
        <v>67</v>
      </c>
      <c r="V702" s="8" t="s">
        <v>54</v>
      </c>
      <c r="W702" s="8" t="s">
        <v>54</v>
      </c>
      <c r="X702" s="8" t="s">
        <v>54</v>
      </c>
      <c r="Y702" s="8" t="s">
        <v>54</v>
      </c>
      <c r="Z702" s="8" t="s">
        <v>54</v>
      </c>
      <c r="AA702" s="8" t="s">
        <v>54</v>
      </c>
      <c r="AB702" s="10" t="s">
        <v>67</v>
      </c>
      <c r="AC702" s="8" t="s">
        <v>54</v>
      </c>
      <c r="AD702" s="8" t="s">
        <v>54</v>
      </c>
      <c r="AE702" s="8" t="s">
        <v>54</v>
      </c>
      <c r="AF702" s="8" t="s">
        <v>54</v>
      </c>
      <c r="AG702" s="8" t="s">
        <v>54</v>
      </c>
      <c r="AH702" s="8" t="s">
        <v>54</v>
      </c>
      <c r="AI702" s="10" t="s">
        <v>67</v>
      </c>
      <c r="AJ702" s="8">
        <f>COUNTIF($E$702:$AI$702,"P")</f>
        <v>26</v>
      </c>
      <c r="AK702" s="8">
        <f>COUNTIF($E$702:$AI$702,"A")</f>
        <v>0</v>
      </c>
      <c r="AL702" s="8">
        <f>SUM($E$703:$AI$703)</f>
        <v>42</v>
      </c>
      <c r="AM702" s="8">
        <f>SUM($E$704:$AI$704)</f>
        <v>100.5</v>
      </c>
      <c r="AN702" s="8">
        <f>AL702+AM702</f>
        <v>142.5</v>
      </c>
      <c r="AO702" s="8">
        <f>COUNTIF($E$702:$AI$702,"CL")</f>
        <v>0</v>
      </c>
      <c r="AP702" s="8">
        <f>COUNTIF($E$702:$AI$702,"SL")</f>
        <v>0</v>
      </c>
      <c r="AQ702" s="8">
        <f>COUNTIF($E$702:$AI$702,"EL")</f>
        <v>0</v>
      </c>
      <c r="AR702" s="8">
        <f>COUNTIF($E$702:$AI$702,"H")</f>
        <v>0</v>
      </c>
      <c r="AS702" s="8"/>
      <c r="AT702" s="11" t="s">
        <v>246</v>
      </c>
    </row>
    <row r="703" spans="1:46" ht="15.1" customHeight="1">
      <c r="A703" s="8"/>
      <c r="B703" s="9"/>
      <c r="C703" s="8"/>
      <c r="D703" s="9"/>
      <c r="E703" s="8">
        <v>2</v>
      </c>
      <c r="F703" s="8">
        <v>2</v>
      </c>
      <c r="G703" s="8">
        <v>0</v>
      </c>
      <c r="H703" s="8">
        <v>2</v>
      </c>
      <c r="I703" s="8">
        <v>2</v>
      </c>
      <c r="J703" s="8">
        <v>2</v>
      </c>
      <c r="K703" s="8">
        <v>2</v>
      </c>
      <c r="L703" s="8">
        <v>2</v>
      </c>
      <c r="M703" s="8">
        <v>2</v>
      </c>
      <c r="N703" s="8">
        <v>0</v>
      </c>
      <c r="O703" s="8">
        <v>2</v>
      </c>
      <c r="P703" s="8">
        <v>2</v>
      </c>
      <c r="Q703" s="8">
        <v>2</v>
      </c>
      <c r="R703" s="8">
        <v>2</v>
      </c>
      <c r="S703" s="8">
        <v>2</v>
      </c>
      <c r="T703" s="8">
        <v>2</v>
      </c>
      <c r="U703" s="8">
        <v>0</v>
      </c>
      <c r="V703" s="8">
        <v>2</v>
      </c>
      <c r="W703" s="8">
        <v>2</v>
      </c>
      <c r="X703" s="8">
        <v>2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2</v>
      </c>
      <c r="AE703" s="8">
        <v>0</v>
      </c>
      <c r="AF703" s="8">
        <v>2</v>
      </c>
      <c r="AG703" s="8">
        <v>2</v>
      </c>
      <c r="AH703" s="8">
        <v>2</v>
      </c>
      <c r="AI703" s="8">
        <v>0</v>
      </c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11" t="s">
        <v>246</v>
      </c>
    </row>
    <row r="704" spans="1:46" ht="15.1" customHeight="1">
      <c r="A704" s="8"/>
      <c r="B704" s="9"/>
      <c r="C704" s="8"/>
      <c r="D704" s="9"/>
      <c r="E704" s="8">
        <v>4</v>
      </c>
      <c r="F704" s="8">
        <v>3</v>
      </c>
      <c r="G704" s="8">
        <v>13.5</v>
      </c>
      <c r="H704" s="8">
        <v>4</v>
      </c>
      <c r="I704" s="8">
        <v>6</v>
      </c>
      <c r="J704" s="8">
        <v>3</v>
      </c>
      <c r="K704" s="8">
        <v>3</v>
      </c>
      <c r="L704" s="8">
        <v>4</v>
      </c>
      <c r="M704" s="8">
        <v>3.5</v>
      </c>
      <c r="N704" s="8">
        <v>12.5</v>
      </c>
      <c r="O704" s="8">
        <v>5</v>
      </c>
      <c r="P704" s="8">
        <v>5</v>
      </c>
      <c r="Q704" s="8">
        <v>4</v>
      </c>
      <c r="R704" s="8">
        <v>4.5</v>
      </c>
      <c r="S704" s="8">
        <v>3</v>
      </c>
      <c r="T704" s="8">
        <v>3</v>
      </c>
      <c r="U704" s="8">
        <v>7.5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3</v>
      </c>
      <c r="AE704" s="8">
        <v>0</v>
      </c>
      <c r="AF704" s="8">
        <v>3</v>
      </c>
      <c r="AG704" s="8">
        <v>3</v>
      </c>
      <c r="AH704" s="8">
        <v>3</v>
      </c>
      <c r="AI704" s="8">
        <v>0</v>
      </c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11" t="s">
        <v>246</v>
      </c>
    </row>
    <row r="705" spans="1:46" ht="15.1" customHeight="1">
      <c r="A705" s="8">
        <v>234</v>
      </c>
      <c r="B705" s="9" t="s">
        <v>731</v>
      </c>
      <c r="C705" s="8" t="s">
        <v>732</v>
      </c>
      <c r="D705" s="9" t="s">
        <v>699</v>
      </c>
      <c r="E705" s="8" t="s">
        <v>54</v>
      </c>
      <c r="F705" s="8" t="s">
        <v>54</v>
      </c>
      <c r="G705" s="10" t="s">
        <v>67</v>
      </c>
      <c r="H705" s="8" t="s">
        <v>54</v>
      </c>
      <c r="I705" s="8" t="s">
        <v>54</v>
      </c>
      <c r="J705" s="8" t="s">
        <v>54</v>
      </c>
      <c r="K705" s="8" t="s">
        <v>54</v>
      </c>
      <c r="L705" s="8" t="s">
        <v>54</v>
      </c>
      <c r="M705" s="8" t="s">
        <v>54</v>
      </c>
      <c r="N705" s="10" t="s">
        <v>67</v>
      </c>
      <c r="O705" s="8" t="s">
        <v>54</v>
      </c>
      <c r="P705" s="8" t="s">
        <v>54</v>
      </c>
      <c r="Q705" s="8" t="s">
        <v>54</v>
      </c>
      <c r="R705" s="8" t="s">
        <v>54</v>
      </c>
      <c r="S705" s="8" t="s">
        <v>54</v>
      </c>
      <c r="T705" s="8" t="s">
        <v>54</v>
      </c>
      <c r="U705" s="10" t="s">
        <v>67</v>
      </c>
      <c r="V705" s="8" t="s">
        <v>54</v>
      </c>
      <c r="W705" s="8" t="s">
        <v>54</v>
      </c>
      <c r="X705" s="8" t="s">
        <v>54</v>
      </c>
      <c r="Y705" s="8" t="s">
        <v>54</v>
      </c>
      <c r="Z705" s="8" t="s">
        <v>54</v>
      </c>
      <c r="AA705" s="8" t="s">
        <v>54</v>
      </c>
      <c r="AB705" s="10" t="s">
        <v>67</v>
      </c>
      <c r="AC705" s="8" t="s">
        <v>54</v>
      </c>
      <c r="AD705" s="8" t="s">
        <v>54</v>
      </c>
      <c r="AE705" s="8" t="s">
        <v>54</v>
      </c>
      <c r="AF705" s="8" t="s">
        <v>54</v>
      </c>
      <c r="AG705" s="8" t="s">
        <v>54</v>
      </c>
      <c r="AH705" s="8" t="s">
        <v>54</v>
      </c>
      <c r="AI705" s="10" t="s">
        <v>67</v>
      </c>
      <c r="AJ705" s="8">
        <f>COUNTIF($E$705:$AI$705,"P")</f>
        <v>26</v>
      </c>
      <c r="AK705" s="8">
        <f>COUNTIF($E$705:$AI$705,"A")</f>
        <v>0</v>
      </c>
      <c r="AL705" s="8">
        <f>SUM($E$706:$AI$706)</f>
        <v>18</v>
      </c>
      <c r="AM705" s="8">
        <f>SUM($E$707:$AI$707)</f>
        <v>62</v>
      </c>
      <c r="AN705" s="8">
        <f>AL705+AM705</f>
        <v>80</v>
      </c>
      <c r="AO705" s="8">
        <f>COUNTIF($E$705:$AI$705,"CL")</f>
        <v>0</v>
      </c>
      <c r="AP705" s="8">
        <f>COUNTIF($E$705:$AI$705,"SL")</f>
        <v>0</v>
      </c>
      <c r="AQ705" s="8">
        <f>COUNTIF($E$705:$AI$705,"EL")</f>
        <v>0</v>
      </c>
      <c r="AR705" s="8">
        <f>COUNTIF($E$705:$AI$705,"H")</f>
        <v>0</v>
      </c>
      <c r="AS705" s="8"/>
      <c r="AT705" s="11" t="s">
        <v>246</v>
      </c>
    </row>
    <row r="706" spans="1:46" ht="15.1" customHeight="1">
      <c r="A706" s="8"/>
      <c r="B706" s="9"/>
      <c r="C706" s="8"/>
      <c r="D706" s="9"/>
      <c r="E706" s="8">
        <v>2</v>
      </c>
      <c r="F706" s="8">
        <v>0</v>
      </c>
      <c r="G706" s="8">
        <v>0</v>
      </c>
      <c r="H706" s="8">
        <v>0</v>
      </c>
      <c r="I706" s="8">
        <v>0</v>
      </c>
      <c r="J706" s="8">
        <v>2</v>
      </c>
      <c r="K706" s="8">
        <v>0</v>
      </c>
      <c r="L706" s="8">
        <v>2</v>
      </c>
      <c r="M706" s="8">
        <v>2</v>
      </c>
      <c r="N706" s="8">
        <v>0</v>
      </c>
      <c r="O706" s="8">
        <v>2</v>
      </c>
      <c r="P706" s="8">
        <v>2</v>
      </c>
      <c r="Q706" s="8">
        <v>2</v>
      </c>
      <c r="R706" s="8">
        <v>0</v>
      </c>
      <c r="S706" s="8">
        <v>2</v>
      </c>
      <c r="T706" s="8">
        <v>2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11" t="s">
        <v>246</v>
      </c>
    </row>
    <row r="707" spans="1:46" ht="15.1" customHeight="1">
      <c r="A707" s="8"/>
      <c r="B707" s="9"/>
      <c r="C707" s="8"/>
      <c r="D707" s="9"/>
      <c r="E707" s="8">
        <v>3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7</v>
      </c>
      <c r="M707" s="8">
        <v>5</v>
      </c>
      <c r="N707" s="8">
        <v>17</v>
      </c>
      <c r="O707" s="8">
        <v>7</v>
      </c>
      <c r="P707" s="8">
        <v>7</v>
      </c>
      <c r="Q707" s="8">
        <v>7</v>
      </c>
      <c r="R707" s="8">
        <v>0</v>
      </c>
      <c r="S707" s="8">
        <v>7</v>
      </c>
      <c r="T707" s="8">
        <v>2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11" t="s">
        <v>246</v>
      </c>
    </row>
    <row r="708" spans="1:46" ht="15.1" customHeight="1">
      <c r="A708" s="8">
        <v>235</v>
      </c>
      <c r="B708" s="9" t="s">
        <v>733</v>
      </c>
      <c r="C708" s="8" t="s">
        <v>734</v>
      </c>
      <c r="D708" s="9" t="s">
        <v>699</v>
      </c>
      <c r="E708" s="8" t="s">
        <v>54</v>
      </c>
      <c r="F708" s="8" t="s">
        <v>54</v>
      </c>
      <c r="G708" s="10" t="s">
        <v>67</v>
      </c>
      <c r="H708" s="8" t="s">
        <v>54</v>
      </c>
      <c r="I708" s="8" t="s">
        <v>54</v>
      </c>
      <c r="J708" s="8" t="s">
        <v>54</v>
      </c>
      <c r="K708" s="8" t="s">
        <v>54</v>
      </c>
      <c r="L708" s="8" t="s">
        <v>54</v>
      </c>
      <c r="M708" s="8" t="s">
        <v>54</v>
      </c>
      <c r="N708" s="10" t="s">
        <v>67</v>
      </c>
      <c r="O708" s="8" t="s">
        <v>54</v>
      </c>
      <c r="P708" s="8" t="s">
        <v>54</v>
      </c>
      <c r="Q708" s="8" t="s">
        <v>54</v>
      </c>
      <c r="R708" s="8" t="s">
        <v>54</v>
      </c>
      <c r="S708" s="8" t="s">
        <v>54</v>
      </c>
      <c r="T708" s="8" t="s">
        <v>54</v>
      </c>
      <c r="U708" s="10" t="s">
        <v>67</v>
      </c>
      <c r="V708" s="8" t="s">
        <v>54</v>
      </c>
      <c r="W708" s="8" t="s">
        <v>54</v>
      </c>
      <c r="X708" s="8" t="s">
        <v>54</v>
      </c>
      <c r="Y708" s="8" t="s">
        <v>54</v>
      </c>
      <c r="Z708" s="8" t="s">
        <v>54</v>
      </c>
      <c r="AA708" s="8" t="s">
        <v>54</v>
      </c>
      <c r="AB708" s="10" t="s">
        <v>67</v>
      </c>
      <c r="AC708" s="8" t="s">
        <v>54</v>
      </c>
      <c r="AD708" s="8" t="s">
        <v>54</v>
      </c>
      <c r="AE708" s="8" t="s">
        <v>54</v>
      </c>
      <c r="AF708" s="8" t="s">
        <v>54</v>
      </c>
      <c r="AG708" s="8" t="s">
        <v>54</v>
      </c>
      <c r="AH708" s="8" t="s">
        <v>54</v>
      </c>
      <c r="AI708" s="10" t="s">
        <v>67</v>
      </c>
      <c r="AJ708" s="8">
        <f>COUNTIF($E$708:$AI$708,"P")</f>
        <v>26</v>
      </c>
      <c r="AK708" s="8">
        <f>COUNTIF($E$708:$AI$708,"A")</f>
        <v>0</v>
      </c>
      <c r="AL708" s="8">
        <f>SUM($E$709:$AI$709)</f>
        <v>34</v>
      </c>
      <c r="AM708" s="8">
        <f>SUM($E$710:$AI$710)</f>
        <v>123.5</v>
      </c>
      <c r="AN708" s="8">
        <f>AL708+AM708</f>
        <v>157.5</v>
      </c>
      <c r="AO708" s="8">
        <f>COUNTIF($E$708:$AI$708,"CL")</f>
        <v>0</v>
      </c>
      <c r="AP708" s="8">
        <f>COUNTIF($E$708:$AI$708,"SL")</f>
        <v>0</v>
      </c>
      <c r="AQ708" s="8">
        <f>COUNTIF($E$708:$AI$708,"EL")</f>
        <v>0</v>
      </c>
      <c r="AR708" s="8">
        <f>COUNTIF($E$708:$AI$708,"H")</f>
        <v>0</v>
      </c>
      <c r="AS708" s="8"/>
      <c r="AT708" s="11" t="s">
        <v>246</v>
      </c>
    </row>
    <row r="709" spans="1:46" ht="15.1" customHeight="1">
      <c r="A709" s="8"/>
      <c r="B709" s="9"/>
      <c r="C709" s="8"/>
      <c r="D709" s="9"/>
      <c r="E709" s="8">
        <v>2</v>
      </c>
      <c r="F709" s="8">
        <v>2</v>
      </c>
      <c r="G709" s="8">
        <v>0</v>
      </c>
      <c r="H709" s="8">
        <v>2</v>
      </c>
      <c r="I709" s="8">
        <v>2</v>
      </c>
      <c r="J709" s="8">
        <v>2</v>
      </c>
      <c r="K709" s="8">
        <v>2</v>
      </c>
      <c r="L709" s="8">
        <v>2</v>
      </c>
      <c r="M709" s="8">
        <v>2</v>
      </c>
      <c r="N709" s="8">
        <v>0</v>
      </c>
      <c r="O709" s="8">
        <v>2</v>
      </c>
      <c r="P709" s="8">
        <v>2</v>
      </c>
      <c r="Q709" s="8">
        <v>2</v>
      </c>
      <c r="R709" s="8">
        <v>2</v>
      </c>
      <c r="S709" s="8">
        <v>2</v>
      </c>
      <c r="T709" s="8">
        <v>2</v>
      </c>
      <c r="U709" s="8">
        <v>0</v>
      </c>
      <c r="V709" s="8">
        <v>2</v>
      </c>
      <c r="W709" s="8">
        <v>2</v>
      </c>
      <c r="X709" s="8">
        <v>2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11" t="s">
        <v>246</v>
      </c>
    </row>
    <row r="710" spans="1:46" ht="15.1" customHeight="1">
      <c r="A710" s="8"/>
      <c r="B710" s="9"/>
      <c r="C710" s="8"/>
      <c r="D710" s="9"/>
      <c r="E710" s="8">
        <v>5</v>
      </c>
      <c r="F710" s="8">
        <v>3</v>
      </c>
      <c r="G710" s="8">
        <v>12</v>
      </c>
      <c r="H710" s="8">
        <v>5</v>
      </c>
      <c r="I710" s="8">
        <v>7</v>
      </c>
      <c r="J710" s="8">
        <v>5</v>
      </c>
      <c r="K710" s="8">
        <v>6</v>
      </c>
      <c r="L710" s="8">
        <v>2</v>
      </c>
      <c r="M710" s="8">
        <v>7</v>
      </c>
      <c r="N710" s="8">
        <v>16.5</v>
      </c>
      <c r="O710" s="8">
        <v>7</v>
      </c>
      <c r="P710" s="8">
        <v>7</v>
      </c>
      <c r="Q710" s="8">
        <v>7</v>
      </c>
      <c r="R710" s="8">
        <v>7</v>
      </c>
      <c r="S710" s="8">
        <v>7</v>
      </c>
      <c r="T710" s="8">
        <v>2</v>
      </c>
      <c r="U710" s="8">
        <v>0</v>
      </c>
      <c r="V710" s="8">
        <v>6</v>
      </c>
      <c r="W710" s="8">
        <v>7</v>
      </c>
      <c r="X710" s="8">
        <v>5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11" t="s">
        <v>246</v>
      </c>
    </row>
    <row r="711" spans="1:46" ht="15.1" customHeight="1">
      <c r="A711" s="8">
        <v>236</v>
      </c>
      <c r="B711" s="9" t="s">
        <v>735</v>
      </c>
      <c r="C711" s="8" t="s">
        <v>736</v>
      </c>
      <c r="D711" s="9" t="s">
        <v>699</v>
      </c>
      <c r="E711" s="8" t="s">
        <v>54</v>
      </c>
      <c r="F711" s="8" t="s">
        <v>54</v>
      </c>
      <c r="G711" s="10" t="s">
        <v>67</v>
      </c>
      <c r="H711" s="8" t="s">
        <v>54</v>
      </c>
      <c r="I711" s="8" t="s">
        <v>54</v>
      </c>
      <c r="J711" s="8" t="s">
        <v>54</v>
      </c>
      <c r="K711" s="8" t="s">
        <v>54</v>
      </c>
      <c r="L711" s="8" t="s">
        <v>54</v>
      </c>
      <c r="M711" s="8" t="s">
        <v>54</v>
      </c>
      <c r="N711" s="10" t="s">
        <v>67</v>
      </c>
      <c r="O711" s="8" t="s">
        <v>54</v>
      </c>
      <c r="P711" s="8" t="s">
        <v>54</v>
      </c>
      <c r="Q711" s="8" t="s">
        <v>54</v>
      </c>
      <c r="R711" s="8" t="s">
        <v>54</v>
      </c>
      <c r="S711" s="8" t="s">
        <v>54</v>
      </c>
      <c r="T711" s="8" t="s">
        <v>54</v>
      </c>
      <c r="U711" s="10" t="s">
        <v>67</v>
      </c>
      <c r="V711" s="8" t="s">
        <v>54</v>
      </c>
      <c r="W711" s="8" t="s">
        <v>54</v>
      </c>
      <c r="X711" s="8" t="s">
        <v>54</v>
      </c>
      <c r="Y711" s="8" t="s">
        <v>54</v>
      </c>
      <c r="Z711" s="8" t="s">
        <v>54</v>
      </c>
      <c r="AA711" s="8" t="s">
        <v>54</v>
      </c>
      <c r="AB711" s="10" t="s">
        <v>67</v>
      </c>
      <c r="AC711" s="8" t="s">
        <v>54</v>
      </c>
      <c r="AD711" s="8" t="s">
        <v>54</v>
      </c>
      <c r="AE711" s="8" t="s">
        <v>54</v>
      </c>
      <c r="AF711" s="8" t="s">
        <v>54</v>
      </c>
      <c r="AG711" s="8" t="s">
        <v>54</v>
      </c>
      <c r="AH711" s="8" t="s">
        <v>54</v>
      </c>
      <c r="AI711" s="10" t="s">
        <v>67</v>
      </c>
      <c r="AJ711" s="8">
        <f>COUNTIF($E$711:$AI$711,"P")</f>
        <v>26</v>
      </c>
      <c r="AK711" s="8">
        <f>COUNTIF($E$711:$AI$711,"A")</f>
        <v>0</v>
      </c>
      <c r="AL711" s="8">
        <f>SUM($E$712:$AI$712)</f>
        <v>25</v>
      </c>
      <c r="AM711" s="8">
        <f>SUM($E$713:$AI$713)</f>
        <v>12</v>
      </c>
      <c r="AN711" s="8">
        <f>AL711+AM711</f>
        <v>36</v>
      </c>
      <c r="AO711" s="8">
        <f>COUNTIF($E$711:$AI$711,"CL")</f>
        <v>0</v>
      </c>
      <c r="AP711" s="8">
        <f>COUNTIF($E$711:$AI$711,"SL")</f>
        <v>0</v>
      </c>
      <c r="AQ711" s="8">
        <f>COUNTIF($E$711:$AI$711,"EL")</f>
        <v>0</v>
      </c>
      <c r="AR711" s="8">
        <f>COUNTIF($E$711:$AI$711,"H")</f>
        <v>0</v>
      </c>
      <c r="AS711" s="8"/>
      <c r="AT711" s="11" t="s">
        <v>246</v>
      </c>
    </row>
    <row r="712" spans="1:46" ht="15.1" customHeight="1">
      <c r="A712" s="8"/>
      <c r="B712" s="9"/>
      <c r="C712" s="8"/>
      <c r="D712" s="9"/>
      <c r="E712" s="8">
        <v>2</v>
      </c>
      <c r="F712" s="8">
        <v>2</v>
      </c>
      <c r="G712" s="8">
        <v>0</v>
      </c>
      <c r="H712" s="8">
        <v>1</v>
      </c>
      <c r="I712" s="8">
        <v>1</v>
      </c>
      <c r="J712" s="8">
        <v>2</v>
      </c>
      <c r="K712" s="8">
        <v>2</v>
      </c>
      <c r="L712" s="8">
        <v>2</v>
      </c>
      <c r="M712" s="8">
        <v>2</v>
      </c>
      <c r="N712" s="8">
        <v>0</v>
      </c>
      <c r="O712" s="8">
        <v>2</v>
      </c>
      <c r="P712" s="8">
        <v>2</v>
      </c>
      <c r="Q712" s="8">
        <v>2</v>
      </c>
      <c r="R712" s="8">
        <v>1</v>
      </c>
      <c r="S712" s="8">
        <v>1</v>
      </c>
      <c r="T712" s="8">
        <v>1</v>
      </c>
      <c r="U712" s="8">
        <v>0</v>
      </c>
      <c r="V712" s="8">
        <v>1</v>
      </c>
      <c r="W712" s="8">
        <v>0</v>
      </c>
      <c r="X712" s="8">
        <v>1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11" t="s">
        <v>246</v>
      </c>
    </row>
    <row r="713" spans="1:46" ht="15.1" customHeight="1">
      <c r="A713" s="8"/>
      <c r="B713" s="9"/>
      <c r="C713" s="8"/>
      <c r="D713" s="9"/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3</v>
      </c>
      <c r="L713" s="8">
        <v>0</v>
      </c>
      <c r="M713" s="8">
        <v>0</v>
      </c>
      <c r="N713" s="8">
        <v>9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11" t="s">
        <v>246</v>
      </c>
    </row>
    <row r="714" spans="1:46" ht="15.1" customHeight="1">
      <c r="A714" s="8">
        <v>237</v>
      </c>
      <c r="B714" s="9" t="s">
        <v>737</v>
      </c>
      <c r="C714" s="8" t="s">
        <v>738</v>
      </c>
      <c r="D714" s="9" t="s">
        <v>699</v>
      </c>
      <c r="E714" s="8" t="s">
        <v>54</v>
      </c>
      <c r="F714" s="8" t="s">
        <v>54</v>
      </c>
      <c r="G714" s="10" t="s">
        <v>67</v>
      </c>
      <c r="H714" s="8" t="s">
        <v>54</v>
      </c>
      <c r="I714" s="8" t="s">
        <v>54</v>
      </c>
      <c r="J714" s="8" t="s">
        <v>54</v>
      </c>
      <c r="K714" s="8" t="s">
        <v>54</v>
      </c>
      <c r="L714" s="8" t="s">
        <v>54</v>
      </c>
      <c r="M714" s="8" t="s">
        <v>54</v>
      </c>
      <c r="N714" s="10" t="s">
        <v>67</v>
      </c>
      <c r="O714" s="8" t="s">
        <v>54</v>
      </c>
      <c r="P714" s="8" t="s">
        <v>54</v>
      </c>
      <c r="Q714" s="8" t="s">
        <v>54</v>
      </c>
      <c r="R714" s="8" t="s">
        <v>54</v>
      </c>
      <c r="S714" s="8" t="s">
        <v>54</v>
      </c>
      <c r="T714" s="8" t="s">
        <v>54</v>
      </c>
      <c r="U714" s="10" t="s">
        <v>67</v>
      </c>
      <c r="V714" s="8" t="s">
        <v>54</v>
      </c>
      <c r="W714" s="8" t="s">
        <v>54</v>
      </c>
      <c r="X714" s="8" t="s">
        <v>54</v>
      </c>
      <c r="Y714" s="8" t="s">
        <v>54</v>
      </c>
      <c r="Z714" s="8" t="s">
        <v>54</v>
      </c>
      <c r="AA714" s="8" t="s">
        <v>54</v>
      </c>
      <c r="AB714" s="10" t="s">
        <v>67</v>
      </c>
      <c r="AC714" s="8" t="s">
        <v>54</v>
      </c>
      <c r="AD714" s="8" t="s">
        <v>54</v>
      </c>
      <c r="AE714" s="8" t="s">
        <v>54</v>
      </c>
      <c r="AF714" s="8" t="s">
        <v>54</v>
      </c>
      <c r="AG714" s="8" t="s">
        <v>54</v>
      </c>
      <c r="AH714" s="8" t="s">
        <v>54</v>
      </c>
      <c r="AI714" s="10" t="s">
        <v>67</v>
      </c>
      <c r="AJ714" s="8">
        <f>COUNTIF($E$714:$AI$714,"P")</f>
        <v>26</v>
      </c>
      <c r="AK714" s="8">
        <f>COUNTIF($E$714:$AI$714,"A")</f>
        <v>0</v>
      </c>
      <c r="AL714" s="8">
        <f>SUM($E$715:$AI$715)</f>
        <v>24</v>
      </c>
      <c r="AM714" s="8">
        <f>SUM($E$716:$AI$716)</f>
        <v>79</v>
      </c>
      <c r="AN714" s="8">
        <f>AL714+AM714</f>
        <v>103</v>
      </c>
      <c r="AO714" s="8">
        <f>COUNTIF($E$714:$AI$714,"CL")</f>
        <v>0</v>
      </c>
      <c r="AP714" s="8">
        <f>COUNTIF($E$714:$AI$714,"SL")</f>
        <v>0</v>
      </c>
      <c r="AQ714" s="8">
        <f>COUNTIF($E$714:$AI$714,"EL")</f>
        <v>0</v>
      </c>
      <c r="AR714" s="8">
        <f>COUNTIF($E$714:$AI$714,"H")</f>
        <v>0</v>
      </c>
      <c r="AS714" s="8"/>
      <c r="AT714" s="11" t="s">
        <v>246</v>
      </c>
    </row>
    <row r="715" spans="1:46" ht="15.1" customHeight="1">
      <c r="A715" s="8"/>
      <c r="B715" s="9"/>
      <c r="C715" s="8"/>
      <c r="D715" s="9"/>
      <c r="E715" s="8">
        <v>2</v>
      </c>
      <c r="F715" s="8">
        <v>0</v>
      </c>
      <c r="G715" s="8">
        <v>0</v>
      </c>
      <c r="H715" s="8">
        <v>0</v>
      </c>
      <c r="I715" s="8">
        <v>0</v>
      </c>
      <c r="J715" s="8">
        <v>2</v>
      </c>
      <c r="K715" s="8">
        <v>2</v>
      </c>
      <c r="L715" s="8">
        <v>2</v>
      </c>
      <c r="M715" s="8">
        <v>2</v>
      </c>
      <c r="N715" s="8">
        <v>0</v>
      </c>
      <c r="O715" s="8">
        <v>2</v>
      </c>
      <c r="P715" s="8">
        <v>2</v>
      </c>
      <c r="Q715" s="8">
        <v>2</v>
      </c>
      <c r="R715" s="8">
        <v>2</v>
      </c>
      <c r="S715" s="8">
        <v>2</v>
      </c>
      <c r="T715" s="8">
        <v>2</v>
      </c>
      <c r="U715" s="8">
        <v>0</v>
      </c>
      <c r="V715" s="8">
        <v>0</v>
      </c>
      <c r="W715" s="8">
        <v>2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11" t="s">
        <v>246</v>
      </c>
    </row>
    <row r="716" spans="1:46" ht="15.1" customHeight="1">
      <c r="A716" s="8"/>
      <c r="B716" s="9"/>
      <c r="C716" s="8"/>
      <c r="D716" s="9"/>
      <c r="E716" s="8">
        <v>3</v>
      </c>
      <c r="F716" s="8">
        <v>0</v>
      </c>
      <c r="G716" s="8">
        <v>8</v>
      </c>
      <c r="H716" s="8">
        <v>0</v>
      </c>
      <c r="I716" s="8">
        <v>0</v>
      </c>
      <c r="J716" s="8">
        <v>0</v>
      </c>
      <c r="K716" s="8">
        <v>7</v>
      </c>
      <c r="L716" s="8">
        <v>3</v>
      </c>
      <c r="M716" s="8">
        <v>5</v>
      </c>
      <c r="N716" s="8">
        <v>17</v>
      </c>
      <c r="O716" s="8">
        <v>7</v>
      </c>
      <c r="P716" s="8">
        <v>7</v>
      </c>
      <c r="Q716" s="8">
        <v>7</v>
      </c>
      <c r="R716" s="8">
        <v>5</v>
      </c>
      <c r="S716" s="8">
        <v>7</v>
      </c>
      <c r="T716" s="8">
        <v>3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11" t="s">
        <v>246</v>
      </c>
    </row>
    <row r="717" spans="1:46" ht="15.1" customHeight="1">
      <c r="A717" s="8">
        <v>238</v>
      </c>
      <c r="B717" s="9" t="s">
        <v>739</v>
      </c>
      <c r="C717" s="8" t="s">
        <v>740</v>
      </c>
      <c r="D717" s="9" t="s">
        <v>699</v>
      </c>
      <c r="E717" s="8" t="s">
        <v>54</v>
      </c>
      <c r="F717" s="8" t="s">
        <v>54</v>
      </c>
      <c r="G717" s="10" t="s">
        <v>67</v>
      </c>
      <c r="H717" s="8" t="s">
        <v>54</v>
      </c>
      <c r="I717" s="8" t="s">
        <v>54</v>
      </c>
      <c r="J717" s="8" t="s">
        <v>54</v>
      </c>
      <c r="K717" s="8" t="s">
        <v>54</v>
      </c>
      <c r="L717" s="8" t="s">
        <v>54</v>
      </c>
      <c r="M717" s="8" t="s">
        <v>54</v>
      </c>
      <c r="N717" s="10" t="s">
        <v>67</v>
      </c>
      <c r="O717" s="8" t="s">
        <v>54</v>
      </c>
      <c r="P717" s="8" t="s">
        <v>54</v>
      </c>
      <c r="Q717" s="8" t="s">
        <v>54</v>
      </c>
      <c r="R717" s="8" t="s">
        <v>54</v>
      </c>
      <c r="S717" s="8" t="s">
        <v>54</v>
      </c>
      <c r="T717" s="8" t="s">
        <v>54</v>
      </c>
      <c r="U717" s="10" t="s">
        <v>67</v>
      </c>
      <c r="V717" s="8" t="s">
        <v>54</v>
      </c>
      <c r="W717" s="8" t="s">
        <v>54</v>
      </c>
      <c r="X717" s="8" t="s">
        <v>54</v>
      </c>
      <c r="Y717" s="8" t="s">
        <v>54</v>
      </c>
      <c r="Z717" s="8" t="s">
        <v>54</v>
      </c>
      <c r="AA717" s="8" t="s">
        <v>54</v>
      </c>
      <c r="AB717" s="10" t="s">
        <v>67</v>
      </c>
      <c r="AC717" s="8" t="s">
        <v>54</v>
      </c>
      <c r="AD717" s="8" t="s">
        <v>54</v>
      </c>
      <c r="AE717" s="8" t="s">
        <v>54</v>
      </c>
      <c r="AF717" s="8" t="s">
        <v>54</v>
      </c>
      <c r="AG717" s="8" t="s">
        <v>54</v>
      </c>
      <c r="AH717" s="8" t="s">
        <v>54</v>
      </c>
      <c r="AI717" s="10" t="s">
        <v>67</v>
      </c>
      <c r="AJ717" s="8">
        <f>COUNTIF($E$717:$AI$717,"P")</f>
        <v>26</v>
      </c>
      <c r="AK717" s="8">
        <f>COUNTIF($E$717:$AI$717,"A")</f>
        <v>0</v>
      </c>
      <c r="AL717" s="8">
        <f>SUM($E$718:$AI$718)</f>
        <v>30</v>
      </c>
      <c r="AM717" s="8">
        <f>SUM($E$719:$AI$719)</f>
        <v>126</v>
      </c>
      <c r="AN717" s="8">
        <f>AL717+AM717</f>
        <v>156</v>
      </c>
      <c r="AO717" s="8">
        <f>COUNTIF($E$717:$AI$717,"CL")</f>
        <v>0</v>
      </c>
      <c r="AP717" s="8">
        <f>COUNTIF($E$717:$AI$717,"SL")</f>
        <v>0</v>
      </c>
      <c r="AQ717" s="8">
        <f>COUNTIF($E$717:$AI$717,"EL")</f>
        <v>0</v>
      </c>
      <c r="AR717" s="8">
        <f>COUNTIF($E$717:$AI$717,"H")</f>
        <v>0</v>
      </c>
      <c r="AS717" s="8"/>
      <c r="AT717" s="11" t="s">
        <v>246</v>
      </c>
    </row>
    <row r="718" spans="1:46" ht="15.1" customHeight="1">
      <c r="A718" s="8"/>
      <c r="B718" s="9"/>
      <c r="C718" s="8"/>
      <c r="D718" s="9"/>
      <c r="E718" s="8">
        <v>2</v>
      </c>
      <c r="F718" s="8">
        <v>2</v>
      </c>
      <c r="G718" s="8">
        <v>0</v>
      </c>
      <c r="H718" s="8">
        <v>0</v>
      </c>
      <c r="I718" s="8">
        <v>2</v>
      </c>
      <c r="J718" s="8">
        <v>2</v>
      </c>
      <c r="K718" s="8">
        <v>2</v>
      </c>
      <c r="L718" s="8">
        <v>2</v>
      </c>
      <c r="M718" s="8">
        <v>2</v>
      </c>
      <c r="N718" s="8">
        <v>0</v>
      </c>
      <c r="O718" s="8">
        <v>2</v>
      </c>
      <c r="P718" s="8">
        <v>2</v>
      </c>
      <c r="Q718" s="8">
        <v>2</v>
      </c>
      <c r="R718" s="8">
        <v>2</v>
      </c>
      <c r="S718" s="8">
        <v>2</v>
      </c>
      <c r="T718" s="8">
        <v>2</v>
      </c>
      <c r="U718" s="8">
        <v>0</v>
      </c>
      <c r="V718" s="8">
        <v>2</v>
      </c>
      <c r="W718" s="8">
        <v>2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11" t="s">
        <v>246</v>
      </c>
    </row>
    <row r="719" spans="1:46" ht="15.1" customHeight="1">
      <c r="A719" s="8"/>
      <c r="B719" s="9"/>
      <c r="C719" s="8"/>
      <c r="D719" s="9"/>
      <c r="E719" s="8">
        <v>3</v>
      </c>
      <c r="F719" s="8">
        <v>3</v>
      </c>
      <c r="G719" s="8">
        <v>14</v>
      </c>
      <c r="H719" s="8">
        <v>0</v>
      </c>
      <c r="I719" s="8">
        <v>7</v>
      </c>
      <c r="J719" s="8">
        <v>7</v>
      </c>
      <c r="K719" s="8">
        <v>7</v>
      </c>
      <c r="L719" s="8">
        <v>7</v>
      </c>
      <c r="M719" s="8">
        <v>5</v>
      </c>
      <c r="N719" s="8">
        <v>17</v>
      </c>
      <c r="O719" s="8">
        <v>7</v>
      </c>
      <c r="P719" s="8">
        <v>7</v>
      </c>
      <c r="Q719" s="8">
        <v>5</v>
      </c>
      <c r="R719" s="8">
        <v>7</v>
      </c>
      <c r="S719" s="8">
        <v>7</v>
      </c>
      <c r="T719" s="8">
        <v>3</v>
      </c>
      <c r="U719" s="8">
        <v>13</v>
      </c>
      <c r="V719" s="8">
        <v>7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11" t="s">
        <v>246</v>
      </c>
    </row>
    <row r="720" spans="1:46" ht="15.1" customHeight="1">
      <c r="A720" s="8">
        <v>239</v>
      </c>
      <c r="B720" s="9" t="s">
        <v>741</v>
      </c>
      <c r="C720" s="8" t="s">
        <v>742</v>
      </c>
      <c r="D720" s="9" t="s">
        <v>699</v>
      </c>
      <c r="E720" s="8" t="s">
        <v>54</v>
      </c>
      <c r="F720" s="8" t="s">
        <v>54</v>
      </c>
      <c r="G720" s="10" t="s">
        <v>67</v>
      </c>
      <c r="H720" s="8" t="s">
        <v>54</v>
      </c>
      <c r="I720" s="8" t="s">
        <v>54</v>
      </c>
      <c r="J720" s="8" t="s">
        <v>54</v>
      </c>
      <c r="K720" s="8" t="s">
        <v>54</v>
      </c>
      <c r="L720" s="8" t="s">
        <v>54</v>
      </c>
      <c r="M720" s="8" t="s">
        <v>54</v>
      </c>
      <c r="N720" s="10" t="s">
        <v>67</v>
      </c>
      <c r="O720" s="8" t="s">
        <v>54</v>
      </c>
      <c r="P720" s="8" t="s">
        <v>54</v>
      </c>
      <c r="Q720" s="8" t="s">
        <v>54</v>
      </c>
      <c r="R720" s="8" t="s">
        <v>54</v>
      </c>
      <c r="S720" s="8" t="s">
        <v>54</v>
      </c>
      <c r="T720" s="8" t="s">
        <v>54</v>
      </c>
      <c r="U720" s="10" t="s">
        <v>67</v>
      </c>
      <c r="V720" s="8" t="s">
        <v>54</v>
      </c>
      <c r="W720" s="8" t="s">
        <v>54</v>
      </c>
      <c r="X720" s="8" t="s">
        <v>54</v>
      </c>
      <c r="Y720" s="8" t="s">
        <v>54</v>
      </c>
      <c r="Z720" s="8" t="s">
        <v>54</v>
      </c>
      <c r="AA720" s="8" t="s">
        <v>54</v>
      </c>
      <c r="AB720" s="10" t="s">
        <v>67</v>
      </c>
      <c r="AC720" s="8" t="s">
        <v>54</v>
      </c>
      <c r="AD720" s="8" t="s">
        <v>54</v>
      </c>
      <c r="AE720" s="8" t="s">
        <v>54</v>
      </c>
      <c r="AF720" s="8" t="s">
        <v>54</v>
      </c>
      <c r="AG720" s="8" t="s">
        <v>54</v>
      </c>
      <c r="AH720" s="8" t="s">
        <v>54</v>
      </c>
      <c r="AI720" s="10" t="s">
        <v>67</v>
      </c>
      <c r="AJ720" s="8">
        <f>COUNTIF($E$720:$AI$720,"P")</f>
        <v>26</v>
      </c>
      <c r="AK720" s="8">
        <f>COUNTIF($E$720:$AI$720,"A")</f>
        <v>0</v>
      </c>
      <c r="AL720" s="8">
        <f>SUM($E$721:$AI$721)</f>
        <v>0</v>
      </c>
      <c r="AM720" s="8">
        <f>SUM($E$722:$AI$722)</f>
        <v>8</v>
      </c>
      <c r="AN720" s="8">
        <f>AL720+AM720</f>
        <v>8</v>
      </c>
      <c r="AO720" s="8">
        <f>COUNTIF($E$720:$AI$720,"CL")</f>
        <v>0</v>
      </c>
      <c r="AP720" s="8">
        <f>COUNTIF($E$720:$AI$720,"SL")</f>
        <v>0</v>
      </c>
      <c r="AQ720" s="8">
        <f>COUNTIF($E$720:$AI$720,"EL")</f>
        <v>0</v>
      </c>
      <c r="AR720" s="8">
        <f>COUNTIF($E$720:$AI$720,"H")</f>
        <v>0</v>
      </c>
      <c r="AS720" s="8"/>
      <c r="AT720" s="11" t="s">
        <v>246</v>
      </c>
    </row>
    <row r="721" spans="1:46" ht="15.1" customHeight="1">
      <c r="A721" s="8"/>
      <c r="B721" s="9"/>
      <c r="C721" s="8"/>
      <c r="D721" s="9"/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11" t="s">
        <v>246</v>
      </c>
    </row>
    <row r="722" spans="1:46" ht="15.1" customHeight="1">
      <c r="A722" s="8"/>
      <c r="B722" s="9"/>
      <c r="C722" s="8"/>
      <c r="D722" s="9"/>
      <c r="E722" s="8">
        <v>0</v>
      </c>
      <c r="F722" s="8">
        <v>0</v>
      </c>
      <c r="G722" s="8">
        <v>8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11" t="s">
        <v>246</v>
      </c>
    </row>
    <row r="723" spans="1:46" ht="15.1" customHeight="1">
      <c r="A723" s="8">
        <v>240</v>
      </c>
      <c r="B723" s="9" t="s">
        <v>743</v>
      </c>
      <c r="C723" s="8" t="s">
        <v>744</v>
      </c>
      <c r="D723" s="9" t="s">
        <v>699</v>
      </c>
      <c r="E723" s="8" t="s">
        <v>54</v>
      </c>
      <c r="F723" s="8" t="s">
        <v>54</v>
      </c>
      <c r="G723" s="10" t="s">
        <v>67</v>
      </c>
      <c r="H723" s="8" t="s">
        <v>54</v>
      </c>
      <c r="I723" s="8" t="s">
        <v>54</v>
      </c>
      <c r="J723" s="8" t="s">
        <v>54</v>
      </c>
      <c r="K723" s="8" t="s">
        <v>54</v>
      </c>
      <c r="L723" s="8" t="s">
        <v>54</v>
      </c>
      <c r="M723" s="8" t="s">
        <v>54</v>
      </c>
      <c r="N723" s="10" t="s">
        <v>67</v>
      </c>
      <c r="O723" s="8" t="s">
        <v>54</v>
      </c>
      <c r="P723" s="8" t="s">
        <v>54</v>
      </c>
      <c r="Q723" s="8" t="s">
        <v>54</v>
      </c>
      <c r="R723" s="8" t="s">
        <v>54</v>
      </c>
      <c r="S723" s="8" t="s">
        <v>54</v>
      </c>
      <c r="T723" s="8" t="s">
        <v>54</v>
      </c>
      <c r="U723" s="10" t="s">
        <v>67</v>
      </c>
      <c r="V723" s="8" t="s">
        <v>54</v>
      </c>
      <c r="W723" s="8" t="s">
        <v>54</v>
      </c>
      <c r="X723" s="8" t="s">
        <v>54</v>
      </c>
      <c r="Y723" s="8" t="s">
        <v>54</v>
      </c>
      <c r="Z723" s="8" t="s">
        <v>54</v>
      </c>
      <c r="AA723" s="8" t="s">
        <v>54</v>
      </c>
      <c r="AB723" s="10" t="s">
        <v>67</v>
      </c>
      <c r="AC723" s="8" t="s">
        <v>54</v>
      </c>
      <c r="AD723" s="8" t="s">
        <v>54</v>
      </c>
      <c r="AE723" s="8" t="s">
        <v>54</v>
      </c>
      <c r="AF723" s="8" t="s">
        <v>54</v>
      </c>
      <c r="AG723" s="8" t="s">
        <v>54</v>
      </c>
      <c r="AH723" s="8" t="s">
        <v>54</v>
      </c>
      <c r="AI723" s="10" t="s">
        <v>67</v>
      </c>
      <c r="AJ723" s="8">
        <f>COUNTIF($E$723:$AI$723,"P")</f>
        <v>26</v>
      </c>
      <c r="AK723" s="8">
        <f>COUNTIF($E$723:$AI$723,"A")</f>
        <v>0</v>
      </c>
      <c r="AL723" s="8">
        <f>SUM($E$724:$AI$724)</f>
        <v>34</v>
      </c>
      <c r="AM723" s="8">
        <f>SUM($E$725:$AI$725)</f>
        <v>117</v>
      </c>
      <c r="AN723" s="8">
        <f>AL723+AM723</f>
        <v>151</v>
      </c>
      <c r="AO723" s="8">
        <f>COUNTIF($E$723:$AI$723,"CL")</f>
        <v>0</v>
      </c>
      <c r="AP723" s="8">
        <f>COUNTIF($E$723:$AI$723,"SL")</f>
        <v>0</v>
      </c>
      <c r="AQ723" s="8">
        <f>COUNTIF($E$723:$AI$723,"EL")</f>
        <v>0</v>
      </c>
      <c r="AR723" s="8">
        <f>COUNTIF($E$723:$AI$723,"H")</f>
        <v>0</v>
      </c>
      <c r="AS723" s="8"/>
      <c r="AT723" s="11" t="s">
        <v>246</v>
      </c>
    </row>
    <row r="724" spans="1:46" ht="15.1" customHeight="1">
      <c r="A724" s="8"/>
      <c r="B724" s="9"/>
      <c r="C724" s="8"/>
      <c r="D724" s="9"/>
      <c r="E724" s="8">
        <v>2</v>
      </c>
      <c r="F724" s="8">
        <v>2</v>
      </c>
      <c r="G724" s="8">
        <v>0</v>
      </c>
      <c r="H724" s="8">
        <v>2</v>
      </c>
      <c r="I724" s="8">
        <v>2</v>
      </c>
      <c r="J724" s="8">
        <v>2</v>
      </c>
      <c r="K724" s="8">
        <v>2</v>
      </c>
      <c r="L724" s="8">
        <v>2</v>
      </c>
      <c r="M724" s="8">
        <v>2</v>
      </c>
      <c r="N724" s="8">
        <v>0</v>
      </c>
      <c r="O724" s="8">
        <v>2</v>
      </c>
      <c r="P724" s="8">
        <v>2</v>
      </c>
      <c r="Q724" s="8">
        <v>2</v>
      </c>
      <c r="R724" s="8">
        <v>2</v>
      </c>
      <c r="S724" s="8">
        <v>2</v>
      </c>
      <c r="T724" s="8">
        <v>2</v>
      </c>
      <c r="U724" s="8">
        <v>0</v>
      </c>
      <c r="V724" s="8">
        <v>2</v>
      </c>
      <c r="W724" s="8">
        <v>2</v>
      </c>
      <c r="X724" s="8">
        <v>2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11" t="s">
        <v>246</v>
      </c>
    </row>
    <row r="725" spans="1:46" ht="15.1" customHeight="1">
      <c r="A725" s="8"/>
      <c r="B725" s="9"/>
      <c r="C725" s="8"/>
      <c r="D725" s="9"/>
      <c r="E725" s="8">
        <v>5</v>
      </c>
      <c r="F725" s="8">
        <v>3</v>
      </c>
      <c r="G725" s="8">
        <v>8</v>
      </c>
      <c r="H725" s="8">
        <v>7</v>
      </c>
      <c r="I725" s="8">
        <v>7</v>
      </c>
      <c r="J725" s="8">
        <v>5</v>
      </c>
      <c r="K725" s="8">
        <v>5</v>
      </c>
      <c r="L725" s="8">
        <v>3</v>
      </c>
      <c r="M725" s="8">
        <v>7</v>
      </c>
      <c r="N725" s="8">
        <v>17</v>
      </c>
      <c r="O725" s="8">
        <v>7</v>
      </c>
      <c r="P725" s="8">
        <v>7</v>
      </c>
      <c r="Q725" s="8">
        <v>7</v>
      </c>
      <c r="R725" s="8">
        <v>7</v>
      </c>
      <c r="S725" s="8">
        <v>7</v>
      </c>
      <c r="T725" s="8">
        <v>2</v>
      </c>
      <c r="U725" s="8">
        <v>0</v>
      </c>
      <c r="V725" s="8">
        <v>6</v>
      </c>
      <c r="W725" s="8">
        <v>7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11" t="s">
        <v>246</v>
      </c>
    </row>
    <row r="726" spans="1:46" ht="15.1" customHeight="1">
      <c r="A726" s="8">
        <v>241</v>
      </c>
      <c r="B726" s="9" t="s">
        <v>745</v>
      </c>
      <c r="C726" s="8" t="s">
        <v>746</v>
      </c>
      <c r="D726" s="9" t="s">
        <v>699</v>
      </c>
      <c r="E726" s="8" t="s">
        <v>54</v>
      </c>
      <c r="F726" s="8" t="s">
        <v>54</v>
      </c>
      <c r="G726" s="10" t="s">
        <v>67</v>
      </c>
      <c r="H726" s="8" t="s">
        <v>54</v>
      </c>
      <c r="I726" s="8" t="s">
        <v>54</v>
      </c>
      <c r="J726" s="8" t="s">
        <v>54</v>
      </c>
      <c r="K726" s="8" t="s">
        <v>54</v>
      </c>
      <c r="L726" s="8" t="s">
        <v>54</v>
      </c>
      <c r="M726" s="8" t="s">
        <v>54</v>
      </c>
      <c r="N726" s="10" t="s">
        <v>67</v>
      </c>
      <c r="O726" s="8" t="s">
        <v>59</v>
      </c>
      <c r="P726" s="8" t="s">
        <v>59</v>
      </c>
      <c r="Q726" s="12" t="s">
        <v>55</v>
      </c>
      <c r="R726" s="8" t="s">
        <v>54</v>
      </c>
      <c r="S726" s="8" t="s">
        <v>54</v>
      </c>
      <c r="T726" s="8" t="s">
        <v>54</v>
      </c>
      <c r="U726" s="10" t="s">
        <v>67</v>
      </c>
      <c r="V726" s="8" t="s">
        <v>54</v>
      </c>
      <c r="W726" s="8" t="s">
        <v>54</v>
      </c>
      <c r="X726" s="8" t="s">
        <v>54</v>
      </c>
      <c r="Y726" s="8" t="s">
        <v>54</v>
      </c>
      <c r="Z726" s="8" t="s">
        <v>54</v>
      </c>
      <c r="AA726" s="8" t="s">
        <v>54</v>
      </c>
      <c r="AB726" s="10" t="s">
        <v>67</v>
      </c>
      <c r="AC726" s="8" t="s">
        <v>54</v>
      </c>
      <c r="AD726" s="8" t="s">
        <v>54</v>
      </c>
      <c r="AE726" s="8" t="s">
        <v>54</v>
      </c>
      <c r="AF726" s="8" t="s">
        <v>54</v>
      </c>
      <c r="AG726" s="8" t="s">
        <v>54</v>
      </c>
      <c r="AH726" s="8" t="s">
        <v>54</v>
      </c>
      <c r="AI726" s="10" t="s">
        <v>67</v>
      </c>
      <c r="AJ726" s="8">
        <f>COUNTIF($E$726:$AI$726,"P")</f>
        <v>23</v>
      </c>
      <c r="AK726" s="8">
        <f>COUNTIF($E$726:$AI$726,"A")</f>
        <v>1</v>
      </c>
      <c r="AL726" s="8">
        <f>SUM($E$727:$AI$727)</f>
        <v>28</v>
      </c>
      <c r="AM726" s="8">
        <f>SUM($E$728:$AI$728)</f>
        <v>99</v>
      </c>
      <c r="AN726" s="8">
        <f>AL726+AM726</f>
        <v>127</v>
      </c>
      <c r="AO726" s="8">
        <f>COUNTIF($E$726:$AI$726,"CL")</f>
        <v>2</v>
      </c>
      <c r="AP726" s="8">
        <f>COUNTIF($E$726:$AI$726,"SL")</f>
        <v>0</v>
      </c>
      <c r="AQ726" s="8">
        <f>COUNTIF($E$726:$AI$726,"EL")</f>
        <v>0</v>
      </c>
      <c r="AR726" s="8">
        <f>COUNTIF($E$726:$AI$726,"H")</f>
        <v>0</v>
      </c>
      <c r="AS726" s="8"/>
      <c r="AT726" s="11" t="s">
        <v>246</v>
      </c>
    </row>
    <row r="727" spans="1:46" ht="15.1" customHeight="1">
      <c r="A727" s="8"/>
      <c r="B727" s="9"/>
      <c r="C727" s="8"/>
      <c r="D727" s="9"/>
      <c r="E727" s="8">
        <v>2</v>
      </c>
      <c r="F727" s="8">
        <v>2</v>
      </c>
      <c r="G727" s="8">
        <v>0</v>
      </c>
      <c r="H727" s="8">
        <v>2</v>
      </c>
      <c r="I727" s="8">
        <v>2</v>
      </c>
      <c r="J727" s="8">
        <v>2</v>
      </c>
      <c r="K727" s="8">
        <v>2</v>
      </c>
      <c r="L727" s="8">
        <v>2</v>
      </c>
      <c r="M727" s="8">
        <v>2</v>
      </c>
      <c r="N727" s="8">
        <v>0</v>
      </c>
      <c r="O727" s="8">
        <v>0</v>
      </c>
      <c r="P727" s="8">
        <v>0</v>
      </c>
      <c r="Q727" s="8">
        <v>0</v>
      </c>
      <c r="R727" s="8">
        <v>2</v>
      </c>
      <c r="S727" s="8">
        <v>2</v>
      </c>
      <c r="T727" s="8">
        <v>2</v>
      </c>
      <c r="U727" s="8">
        <v>0</v>
      </c>
      <c r="V727" s="8">
        <v>2</v>
      </c>
      <c r="W727" s="8">
        <v>2</v>
      </c>
      <c r="X727" s="8">
        <v>2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11" t="s">
        <v>246</v>
      </c>
    </row>
    <row r="728" spans="1:46" ht="15.1" customHeight="1">
      <c r="A728" s="8"/>
      <c r="B728" s="9"/>
      <c r="C728" s="8"/>
      <c r="D728" s="9"/>
      <c r="E728" s="8">
        <v>5</v>
      </c>
      <c r="F728" s="8">
        <v>3</v>
      </c>
      <c r="G728" s="8">
        <v>14</v>
      </c>
      <c r="H728" s="8">
        <v>5</v>
      </c>
      <c r="I728" s="8">
        <v>7</v>
      </c>
      <c r="J728" s="8">
        <v>7</v>
      </c>
      <c r="K728" s="8">
        <v>7</v>
      </c>
      <c r="L728" s="8">
        <v>7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7</v>
      </c>
      <c r="S728" s="8">
        <v>7</v>
      </c>
      <c r="T728" s="8">
        <v>3</v>
      </c>
      <c r="U728" s="8">
        <v>13</v>
      </c>
      <c r="V728" s="8">
        <v>7</v>
      </c>
      <c r="W728" s="8">
        <v>7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11" t="s">
        <v>246</v>
      </c>
    </row>
    <row r="729" spans="1:46" ht="15.1" customHeight="1">
      <c r="A729" s="8">
        <v>242</v>
      </c>
      <c r="B729" s="9" t="s">
        <v>747</v>
      </c>
      <c r="C729" s="8" t="s">
        <v>748</v>
      </c>
      <c r="D729" s="9" t="s">
        <v>699</v>
      </c>
      <c r="E729" s="8" t="s">
        <v>54</v>
      </c>
      <c r="F729" s="8" t="s">
        <v>54</v>
      </c>
      <c r="G729" s="10" t="s">
        <v>67</v>
      </c>
      <c r="H729" s="8" t="s">
        <v>54</v>
      </c>
      <c r="I729" s="8" t="s">
        <v>54</v>
      </c>
      <c r="J729" s="8" t="s">
        <v>54</v>
      </c>
      <c r="K729" s="8" t="s">
        <v>54</v>
      </c>
      <c r="L729" s="8" t="s">
        <v>54</v>
      </c>
      <c r="M729" s="8" t="s">
        <v>54</v>
      </c>
      <c r="N729" s="10" t="s">
        <v>67</v>
      </c>
      <c r="O729" s="8" t="s">
        <v>54</v>
      </c>
      <c r="P729" s="8" t="s">
        <v>54</v>
      </c>
      <c r="Q729" s="8" t="s">
        <v>54</v>
      </c>
      <c r="R729" s="8" t="s">
        <v>54</v>
      </c>
      <c r="S729" s="8" t="s">
        <v>54</v>
      </c>
      <c r="T729" s="8" t="s">
        <v>54</v>
      </c>
      <c r="U729" s="10" t="s">
        <v>67</v>
      </c>
      <c r="V729" s="8" t="s">
        <v>54</v>
      </c>
      <c r="W729" s="8" t="s">
        <v>54</v>
      </c>
      <c r="X729" s="8" t="s">
        <v>54</v>
      </c>
      <c r="Y729" s="8" t="s">
        <v>54</v>
      </c>
      <c r="Z729" s="8" t="s">
        <v>54</v>
      </c>
      <c r="AA729" s="8" t="s">
        <v>54</v>
      </c>
      <c r="AB729" s="10" t="s">
        <v>67</v>
      </c>
      <c r="AC729" s="8" t="s">
        <v>54</v>
      </c>
      <c r="AD729" s="8" t="s">
        <v>54</v>
      </c>
      <c r="AE729" s="8" t="s">
        <v>54</v>
      </c>
      <c r="AF729" s="8" t="s">
        <v>54</v>
      </c>
      <c r="AG729" s="8" t="s">
        <v>54</v>
      </c>
      <c r="AH729" s="12" t="s">
        <v>55</v>
      </c>
      <c r="AI729" s="10" t="s">
        <v>67</v>
      </c>
      <c r="AJ729" s="8">
        <f>COUNTIF($E$729:$AI$729,"P")</f>
        <v>25</v>
      </c>
      <c r="AK729" s="8">
        <f>COUNTIF($E$729:$AI$729,"A")</f>
        <v>1</v>
      </c>
      <c r="AL729" s="8">
        <f>SUM($E$730:$AI$730)</f>
        <v>36</v>
      </c>
      <c r="AM729" s="8">
        <f>SUM($E$731:$AI$731)</f>
        <v>148</v>
      </c>
      <c r="AN729" s="8">
        <f>AL729+AM729</f>
        <v>184</v>
      </c>
      <c r="AO729" s="8">
        <f>COUNTIF($E$729:$AI$729,"CL")</f>
        <v>0</v>
      </c>
      <c r="AP729" s="8">
        <f>COUNTIF($E$729:$AI$729,"SL")</f>
        <v>0</v>
      </c>
      <c r="AQ729" s="8">
        <f>COUNTIF($E$729:$AI$729,"EL")</f>
        <v>0</v>
      </c>
      <c r="AR729" s="8">
        <f>COUNTIF($E$729:$AI$729,"H")</f>
        <v>0</v>
      </c>
      <c r="AS729" s="8"/>
      <c r="AT729" s="11" t="s">
        <v>246</v>
      </c>
    </row>
    <row r="730" spans="1:46" ht="15.1" customHeight="1">
      <c r="A730" s="8"/>
      <c r="B730" s="9"/>
      <c r="C730" s="8"/>
      <c r="D730" s="9"/>
      <c r="E730" s="8">
        <v>2</v>
      </c>
      <c r="F730" s="8">
        <v>2</v>
      </c>
      <c r="G730" s="8">
        <v>0</v>
      </c>
      <c r="H730" s="8">
        <v>2</v>
      </c>
      <c r="I730" s="8">
        <v>2</v>
      </c>
      <c r="J730" s="8">
        <v>2</v>
      </c>
      <c r="K730" s="8">
        <v>2</v>
      </c>
      <c r="L730" s="8">
        <v>2</v>
      </c>
      <c r="M730" s="8">
        <v>2</v>
      </c>
      <c r="N730" s="8">
        <v>0</v>
      </c>
      <c r="O730" s="8">
        <v>2</v>
      </c>
      <c r="P730" s="8">
        <v>2</v>
      </c>
      <c r="Q730" s="8">
        <v>2</v>
      </c>
      <c r="R730" s="8">
        <v>2</v>
      </c>
      <c r="S730" s="8">
        <v>2</v>
      </c>
      <c r="T730" s="8">
        <v>2</v>
      </c>
      <c r="U730" s="8">
        <v>0</v>
      </c>
      <c r="V730" s="8">
        <v>2</v>
      </c>
      <c r="W730" s="8">
        <v>2</v>
      </c>
      <c r="X730" s="8">
        <v>2</v>
      </c>
      <c r="Y730" s="8">
        <v>0</v>
      </c>
      <c r="Z730" s="8">
        <v>0</v>
      </c>
      <c r="AA730" s="8">
        <v>0</v>
      </c>
      <c r="AB730" s="8">
        <v>0</v>
      </c>
      <c r="AC730" s="8">
        <v>2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11" t="s">
        <v>246</v>
      </c>
    </row>
    <row r="731" spans="1:46" ht="15.1" customHeight="1">
      <c r="A731" s="8"/>
      <c r="B731" s="9"/>
      <c r="C731" s="8"/>
      <c r="D731" s="9"/>
      <c r="E731" s="8">
        <v>6</v>
      </c>
      <c r="F731" s="8">
        <v>3</v>
      </c>
      <c r="G731" s="8">
        <v>12</v>
      </c>
      <c r="H731" s="8">
        <v>7</v>
      </c>
      <c r="I731" s="8">
        <v>7</v>
      </c>
      <c r="J731" s="8">
        <v>7</v>
      </c>
      <c r="K731" s="8">
        <v>7</v>
      </c>
      <c r="L731" s="8">
        <v>7</v>
      </c>
      <c r="M731" s="8">
        <v>3</v>
      </c>
      <c r="N731" s="8">
        <v>17</v>
      </c>
      <c r="O731" s="8">
        <v>7</v>
      </c>
      <c r="P731" s="8">
        <v>7</v>
      </c>
      <c r="Q731" s="8">
        <v>7</v>
      </c>
      <c r="R731" s="8">
        <v>7</v>
      </c>
      <c r="S731" s="8">
        <v>7</v>
      </c>
      <c r="T731" s="8">
        <v>5</v>
      </c>
      <c r="U731" s="8">
        <v>13</v>
      </c>
      <c r="V731" s="8">
        <v>7</v>
      </c>
      <c r="W731" s="8">
        <v>7</v>
      </c>
      <c r="X731" s="8">
        <v>5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11" t="s">
        <v>246</v>
      </c>
    </row>
    <row r="732" spans="1:46" ht="15.1" customHeight="1">
      <c r="A732" s="8">
        <v>243</v>
      </c>
      <c r="B732" s="9" t="s">
        <v>749</v>
      </c>
      <c r="C732" s="8" t="s">
        <v>750</v>
      </c>
      <c r="D732" s="9" t="s">
        <v>699</v>
      </c>
      <c r="E732" s="8" t="s">
        <v>54</v>
      </c>
      <c r="F732" s="8" t="s">
        <v>54</v>
      </c>
      <c r="G732" s="10" t="s">
        <v>67</v>
      </c>
      <c r="H732" s="8" t="s">
        <v>54</v>
      </c>
      <c r="I732" s="8" t="s">
        <v>54</v>
      </c>
      <c r="J732" s="8" t="s">
        <v>54</v>
      </c>
      <c r="K732" s="8" t="s">
        <v>54</v>
      </c>
      <c r="L732" s="8" t="s">
        <v>54</v>
      </c>
      <c r="M732" s="8" t="s">
        <v>54</v>
      </c>
      <c r="N732" s="10" t="s">
        <v>67</v>
      </c>
      <c r="O732" s="8" t="s">
        <v>54</v>
      </c>
      <c r="P732" s="8" t="s">
        <v>54</v>
      </c>
      <c r="Q732" s="8" t="s">
        <v>54</v>
      </c>
      <c r="R732" s="8" t="s">
        <v>54</v>
      </c>
      <c r="S732" s="8" t="s">
        <v>54</v>
      </c>
      <c r="T732" s="8" t="s">
        <v>54</v>
      </c>
      <c r="U732" s="10" t="s">
        <v>67</v>
      </c>
      <c r="V732" s="8" t="s">
        <v>54</v>
      </c>
      <c r="W732" s="8" t="s">
        <v>54</v>
      </c>
      <c r="X732" s="8" t="s">
        <v>54</v>
      </c>
      <c r="Y732" s="8" t="s">
        <v>54</v>
      </c>
      <c r="Z732" s="8" t="s">
        <v>54</v>
      </c>
      <c r="AA732" s="8" t="s">
        <v>54</v>
      </c>
      <c r="AB732" s="10" t="s">
        <v>67</v>
      </c>
      <c r="AC732" s="8" t="s">
        <v>54</v>
      </c>
      <c r="AD732" s="8" t="s">
        <v>54</v>
      </c>
      <c r="AE732" s="8" t="s">
        <v>54</v>
      </c>
      <c r="AF732" s="8" t="s">
        <v>54</v>
      </c>
      <c r="AG732" s="8" t="s">
        <v>54</v>
      </c>
      <c r="AH732" s="8" t="s">
        <v>54</v>
      </c>
      <c r="AI732" s="10" t="s">
        <v>67</v>
      </c>
      <c r="AJ732" s="8">
        <f>COUNTIF($E$732:$AI$732,"P")</f>
        <v>26</v>
      </c>
      <c r="AK732" s="8">
        <f>COUNTIF($E$732:$AI$732,"A")</f>
        <v>0</v>
      </c>
      <c r="AL732" s="8">
        <f>SUM($E$733:$AI$733)</f>
        <v>34</v>
      </c>
      <c r="AM732" s="8">
        <f>SUM($E$734:$AI$734)</f>
        <v>119</v>
      </c>
      <c r="AN732" s="8">
        <f>AL732+AM732</f>
        <v>153</v>
      </c>
      <c r="AO732" s="8">
        <f>COUNTIF($E$732:$AI$732,"CL")</f>
        <v>0</v>
      </c>
      <c r="AP732" s="8">
        <f>COUNTIF($E$732:$AI$732,"SL")</f>
        <v>0</v>
      </c>
      <c r="AQ732" s="8">
        <f>COUNTIF($E$732:$AI$732,"EL")</f>
        <v>0</v>
      </c>
      <c r="AR732" s="8">
        <f>COUNTIF($E$732:$AI$732,"H")</f>
        <v>0</v>
      </c>
      <c r="AS732" s="8"/>
      <c r="AT732" s="11" t="s">
        <v>246</v>
      </c>
    </row>
    <row r="733" spans="1:46" ht="15.1" customHeight="1">
      <c r="A733" s="8"/>
      <c r="B733" s="9"/>
      <c r="C733" s="8"/>
      <c r="D733" s="9"/>
      <c r="E733" s="8">
        <v>2</v>
      </c>
      <c r="F733" s="8">
        <v>2</v>
      </c>
      <c r="G733" s="8">
        <v>0</v>
      </c>
      <c r="H733" s="8">
        <v>2</v>
      </c>
      <c r="I733" s="8">
        <v>2</v>
      </c>
      <c r="J733" s="8">
        <v>2</v>
      </c>
      <c r="K733" s="8">
        <v>2</v>
      </c>
      <c r="L733" s="8">
        <v>2</v>
      </c>
      <c r="M733" s="8">
        <v>2</v>
      </c>
      <c r="N733" s="8">
        <v>0</v>
      </c>
      <c r="O733" s="8">
        <v>2</v>
      </c>
      <c r="P733" s="8">
        <v>2</v>
      </c>
      <c r="Q733" s="8">
        <v>2</v>
      </c>
      <c r="R733" s="8">
        <v>2</v>
      </c>
      <c r="S733" s="8">
        <v>2</v>
      </c>
      <c r="T733" s="8">
        <v>2</v>
      </c>
      <c r="U733" s="8">
        <v>0</v>
      </c>
      <c r="V733" s="8">
        <v>2</v>
      </c>
      <c r="W733" s="8">
        <v>2</v>
      </c>
      <c r="X733" s="8">
        <v>2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11" t="s">
        <v>246</v>
      </c>
    </row>
    <row r="734" spans="1:46" ht="15.1" customHeight="1">
      <c r="A734" s="8"/>
      <c r="B734" s="9"/>
      <c r="C734" s="8"/>
      <c r="D734" s="9"/>
      <c r="E734" s="8">
        <v>5</v>
      </c>
      <c r="F734" s="8">
        <v>3</v>
      </c>
      <c r="G734" s="8">
        <v>12</v>
      </c>
      <c r="H734" s="8">
        <v>5</v>
      </c>
      <c r="I734" s="8">
        <v>7</v>
      </c>
      <c r="J734" s="8">
        <v>5</v>
      </c>
      <c r="K734" s="8">
        <v>5</v>
      </c>
      <c r="L734" s="8">
        <v>3</v>
      </c>
      <c r="M734" s="8">
        <v>7</v>
      </c>
      <c r="N734" s="8">
        <v>17</v>
      </c>
      <c r="O734" s="8">
        <v>7</v>
      </c>
      <c r="P734" s="8">
        <v>7</v>
      </c>
      <c r="Q734" s="8">
        <v>7</v>
      </c>
      <c r="R734" s="8">
        <v>7</v>
      </c>
      <c r="S734" s="8">
        <v>7</v>
      </c>
      <c r="T734" s="8">
        <v>2</v>
      </c>
      <c r="U734" s="8">
        <v>0</v>
      </c>
      <c r="V734" s="8">
        <v>6</v>
      </c>
      <c r="W734" s="8">
        <v>7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11" t="s">
        <v>246</v>
      </c>
    </row>
    <row r="735" spans="1:46" ht="15.1" customHeight="1">
      <c r="A735" s="8">
        <v>244</v>
      </c>
      <c r="B735" s="9" t="s">
        <v>751</v>
      </c>
      <c r="C735" s="8" t="s">
        <v>752</v>
      </c>
      <c r="D735" s="9" t="s">
        <v>699</v>
      </c>
      <c r="E735" s="8" t="s">
        <v>54</v>
      </c>
      <c r="F735" s="8" t="s">
        <v>54</v>
      </c>
      <c r="G735" s="10" t="s">
        <v>67</v>
      </c>
      <c r="H735" s="8" t="s">
        <v>54</v>
      </c>
      <c r="I735" s="8" t="s">
        <v>54</v>
      </c>
      <c r="J735" s="8" t="s">
        <v>54</v>
      </c>
      <c r="K735" s="8" t="s">
        <v>54</v>
      </c>
      <c r="L735" s="8" t="s">
        <v>54</v>
      </c>
      <c r="M735" s="8" t="s">
        <v>54</v>
      </c>
      <c r="N735" s="10" t="s">
        <v>67</v>
      </c>
      <c r="O735" s="8" t="s">
        <v>54</v>
      </c>
      <c r="P735" s="12" t="s">
        <v>55</v>
      </c>
      <c r="Q735" s="12" t="s">
        <v>55</v>
      </c>
      <c r="R735" s="8" t="s">
        <v>54</v>
      </c>
      <c r="S735" s="8" t="s">
        <v>54</v>
      </c>
      <c r="T735" s="8" t="s">
        <v>54</v>
      </c>
      <c r="U735" s="10" t="s">
        <v>67</v>
      </c>
      <c r="V735" s="8" t="s">
        <v>54</v>
      </c>
      <c r="W735" s="8" t="s">
        <v>54</v>
      </c>
      <c r="X735" s="8" t="s">
        <v>54</v>
      </c>
      <c r="Y735" s="8" t="s">
        <v>54</v>
      </c>
      <c r="Z735" s="8" t="s">
        <v>54</v>
      </c>
      <c r="AA735" s="8" t="s">
        <v>54</v>
      </c>
      <c r="AB735" s="10" t="s">
        <v>67</v>
      </c>
      <c r="AC735" s="12" t="s">
        <v>55</v>
      </c>
      <c r="AD735" s="8" t="s">
        <v>54</v>
      </c>
      <c r="AE735" s="8" t="s">
        <v>54</v>
      </c>
      <c r="AF735" s="8" t="s">
        <v>54</v>
      </c>
      <c r="AG735" s="8" t="s">
        <v>54</v>
      </c>
      <c r="AH735" s="8" t="s">
        <v>54</v>
      </c>
      <c r="AI735" s="10" t="s">
        <v>67</v>
      </c>
      <c r="AJ735" s="8">
        <f>COUNTIF($E$735:$AI$735,"P")</f>
        <v>23</v>
      </c>
      <c r="AK735" s="8">
        <f>COUNTIF($E$735:$AI$735,"A")</f>
        <v>3</v>
      </c>
      <c r="AL735" s="8">
        <f>SUM($E$736:$AI$736)</f>
        <v>26</v>
      </c>
      <c r="AM735" s="8">
        <f>SUM($E$737:$AI$737)</f>
        <v>48</v>
      </c>
      <c r="AN735" s="8">
        <f>AL735+AM735</f>
        <v>74</v>
      </c>
      <c r="AO735" s="8">
        <f>COUNTIF($E$735:$AI$735,"CL")</f>
        <v>0</v>
      </c>
      <c r="AP735" s="8">
        <f>COUNTIF($E$735:$AI$735,"SL")</f>
        <v>0</v>
      </c>
      <c r="AQ735" s="8">
        <f>COUNTIF($E$735:$AI$735,"EL")</f>
        <v>0</v>
      </c>
      <c r="AR735" s="8">
        <f>COUNTIF($E$735:$AI$735,"H")</f>
        <v>0</v>
      </c>
      <c r="AS735" s="8"/>
      <c r="AT735" s="11" t="s">
        <v>246</v>
      </c>
    </row>
    <row r="736" spans="1:46" ht="15.1" customHeight="1">
      <c r="A736" s="8"/>
      <c r="B736" s="9"/>
      <c r="C736" s="8"/>
      <c r="D736" s="9"/>
      <c r="E736" s="8">
        <v>2</v>
      </c>
      <c r="F736" s="8">
        <v>2</v>
      </c>
      <c r="G736" s="8">
        <v>0</v>
      </c>
      <c r="H736" s="8">
        <v>2</v>
      </c>
      <c r="I736" s="8">
        <v>2</v>
      </c>
      <c r="J736" s="8">
        <v>2</v>
      </c>
      <c r="K736" s="8">
        <v>2</v>
      </c>
      <c r="L736" s="8">
        <v>0</v>
      </c>
      <c r="M736" s="8">
        <v>2</v>
      </c>
      <c r="N736" s="8">
        <v>0</v>
      </c>
      <c r="O736" s="8">
        <v>2</v>
      </c>
      <c r="P736" s="8">
        <v>0</v>
      </c>
      <c r="Q736" s="8">
        <v>0</v>
      </c>
      <c r="R736" s="8">
        <v>2</v>
      </c>
      <c r="S736" s="8">
        <v>2</v>
      </c>
      <c r="T736" s="8">
        <v>2</v>
      </c>
      <c r="U736" s="8">
        <v>0</v>
      </c>
      <c r="V736" s="8">
        <v>0</v>
      </c>
      <c r="W736" s="8">
        <v>2</v>
      </c>
      <c r="X736" s="8">
        <v>2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11" t="s">
        <v>246</v>
      </c>
    </row>
    <row r="737" spans="1:46" ht="15.1" customHeight="1">
      <c r="A737" s="8"/>
      <c r="B737" s="9"/>
      <c r="C737" s="8"/>
      <c r="D737" s="9"/>
      <c r="E737" s="8">
        <v>3</v>
      </c>
      <c r="F737" s="8">
        <v>3</v>
      </c>
      <c r="G737" s="8">
        <v>0</v>
      </c>
      <c r="H737" s="8">
        <v>3</v>
      </c>
      <c r="I737" s="8">
        <v>2</v>
      </c>
      <c r="J737" s="8">
        <v>0</v>
      </c>
      <c r="K737" s="8">
        <v>1</v>
      </c>
      <c r="L737" s="8">
        <v>0</v>
      </c>
      <c r="M737" s="8">
        <v>4</v>
      </c>
      <c r="N737" s="8">
        <v>13</v>
      </c>
      <c r="O737" s="8">
        <v>7</v>
      </c>
      <c r="P737" s="8">
        <v>0</v>
      </c>
      <c r="Q737" s="8">
        <v>0</v>
      </c>
      <c r="R737" s="8">
        <v>3</v>
      </c>
      <c r="S737" s="8">
        <v>7</v>
      </c>
      <c r="T737" s="8">
        <v>2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11" t="s">
        <v>246</v>
      </c>
    </row>
    <row r="738" spans="1:46" ht="15.1" customHeight="1">
      <c r="A738" s="8">
        <v>245</v>
      </c>
      <c r="B738" s="9" t="s">
        <v>753</v>
      </c>
      <c r="C738" s="8" t="s">
        <v>754</v>
      </c>
      <c r="D738" s="9" t="s">
        <v>699</v>
      </c>
      <c r="E738" s="8" t="s">
        <v>54</v>
      </c>
      <c r="F738" s="8" t="s">
        <v>54</v>
      </c>
      <c r="G738" s="10" t="s">
        <v>67</v>
      </c>
      <c r="H738" s="8" t="s">
        <v>54</v>
      </c>
      <c r="I738" s="8" t="s">
        <v>54</v>
      </c>
      <c r="J738" s="8" t="s">
        <v>54</v>
      </c>
      <c r="K738" s="8" t="s">
        <v>54</v>
      </c>
      <c r="L738" s="8" t="s">
        <v>54</v>
      </c>
      <c r="M738" s="8" t="s">
        <v>54</v>
      </c>
      <c r="N738" s="10" t="s">
        <v>67</v>
      </c>
      <c r="O738" s="8" t="s">
        <v>54</v>
      </c>
      <c r="P738" s="8" t="s">
        <v>54</v>
      </c>
      <c r="Q738" s="8" t="s">
        <v>54</v>
      </c>
      <c r="R738" s="8" t="s">
        <v>54</v>
      </c>
      <c r="S738" s="8" t="s">
        <v>54</v>
      </c>
      <c r="T738" s="8" t="s">
        <v>54</v>
      </c>
      <c r="U738" s="10" t="s">
        <v>67</v>
      </c>
      <c r="V738" s="8" t="s">
        <v>54</v>
      </c>
      <c r="W738" s="8" t="s">
        <v>54</v>
      </c>
      <c r="X738" s="8" t="s">
        <v>54</v>
      </c>
      <c r="Y738" s="8" t="s">
        <v>54</v>
      </c>
      <c r="Z738" s="8" t="s">
        <v>54</v>
      </c>
      <c r="AA738" s="8" t="s">
        <v>54</v>
      </c>
      <c r="AB738" s="10" t="s">
        <v>67</v>
      </c>
      <c r="AC738" s="8" t="s">
        <v>54</v>
      </c>
      <c r="AD738" s="8" t="s">
        <v>54</v>
      </c>
      <c r="AE738" s="8" t="s">
        <v>54</v>
      </c>
      <c r="AF738" s="8" t="s">
        <v>54</v>
      </c>
      <c r="AG738" s="8" t="s">
        <v>54</v>
      </c>
      <c r="AH738" s="8" t="s">
        <v>54</v>
      </c>
      <c r="AI738" s="10" t="s">
        <v>67</v>
      </c>
      <c r="AJ738" s="8">
        <f>COUNTIF($E$738:$AI$738,"P")</f>
        <v>26</v>
      </c>
      <c r="AK738" s="8">
        <f>COUNTIF($E$738:$AI$738,"A")</f>
        <v>0</v>
      </c>
      <c r="AL738" s="8">
        <f>SUM($E$739:$AI$739)</f>
        <v>36</v>
      </c>
      <c r="AM738" s="8">
        <f>SUM($E$740:$AI$740)</f>
        <v>78.5</v>
      </c>
      <c r="AN738" s="8">
        <f>AL738+AM738</f>
        <v>114</v>
      </c>
      <c r="AO738" s="8">
        <f>COUNTIF($E$738:$AI$738,"CL")</f>
        <v>0</v>
      </c>
      <c r="AP738" s="8">
        <f>COUNTIF($E$738:$AI$738,"SL")</f>
        <v>0</v>
      </c>
      <c r="AQ738" s="8">
        <f>COUNTIF($E$738:$AI$738,"EL")</f>
        <v>0</v>
      </c>
      <c r="AR738" s="8">
        <f>COUNTIF($E$738:$AI$738,"H")</f>
        <v>0</v>
      </c>
      <c r="AS738" s="8"/>
      <c r="AT738" s="11" t="s">
        <v>246</v>
      </c>
    </row>
    <row r="739" spans="1:46" ht="15.1" customHeight="1">
      <c r="A739" s="8"/>
      <c r="B739" s="9"/>
      <c r="C739" s="8"/>
      <c r="D739" s="9"/>
      <c r="E739" s="8">
        <v>2</v>
      </c>
      <c r="F739" s="8">
        <v>2</v>
      </c>
      <c r="G739" s="8">
        <v>0</v>
      </c>
      <c r="H739" s="8">
        <v>2</v>
      </c>
      <c r="I739" s="8">
        <v>2</v>
      </c>
      <c r="J739" s="8">
        <v>2</v>
      </c>
      <c r="K739" s="8">
        <v>2</v>
      </c>
      <c r="L739" s="8">
        <v>2</v>
      </c>
      <c r="M739" s="8">
        <v>2</v>
      </c>
      <c r="N739" s="8">
        <v>0</v>
      </c>
      <c r="O739" s="8">
        <v>2</v>
      </c>
      <c r="P739" s="8">
        <v>2</v>
      </c>
      <c r="Q739" s="8">
        <v>2</v>
      </c>
      <c r="R739" s="8">
        <v>2</v>
      </c>
      <c r="S739" s="8">
        <v>2</v>
      </c>
      <c r="T739" s="8">
        <v>2</v>
      </c>
      <c r="U739" s="8">
        <v>0</v>
      </c>
      <c r="V739" s="8">
        <v>2</v>
      </c>
      <c r="W739" s="8">
        <v>2</v>
      </c>
      <c r="X739" s="8">
        <v>2</v>
      </c>
      <c r="Y739" s="8">
        <v>1</v>
      </c>
      <c r="Z739" s="8">
        <v>1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11" t="s">
        <v>246</v>
      </c>
    </row>
    <row r="740" spans="1:46" ht="15.1" customHeight="1">
      <c r="A740" s="8"/>
      <c r="B740" s="9"/>
      <c r="C740" s="8"/>
      <c r="D740" s="9"/>
      <c r="E740" s="8">
        <v>3</v>
      </c>
      <c r="F740" s="8">
        <v>3</v>
      </c>
      <c r="G740" s="8">
        <v>8</v>
      </c>
      <c r="H740" s="8">
        <v>3</v>
      </c>
      <c r="I740" s="8">
        <v>5</v>
      </c>
      <c r="J740" s="8">
        <v>3</v>
      </c>
      <c r="K740" s="8">
        <v>3</v>
      </c>
      <c r="L740" s="8">
        <v>3</v>
      </c>
      <c r="M740" s="8">
        <v>3</v>
      </c>
      <c r="N740" s="8">
        <v>9.5</v>
      </c>
      <c r="O740" s="8">
        <v>3</v>
      </c>
      <c r="P740" s="8">
        <v>3</v>
      </c>
      <c r="Q740" s="8">
        <v>3</v>
      </c>
      <c r="R740" s="8">
        <v>4</v>
      </c>
      <c r="S740" s="8">
        <v>3</v>
      </c>
      <c r="T740" s="8">
        <v>3</v>
      </c>
      <c r="U740" s="8">
        <v>10</v>
      </c>
      <c r="V740" s="8">
        <v>3</v>
      </c>
      <c r="W740" s="8">
        <v>3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11" t="s">
        <v>246</v>
      </c>
    </row>
    <row r="741" spans="1:46" ht="15.1" customHeight="1">
      <c r="A741" s="8">
        <v>246</v>
      </c>
      <c r="B741" s="9" t="s">
        <v>755</v>
      </c>
      <c r="C741" s="8" t="s">
        <v>756</v>
      </c>
      <c r="D741" s="9" t="s">
        <v>699</v>
      </c>
      <c r="E741" s="8" t="s">
        <v>54</v>
      </c>
      <c r="F741" s="8" t="s">
        <v>54</v>
      </c>
      <c r="G741" s="10" t="s">
        <v>67</v>
      </c>
      <c r="H741" s="8" t="s">
        <v>54</v>
      </c>
      <c r="I741" s="8" t="s">
        <v>54</v>
      </c>
      <c r="J741" s="8" t="s">
        <v>54</v>
      </c>
      <c r="K741" s="8" t="s">
        <v>54</v>
      </c>
      <c r="L741" s="8" t="s">
        <v>54</v>
      </c>
      <c r="M741" s="8" t="s">
        <v>54</v>
      </c>
      <c r="N741" s="10" t="s">
        <v>67</v>
      </c>
      <c r="O741" s="8" t="s">
        <v>54</v>
      </c>
      <c r="P741" s="8" t="s">
        <v>54</v>
      </c>
      <c r="Q741" s="8" t="s">
        <v>54</v>
      </c>
      <c r="R741" s="8" t="s">
        <v>54</v>
      </c>
      <c r="S741" s="8" t="s">
        <v>54</v>
      </c>
      <c r="T741" s="8" t="s">
        <v>54</v>
      </c>
      <c r="U741" s="10" t="s">
        <v>67</v>
      </c>
      <c r="V741" s="8" t="s">
        <v>54</v>
      </c>
      <c r="W741" s="8" t="s">
        <v>54</v>
      </c>
      <c r="X741" s="8" t="s">
        <v>54</v>
      </c>
      <c r="Y741" s="8" t="s">
        <v>54</v>
      </c>
      <c r="Z741" s="8" t="s">
        <v>54</v>
      </c>
      <c r="AA741" s="8" t="s">
        <v>54</v>
      </c>
      <c r="AB741" s="10" t="s">
        <v>67</v>
      </c>
      <c r="AC741" s="8" t="s">
        <v>54</v>
      </c>
      <c r="AD741" s="8" t="s">
        <v>54</v>
      </c>
      <c r="AE741" s="8" t="s">
        <v>54</v>
      </c>
      <c r="AF741" s="8" t="s">
        <v>54</v>
      </c>
      <c r="AG741" s="8" t="s">
        <v>54</v>
      </c>
      <c r="AH741" s="8" t="s">
        <v>54</v>
      </c>
      <c r="AI741" s="10" t="s">
        <v>67</v>
      </c>
      <c r="AJ741" s="8">
        <f>COUNTIF($E$741:$AI$741,"P")</f>
        <v>26</v>
      </c>
      <c r="AK741" s="8">
        <f>COUNTIF($E$741:$AI$741,"A")</f>
        <v>0</v>
      </c>
      <c r="AL741" s="8">
        <f>SUM($E$742:$AI$742)</f>
        <v>30</v>
      </c>
      <c r="AM741" s="8">
        <f>SUM($E$743:$AI$743)</f>
        <v>79.5</v>
      </c>
      <c r="AN741" s="8">
        <f>AL741+AM741</f>
        <v>109.5</v>
      </c>
      <c r="AO741" s="8">
        <f>COUNTIF($E$741:$AI$741,"CL")</f>
        <v>0</v>
      </c>
      <c r="AP741" s="8">
        <f>COUNTIF($E$741:$AI$741,"SL")</f>
        <v>0</v>
      </c>
      <c r="AQ741" s="8">
        <f>COUNTIF($E$741:$AI$741,"EL")</f>
        <v>0</v>
      </c>
      <c r="AR741" s="8">
        <f>COUNTIF($E$741:$AI$741,"H")</f>
        <v>0</v>
      </c>
      <c r="AS741" s="8"/>
      <c r="AT741" s="11" t="s">
        <v>246</v>
      </c>
    </row>
    <row r="742" spans="1:46" ht="15.1" customHeight="1">
      <c r="A742" s="8"/>
      <c r="B742" s="9"/>
      <c r="C742" s="8"/>
      <c r="D742" s="9"/>
      <c r="E742" s="8">
        <v>2</v>
      </c>
      <c r="F742" s="8">
        <v>2</v>
      </c>
      <c r="G742" s="8">
        <v>0</v>
      </c>
      <c r="H742" s="8">
        <v>2</v>
      </c>
      <c r="I742" s="8">
        <v>2</v>
      </c>
      <c r="J742" s="8">
        <v>2</v>
      </c>
      <c r="K742" s="8">
        <v>2</v>
      </c>
      <c r="L742" s="8">
        <v>2</v>
      </c>
      <c r="M742" s="8">
        <v>2</v>
      </c>
      <c r="N742" s="8">
        <v>0</v>
      </c>
      <c r="O742" s="8">
        <v>2</v>
      </c>
      <c r="P742" s="8">
        <v>2</v>
      </c>
      <c r="Q742" s="8">
        <v>0</v>
      </c>
      <c r="R742" s="8">
        <v>2</v>
      </c>
      <c r="S742" s="8">
        <v>2</v>
      </c>
      <c r="T742" s="8">
        <v>2</v>
      </c>
      <c r="U742" s="8">
        <v>0</v>
      </c>
      <c r="V742" s="8">
        <v>2</v>
      </c>
      <c r="W742" s="8">
        <v>2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11" t="s">
        <v>246</v>
      </c>
    </row>
    <row r="743" spans="1:46" ht="15.1" customHeight="1">
      <c r="A743" s="8"/>
      <c r="B743" s="9"/>
      <c r="C743" s="8"/>
      <c r="D743" s="9"/>
      <c r="E743" s="8">
        <v>5</v>
      </c>
      <c r="F743" s="8">
        <v>3</v>
      </c>
      <c r="G743" s="8">
        <v>7.5</v>
      </c>
      <c r="H743" s="8">
        <v>3</v>
      </c>
      <c r="I743" s="8">
        <v>7</v>
      </c>
      <c r="J743" s="8">
        <v>5</v>
      </c>
      <c r="K743" s="8">
        <v>3</v>
      </c>
      <c r="L743" s="8">
        <v>2</v>
      </c>
      <c r="M743" s="8">
        <v>3</v>
      </c>
      <c r="N743" s="8">
        <v>0</v>
      </c>
      <c r="O743" s="8">
        <v>7</v>
      </c>
      <c r="P743" s="8">
        <v>7</v>
      </c>
      <c r="Q743" s="8">
        <v>0</v>
      </c>
      <c r="R743" s="8">
        <v>7</v>
      </c>
      <c r="S743" s="8">
        <v>5</v>
      </c>
      <c r="T743" s="8">
        <v>2</v>
      </c>
      <c r="U743" s="8">
        <v>0</v>
      </c>
      <c r="V743" s="8">
        <v>6</v>
      </c>
      <c r="W743" s="8">
        <v>7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11" t="s">
        <v>246</v>
      </c>
    </row>
    <row r="744" spans="1:46" ht="15.1" customHeight="1">
      <c r="A744" s="8">
        <v>247</v>
      </c>
      <c r="B744" s="9" t="s">
        <v>757</v>
      </c>
      <c r="C744" s="8" t="s">
        <v>758</v>
      </c>
      <c r="D744" s="9" t="s">
        <v>699</v>
      </c>
      <c r="E744" s="8" t="s">
        <v>54</v>
      </c>
      <c r="F744" s="8" t="s">
        <v>54</v>
      </c>
      <c r="G744" s="10" t="s">
        <v>67</v>
      </c>
      <c r="H744" s="8" t="s">
        <v>54</v>
      </c>
      <c r="I744" s="8" t="s">
        <v>54</v>
      </c>
      <c r="J744" s="8" t="s">
        <v>54</v>
      </c>
      <c r="K744" s="8" t="s">
        <v>54</v>
      </c>
      <c r="L744" s="8" t="s">
        <v>54</v>
      </c>
      <c r="M744" s="8" t="s">
        <v>54</v>
      </c>
      <c r="N744" s="10" t="s">
        <v>67</v>
      </c>
      <c r="O744" s="8" t="s">
        <v>54</v>
      </c>
      <c r="P744" s="8" t="s">
        <v>54</v>
      </c>
      <c r="Q744" s="8" t="s">
        <v>54</v>
      </c>
      <c r="R744" s="8" t="s">
        <v>54</v>
      </c>
      <c r="S744" s="8" t="s">
        <v>54</v>
      </c>
      <c r="T744" s="8" t="s">
        <v>54</v>
      </c>
      <c r="U744" s="10" t="s">
        <v>67</v>
      </c>
      <c r="V744" s="8" t="s">
        <v>54</v>
      </c>
      <c r="W744" s="8" t="s">
        <v>54</v>
      </c>
      <c r="X744" s="8" t="s">
        <v>54</v>
      </c>
      <c r="Y744" s="8" t="s">
        <v>54</v>
      </c>
      <c r="Z744" s="8" t="s">
        <v>54</v>
      </c>
      <c r="AA744" s="8" t="s">
        <v>54</v>
      </c>
      <c r="AB744" s="10" t="s">
        <v>67</v>
      </c>
      <c r="AC744" s="8" t="s">
        <v>54</v>
      </c>
      <c r="AD744" s="8" t="s">
        <v>54</v>
      </c>
      <c r="AE744" s="8" t="s">
        <v>54</v>
      </c>
      <c r="AF744" s="8" t="s">
        <v>54</v>
      </c>
      <c r="AG744" s="8" t="s">
        <v>54</v>
      </c>
      <c r="AH744" s="8" t="s">
        <v>54</v>
      </c>
      <c r="AI744" s="10" t="s">
        <v>67</v>
      </c>
      <c r="AJ744" s="8">
        <f>COUNTIF($E$744:$AI$744,"P")</f>
        <v>26</v>
      </c>
      <c r="AK744" s="8">
        <f>COUNTIF($E$744:$AI$744,"A")</f>
        <v>0</v>
      </c>
      <c r="AL744" s="8">
        <f>SUM($E$745:$AI$745)</f>
        <v>35</v>
      </c>
      <c r="AM744" s="8">
        <f>SUM($E$746:$AI$746)</f>
        <v>147</v>
      </c>
      <c r="AN744" s="8">
        <f>AL744+AM744</f>
        <v>182</v>
      </c>
      <c r="AO744" s="8">
        <f>COUNTIF($E$744:$AI$744,"CL")</f>
        <v>0</v>
      </c>
      <c r="AP744" s="8">
        <f>COUNTIF($E$744:$AI$744,"SL")</f>
        <v>0</v>
      </c>
      <c r="AQ744" s="8">
        <f>COUNTIF($E$744:$AI$744,"EL")</f>
        <v>0</v>
      </c>
      <c r="AR744" s="8">
        <f>COUNTIF($E$744:$AI$744,"H")</f>
        <v>0</v>
      </c>
      <c r="AS744" s="8"/>
      <c r="AT744" s="11" t="s">
        <v>246</v>
      </c>
    </row>
    <row r="745" spans="1:46" ht="15.1" customHeight="1">
      <c r="A745" s="8"/>
      <c r="B745" s="9"/>
      <c r="C745" s="8"/>
      <c r="D745" s="9"/>
      <c r="E745" s="8">
        <v>2</v>
      </c>
      <c r="F745" s="8">
        <v>2</v>
      </c>
      <c r="G745" s="8">
        <v>0</v>
      </c>
      <c r="H745" s="8">
        <v>2</v>
      </c>
      <c r="I745" s="8">
        <v>2</v>
      </c>
      <c r="J745" s="8">
        <v>2</v>
      </c>
      <c r="K745" s="8">
        <v>2</v>
      </c>
      <c r="L745" s="8">
        <v>2</v>
      </c>
      <c r="M745" s="8">
        <v>2</v>
      </c>
      <c r="N745" s="8">
        <v>0</v>
      </c>
      <c r="O745" s="8">
        <v>2</v>
      </c>
      <c r="P745" s="8">
        <v>2</v>
      </c>
      <c r="Q745" s="8">
        <v>2</v>
      </c>
      <c r="R745" s="8">
        <v>2</v>
      </c>
      <c r="S745" s="8">
        <v>2</v>
      </c>
      <c r="T745" s="8">
        <v>2</v>
      </c>
      <c r="U745" s="8">
        <v>0</v>
      </c>
      <c r="V745" s="8">
        <v>2</v>
      </c>
      <c r="W745" s="8">
        <v>2</v>
      </c>
      <c r="X745" s="8">
        <v>2</v>
      </c>
      <c r="Y745" s="8">
        <v>0</v>
      </c>
      <c r="Z745" s="8">
        <v>1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11" t="s">
        <v>246</v>
      </c>
    </row>
    <row r="746" spans="1:46" ht="15.1" customHeight="1">
      <c r="A746" s="8"/>
      <c r="B746" s="9"/>
      <c r="C746" s="8"/>
      <c r="D746" s="9"/>
      <c r="E746" s="8">
        <v>5</v>
      </c>
      <c r="F746" s="8">
        <v>3</v>
      </c>
      <c r="G746" s="8">
        <v>12</v>
      </c>
      <c r="H746" s="8">
        <v>5</v>
      </c>
      <c r="I746" s="8">
        <v>7</v>
      </c>
      <c r="J746" s="8">
        <v>7</v>
      </c>
      <c r="K746" s="8">
        <v>7</v>
      </c>
      <c r="L746" s="8">
        <v>7</v>
      </c>
      <c r="M746" s="8">
        <v>5</v>
      </c>
      <c r="N746" s="8">
        <v>17</v>
      </c>
      <c r="O746" s="8">
        <v>7</v>
      </c>
      <c r="P746" s="8">
        <v>7</v>
      </c>
      <c r="Q746" s="8">
        <v>7</v>
      </c>
      <c r="R746" s="8">
        <v>7</v>
      </c>
      <c r="S746" s="8">
        <v>7</v>
      </c>
      <c r="T746" s="8">
        <v>5</v>
      </c>
      <c r="U746" s="8">
        <v>13</v>
      </c>
      <c r="V746" s="8">
        <v>7</v>
      </c>
      <c r="W746" s="8">
        <v>7</v>
      </c>
      <c r="X746" s="8">
        <v>5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11" t="s">
        <v>246</v>
      </c>
    </row>
    <row r="747" spans="1:46" ht="15.1" customHeight="1">
      <c r="A747" s="8">
        <v>248</v>
      </c>
      <c r="B747" s="9" t="s">
        <v>759</v>
      </c>
      <c r="C747" s="8" t="s">
        <v>760</v>
      </c>
      <c r="D747" s="9" t="s">
        <v>451</v>
      </c>
      <c r="E747" s="8" t="s">
        <v>54</v>
      </c>
      <c r="F747" s="8" t="s">
        <v>54</v>
      </c>
      <c r="G747" s="10" t="s">
        <v>67</v>
      </c>
      <c r="H747" s="8" t="s">
        <v>54</v>
      </c>
      <c r="I747" s="8" t="s">
        <v>54</v>
      </c>
      <c r="J747" s="8" t="s">
        <v>54</v>
      </c>
      <c r="K747" s="12" t="s">
        <v>55</v>
      </c>
      <c r="L747" s="12" t="s">
        <v>55</v>
      </c>
      <c r="M747" s="8" t="s">
        <v>54</v>
      </c>
      <c r="N747" s="10" t="s">
        <v>67</v>
      </c>
      <c r="O747" s="8" t="s">
        <v>54</v>
      </c>
      <c r="P747" s="8" t="s">
        <v>54</v>
      </c>
      <c r="Q747" s="8" t="s">
        <v>54</v>
      </c>
      <c r="R747" s="12" t="s">
        <v>55</v>
      </c>
      <c r="S747" s="8" t="s">
        <v>54</v>
      </c>
      <c r="T747" s="8" t="s">
        <v>54</v>
      </c>
      <c r="U747" s="10" t="s">
        <v>67</v>
      </c>
      <c r="V747" s="8" t="s">
        <v>54</v>
      </c>
      <c r="W747" s="8" t="s">
        <v>54</v>
      </c>
      <c r="X747" s="8" t="s">
        <v>54</v>
      </c>
      <c r="Y747" s="8" t="s">
        <v>54</v>
      </c>
      <c r="Z747" s="8" t="s">
        <v>54</v>
      </c>
      <c r="AA747" s="8" t="s">
        <v>54</v>
      </c>
      <c r="AB747" s="10" t="s">
        <v>67</v>
      </c>
      <c r="AC747" s="8" t="s">
        <v>54</v>
      </c>
      <c r="AD747" s="8" t="s">
        <v>54</v>
      </c>
      <c r="AE747" s="8" t="s">
        <v>54</v>
      </c>
      <c r="AF747" s="8" t="s">
        <v>54</v>
      </c>
      <c r="AG747" s="8" t="s">
        <v>54</v>
      </c>
      <c r="AH747" s="8" t="s">
        <v>54</v>
      </c>
      <c r="AI747" s="10" t="s">
        <v>67</v>
      </c>
      <c r="AJ747" s="8">
        <f>COUNTIF($E$747:$AI$747,"P")</f>
        <v>23</v>
      </c>
      <c r="AK747" s="8">
        <f>COUNTIF($E$747:$AI$747,"A")</f>
        <v>3</v>
      </c>
      <c r="AL747" s="8">
        <f>SUM($E$748:$AI$748)</f>
        <v>31</v>
      </c>
      <c r="AM747" s="8">
        <f>SUM($E$749:$AI$749)</f>
        <v>118</v>
      </c>
      <c r="AN747" s="8">
        <f>AL747+AM747</f>
        <v>149</v>
      </c>
      <c r="AO747" s="8">
        <f>COUNTIF($E$747:$AI$747,"CL")</f>
        <v>0</v>
      </c>
      <c r="AP747" s="8">
        <f>COUNTIF($E$747:$AI$747,"SL")</f>
        <v>0</v>
      </c>
      <c r="AQ747" s="8">
        <f>COUNTIF($E$747:$AI$747,"EL")</f>
        <v>0</v>
      </c>
      <c r="AR747" s="8">
        <f>COUNTIF($E$747:$AI$747,"H")</f>
        <v>0</v>
      </c>
      <c r="AS747" s="8"/>
      <c r="AT747" s="11" t="s">
        <v>247</v>
      </c>
    </row>
    <row r="748" spans="1:46" ht="15.1" customHeight="1">
      <c r="A748" s="8"/>
      <c r="B748" s="9"/>
      <c r="C748" s="8"/>
      <c r="D748" s="9"/>
      <c r="E748" s="8">
        <v>2</v>
      </c>
      <c r="F748" s="8">
        <v>2</v>
      </c>
      <c r="G748" s="8">
        <v>0</v>
      </c>
      <c r="H748" s="8">
        <v>2</v>
      </c>
      <c r="I748" s="8">
        <v>2</v>
      </c>
      <c r="J748" s="8">
        <v>2</v>
      </c>
      <c r="K748" s="8">
        <v>0</v>
      </c>
      <c r="L748" s="8">
        <v>0</v>
      </c>
      <c r="M748" s="8">
        <v>2</v>
      </c>
      <c r="N748" s="8">
        <v>0</v>
      </c>
      <c r="O748" s="8">
        <v>2</v>
      </c>
      <c r="P748" s="8">
        <v>2</v>
      </c>
      <c r="Q748" s="8">
        <v>2</v>
      </c>
      <c r="R748" s="8">
        <v>0</v>
      </c>
      <c r="S748" s="8">
        <v>2</v>
      </c>
      <c r="T748" s="8">
        <v>2</v>
      </c>
      <c r="U748" s="8">
        <v>0</v>
      </c>
      <c r="V748" s="8">
        <v>2</v>
      </c>
      <c r="W748" s="8">
        <v>2</v>
      </c>
      <c r="X748" s="8">
        <v>2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2</v>
      </c>
      <c r="AE748" s="8">
        <v>0</v>
      </c>
      <c r="AF748" s="8">
        <v>0</v>
      </c>
      <c r="AG748" s="8">
        <v>1</v>
      </c>
      <c r="AH748" s="8">
        <v>0</v>
      </c>
      <c r="AI748" s="8">
        <v>0</v>
      </c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11" t="s">
        <v>247</v>
      </c>
    </row>
    <row r="749" spans="1:46" ht="15.1" customHeight="1">
      <c r="A749" s="8"/>
      <c r="B749" s="9"/>
      <c r="C749" s="8"/>
      <c r="D749" s="9"/>
      <c r="E749" s="8">
        <v>5</v>
      </c>
      <c r="F749" s="8">
        <v>3</v>
      </c>
      <c r="G749" s="8">
        <v>14</v>
      </c>
      <c r="H749" s="8">
        <v>5</v>
      </c>
      <c r="I749" s="8">
        <v>7</v>
      </c>
      <c r="J749" s="8">
        <v>7</v>
      </c>
      <c r="K749" s="8">
        <v>0</v>
      </c>
      <c r="L749" s="8">
        <v>0</v>
      </c>
      <c r="M749" s="8">
        <v>2</v>
      </c>
      <c r="N749" s="8">
        <v>17</v>
      </c>
      <c r="O749" s="8">
        <v>7</v>
      </c>
      <c r="P749" s="8">
        <v>7</v>
      </c>
      <c r="Q749" s="8">
        <v>5</v>
      </c>
      <c r="R749" s="8">
        <v>0</v>
      </c>
      <c r="S749" s="8">
        <v>7</v>
      </c>
      <c r="T749" s="8">
        <v>3</v>
      </c>
      <c r="U749" s="8">
        <v>13</v>
      </c>
      <c r="V749" s="8">
        <v>7</v>
      </c>
      <c r="W749" s="8">
        <v>7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2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11" t="s">
        <v>247</v>
      </c>
    </row>
    <row r="750" spans="1:46" ht="15.1" customHeight="1">
      <c r="A750" s="8">
        <v>249</v>
      </c>
      <c r="B750" s="9" t="s">
        <v>761</v>
      </c>
      <c r="C750" s="8" t="s">
        <v>762</v>
      </c>
      <c r="D750" s="9" t="s">
        <v>763</v>
      </c>
      <c r="E750" s="8" t="s">
        <v>54</v>
      </c>
      <c r="F750" s="8" t="s">
        <v>54</v>
      </c>
      <c r="G750" s="10" t="s">
        <v>67</v>
      </c>
      <c r="H750" s="8" t="s">
        <v>54</v>
      </c>
      <c r="I750" s="8" t="s">
        <v>54</v>
      </c>
      <c r="J750" s="8" t="s">
        <v>54</v>
      </c>
      <c r="K750" s="8" t="s">
        <v>54</v>
      </c>
      <c r="L750" s="8" t="s">
        <v>54</v>
      </c>
      <c r="M750" s="8" t="s">
        <v>54</v>
      </c>
      <c r="N750" s="10" t="s">
        <v>67</v>
      </c>
      <c r="O750" s="8" t="s">
        <v>54</v>
      </c>
      <c r="P750" s="8" t="s">
        <v>54</v>
      </c>
      <c r="Q750" s="8" t="s">
        <v>54</v>
      </c>
      <c r="R750" s="8" t="s">
        <v>54</v>
      </c>
      <c r="S750" s="8" t="s">
        <v>54</v>
      </c>
      <c r="T750" s="8" t="s">
        <v>54</v>
      </c>
      <c r="U750" s="10" t="s">
        <v>67</v>
      </c>
      <c r="V750" s="8" t="s">
        <v>54</v>
      </c>
      <c r="W750" s="8" t="s">
        <v>54</v>
      </c>
      <c r="X750" s="8" t="s">
        <v>54</v>
      </c>
      <c r="Y750" s="8" t="s">
        <v>54</v>
      </c>
      <c r="Z750" s="8" t="s">
        <v>54</v>
      </c>
      <c r="AA750" s="8" t="s">
        <v>54</v>
      </c>
      <c r="AB750" s="10" t="s">
        <v>67</v>
      </c>
      <c r="AC750" s="8" t="s">
        <v>54</v>
      </c>
      <c r="AD750" s="8" t="s">
        <v>54</v>
      </c>
      <c r="AE750" s="8" t="s">
        <v>54</v>
      </c>
      <c r="AF750" s="8" t="s">
        <v>54</v>
      </c>
      <c r="AG750" s="8" t="s">
        <v>54</v>
      </c>
      <c r="AH750" s="8" t="s">
        <v>54</v>
      </c>
      <c r="AI750" s="10" t="s">
        <v>67</v>
      </c>
      <c r="AJ750" s="8">
        <f>COUNTIF($E$750:$AI$750,"P")</f>
        <v>26</v>
      </c>
      <c r="AK750" s="8">
        <f>COUNTIF($E$750:$AI$750,"A")</f>
        <v>0</v>
      </c>
      <c r="AL750" s="8">
        <f>SUM($E$751:$AI$751)</f>
        <v>37</v>
      </c>
      <c r="AM750" s="8">
        <f>SUM($E$752:$AI$752)</f>
        <v>139</v>
      </c>
      <c r="AN750" s="8">
        <f>AL750+AM750</f>
        <v>176</v>
      </c>
      <c r="AO750" s="8">
        <f>COUNTIF($E$750:$AI$750,"CL")</f>
        <v>0</v>
      </c>
      <c r="AP750" s="8">
        <f>COUNTIF($E$750:$AI$750,"SL")</f>
        <v>0</v>
      </c>
      <c r="AQ750" s="8">
        <f>COUNTIF($E$750:$AI$750,"EL")</f>
        <v>0</v>
      </c>
      <c r="AR750" s="8">
        <f>COUNTIF($E$750:$AI$750,"H")</f>
        <v>0</v>
      </c>
      <c r="AS750" s="8"/>
      <c r="AT750" s="11" t="s">
        <v>247</v>
      </c>
    </row>
    <row r="751" spans="1:46" ht="15.1" customHeight="1">
      <c r="A751" s="8"/>
      <c r="B751" s="9"/>
      <c r="C751" s="8"/>
      <c r="D751" s="9"/>
      <c r="E751" s="8">
        <v>2</v>
      </c>
      <c r="F751" s="8">
        <v>2</v>
      </c>
      <c r="G751" s="8">
        <v>0</v>
      </c>
      <c r="H751" s="8">
        <v>2</v>
      </c>
      <c r="I751" s="8">
        <v>2</v>
      </c>
      <c r="J751" s="8">
        <v>2</v>
      </c>
      <c r="K751" s="8">
        <v>2</v>
      </c>
      <c r="L751" s="8">
        <v>2</v>
      </c>
      <c r="M751" s="8">
        <v>2</v>
      </c>
      <c r="N751" s="8">
        <v>0</v>
      </c>
      <c r="O751" s="8">
        <v>2</v>
      </c>
      <c r="P751" s="8">
        <v>2</v>
      </c>
      <c r="Q751" s="8">
        <v>2</v>
      </c>
      <c r="R751" s="8">
        <v>2</v>
      </c>
      <c r="S751" s="8">
        <v>2</v>
      </c>
      <c r="T751" s="8">
        <v>2</v>
      </c>
      <c r="U751" s="8">
        <v>0</v>
      </c>
      <c r="V751" s="8">
        <v>2</v>
      </c>
      <c r="W751" s="8">
        <v>2</v>
      </c>
      <c r="X751" s="8">
        <v>2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2</v>
      </c>
      <c r="AE751" s="8">
        <v>0</v>
      </c>
      <c r="AF751" s="8">
        <v>0</v>
      </c>
      <c r="AG751" s="8">
        <v>1</v>
      </c>
      <c r="AH751" s="8">
        <v>0</v>
      </c>
      <c r="AI751" s="8">
        <v>0</v>
      </c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11" t="s">
        <v>247</v>
      </c>
    </row>
    <row r="752" spans="1:46" ht="15.1" customHeight="1">
      <c r="A752" s="8"/>
      <c r="B752" s="9"/>
      <c r="C752" s="8"/>
      <c r="D752" s="9"/>
      <c r="E752" s="8">
        <v>5</v>
      </c>
      <c r="F752" s="8">
        <v>3</v>
      </c>
      <c r="G752" s="8">
        <v>14</v>
      </c>
      <c r="H752" s="8">
        <v>5</v>
      </c>
      <c r="I752" s="8">
        <v>7</v>
      </c>
      <c r="J752" s="8">
        <v>7</v>
      </c>
      <c r="K752" s="8">
        <v>7</v>
      </c>
      <c r="L752" s="8">
        <v>7</v>
      </c>
      <c r="M752" s="8">
        <v>5</v>
      </c>
      <c r="N752" s="8">
        <v>14.5</v>
      </c>
      <c r="O752" s="8">
        <v>7</v>
      </c>
      <c r="P752" s="8">
        <v>7</v>
      </c>
      <c r="Q752" s="8">
        <v>5</v>
      </c>
      <c r="R752" s="8">
        <v>7</v>
      </c>
      <c r="S752" s="8">
        <v>7</v>
      </c>
      <c r="T752" s="8">
        <v>3</v>
      </c>
      <c r="U752" s="8">
        <v>12.5</v>
      </c>
      <c r="V752" s="8">
        <v>7</v>
      </c>
      <c r="W752" s="8">
        <v>7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2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11" t="s">
        <v>247</v>
      </c>
    </row>
    <row r="753" spans="1:46" ht="15.1" customHeight="1">
      <c r="A753" s="8">
        <v>250</v>
      </c>
      <c r="B753" s="9" t="s">
        <v>764</v>
      </c>
      <c r="C753" s="8" t="s">
        <v>765</v>
      </c>
      <c r="D753" s="9" t="s">
        <v>451</v>
      </c>
      <c r="E753" s="8" t="s">
        <v>54</v>
      </c>
      <c r="F753" s="8" t="s">
        <v>54</v>
      </c>
      <c r="G753" s="10" t="s">
        <v>67</v>
      </c>
      <c r="H753" s="8" t="s">
        <v>54</v>
      </c>
      <c r="I753" s="8" t="s">
        <v>54</v>
      </c>
      <c r="J753" s="8" t="s">
        <v>54</v>
      </c>
      <c r="K753" s="12" t="s">
        <v>55</v>
      </c>
      <c r="L753" s="8" t="s">
        <v>54</v>
      </c>
      <c r="M753" s="8" t="s">
        <v>54</v>
      </c>
      <c r="N753" s="10" t="s">
        <v>67</v>
      </c>
      <c r="O753" s="12" t="s">
        <v>55</v>
      </c>
      <c r="P753" s="8" t="s">
        <v>54</v>
      </c>
      <c r="Q753" s="8" t="s">
        <v>54</v>
      </c>
      <c r="R753" s="8" t="s">
        <v>54</v>
      </c>
      <c r="S753" s="8" t="s">
        <v>54</v>
      </c>
      <c r="T753" s="8" t="s">
        <v>54</v>
      </c>
      <c r="U753" s="10" t="s">
        <v>67</v>
      </c>
      <c r="V753" s="8" t="s">
        <v>54</v>
      </c>
      <c r="W753" s="8" t="s">
        <v>54</v>
      </c>
      <c r="X753" s="8" t="s">
        <v>54</v>
      </c>
      <c r="Y753" s="8" t="s">
        <v>54</v>
      </c>
      <c r="Z753" s="8" t="s">
        <v>54</v>
      </c>
      <c r="AA753" s="8" t="s">
        <v>54</v>
      </c>
      <c r="AB753" s="10" t="s">
        <v>67</v>
      </c>
      <c r="AC753" s="8" t="s">
        <v>54</v>
      </c>
      <c r="AD753" s="8" t="s">
        <v>54</v>
      </c>
      <c r="AE753" s="8" t="s">
        <v>54</v>
      </c>
      <c r="AF753" s="8" t="s">
        <v>54</v>
      </c>
      <c r="AG753" s="8" t="s">
        <v>54</v>
      </c>
      <c r="AH753" s="8" t="s">
        <v>54</v>
      </c>
      <c r="AI753" s="10" t="s">
        <v>67</v>
      </c>
      <c r="AJ753" s="8">
        <f>COUNTIF($E$753:$AI$753,"P")</f>
        <v>24</v>
      </c>
      <c r="AK753" s="8">
        <f>COUNTIF($E$753:$AI$753,"A")</f>
        <v>2</v>
      </c>
      <c r="AL753" s="8">
        <f>SUM($E$754:$AI$754)</f>
        <v>31</v>
      </c>
      <c r="AM753" s="8">
        <f>SUM($E$755:$AI$755)</f>
        <v>105.5</v>
      </c>
      <c r="AN753" s="8">
        <f>AL753+AM753</f>
        <v>136.5</v>
      </c>
      <c r="AO753" s="8">
        <f>COUNTIF($E$753:$AI$753,"CL")</f>
        <v>0</v>
      </c>
      <c r="AP753" s="8">
        <f>COUNTIF($E$753:$AI$753,"SL")</f>
        <v>0</v>
      </c>
      <c r="AQ753" s="8">
        <f>COUNTIF($E$753:$AI$753,"EL")</f>
        <v>0</v>
      </c>
      <c r="AR753" s="8">
        <f>COUNTIF($E$753:$AI$753,"H")</f>
        <v>0</v>
      </c>
      <c r="AS753" s="8"/>
      <c r="AT753" s="11" t="s">
        <v>247</v>
      </c>
    </row>
    <row r="754" spans="1:46" ht="15.1" customHeight="1">
      <c r="A754" s="8"/>
      <c r="B754" s="9"/>
      <c r="C754" s="8"/>
      <c r="D754" s="9"/>
      <c r="E754" s="8">
        <v>2</v>
      </c>
      <c r="F754" s="8">
        <v>2</v>
      </c>
      <c r="G754" s="8">
        <v>0</v>
      </c>
      <c r="H754" s="8">
        <v>2</v>
      </c>
      <c r="I754" s="8">
        <v>2</v>
      </c>
      <c r="J754" s="8">
        <v>2</v>
      </c>
      <c r="K754" s="8">
        <v>0</v>
      </c>
      <c r="L754" s="8">
        <v>2</v>
      </c>
      <c r="M754" s="8">
        <v>2</v>
      </c>
      <c r="N754" s="8">
        <v>0</v>
      </c>
      <c r="O754" s="8">
        <v>0</v>
      </c>
      <c r="P754" s="8">
        <v>2</v>
      </c>
      <c r="Q754" s="8">
        <v>2</v>
      </c>
      <c r="R754" s="8">
        <v>2</v>
      </c>
      <c r="S754" s="8">
        <v>2</v>
      </c>
      <c r="T754" s="8">
        <v>2</v>
      </c>
      <c r="U754" s="8">
        <v>0</v>
      </c>
      <c r="V754" s="8">
        <v>2</v>
      </c>
      <c r="W754" s="8">
        <v>2</v>
      </c>
      <c r="X754" s="8">
        <v>2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1</v>
      </c>
      <c r="AH754" s="8">
        <v>0</v>
      </c>
      <c r="AI754" s="8">
        <v>0</v>
      </c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11" t="s">
        <v>247</v>
      </c>
    </row>
    <row r="755" spans="1:46" ht="15.1" customHeight="1">
      <c r="A755" s="8"/>
      <c r="B755" s="9"/>
      <c r="C755" s="8"/>
      <c r="D755" s="9"/>
      <c r="E755" s="8">
        <v>5</v>
      </c>
      <c r="F755" s="8">
        <v>3</v>
      </c>
      <c r="G755" s="8">
        <v>13.5</v>
      </c>
      <c r="H755" s="8">
        <v>5</v>
      </c>
      <c r="I755" s="8">
        <v>7</v>
      </c>
      <c r="J755" s="8">
        <v>6.5</v>
      </c>
      <c r="K755" s="8">
        <v>0</v>
      </c>
      <c r="L755" s="8">
        <v>7</v>
      </c>
      <c r="M755" s="8">
        <v>4.5</v>
      </c>
      <c r="N755" s="8">
        <v>0</v>
      </c>
      <c r="O755" s="8">
        <v>0</v>
      </c>
      <c r="P755" s="8">
        <v>7</v>
      </c>
      <c r="Q755" s="8">
        <v>4.5</v>
      </c>
      <c r="R755" s="8">
        <v>7</v>
      </c>
      <c r="S755" s="8">
        <v>6.5</v>
      </c>
      <c r="T755" s="8">
        <v>3</v>
      </c>
      <c r="U755" s="8">
        <v>12.5</v>
      </c>
      <c r="V755" s="8">
        <v>7</v>
      </c>
      <c r="W755" s="8">
        <v>6.5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11" t="s">
        <v>247</v>
      </c>
    </row>
    <row r="756" spans="1:46" ht="15.1" customHeight="1">
      <c r="A756" s="8">
        <v>251</v>
      </c>
      <c r="B756" s="9" t="s">
        <v>766</v>
      </c>
      <c r="C756" s="8" t="s">
        <v>767</v>
      </c>
      <c r="D756" s="9" t="s">
        <v>451</v>
      </c>
      <c r="E756" s="8" t="s">
        <v>54</v>
      </c>
      <c r="F756" s="8" t="s">
        <v>54</v>
      </c>
      <c r="G756" s="10" t="s">
        <v>67</v>
      </c>
      <c r="H756" s="8" t="s">
        <v>54</v>
      </c>
      <c r="I756" s="8" t="s">
        <v>54</v>
      </c>
      <c r="J756" s="8" t="s">
        <v>54</v>
      </c>
      <c r="K756" s="8" t="s">
        <v>54</v>
      </c>
      <c r="L756" s="8" t="s">
        <v>54</v>
      </c>
      <c r="M756" s="8" t="s">
        <v>54</v>
      </c>
      <c r="N756" s="10" t="s">
        <v>67</v>
      </c>
      <c r="O756" s="8" t="s">
        <v>54</v>
      </c>
      <c r="P756" s="8" t="s">
        <v>54</v>
      </c>
      <c r="Q756" s="8" t="s">
        <v>54</v>
      </c>
      <c r="R756" s="8" t="s">
        <v>54</v>
      </c>
      <c r="S756" s="8" t="s">
        <v>54</v>
      </c>
      <c r="T756" s="8" t="s">
        <v>54</v>
      </c>
      <c r="U756" s="10" t="s">
        <v>67</v>
      </c>
      <c r="V756" s="8" t="s">
        <v>54</v>
      </c>
      <c r="W756" s="8" t="s">
        <v>54</v>
      </c>
      <c r="X756" s="8" t="s">
        <v>54</v>
      </c>
      <c r="Y756" s="8" t="s">
        <v>54</v>
      </c>
      <c r="Z756" s="8" t="s">
        <v>54</v>
      </c>
      <c r="AA756" s="8" t="s">
        <v>54</v>
      </c>
      <c r="AB756" s="10" t="s">
        <v>67</v>
      </c>
      <c r="AC756" s="8" t="s">
        <v>54</v>
      </c>
      <c r="AD756" s="8" t="s">
        <v>54</v>
      </c>
      <c r="AE756" s="8" t="s">
        <v>54</v>
      </c>
      <c r="AF756" s="8" t="s">
        <v>54</v>
      </c>
      <c r="AG756" s="8" t="s">
        <v>54</v>
      </c>
      <c r="AH756" s="8" t="s">
        <v>54</v>
      </c>
      <c r="AI756" s="10" t="s">
        <v>67</v>
      </c>
      <c r="AJ756" s="8">
        <f>COUNTIF($E$756:$AI$756,"P")</f>
        <v>26</v>
      </c>
      <c r="AK756" s="8">
        <f>COUNTIF($E$756:$AI$756,"A")</f>
        <v>0</v>
      </c>
      <c r="AL756" s="8">
        <f>SUM($E$757:$AI$757)</f>
        <v>37</v>
      </c>
      <c r="AM756" s="8">
        <f>SUM($E$758:$AI$758)</f>
        <v>139</v>
      </c>
      <c r="AN756" s="8">
        <f>AL756+AM756</f>
        <v>176</v>
      </c>
      <c r="AO756" s="8">
        <f>COUNTIF($E$756:$AI$756,"CL")</f>
        <v>0</v>
      </c>
      <c r="AP756" s="8">
        <f>COUNTIF($E$756:$AI$756,"SL")</f>
        <v>0</v>
      </c>
      <c r="AQ756" s="8">
        <f>COUNTIF($E$756:$AI$756,"EL")</f>
        <v>0</v>
      </c>
      <c r="AR756" s="8">
        <f>COUNTIF($E$756:$AI$756,"H")</f>
        <v>0</v>
      </c>
      <c r="AS756" s="8"/>
      <c r="AT756" s="11" t="s">
        <v>247</v>
      </c>
    </row>
    <row r="757" spans="1:46" ht="15.1" customHeight="1">
      <c r="A757" s="8"/>
      <c r="B757" s="9"/>
      <c r="C757" s="8"/>
      <c r="D757" s="9"/>
      <c r="E757" s="8">
        <v>2</v>
      </c>
      <c r="F757" s="8">
        <v>2</v>
      </c>
      <c r="G757" s="8">
        <v>0</v>
      </c>
      <c r="H757" s="8">
        <v>2</v>
      </c>
      <c r="I757" s="8">
        <v>2</v>
      </c>
      <c r="J757" s="8">
        <v>2</v>
      </c>
      <c r="K757" s="8">
        <v>2</v>
      </c>
      <c r="L757" s="8">
        <v>2</v>
      </c>
      <c r="M757" s="8">
        <v>2</v>
      </c>
      <c r="N757" s="8">
        <v>0</v>
      </c>
      <c r="O757" s="8">
        <v>2</v>
      </c>
      <c r="P757" s="8">
        <v>2</v>
      </c>
      <c r="Q757" s="8">
        <v>2</v>
      </c>
      <c r="R757" s="8">
        <v>2</v>
      </c>
      <c r="S757" s="8">
        <v>2</v>
      </c>
      <c r="T757" s="8">
        <v>2</v>
      </c>
      <c r="U757" s="8">
        <v>0</v>
      </c>
      <c r="V757" s="8">
        <v>2</v>
      </c>
      <c r="W757" s="8">
        <v>2</v>
      </c>
      <c r="X757" s="8">
        <v>2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2</v>
      </c>
      <c r="AE757" s="8">
        <v>0</v>
      </c>
      <c r="AF757" s="8">
        <v>0</v>
      </c>
      <c r="AG757" s="8">
        <v>1</v>
      </c>
      <c r="AH757" s="8">
        <v>0</v>
      </c>
      <c r="AI757" s="8">
        <v>0</v>
      </c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11" t="s">
        <v>247</v>
      </c>
    </row>
    <row r="758" spans="1:46" ht="15.1" customHeight="1">
      <c r="A758" s="8"/>
      <c r="B758" s="9"/>
      <c r="C758" s="8"/>
      <c r="D758" s="9"/>
      <c r="E758" s="8">
        <v>5</v>
      </c>
      <c r="F758" s="8">
        <v>3</v>
      </c>
      <c r="G758" s="8">
        <v>13.5</v>
      </c>
      <c r="H758" s="8">
        <v>5</v>
      </c>
      <c r="I758" s="8">
        <v>7</v>
      </c>
      <c r="J758" s="8">
        <v>6.5</v>
      </c>
      <c r="K758" s="8">
        <v>7</v>
      </c>
      <c r="L758" s="8">
        <v>7</v>
      </c>
      <c r="M758" s="8">
        <v>5</v>
      </c>
      <c r="N758" s="8">
        <v>16.5</v>
      </c>
      <c r="O758" s="8">
        <v>7</v>
      </c>
      <c r="P758" s="8">
        <v>6.5</v>
      </c>
      <c r="Q758" s="8">
        <v>4.5</v>
      </c>
      <c r="R758" s="8">
        <v>7</v>
      </c>
      <c r="S758" s="8">
        <v>7</v>
      </c>
      <c r="T758" s="8">
        <v>3</v>
      </c>
      <c r="U758" s="8">
        <v>12.5</v>
      </c>
      <c r="V758" s="8">
        <v>7</v>
      </c>
      <c r="W758" s="8">
        <v>7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2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11" t="s">
        <v>247</v>
      </c>
    </row>
    <row r="759" spans="1:46" ht="15.1" customHeight="1">
      <c r="A759" s="8">
        <v>252</v>
      </c>
      <c r="B759" s="9" t="s">
        <v>768</v>
      </c>
      <c r="C759" s="8" t="s">
        <v>769</v>
      </c>
      <c r="D759" s="9" t="s">
        <v>451</v>
      </c>
      <c r="E759" s="8" t="s">
        <v>54</v>
      </c>
      <c r="F759" s="8" t="s">
        <v>54</v>
      </c>
      <c r="G759" s="10" t="s">
        <v>67</v>
      </c>
      <c r="H759" s="8" t="s">
        <v>54</v>
      </c>
      <c r="I759" s="8" t="s">
        <v>54</v>
      </c>
      <c r="J759" s="8" t="s">
        <v>54</v>
      </c>
      <c r="K759" s="8" t="s">
        <v>54</v>
      </c>
      <c r="L759" s="8" t="s">
        <v>54</v>
      </c>
      <c r="M759" s="8" t="s">
        <v>54</v>
      </c>
      <c r="N759" s="10" t="s">
        <v>67</v>
      </c>
      <c r="O759" s="8" t="s">
        <v>54</v>
      </c>
      <c r="P759" s="8" t="s">
        <v>54</v>
      </c>
      <c r="Q759" s="8" t="s">
        <v>54</v>
      </c>
      <c r="R759" s="8" t="s">
        <v>54</v>
      </c>
      <c r="S759" s="8" t="s">
        <v>54</v>
      </c>
      <c r="T759" s="8" t="s">
        <v>54</v>
      </c>
      <c r="U759" s="10" t="s">
        <v>67</v>
      </c>
      <c r="V759" s="8" t="s">
        <v>54</v>
      </c>
      <c r="W759" s="8" t="s">
        <v>54</v>
      </c>
      <c r="X759" s="8" t="s">
        <v>54</v>
      </c>
      <c r="Y759" s="12" t="s">
        <v>55</v>
      </c>
      <c r="Z759" s="12" t="s">
        <v>55</v>
      </c>
      <c r="AA759" s="8" t="s">
        <v>54</v>
      </c>
      <c r="AB759" s="10" t="s">
        <v>67</v>
      </c>
      <c r="AC759" s="12" t="s">
        <v>55</v>
      </c>
      <c r="AD759" s="12" t="s">
        <v>55</v>
      </c>
      <c r="AE759" s="8" t="s">
        <v>54</v>
      </c>
      <c r="AF759" s="8" t="s">
        <v>54</v>
      </c>
      <c r="AG759" s="8" t="s">
        <v>54</v>
      </c>
      <c r="AH759" s="8" t="s">
        <v>54</v>
      </c>
      <c r="AI759" s="10" t="s">
        <v>67</v>
      </c>
      <c r="AJ759" s="8">
        <f>COUNTIF($E$759:$AI$759,"P")</f>
        <v>22</v>
      </c>
      <c r="AK759" s="8">
        <f>COUNTIF($E$759:$AI$759,"A")</f>
        <v>4</v>
      </c>
      <c r="AL759" s="8">
        <f>SUM($E$760:$AI$760)</f>
        <v>35</v>
      </c>
      <c r="AM759" s="8">
        <f>SUM($E$761:$AI$761)</f>
        <v>122.5</v>
      </c>
      <c r="AN759" s="8">
        <f>AL759+AM759</f>
        <v>157.5</v>
      </c>
      <c r="AO759" s="8">
        <f>COUNTIF($E$759:$AI$759,"CL")</f>
        <v>0</v>
      </c>
      <c r="AP759" s="8">
        <f>COUNTIF($E$759:$AI$759,"SL")</f>
        <v>0</v>
      </c>
      <c r="AQ759" s="8">
        <f>COUNTIF($E$759:$AI$759,"EL")</f>
        <v>0</v>
      </c>
      <c r="AR759" s="8">
        <f>COUNTIF($E$759:$AI$759,"H")</f>
        <v>0</v>
      </c>
      <c r="AS759" s="8"/>
      <c r="AT759" s="11" t="s">
        <v>247</v>
      </c>
    </row>
    <row r="760" spans="1:46" ht="15.1" customHeight="1">
      <c r="A760" s="8"/>
      <c r="B760" s="9"/>
      <c r="C760" s="8"/>
      <c r="D760" s="9"/>
      <c r="E760" s="8">
        <v>2</v>
      </c>
      <c r="F760" s="8">
        <v>2</v>
      </c>
      <c r="G760" s="8">
        <v>0</v>
      </c>
      <c r="H760" s="8">
        <v>2</v>
      </c>
      <c r="I760" s="8">
        <v>2</v>
      </c>
      <c r="J760" s="8">
        <v>2</v>
      </c>
      <c r="K760" s="8">
        <v>2</v>
      </c>
      <c r="L760" s="8">
        <v>2</v>
      </c>
      <c r="M760" s="8">
        <v>2</v>
      </c>
      <c r="N760" s="8">
        <v>0</v>
      </c>
      <c r="O760" s="8">
        <v>2</v>
      </c>
      <c r="P760" s="8">
        <v>2</v>
      </c>
      <c r="Q760" s="8">
        <v>2</v>
      </c>
      <c r="R760" s="8">
        <v>2</v>
      </c>
      <c r="S760" s="8">
        <v>2</v>
      </c>
      <c r="T760" s="8">
        <v>2</v>
      </c>
      <c r="U760" s="8">
        <v>0</v>
      </c>
      <c r="V760" s="8">
        <v>2</v>
      </c>
      <c r="W760" s="8">
        <v>2</v>
      </c>
      <c r="X760" s="8">
        <v>2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1</v>
      </c>
      <c r="AH760" s="8">
        <v>0</v>
      </c>
      <c r="AI760" s="8">
        <v>0</v>
      </c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11" t="s">
        <v>247</v>
      </c>
    </row>
    <row r="761" spans="1:46" ht="15.1" customHeight="1">
      <c r="A761" s="8"/>
      <c r="B761" s="9"/>
      <c r="C761" s="8"/>
      <c r="D761" s="9"/>
      <c r="E761" s="8">
        <v>4.5</v>
      </c>
      <c r="F761" s="8">
        <v>2.5</v>
      </c>
      <c r="G761" s="8">
        <v>13.5</v>
      </c>
      <c r="H761" s="8">
        <v>4.5</v>
      </c>
      <c r="I761" s="8">
        <v>7</v>
      </c>
      <c r="J761" s="8">
        <v>6.5</v>
      </c>
      <c r="K761" s="8">
        <v>6.5</v>
      </c>
      <c r="L761" s="8">
        <v>7</v>
      </c>
      <c r="M761" s="8">
        <v>3.5</v>
      </c>
      <c r="N761" s="8">
        <v>16</v>
      </c>
      <c r="O761" s="8">
        <v>6.5</v>
      </c>
      <c r="P761" s="8">
        <v>6</v>
      </c>
      <c r="Q761" s="8">
        <v>0</v>
      </c>
      <c r="R761" s="8">
        <v>6.5</v>
      </c>
      <c r="S761" s="8">
        <v>6.5</v>
      </c>
      <c r="T761" s="8">
        <v>2.5</v>
      </c>
      <c r="U761" s="8">
        <v>9.5</v>
      </c>
      <c r="V761" s="8">
        <v>7</v>
      </c>
      <c r="W761" s="8">
        <v>6.5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11" t="s">
        <v>247</v>
      </c>
    </row>
    <row r="762" spans="1:46" ht="15.1" customHeight="1">
      <c r="A762" s="8">
        <v>253</v>
      </c>
      <c r="B762" s="9" t="s">
        <v>770</v>
      </c>
      <c r="C762" s="8" t="s">
        <v>771</v>
      </c>
      <c r="D762" s="9" t="s">
        <v>451</v>
      </c>
      <c r="E762" s="8" t="s">
        <v>54</v>
      </c>
      <c r="F762" s="8" t="s">
        <v>54</v>
      </c>
      <c r="G762" s="10" t="s">
        <v>67</v>
      </c>
      <c r="H762" s="12" t="s">
        <v>55</v>
      </c>
      <c r="I762" s="8" t="s">
        <v>54</v>
      </c>
      <c r="J762" s="8" t="s">
        <v>54</v>
      </c>
      <c r="K762" s="12" t="s">
        <v>55</v>
      </c>
      <c r="L762" s="8" t="s">
        <v>54</v>
      </c>
      <c r="M762" s="8" t="s">
        <v>54</v>
      </c>
      <c r="N762" s="10" t="s">
        <v>67</v>
      </c>
      <c r="O762" s="12" t="s">
        <v>55</v>
      </c>
      <c r="P762" s="12" t="s">
        <v>55</v>
      </c>
      <c r="Q762" s="8" t="s">
        <v>54</v>
      </c>
      <c r="R762" s="8" t="s">
        <v>54</v>
      </c>
      <c r="S762" s="8" t="s">
        <v>54</v>
      </c>
      <c r="T762" s="8" t="s">
        <v>54</v>
      </c>
      <c r="U762" s="10" t="s">
        <v>67</v>
      </c>
      <c r="V762" s="8" t="s">
        <v>54</v>
      </c>
      <c r="W762" s="8" t="s">
        <v>54</v>
      </c>
      <c r="X762" s="12" t="s">
        <v>55</v>
      </c>
      <c r="Y762" s="8" t="s">
        <v>54</v>
      </c>
      <c r="Z762" s="8" t="s">
        <v>54</v>
      </c>
      <c r="AA762" s="12" t="s">
        <v>55</v>
      </c>
      <c r="AB762" s="10" t="s">
        <v>67</v>
      </c>
      <c r="AC762" s="12" t="s">
        <v>55</v>
      </c>
      <c r="AD762" s="12" t="s">
        <v>55</v>
      </c>
      <c r="AE762" s="8" t="s">
        <v>54</v>
      </c>
      <c r="AF762" s="8" t="s">
        <v>54</v>
      </c>
      <c r="AG762" s="8" t="s">
        <v>54</v>
      </c>
      <c r="AH762" s="8" t="s">
        <v>54</v>
      </c>
      <c r="AI762" s="10" t="s">
        <v>67</v>
      </c>
      <c r="AJ762" s="8">
        <f>COUNTIF($E$762:$AI$762,"P")</f>
        <v>18</v>
      </c>
      <c r="AK762" s="8">
        <f>COUNTIF($E$762:$AI$762,"A")</f>
        <v>8</v>
      </c>
      <c r="AL762" s="8">
        <f>SUM($E$763:$AI$763)</f>
        <v>25</v>
      </c>
      <c r="AM762" s="8">
        <f>SUM($E$764:$AI$764)</f>
        <v>95</v>
      </c>
      <c r="AN762" s="8">
        <f>AL762+AM762</f>
        <v>120</v>
      </c>
      <c r="AO762" s="8">
        <f>COUNTIF($E$762:$AI$762,"CL")</f>
        <v>0</v>
      </c>
      <c r="AP762" s="8">
        <f>COUNTIF($E$762:$AI$762,"SL")</f>
        <v>0</v>
      </c>
      <c r="AQ762" s="8">
        <f>COUNTIF($E$762:$AI$762,"EL")</f>
        <v>0</v>
      </c>
      <c r="AR762" s="8">
        <f>COUNTIF($E$762:$AI$762,"H")</f>
        <v>0</v>
      </c>
      <c r="AS762" s="8"/>
      <c r="AT762" s="11" t="s">
        <v>247</v>
      </c>
    </row>
    <row r="763" spans="1:46" ht="15.1" customHeight="1">
      <c r="A763" s="8"/>
      <c r="B763" s="9"/>
      <c r="C763" s="8"/>
      <c r="D763" s="9"/>
      <c r="E763" s="8">
        <v>2</v>
      </c>
      <c r="F763" s="8">
        <v>2</v>
      </c>
      <c r="G763" s="8">
        <v>0</v>
      </c>
      <c r="H763" s="8">
        <v>0</v>
      </c>
      <c r="I763" s="8">
        <v>2</v>
      </c>
      <c r="J763" s="8">
        <v>2</v>
      </c>
      <c r="K763" s="8">
        <v>0</v>
      </c>
      <c r="L763" s="8">
        <v>2</v>
      </c>
      <c r="M763" s="8">
        <v>2</v>
      </c>
      <c r="N763" s="8">
        <v>0</v>
      </c>
      <c r="O763" s="8">
        <v>0</v>
      </c>
      <c r="P763" s="8">
        <v>0</v>
      </c>
      <c r="Q763" s="8">
        <v>2</v>
      </c>
      <c r="R763" s="8">
        <v>2</v>
      </c>
      <c r="S763" s="8">
        <v>2</v>
      </c>
      <c r="T763" s="8">
        <v>2</v>
      </c>
      <c r="U763" s="8">
        <v>0</v>
      </c>
      <c r="V763" s="8">
        <v>2</v>
      </c>
      <c r="W763" s="8">
        <v>2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1</v>
      </c>
      <c r="AH763" s="8">
        <v>0</v>
      </c>
      <c r="AI763" s="8">
        <v>0</v>
      </c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11" t="s">
        <v>247</v>
      </c>
    </row>
    <row r="764" spans="1:46" ht="15.1" customHeight="1">
      <c r="A764" s="8"/>
      <c r="B764" s="9"/>
      <c r="C764" s="8"/>
      <c r="D764" s="9"/>
      <c r="E764" s="8">
        <v>3.5</v>
      </c>
      <c r="F764" s="8">
        <v>2.5</v>
      </c>
      <c r="G764" s="8">
        <v>0</v>
      </c>
      <c r="H764" s="8">
        <v>0</v>
      </c>
      <c r="I764" s="8">
        <v>7</v>
      </c>
      <c r="J764" s="8">
        <v>7</v>
      </c>
      <c r="K764" s="8">
        <v>0</v>
      </c>
      <c r="L764" s="8">
        <v>7</v>
      </c>
      <c r="M764" s="8">
        <v>5</v>
      </c>
      <c r="N764" s="8">
        <v>16.5</v>
      </c>
      <c r="O764" s="8">
        <v>0</v>
      </c>
      <c r="P764" s="8">
        <v>0</v>
      </c>
      <c r="Q764" s="8">
        <v>5</v>
      </c>
      <c r="R764" s="8">
        <v>7</v>
      </c>
      <c r="S764" s="8">
        <v>6.5</v>
      </c>
      <c r="T764" s="8">
        <v>2.5</v>
      </c>
      <c r="U764" s="8">
        <v>12.5</v>
      </c>
      <c r="V764" s="8">
        <v>6.5</v>
      </c>
      <c r="W764" s="8">
        <v>6.5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11" t="s">
        <v>247</v>
      </c>
    </row>
    <row r="765" spans="1:46" ht="15.1" customHeight="1">
      <c r="A765" s="8">
        <v>254</v>
      </c>
      <c r="B765" s="9" t="s">
        <v>772</v>
      </c>
      <c r="C765" s="8" t="s">
        <v>773</v>
      </c>
      <c r="D765" s="9" t="s">
        <v>451</v>
      </c>
      <c r="E765" s="8" t="s">
        <v>54</v>
      </c>
      <c r="F765" s="8" t="s">
        <v>54</v>
      </c>
      <c r="G765" s="10" t="s">
        <v>67</v>
      </c>
      <c r="H765" s="8" t="s">
        <v>54</v>
      </c>
      <c r="I765" s="8" t="s">
        <v>54</v>
      </c>
      <c r="J765" s="12" t="s">
        <v>55</v>
      </c>
      <c r="K765" s="12" t="s">
        <v>55</v>
      </c>
      <c r="L765" s="12" t="s">
        <v>55</v>
      </c>
      <c r="M765" s="8" t="s">
        <v>54</v>
      </c>
      <c r="N765" s="10" t="s">
        <v>67</v>
      </c>
      <c r="O765" s="8" t="s">
        <v>54</v>
      </c>
      <c r="P765" s="8" t="s">
        <v>54</v>
      </c>
      <c r="Q765" s="8" t="s">
        <v>54</v>
      </c>
      <c r="R765" s="8" t="s">
        <v>54</v>
      </c>
      <c r="S765" s="8" t="s">
        <v>54</v>
      </c>
      <c r="T765" s="8" t="s">
        <v>54</v>
      </c>
      <c r="U765" s="10" t="s">
        <v>67</v>
      </c>
      <c r="V765" s="8" t="s">
        <v>54</v>
      </c>
      <c r="W765" s="8" t="s">
        <v>54</v>
      </c>
      <c r="X765" s="8" t="s">
        <v>54</v>
      </c>
      <c r="Y765" s="8" t="s">
        <v>54</v>
      </c>
      <c r="Z765" s="8" t="s">
        <v>54</v>
      </c>
      <c r="AA765" s="8" t="s">
        <v>54</v>
      </c>
      <c r="AB765" s="10" t="s">
        <v>67</v>
      </c>
      <c r="AC765" s="8" t="s">
        <v>54</v>
      </c>
      <c r="AD765" s="8" t="s">
        <v>54</v>
      </c>
      <c r="AE765" s="8" t="s">
        <v>54</v>
      </c>
      <c r="AF765" s="8" t="s">
        <v>54</v>
      </c>
      <c r="AG765" s="8" t="s">
        <v>54</v>
      </c>
      <c r="AH765" s="8" t="s">
        <v>54</v>
      </c>
      <c r="AI765" s="10" t="s">
        <v>67</v>
      </c>
      <c r="AJ765" s="8">
        <f>COUNTIF($E$765:$AI$765,"P")</f>
        <v>23</v>
      </c>
      <c r="AK765" s="8">
        <f>COUNTIF($E$765:$AI$765,"A")</f>
        <v>3</v>
      </c>
      <c r="AL765" s="8">
        <f>SUM($E$766:$AI$766)</f>
        <v>29</v>
      </c>
      <c r="AM765" s="8">
        <f>SUM($E$767:$AI$767)</f>
        <v>99</v>
      </c>
      <c r="AN765" s="8">
        <f>AL765+AM765</f>
        <v>128</v>
      </c>
      <c r="AO765" s="8">
        <f>COUNTIF($E$765:$AI$765,"CL")</f>
        <v>0</v>
      </c>
      <c r="AP765" s="8">
        <f>COUNTIF($E$765:$AI$765,"SL")</f>
        <v>0</v>
      </c>
      <c r="AQ765" s="8">
        <f>COUNTIF($E$765:$AI$765,"EL")</f>
        <v>0</v>
      </c>
      <c r="AR765" s="8">
        <f>COUNTIF($E$765:$AI$765,"H")</f>
        <v>0</v>
      </c>
      <c r="AS765" s="8"/>
      <c r="AT765" s="11" t="s">
        <v>247</v>
      </c>
    </row>
    <row r="766" spans="1:46" ht="15.1" customHeight="1">
      <c r="A766" s="8"/>
      <c r="B766" s="9"/>
      <c r="C766" s="8"/>
      <c r="D766" s="9"/>
      <c r="E766" s="8">
        <v>2</v>
      </c>
      <c r="F766" s="8">
        <v>2</v>
      </c>
      <c r="G766" s="8">
        <v>0</v>
      </c>
      <c r="H766" s="8">
        <v>2</v>
      </c>
      <c r="I766" s="8">
        <v>2</v>
      </c>
      <c r="J766" s="8">
        <v>0</v>
      </c>
      <c r="K766" s="8">
        <v>0</v>
      </c>
      <c r="L766" s="8">
        <v>0</v>
      </c>
      <c r="M766" s="8">
        <v>2</v>
      </c>
      <c r="N766" s="8">
        <v>0</v>
      </c>
      <c r="O766" s="8">
        <v>2</v>
      </c>
      <c r="P766" s="8">
        <v>2</v>
      </c>
      <c r="Q766" s="8">
        <v>2</v>
      </c>
      <c r="R766" s="8">
        <v>0</v>
      </c>
      <c r="S766" s="8">
        <v>2</v>
      </c>
      <c r="T766" s="8">
        <v>2</v>
      </c>
      <c r="U766" s="8">
        <v>0</v>
      </c>
      <c r="V766" s="8">
        <v>2</v>
      </c>
      <c r="W766" s="8">
        <v>2</v>
      </c>
      <c r="X766" s="8">
        <v>2</v>
      </c>
      <c r="Y766" s="8">
        <v>0</v>
      </c>
      <c r="Z766" s="8">
        <v>0</v>
      </c>
      <c r="AA766" s="8">
        <v>0</v>
      </c>
      <c r="AB766" s="8">
        <v>0</v>
      </c>
      <c r="AC766" s="8">
        <v>2</v>
      </c>
      <c r="AD766" s="8">
        <v>0</v>
      </c>
      <c r="AE766" s="8">
        <v>0</v>
      </c>
      <c r="AF766" s="8">
        <v>0</v>
      </c>
      <c r="AG766" s="8">
        <v>1</v>
      </c>
      <c r="AH766" s="8">
        <v>0</v>
      </c>
      <c r="AI766" s="8">
        <v>0</v>
      </c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11" t="s">
        <v>247</v>
      </c>
    </row>
    <row r="767" spans="1:46" ht="15.1" customHeight="1">
      <c r="A767" s="8"/>
      <c r="B767" s="9"/>
      <c r="C767" s="8"/>
      <c r="D767" s="9"/>
      <c r="E767" s="8">
        <v>5</v>
      </c>
      <c r="F767" s="8">
        <v>3</v>
      </c>
      <c r="G767" s="8">
        <v>14</v>
      </c>
      <c r="H767" s="8">
        <v>5</v>
      </c>
      <c r="I767" s="8">
        <v>7</v>
      </c>
      <c r="J767" s="8">
        <v>0</v>
      </c>
      <c r="K767" s="8">
        <v>0</v>
      </c>
      <c r="L767" s="8">
        <v>0</v>
      </c>
      <c r="M767" s="8">
        <v>5</v>
      </c>
      <c r="N767" s="8">
        <v>17</v>
      </c>
      <c r="O767" s="8">
        <v>7</v>
      </c>
      <c r="P767" s="8">
        <v>7</v>
      </c>
      <c r="Q767" s="8">
        <v>5</v>
      </c>
      <c r="R767" s="8">
        <v>0</v>
      </c>
      <c r="S767" s="8">
        <v>7</v>
      </c>
      <c r="T767" s="8">
        <v>3</v>
      </c>
      <c r="U767" s="8">
        <v>0</v>
      </c>
      <c r="V767" s="8">
        <v>7</v>
      </c>
      <c r="W767" s="8">
        <v>7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11" t="s">
        <v>247</v>
      </c>
    </row>
    <row r="768" spans="1:46" ht="15.1" customHeight="1">
      <c r="A768" s="8">
        <v>255</v>
      </c>
      <c r="B768" s="9" t="s">
        <v>774</v>
      </c>
      <c r="C768" s="8" t="s">
        <v>775</v>
      </c>
      <c r="D768" s="9" t="s">
        <v>451</v>
      </c>
      <c r="E768" s="8" t="s">
        <v>54</v>
      </c>
      <c r="F768" s="8" t="s">
        <v>54</v>
      </c>
      <c r="G768" s="10" t="s">
        <v>67</v>
      </c>
      <c r="H768" s="8" t="s">
        <v>54</v>
      </c>
      <c r="I768" s="8" t="s">
        <v>54</v>
      </c>
      <c r="J768" s="8" t="s">
        <v>54</v>
      </c>
      <c r="K768" s="8" t="s">
        <v>54</v>
      </c>
      <c r="L768" s="8" t="s">
        <v>54</v>
      </c>
      <c r="M768" s="8" t="s">
        <v>54</v>
      </c>
      <c r="N768" s="10" t="s">
        <v>67</v>
      </c>
      <c r="O768" s="8" t="s">
        <v>54</v>
      </c>
      <c r="P768" s="8" t="s">
        <v>54</v>
      </c>
      <c r="Q768" s="8" t="s">
        <v>54</v>
      </c>
      <c r="R768" s="8" t="s">
        <v>54</v>
      </c>
      <c r="S768" s="8" t="s">
        <v>54</v>
      </c>
      <c r="T768" s="8" t="s">
        <v>54</v>
      </c>
      <c r="U768" s="10" t="s">
        <v>67</v>
      </c>
      <c r="V768" s="8" t="s">
        <v>54</v>
      </c>
      <c r="W768" s="8" t="s">
        <v>54</v>
      </c>
      <c r="X768" s="8" t="s">
        <v>54</v>
      </c>
      <c r="Y768" s="8" t="s">
        <v>54</v>
      </c>
      <c r="Z768" s="8" t="s">
        <v>54</v>
      </c>
      <c r="AA768" s="8" t="s">
        <v>54</v>
      </c>
      <c r="AB768" s="10" t="s">
        <v>67</v>
      </c>
      <c r="AC768" s="8" t="s">
        <v>54</v>
      </c>
      <c r="AD768" s="8" t="s">
        <v>54</v>
      </c>
      <c r="AE768" s="8" t="s">
        <v>54</v>
      </c>
      <c r="AF768" s="8" t="s">
        <v>54</v>
      </c>
      <c r="AG768" s="8" t="s">
        <v>54</v>
      </c>
      <c r="AH768" s="8" t="s">
        <v>54</v>
      </c>
      <c r="AI768" s="10" t="s">
        <v>67</v>
      </c>
      <c r="AJ768" s="8">
        <f>COUNTIF($E$768:$AI$768,"P")</f>
        <v>26</v>
      </c>
      <c r="AK768" s="8">
        <f>COUNTIF($E$768:$AI$768,"A")</f>
        <v>0</v>
      </c>
      <c r="AL768" s="8">
        <f>SUM($E$769:$AI$769)</f>
        <v>39</v>
      </c>
      <c r="AM768" s="8">
        <f>SUM($E$770:$AI$770)</f>
        <v>135</v>
      </c>
      <c r="AN768" s="8">
        <f>AL768+AM768</f>
        <v>174</v>
      </c>
      <c r="AO768" s="8">
        <f>COUNTIF($E$768:$AI$768,"CL")</f>
        <v>0</v>
      </c>
      <c r="AP768" s="8">
        <f>COUNTIF($E$768:$AI$768,"SL")</f>
        <v>0</v>
      </c>
      <c r="AQ768" s="8">
        <f>COUNTIF($E$768:$AI$768,"EL")</f>
        <v>0</v>
      </c>
      <c r="AR768" s="8">
        <f>COUNTIF($E$768:$AI$768,"H")</f>
        <v>0</v>
      </c>
      <c r="AS768" s="8"/>
      <c r="AT768" s="11" t="s">
        <v>247</v>
      </c>
    </row>
    <row r="769" spans="1:46" ht="15.1" customHeight="1">
      <c r="A769" s="8"/>
      <c r="B769" s="9"/>
      <c r="C769" s="8"/>
      <c r="D769" s="9"/>
      <c r="E769" s="8">
        <v>2</v>
      </c>
      <c r="F769" s="8">
        <v>2</v>
      </c>
      <c r="G769" s="8">
        <v>0</v>
      </c>
      <c r="H769" s="8">
        <v>2</v>
      </c>
      <c r="I769" s="8">
        <v>2</v>
      </c>
      <c r="J769" s="8">
        <v>2</v>
      </c>
      <c r="K769" s="8">
        <v>2</v>
      </c>
      <c r="L769" s="8">
        <v>2</v>
      </c>
      <c r="M769" s="8">
        <v>2</v>
      </c>
      <c r="N769" s="8">
        <v>0</v>
      </c>
      <c r="O769" s="8">
        <v>2</v>
      </c>
      <c r="P769" s="8">
        <v>2</v>
      </c>
      <c r="Q769" s="8">
        <v>2</v>
      </c>
      <c r="R769" s="8">
        <v>2</v>
      </c>
      <c r="S769" s="8">
        <v>2</v>
      </c>
      <c r="T769" s="8">
        <v>2</v>
      </c>
      <c r="U769" s="8">
        <v>0</v>
      </c>
      <c r="V769" s="8">
        <v>2</v>
      </c>
      <c r="W769" s="8">
        <v>2</v>
      </c>
      <c r="X769" s="8">
        <v>2</v>
      </c>
      <c r="Y769" s="8">
        <v>0</v>
      </c>
      <c r="Z769" s="8">
        <v>0</v>
      </c>
      <c r="AA769" s="8">
        <v>0</v>
      </c>
      <c r="AB769" s="8">
        <v>0</v>
      </c>
      <c r="AC769" s="8">
        <v>2</v>
      </c>
      <c r="AD769" s="8">
        <v>2</v>
      </c>
      <c r="AE769" s="8">
        <v>0</v>
      </c>
      <c r="AF769" s="8">
        <v>0</v>
      </c>
      <c r="AG769" s="8">
        <v>1</v>
      </c>
      <c r="AH769" s="8">
        <v>0</v>
      </c>
      <c r="AI769" s="8">
        <v>0</v>
      </c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11" t="s">
        <v>247</v>
      </c>
    </row>
    <row r="770" spans="1:46" ht="15.1" customHeight="1">
      <c r="A770" s="8"/>
      <c r="B770" s="9"/>
      <c r="C770" s="8"/>
      <c r="D770" s="9"/>
      <c r="E770" s="8">
        <v>4.5</v>
      </c>
      <c r="F770" s="8">
        <v>3</v>
      </c>
      <c r="G770" s="8">
        <v>13.5</v>
      </c>
      <c r="H770" s="8">
        <v>5</v>
      </c>
      <c r="I770" s="8">
        <v>7</v>
      </c>
      <c r="J770" s="8">
        <v>6.5</v>
      </c>
      <c r="K770" s="8">
        <v>7</v>
      </c>
      <c r="L770" s="8">
        <v>7</v>
      </c>
      <c r="M770" s="8">
        <v>4.5</v>
      </c>
      <c r="N770" s="8">
        <v>16.5</v>
      </c>
      <c r="O770" s="8">
        <v>7</v>
      </c>
      <c r="P770" s="8">
        <v>6</v>
      </c>
      <c r="Q770" s="8">
        <v>4.5</v>
      </c>
      <c r="R770" s="8">
        <v>7</v>
      </c>
      <c r="S770" s="8">
        <v>6.5</v>
      </c>
      <c r="T770" s="8">
        <v>3</v>
      </c>
      <c r="U770" s="8">
        <v>12.5</v>
      </c>
      <c r="V770" s="8">
        <v>7</v>
      </c>
      <c r="W770" s="8">
        <v>7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11" t="s">
        <v>247</v>
      </c>
    </row>
    <row r="771" spans="1:46" ht="15.1" customHeight="1">
      <c r="A771" s="8">
        <v>256</v>
      </c>
      <c r="B771" s="9" t="s">
        <v>776</v>
      </c>
      <c r="C771" s="8" t="s">
        <v>777</v>
      </c>
      <c r="D771" s="9" t="s">
        <v>451</v>
      </c>
      <c r="E771" s="8" t="s">
        <v>54</v>
      </c>
      <c r="F771" s="8" t="s">
        <v>54</v>
      </c>
      <c r="G771" s="10" t="s">
        <v>67</v>
      </c>
      <c r="H771" s="8" t="s">
        <v>54</v>
      </c>
      <c r="I771" s="8" t="s">
        <v>54</v>
      </c>
      <c r="J771" s="8" t="s">
        <v>54</v>
      </c>
      <c r="K771" s="8" t="s">
        <v>54</v>
      </c>
      <c r="L771" s="8" t="s">
        <v>54</v>
      </c>
      <c r="M771" s="8" t="s">
        <v>54</v>
      </c>
      <c r="N771" s="10" t="s">
        <v>67</v>
      </c>
      <c r="O771" s="8" t="s">
        <v>54</v>
      </c>
      <c r="P771" s="8" t="s">
        <v>54</v>
      </c>
      <c r="Q771" s="8" t="s">
        <v>54</v>
      </c>
      <c r="R771" s="8" t="s">
        <v>54</v>
      </c>
      <c r="S771" s="8" t="s">
        <v>54</v>
      </c>
      <c r="T771" s="8" t="s">
        <v>54</v>
      </c>
      <c r="U771" s="10" t="s">
        <v>67</v>
      </c>
      <c r="V771" s="8" t="s">
        <v>54</v>
      </c>
      <c r="W771" s="8" t="s">
        <v>54</v>
      </c>
      <c r="X771" s="8" t="s">
        <v>54</v>
      </c>
      <c r="Y771" s="8" t="s">
        <v>54</v>
      </c>
      <c r="Z771" s="8" t="s">
        <v>54</v>
      </c>
      <c r="AA771" s="8" t="s">
        <v>54</v>
      </c>
      <c r="AB771" s="10" t="s">
        <v>67</v>
      </c>
      <c r="AC771" s="12" t="s">
        <v>55</v>
      </c>
      <c r="AD771" s="12" t="s">
        <v>55</v>
      </c>
      <c r="AE771" s="8" t="s">
        <v>54</v>
      </c>
      <c r="AF771" s="8" t="s">
        <v>54</v>
      </c>
      <c r="AG771" s="8" t="s">
        <v>54</v>
      </c>
      <c r="AH771" s="8" t="s">
        <v>54</v>
      </c>
      <c r="AI771" s="10" t="s">
        <v>67</v>
      </c>
      <c r="AJ771" s="8">
        <f>COUNTIF($E$771:$AI$771,"P")</f>
        <v>24</v>
      </c>
      <c r="AK771" s="8">
        <f>COUNTIF($E$771:$AI$771,"A")</f>
        <v>2</v>
      </c>
      <c r="AL771" s="8">
        <f>SUM($E$772:$AI$772)</f>
        <v>35</v>
      </c>
      <c r="AM771" s="8">
        <f>SUM($E$773:$AI$773)</f>
        <v>86</v>
      </c>
      <c r="AN771" s="8">
        <f>AL771+AM771</f>
        <v>121</v>
      </c>
      <c r="AO771" s="8">
        <f>COUNTIF($E$771:$AI$771,"CL")</f>
        <v>0</v>
      </c>
      <c r="AP771" s="8">
        <f>COUNTIF($E$771:$AI$771,"SL")</f>
        <v>0</v>
      </c>
      <c r="AQ771" s="8">
        <f>COUNTIF($E$771:$AI$771,"EL")</f>
        <v>0</v>
      </c>
      <c r="AR771" s="8">
        <f>COUNTIF($E$771:$AI$771,"H")</f>
        <v>0</v>
      </c>
      <c r="AS771" s="8"/>
      <c r="AT771" s="11" t="s">
        <v>247</v>
      </c>
    </row>
    <row r="772" spans="1:46" ht="15.1" customHeight="1">
      <c r="A772" s="8"/>
      <c r="B772" s="9"/>
      <c r="C772" s="8"/>
      <c r="D772" s="9"/>
      <c r="E772" s="8">
        <v>2</v>
      </c>
      <c r="F772" s="8">
        <v>2</v>
      </c>
      <c r="G772" s="8">
        <v>0</v>
      </c>
      <c r="H772" s="8">
        <v>2</v>
      </c>
      <c r="I772" s="8">
        <v>2</v>
      </c>
      <c r="J772" s="8">
        <v>2</v>
      </c>
      <c r="K772" s="8">
        <v>2</v>
      </c>
      <c r="L772" s="8">
        <v>2</v>
      </c>
      <c r="M772" s="8">
        <v>2</v>
      </c>
      <c r="N772" s="8">
        <v>0</v>
      </c>
      <c r="O772" s="8">
        <v>2</v>
      </c>
      <c r="P772" s="8">
        <v>2</v>
      </c>
      <c r="Q772" s="8">
        <v>2</v>
      </c>
      <c r="R772" s="8">
        <v>2</v>
      </c>
      <c r="S772" s="8">
        <v>2</v>
      </c>
      <c r="T772" s="8">
        <v>2</v>
      </c>
      <c r="U772" s="8">
        <v>0</v>
      </c>
      <c r="V772" s="8">
        <v>2</v>
      </c>
      <c r="W772" s="8">
        <v>2</v>
      </c>
      <c r="X772" s="8">
        <v>2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1</v>
      </c>
      <c r="AH772" s="8">
        <v>0</v>
      </c>
      <c r="AI772" s="8">
        <v>0</v>
      </c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11" t="s">
        <v>247</v>
      </c>
    </row>
    <row r="773" spans="1:46" ht="15.1" customHeight="1">
      <c r="A773" s="8"/>
      <c r="B773" s="9"/>
      <c r="C773" s="8"/>
      <c r="D773" s="9"/>
      <c r="E773" s="8">
        <v>3</v>
      </c>
      <c r="F773" s="8">
        <v>3</v>
      </c>
      <c r="G773" s="8">
        <v>12.5</v>
      </c>
      <c r="H773" s="8">
        <v>3</v>
      </c>
      <c r="I773" s="8">
        <v>3</v>
      </c>
      <c r="J773" s="8">
        <v>3</v>
      </c>
      <c r="K773" s="8">
        <v>3</v>
      </c>
      <c r="L773" s="8">
        <v>3</v>
      </c>
      <c r="M773" s="8">
        <v>3</v>
      </c>
      <c r="N773" s="8">
        <v>13</v>
      </c>
      <c r="O773" s="8">
        <v>3</v>
      </c>
      <c r="P773" s="8">
        <v>3</v>
      </c>
      <c r="Q773" s="8">
        <v>3</v>
      </c>
      <c r="R773" s="8">
        <v>3</v>
      </c>
      <c r="S773" s="8">
        <v>3</v>
      </c>
      <c r="T773" s="8">
        <v>3</v>
      </c>
      <c r="U773" s="8">
        <v>12.5</v>
      </c>
      <c r="V773" s="8">
        <v>3</v>
      </c>
      <c r="W773" s="8">
        <v>3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11" t="s">
        <v>247</v>
      </c>
    </row>
    <row r="774" spans="1:46" ht="15.1" customHeight="1">
      <c r="A774" s="8">
        <v>257</v>
      </c>
      <c r="B774" s="9" t="s">
        <v>778</v>
      </c>
      <c r="C774" s="8" t="s">
        <v>779</v>
      </c>
      <c r="D774" s="9" t="s">
        <v>451</v>
      </c>
      <c r="E774" s="8" t="s">
        <v>54</v>
      </c>
      <c r="F774" s="8" t="s">
        <v>54</v>
      </c>
      <c r="G774" s="10" t="s">
        <v>67</v>
      </c>
      <c r="H774" s="8" t="s">
        <v>54</v>
      </c>
      <c r="I774" s="8" t="s">
        <v>54</v>
      </c>
      <c r="J774" s="8" t="s">
        <v>54</v>
      </c>
      <c r="K774" s="8" t="s">
        <v>54</v>
      </c>
      <c r="L774" s="8" t="s">
        <v>54</v>
      </c>
      <c r="M774" s="8" t="s">
        <v>54</v>
      </c>
      <c r="N774" s="10" t="s">
        <v>67</v>
      </c>
      <c r="O774" s="8" t="s">
        <v>54</v>
      </c>
      <c r="P774" s="8" t="s">
        <v>54</v>
      </c>
      <c r="Q774" s="8" t="s">
        <v>54</v>
      </c>
      <c r="R774" s="8" t="s">
        <v>54</v>
      </c>
      <c r="S774" s="8" t="s">
        <v>54</v>
      </c>
      <c r="T774" s="8" t="s">
        <v>54</v>
      </c>
      <c r="U774" s="10" t="s">
        <v>67</v>
      </c>
      <c r="V774" s="8" t="s">
        <v>54</v>
      </c>
      <c r="W774" s="8" t="s">
        <v>54</v>
      </c>
      <c r="X774" s="8" t="s">
        <v>54</v>
      </c>
      <c r="Y774" s="8" t="s">
        <v>54</v>
      </c>
      <c r="Z774" s="8" t="s">
        <v>54</v>
      </c>
      <c r="AA774" s="8" t="s">
        <v>54</v>
      </c>
      <c r="AB774" s="10" t="s">
        <v>67</v>
      </c>
      <c r="AC774" s="8" t="s">
        <v>54</v>
      </c>
      <c r="AD774" s="8" t="s">
        <v>54</v>
      </c>
      <c r="AE774" s="12" t="s">
        <v>55</v>
      </c>
      <c r="AF774" s="12" t="s">
        <v>55</v>
      </c>
      <c r="AG774" s="12" t="s">
        <v>55</v>
      </c>
      <c r="AH774" s="12" t="s">
        <v>55</v>
      </c>
      <c r="AI774" s="10" t="s">
        <v>67</v>
      </c>
      <c r="AJ774" s="8">
        <f>COUNTIF($E$774:$AI$774,"P")</f>
        <v>22</v>
      </c>
      <c r="AK774" s="8">
        <f>COUNTIF($E$774:$AI$774,"A")</f>
        <v>4</v>
      </c>
      <c r="AL774" s="8">
        <f>SUM($E$775:$AI$775)</f>
        <v>36</v>
      </c>
      <c r="AM774" s="8">
        <f>SUM($E$776:$AI$776)</f>
        <v>105</v>
      </c>
      <c r="AN774" s="8">
        <f>AL774+AM774</f>
        <v>141</v>
      </c>
      <c r="AO774" s="8">
        <f>COUNTIF($E$774:$AI$774,"CL")</f>
        <v>0</v>
      </c>
      <c r="AP774" s="8">
        <f>COUNTIF($E$774:$AI$774,"SL")</f>
        <v>0</v>
      </c>
      <c r="AQ774" s="8">
        <f>COUNTIF($E$774:$AI$774,"EL")</f>
        <v>0</v>
      </c>
      <c r="AR774" s="8">
        <f>COUNTIF($E$774:$AI$774,"H")</f>
        <v>0</v>
      </c>
      <c r="AS774" s="8"/>
      <c r="AT774" s="11" t="s">
        <v>247</v>
      </c>
    </row>
    <row r="775" spans="1:46" ht="15.1" customHeight="1">
      <c r="A775" s="8"/>
      <c r="B775" s="9"/>
      <c r="C775" s="8"/>
      <c r="D775" s="9"/>
      <c r="E775" s="8">
        <v>2</v>
      </c>
      <c r="F775" s="8">
        <v>2</v>
      </c>
      <c r="G775" s="8">
        <v>0</v>
      </c>
      <c r="H775" s="8">
        <v>2</v>
      </c>
      <c r="I775" s="8">
        <v>2</v>
      </c>
      <c r="J775" s="8">
        <v>2</v>
      </c>
      <c r="K775" s="8">
        <v>2</v>
      </c>
      <c r="L775" s="8">
        <v>2</v>
      </c>
      <c r="M775" s="8">
        <v>2</v>
      </c>
      <c r="N775" s="8">
        <v>0</v>
      </c>
      <c r="O775" s="8">
        <v>2</v>
      </c>
      <c r="P775" s="8">
        <v>2</v>
      </c>
      <c r="Q775" s="8">
        <v>2</v>
      </c>
      <c r="R775" s="8">
        <v>2</v>
      </c>
      <c r="S775" s="8">
        <v>2</v>
      </c>
      <c r="T775" s="8">
        <v>2</v>
      </c>
      <c r="U775" s="8">
        <v>0</v>
      </c>
      <c r="V775" s="8">
        <v>2</v>
      </c>
      <c r="W775" s="8">
        <v>2</v>
      </c>
      <c r="X775" s="8">
        <v>2</v>
      </c>
      <c r="Y775" s="8">
        <v>0</v>
      </c>
      <c r="Z775" s="8">
        <v>0</v>
      </c>
      <c r="AA775" s="8">
        <v>0</v>
      </c>
      <c r="AB775" s="8">
        <v>0</v>
      </c>
      <c r="AC775" s="8">
        <v>2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11" t="s">
        <v>247</v>
      </c>
    </row>
    <row r="776" spans="1:46" ht="15.1" customHeight="1">
      <c r="A776" s="8"/>
      <c r="B776" s="9"/>
      <c r="C776" s="8"/>
      <c r="D776" s="9"/>
      <c r="E776" s="8">
        <v>4.5</v>
      </c>
      <c r="F776" s="8">
        <v>3</v>
      </c>
      <c r="G776" s="8">
        <v>0</v>
      </c>
      <c r="H776" s="8">
        <v>5</v>
      </c>
      <c r="I776" s="8">
        <v>7</v>
      </c>
      <c r="J776" s="8">
        <v>7</v>
      </c>
      <c r="K776" s="8">
        <v>7</v>
      </c>
      <c r="L776" s="8">
        <v>7</v>
      </c>
      <c r="M776" s="8">
        <v>4.5</v>
      </c>
      <c r="N776" s="8">
        <v>0</v>
      </c>
      <c r="O776" s="8">
        <v>7</v>
      </c>
      <c r="P776" s="8">
        <v>6.5</v>
      </c>
      <c r="Q776" s="8">
        <v>4.5</v>
      </c>
      <c r="R776" s="8">
        <v>6.5</v>
      </c>
      <c r="S776" s="8">
        <v>6.5</v>
      </c>
      <c r="T776" s="8">
        <v>2.5</v>
      </c>
      <c r="U776" s="8">
        <v>12.5</v>
      </c>
      <c r="V776" s="8">
        <v>7</v>
      </c>
      <c r="W776" s="8">
        <v>7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11" t="s">
        <v>247</v>
      </c>
    </row>
    <row r="777" spans="1:46" ht="15.1" customHeight="1">
      <c r="A777" s="8">
        <v>258</v>
      </c>
      <c r="B777" s="9" t="s">
        <v>780</v>
      </c>
      <c r="C777" s="8" t="s">
        <v>781</v>
      </c>
      <c r="D777" s="9" t="s">
        <v>451</v>
      </c>
      <c r="E777" s="8" t="s">
        <v>54</v>
      </c>
      <c r="F777" s="8" t="s">
        <v>54</v>
      </c>
      <c r="G777" s="10" t="s">
        <v>67</v>
      </c>
      <c r="H777" s="8" t="s">
        <v>54</v>
      </c>
      <c r="I777" s="8" t="s">
        <v>54</v>
      </c>
      <c r="J777" s="8" t="s">
        <v>54</v>
      </c>
      <c r="K777" s="8" t="s">
        <v>54</v>
      </c>
      <c r="L777" s="8" t="s">
        <v>54</v>
      </c>
      <c r="M777" s="8" t="s">
        <v>54</v>
      </c>
      <c r="N777" s="10" t="s">
        <v>67</v>
      </c>
      <c r="O777" s="8" t="s">
        <v>54</v>
      </c>
      <c r="P777" s="8" t="s">
        <v>54</v>
      </c>
      <c r="Q777" s="8" t="s">
        <v>54</v>
      </c>
      <c r="R777" s="8" t="s">
        <v>54</v>
      </c>
      <c r="S777" s="8" t="s">
        <v>54</v>
      </c>
      <c r="T777" s="8" t="s">
        <v>54</v>
      </c>
      <c r="U777" s="10" t="s">
        <v>67</v>
      </c>
      <c r="V777" s="8" t="s">
        <v>54</v>
      </c>
      <c r="W777" s="12" t="s">
        <v>55</v>
      </c>
      <c r="X777" s="12" t="s">
        <v>55</v>
      </c>
      <c r="Y777" s="8" t="s">
        <v>54</v>
      </c>
      <c r="Z777" s="8" t="s">
        <v>54</v>
      </c>
      <c r="AA777" s="8" t="s">
        <v>54</v>
      </c>
      <c r="AB777" s="10" t="s">
        <v>67</v>
      </c>
      <c r="AC777" s="8" t="s">
        <v>54</v>
      </c>
      <c r="AD777" s="8" t="s">
        <v>54</v>
      </c>
      <c r="AE777" s="8" t="s">
        <v>54</v>
      </c>
      <c r="AF777" s="8" t="s">
        <v>54</v>
      </c>
      <c r="AG777" s="8" t="s">
        <v>54</v>
      </c>
      <c r="AH777" s="8" t="s">
        <v>54</v>
      </c>
      <c r="AI777" s="10" t="s">
        <v>67</v>
      </c>
      <c r="AJ777" s="8">
        <f>COUNTIF($E$777:$AI$777,"P")</f>
        <v>24</v>
      </c>
      <c r="AK777" s="8">
        <f>COUNTIF($E$777:$AI$777,"A")</f>
        <v>2</v>
      </c>
      <c r="AL777" s="8">
        <f>SUM($E$778:$AI$778)</f>
        <v>33</v>
      </c>
      <c r="AM777" s="8">
        <f>SUM($E$779:$AI$779)</f>
        <v>127.5</v>
      </c>
      <c r="AN777" s="8">
        <f>AL777+AM777</f>
        <v>160.5</v>
      </c>
      <c r="AO777" s="8">
        <f>COUNTIF($E$777:$AI$777,"CL")</f>
        <v>0</v>
      </c>
      <c r="AP777" s="8">
        <f>COUNTIF($E$777:$AI$777,"SL")</f>
        <v>0</v>
      </c>
      <c r="AQ777" s="8">
        <f>COUNTIF($E$777:$AI$777,"EL")</f>
        <v>0</v>
      </c>
      <c r="AR777" s="8">
        <f>COUNTIF($E$777:$AI$777,"H")</f>
        <v>0</v>
      </c>
      <c r="AS777" s="8"/>
      <c r="AT777" s="11" t="s">
        <v>247</v>
      </c>
    </row>
    <row r="778" spans="1:46" ht="15.1" customHeight="1">
      <c r="A778" s="8"/>
      <c r="B778" s="9"/>
      <c r="C778" s="8"/>
      <c r="D778" s="9"/>
      <c r="E778" s="8">
        <v>2</v>
      </c>
      <c r="F778" s="8">
        <v>2</v>
      </c>
      <c r="G778" s="8">
        <v>0</v>
      </c>
      <c r="H778" s="8">
        <v>2</v>
      </c>
      <c r="I778" s="8">
        <v>2</v>
      </c>
      <c r="J778" s="8">
        <v>2</v>
      </c>
      <c r="K778" s="8">
        <v>2</v>
      </c>
      <c r="L778" s="8">
        <v>2</v>
      </c>
      <c r="M778" s="8">
        <v>2</v>
      </c>
      <c r="N778" s="8">
        <v>0</v>
      </c>
      <c r="O778" s="8">
        <v>2</v>
      </c>
      <c r="P778" s="8">
        <v>2</v>
      </c>
      <c r="Q778" s="8">
        <v>2</v>
      </c>
      <c r="R778" s="8">
        <v>2</v>
      </c>
      <c r="S778" s="8">
        <v>2</v>
      </c>
      <c r="T778" s="8">
        <v>2</v>
      </c>
      <c r="U778" s="8">
        <v>0</v>
      </c>
      <c r="V778" s="8">
        <v>2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2</v>
      </c>
      <c r="AE778" s="8">
        <v>0</v>
      </c>
      <c r="AF778" s="8">
        <v>0</v>
      </c>
      <c r="AG778" s="8">
        <v>1</v>
      </c>
      <c r="AH778" s="8">
        <v>0</v>
      </c>
      <c r="AI778" s="8">
        <v>0</v>
      </c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11" t="s">
        <v>247</v>
      </c>
    </row>
    <row r="779" spans="1:46" ht="15.1" customHeight="1">
      <c r="A779" s="8"/>
      <c r="B779" s="9"/>
      <c r="C779" s="8"/>
      <c r="D779" s="9"/>
      <c r="E779" s="8">
        <v>4.5</v>
      </c>
      <c r="F779" s="8">
        <v>2.5</v>
      </c>
      <c r="G779" s="8">
        <v>13.5</v>
      </c>
      <c r="H779" s="8">
        <v>5</v>
      </c>
      <c r="I779" s="8">
        <v>6.5</v>
      </c>
      <c r="J779" s="8">
        <v>6.5</v>
      </c>
      <c r="K779" s="8">
        <v>6.5</v>
      </c>
      <c r="L779" s="8">
        <v>6.5</v>
      </c>
      <c r="M779" s="8">
        <v>4.5</v>
      </c>
      <c r="N779" s="8">
        <v>16.5</v>
      </c>
      <c r="O779" s="8">
        <v>7</v>
      </c>
      <c r="P779" s="8">
        <v>6.5</v>
      </c>
      <c r="Q779" s="8">
        <v>4.5</v>
      </c>
      <c r="R779" s="8">
        <v>7</v>
      </c>
      <c r="S779" s="8">
        <v>6.5</v>
      </c>
      <c r="T779" s="8">
        <v>2.5</v>
      </c>
      <c r="U779" s="8">
        <v>12</v>
      </c>
      <c r="V779" s="8">
        <v>7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2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11" t="s">
        <v>247</v>
      </c>
    </row>
    <row r="780" spans="1:46" ht="15.1" customHeight="1">
      <c r="A780" s="8">
        <v>259</v>
      </c>
      <c r="B780" s="9" t="s">
        <v>782</v>
      </c>
      <c r="C780" s="8" t="s">
        <v>783</v>
      </c>
      <c r="D780" s="9" t="s">
        <v>451</v>
      </c>
      <c r="E780" s="8" t="s">
        <v>784</v>
      </c>
      <c r="F780" s="8" t="s">
        <v>784</v>
      </c>
      <c r="G780" s="10" t="s">
        <v>784</v>
      </c>
      <c r="H780" s="8" t="s">
        <v>784</v>
      </c>
      <c r="I780" s="8" t="s">
        <v>784</v>
      </c>
      <c r="J780" s="8" t="s">
        <v>784</v>
      </c>
      <c r="K780" s="8" t="s">
        <v>784</v>
      </c>
      <c r="L780" s="8" t="s">
        <v>784</v>
      </c>
      <c r="M780" s="8" t="s">
        <v>784</v>
      </c>
      <c r="N780" s="10" t="s">
        <v>784</v>
      </c>
      <c r="O780" s="8" t="s">
        <v>784</v>
      </c>
      <c r="P780" s="8" t="s">
        <v>784</v>
      </c>
      <c r="Q780" s="8" t="s">
        <v>784</v>
      </c>
      <c r="R780" s="8" t="s">
        <v>784</v>
      </c>
      <c r="S780" s="8" t="s">
        <v>784</v>
      </c>
      <c r="T780" s="8" t="s">
        <v>784</v>
      </c>
      <c r="U780" s="10" t="s">
        <v>784</v>
      </c>
      <c r="V780" s="8" t="s">
        <v>784</v>
      </c>
      <c r="W780" s="8" t="s">
        <v>784</v>
      </c>
      <c r="X780" s="8" t="s">
        <v>784</v>
      </c>
      <c r="Y780" s="8" t="s">
        <v>784</v>
      </c>
      <c r="Z780" s="8" t="s">
        <v>784</v>
      </c>
      <c r="AA780" s="8" t="s">
        <v>784</v>
      </c>
      <c r="AB780" s="10" t="s">
        <v>784</v>
      </c>
      <c r="AC780" s="8" t="s">
        <v>784</v>
      </c>
      <c r="AD780" s="8" t="s">
        <v>784</v>
      </c>
      <c r="AE780" s="8" t="s">
        <v>784</v>
      </c>
      <c r="AF780" s="8" t="s">
        <v>784</v>
      </c>
      <c r="AG780" s="8" t="s">
        <v>784</v>
      </c>
      <c r="AH780" s="8" t="s">
        <v>784</v>
      </c>
      <c r="AI780" s="10" t="s">
        <v>784</v>
      </c>
      <c r="AJ780" s="8">
        <f>COUNTIF($E$780:$AI$780,"P")</f>
        <v>0</v>
      </c>
      <c r="AK780" s="8">
        <f>COUNTIF($E$780:$AI$780,"A")</f>
        <v>0</v>
      </c>
      <c r="AL780" s="8">
        <f>SUM($E$781:$AI$781)</f>
        <v>0</v>
      </c>
      <c r="AM780" s="8">
        <f>SUM($E$782:$AI$782)</f>
        <v>0</v>
      </c>
      <c r="AN780" s="8">
        <f>AL780+AM780</f>
        <v>0</v>
      </c>
      <c r="AO780" s="8">
        <f>COUNTIF($E$780:$AI$780,"CL")</f>
        <v>0</v>
      </c>
      <c r="AP780" s="8">
        <f>COUNTIF($E$780:$AI$780,"SL")</f>
        <v>0</v>
      </c>
      <c r="AQ780" s="8">
        <f>COUNTIF($E$780:$AI$780,"EL")</f>
        <v>0</v>
      </c>
      <c r="AR780" s="8">
        <f>COUNTIF($E$780:$AI$780,"H")</f>
        <v>0</v>
      </c>
      <c r="AS780" s="8"/>
      <c r="AT780" s="11" t="s">
        <v>247</v>
      </c>
    </row>
    <row r="781" spans="1:46" ht="15.1" customHeight="1">
      <c r="A781" s="8"/>
      <c r="B781" s="9"/>
      <c r="C781" s="8"/>
      <c r="D781" s="9"/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11" t="s">
        <v>247</v>
      </c>
    </row>
    <row r="782" spans="1:46" ht="15.1" customHeight="1">
      <c r="A782" s="8"/>
      <c r="B782" s="9"/>
      <c r="C782" s="8"/>
      <c r="D782" s="9"/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11" t="s">
        <v>247</v>
      </c>
    </row>
    <row r="783" spans="1:46" ht="15.1" customHeight="1">
      <c r="A783" s="8">
        <v>260</v>
      </c>
      <c r="B783" s="9" t="s">
        <v>785</v>
      </c>
      <c r="C783" s="8" t="s">
        <v>786</v>
      </c>
      <c r="D783" s="9" t="s">
        <v>451</v>
      </c>
      <c r="E783" s="8" t="s">
        <v>54</v>
      </c>
      <c r="F783" s="8" t="s">
        <v>54</v>
      </c>
      <c r="G783" s="10" t="s">
        <v>67</v>
      </c>
      <c r="H783" s="12" t="s">
        <v>55</v>
      </c>
      <c r="I783" s="12" t="s">
        <v>55</v>
      </c>
      <c r="J783" s="12" t="s">
        <v>55</v>
      </c>
      <c r="K783" s="8" t="s">
        <v>54</v>
      </c>
      <c r="L783" s="8" t="s">
        <v>54</v>
      </c>
      <c r="M783" s="8" t="s">
        <v>54</v>
      </c>
      <c r="N783" s="10" t="s">
        <v>67</v>
      </c>
      <c r="O783" s="8" t="s">
        <v>54</v>
      </c>
      <c r="P783" s="8" t="s">
        <v>54</v>
      </c>
      <c r="Q783" s="8" t="s">
        <v>54</v>
      </c>
      <c r="R783" s="8" t="s">
        <v>54</v>
      </c>
      <c r="S783" s="8" t="s">
        <v>54</v>
      </c>
      <c r="T783" s="8" t="s">
        <v>54</v>
      </c>
      <c r="U783" s="10" t="s">
        <v>67</v>
      </c>
      <c r="V783" s="8" t="s">
        <v>54</v>
      </c>
      <c r="W783" s="8" t="s">
        <v>54</v>
      </c>
      <c r="X783" s="8" t="s">
        <v>54</v>
      </c>
      <c r="Y783" s="8" t="s">
        <v>54</v>
      </c>
      <c r="Z783" s="8" t="s">
        <v>54</v>
      </c>
      <c r="AA783" s="8" t="s">
        <v>54</v>
      </c>
      <c r="AB783" s="10" t="s">
        <v>67</v>
      </c>
      <c r="AC783" s="8" t="s">
        <v>54</v>
      </c>
      <c r="AD783" s="8" t="s">
        <v>54</v>
      </c>
      <c r="AE783" s="8" t="s">
        <v>54</v>
      </c>
      <c r="AF783" s="8" t="s">
        <v>54</v>
      </c>
      <c r="AG783" s="8" t="s">
        <v>54</v>
      </c>
      <c r="AH783" s="8" t="s">
        <v>54</v>
      </c>
      <c r="AI783" s="10" t="s">
        <v>67</v>
      </c>
      <c r="AJ783" s="8">
        <f>COUNTIF($E$783:$AI$783,"P")</f>
        <v>23</v>
      </c>
      <c r="AK783" s="8">
        <f>COUNTIF($E$783:$AI$783,"A")</f>
        <v>3</v>
      </c>
      <c r="AL783" s="8">
        <f>SUM($E$784:$AI$784)</f>
        <v>31</v>
      </c>
      <c r="AM783" s="8">
        <f>SUM($E$785:$AI$785)</f>
        <v>96.5</v>
      </c>
      <c r="AN783" s="8">
        <f>AL783+AM783</f>
        <v>127.5</v>
      </c>
      <c r="AO783" s="8">
        <f>COUNTIF($E$783:$AI$783,"CL")</f>
        <v>0</v>
      </c>
      <c r="AP783" s="8">
        <f>COUNTIF($E$783:$AI$783,"SL")</f>
        <v>0</v>
      </c>
      <c r="AQ783" s="8">
        <f>COUNTIF($E$783:$AI$783,"EL")</f>
        <v>0</v>
      </c>
      <c r="AR783" s="8">
        <f>COUNTIF($E$783:$AI$783,"H")</f>
        <v>0</v>
      </c>
      <c r="AS783" s="8"/>
      <c r="AT783" s="11" t="s">
        <v>247</v>
      </c>
    </row>
    <row r="784" spans="1:46" ht="15.1" customHeight="1">
      <c r="A784" s="8"/>
      <c r="B784" s="9"/>
      <c r="C784" s="8"/>
      <c r="D784" s="9"/>
      <c r="E784" s="8">
        <v>2</v>
      </c>
      <c r="F784" s="8">
        <v>2</v>
      </c>
      <c r="G784" s="8">
        <v>0</v>
      </c>
      <c r="H784" s="8">
        <v>0</v>
      </c>
      <c r="I784" s="8">
        <v>0</v>
      </c>
      <c r="J784" s="8">
        <v>0</v>
      </c>
      <c r="K784" s="8">
        <v>2</v>
      </c>
      <c r="L784" s="8">
        <v>2</v>
      </c>
      <c r="M784" s="8">
        <v>2</v>
      </c>
      <c r="N784" s="8">
        <v>0</v>
      </c>
      <c r="O784" s="8">
        <v>2</v>
      </c>
      <c r="P784" s="8">
        <v>2</v>
      </c>
      <c r="Q784" s="8">
        <v>2</v>
      </c>
      <c r="R784" s="8">
        <v>2</v>
      </c>
      <c r="S784" s="8">
        <v>2</v>
      </c>
      <c r="T784" s="8">
        <v>2</v>
      </c>
      <c r="U784" s="8">
        <v>0</v>
      </c>
      <c r="V784" s="8">
        <v>2</v>
      </c>
      <c r="W784" s="8">
        <v>2</v>
      </c>
      <c r="X784" s="8">
        <v>2</v>
      </c>
      <c r="Y784" s="8">
        <v>0</v>
      </c>
      <c r="Z784" s="8">
        <v>0</v>
      </c>
      <c r="AA784" s="8">
        <v>0</v>
      </c>
      <c r="AB784" s="8">
        <v>0</v>
      </c>
      <c r="AC784" s="8">
        <v>2</v>
      </c>
      <c r="AD784" s="8">
        <v>0</v>
      </c>
      <c r="AE784" s="8">
        <v>0</v>
      </c>
      <c r="AF784" s="8">
        <v>0</v>
      </c>
      <c r="AG784" s="8">
        <v>1</v>
      </c>
      <c r="AH784" s="8">
        <v>0</v>
      </c>
      <c r="AI784" s="8">
        <v>0</v>
      </c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11" t="s">
        <v>247</v>
      </c>
    </row>
    <row r="785" spans="1:46" ht="15.1" customHeight="1">
      <c r="A785" s="8"/>
      <c r="B785" s="9"/>
      <c r="C785" s="8"/>
      <c r="D785" s="9"/>
      <c r="E785" s="8">
        <v>4.5</v>
      </c>
      <c r="F785" s="8">
        <v>2.5</v>
      </c>
      <c r="G785" s="8">
        <v>13.5</v>
      </c>
      <c r="H785" s="8">
        <v>0</v>
      </c>
      <c r="I785" s="8">
        <v>0</v>
      </c>
      <c r="J785" s="8">
        <v>0</v>
      </c>
      <c r="K785" s="8">
        <v>5</v>
      </c>
      <c r="L785" s="8">
        <v>5</v>
      </c>
      <c r="M785" s="8">
        <v>4.5</v>
      </c>
      <c r="N785" s="8">
        <v>14.5</v>
      </c>
      <c r="O785" s="8">
        <v>4.5</v>
      </c>
      <c r="P785" s="8">
        <v>4.5</v>
      </c>
      <c r="Q785" s="8">
        <v>4.5</v>
      </c>
      <c r="R785" s="8">
        <v>4.5</v>
      </c>
      <c r="S785" s="8">
        <v>4.5</v>
      </c>
      <c r="T785" s="8">
        <v>2.5</v>
      </c>
      <c r="U785" s="8">
        <v>12.5</v>
      </c>
      <c r="V785" s="8">
        <v>4.5</v>
      </c>
      <c r="W785" s="8">
        <v>5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11" t="s">
        <v>247</v>
      </c>
    </row>
    <row r="786" spans="1:46" ht="15.1" customHeight="1">
      <c r="A786" s="8">
        <v>261</v>
      </c>
      <c r="B786" s="9" t="s">
        <v>787</v>
      </c>
      <c r="C786" s="8" t="s">
        <v>788</v>
      </c>
      <c r="D786" s="9" t="s">
        <v>451</v>
      </c>
      <c r="E786" s="8" t="s">
        <v>54</v>
      </c>
      <c r="F786" s="8" t="s">
        <v>54</v>
      </c>
      <c r="G786" s="10" t="s">
        <v>67</v>
      </c>
      <c r="H786" s="8" t="s">
        <v>54</v>
      </c>
      <c r="I786" s="8" t="s">
        <v>54</v>
      </c>
      <c r="J786" s="8" t="s">
        <v>54</v>
      </c>
      <c r="K786" s="8" t="s">
        <v>54</v>
      </c>
      <c r="L786" s="8" t="s">
        <v>54</v>
      </c>
      <c r="M786" s="8" t="s">
        <v>54</v>
      </c>
      <c r="N786" s="10" t="s">
        <v>67</v>
      </c>
      <c r="O786" s="8" t="s">
        <v>54</v>
      </c>
      <c r="P786" s="8" t="s">
        <v>54</v>
      </c>
      <c r="Q786" s="8" t="s">
        <v>54</v>
      </c>
      <c r="R786" s="8" t="s">
        <v>54</v>
      </c>
      <c r="S786" s="8" t="s">
        <v>54</v>
      </c>
      <c r="T786" s="8" t="s">
        <v>54</v>
      </c>
      <c r="U786" s="10" t="s">
        <v>67</v>
      </c>
      <c r="V786" s="8" t="s">
        <v>54</v>
      </c>
      <c r="W786" s="8" t="s">
        <v>54</v>
      </c>
      <c r="X786" s="8" t="s">
        <v>54</v>
      </c>
      <c r="Y786" s="8" t="s">
        <v>54</v>
      </c>
      <c r="Z786" s="8" t="s">
        <v>54</v>
      </c>
      <c r="AA786" s="8" t="s">
        <v>54</v>
      </c>
      <c r="AB786" s="10" t="s">
        <v>67</v>
      </c>
      <c r="AC786" s="8" t="s">
        <v>54</v>
      </c>
      <c r="AD786" s="8" t="s">
        <v>54</v>
      </c>
      <c r="AE786" s="8" t="s">
        <v>54</v>
      </c>
      <c r="AF786" s="8" t="s">
        <v>54</v>
      </c>
      <c r="AG786" s="8" t="s">
        <v>54</v>
      </c>
      <c r="AH786" s="8"/>
      <c r="AI786" s="10"/>
      <c r="AJ786" s="8">
        <f>COUNTIF($E$786:$AI$786,"P")</f>
        <v>25</v>
      </c>
      <c r="AK786" s="8">
        <f>COUNTIF($E$786:$AI$786,"A")</f>
        <v>0</v>
      </c>
      <c r="AL786" s="8">
        <f>SUM($E$787:$AI$787)</f>
        <v>34</v>
      </c>
      <c r="AM786" s="8">
        <f>SUM($E$788:$AI$788)</f>
        <v>124</v>
      </c>
      <c r="AN786" s="8">
        <f>AL786+AM786</f>
        <v>157.5</v>
      </c>
      <c r="AO786" s="8">
        <f>COUNTIF($E$786:$AI$786,"CL")</f>
        <v>0</v>
      </c>
      <c r="AP786" s="8">
        <f>COUNTIF($E$786:$AI$786,"SL")</f>
        <v>0</v>
      </c>
      <c r="AQ786" s="8">
        <f>COUNTIF($E$786:$AI$786,"EL")</f>
        <v>0</v>
      </c>
      <c r="AR786" s="8">
        <f>COUNTIF($E$786:$AI$786,"H")</f>
        <v>0</v>
      </c>
      <c r="AS786" s="8"/>
      <c r="AT786" s="11" t="s">
        <v>247</v>
      </c>
    </row>
    <row r="787" spans="1:46" ht="15.1" customHeight="1">
      <c r="A787" s="8"/>
      <c r="B787" s="9"/>
      <c r="C787" s="8"/>
      <c r="D787" s="9"/>
      <c r="E787" s="8">
        <v>2</v>
      </c>
      <c r="F787" s="8">
        <v>2</v>
      </c>
      <c r="G787" s="8">
        <v>0</v>
      </c>
      <c r="H787" s="8">
        <v>2</v>
      </c>
      <c r="I787" s="8">
        <v>2</v>
      </c>
      <c r="J787" s="8">
        <v>2</v>
      </c>
      <c r="K787" s="8">
        <v>2</v>
      </c>
      <c r="L787" s="8">
        <v>2</v>
      </c>
      <c r="M787" s="8">
        <v>2</v>
      </c>
      <c r="N787" s="8">
        <v>0</v>
      </c>
      <c r="O787" s="8">
        <v>2</v>
      </c>
      <c r="P787" s="8">
        <v>2</v>
      </c>
      <c r="Q787" s="8">
        <v>2</v>
      </c>
      <c r="R787" s="8">
        <v>2</v>
      </c>
      <c r="S787" s="8">
        <v>2</v>
      </c>
      <c r="T787" s="8">
        <v>2</v>
      </c>
      <c r="U787" s="8">
        <v>0</v>
      </c>
      <c r="V787" s="8">
        <v>2</v>
      </c>
      <c r="W787" s="8">
        <v>2</v>
      </c>
      <c r="X787" s="8">
        <v>2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11" t="s">
        <v>247</v>
      </c>
    </row>
    <row r="788" spans="1:46" ht="15.1" customHeight="1">
      <c r="A788" s="8"/>
      <c r="B788" s="9"/>
      <c r="C788" s="8"/>
      <c r="D788" s="9"/>
      <c r="E788" s="8">
        <v>5</v>
      </c>
      <c r="F788" s="8">
        <v>3</v>
      </c>
      <c r="G788" s="8">
        <v>9.5</v>
      </c>
      <c r="H788" s="8">
        <v>5</v>
      </c>
      <c r="I788" s="8">
        <v>7</v>
      </c>
      <c r="J788" s="8">
        <v>7</v>
      </c>
      <c r="K788" s="8">
        <v>7</v>
      </c>
      <c r="L788" s="8">
        <v>6.5</v>
      </c>
      <c r="M788" s="8">
        <v>4.5</v>
      </c>
      <c r="N788" s="8">
        <v>16</v>
      </c>
      <c r="O788" s="8">
        <v>7</v>
      </c>
      <c r="P788" s="8">
        <v>6.5</v>
      </c>
      <c r="Q788" s="8">
        <v>4.5</v>
      </c>
      <c r="R788" s="8">
        <v>7</v>
      </c>
      <c r="S788" s="8">
        <v>7</v>
      </c>
      <c r="T788" s="8">
        <v>3</v>
      </c>
      <c r="U788" s="8">
        <v>5</v>
      </c>
      <c r="V788" s="8">
        <v>7</v>
      </c>
      <c r="W788" s="8">
        <v>6.5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11" t="s">
        <v>247</v>
      </c>
    </row>
    <row r="789" spans="1:46" ht="15.1" customHeight="1">
      <c r="A789" s="8">
        <v>262</v>
      </c>
      <c r="B789" s="9" t="s">
        <v>789</v>
      </c>
      <c r="C789" s="8" t="s">
        <v>790</v>
      </c>
      <c r="D789" s="9" t="s">
        <v>451</v>
      </c>
      <c r="E789" s="8" t="s">
        <v>54</v>
      </c>
      <c r="F789" s="8" t="s">
        <v>54</v>
      </c>
      <c r="G789" s="10" t="s">
        <v>67</v>
      </c>
      <c r="H789" s="8" t="s">
        <v>54</v>
      </c>
      <c r="I789" s="8" t="s">
        <v>54</v>
      </c>
      <c r="J789" s="8" t="s">
        <v>54</v>
      </c>
      <c r="K789" s="8" t="s">
        <v>54</v>
      </c>
      <c r="L789" s="8" t="s">
        <v>54</v>
      </c>
      <c r="M789" s="8" t="s">
        <v>54</v>
      </c>
      <c r="N789" s="10" t="s">
        <v>67</v>
      </c>
      <c r="O789" s="8" t="s">
        <v>54</v>
      </c>
      <c r="P789" s="8" t="s">
        <v>54</v>
      </c>
      <c r="Q789" s="8" t="s">
        <v>54</v>
      </c>
      <c r="R789" s="8" t="s">
        <v>54</v>
      </c>
      <c r="S789" s="8" t="s">
        <v>54</v>
      </c>
      <c r="T789" s="8" t="s">
        <v>54</v>
      </c>
      <c r="U789" s="10" t="s">
        <v>67</v>
      </c>
      <c r="V789" s="8" t="s">
        <v>54</v>
      </c>
      <c r="W789" s="8" t="s">
        <v>54</v>
      </c>
      <c r="X789" s="8" t="s">
        <v>54</v>
      </c>
      <c r="Y789" s="8" t="s">
        <v>54</v>
      </c>
      <c r="Z789" s="8" t="s">
        <v>54</v>
      </c>
      <c r="AA789" s="8" t="s">
        <v>54</v>
      </c>
      <c r="AB789" s="10" t="s">
        <v>67</v>
      </c>
      <c r="AC789" s="8" t="s">
        <v>54</v>
      </c>
      <c r="AD789" s="8" t="s">
        <v>54</v>
      </c>
      <c r="AE789" s="8" t="s">
        <v>54</v>
      </c>
      <c r="AF789" s="8" t="s">
        <v>54</v>
      </c>
      <c r="AG789" s="8" t="s">
        <v>54</v>
      </c>
      <c r="AH789" s="8" t="s">
        <v>54</v>
      </c>
      <c r="AI789" s="10" t="s">
        <v>67</v>
      </c>
      <c r="AJ789" s="8">
        <f>COUNTIF($E$789:$AI$789,"P")</f>
        <v>26</v>
      </c>
      <c r="AK789" s="8">
        <f>COUNTIF($E$789:$AI$789,"A")</f>
        <v>0</v>
      </c>
      <c r="AL789" s="8">
        <f>SUM($E$790:$AI$790)</f>
        <v>35</v>
      </c>
      <c r="AM789" s="8">
        <f>SUM($E$791:$AI$791)</f>
        <v>115</v>
      </c>
      <c r="AN789" s="8">
        <f>AL789+AM789</f>
        <v>150</v>
      </c>
      <c r="AO789" s="8">
        <f>COUNTIF($E$789:$AI$789,"CL")</f>
        <v>0</v>
      </c>
      <c r="AP789" s="8">
        <f>COUNTIF($E$789:$AI$789,"SL")</f>
        <v>0</v>
      </c>
      <c r="AQ789" s="8">
        <f>COUNTIF($E$789:$AI$789,"EL")</f>
        <v>0</v>
      </c>
      <c r="AR789" s="8">
        <f>COUNTIF($E$789:$AI$789,"H")</f>
        <v>0</v>
      </c>
      <c r="AS789" s="8"/>
      <c r="AT789" s="11" t="s">
        <v>247</v>
      </c>
    </row>
    <row r="790" spans="1:46" ht="15.1" customHeight="1">
      <c r="A790" s="8"/>
      <c r="B790" s="9"/>
      <c r="C790" s="8"/>
      <c r="D790" s="9"/>
      <c r="E790" s="8">
        <v>2</v>
      </c>
      <c r="F790" s="8">
        <v>2</v>
      </c>
      <c r="G790" s="8">
        <v>0</v>
      </c>
      <c r="H790" s="8">
        <v>2</v>
      </c>
      <c r="I790" s="8">
        <v>2</v>
      </c>
      <c r="J790" s="8">
        <v>2</v>
      </c>
      <c r="K790" s="8">
        <v>2</v>
      </c>
      <c r="L790" s="8">
        <v>2</v>
      </c>
      <c r="M790" s="8">
        <v>2</v>
      </c>
      <c r="N790" s="8">
        <v>0</v>
      </c>
      <c r="O790" s="8">
        <v>2</v>
      </c>
      <c r="P790" s="8">
        <v>2</v>
      </c>
      <c r="Q790" s="8">
        <v>2</v>
      </c>
      <c r="R790" s="8">
        <v>2</v>
      </c>
      <c r="S790" s="8">
        <v>2</v>
      </c>
      <c r="T790" s="8">
        <v>2</v>
      </c>
      <c r="U790" s="8">
        <v>0</v>
      </c>
      <c r="V790" s="8">
        <v>2</v>
      </c>
      <c r="W790" s="8">
        <v>2</v>
      </c>
      <c r="X790" s="8">
        <v>2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1</v>
      </c>
      <c r="AH790" s="8">
        <v>0</v>
      </c>
      <c r="AI790" s="8">
        <v>0</v>
      </c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11" t="s">
        <v>247</v>
      </c>
    </row>
    <row r="791" spans="1:46" ht="15.1" customHeight="1">
      <c r="A791" s="8"/>
      <c r="B791" s="9"/>
      <c r="C791" s="8"/>
      <c r="D791" s="9"/>
      <c r="E791" s="8">
        <v>5</v>
      </c>
      <c r="F791" s="8">
        <v>3</v>
      </c>
      <c r="G791" s="8">
        <v>13.5</v>
      </c>
      <c r="H791" s="8">
        <v>3</v>
      </c>
      <c r="I791" s="8">
        <v>7</v>
      </c>
      <c r="J791" s="8">
        <v>7</v>
      </c>
      <c r="K791" s="8">
        <v>7</v>
      </c>
      <c r="L791" s="8">
        <v>7</v>
      </c>
      <c r="M791" s="8">
        <v>5</v>
      </c>
      <c r="N791" s="8">
        <v>0</v>
      </c>
      <c r="O791" s="8">
        <v>7</v>
      </c>
      <c r="P791" s="8">
        <v>7</v>
      </c>
      <c r="Q791" s="8">
        <v>4.5</v>
      </c>
      <c r="R791" s="8">
        <v>7</v>
      </c>
      <c r="S791" s="8">
        <v>7</v>
      </c>
      <c r="T791" s="8">
        <v>3</v>
      </c>
      <c r="U791" s="8">
        <v>8</v>
      </c>
      <c r="V791" s="8">
        <v>7</v>
      </c>
      <c r="W791" s="8">
        <v>7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11" t="s">
        <v>247</v>
      </c>
    </row>
    <row r="792" spans="1:46" ht="15.1" customHeight="1">
      <c r="A792" s="8">
        <v>263</v>
      </c>
      <c r="B792" s="9" t="s">
        <v>791</v>
      </c>
      <c r="C792" s="8" t="s">
        <v>792</v>
      </c>
      <c r="D792" s="9" t="s">
        <v>451</v>
      </c>
      <c r="E792" s="8" t="s">
        <v>54</v>
      </c>
      <c r="F792" s="8" t="s">
        <v>54</v>
      </c>
      <c r="G792" s="10" t="s">
        <v>67</v>
      </c>
      <c r="H792" s="8" t="s">
        <v>54</v>
      </c>
      <c r="I792" s="8" t="s">
        <v>54</v>
      </c>
      <c r="J792" s="8" t="s">
        <v>54</v>
      </c>
      <c r="K792" s="8" t="s">
        <v>54</v>
      </c>
      <c r="L792" s="8" t="s">
        <v>54</v>
      </c>
      <c r="M792" s="8" t="s">
        <v>54</v>
      </c>
      <c r="N792" s="10" t="s">
        <v>67</v>
      </c>
      <c r="O792" s="8" t="s">
        <v>54</v>
      </c>
      <c r="P792" s="8" t="s">
        <v>54</v>
      </c>
      <c r="Q792" s="8" t="s">
        <v>54</v>
      </c>
      <c r="R792" s="8" t="s">
        <v>54</v>
      </c>
      <c r="S792" s="8" t="s">
        <v>54</v>
      </c>
      <c r="T792" s="8" t="s">
        <v>54</v>
      </c>
      <c r="U792" s="10" t="s">
        <v>67</v>
      </c>
      <c r="V792" s="8" t="s">
        <v>54</v>
      </c>
      <c r="W792" s="8" t="s">
        <v>54</v>
      </c>
      <c r="X792" s="8" t="s">
        <v>54</v>
      </c>
      <c r="Y792" s="8" t="s">
        <v>54</v>
      </c>
      <c r="Z792" s="8" t="s">
        <v>54</v>
      </c>
      <c r="AA792" s="8" t="s">
        <v>54</v>
      </c>
      <c r="AB792" s="10" t="s">
        <v>67</v>
      </c>
      <c r="AC792" s="8" t="s">
        <v>54</v>
      </c>
      <c r="AD792" s="8" t="s">
        <v>54</v>
      </c>
      <c r="AE792" s="8" t="s">
        <v>54</v>
      </c>
      <c r="AF792" s="8" t="s">
        <v>54</v>
      </c>
      <c r="AG792" s="8" t="s">
        <v>54</v>
      </c>
      <c r="AH792" s="8" t="s">
        <v>54</v>
      </c>
      <c r="AI792" s="10" t="s">
        <v>67</v>
      </c>
      <c r="AJ792" s="8">
        <f>COUNTIF($E$792:$AI$792,"P")</f>
        <v>26</v>
      </c>
      <c r="AK792" s="8">
        <f>COUNTIF($E$792:$AI$792,"A")</f>
        <v>0</v>
      </c>
      <c r="AL792" s="8">
        <f>SUM($E$793:$AI$793)</f>
        <v>37</v>
      </c>
      <c r="AM792" s="8">
        <f>SUM($E$794:$AI$794)</f>
        <v>136.5</v>
      </c>
      <c r="AN792" s="8">
        <f>AL792+AM792</f>
        <v>173.5</v>
      </c>
      <c r="AO792" s="8">
        <f>COUNTIF($E$792:$AI$792,"CL")</f>
        <v>0</v>
      </c>
      <c r="AP792" s="8">
        <f>COUNTIF($E$792:$AI$792,"SL")</f>
        <v>0</v>
      </c>
      <c r="AQ792" s="8">
        <f>COUNTIF($E$792:$AI$792,"EL")</f>
        <v>0</v>
      </c>
      <c r="AR792" s="8">
        <f>COUNTIF($E$792:$AI$792,"H")</f>
        <v>0</v>
      </c>
      <c r="AS792" s="8"/>
      <c r="AT792" s="11" t="s">
        <v>247</v>
      </c>
    </row>
    <row r="793" spans="1:46" ht="15.1" customHeight="1">
      <c r="A793" s="8"/>
      <c r="B793" s="9"/>
      <c r="C793" s="8"/>
      <c r="D793" s="9"/>
      <c r="E793" s="8">
        <v>2</v>
      </c>
      <c r="F793" s="8">
        <v>2</v>
      </c>
      <c r="G793" s="8">
        <v>0</v>
      </c>
      <c r="H793" s="8">
        <v>2</v>
      </c>
      <c r="I793" s="8">
        <v>2</v>
      </c>
      <c r="J793" s="8">
        <v>2</v>
      </c>
      <c r="K793" s="8">
        <v>2</v>
      </c>
      <c r="L793" s="8">
        <v>2</v>
      </c>
      <c r="M793" s="8">
        <v>2</v>
      </c>
      <c r="N793" s="8">
        <v>0</v>
      </c>
      <c r="O793" s="8">
        <v>2</v>
      </c>
      <c r="P793" s="8">
        <v>2</v>
      </c>
      <c r="Q793" s="8">
        <v>2</v>
      </c>
      <c r="R793" s="8">
        <v>2</v>
      </c>
      <c r="S793" s="8">
        <v>2</v>
      </c>
      <c r="T793" s="8">
        <v>2</v>
      </c>
      <c r="U793" s="8">
        <v>0</v>
      </c>
      <c r="V793" s="8">
        <v>2</v>
      </c>
      <c r="W793" s="8">
        <v>2</v>
      </c>
      <c r="X793" s="8">
        <v>2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2</v>
      </c>
      <c r="AE793" s="8">
        <v>0</v>
      </c>
      <c r="AF793" s="8">
        <v>0</v>
      </c>
      <c r="AG793" s="8">
        <v>1</v>
      </c>
      <c r="AH793" s="8">
        <v>0</v>
      </c>
      <c r="AI793" s="8">
        <v>0</v>
      </c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11" t="s">
        <v>247</v>
      </c>
    </row>
    <row r="794" spans="1:46" ht="15.1" customHeight="1">
      <c r="A794" s="8"/>
      <c r="B794" s="9"/>
      <c r="C794" s="8"/>
      <c r="D794" s="9"/>
      <c r="E794" s="8">
        <v>4.5</v>
      </c>
      <c r="F794" s="8">
        <v>3</v>
      </c>
      <c r="G794" s="8">
        <v>13.5</v>
      </c>
      <c r="H794" s="8">
        <v>5</v>
      </c>
      <c r="I794" s="8">
        <v>7</v>
      </c>
      <c r="J794" s="8">
        <v>7</v>
      </c>
      <c r="K794" s="8">
        <v>7</v>
      </c>
      <c r="L794" s="8">
        <v>7</v>
      </c>
      <c r="M794" s="8">
        <v>4.5</v>
      </c>
      <c r="N794" s="8">
        <v>16</v>
      </c>
      <c r="O794" s="8">
        <v>6.5</v>
      </c>
      <c r="P794" s="8">
        <v>6.5</v>
      </c>
      <c r="Q794" s="8">
        <v>4.5</v>
      </c>
      <c r="R794" s="8">
        <v>6.5</v>
      </c>
      <c r="S794" s="8">
        <v>7</v>
      </c>
      <c r="T794" s="8">
        <v>3</v>
      </c>
      <c r="U794" s="8">
        <v>12</v>
      </c>
      <c r="V794" s="8">
        <v>7</v>
      </c>
      <c r="W794" s="8">
        <v>7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2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11" t="s">
        <v>247</v>
      </c>
    </row>
    <row r="795" spans="1:46" ht="15.1" customHeight="1">
      <c r="A795" s="8">
        <v>264</v>
      </c>
      <c r="B795" s="9" t="s">
        <v>793</v>
      </c>
      <c r="C795" s="8" t="s">
        <v>794</v>
      </c>
      <c r="D795" s="9" t="s">
        <v>451</v>
      </c>
      <c r="E795" s="12" t="s">
        <v>55</v>
      </c>
      <c r="F795" s="12" t="s">
        <v>55</v>
      </c>
      <c r="G795" s="10" t="s">
        <v>67</v>
      </c>
      <c r="H795" s="8" t="s">
        <v>54</v>
      </c>
      <c r="I795" s="8" t="s">
        <v>54</v>
      </c>
      <c r="J795" s="8" t="s">
        <v>54</v>
      </c>
      <c r="K795" s="12" t="s">
        <v>55</v>
      </c>
      <c r="L795" s="8" t="s">
        <v>54</v>
      </c>
      <c r="M795" s="12" t="s">
        <v>55</v>
      </c>
      <c r="N795" s="10" t="s">
        <v>67</v>
      </c>
      <c r="O795" s="8" t="s">
        <v>54</v>
      </c>
      <c r="P795" s="8" t="s">
        <v>54</v>
      </c>
      <c r="Q795" s="8" t="s">
        <v>54</v>
      </c>
      <c r="R795" s="12" t="s">
        <v>55</v>
      </c>
      <c r="S795" s="8" t="s">
        <v>54</v>
      </c>
      <c r="T795" s="8" t="s">
        <v>54</v>
      </c>
      <c r="U795" s="10" t="s">
        <v>67</v>
      </c>
      <c r="V795" s="8" t="s">
        <v>54</v>
      </c>
      <c r="W795" s="8" t="s">
        <v>54</v>
      </c>
      <c r="X795" s="12" t="s">
        <v>55</v>
      </c>
      <c r="Y795" s="8" t="s">
        <v>54</v>
      </c>
      <c r="Z795" s="8" t="s">
        <v>54</v>
      </c>
      <c r="AA795" s="8" t="s">
        <v>54</v>
      </c>
      <c r="AB795" s="10" t="s">
        <v>67</v>
      </c>
      <c r="AC795" s="8" t="s">
        <v>54</v>
      </c>
      <c r="AD795" s="8" t="s">
        <v>54</v>
      </c>
      <c r="AE795" s="8" t="s">
        <v>54</v>
      </c>
      <c r="AF795" s="12" t="s">
        <v>55</v>
      </c>
      <c r="AG795" s="8" t="s">
        <v>54</v>
      </c>
      <c r="AH795" s="8" t="s">
        <v>54</v>
      </c>
      <c r="AI795" s="10" t="s">
        <v>67</v>
      </c>
      <c r="AJ795" s="8">
        <f>COUNTIF($E$795:$AI$795,"P")</f>
        <v>19</v>
      </c>
      <c r="AK795" s="8">
        <f>COUNTIF($E$795:$AI$795,"A")</f>
        <v>7</v>
      </c>
      <c r="AL795" s="8">
        <f>SUM($E$796:$AI$796)</f>
        <v>25</v>
      </c>
      <c r="AM795" s="8">
        <f>SUM($E$797:$AI$797)</f>
        <v>111</v>
      </c>
      <c r="AN795" s="8">
        <f>AL795+AM795</f>
        <v>136</v>
      </c>
      <c r="AO795" s="8">
        <f>COUNTIF($E$795:$AI$795,"CL")</f>
        <v>0</v>
      </c>
      <c r="AP795" s="8">
        <f>COUNTIF($E$795:$AI$795,"SL")</f>
        <v>0</v>
      </c>
      <c r="AQ795" s="8">
        <f>COUNTIF($E$795:$AI$795,"EL")</f>
        <v>0</v>
      </c>
      <c r="AR795" s="8">
        <f>COUNTIF($E$795:$AI$795,"H")</f>
        <v>0</v>
      </c>
      <c r="AS795" s="8"/>
      <c r="AT795" s="11" t="s">
        <v>247</v>
      </c>
    </row>
    <row r="796" spans="1:46" ht="15.1" customHeight="1">
      <c r="A796" s="8"/>
      <c r="B796" s="9"/>
      <c r="C796" s="8"/>
      <c r="D796" s="9"/>
      <c r="E796" s="8">
        <v>0</v>
      </c>
      <c r="F796" s="8">
        <v>0</v>
      </c>
      <c r="G796" s="8">
        <v>0</v>
      </c>
      <c r="H796" s="8">
        <v>2</v>
      </c>
      <c r="I796" s="8">
        <v>2</v>
      </c>
      <c r="J796" s="8">
        <v>2</v>
      </c>
      <c r="K796" s="8">
        <v>0</v>
      </c>
      <c r="L796" s="8">
        <v>2</v>
      </c>
      <c r="M796" s="8">
        <v>0</v>
      </c>
      <c r="N796" s="8">
        <v>0</v>
      </c>
      <c r="O796" s="8">
        <v>2</v>
      </c>
      <c r="P796" s="8">
        <v>2</v>
      </c>
      <c r="Q796" s="8">
        <v>2</v>
      </c>
      <c r="R796" s="8">
        <v>0</v>
      </c>
      <c r="S796" s="8">
        <v>2</v>
      </c>
      <c r="T796" s="8">
        <v>2</v>
      </c>
      <c r="U796" s="8">
        <v>0</v>
      </c>
      <c r="V796" s="8">
        <v>2</v>
      </c>
      <c r="W796" s="8">
        <v>2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2</v>
      </c>
      <c r="AE796" s="8">
        <v>0</v>
      </c>
      <c r="AF796" s="8">
        <v>0</v>
      </c>
      <c r="AG796" s="8">
        <v>1</v>
      </c>
      <c r="AH796" s="8">
        <v>0</v>
      </c>
      <c r="AI796" s="8">
        <v>0</v>
      </c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11" t="s">
        <v>247</v>
      </c>
    </row>
    <row r="797" spans="1:46" ht="15.1" customHeight="1">
      <c r="A797" s="8"/>
      <c r="B797" s="9"/>
      <c r="C797" s="8"/>
      <c r="D797" s="9"/>
      <c r="E797" s="8">
        <v>0</v>
      </c>
      <c r="F797" s="8">
        <v>0</v>
      </c>
      <c r="G797" s="8">
        <v>14</v>
      </c>
      <c r="H797" s="8">
        <v>5</v>
      </c>
      <c r="I797" s="8">
        <v>7</v>
      </c>
      <c r="J797" s="8">
        <v>6.5</v>
      </c>
      <c r="K797" s="8">
        <v>0</v>
      </c>
      <c r="L797" s="8">
        <v>7</v>
      </c>
      <c r="M797" s="8">
        <v>0</v>
      </c>
      <c r="N797" s="8">
        <v>17</v>
      </c>
      <c r="O797" s="8">
        <v>7</v>
      </c>
      <c r="P797" s="8">
        <v>6.5</v>
      </c>
      <c r="Q797" s="8">
        <v>2.5</v>
      </c>
      <c r="R797" s="8">
        <v>0</v>
      </c>
      <c r="S797" s="8">
        <v>7</v>
      </c>
      <c r="T797" s="8">
        <v>3</v>
      </c>
      <c r="U797" s="8">
        <v>12.5</v>
      </c>
      <c r="V797" s="8">
        <v>7</v>
      </c>
      <c r="W797" s="8">
        <v>7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2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11" t="s">
        <v>247</v>
      </c>
    </row>
    <row r="798" spans="1:46" ht="15.1" customHeight="1">
      <c r="A798" s="8">
        <v>265</v>
      </c>
      <c r="B798" s="9" t="s">
        <v>795</v>
      </c>
      <c r="C798" s="8" t="s">
        <v>796</v>
      </c>
      <c r="D798" s="9" t="s">
        <v>451</v>
      </c>
      <c r="E798" s="8" t="s">
        <v>54</v>
      </c>
      <c r="F798" s="8" t="s">
        <v>54</v>
      </c>
      <c r="G798" s="10" t="s">
        <v>67</v>
      </c>
      <c r="H798" s="8" t="s">
        <v>54</v>
      </c>
      <c r="I798" s="8" t="s">
        <v>54</v>
      </c>
      <c r="J798" s="8" t="s">
        <v>54</v>
      </c>
      <c r="K798" s="8" t="s">
        <v>54</v>
      </c>
      <c r="L798" s="8" t="s">
        <v>54</v>
      </c>
      <c r="M798" s="8" t="s">
        <v>54</v>
      </c>
      <c r="N798" s="10" t="s">
        <v>67</v>
      </c>
      <c r="O798" s="8" t="s">
        <v>54</v>
      </c>
      <c r="P798" s="8" t="s">
        <v>54</v>
      </c>
      <c r="Q798" s="8" t="s">
        <v>54</v>
      </c>
      <c r="R798" s="8" t="s">
        <v>54</v>
      </c>
      <c r="S798" s="8" t="s">
        <v>54</v>
      </c>
      <c r="T798" s="8" t="s">
        <v>54</v>
      </c>
      <c r="U798" s="10" t="s">
        <v>67</v>
      </c>
      <c r="V798" s="12" t="s">
        <v>55</v>
      </c>
      <c r="W798" s="12" t="s">
        <v>55</v>
      </c>
      <c r="X798" s="12" t="s">
        <v>55</v>
      </c>
      <c r="Y798" s="12" t="s">
        <v>55</v>
      </c>
      <c r="Z798" s="8" t="s">
        <v>54</v>
      </c>
      <c r="AA798" s="8" t="s">
        <v>54</v>
      </c>
      <c r="AB798" s="10" t="s">
        <v>67</v>
      </c>
      <c r="AC798" s="8" t="s">
        <v>54</v>
      </c>
      <c r="AD798" s="8" t="s">
        <v>54</v>
      </c>
      <c r="AE798" s="8" t="s">
        <v>54</v>
      </c>
      <c r="AF798" s="8" t="s">
        <v>54</v>
      </c>
      <c r="AG798" s="8" t="s">
        <v>54</v>
      </c>
      <c r="AH798" s="8" t="s">
        <v>54</v>
      </c>
      <c r="AI798" s="10" t="s">
        <v>67</v>
      </c>
      <c r="AJ798" s="8">
        <f>COUNTIF($E$798:$AI$798,"P")</f>
        <v>22</v>
      </c>
      <c r="AK798" s="8">
        <f>COUNTIF($E$798:$AI$798,"A")</f>
        <v>4</v>
      </c>
      <c r="AL798" s="8">
        <f>SUM($E$799:$AI$799)</f>
        <v>0</v>
      </c>
      <c r="AM798" s="8">
        <f>SUM($E$800:$AI$800)</f>
        <v>0</v>
      </c>
      <c r="AN798" s="8">
        <f>AL798+AM798</f>
        <v>0</v>
      </c>
      <c r="AO798" s="8">
        <f>COUNTIF($E$798:$AI$798,"CL")</f>
        <v>0</v>
      </c>
      <c r="AP798" s="8">
        <f>COUNTIF($E$798:$AI$798,"SL")</f>
        <v>0</v>
      </c>
      <c r="AQ798" s="8">
        <f>COUNTIF($E$798:$AI$798,"EL")</f>
        <v>0</v>
      </c>
      <c r="AR798" s="8">
        <f>COUNTIF($E$798:$AI$798,"H")</f>
        <v>0</v>
      </c>
      <c r="AS798" s="8"/>
      <c r="AT798" s="11" t="s">
        <v>247</v>
      </c>
    </row>
    <row r="799" spans="1:46" ht="15.1" customHeight="1">
      <c r="A799" s="8"/>
      <c r="B799" s="9"/>
      <c r="C799" s="8"/>
      <c r="D799" s="9"/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11" t="s">
        <v>247</v>
      </c>
    </row>
    <row r="800" spans="1:46" ht="15.1" customHeight="1">
      <c r="A800" s="8"/>
      <c r="B800" s="9"/>
      <c r="C800" s="8"/>
      <c r="D800" s="9"/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11" t="s">
        <v>247</v>
      </c>
    </row>
    <row r="801" spans="1:46" ht="15.1" customHeight="1">
      <c r="A801" s="8">
        <v>266</v>
      </c>
      <c r="B801" s="9" t="s">
        <v>797</v>
      </c>
      <c r="C801" s="8" t="s">
        <v>798</v>
      </c>
      <c r="D801" s="9" t="s">
        <v>763</v>
      </c>
      <c r="E801" s="12" t="s">
        <v>55</v>
      </c>
      <c r="F801" s="12" t="s">
        <v>55</v>
      </c>
      <c r="G801" s="10" t="s">
        <v>67</v>
      </c>
      <c r="H801" s="12" t="s">
        <v>55</v>
      </c>
      <c r="I801" s="8" t="s">
        <v>54</v>
      </c>
      <c r="J801" s="8" t="s">
        <v>54</v>
      </c>
      <c r="K801" s="8" t="s">
        <v>54</v>
      </c>
      <c r="L801" s="8" t="s">
        <v>54</v>
      </c>
      <c r="M801" s="8" t="s">
        <v>54</v>
      </c>
      <c r="N801" s="10" t="s">
        <v>67</v>
      </c>
      <c r="O801" s="8" t="s">
        <v>54</v>
      </c>
      <c r="P801" s="8" t="s">
        <v>54</v>
      </c>
      <c r="Q801" s="8" t="s">
        <v>54</v>
      </c>
      <c r="R801" s="8" t="s">
        <v>54</v>
      </c>
      <c r="S801" s="8" t="s">
        <v>54</v>
      </c>
      <c r="T801" s="8" t="s">
        <v>54</v>
      </c>
      <c r="U801" s="10" t="s">
        <v>67</v>
      </c>
      <c r="V801" s="8" t="s">
        <v>54</v>
      </c>
      <c r="W801" s="8" t="s">
        <v>54</v>
      </c>
      <c r="X801" s="8" t="s">
        <v>54</v>
      </c>
      <c r="Y801" s="8" t="s">
        <v>54</v>
      </c>
      <c r="Z801" s="12" t="s">
        <v>55</v>
      </c>
      <c r="AA801" s="12" t="s">
        <v>55</v>
      </c>
      <c r="AB801" s="10" t="s">
        <v>67</v>
      </c>
      <c r="AC801" s="8" t="s">
        <v>54</v>
      </c>
      <c r="AD801" s="8" t="s">
        <v>54</v>
      </c>
      <c r="AE801" s="8" t="s">
        <v>54</v>
      </c>
      <c r="AF801" s="8" t="s">
        <v>54</v>
      </c>
      <c r="AG801" s="8" t="s">
        <v>54</v>
      </c>
      <c r="AH801" s="8" t="s">
        <v>54</v>
      </c>
      <c r="AI801" s="10" t="s">
        <v>67</v>
      </c>
      <c r="AJ801" s="8">
        <f>COUNTIF($E$801:$AI$801,"P")</f>
        <v>21</v>
      </c>
      <c r="AK801" s="8">
        <f>COUNTIF($E$801:$AI$801,"A")</f>
        <v>5</v>
      </c>
      <c r="AL801" s="8">
        <f>SUM($E$802:$AI$802)</f>
        <v>29</v>
      </c>
      <c r="AM801" s="8">
        <f>SUM($E$803:$AI$803)</f>
        <v>105.5</v>
      </c>
      <c r="AN801" s="8">
        <f>AL801+AM801</f>
        <v>134.5</v>
      </c>
      <c r="AO801" s="8">
        <f>COUNTIF($E$801:$AI$801,"CL")</f>
        <v>0</v>
      </c>
      <c r="AP801" s="8">
        <f>COUNTIF($E$801:$AI$801,"SL")</f>
        <v>0</v>
      </c>
      <c r="AQ801" s="8">
        <f>COUNTIF($E$801:$AI$801,"EL")</f>
        <v>0</v>
      </c>
      <c r="AR801" s="8">
        <f>COUNTIF($E$801:$AI$801,"H")</f>
        <v>0</v>
      </c>
      <c r="AS801" s="8"/>
      <c r="AT801" s="11" t="s">
        <v>247</v>
      </c>
    </row>
    <row r="802" spans="1:46" ht="15.1" customHeight="1">
      <c r="A802" s="8"/>
      <c r="B802" s="9"/>
      <c r="C802" s="8"/>
      <c r="D802" s="9"/>
      <c r="E802" s="8">
        <v>0</v>
      </c>
      <c r="F802" s="8">
        <v>0</v>
      </c>
      <c r="G802" s="8">
        <v>0</v>
      </c>
      <c r="H802" s="8">
        <v>0</v>
      </c>
      <c r="I802" s="8">
        <v>2</v>
      </c>
      <c r="J802" s="8">
        <v>2</v>
      </c>
      <c r="K802" s="8">
        <v>2</v>
      </c>
      <c r="L802" s="8">
        <v>2</v>
      </c>
      <c r="M802" s="8">
        <v>2</v>
      </c>
      <c r="N802" s="8">
        <v>0</v>
      </c>
      <c r="O802" s="8">
        <v>2</v>
      </c>
      <c r="P802" s="8">
        <v>2</v>
      </c>
      <c r="Q802" s="8">
        <v>2</v>
      </c>
      <c r="R802" s="8">
        <v>2</v>
      </c>
      <c r="S802" s="8">
        <v>2</v>
      </c>
      <c r="T802" s="8">
        <v>2</v>
      </c>
      <c r="U802" s="8">
        <v>0</v>
      </c>
      <c r="V802" s="8">
        <v>2</v>
      </c>
      <c r="W802" s="8">
        <v>2</v>
      </c>
      <c r="X802" s="8">
        <v>2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1</v>
      </c>
      <c r="AH802" s="8">
        <v>0</v>
      </c>
      <c r="AI802" s="8">
        <v>0</v>
      </c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11" t="s">
        <v>247</v>
      </c>
    </row>
    <row r="803" spans="1:46" ht="15.1" customHeight="1">
      <c r="A803" s="8"/>
      <c r="B803" s="9"/>
      <c r="C803" s="8"/>
      <c r="D803" s="9"/>
      <c r="E803" s="8">
        <v>0</v>
      </c>
      <c r="F803" s="8">
        <v>0</v>
      </c>
      <c r="G803" s="8">
        <v>0</v>
      </c>
      <c r="H803" s="8">
        <v>0</v>
      </c>
      <c r="I803" s="8">
        <v>7</v>
      </c>
      <c r="J803" s="8">
        <v>7</v>
      </c>
      <c r="K803" s="8">
        <v>6.5</v>
      </c>
      <c r="L803" s="8">
        <v>7</v>
      </c>
      <c r="M803" s="8">
        <v>5</v>
      </c>
      <c r="N803" s="8">
        <v>16.5</v>
      </c>
      <c r="O803" s="8">
        <v>5</v>
      </c>
      <c r="P803" s="8">
        <v>7</v>
      </c>
      <c r="Q803" s="8">
        <v>5</v>
      </c>
      <c r="R803" s="8">
        <v>7</v>
      </c>
      <c r="S803" s="8">
        <v>7</v>
      </c>
      <c r="T803" s="8">
        <v>3</v>
      </c>
      <c r="U803" s="8">
        <v>13</v>
      </c>
      <c r="V803" s="8">
        <v>6.5</v>
      </c>
      <c r="W803" s="8">
        <v>3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11" t="s">
        <v>247</v>
      </c>
    </row>
    <row r="804" spans="1:46" ht="15.1" customHeight="1">
      <c r="A804" s="8">
        <v>267</v>
      </c>
      <c r="B804" s="9" t="s">
        <v>799</v>
      </c>
      <c r="C804" s="8" t="s">
        <v>800</v>
      </c>
      <c r="D804" s="9" t="s">
        <v>451</v>
      </c>
      <c r="E804" s="12" t="s">
        <v>55</v>
      </c>
      <c r="F804" s="8" t="s">
        <v>54</v>
      </c>
      <c r="G804" s="10" t="s">
        <v>67</v>
      </c>
      <c r="H804" s="12" t="s">
        <v>55</v>
      </c>
      <c r="I804" s="8" t="s">
        <v>54</v>
      </c>
      <c r="J804" s="8" t="s">
        <v>54</v>
      </c>
      <c r="K804" s="8" t="s">
        <v>54</v>
      </c>
      <c r="L804" s="8" t="s">
        <v>54</v>
      </c>
      <c r="M804" s="12" t="s">
        <v>55</v>
      </c>
      <c r="N804" s="10" t="s">
        <v>67</v>
      </c>
      <c r="O804" s="8" t="s">
        <v>54</v>
      </c>
      <c r="P804" s="8" t="s">
        <v>54</v>
      </c>
      <c r="Q804" s="8" t="s">
        <v>54</v>
      </c>
      <c r="R804" s="8" t="s">
        <v>54</v>
      </c>
      <c r="S804" s="12" t="s">
        <v>55</v>
      </c>
      <c r="T804" s="8" t="s">
        <v>54</v>
      </c>
      <c r="U804" s="10" t="s">
        <v>67</v>
      </c>
      <c r="V804" s="8" t="s">
        <v>54</v>
      </c>
      <c r="W804" s="8" t="s">
        <v>54</v>
      </c>
      <c r="X804" s="8" t="s">
        <v>54</v>
      </c>
      <c r="Y804" s="8" t="s">
        <v>54</v>
      </c>
      <c r="Z804" s="8" t="s">
        <v>54</v>
      </c>
      <c r="AA804" s="8" t="s">
        <v>54</v>
      </c>
      <c r="AB804" s="10" t="s">
        <v>67</v>
      </c>
      <c r="AC804" s="8" t="s">
        <v>54</v>
      </c>
      <c r="AD804" s="8" t="s">
        <v>54</v>
      </c>
      <c r="AE804" s="8" t="s">
        <v>54</v>
      </c>
      <c r="AF804" s="12" t="s">
        <v>55</v>
      </c>
      <c r="AG804" s="8" t="s">
        <v>54</v>
      </c>
      <c r="AH804" s="8" t="s">
        <v>54</v>
      </c>
      <c r="AI804" s="10" t="s">
        <v>67</v>
      </c>
      <c r="AJ804" s="8">
        <f>COUNTIF($E$804:$AI$804,"P")</f>
        <v>21</v>
      </c>
      <c r="AK804" s="8">
        <f>COUNTIF($E$804:$AI$804,"A")</f>
        <v>5</v>
      </c>
      <c r="AL804" s="8">
        <f>SUM($E$805:$AI$805)</f>
        <v>27</v>
      </c>
      <c r="AM804" s="8">
        <f>SUM($E$806:$AI$806)</f>
        <v>35</v>
      </c>
      <c r="AN804" s="8">
        <f>AL804+AM804</f>
        <v>62</v>
      </c>
      <c r="AO804" s="8">
        <f>COUNTIF($E$804:$AI$804,"CL")</f>
        <v>0</v>
      </c>
      <c r="AP804" s="8">
        <f>COUNTIF($E$804:$AI$804,"SL")</f>
        <v>0</v>
      </c>
      <c r="AQ804" s="8">
        <f>COUNTIF($E$804:$AI$804,"EL")</f>
        <v>0</v>
      </c>
      <c r="AR804" s="8">
        <f>COUNTIF($E$804:$AI$804,"H")</f>
        <v>0</v>
      </c>
      <c r="AS804" s="8"/>
      <c r="AT804" s="11" t="s">
        <v>247</v>
      </c>
    </row>
    <row r="805" spans="1:46" ht="15.1" customHeight="1">
      <c r="A805" s="8"/>
      <c r="B805" s="9"/>
      <c r="C805" s="8"/>
      <c r="D805" s="9"/>
      <c r="E805" s="8">
        <v>0</v>
      </c>
      <c r="F805" s="8">
        <v>2</v>
      </c>
      <c r="G805" s="8">
        <v>0</v>
      </c>
      <c r="H805" s="8">
        <v>0</v>
      </c>
      <c r="I805" s="8">
        <v>2</v>
      </c>
      <c r="J805" s="8">
        <v>2</v>
      </c>
      <c r="K805" s="8">
        <v>2</v>
      </c>
      <c r="L805" s="8">
        <v>0</v>
      </c>
      <c r="M805" s="8">
        <v>0</v>
      </c>
      <c r="N805" s="8">
        <v>0</v>
      </c>
      <c r="O805" s="8">
        <v>2</v>
      </c>
      <c r="P805" s="8">
        <v>2</v>
      </c>
      <c r="Q805" s="8">
        <v>2</v>
      </c>
      <c r="R805" s="8">
        <v>2</v>
      </c>
      <c r="S805" s="8">
        <v>0</v>
      </c>
      <c r="T805" s="8">
        <v>2</v>
      </c>
      <c r="U805" s="8">
        <v>0</v>
      </c>
      <c r="V805" s="8">
        <v>2</v>
      </c>
      <c r="W805" s="8">
        <v>2</v>
      </c>
      <c r="X805" s="8">
        <v>2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2</v>
      </c>
      <c r="AE805" s="8">
        <v>0</v>
      </c>
      <c r="AF805" s="8">
        <v>0</v>
      </c>
      <c r="AG805" s="8">
        <v>1</v>
      </c>
      <c r="AH805" s="8">
        <v>0</v>
      </c>
      <c r="AI805" s="8">
        <v>0</v>
      </c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11" t="s">
        <v>247</v>
      </c>
    </row>
    <row r="806" spans="1:46" ht="15.1" customHeight="1">
      <c r="A806" s="8"/>
      <c r="B806" s="9"/>
      <c r="C806" s="8"/>
      <c r="D806" s="9"/>
      <c r="E806" s="8">
        <v>0</v>
      </c>
      <c r="F806" s="8">
        <v>3</v>
      </c>
      <c r="G806" s="8">
        <v>0</v>
      </c>
      <c r="H806" s="8">
        <v>0</v>
      </c>
      <c r="I806" s="8">
        <v>3</v>
      </c>
      <c r="J806" s="8">
        <v>3</v>
      </c>
      <c r="K806" s="8">
        <v>3</v>
      </c>
      <c r="L806" s="8">
        <v>0</v>
      </c>
      <c r="M806" s="8">
        <v>0</v>
      </c>
      <c r="N806" s="8">
        <v>0</v>
      </c>
      <c r="O806" s="8">
        <v>3</v>
      </c>
      <c r="P806" s="8">
        <v>3</v>
      </c>
      <c r="Q806" s="8">
        <v>3</v>
      </c>
      <c r="R806" s="8">
        <v>3</v>
      </c>
      <c r="S806" s="8">
        <v>0</v>
      </c>
      <c r="T806" s="8">
        <v>3</v>
      </c>
      <c r="U806" s="8">
        <v>0</v>
      </c>
      <c r="V806" s="8">
        <v>3</v>
      </c>
      <c r="W806" s="8">
        <v>3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2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11" t="s">
        <v>247</v>
      </c>
    </row>
    <row r="807" spans="1:46" ht="15.1" customHeight="1">
      <c r="A807" s="8">
        <v>268</v>
      </c>
      <c r="B807" s="9" t="s">
        <v>801</v>
      </c>
      <c r="C807" s="8" t="s">
        <v>802</v>
      </c>
      <c r="D807" s="9" t="s">
        <v>451</v>
      </c>
      <c r="E807" s="12" t="s">
        <v>55</v>
      </c>
      <c r="F807" s="12" t="s">
        <v>55</v>
      </c>
      <c r="G807" s="10" t="s">
        <v>67</v>
      </c>
      <c r="H807" s="8" t="s">
        <v>54</v>
      </c>
      <c r="I807" s="8" t="s">
        <v>54</v>
      </c>
      <c r="J807" s="8" t="s">
        <v>54</v>
      </c>
      <c r="K807" s="8" t="s">
        <v>54</v>
      </c>
      <c r="L807" s="8" t="s">
        <v>54</v>
      </c>
      <c r="M807" s="8" t="s">
        <v>54</v>
      </c>
      <c r="N807" s="10" t="s">
        <v>67</v>
      </c>
      <c r="O807" s="8" t="s">
        <v>54</v>
      </c>
      <c r="P807" s="8" t="s">
        <v>54</v>
      </c>
      <c r="Q807" s="8" t="s">
        <v>54</v>
      </c>
      <c r="R807" s="8" t="s">
        <v>54</v>
      </c>
      <c r="S807" s="8" t="s">
        <v>54</v>
      </c>
      <c r="T807" s="8" t="s">
        <v>54</v>
      </c>
      <c r="U807" s="10" t="s">
        <v>67</v>
      </c>
      <c r="V807" s="8" t="s">
        <v>54</v>
      </c>
      <c r="W807" s="8" t="s">
        <v>54</v>
      </c>
      <c r="X807" s="8" t="s">
        <v>54</v>
      </c>
      <c r="Y807" s="8" t="s">
        <v>54</v>
      </c>
      <c r="Z807" s="8" t="s">
        <v>54</v>
      </c>
      <c r="AA807" s="8" t="s">
        <v>54</v>
      </c>
      <c r="AB807" s="10" t="s">
        <v>67</v>
      </c>
      <c r="AC807" s="12" t="s">
        <v>55</v>
      </c>
      <c r="AD807" s="12" t="s">
        <v>55</v>
      </c>
      <c r="AE807" s="12" t="s">
        <v>55</v>
      </c>
      <c r="AF807" s="8" t="s">
        <v>54</v>
      </c>
      <c r="AG807" s="8" t="s">
        <v>54</v>
      </c>
      <c r="AH807" s="8" t="s">
        <v>54</v>
      </c>
      <c r="AI807" s="10" t="s">
        <v>67</v>
      </c>
      <c r="AJ807" s="8">
        <f>COUNTIF($E$807:$AI$807,"P")</f>
        <v>21</v>
      </c>
      <c r="AK807" s="8">
        <f>COUNTIF($E$807:$AI$807,"A")</f>
        <v>5</v>
      </c>
      <c r="AL807" s="8">
        <f>SUM($E$808:$AI$808)</f>
        <v>31</v>
      </c>
      <c r="AM807" s="8">
        <f>SUM($E$809:$AI$809)</f>
        <v>126</v>
      </c>
      <c r="AN807" s="8">
        <f>AL807+AM807</f>
        <v>157</v>
      </c>
      <c r="AO807" s="8">
        <f>COUNTIF($E$807:$AI$807,"CL")</f>
        <v>0</v>
      </c>
      <c r="AP807" s="8">
        <f>COUNTIF($E$807:$AI$807,"SL")</f>
        <v>0</v>
      </c>
      <c r="AQ807" s="8">
        <f>COUNTIF($E$807:$AI$807,"EL")</f>
        <v>0</v>
      </c>
      <c r="AR807" s="8">
        <f>COUNTIF($E$807:$AI$807,"H")</f>
        <v>0</v>
      </c>
      <c r="AS807" s="8"/>
      <c r="AT807" s="11" t="s">
        <v>247</v>
      </c>
    </row>
    <row r="808" spans="1:46" ht="15.1" customHeight="1">
      <c r="A808" s="8"/>
      <c r="B808" s="9"/>
      <c r="C808" s="8"/>
      <c r="D808" s="9"/>
      <c r="E808" s="8">
        <v>0</v>
      </c>
      <c r="F808" s="8">
        <v>0</v>
      </c>
      <c r="G808" s="8">
        <v>0</v>
      </c>
      <c r="H808" s="8">
        <v>2</v>
      </c>
      <c r="I808" s="8">
        <v>2</v>
      </c>
      <c r="J808" s="8">
        <v>2</v>
      </c>
      <c r="K808" s="8">
        <v>2</v>
      </c>
      <c r="L808" s="8">
        <v>2</v>
      </c>
      <c r="M808" s="8">
        <v>2</v>
      </c>
      <c r="N808" s="8">
        <v>0</v>
      </c>
      <c r="O808" s="8">
        <v>2</v>
      </c>
      <c r="P808" s="8">
        <v>2</v>
      </c>
      <c r="Q808" s="8">
        <v>2</v>
      </c>
      <c r="R808" s="8">
        <v>2</v>
      </c>
      <c r="S808" s="8">
        <v>2</v>
      </c>
      <c r="T808" s="8">
        <v>2</v>
      </c>
      <c r="U808" s="8">
        <v>0</v>
      </c>
      <c r="V808" s="8">
        <v>2</v>
      </c>
      <c r="W808" s="8">
        <v>2</v>
      </c>
      <c r="X808" s="8">
        <v>2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1</v>
      </c>
      <c r="AH808" s="8">
        <v>0</v>
      </c>
      <c r="AI808" s="8">
        <v>0</v>
      </c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11" t="s">
        <v>247</v>
      </c>
    </row>
    <row r="809" spans="1:46" ht="15.1" customHeight="1">
      <c r="A809" s="8"/>
      <c r="B809" s="9"/>
      <c r="C809" s="8"/>
      <c r="D809" s="9"/>
      <c r="E809" s="8">
        <v>0</v>
      </c>
      <c r="F809" s="8">
        <v>0</v>
      </c>
      <c r="G809" s="8">
        <v>14</v>
      </c>
      <c r="H809" s="8">
        <v>5</v>
      </c>
      <c r="I809" s="8">
        <v>6.5</v>
      </c>
      <c r="J809" s="8">
        <v>6.5</v>
      </c>
      <c r="K809" s="8">
        <v>6.5</v>
      </c>
      <c r="L809" s="8">
        <v>7</v>
      </c>
      <c r="M809" s="8">
        <v>4.5</v>
      </c>
      <c r="N809" s="8">
        <v>16</v>
      </c>
      <c r="O809" s="8">
        <v>7</v>
      </c>
      <c r="P809" s="8">
        <v>6</v>
      </c>
      <c r="Q809" s="8">
        <v>4.5</v>
      </c>
      <c r="R809" s="8">
        <v>7</v>
      </c>
      <c r="S809" s="8">
        <v>6.5</v>
      </c>
      <c r="T809" s="8">
        <v>3</v>
      </c>
      <c r="U809" s="8">
        <v>12.5</v>
      </c>
      <c r="V809" s="8">
        <v>6.5</v>
      </c>
      <c r="W809" s="8">
        <v>7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11" t="s">
        <v>247</v>
      </c>
    </row>
    <row r="810" spans="1:46" ht="15.1" customHeight="1">
      <c r="A810" s="8">
        <v>269</v>
      </c>
      <c r="B810" s="9" t="s">
        <v>803</v>
      </c>
      <c r="C810" s="8" t="s">
        <v>804</v>
      </c>
      <c r="D810" s="9" t="s">
        <v>451</v>
      </c>
      <c r="E810" s="8" t="s">
        <v>54</v>
      </c>
      <c r="F810" s="8" t="s">
        <v>54</v>
      </c>
      <c r="G810" s="10" t="s">
        <v>67</v>
      </c>
      <c r="H810" s="8" t="s">
        <v>54</v>
      </c>
      <c r="I810" s="8" t="s">
        <v>54</v>
      </c>
      <c r="J810" s="8" t="s">
        <v>54</v>
      </c>
      <c r="K810" s="8" t="s">
        <v>54</v>
      </c>
      <c r="L810" s="8" t="s">
        <v>54</v>
      </c>
      <c r="M810" s="8" t="s">
        <v>54</v>
      </c>
      <c r="N810" s="10" t="s">
        <v>67</v>
      </c>
      <c r="O810" s="8" t="s">
        <v>54</v>
      </c>
      <c r="P810" s="8" t="s">
        <v>54</v>
      </c>
      <c r="Q810" s="12" t="s">
        <v>55</v>
      </c>
      <c r="R810" s="12" t="s">
        <v>55</v>
      </c>
      <c r="S810" s="12" t="s">
        <v>55</v>
      </c>
      <c r="T810" s="8" t="s">
        <v>54</v>
      </c>
      <c r="U810" s="10" t="s">
        <v>67</v>
      </c>
      <c r="V810" s="8" t="s">
        <v>54</v>
      </c>
      <c r="W810" s="8" t="s">
        <v>54</v>
      </c>
      <c r="X810" s="8" t="s">
        <v>54</v>
      </c>
      <c r="Y810" s="8" t="s">
        <v>54</v>
      </c>
      <c r="Z810" s="8" t="s">
        <v>54</v>
      </c>
      <c r="AA810" s="8" t="s">
        <v>54</v>
      </c>
      <c r="AB810" s="10" t="s">
        <v>67</v>
      </c>
      <c r="AC810" s="8" t="s">
        <v>54</v>
      </c>
      <c r="AD810" s="8" t="s">
        <v>54</v>
      </c>
      <c r="AE810" s="8" t="s">
        <v>54</v>
      </c>
      <c r="AF810" s="8" t="s">
        <v>54</v>
      </c>
      <c r="AG810" s="8" t="s">
        <v>54</v>
      </c>
      <c r="AH810" s="8" t="s">
        <v>54</v>
      </c>
      <c r="AI810" s="10" t="s">
        <v>67</v>
      </c>
      <c r="AJ810" s="8">
        <f>COUNTIF($E$810:$AI$810,"P")</f>
        <v>23</v>
      </c>
      <c r="AK810" s="8">
        <f>COUNTIF($E$810:$AI$810,"A")</f>
        <v>3</v>
      </c>
      <c r="AL810" s="8">
        <f>SUM($E$811:$AI$811)</f>
        <v>31</v>
      </c>
      <c r="AM810" s="8">
        <f>SUM($E$812:$AI$812)</f>
        <v>114</v>
      </c>
      <c r="AN810" s="8">
        <f>AL810+AM810</f>
        <v>145</v>
      </c>
      <c r="AO810" s="8">
        <f>COUNTIF($E$810:$AI$810,"CL")</f>
        <v>0</v>
      </c>
      <c r="AP810" s="8">
        <f>COUNTIF($E$810:$AI$810,"SL")</f>
        <v>0</v>
      </c>
      <c r="AQ810" s="8">
        <f>COUNTIF($E$810:$AI$810,"EL")</f>
        <v>0</v>
      </c>
      <c r="AR810" s="8">
        <f>COUNTIF($E$810:$AI$810,"H")</f>
        <v>0</v>
      </c>
      <c r="AS810" s="8"/>
      <c r="AT810" s="11" t="s">
        <v>247</v>
      </c>
    </row>
    <row r="811" spans="1:46" ht="15.1" customHeight="1">
      <c r="A811" s="8"/>
      <c r="B811" s="9"/>
      <c r="C811" s="8"/>
      <c r="D811" s="9"/>
      <c r="E811" s="8">
        <v>2</v>
      </c>
      <c r="F811" s="8">
        <v>2</v>
      </c>
      <c r="G811" s="8">
        <v>0</v>
      </c>
      <c r="H811" s="8">
        <v>2</v>
      </c>
      <c r="I811" s="8">
        <v>2</v>
      </c>
      <c r="J811" s="8">
        <v>2</v>
      </c>
      <c r="K811" s="8">
        <v>2</v>
      </c>
      <c r="L811" s="8">
        <v>2</v>
      </c>
      <c r="M811" s="8">
        <v>2</v>
      </c>
      <c r="N811" s="8">
        <v>0</v>
      </c>
      <c r="O811" s="8">
        <v>2</v>
      </c>
      <c r="P811" s="8">
        <v>2</v>
      </c>
      <c r="Q811" s="8">
        <v>0</v>
      </c>
      <c r="R811" s="8">
        <v>0</v>
      </c>
      <c r="S811" s="8">
        <v>0</v>
      </c>
      <c r="T811" s="8">
        <v>2</v>
      </c>
      <c r="U811" s="8">
        <v>0</v>
      </c>
      <c r="V811" s="8">
        <v>2</v>
      </c>
      <c r="W811" s="8">
        <v>2</v>
      </c>
      <c r="X811" s="8">
        <v>2</v>
      </c>
      <c r="Y811" s="8">
        <v>0</v>
      </c>
      <c r="Z811" s="8">
        <v>0</v>
      </c>
      <c r="AA811" s="8">
        <v>0</v>
      </c>
      <c r="AB811" s="8">
        <v>0</v>
      </c>
      <c r="AC811" s="8">
        <v>2</v>
      </c>
      <c r="AD811" s="8">
        <v>0</v>
      </c>
      <c r="AE811" s="8">
        <v>0</v>
      </c>
      <c r="AF811" s="8">
        <v>0</v>
      </c>
      <c r="AG811" s="8">
        <v>1</v>
      </c>
      <c r="AH811" s="8">
        <v>0</v>
      </c>
      <c r="AI811" s="8">
        <v>0</v>
      </c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11" t="s">
        <v>247</v>
      </c>
    </row>
    <row r="812" spans="1:46" ht="15.1" customHeight="1">
      <c r="A812" s="8"/>
      <c r="B812" s="9"/>
      <c r="C812" s="8"/>
      <c r="D812" s="9"/>
      <c r="E812" s="8">
        <v>4.5</v>
      </c>
      <c r="F812" s="8">
        <v>3</v>
      </c>
      <c r="G812" s="8">
        <v>13.5</v>
      </c>
      <c r="H812" s="8">
        <v>5</v>
      </c>
      <c r="I812" s="8">
        <v>7</v>
      </c>
      <c r="J812" s="8">
        <v>6.5</v>
      </c>
      <c r="K812" s="8">
        <v>7</v>
      </c>
      <c r="L812" s="8">
        <v>6.5</v>
      </c>
      <c r="M812" s="8">
        <v>4.5</v>
      </c>
      <c r="N812" s="8">
        <v>13.5</v>
      </c>
      <c r="O812" s="8">
        <v>7</v>
      </c>
      <c r="P812" s="8">
        <v>6.5</v>
      </c>
      <c r="Q812" s="8">
        <v>0</v>
      </c>
      <c r="R812" s="8">
        <v>0</v>
      </c>
      <c r="S812" s="8">
        <v>0</v>
      </c>
      <c r="T812" s="8">
        <v>3</v>
      </c>
      <c r="U812" s="8">
        <v>12.5</v>
      </c>
      <c r="V812" s="8">
        <v>7</v>
      </c>
      <c r="W812" s="8">
        <v>7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11" t="s">
        <v>247</v>
      </c>
    </row>
    <row r="813" spans="1:46" ht="15.1" customHeight="1">
      <c r="A813" s="8">
        <v>270</v>
      </c>
      <c r="B813" s="9" t="s">
        <v>805</v>
      </c>
      <c r="C813" s="8" t="s">
        <v>806</v>
      </c>
      <c r="D813" s="9" t="s">
        <v>451</v>
      </c>
      <c r="E813" s="8" t="s">
        <v>54</v>
      </c>
      <c r="F813" s="8" t="s">
        <v>54</v>
      </c>
      <c r="G813" s="10" t="s">
        <v>67</v>
      </c>
      <c r="H813" s="8" t="s">
        <v>54</v>
      </c>
      <c r="I813" s="8" t="s">
        <v>54</v>
      </c>
      <c r="J813" s="8" t="s">
        <v>54</v>
      </c>
      <c r="K813" s="8" t="s">
        <v>54</v>
      </c>
      <c r="L813" s="8" t="s">
        <v>54</v>
      </c>
      <c r="M813" s="8" t="s">
        <v>54</v>
      </c>
      <c r="N813" s="10" t="s">
        <v>67</v>
      </c>
      <c r="O813" s="8" t="s">
        <v>54</v>
      </c>
      <c r="P813" s="8" t="s">
        <v>54</v>
      </c>
      <c r="Q813" s="8" t="s">
        <v>54</v>
      </c>
      <c r="R813" s="8" t="s">
        <v>54</v>
      </c>
      <c r="S813" s="8" t="s">
        <v>54</v>
      </c>
      <c r="T813" s="8" t="s">
        <v>54</v>
      </c>
      <c r="U813" s="10" t="s">
        <v>67</v>
      </c>
      <c r="V813" s="8" t="s">
        <v>54</v>
      </c>
      <c r="W813" s="8" t="s">
        <v>54</v>
      </c>
      <c r="X813" s="8" t="s">
        <v>54</v>
      </c>
      <c r="Y813" s="8" t="s">
        <v>54</v>
      </c>
      <c r="Z813" s="8" t="s">
        <v>54</v>
      </c>
      <c r="AA813" s="8" t="s">
        <v>54</v>
      </c>
      <c r="AB813" s="10" t="s">
        <v>67</v>
      </c>
      <c r="AC813" s="8" t="s">
        <v>54</v>
      </c>
      <c r="AD813" s="8" t="s">
        <v>54</v>
      </c>
      <c r="AE813" s="8" t="s">
        <v>54</v>
      </c>
      <c r="AF813" s="8" t="s">
        <v>54</v>
      </c>
      <c r="AG813" s="8" t="s">
        <v>54</v>
      </c>
      <c r="AH813" s="8" t="s">
        <v>54</v>
      </c>
      <c r="AI813" s="10" t="s">
        <v>67</v>
      </c>
      <c r="AJ813" s="8">
        <f>COUNTIF($E$813:$AI$813,"P")</f>
        <v>26</v>
      </c>
      <c r="AK813" s="8">
        <f>COUNTIF($E$813:$AI$813,"A")</f>
        <v>0</v>
      </c>
      <c r="AL813" s="8">
        <f>SUM($E$814:$AI$814)</f>
        <v>35</v>
      </c>
      <c r="AM813" s="8">
        <f>SUM($E$815:$AI$815)</f>
        <v>131</v>
      </c>
      <c r="AN813" s="8">
        <f>AL813+AM813</f>
        <v>165.5</v>
      </c>
      <c r="AO813" s="8">
        <f>COUNTIF($E$813:$AI$813,"CL")</f>
        <v>0</v>
      </c>
      <c r="AP813" s="8">
        <f>COUNTIF($E$813:$AI$813,"SL")</f>
        <v>0</v>
      </c>
      <c r="AQ813" s="8">
        <f>COUNTIF($E$813:$AI$813,"EL")</f>
        <v>0</v>
      </c>
      <c r="AR813" s="8">
        <f>COUNTIF($E$813:$AI$813,"H")</f>
        <v>0</v>
      </c>
      <c r="AS813" s="8"/>
      <c r="AT813" s="11" t="s">
        <v>247</v>
      </c>
    </row>
    <row r="814" spans="1:46" ht="15.1" customHeight="1">
      <c r="A814" s="8"/>
      <c r="B814" s="9"/>
      <c r="C814" s="8"/>
      <c r="D814" s="9"/>
      <c r="E814" s="8">
        <v>2</v>
      </c>
      <c r="F814" s="8">
        <v>2</v>
      </c>
      <c r="G814" s="8">
        <v>0</v>
      </c>
      <c r="H814" s="8">
        <v>2</v>
      </c>
      <c r="I814" s="8">
        <v>2</v>
      </c>
      <c r="J814" s="8">
        <v>2</v>
      </c>
      <c r="K814" s="8">
        <v>2</v>
      </c>
      <c r="L814" s="8">
        <v>2</v>
      </c>
      <c r="M814" s="8">
        <v>2</v>
      </c>
      <c r="N814" s="8">
        <v>0</v>
      </c>
      <c r="O814" s="8">
        <v>2</v>
      </c>
      <c r="P814" s="8">
        <v>2</v>
      </c>
      <c r="Q814" s="8">
        <v>2</v>
      </c>
      <c r="R814" s="8">
        <v>2</v>
      </c>
      <c r="S814" s="8">
        <v>2</v>
      </c>
      <c r="T814" s="8">
        <v>2</v>
      </c>
      <c r="U814" s="8">
        <v>0</v>
      </c>
      <c r="V814" s="8">
        <v>2</v>
      </c>
      <c r="W814" s="8">
        <v>2</v>
      </c>
      <c r="X814" s="8">
        <v>2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1</v>
      </c>
      <c r="AH814" s="8">
        <v>0</v>
      </c>
      <c r="AI814" s="8">
        <v>0</v>
      </c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11" t="s">
        <v>247</v>
      </c>
    </row>
    <row r="815" spans="1:46" ht="15.1" customHeight="1">
      <c r="A815" s="8"/>
      <c r="B815" s="9"/>
      <c r="C815" s="8"/>
      <c r="D815" s="9"/>
      <c r="E815" s="8">
        <v>4.5</v>
      </c>
      <c r="F815" s="8">
        <v>2.5</v>
      </c>
      <c r="G815" s="8">
        <v>14</v>
      </c>
      <c r="H815" s="8">
        <v>4.5</v>
      </c>
      <c r="I815" s="8">
        <v>7</v>
      </c>
      <c r="J815" s="8">
        <v>6.5</v>
      </c>
      <c r="K815" s="8">
        <v>6.5</v>
      </c>
      <c r="L815" s="8">
        <v>6</v>
      </c>
      <c r="M815" s="8">
        <v>4.5</v>
      </c>
      <c r="N815" s="8">
        <v>16</v>
      </c>
      <c r="O815" s="8">
        <v>7</v>
      </c>
      <c r="P815" s="8">
        <v>6.5</v>
      </c>
      <c r="Q815" s="8">
        <v>4.5</v>
      </c>
      <c r="R815" s="8">
        <v>6.5</v>
      </c>
      <c r="S815" s="8">
        <v>6.5</v>
      </c>
      <c r="T815" s="8">
        <v>2</v>
      </c>
      <c r="U815" s="8">
        <v>12.5</v>
      </c>
      <c r="V815" s="8">
        <v>6.5</v>
      </c>
      <c r="W815" s="8">
        <v>7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11" t="s">
        <v>247</v>
      </c>
    </row>
    <row r="816" spans="1:46" ht="15.1" customHeight="1">
      <c r="A816" s="8">
        <v>271</v>
      </c>
      <c r="B816" s="9" t="s">
        <v>807</v>
      </c>
      <c r="C816" s="8" t="s">
        <v>808</v>
      </c>
      <c r="D816" s="9" t="s">
        <v>451</v>
      </c>
      <c r="E816" s="12" t="s">
        <v>55</v>
      </c>
      <c r="F816" s="8" t="s">
        <v>54</v>
      </c>
      <c r="G816" s="10" t="s">
        <v>67</v>
      </c>
      <c r="H816" s="8" t="s">
        <v>54</v>
      </c>
      <c r="I816" s="8" t="s">
        <v>54</v>
      </c>
      <c r="J816" s="8" t="s">
        <v>54</v>
      </c>
      <c r="K816" s="8" t="s">
        <v>54</v>
      </c>
      <c r="L816" s="8" t="s">
        <v>54</v>
      </c>
      <c r="M816" s="8" t="s">
        <v>54</v>
      </c>
      <c r="N816" s="10" t="s">
        <v>67</v>
      </c>
      <c r="O816" s="8" t="s">
        <v>54</v>
      </c>
      <c r="P816" s="8" t="s">
        <v>54</v>
      </c>
      <c r="Q816" s="8" t="s">
        <v>54</v>
      </c>
      <c r="R816" s="8" t="s">
        <v>54</v>
      </c>
      <c r="S816" s="8" t="s">
        <v>54</v>
      </c>
      <c r="T816" s="8" t="s">
        <v>54</v>
      </c>
      <c r="U816" s="10" t="s">
        <v>67</v>
      </c>
      <c r="V816" s="8" t="s">
        <v>54</v>
      </c>
      <c r="W816" s="8" t="s">
        <v>54</v>
      </c>
      <c r="X816" s="8" t="s">
        <v>54</v>
      </c>
      <c r="Y816" s="8" t="s">
        <v>54</v>
      </c>
      <c r="Z816" s="8" t="s">
        <v>54</v>
      </c>
      <c r="AA816" s="8" t="s">
        <v>54</v>
      </c>
      <c r="AB816" s="10" t="s">
        <v>67</v>
      </c>
      <c r="AC816" s="8" t="s">
        <v>54</v>
      </c>
      <c r="AD816" s="8" t="s">
        <v>54</v>
      </c>
      <c r="AE816" s="8" t="s">
        <v>54</v>
      </c>
      <c r="AF816" s="8" t="s">
        <v>54</v>
      </c>
      <c r="AG816" s="8" t="s">
        <v>54</v>
      </c>
      <c r="AH816" s="8" t="s">
        <v>54</v>
      </c>
      <c r="AI816" s="10" t="s">
        <v>67</v>
      </c>
      <c r="AJ816" s="8">
        <f>COUNTIF($E$816:$AI$816,"P")</f>
        <v>25</v>
      </c>
      <c r="AK816" s="8">
        <f>COUNTIF($E$816:$AI$816,"A")</f>
        <v>1</v>
      </c>
      <c r="AL816" s="8">
        <f>SUM($E$817:$AI$817)</f>
        <v>35</v>
      </c>
      <c r="AM816" s="8">
        <f>SUM($E$818:$AI$818)</f>
        <v>120.5</v>
      </c>
      <c r="AN816" s="8">
        <f>AL816+AM816</f>
        <v>155.5</v>
      </c>
      <c r="AO816" s="8">
        <f>COUNTIF($E$816:$AI$816,"CL")</f>
        <v>0</v>
      </c>
      <c r="AP816" s="8">
        <f>COUNTIF($E$816:$AI$816,"SL")</f>
        <v>0</v>
      </c>
      <c r="AQ816" s="8">
        <f>COUNTIF($E$816:$AI$816,"EL")</f>
        <v>0</v>
      </c>
      <c r="AR816" s="8">
        <f>COUNTIF($E$816:$AI$816,"H")</f>
        <v>0</v>
      </c>
      <c r="AS816" s="8"/>
      <c r="AT816" s="11" t="s">
        <v>247</v>
      </c>
    </row>
    <row r="817" spans="1:46" ht="15.1" customHeight="1">
      <c r="A817" s="8"/>
      <c r="B817" s="9"/>
      <c r="C817" s="8"/>
      <c r="D817" s="9"/>
      <c r="E817" s="8">
        <v>0</v>
      </c>
      <c r="F817" s="8">
        <v>2</v>
      </c>
      <c r="G817" s="8">
        <v>0</v>
      </c>
      <c r="H817" s="8">
        <v>2</v>
      </c>
      <c r="I817" s="8">
        <v>2</v>
      </c>
      <c r="J817" s="8">
        <v>2</v>
      </c>
      <c r="K817" s="8">
        <v>2</v>
      </c>
      <c r="L817" s="8">
        <v>2</v>
      </c>
      <c r="M817" s="8">
        <v>2</v>
      </c>
      <c r="N817" s="8">
        <v>0</v>
      </c>
      <c r="O817" s="8">
        <v>2</v>
      </c>
      <c r="P817" s="8">
        <v>2</v>
      </c>
      <c r="Q817" s="8">
        <v>2</v>
      </c>
      <c r="R817" s="8">
        <v>2</v>
      </c>
      <c r="S817" s="8">
        <v>2</v>
      </c>
      <c r="T817" s="8">
        <v>2</v>
      </c>
      <c r="U817" s="8">
        <v>0</v>
      </c>
      <c r="V817" s="8">
        <v>2</v>
      </c>
      <c r="W817" s="8">
        <v>2</v>
      </c>
      <c r="X817" s="8">
        <v>2</v>
      </c>
      <c r="Y817" s="8">
        <v>0</v>
      </c>
      <c r="Z817" s="8">
        <v>0</v>
      </c>
      <c r="AA817" s="8">
        <v>0</v>
      </c>
      <c r="AB817" s="8">
        <v>0</v>
      </c>
      <c r="AC817" s="8">
        <v>2</v>
      </c>
      <c r="AD817" s="8">
        <v>0</v>
      </c>
      <c r="AE817" s="8">
        <v>0</v>
      </c>
      <c r="AF817" s="8">
        <v>0</v>
      </c>
      <c r="AG817" s="8">
        <v>1</v>
      </c>
      <c r="AH817" s="8">
        <v>0</v>
      </c>
      <c r="AI817" s="8">
        <v>0</v>
      </c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11" t="s">
        <v>247</v>
      </c>
    </row>
    <row r="818" spans="1:46" ht="15.1" customHeight="1">
      <c r="A818" s="8"/>
      <c r="B818" s="9"/>
      <c r="C818" s="8"/>
      <c r="D818" s="9"/>
      <c r="E818" s="8">
        <v>0</v>
      </c>
      <c r="F818" s="8">
        <v>3</v>
      </c>
      <c r="G818" s="8">
        <v>13.5</v>
      </c>
      <c r="H818" s="8">
        <v>5</v>
      </c>
      <c r="I818" s="8">
        <v>7</v>
      </c>
      <c r="J818" s="8">
        <v>7</v>
      </c>
      <c r="K818" s="8">
        <v>7</v>
      </c>
      <c r="L818" s="8">
        <v>7</v>
      </c>
      <c r="M818" s="8">
        <v>5</v>
      </c>
      <c r="N818" s="8">
        <v>16.5</v>
      </c>
      <c r="O818" s="8">
        <v>7</v>
      </c>
      <c r="P818" s="8">
        <v>7</v>
      </c>
      <c r="Q818" s="8">
        <v>5</v>
      </c>
      <c r="R818" s="8">
        <v>7</v>
      </c>
      <c r="S818" s="8">
        <v>7</v>
      </c>
      <c r="T818" s="8">
        <v>2.5</v>
      </c>
      <c r="U818" s="8">
        <v>0</v>
      </c>
      <c r="V818" s="8">
        <v>7</v>
      </c>
      <c r="W818" s="8">
        <v>7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11" t="s">
        <v>247</v>
      </c>
    </row>
    <row r="819" spans="1:46" ht="15.1" customHeight="1">
      <c r="A819" s="8">
        <v>272</v>
      </c>
      <c r="B819" s="9" t="s">
        <v>809</v>
      </c>
      <c r="C819" s="8" t="s">
        <v>810</v>
      </c>
      <c r="D819" s="9" t="s">
        <v>451</v>
      </c>
      <c r="E819" s="8" t="s">
        <v>54</v>
      </c>
      <c r="F819" s="8" t="s">
        <v>54</v>
      </c>
      <c r="G819" s="10" t="s">
        <v>67</v>
      </c>
      <c r="H819" s="8" t="s">
        <v>54</v>
      </c>
      <c r="I819" s="12" t="s">
        <v>55</v>
      </c>
      <c r="J819" s="8" t="s">
        <v>54</v>
      </c>
      <c r="K819" s="8" t="s">
        <v>54</v>
      </c>
      <c r="L819" s="12" t="s">
        <v>55</v>
      </c>
      <c r="M819" s="8" t="s">
        <v>54</v>
      </c>
      <c r="N819" s="10" t="s">
        <v>67</v>
      </c>
      <c r="O819" s="8" t="s">
        <v>54</v>
      </c>
      <c r="P819" s="8" t="s">
        <v>54</v>
      </c>
      <c r="Q819" s="8" t="s">
        <v>54</v>
      </c>
      <c r="R819" s="8" t="s">
        <v>54</v>
      </c>
      <c r="S819" s="8" t="s">
        <v>54</v>
      </c>
      <c r="T819" s="8" t="s">
        <v>54</v>
      </c>
      <c r="U819" s="10" t="s">
        <v>67</v>
      </c>
      <c r="V819" s="8" t="s">
        <v>54</v>
      </c>
      <c r="W819" s="8" t="s">
        <v>54</v>
      </c>
      <c r="X819" s="8" t="s">
        <v>54</v>
      </c>
      <c r="Y819" s="8" t="s">
        <v>54</v>
      </c>
      <c r="Z819" s="8" t="s">
        <v>54</v>
      </c>
      <c r="AA819" s="8" t="s">
        <v>54</v>
      </c>
      <c r="AB819" s="10" t="s">
        <v>67</v>
      </c>
      <c r="AC819" s="12" t="s">
        <v>55</v>
      </c>
      <c r="AD819" s="12" t="s">
        <v>55</v>
      </c>
      <c r="AE819" s="12" t="s">
        <v>55</v>
      </c>
      <c r="AF819" s="8" t="s">
        <v>54</v>
      </c>
      <c r="AG819" s="8" t="s">
        <v>54</v>
      </c>
      <c r="AH819" s="8" t="s">
        <v>54</v>
      </c>
      <c r="AI819" s="10" t="s">
        <v>67</v>
      </c>
      <c r="AJ819" s="8">
        <f>COUNTIF($E$819:$AI$819,"P")</f>
        <v>21</v>
      </c>
      <c r="AK819" s="8">
        <f>COUNTIF($E$819:$AI$819,"A")</f>
        <v>5</v>
      </c>
      <c r="AL819" s="8">
        <f>SUM($E$820:$AI$820)</f>
        <v>31</v>
      </c>
      <c r="AM819" s="8">
        <f>SUM($E$821:$AI$821)</f>
        <v>123</v>
      </c>
      <c r="AN819" s="8">
        <f>AL819+AM819</f>
        <v>154</v>
      </c>
      <c r="AO819" s="8">
        <f>COUNTIF($E$819:$AI$819,"CL")</f>
        <v>0</v>
      </c>
      <c r="AP819" s="8">
        <f>COUNTIF($E$819:$AI$819,"SL")</f>
        <v>0</v>
      </c>
      <c r="AQ819" s="8">
        <f>COUNTIF($E$819:$AI$819,"EL")</f>
        <v>0</v>
      </c>
      <c r="AR819" s="8">
        <f>COUNTIF($E$819:$AI$819,"H")</f>
        <v>0</v>
      </c>
      <c r="AS819" s="8"/>
      <c r="AT819" s="11" t="s">
        <v>247</v>
      </c>
    </row>
    <row r="820" spans="1:46" ht="15.1" customHeight="1">
      <c r="A820" s="8"/>
      <c r="B820" s="9"/>
      <c r="C820" s="8"/>
      <c r="D820" s="9"/>
      <c r="E820" s="8">
        <v>2</v>
      </c>
      <c r="F820" s="8">
        <v>2</v>
      </c>
      <c r="G820" s="8">
        <v>0</v>
      </c>
      <c r="H820" s="8">
        <v>2</v>
      </c>
      <c r="I820" s="8">
        <v>0</v>
      </c>
      <c r="J820" s="8">
        <v>2</v>
      </c>
      <c r="K820" s="8">
        <v>2</v>
      </c>
      <c r="L820" s="8">
        <v>0</v>
      </c>
      <c r="M820" s="8">
        <v>2</v>
      </c>
      <c r="N820" s="8">
        <v>0</v>
      </c>
      <c r="O820" s="8">
        <v>2</v>
      </c>
      <c r="P820" s="8">
        <v>2</v>
      </c>
      <c r="Q820" s="8">
        <v>2</v>
      </c>
      <c r="R820" s="8">
        <v>2</v>
      </c>
      <c r="S820" s="8">
        <v>2</v>
      </c>
      <c r="T820" s="8">
        <v>2</v>
      </c>
      <c r="U820" s="8">
        <v>0</v>
      </c>
      <c r="V820" s="8">
        <v>2</v>
      </c>
      <c r="W820" s="8">
        <v>2</v>
      </c>
      <c r="X820" s="8">
        <v>2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1</v>
      </c>
      <c r="AH820" s="8">
        <v>0</v>
      </c>
      <c r="AI820" s="8">
        <v>0</v>
      </c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11" t="s">
        <v>247</v>
      </c>
    </row>
    <row r="821" spans="1:46" ht="15.1" customHeight="1">
      <c r="A821" s="8"/>
      <c r="B821" s="9"/>
      <c r="C821" s="8"/>
      <c r="D821" s="9"/>
      <c r="E821" s="8">
        <v>4</v>
      </c>
      <c r="F821" s="8">
        <v>3</v>
      </c>
      <c r="G821" s="8">
        <v>13.5</v>
      </c>
      <c r="H821" s="8">
        <v>5</v>
      </c>
      <c r="I821" s="8">
        <v>0</v>
      </c>
      <c r="J821" s="8">
        <v>7</v>
      </c>
      <c r="K821" s="8">
        <v>6.5</v>
      </c>
      <c r="L821" s="8">
        <v>0</v>
      </c>
      <c r="M821" s="8">
        <v>5</v>
      </c>
      <c r="N821" s="8">
        <v>16.5</v>
      </c>
      <c r="O821" s="8">
        <v>7</v>
      </c>
      <c r="P821" s="8">
        <v>7</v>
      </c>
      <c r="Q821" s="8">
        <v>5</v>
      </c>
      <c r="R821" s="8">
        <v>7</v>
      </c>
      <c r="S821" s="8">
        <v>7</v>
      </c>
      <c r="T821" s="8">
        <v>3</v>
      </c>
      <c r="U821" s="8">
        <v>12.5</v>
      </c>
      <c r="V821" s="8">
        <v>7</v>
      </c>
      <c r="W821" s="8">
        <v>7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11" t="s">
        <v>247</v>
      </c>
    </row>
    <row r="822" spans="1:46" ht="15.1" customHeight="1">
      <c r="A822" s="8">
        <v>273</v>
      </c>
      <c r="B822" s="9" t="s">
        <v>811</v>
      </c>
      <c r="C822" s="8" t="s">
        <v>812</v>
      </c>
      <c r="D822" s="9" t="s">
        <v>451</v>
      </c>
      <c r="E822" s="8" t="s">
        <v>54</v>
      </c>
      <c r="F822" s="8" t="s">
        <v>54</v>
      </c>
      <c r="G822" s="10" t="s">
        <v>67</v>
      </c>
      <c r="H822" s="8" t="s">
        <v>54</v>
      </c>
      <c r="I822" s="8" t="s">
        <v>54</v>
      </c>
      <c r="J822" s="8" t="s">
        <v>54</v>
      </c>
      <c r="K822" s="8" t="s">
        <v>54</v>
      </c>
      <c r="L822" s="8" t="s">
        <v>54</v>
      </c>
      <c r="M822" s="8" t="s">
        <v>54</v>
      </c>
      <c r="N822" s="10" t="s">
        <v>67</v>
      </c>
      <c r="O822" s="8" t="s">
        <v>54</v>
      </c>
      <c r="P822" s="12" t="s">
        <v>55</v>
      </c>
      <c r="Q822" s="12" t="s">
        <v>55</v>
      </c>
      <c r="R822" s="12" t="s">
        <v>55</v>
      </c>
      <c r="S822" s="12" t="s">
        <v>55</v>
      </c>
      <c r="T822" s="8" t="s">
        <v>54</v>
      </c>
      <c r="U822" s="10" t="s">
        <v>67</v>
      </c>
      <c r="V822" s="12" t="s">
        <v>55</v>
      </c>
      <c r="W822" s="12" t="s">
        <v>55</v>
      </c>
      <c r="X822" s="8" t="s">
        <v>54</v>
      </c>
      <c r="Y822" s="8" t="s">
        <v>54</v>
      </c>
      <c r="Z822" s="8" t="s">
        <v>54</v>
      </c>
      <c r="AA822" s="8" t="s">
        <v>54</v>
      </c>
      <c r="AB822" s="10" t="s">
        <v>67</v>
      </c>
      <c r="AC822" s="12" t="s">
        <v>55</v>
      </c>
      <c r="AD822" s="8" t="s">
        <v>54</v>
      </c>
      <c r="AE822" s="8" t="s">
        <v>54</v>
      </c>
      <c r="AF822" s="8" t="s">
        <v>54</v>
      </c>
      <c r="AG822" s="8" t="s">
        <v>54</v>
      </c>
      <c r="AH822" s="8" t="s">
        <v>54</v>
      </c>
      <c r="AI822" s="10" t="s">
        <v>67</v>
      </c>
      <c r="AJ822" s="8">
        <f>COUNTIF($E$822:$AI$822,"P")</f>
        <v>19</v>
      </c>
      <c r="AK822" s="8">
        <f>COUNTIF($E$822:$AI$822,"A")</f>
        <v>7</v>
      </c>
      <c r="AL822" s="8">
        <f>SUM($E$823:$AI$823)</f>
        <v>23</v>
      </c>
      <c r="AM822" s="8">
        <f>SUM($E$824:$AI$824)</f>
        <v>95</v>
      </c>
      <c r="AN822" s="8">
        <f>AL822+AM822</f>
        <v>118</v>
      </c>
      <c r="AO822" s="8">
        <f>COUNTIF($E$822:$AI$822,"CL")</f>
        <v>0</v>
      </c>
      <c r="AP822" s="8">
        <f>COUNTIF($E$822:$AI$822,"SL")</f>
        <v>0</v>
      </c>
      <c r="AQ822" s="8">
        <f>COUNTIF($E$822:$AI$822,"EL")</f>
        <v>0</v>
      </c>
      <c r="AR822" s="8">
        <f>COUNTIF($E$822:$AI$822,"H")</f>
        <v>0</v>
      </c>
      <c r="AS822" s="8"/>
      <c r="AT822" s="11" t="s">
        <v>247</v>
      </c>
    </row>
    <row r="823" spans="1:46" ht="15.1" customHeight="1">
      <c r="A823" s="8"/>
      <c r="B823" s="9"/>
      <c r="C823" s="8"/>
      <c r="D823" s="9"/>
      <c r="E823" s="8">
        <v>2</v>
      </c>
      <c r="F823" s="8">
        <v>2</v>
      </c>
      <c r="G823" s="8">
        <v>0</v>
      </c>
      <c r="H823" s="8">
        <v>2</v>
      </c>
      <c r="I823" s="8">
        <v>2</v>
      </c>
      <c r="J823" s="8">
        <v>2</v>
      </c>
      <c r="K823" s="8">
        <v>2</v>
      </c>
      <c r="L823" s="8">
        <v>2</v>
      </c>
      <c r="M823" s="8">
        <v>2</v>
      </c>
      <c r="N823" s="8">
        <v>0</v>
      </c>
      <c r="O823" s="8">
        <v>2</v>
      </c>
      <c r="P823" s="8">
        <v>0</v>
      </c>
      <c r="Q823" s="8">
        <v>0</v>
      </c>
      <c r="R823" s="8">
        <v>0</v>
      </c>
      <c r="S823" s="8">
        <v>0</v>
      </c>
      <c r="T823" s="8">
        <v>2</v>
      </c>
      <c r="U823" s="8">
        <v>0</v>
      </c>
      <c r="V823" s="8">
        <v>0</v>
      </c>
      <c r="W823" s="8">
        <v>0</v>
      </c>
      <c r="X823" s="8">
        <v>2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1</v>
      </c>
      <c r="AH823" s="8">
        <v>0</v>
      </c>
      <c r="AI823" s="8">
        <v>0</v>
      </c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11" t="s">
        <v>247</v>
      </c>
    </row>
    <row r="824" spans="1:46" ht="15.1" customHeight="1">
      <c r="A824" s="8"/>
      <c r="B824" s="9"/>
      <c r="C824" s="8"/>
      <c r="D824" s="9"/>
      <c r="E824" s="8">
        <v>4.5</v>
      </c>
      <c r="F824" s="8">
        <v>3</v>
      </c>
      <c r="G824" s="8">
        <v>13.5</v>
      </c>
      <c r="H824" s="8">
        <v>5</v>
      </c>
      <c r="I824" s="8">
        <v>6.5</v>
      </c>
      <c r="J824" s="8">
        <v>6.5</v>
      </c>
      <c r="K824" s="8">
        <v>6.5</v>
      </c>
      <c r="L824" s="8">
        <v>6.5</v>
      </c>
      <c r="M824" s="8">
        <v>5</v>
      </c>
      <c r="N824" s="8">
        <v>16</v>
      </c>
      <c r="O824" s="8">
        <v>6.5</v>
      </c>
      <c r="P824" s="8">
        <v>0</v>
      </c>
      <c r="Q824" s="8">
        <v>0</v>
      </c>
      <c r="R824" s="8">
        <v>0</v>
      </c>
      <c r="S824" s="8">
        <v>0</v>
      </c>
      <c r="T824" s="8">
        <v>3</v>
      </c>
      <c r="U824" s="8">
        <v>12.5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11" t="s">
        <v>247</v>
      </c>
    </row>
    <row r="825" spans="1:46" ht="15.1" customHeight="1">
      <c r="A825" s="8">
        <v>274</v>
      </c>
      <c r="B825" s="9" t="s">
        <v>813</v>
      </c>
      <c r="C825" s="8" t="s">
        <v>814</v>
      </c>
      <c r="D825" s="9" t="s">
        <v>451</v>
      </c>
      <c r="E825" s="8" t="s">
        <v>54</v>
      </c>
      <c r="F825" s="8" t="s">
        <v>54</v>
      </c>
      <c r="G825" s="10" t="s">
        <v>67</v>
      </c>
      <c r="H825" s="8" t="s">
        <v>54</v>
      </c>
      <c r="I825" s="8" t="s">
        <v>54</v>
      </c>
      <c r="J825" s="8" t="s">
        <v>54</v>
      </c>
      <c r="K825" s="8" t="s">
        <v>54</v>
      </c>
      <c r="L825" s="8" t="s">
        <v>54</v>
      </c>
      <c r="M825" s="8" t="s">
        <v>54</v>
      </c>
      <c r="N825" s="10" t="s">
        <v>67</v>
      </c>
      <c r="O825" s="8" t="s">
        <v>54</v>
      </c>
      <c r="P825" s="8" t="s">
        <v>54</v>
      </c>
      <c r="Q825" s="8" t="s">
        <v>54</v>
      </c>
      <c r="R825" s="8" t="s">
        <v>54</v>
      </c>
      <c r="S825" s="8" t="s">
        <v>54</v>
      </c>
      <c r="T825" s="8" t="s">
        <v>54</v>
      </c>
      <c r="U825" s="10" t="s">
        <v>67</v>
      </c>
      <c r="V825" s="8" t="s">
        <v>54</v>
      </c>
      <c r="W825" s="8" t="s">
        <v>54</v>
      </c>
      <c r="X825" s="8" t="s">
        <v>54</v>
      </c>
      <c r="Y825" s="8" t="s">
        <v>54</v>
      </c>
      <c r="Z825" s="8" t="s">
        <v>54</v>
      </c>
      <c r="AA825" s="8" t="s">
        <v>54</v>
      </c>
      <c r="AB825" s="10" t="s">
        <v>67</v>
      </c>
      <c r="AC825" s="8" t="s">
        <v>54</v>
      </c>
      <c r="AD825" s="8" t="s">
        <v>54</v>
      </c>
      <c r="AE825" s="8" t="s">
        <v>54</v>
      </c>
      <c r="AF825" s="8" t="s">
        <v>54</v>
      </c>
      <c r="AG825" s="8" t="s">
        <v>54</v>
      </c>
      <c r="AH825" s="8" t="s">
        <v>54</v>
      </c>
      <c r="AI825" s="10" t="s">
        <v>67</v>
      </c>
      <c r="AJ825" s="8">
        <f>COUNTIF($E$825:$AI$825,"P")</f>
        <v>26</v>
      </c>
      <c r="AK825" s="8">
        <f>COUNTIF($E$825:$AI$825,"A")</f>
        <v>0</v>
      </c>
      <c r="AL825" s="8">
        <f>SUM($E$826:$AI$826)</f>
        <v>37</v>
      </c>
      <c r="AM825" s="8">
        <f>SUM($E$827:$AI$827)</f>
        <v>144</v>
      </c>
      <c r="AN825" s="8">
        <f>AL825+AM825</f>
        <v>181</v>
      </c>
      <c r="AO825" s="8">
        <f>COUNTIF($E$825:$AI$825,"CL")</f>
        <v>0</v>
      </c>
      <c r="AP825" s="8">
        <f>COUNTIF($E$825:$AI$825,"SL")</f>
        <v>0</v>
      </c>
      <c r="AQ825" s="8">
        <f>COUNTIF($E$825:$AI$825,"EL")</f>
        <v>0</v>
      </c>
      <c r="AR825" s="8">
        <f>COUNTIF($E$825:$AI$825,"H")</f>
        <v>0</v>
      </c>
      <c r="AS825" s="8"/>
      <c r="AT825" s="11" t="s">
        <v>247</v>
      </c>
    </row>
    <row r="826" spans="1:46" ht="15.1" customHeight="1">
      <c r="A826" s="8"/>
      <c r="B826" s="9"/>
      <c r="C826" s="8"/>
      <c r="D826" s="9"/>
      <c r="E826" s="8">
        <v>2</v>
      </c>
      <c r="F826" s="8">
        <v>2</v>
      </c>
      <c r="G826" s="8">
        <v>0</v>
      </c>
      <c r="H826" s="8">
        <v>2</v>
      </c>
      <c r="I826" s="8">
        <v>2</v>
      </c>
      <c r="J826" s="8">
        <v>2</v>
      </c>
      <c r="K826" s="8">
        <v>2</v>
      </c>
      <c r="L826" s="8">
        <v>2</v>
      </c>
      <c r="M826" s="8">
        <v>2</v>
      </c>
      <c r="N826" s="8">
        <v>0</v>
      </c>
      <c r="O826" s="8">
        <v>2</v>
      </c>
      <c r="P826" s="8">
        <v>2</v>
      </c>
      <c r="Q826" s="8">
        <v>2</v>
      </c>
      <c r="R826" s="8">
        <v>2</v>
      </c>
      <c r="S826" s="8">
        <v>2</v>
      </c>
      <c r="T826" s="8">
        <v>2</v>
      </c>
      <c r="U826" s="8">
        <v>0</v>
      </c>
      <c r="V826" s="8">
        <v>2</v>
      </c>
      <c r="W826" s="8">
        <v>2</v>
      </c>
      <c r="X826" s="8">
        <v>2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2</v>
      </c>
      <c r="AE826" s="8">
        <v>0</v>
      </c>
      <c r="AF826" s="8">
        <v>0</v>
      </c>
      <c r="AG826" s="8">
        <v>1</v>
      </c>
      <c r="AH826" s="8">
        <v>0</v>
      </c>
      <c r="AI826" s="8">
        <v>0</v>
      </c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11" t="s">
        <v>247</v>
      </c>
    </row>
    <row r="827" spans="1:46" ht="15.1" customHeight="1">
      <c r="A827" s="8"/>
      <c r="B827" s="9"/>
      <c r="C827" s="8"/>
      <c r="D827" s="9"/>
      <c r="E827" s="8">
        <v>5</v>
      </c>
      <c r="F827" s="8">
        <v>3</v>
      </c>
      <c r="G827" s="8">
        <v>14</v>
      </c>
      <c r="H827" s="8">
        <v>5</v>
      </c>
      <c r="I827" s="8">
        <v>7</v>
      </c>
      <c r="J827" s="8">
        <v>7</v>
      </c>
      <c r="K827" s="8">
        <v>7</v>
      </c>
      <c r="L827" s="8">
        <v>7</v>
      </c>
      <c r="M827" s="8">
        <v>5</v>
      </c>
      <c r="N827" s="8">
        <v>17</v>
      </c>
      <c r="O827" s="8">
        <v>7</v>
      </c>
      <c r="P827" s="8">
        <v>7</v>
      </c>
      <c r="Q827" s="8">
        <v>5</v>
      </c>
      <c r="R827" s="8">
        <v>7</v>
      </c>
      <c r="S827" s="8">
        <v>7</v>
      </c>
      <c r="T827" s="8">
        <v>5</v>
      </c>
      <c r="U827" s="8">
        <v>13</v>
      </c>
      <c r="V827" s="8">
        <v>7</v>
      </c>
      <c r="W827" s="8">
        <v>7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2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11" t="s">
        <v>247</v>
      </c>
    </row>
    <row r="828" spans="1:46" ht="15.1" customHeight="1">
      <c r="A828" s="8">
        <v>275</v>
      </c>
      <c r="B828" s="9" t="s">
        <v>815</v>
      </c>
      <c r="C828" s="8" t="s">
        <v>816</v>
      </c>
      <c r="D828" s="9" t="s">
        <v>451</v>
      </c>
      <c r="E828" s="12" t="s">
        <v>55</v>
      </c>
      <c r="F828" s="12" t="s">
        <v>55</v>
      </c>
      <c r="G828" s="10" t="s">
        <v>67</v>
      </c>
      <c r="H828" s="8" t="s">
        <v>54</v>
      </c>
      <c r="I828" s="12" t="s">
        <v>55</v>
      </c>
      <c r="J828" s="12" t="s">
        <v>55</v>
      </c>
      <c r="K828" s="8" t="s">
        <v>54</v>
      </c>
      <c r="L828" s="8" t="s">
        <v>54</v>
      </c>
      <c r="M828" s="8" t="s">
        <v>54</v>
      </c>
      <c r="N828" s="10" t="s">
        <v>67</v>
      </c>
      <c r="O828" s="12" t="s">
        <v>55</v>
      </c>
      <c r="P828" s="12" t="s">
        <v>55</v>
      </c>
      <c r="Q828" s="12" t="s">
        <v>55</v>
      </c>
      <c r="R828" s="8" t="s">
        <v>54</v>
      </c>
      <c r="S828" s="8" t="s">
        <v>54</v>
      </c>
      <c r="T828" s="8" t="s">
        <v>54</v>
      </c>
      <c r="U828" s="10" t="s">
        <v>67</v>
      </c>
      <c r="V828" s="8" t="s">
        <v>54</v>
      </c>
      <c r="W828" s="8" t="s">
        <v>54</v>
      </c>
      <c r="X828" s="12" t="s">
        <v>55</v>
      </c>
      <c r="Y828" s="8" t="s">
        <v>54</v>
      </c>
      <c r="Z828" s="8" t="s">
        <v>54</v>
      </c>
      <c r="AA828" s="8" t="s">
        <v>54</v>
      </c>
      <c r="AB828" s="10" t="s">
        <v>67</v>
      </c>
      <c r="AC828" s="8" t="s">
        <v>54</v>
      </c>
      <c r="AD828" s="12" t="s">
        <v>55</v>
      </c>
      <c r="AE828" s="8" t="s">
        <v>54</v>
      </c>
      <c r="AF828" s="8" t="s">
        <v>54</v>
      </c>
      <c r="AG828" s="12" t="s">
        <v>55</v>
      </c>
      <c r="AH828" s="8" t="s">
        <v>54</v>
      </c>
      <c r="AI828" s="10" t="s">
        <v>67</v>
      </c>
      <c r="AJ828" s="8">
        <f>COUNTIF($E$828:$AI$828,"P")</f>
        <v>16</v>
      </c>
      <c r="AK828" s="8">
        <f>COUNTIF($E$828:$AI$828,"A")</f>
        <v>10</v>
      </c>
      <c r="AL828" s="8">
        <f>SUM($E$829:$AI$829)</f>
        <v>20</v>
      </c>
      <c r="AM828" s="8">
        <f>SUM($E$830:$AI$830)</f>
        <v>82.5</v>
      </c>
      <c r="AN828" s="8">
        <f>AL828+AM828</f>
        <v>102.5</v>
      </c>
      <c r="AO828" s="8">
        <f>COUNTIF($E$828:$AI$828,"CL")</f>
        <v>0</v>
      </c>
      <c r="AP828" s="8">
        <f>COUNTIF($E$828:$AI$828,"SL")</f>
        <v>0</v>
      </c>
      <c r="AQ828" s="8">
        <f>COUNTIF($E$828:$AI$828,"EL")</f>
        <v>0</v>
      </c>
      <c r="AR828" s="8">
        <f>COUNTIF($E$828:$AI$828,"H")</f>
        <v>0</v>
      </c>
      <c r="AS828" s="8"/>
      <c r="AT828" s="11" t="s">
        <v>247</v>
      </c>
    </row>
    <row r="829" spans="1:46" ht="15.1" customHeight="1">
      <c r="A829" s="8"/>
      <c r="B829" s="9"/>
      <c r="C829" s="8"/>
      <c r="D829" s="9"/>
      <c r="E829" s="8">
        <v>0</v>
      </c>
      <c r="F829" s="8">
        <v>0</v>
      </c>
      <c r="G829" s="8">
        <v>0</v>
      </c>
      <c r="H829" s="8">
        <v>2</v>
      </c>
      <c r="I829" s="8">
        <v>0</v>
      </c>
      <c r="J829" s="8">
        <v>0</v>
      </c>
      <c r="K829" s="8">
        <v>2</v>
      </c>
      <c r="L829" s="8">
        <v>2</v>
      </c>
      <c r="M829" s="8">
        <v>2</v>
      </c>
      <c r="N829" s="8">
        <v>0</v>
      </c>
      <c r="O829" s="8">
        <v>0</v>
      </c>
      <c r="P829" s="8">
        <v>0</v>
      </c>
      <c r="Q829" s="8">
        <v>0</v>
      </c>
      <c r="R829" s="8">
        <v>2</v>
      </c>
      <c r="S829" s="8">
        <v>2</v>
      </c>
      <c r="T829" s="8">
        <v>2</v>
      </c>
      <c r="U829" s="8">
        <v>0</v>
      </c>
      <c r="V829" s="8">
        <v>2</v>
      </c>
      <c r="W829" s="8">
        <v>2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2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11" t="s">
        <v>247</v>
      </c>
    </row>
    <row r="830" spans="1:46" ht="15.1" customHeight="1">
      <c r="A830" s="8"/>
      <c r="B830" s="9"/>
      <c r="C830" s="8"/>
      <c r="D830" s="9"/>
      <c r="E830" s="8">
        <v>0</v>
      </c>
      <c r="F830" s="8">
        <v>0</v>
      </c>
      <c r="G830" s="8">
        <v>0</v>
      </c>
      <c r="H830" s="8">
        <v>5</v>
      </c>
      <c r="I830" s="8">
        <v>0</v>
      </c>
      <c r="J830" s="8">
        <v>0</v>
      </c>
      <c r="K830" s="8">
        <v>7</v>
      </c>
      <c r="L830" s="8">
        <v>6</v>
      </c>
      <c r="M830" s="8">
        <v>5</v>
      </c>
      <c r="N830" s="8">
        <v>16</v>
      </c>
      <c r="O830" s="8">
        <v>0</v>
      </c>
      <c r="P830" s="8">
        <v>0</v>
      </c>
      <c r="Q830" s="8">
        <v>0</v>
      </c>
      <c r="R830" s="8">
        <v>7</v>
      </c>
      <c r="S830" s="8">
        <v>7</v>
      </c>
      <c r="T830" s="8">
        <v>2.5</v>
      </c>
      <c r="U830" s="8">
        <v>13</v>
      </c>
      <c r="V830" s="8">
        <v>7</v>
      </c>
      <c r="W830" s="8">
        <v>7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11" t="s">
        <v>247</v>
      </c>
    </row>
    <row r="831" spans="1:46" ht="15.1" customHeight="1">
      <c r="A831" s="8">
        <v>276</v>
      </c>
      <c r="B831" s="9" t="s">
        <v>817</v>
      </c>
      <c r="C831" s="8" t="s">
        <v>818</v>
      </c>
      <c r="D831" s="9" t="s">
        <v>451</v>
      </c>
      <c r="E831" s="8" t="s">
        <v>54</v>
      </c>
      <c r="F831" s="8" t="s">
        <v>54</v>
      </c>
      <c r="G831" s="10" t="s">
        <v>67</v>
      </c>
      <c r="H831" s="8" t="s">
        <v>54</v>
      </c>
      <c r="I831" s="12" t="s">
        <v>55</v>
      </c>
      <c r="J831" s="12" t="s">
        <v>55</v>
      </c>
      <c r="K831" s="8" t="s">
        <v>54</v>
      </c>
      <c r="L831" s="8" t="s">
        <v>54</v>
      </c>
      <c r="M831" s="8" t="s">
        <v>54</v>
      </c>
      <c r="N831" s="10" t="s">
        <v>67</v>
      </c>
      <c r="O831" s="8" t="s">
        <v>54</v>
      </c>
      <c r="P831" s="8" t="s">
        <v>54</v>
      </c>
      <c r="Q831" s="12" t="s">
        <v>55</v>
      </c>
      <c r="R831" s="8" t="s">
        <v>54</v>
      </c>
      <c r="S831" s="8" t="s">
        <v>54</v>
      </c>
      <c r="T831" s="8" t="s">
        <v>54</v>
      </c>
      <c r="U831" s="10" t="s">
        <v>67</v>
      </c>
      <c r="V831" s="8" t="s">
        <v>54</v>
      </c>
      <c r="W831" s="8" t="s">
        <v>54</v>
      </c>
      <c r="X831" s="8" t="s">
        <v>54</v>
      </c>
      <c r="Y831" s="12" t="s">
        <v>55</v>
      </c>
      <c r="Z831" s="12" t="s">
        <v>55</v>
      </c>
      <c r="AA831" s="12" t="s">
        <v>55</v>
      </c>
      <c r="AB831" s="10" t="s">
        <v>67</v>
      </c>
      <c r="AC831" s="8" t="s">
        <v>54</v>
      </c>
      <c r="AD831" s="8" t="s">
        <v>54</v>
      </c>
      <c r="AE831" s="8" t="s">
        <v>54</v>
      </c>
      <c r="AF831" s="8" t="s">
        <v>54</v>
      </c>
      <c r="AG831" s="8" t="s">
        <v>54</v>
      </c>
      <c r="AH831" s="8" t="s">
        <v>54</v>
      </c>
      <c r="AI831" s="10" t="s">
        <v>67</v>
      </c>
      <c r="AJ831" s="8">
        <f>COUNTIF($E$831:$AI$831,"P")</f>
        <v>20</v>
      </c>
      <c r="AK831" s="8">
        <f>COUNTIF($E$831:$AI$831,"A")</f>
        <v>6</v>
      </c>
      <c r="AL831" s="8">
        <f>SUM($E$832:$AI$832)</f>
        <v>31</v>
      </c>
      <c r="AM831" s="8">
        <f>SUM($E$833:$AI$833)</f>
        <v>117</v>
      </c>
      <c r="AN831" s="8">
        <f>AL831+AM831</f>
        <v>148</v>
      </c>
      <c r="AO831" s="8">
        <f>COUNTIF($E$831:$AI$831,"CL")</f>
        <v>0</v>
      </c>
      <c r="AP831" s="8">
        <f>COUNTIF($E$831:$AI$831,"SL")</f>
        <v>0</v>
      </c>
      <c r="AQ831" s="8">
        <f>COUNTIF($E$831:$AI$831,"EL")</f>
        <v>0</v>
      </c>
      <c r="AR831" s="8">
        <f>COUNTIF($E$831:$AI$831,"H")</f>
        <v>0</v>
      </c>
      <c r="AS831" s="8"/>
      <c r="AT831" s="11" t="s">
        <v>247</v>
      </c>
    </row>
    <row r="832" spans="1:46" ht="15.1" customHeight="1">
      <c r="A832" s="8"/>
      <c r="B832" s="9"/>
      <c r="C832" s="8"/>
      <c r="D832" s="9"/>
      <c r="E832" s="8">
        <v>2</v>
      </c>
      <c r="F832" s="8">
        <v>2</v>
      </c>
      <c r="G832" s="8">
        <v>0</v>
      </c>
      <c r="H832" s="8">
        <v>2</v>
      </c>
      <c r="I832" s="8">
        <v>0</v>
      </c>
      <c r="J832" s="8">
        <v>0</v>
      </c>
      <c r="K832" s="8">
        <v>2</v>
      </c>
      <c r="L832" s="8">
        <v>2</v>
      </c>
      <c r="M832" s="8">
        <v>2</v>
      </c>
      <c r="N832" s="8">
        <v>0</v>
      </c>
      <c r="O832" s="8">
        <v>2</v>
      </c>
      <c r="P832" s="8">
        <v>2</v>
      </c>
      <c r="Q832" s="8">
        <v>0</v>
      </c>
      <c r="R832" s="8">
        <v>2</v>
      </c>
      <c r="S832" s="8">
        <v>2</v>
      </c>
      <c r="T832" s="8">
        <v>2</v>
      </c>
      <c r="U832" s="8">
        <v>0</v>
      </c>
      <c r="V832" s="8">
        <v>2</v>
      </c>
      <c r="W832" s="8">
        <v>2</v>
      </c>
      <c r="X832" s="8">
        <v>2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2</v>
      </c>
      <c r="AE832" s="8">
        <v>0</v>
      </c>
      <c r="AF832" s="8">
        <v>0</v>
      </c>
      <c r="AG832" s="8">
        <v>1</v>
      </c>
      <c r="AH832" s="8">
        <v>0</v>
      </c>
      <c r="AI832" s="8">
        <v>0</v>
      </c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11" t="s">
        <v>247</v>
      </c>
    </row>
    <row r="833" spans="1:46" ht="15.1" customHeight="1">
      <c r="A833" s="8"/>
      <c r="B833" s="9"/>
      <c r="C833" s="8"/>
      <c r="D833" s="9"/>
      <c r="E833" s="8">
        <v>5</v>
      </c>
      <c r="F833" s="8">
        <v>3</v>
      </c>
      <c r="G833" s="8">
        <v>13.5</v>
      </c>
      <c r="H833" s="8">
        <v>5</v>
      </c>
      <c r="I833" s="8">
        <v>0</v>
      </c>
      <c r="J833" s="8">
        <v>0</v>
      </c>
      <c r="K833" s="8">
        <v>7</v>
      </c>
      <c r="L833" s="8">
        <v>7</v>
      </c>
      <c r="M833" s="8">
        <v>4.5</v>
      </c>
      <c r="N833" s="8">
        <v>16.5</v>
      </c>
      <c r="O833" s="8">
        <v>6.5</v>
      </c>
      <c r="P833" s="8">
        <v>4.5</v>
      </c>
      <c r="Q833" s="8">
        <v>0</v>
      </c>
      <c r="R833" s="8">
        <v>7</v>
      </c>
      <c r="S833" s="8">
        <v>6.5</v>
      </c>
      <c r="T833" s="8">
        <v>3</v>
      </c>
      <c r="U833" s="8">
        <v>12.5</v>
      </c>
      <c r="V833" s="8">
        <v>6.5</v>
      </c>
      <c r="W833" s="8">
        <v>7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2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11" t="s">
        <v>247</v>
      </c>
    </row>
    <row r="834" spans="1:46" ht="15.1" customHeight="1">
      <c r="A834" s="8">
        <v>277</v>
      </c>
      <c r="B834" s="9" t="s">
        <v>819</v>
      </c>
      <c r="C834" s="8" t="s">
        <v>820</v>
      </c>
      <c r="D834" s="9" t="s">
        <v>451</v>
      </c>
      <c r="E834" s="12" t="s">
        <v>55</v>
      </c>
      <c r="F834" s="8" t="s">
        <v>54</v>
      </c>
      <c r="G834" s="10" t="s">
        <v>67</v>
      </c>
      <c r="H834" s="12" t="s">
        <v>55</v>
      </c>
      <c r="I834" s="8" t="s">
        <v>54</v>
      </c>
      <c r="J834" s="8" t="s">
        <v>54</v>
      </c>
      <c r="K834" s="12" t="s">
        <v>55</v>
      </c>
      <c r="L834" s="8" t="s">
        <v>54</v>
      </c>
      <c r="M834" s="8" t="s">
        <v>54</v>
      </c>
      <c r="N834" s="10" t="s">
        <v>67</v>
      </c>
      <c r="O834" s="12" t="s">
        <v>55</v>
      </c>
      <c r="P834" s="8" t="s">
        <v>54</v>
      </c>
      <c r="Q834" s="8" t="s">
        <v>54</v>
      </c>
      <c r="R834" s="8" t="s">
        <v>54</v>
      </c>
      <c r="S834" s="8" t="s">
        <v>54</v>
      </c>
      <c r="T834" s="8" t="s">
        <v>54</v>
      </c>
      <c r="U834" s="10" t="s">
        <v>67</v>
      </c>
      <c r="V834" s="8" t="s">
        <v>54</v>
      </c>
      <c r="W834" s="8" t="s">
        <v>54</v>
      </c>
      <c r="X834" s="8" t="s">
        <v>54</v>
      </c>
      <c r="Y834" s="8" t="s">
        <v>54</v>
      </c>
      <c r="Z834" s="8" t="s">
        <v>54</v>
      </c>
      <c r="AA834" s="8" t="s">
        <v>54</v>
      </c>
      <c r="AB834" s="10" t="s">
        <v>67</v>
      </c>
      <c r="AC834" s="8" t="s">
        <v>54</v>
      </c>
      <c r="AD834" s="8" t="s">
        <v>54</v>
      </c>
      <c r="AE834" s="8" t="s">
        <v>54</v>
      </c>
      <c r="AF834" s="8" t="s">
        <v>54</v>
      </c>
      <c r="AG834" s="8" t="s">
        <v>54</v>
      </c>
      <c r="AH834" s="8" t="s">
        <v>54</v>
      </c>
      <c r="AI834" s="10" t="s">
        <v>67</v>
      </c>
      <c r="AJ834" s="8">
        <f>COUNTIF($E$834:$AI$834,"P")</f>
        <v>22</v>
      </c>
      <c r="AK834" s="8">
        <f>COUNTIF($E$834:$AI$834,"A")</f>
        <v>4</v>
      </c>
      <c r="AL834" s="8">
        <f>SUM($E$835:$AI$835)</f>
        <v>29</v>
      </c>
      <c r="AM834" s="8">
        <f>SUM($E$836:$AI$836)</f>
        <v>110</v>
      </c>
      <c r="AN834" s="8">
        <f>AL834+AM834</f>
        <v>139</v>
      </c>
      <c r="AO834" s="8">
        <f>COUNTIF($E$834:$AI$834,"CL")</f>
        <v>0</v>
      </c>
      <c r="AP834" s="8">
        <f>COUNTIF($E$834:$AI$834,"SL")</f>
        <v>0</v>
      </c>
      <c r="AQ834" s="8">
        <f>COUNTIF($E$834:$AI$834,"EL")</f>
        <v>0</v>
      </c>
      <c r="AR834" s="8">
        <f>COUNTIF($E$834:$AI$834,"H")</f>
        <v>0</v>
      </c>
      <c r="AS834" s="8"/>
      <c r="AT834" s="11" t="s">
        <v>247</v>
      </c>
    </row>
    <row r="835" spans="1:46" ht="15.1" customHeight="1">
      <c r="A835" s="8"/>
      <c r="B835" s="9"/>
      <c r="C835" s="8"/>
      <c r="D835" s="9"/>
      <c r="E835" s="8">
        <v>0</v>
      </c>
      <c r="F835" s="8">
        <v>2</v>
      </c>
      <c r="G835" s="8">
        <v>0</v>
      </c>
      <c r="H835" s="8">
        <v>0</v>
      </c>
      <c r="I835" s="8">
        <v>2</v>
      </c>
      <c r="J835" s="8">
        <v>2</v>
      </c>
      <c r="K835" s="8">
        <v>0</v>
      </c>
      <c r="L835" s="8">
        <v>2</v>
      </c>
      <c r="M835" s="8">
        <v>2</v>
      </c>
      <c r="N835" s="8">
        <v>0</v>
      </c>
      <c r="O835" s="8">
        <v>0</v>
      </c>
      <c r="P835" s="8">
        <v>2</v>
      </c>
      <c r="Q835" s="8">
        <v>0</v>
      </c>
      <c r="R835" s="8">
        <v>2</v>
      </c>
      <c r="S835" s="8">
        <v>2</v>
      </c>
      <c r="T835" s="8">
        <v>2</v>
      </c>
      <c r="U835" s="8">
        <v>0</v>
      </c>
      <c r="V835" s="8">
        <v>2</v>
      </c>
      <c r="W835" s="8">
        <v>2</v>
      </c>
      <c r="X835" s="8">
        <v>2</v>
      </c>
      <c r="Y835" s="8">
        <v>0</v>
      </c>
      <c r="Z835" s="8">
        <v>0</v>
      </c>
      <c r="AA835" s="8">
        <v>0</v>
      </c>
      <c r="AB835" s="8">
        <v>0</v>
      </c>
      <c r="AC835" s="8">
        <v>2</v>
      </c>
      <c r="AD835" s="8">
        <v>2</v>
      </c>
      <c r="AE835" s="8">
        <v>0</v>
      </c>
      <c r="AF835" s="8">
        <v>0</v>
      </c>
      <c r="AG835" s="8">
        <v>1</v>
      </c>
      <c r="AH835" s="8">
        <v>0</v>
      </c>
      <c r="AI835" s="8">
        <v>0</v>
      </c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11" t="s">
        <v>247</v>
      </c>
    </row>
    <row r="836" spans="1:46" ht="15.1" customHeight="1">
      <c r="A836" s="8"/>
      <c r="B836" s="9"/>
      <c r="C836" s="8"/>
      <c r="D836" s="9"/>
      <c r="E836" s="8">
        <v>0</v>
      </c>
      <c r="F836" s="8">
        <v>3</v>
      </c>
      <c r="G836" s="8">
        <v>13.5</v>
      </c>
      <c r="H836" s="8">
        <v>0</v>
      </c>
      <c r="I836" s="8">
        <v>7</v>
      </c>
      <c r="J836" s="8">
        <v>7</v>
      </c>
      <c r="K836" s="8">
        <v>0</v>
      </c>
      <c r="L836" s="8">
        <v>7</v>
      </c>
      <c r="M836" s="8">
        <v>4.5</v>
      </c>
      <c r="N836" s="8">
        <v>16</v>
      </c>
      <c r="O836" s="8">
        <v>0</v>
      </c>
      <c r="P836" s="8">
        <v>7</v>
      </c>
      <c r="Q836" s="8">
        <v>0</v>
      </c>
      <c r="R836" s="8">
        <v>7</v>
      </c>
      <c r="S836" s="8">
        <v>7</v>
      </c>
      <c r="T836" s="8">
        <v>3</v>
      </c>
      <c r="U836" s="8">
        <v>12.5</v>
      </c>
      <c r="V836" s="8">
        <v>7</v>
      </c>
      <c r="W836" s="8">
        <v>6.5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2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11" t="s">
        <v>247</v>
      </c>
    </row>
    <row r="837" spans="1:46" ht="15.1" customHeight="1">
      <c r="A837" s="8">
        <v>278</v>
      </c>
      <c r="B837" s="9" t="s">
        <v>821</v>
      </c>
      <c r="C837" s="8" t="s">
        <v>822</v>
      </c>
      <c r="D837" s="9" t="s">
        <v>451</v>
      </c>
      <c r="E837" s="8" t="s">
        <v>54</v>
      </c>
      <c r="F837" s="8" t="s">
        <v>54</v>
      </c>
      <c r="G837" s="10" t="s">
        <v>67</v>
      </c>
      <c r="H837" s="12" t="s">
        <v>55</v>
      </c>
      <c r="I837" s="12" t="s">
        <v>55</v>
      </c>
      <c r="J837" s="8" t="s">
        <v>54</v>
      </c>
      <c r="K837" s="8" t="s">
        <v>54</v>
      </c>
      <c r="L837" s="8" t="s">
        <v>54</v>
      </c>
      <c r="M837" s="8" t="s">
        <v>54</v>
      </c>
      <c r="N837" s="10" t="s">
        <v>67</v>
      </c>
      <c r="O837" s="8" t="s">
        <v>54</v>
      </c>
      <c r="P837" s="8" t="s">
        <v>54</v>
      </c>
      <c r="Q837" s="8" t="s">
        <v>54</v>
      </c>
      <c r="R837" s="8" t="s">
        <v>54</v>
      </c>
      <c r="S837" s="8" t="s">
        <v>54</v>
      </c>
      <c r="T837" s="8" t="s">
        <v>54</v>
      </c>
      <c r="U837" s="10" t="s">
        <v>67</v>
      </c>
      <c r="V837" s="8" t="s">
        <v>54</v>
      </c>
      <c r="W837" s="8" t="s">
        <v>54</v>
      </c>
      <c r="X837" s="8" t="s">
        <v>54</v>
      </c>
      <c r="Y837" s="8" t="s">
        <v>54</v>
      </c>
      <c r="Z837" s="8" t="s">
        <v>54</v>
      </c>
      <c r="AA837" s="12" t="s">
        <v>55</v>
      </c>
      <c r="AB837" s="10" t="s">
        <v>67</v>
      </c>
      <c r="AC837" s="12" t="s">
        <v>55</v>
      </c>
      <c r="AD837" s="12" t="s">
        <v>55</v>
      </c>
      <c r="AE837" s="8" t="s">
        <v>54</v>
      </c>
      <c r="AF837" s="8" t="s">
        <v>54</v>
      </c>
      <c r="AG837" s="8" t="s">
        <v>54</v>
      </c>
      <c r="AH837" s="8" t="s">
        <v>54</v>
      </c>
      <c r="AI837" s="10" t="s">
        <v>67</v>
      </c>
      <c r="AJ837" s="8">
        <f>COUNTIF($E$837:$AI$837,"P")</f>
        <v>21</v>
      </c>
      <c r="AK837" s="8">
        <f>COUNTIF($E$837:$AI$837,"A")</f>
        <v>5</v>
      </c>
      <c r="AL837" s="8">
        <f>SUM($E$838:$AI$838)</f>
        <v>36</v>
      </c>
      <c r="AM837" s="8">
        <f>SUM($E$839:$AI$839)</f>
        <v>88</v>
      </c>
      <c r="AN837" s="8">
        <f>AL837+AM837</f>
        <v>124</v>
      </c>
      <c r="AO837" s="8">
        <f>COUNTIF($E$837:$AI$837,"CL")</f>
        <v>0</v>
      </c>
      <c r="AP837" s="8">
        <f>COUNTIF($E$837:$AI$837,"SL")</f>
        <v>0</v>
      </c>
      <c r="AQ837" s="8">
        <f>COUNTIF($E$837:$AI$837,"EL")</f>
        <v>0</v>
      </c>
      <c r="AR837" s="8">
        <f>COUNTIF($E$837:$AI$837,"H")</f>
        <v>0</v>
      </c>
      <c r="AS837" s="8"/>
      <c r="AT837" s="11" t="s">
        <v>247</v>
      </c>
    </row>
    <row r="838" spans="1:46" ht="15.1" customHeight="1">
      <c r="A838" s="8"/>
      <c r="B838" s="9"/>
      <c r="C838" s="8"/>
      <c r="D838" s="9"/>
      <c r="E838" s="8">
        <v>2</v>
      </c>
      <c r="F838" s="8">
        <v>2</v>
      </c>
      <c r="G838" s="8">
        <v>0</v>
      </c>
      <c r="H838" s="8">
        <v>0</v>
      </c>
      <c r="I838" s="8">
        <v>0</v>
      </c>
      <c r="J838" s="8">
        <v>2</v>
      </c>
      <c r="K838" s="8">
        <v>2</v>
      </c>
      <c r="L838" s="8">
        <v>2</v>
      </c>
      <c r="M838" s="8">
        <v>2</v>
      </c>
      <c r="N838" s="8">
        <v>0</v>
      </c>
      <c r="O838" s="8">
        <v>2</v>
      </c>
      <c r="P838" s="8">
        <v>2</v>
      </c>
      <c r="Q838" s="8">
        <v>2</v>
      </c>
      <c r="R838" s="8">
        <v>2</v>
      </c>
      <c r="S838" s="8">
        <v>2</v>
      </c>
      <c r="T838" s="8">
        <v>2</v>
      </c>
      <c r="U838" s="8">
        <v>0</v>
      </c>
      <c r="V838" s="8">
        <v>2</v>
      </c>
      <c r="W838" s="8">
        <v>2</v>
      </c>
      <c r="X838" s="8">
        <v>2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2</v>
      </c>
      <c r="AG838" s="8">
        <v>2</v>
      </c>
      <c r="AH838" s="8">
        <v>2</v>
      </c>
      <c r="AI838" s="8">
        <v>0</v>
      </c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11" t="s">
        <v>247</v>
      </c>
    </row>
    <row r="839" spans="1:46" ht="15.1" customHeight="1">
      <c r="A839" s="8"/>
      <c r="B839" s="9"/>
      <c r="C839" s="8"/>
      <c r="D839" s="9"/>
      <c r="E839" s="8">
        <v>3.5</v>
      </c>
      <c r="F839" s="8">
        <v>3</v>
      </c>
      <c r="G839" s="8">
        <v>13.5</v>
      </c>
      <c r="H839" s="8">
        <v>0</v>
      </c>
      <c r="I839" s="8">
        <v>0</v>
      </c>
      <c r="J839" s="8">
        <v>3</v>
      </c>
      <c r="K839" s="8">
        <v>3</v>
      </c>
      <c r="L839" s="8">
        <v>4</v>
      </c>
      <c r="M839" s="8">
        <v>3</v>
      </c>
      <c r="N839" s="8">
        <v>12.5</v>
      </c>
      <c r="O839" s="8">
        <v>5</v>
      </c>
      <c r="P839" s="8">
        <v>4.5</v>
      </c>
      <c r="Q839" s="8">
        <v>4</v>
      </c>
      <c r="R839" s="8">
        <v>5</v>
      </c>
      <c r="S839" s="8">
        <v>4</v>
      </c>
      <c r="T839" s="8">
        <v>3</v>
      </c>
      <c r="U839" s="8">
        <v>8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3</v>
      </c>
      <c r="AG839" s="8">
        <v>3</v>
      </c>
      <c r="AH839" s="8">
        <v>3</v>
      </c>
      <c r="AI839" s="8">
        <v>0</v>
      </c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11" t="s">
        <v>247</v>
      </c>
    </row>
    <row r="840" spans="1:46" ht="15.1" customHeight="1">
      <c r="A840" s="8">
        <v>279</v>
      </c>
      <c r="B840" s="9" t="s">
        <v>823</v>
      </c>
      <c r="C840" s="8" t="s">
        <v>824</v>
      </c>
      <c r="D840" s="9" t="s">
        <v>451</v>
      </c>
      <c r="E840" s="8" t="s">
        <v>54</v>
      </c>
      <c r="F840" s="8" t="s">
        <v>54</v>
      </c>
      <c r="G840" s="10" t="s">
        <v>67</v>
      </c>
      <c r="H840" s="8" t="s">
        <v>54</v>
      </c>
      <c r="I840" s="8" t="s">
        <v>54</v>
      </c>
      <c r="J840" s="8" t="s">
        <v>54</v>
      </c>
      <c r="K840" s="8" t="s">
        <v>54</v>
      </c>
      <c r="L840" s="8" t="s">
        <v>54</v>
      </c>
      <c r="M840" s="8" t="s">
        <v>54</v>
      </c>
      <c r="N840" s="10" t="s">
        <v>67</v>
      </c>
      <c r="O840" s="8" t="s">
        <v>54</v>
      </c>
      <c r="P840" s="8" t="s">
        <v>54</v>
      </c>
      <c r="Q840" s="8" t="s">
        <v>54</v>
      </c>
      <c r="R840" s="8" t="s">
        <v>54</v>
      </c>
      <c r="S840" s="8" t="s">
        <v>54</v>
      </c>
      <c r="T840" s="8" t="s">
        <v>54</v>
      </c>
      <c r="U840" s="10" t="s">
        <v>67</v>
      </c>
      <c r="V840" s="8" t="s">
        <v>54</v>
      </c>
      <c r="W840" s="8" t="s">
        <v>54</v>
      </c>
      <c r="X840" s="8" t="s">
        <v>54</v>
      </c>
      <c r="Y840" s="8" t="s">
        <v>54</v>
      </c>
      <c r="Z840" s="8" t="s">
        <v>54</v>
      </c>
      <c r="AA840" s="8" t="s">
        <v>54</v>
      </c>
      <c r="AB840" s="10" t="s">
        <v>67</v>
      </c>
      <c r="AC840" s="8" t="s">
        <v>54</v>
      </c>
      <c r="AD840" s="8" t="s">
        <v>54</v>
      </c>
      <c r="AE840" s="8" t="s">
        <v>54</v>
      </c>
      <c r="AF840" s="8" t="s">
        <v>54</v>
      </c>
      <c r="AG840" s="8" t="s">
        <v>54</v>
      </c>
      <c r="AH840" s="8" t="s">
        <v>54</v>
      </c>
      <c r="AI840" s="10" t="s">
        <v>67</v>
      </c>
      <c r="AJ840" s="8">
        <f>COUNTIF($E$840:$AI$840,"P")</f>
        <v>26</v>
      </c>
      <c r="AK840" s="8">
        <f>COUNTIF($E$840:$AI$840,"A")</f>
        <v>0</v>
      </c>
      <c r="AL840" s="8">
        <f>SUM($E$841:$AI$841)</f>
        <v>39</v>
      </c>
      <c r="AM840" s="8">
        <f>SUM($E$842:$AI$842)</f>
        <v>140.5</v>
      </c>
      <c r="AN840" s="8">
        <f>AL840+AM840</f>
        <v>179.5</v>
      </c>
      <c r="AO840" s="8">
        <f>COUNTIF($E$840:$AI$840,"CL")</f>
        <v>0</v>
      </c>
      <c r="AP840" s="8">
        <f>COUNTIF($E$840:$AI$840,"SL")</f>
        <v>0</v>
      </c>
      <c r="AQ840" s="8">
        <f>COUNTIF($E$840:$AI$840,"EL")</f>
        <v>0</v>
      </c>
      <c r="AR840" s="8">
        <f>COUNTIF($E$840:$AI$840,"H")</f>
        <v>0</v>
      </c>
      <c r="AS840" s="8"/>
      <c r="AT840" s="11" t="s">
        <v>247</v>
      </c>
    </row>
    <row r="841" spans="1:46" ht="15.1" customHeight="1">
      <c r="A841" s="8"/>
      <c r="B841" s="9"/>
      <c r="C841" s="8"/>
      <c r="D841" s="9"/>
      <c r="E841" s="8">
        <v>2</v>
      </c>
      <c r="F841" s="8">
        <v>2</v>
      </c>
      <c r="G841" s="8">
        <v>0</v>
      </c>
      <c r="H841" s="8">
        <v>2</v>
      </c>
      <c r="I841" s="8">
        <v>2</v>
      </c>
      <c r="J841" s="8">
        <v>2</v>
      </c>
      <c r="K841" s="8">
        <v>2</v>
      </c>
      <c r="L841" s="8">
        <v>2</v>
      </c>
      <c r="M841" s="8">
        <v>2</v>
      </c>
      <c r="N841" s="8">
        <v>0</v>
      </c>
      <c r="O841" s="8">
        <v>2</v>
      </c>
      <c r="P841" s="8">
        <v>2</v>
      </c>
      <c r="Q841" s="8">
        <v>2</v>
      </c>
      <c r="R841" s="8">
        <v>2</v>
      </c>
      <c r="S841" s="8">
        <v>2</v>
      </c>
      <c r="T841" s="8">
        <v>2</v>
      </c>
      <c r="U841" s="8">
        <v>0</v>
      </c>
      <c r="V841" s="8">
        <v>2</v>
      </c>
      <c r="W841" s="8">
        <v>2</v>
      </c>
      <c r="X841" s="8">
        <v>2</v>
      </c>
      <c r="Y841" s="8">
        <v>0</v>
      </c>
      <c r="Z841" s="8">
        <v>0</v>
      </c>
      <c r="AA841" s="8">
        <v>0</v>
      </c>
      <c r="AB841" s="8">
        <v>0</v>
      </c>
      <c r="AC841" s="8">
        <v>2</v>
      </c>
      <c r="AD841" s="8">
        <v>2</v>
      </c>
      <c r="AE841" s="8">
        <v>0</v>
      </c>
      <c r="AF841" s="8">
        <v>0</v>
      </c>
      <c r="AG841" s="8">
        <v>1</v>
      </c>
      <c r="AH841" s="8">
        <v>0</v>
      </c>
      <c r="AI841" s="8">
        <v>0</v>
      </c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11" t="s">
        <v>247</v>
      </c>
    </row>
    <row r="842" spans="1:46" ht="15.1" customHeight="1">
      <c r="A842" s="8"/>
      <c r="B842" s="9"/>
      <c r="C842" s="8"/>
      <c r="D842" s="9"/>
      <c r="E842" s="8">
        <v>5</v>
      </c>
      <c r="F842" s="8">
        <v>3</v>
      </c>
      <c r="G842" s="8">
        <v>14</v>
      </c>
      <c r="H842" s="8">
        <v>5</v>
      </c>
      <c r="I842" s="8">
        <v>7</v>
      </c>
      <c r="J842" s="8">
        <v>7</v>
      </c>
      <c r="K842" s="8">
        <v>7</v>
      </c>
      <c r="L842" s="8">
        <v>7</v>
      </c>
      <c r="M842" s="8">
        <v>5</v>
      </c>
      <c r="N842" s="8">
        <v>16.5</v>
      </c>
      <c r="O842" s="8">
        <v>7</v>
      </c>
      <c r="P842" s="8">
        <v>6.5</v>
      </c>
      <c r="Q842" s="8">
        <v>4.5</v>
      </c>
      <c r="R842" s="8">
        <v>7</v>
      </c>
      <c r="S842" s="8">
        <v>6.5</v>
      </c>
      <c r="T842" s="8">
        <v>4.5</v>
      </c>
      <c r="U842" s="8">
        <v>12.5</v>
      </c>
      <c r="V842" s="8">
        <v>6.5</v>
      </c>
      <c r="W842" s="8">
        <v>7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2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11" t="s">
        <v>247</v>
      </c>
    </row>
    <row r="843" spans="1:46" ht="15.1" customHeight="1">
      <c r="A843" s="8">
        <v>280</v>
      </c>
      <c r="B843" s="9" t="s">
        <v>825</v>
      </c>
      <c r="C843" s="8" t="s">
        <v>826</v>
      </c>
      <c r="D843" s="9" t="s">
        <v>451</v>
      </c>
      <c r="E843" s="8" t="s">
        <v>54</v>
      </c>
      <c r="F843" s="8" t="s">
        <v>54</v>
      </c>
      <c r="G843" s="10" t="s">
        <v>67</v>
      </c>
      <c r="H843" s="8" t="s">
        <v>54</v>
      </c>
      <c r="I843" s="12" t="s">
        <v>55</v>
      </c>
      <c r="J843" s="8" t="s">
        <v>54</v>
      </c>
      <c r="K843" s="8" t="s">
        <v>54</v>
      </c>
      <c r="L843" s="8" t="s">
        <v>54</v>
      </c>
      <c r="M843" s="8" t="s">
        <v>54</v>
      </c>
      <c r="N843" s="10" t="s">
        <v>67</v>
      </c>
      <c r="O843" s="12" t="s">
        <v>55</v>
      </c>
      <c r="P843" s="12" t="s">
        <v>55</v>
      </c>
      <c r="Q843" s="8" t="s">
        <v>54</v>
      </c>
      <c r="R843" s="8" t="s">
        <v>54</v>
      </c>
      <c r="S843" s="8" t="s">
        <v>54</v>
      </c>
      <c r="T843" s="8" t="s">
        <v>54</v>
      </c>
      <c r="U843" s="10" t="s">
        <v>67</v>
      </c>
      <c r="V843" s="12" t="s">
        <v>55</v>
      </c>
      <c r="W843" s="8" t="s">
        <v>54</v>
      </c>
      <c r="X843" s="8" t="s">
        <v>54</v>
      </c>
      <c r="Y843" s="8" t="s">
        <v>54</v>
      </c>
      <c r="Z843" s="8" t="s">
        <v>54</v>
      </c>
      <c r="AA843" s="8" t="s">
        <v>54</v>
      </c>
      <c r="AB843" s="10" t="s">
        <v>67</v>
      </c>
      <c r="AC843" s="8" t="s">
        <v>54</v>
      </c>
      <c r="AD843" s="8" t="s">
        <v>54</v>
      </c>
      <c r="AE843" s="8" t="s">
        <v>54</v>
      </c>
      <c r="AF843" s="8" t="s">
        <v>54</v>
      </c>
      <c r="AG843" s="8" t="s">
        <v>54</v>
      </c>
      <c r="AH843" s="8" t="s">
        <v>54</v>
      </c>
      <c r="AI843" s="10" t="s">
        <v>67</v>
      </c>
      <c r="AJ843" s="8">
        <f>COUNTIF($E$843:$AI$843,"P")</f>
        <v>22</v>
      </c>
      <c r="AK843" s="8">
        <f>COUNTIF($E$843:$AI$843,"A")</f>
        <v>4</v>
      </c>
      <c r="AL843" s="8">
        <f>SUM($E$844:$AI$844)</f>
        <v>27</v>
      </c>
      <c r="AM843" s="8">
        <f>SUM($E$845:$AI$845)</f>
        <v>111.5</v>
      </c>
      <c r="AN843" s="8">
        <f>AL843+AM843</f>
        <v>138.5</v>
      </c>
      <c r="AO843" s="8">
        <f>COUNTIF($E$843:$AI$843,"CL")</f>
        <v>0</v>
      </c>
      <c r="AP843" s="8">
        <f>COUNTIF($E$843:$AI$843,"SL")</f>
        <v>0</v>
      </c>
      <c r="AQ843" s="8">
        <f>COUNTIF($E$843:$AI$843,"EL")</f>
        <v>0</v>
      </c>
      <c r="AR843" s="8">
        <f>COUNTIF($E$843:$AI$843,"H")</f>
        <v>0</v>
      </c>
      <c r="AS843" s="8"/>
      <c r="AT843" s="11" t="s">
        <v>247</v>
      </c>
    </row>
    <row r="844" spans="1:46" ht="15.1" customHeight="1">
      <c r="A844" s="8"/>
      <c r="B844" s="9"/>
      <c r="C844" s="8"/>
      <c r="D844" s="9"/>
      <c r="E844" s="8">
        <v>2</v>
      </c>
      <c r="F844" s="8">
        <v>2</v>
      </c>
      <c r="G844" s="8">
        <v>0</v>
      </c>
      <c r="H844" s="8">
        <v>2</v>
      </c>
      <c r="I844" s="8">
        <v>0</v>
      </c>
      <c r="J844" s="8">
        <v>2</v>
      </c>
      <c r="K844" s="8">
        <v>2</v>
      </c>
      <c r="L844" s="8">
        <v>2</v>
      </c>
      <c r="M844" s="8">
        <v>2</v>
      </c>
      <c r="N844" s="8">
        <v>0</v>
      </c>
      <c r="O844" s="8">
        <v>0</v>
      </c>
      <c r="P844" s="8">
        <v>0</v>
      </c>
      <c r="Q844" s="8">
        <v>2</v>
      </c>
      <c r="R844" s="8">
        <v>2</v>
      </c>
      <c r="S844" s="8">
        <v>2</v>
      </c>
      <c r="T844" s="8">
        <v>2</v>
      </c>
      <c r="U844" s="8">
        <v>0</v>
      </c>
      <c r="V844" s="8">
        <v>0</v>
      </c>
      <c r="W844" s="8">
        <v>2</v>
      </c>
      <c r="X844" s="8">
        <v>2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1</v>
      </c>
      <c r="AH844" s="8">
        <v>0</v>
      </c>
      <c r="AI844" s="8">
        <v>0</v>
      </c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11" t="s">
        <v>247</v>
      </c>
    </row>
    <row r="845" spans="1:46" ht="15.1" customHeight="1">
      <c r="A845" s="8"/>
      <c r="B845" s="9"/>
      <c r="C845" s="8"/>
      <c r="D845" s="9"/>
      <c r="E845" s="8">
        <v>5</v>
      </c>
      <c r="F845" s="8">
        <v>3</v>
      </c>
      <c r="G845" s="8">
        <v>14</v>
      </c>
      <c r="H845" s="8">
        <v>5</v>
      </c>
      <c r="I845" s="8">
        <v>0</v>
      </c>
      <c r="J845" s="8">
        <v>7</v>
      </c>
      <c r="K845" s="8">
        <v>7</v>
      </c>
      <c r="L845" s="8">
        <v>7</v>
      </c>
      <c r="M845" s="8">
        <v>5</v>
      </c>
      <c r="N845" s="8">
        <v>16.5</v>
      </c>
      <c r="O845" s="8">
        <v>0</v>
      </c>
      <c r="P845" s="8">
        <v>0</v>
      </c>
      <c r="Q845" s="8">
        <v>5</v>
      </c>
      <c r="R845" s="8">
        <v>7</v>
      </c>
      <c r="S845" s="8">
        <v>7</v>
      </c>
      <c r="T845" s="8">
        <v>3</v>
      </c>
      <c r="U845" s="8">
        <v>13</v>
      </c>
      <c r="V845" s="8">
        <v>0</v>
      </c>
      <c r="W845" s="8">
        <v>7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11" t="s">
        <v>247</v>
      </c>
    </row>
    <row r="846" spans="1:46" ht="15.1" customHeight="1">
      <c r="A846" s="8">
        <v>281</v>
      </c>
      <c r="B846" s="9" t="s">
        <v>827</v>
      </c>
      <c r="C846" s="8" t="s">
        <v>828</v>
      </c>
      <c r="D846" s="9" t="s">
        <v>451</v>
      </c>
      <c r="E846" s="8" t="s">
        <v>54</v>
      </c>
      <c r="F846" s="8" t="s">
        <v>54</v>
      </c>
      <c r="G846" s="10" t="s">
        <v>67</v>
      </c>
      <c r="H846" s="8" t="s">
        <v>54</v>
      </c>
      <c r="I846" s="8" t="s">
        <v>54</v>
      </c>
      <c r="J846" s="8" t="s">
        <v>54</v>
      </c>
      <c r="K846" s="8" t="s">
        <v>54</v>
      </c>
      <c r="L846" s="8" t="s">
        <v>54</v>
      </c>
      <c r="M846" s="8" t="s">
        <v>54</v>
      </c>
      <c r="N846" s="10" t="s">
        <v>67</v>
      </c>
      <c r="O846" s="8" t="s">
        <v>54</v>
      </c>
      <c r="P846" s="8" t="s">
        <v>54</v>
      </c>
      <c r="Q846" s="8" t="s">
        <v>54</v>
      </c>
      <c r="R846" s="8" t="s">
        <v>54</v>
      </c>
      <c r="S846" s="8" t="s">
        <v>54</v>
      </c>
      <c r="T846" s="8" t="s">
        <v>54</v>
      </c>
      <c r="U846" s="10" t="s">
        <v>67</v>
      </c>
      <c r="V846" s="8" t="s">
        <v>54</v>
      </c>
      <c r="W846" s="8" t="s">
        <v>54</v>
      </c>
      <c r="X846" s="8" t="s">
        <v>54</v>
      </c>
      <c r="Y846" s="8" t="s">
        <v>54</v>
      </c>
      <c r="Z846" s="8" t="s">
        <v>54</v>
      </c>
      <c r="AA846" s="8" t="s">
        <v>54</v>
      </c>
      <c r="AB846" s="10" t="s">
        <v>67</v>
      </c>
      <c r="AC846" s="8" t="s">
        <v>54</v>
      </c>
      <c r="AD846" s="8" t="s">
        <v>54</v>
      </c>
      <c r="AE846" s="8" t="s">
        <v>54</v>
      </c>
      <c r="AF846" s="8" t="s">
        <v>54</v>
      </c>
      <c r="AG846" s="8" t="s">
        <v>54</v>
      </c>
      <c r="AH846" s="8" t="s">
        <v>54</v>
      </c>
      <c r="AI846" s="10" t="s">
        <v>67</v>
      </c>
      <c r="AJ846" s="8">
        <f>COUNTIF($E$846:$AI$846,"P")</f>
        <v>26</v>
      </c>
      <c r="AK846" s="8">
        <f>COUNTIF($E$846:$AI$846,"A")</f>
        <v>0</v>
      </c>
      <c r="AL846" s="8">
        <f>SUM($E$847:$AI$847)</f>
        <v>37</v>
      </c>
      <c r="AM846" s="8">
        <f>SUM($E$848:$AI$848)</f>
        <v>89</v>
      </c>
      <c r="AN846" s="8">
        <f>AL846+AM846</f>
        <v>126</v>
      </c>
      <c r="AO846" s="8">
        <f>COUNTIF($E$846:$AI$846,"CL")</f>
        <v>0</v>
      </c>
      <c r="AP846" s="8">
        <f>COUNTIF($E$846:$AI$846,"SL")</f>
        <v>0</v>
      </c>
      <c r="AQ846" s="8">
        <f>COUNTIF($E$846:$AI$846,"EL")</f>
        <v>0</v>
      </c>
      <c r="AR846" s="8">
        <f>COUNTIF($E$846:$AI$846,"H")</f>
        <v>0</v>
      </c>
      <c r="AS846" s="8"/>
      <c r="AT846" s="11" t="s">
        <v>247</v>
      </c>
    </row>
    <row r="847" spans="1:46" ht="15.1" customHeight="1">
      <c r="A847" s="8"/>
      <c r="B847" s="9"/>
      <c r="C847" s="8"/>
      <c r="D847" s="9"/>
      <c r="E847" s="8">
        <v>2</v>
      </c>
      <c r="F847" s="8">
        <v>2</v>
      </c>
      <c r="G847" s="8">
        <v>0</v>
      </c>
      <c r="H847" s="8">
        <v>2</v>
      </c>
      <c r="I847" s="8">
        <v>2</v>
      </c>
      <c r="J847" s="8">
        <v>2</v>
      </c>
      <c r="K847" s="8">
        <v>2</v>
      </c>
      <c r="L847" s="8">
        <v>2</v>
      </c>
      <c r="M847" s="8">
        <v>2</v>
      </c>
      <c r="N847" s="8">
        <v>0</v>
      </c>
      <c r="O847" s="8">
        <v>2</v>
      </c>
      <c r="P847" s="8">
        <v>2</v>
      </c>
      <c r="Q847" s="8">
        <v>2</v>
      </c>
      <c r="R847" s="8">
        <v>2</v>
      </c>
      <c r="S847" s="8">
        <v>2</v>
      </c>
      <c r="T847" s="8">
        <v>2</v>
      </c>
      <c r="U847" s="8">
        <v>0</v>
      </c>
      <c r="V847" s="8">
        <v>2</v>
      </c>
      <c r="W847" s="8">
        <v>2</v>
      </c>
      <c r="X847" s="8">
        <v>2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2</v>
      </c>
      <c r="AE847" s="8">
        <v>0</v>
      </c>
      <c r="AF847" s="8">
        <v>0</v>
      </c>
      <c r="AG847" s="8">
        <v>1</v>
      </c>
      <c r="AH847" s="8">
        <v>0</v>
      </c>
      <c r="AI847" s="8">
        <v>0</v>
      </c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11" t="s">
        <v>247</v>
      </c>
    </row>
    <row r="848" spans="1:46" ht="15.1" customHeight="1">
      <c r="A848" s="8"/>
      <c r="B848" s="9"/>
      <c r="C848" s="8"/>
      <c r="D848" s="9"/>
      <c r="E848" s="8">
        <v>3</v>
      </c>
      <c r="F848" s="8">
        <v>3</v>
      </c>
      <c r="G848" s="8">
        <v>13</v>
      </c>
      <c r="H848" s="8">
        <v>3</v>
      </c>
      <c r="I848" s="8">
        <v>3</v>
      </c>
      <c r="J848" s="8">
        <v>3</v>
      </c>
      <c r="K848" s="8">
        <v>3</v>
      </c>
      <c r="L848" s="8">
        <v>3</v>
      </c>
      <c r="M848" s="8">
        <v>3</v>
      </c>
      <c r="N848" s="8">
        <v>13</v>
      </c>
      <c r="O848" s="8">
        <v>3</v>
      </c>
      <c r="P848" s="8">
        <v>3</v>
      </c>
      <c r="Q848" s="8">
        <v>3</v>
      </c>
      <c r="R848" s="8">
        <v>3</v>
      </c>
      <c r="S848" s="8">
        <v>3</v>
      </c>
      <c r="T848" s="8">
        <v>3</v>
      </c>
      <c r="U848" s="8">
        <v>13</v>
      </c>
      <c r="V848" s="8">
        <v>3</v>
      </c>
      <c r="W848" s="8">
        <v>3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2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11" t="s">
        <v>247</v>
      </c>
    </row>
    <row r="849" spans="1:46" ht="15.1" customHeight="1">
      <c r="A849" s="8">
        <v>282</v>
      </c>
      <c r="B849" s="9" t="s">
        <v>829</v>
      </c>
      <c r="C849" s="8" t="s">
        <v>830</v>
      </c>
      <c r="D849" s="9" t="s">
        <v>451</v>
      </c>
      <c r="E849" s="8" t="s">
        <v>54</v>
      </c>
      <c r="F849" s="8" t="s">
        <v>54</v>
      </c>
      <c r="G849" s="10" t="s">
        <v>67</v>
      </c>
      <c r="H849" s="8" t="s">
        <v>54</v>
      </c>
      <c r="I849" s="8" t="s">
        <v>54</v>
      </c>
      <c r="J849" s="8" t="s">
        <v>54</v>
      </c>
      <c r="K849" s="8" t="s">
        <v>54</v>
      </c>
      <c r="L849" s="8" t="s">
        <v>54</v>
      </c>
      <c r="M849" s="8" t="s">
        <v>54</v>
      </c>
      <c r="N849" s="10" t="s">
        <v>67</v>
      </c>
      <c r="O849" s="8" t="s">
        <v>54</v>
      </c>
      <c r="P849" s="8" t="s">
        <v>54</v>
      </c>
      <c r="Q849" s="8" t="s">
        <v>54</v>
      </c>
      <c r="R849" s="8" t="s">
        <v>54</v>
      </c>
      <c r="S849" s="8" t="s">
        <v>54</v>
      </c>
      <c r="T849" s="8" t="s">
        <v>54</v>
      </c>
      <c r="U849" s="10" t="s">
        <v>67</v>
      </c>
      <c r="V849" s="8" t="s">
        <v>54</v>
      </c>
      <c r="W849" s="8" t="s">
        <v>54</v>
      </c>
      <c r="X849" s="8" t="s">
        <v>54</v>
      </c>
      <c r="Y849" s="8" t="s">
        <v>54</v>
      </c>
      <c r="Z849" s="8" t="s">
        <v>54</v>
      </c>
      <c r="AA849" s="8" t="s">
        <v>54</v>
      </c>
      <c r="AB849" s="10" t="s">
        <v>67</v>
      </c>
      <c r="AC849" s="8" t="s">
        <v>54</v>
      </c>
      <c r="AD849" s="8" t="s">
        <v>54</v>
      </c>
      <c r="AE849" s="8" t="s">
        <v>54</v>
      </c>
      <c r="AF849" s="8" t="s">
        <v>54</v>
      </c>
      <c r="AG849" s="8" t="s">
        <v>54</v>
      </c>
      <c r="AH849" s="8" t="s">
        <v>54</v>
      </c>
      <c r="AI849" s="10" t="s">
        <v>67</v>
      </c>
      <c r="AJ849" s="8">
        <f>COUNTIF($E$849:$AI$849,"P")</f>
        <v>26</v>
      </c>
      <c r="AK849" s="8">
        <f>COUNTIF($E$849:$AI$849,"A")</f>
        <v>0</v>
      </c>
      <c r="AL849" s="8">
        <f>SUM($E$850:$AI$850)</f>
        <v>39</v>
      </c>
      <c r="AM849" s="8">
        <f>SUM($E$851:$AI$851)</f>
        <v>140.5</v>
      </c>
      <c r="AN849" s="8">
        <f>AL849+AM849</f>
        <v>179.5</v>
      </c>
      <c r="AO849" s="8">
        <f>COUNTIF($E$849:$AI$849,"CL")</f>
        <v>0</v>
      </c>
      <c r="AP849" s="8">
        <f>COUNTIF($E$849:$AI$849,"SL")</f>
        <v>0</v>
      </c>
      <c r="AQ849" s="8">
        <f>COUNTIF($E$849:$AI$849,"EL")</f>
        <v>0</v>
      </c>
      <c r="AR849" s="8">
        <f>COUNTIF($E$849:$AI$849,"H")</f>
        <v>0</v>
      </c>
      <c r="AS849" s="8"/>
      <c r="AT849" s="11" t="s">
        <v>247</v>
      </c>
    </row>
    <row r="850" spans="1:46" ht="15.1" customHeight="1">
      <c r="A850" s="8"/>
      <c r="B850" s="9"/>
      <c r="C850" s="8"/>
      <c r="D850" s="9"/>
      <c r="E850" s="8">
        <v>2</v>
      </c>
      <c r="F850" s="8">
        <v>2</v>
      </c>
      <c r="G850" s="8">
        <v>0</v>
      </c>
      <c r="H850" s="8">
        <v>2</v>
      </c>
      <c r="I850" s="8">
        <v>2</v>
      </c>
      <c r="J850" s="8">
        <v>2</v>
      </c>
      <c r="K850" s="8">
        <v>2</v>
      </c>
      <c r="L850" s="8">
        <v>2</v>
      </c>
      <c r="M850" s="8">
        <v>2</v>
      </c>
      <c r="N850" s="8">
        <v>0</v>
      </c>
      <c r="O850" s="8">
        <v>2</v>
      </c>
      <c r="P850" s="8">
        <v>2</v>
      </c>
      <c r="Q850" s="8">
        <v>2</v>
      </c>
      <c r="R850" s="8">
        <v>2</v>
      </c>
      <c r="S850" s="8">
        <v>2</v>
      </c>
      <c r="T850" s="8">
        <v>2</v>
      </c>
      <c r="U850" s="8">
        <v>0</v>
      </c>
      <c r="V850" s="8">
        <v>2</v>
      </c>
      <c r="W850" s="8">
        <v>2</v>
      </c>
      <c r="X850" s="8">
        <v>2</v>
      </c>
      <c r="Y850" s="8">
        <v>0</v>
      </c>
      <c r="Z850" s="8">
        <v>0</v>
      </c>
      <c r="AA850" s="8">
        <v>0</v>
      </c>
      <c r="AB850" s="8">
        <v>0</v>
      </c>
      <c r="AC850" s="8">
        <v>2</v>
      </c>
      <c r="AD850" s="8">
        <v>2</v>
      </c>
      <c r="AE850" s="8">
        <v>0</v>
      </c>
      <c r="AF850" s="8">
        <v>0</v>
      </c>
      <c r="AG850" s="8">
        <v>1</v>
      </c>
      <c r="AH850" s="8">
        <v>0</v>
      </c>
      <c r="AI850" s="8">
        <v>0</v>
      </c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11" t="s">
        <v>247</v>
      </c>
    </row>
    <row r="851" spans="1:46" ht="15.1" customHeight="1">
      <c r="A851" s="8"/>
      <c r="B851" s="9"/>
      <c r="C851" s="8"/>
      <c r="D851" s="9"/>
      <c r="E851" s="8">
        <v>5</v>
      </c>
      <c r="F851" s="8">
        <v>3</v>
      </c>
      <c r="G851" s="8">
        <v>14</v>
      </c>
      <c r="H851" s="8">
        <v>5</v>
      </c>
      <c r="I851" s="8">
        <v>7</v>
      </c>
      <c r="J851" s="8">
        <v>7</v>
      </c>
      <c r="K851" s="8">
        <v>7</v>
      </c>
      <c r="L851" s="8">
        <v>6.5</v>
      </c>
      <c r="M851" s="8">
        <v>5</v>
      </c>
      <c r="N851" s="8">
        <v>16.5</v>
      </c>
      <c r="O851" s="8">
        <v>7</v>
      </c>
      <c r="P851" s="8">
        <v>7</v>
      </c>
      <c r="Q851" s="8">
        <v>5</v>
      </c>
      <c r="R851" s="8">
        <v>7</v>
      </c>
      <c r="S851" s="8">
        <v>7</v>
      </c>
      <c r="T851" s="8">
        <v>3</v>
      </c>
      <c r="U851" s="8">
        <v>12.5</v>
      </c>
      <c r="V851" s="8">
        <v>7</v>
      </c>
      <c r="W851" s="8">
        <v>7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2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11" t="s">
        <v>247</v>
      </c>
    </row>
    <row r="852" spans="1:46" ht="15.1" customHeight="1">
      <c r="A852" s="8">
        <v>283</v>
      </c>
      <c r="B852" s="9" t="s">
        <v>831</v>
      </c>
      <c r="C852" s="8" t="s">
        <v>832</v>
      </c>
      <c r="D852" s="9" t="s">
        <v>451</v>
      </c>
      <c r="E852" s="8" t="s">
        <v>54</v>
      </c>
      <c r="F852" s="12" t="s">
        <v>55</v>
      </c>
      <c r="G852" s="10" t="s">
        <v>67</v>
      </c>
      <c r="H852" s="8" t="s">
        <v>54</v>
      </c>
      <c r="I852" s="8" t="s">
        <v>54</v>
      </c>
      <c r="J852" s="8" t="s">
        <v>54</v>
      </c>
      <c r="K852" s="8" t="s">
        <v>54</v>
      </c>
      <c r="L852" s="8" t="s">
        <v>54</v>
      </c>
      <c r="M852" s="8" t="s">
        <v>54</v>
      </c>
      <c r="N852" s="10" t="s">
        <v>67</v>
      </c>
      <c r="O852" s="8" t="s">
        <v>54</v>
      </c>
      <c r="P852" s="8" t="s">
        <v>54</v>
      </c>
      <c r="Q852" s="8" t="s">
        <v>54</v>
      </c>
      <c r="R852" s="8" t="s">
        <v>54</v>
      </c>
      <c r="S852" s="8" t="s">
        <v>54</v>
      </c>
      <c r="T852" s="8" t="s">
        <v>54</v>
      </c>
      <c r="U852" s="10" t="s">
        <v>67</v>
      </c>
      <c r="V852" s="8" t="s">
        <v>54</v>
      </c>
      <c r="W852" s="8" t="s">
        <v>54</v>
      </c>
      <c r="X852" s="8" t="s">
        <v>54</v>
      </c>
      <c r="Y852" s="8" t="s">
        <v>54</v>
      </c>
      <c r="Z852" s="8" t="s">
        <v>54</v>
      </c>
      <c r="AA852" s="12" t="s">
        <v>55</v>
      </c>
      <c r="AB852" s="10" t="s">
        <v>67</v>
      </c>
      <c r="AC852" s="8" t="s">
        <v>54</v>
      </c>
      <c r="AD852" s="8" t="s">
        <v>54</v>
      </c>
      <c r="AE852" s="8" t="s">
        <v>54</v>
      </c>
      <c r="AF852" s="8" t="s">
        <v>54</v>
      </c>
      <c r="AG852" s="8" t="s">
        <v>54</v>
      </c>
      <c r="AH852" s="12" t="s">
        <v>55</v>
      </c>
      <c r="AI852" s="10" t="s">
        <v>67</v>
      </c>
      <c r="AJ852" s="8">
        <f>COUNTIF($E$852:$AI$852,"P")</f>
        <v>23</v>
      </c>
      <c r="AK852" s="8">
        <f>COUNTIF($E$852:$AI$852,"A")</f>
        <v>3</v>
      </c>
      <c r="AL852" s="8">
        <f>SUM($E$853:$AI$853)</f>
        <v>32</v>
      </c>
      <c r="AM852" s="8">
        <f>SUM($E$854:$AI$854)</f>
        <v>93</v>
      </c>
      <c r="AN852" s="8">
        <f>AL852+AM852</f>
        <v>125</v>
      </c>
      <c r="AO852" s="8">
        <f>COUNTIF($E$852:$AI$852,"CL")</f>
        <v>0</v>
      </c>
      <c r="AP852" s="8">
        <f>COUNTIF($E$852:$AI$852,"SL")</f>
        <v>0</v>
      </c>
      <c r="AQ852" s="8">
        <f>COUNTIF($E$852:$AI$852,"EL")</f>
        <v>0</v>
      </c>
      <c r="AR852" s="8">
        <f>COUNTIF($E$852:$AI$852,"H")</f>
        <v>0</v>
      </c>
      <c r="AS852" s="8"/>
      <c r="AT852" s="11" t="s">
        <v>247</v>
      </c>
    </row>
    <row r="853" spans="1:46" ht="15.1" customHeight="1">
      <c r="A853" s="8"/>
      <c r="B853" s="9"/>
      <c r="C853" s="8"/>
      <c r="D853" s="9"/>
      <c r="E853" s="8">
        <v>0</v>
      </c>
      <c r="F853" s="8">
        <v>0</v>
      </c>
      <c r="G853" s="8">
        <v>0</v>
      </c>
      <c r="H853" s="8">
        <v>2</v>
      </c>
      <c r="I853" s="8">
        <v>2</v>
      </c>
      <c r="J853" s="8">
        <v>2</v>
      </c>
      <c r="K853" s="8">
        <v>2</v>
      </c>
      <c r="L853" s="8">
        <v>2</v>
      </c>
      <c r="M853" s="8">
        <v>2</v>
      </c>
      <c r="N853" s="8">
        <v>0</v>
      </c>
      <c r="O853" s="8">
        <v>2</v>
      </c>
      <c r="P853" s="8">
        <v>2</v>
      </c>
      <c r="Q853" s="8">
        <v>2</v>
      </c>
      <c r="R853" s="8">
        <v>2</v>
      </c>
      <c r="S853" s="8">
        <v>2</v>
      </c>
      <c r="T853" s="8">
        <v>2</v>
      </c>
      <c r="U853" s="8">
        <v>0</v>
      </c>
      <c r="V853" s="8">
        <v>2</v>
      </c>
      <c r="W853" s="8">
        <v>2</v>
      </c>
      <c r="X853" s="8">
        <v>2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2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11" t="s">
        <v>247</v>
      </c>
    </row>
    <row r="854" spans="1:46" ht="15.1" customHeight="1">
      <c r="A854" s="8"/>
      <c r="B854" s="9"/>
      <c r="C854" s="8"/>
      <c r="D854" s="9"/>
      <c r="E854" s="8">
        <v>0</v>
      </c>
      <c r="F854" s="8">
        <v>0</v>
      </c>
      <c r="G854" s="8">
        <v>0</v>
      </c>
      <c r="H854" s="8">
        <v>5</v>
      </c>
      <c r="I854" s="8">
        <v>7</v>
      </c>
      <c r="J854" s="8">
        <v>7</v>
      </c>
      <c r="K854" s="8">
        <v>6.5</v>
      </c>
      <c r="L854" s="8">
        <v>6.5</v>
      </c>
      <c r="M854" s="8">
        <v>5</v>
      </c>
      <c r="N854" s="8">
        <v>16.5</v>
      </c>
      <c r="O854" s="8">
        <v>3</v>
      </c>
      <c r="P854" s="8">
        <v>6.5</v>
      </c>
      <c r="Q854" s="8">
        <v>2.5</v>
      </c>
      <c r="R854" s="8">
        <v>6.5</v>
      </c>
      <c r="S854" s="8">
        <v>6.5</v>
      </c>
      <c r="T854" s="8">
        <v>1.5</v>
      </c>
      <c r="U854" s="8">
        <v>0</v>
      </c>
      <c r="V854" s="8">
        <v>6.5</v>
      </c>
      <c r="W854" s="8">
        <v>6.5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11" t="s">
        <v>247</v>
      </c>
    </row>
    <row r="855" spans="1:46" ht="15.1" customHeight="1">
      <c r="A855" s="8">
        <v>284</v>
      </c>
      <c r="B855" s="9" t="s">
        <v>833</v>
      </c>
      <c r="C855" s="8" t="s">
        <v>834</v>
      </c>
      <c r="D855" s="9" t="s">
        <v>451</v>
      </c>
      <c r="E855" s="12" t="s">
        <v>55</v>
      </c>
      <c r="F855" s="12" t="s">
        <v>55</v>
      </c>
      <c r="G855" s="10" t="s">
        <v>67</v>
      </c>
      <c r="H855" s="8" t="s">
        <v>54</v>
      </c>
      <c r="I855" s="8" t="s">
        <v>54</v>
      </c>
      <c r="J855" s="8" t="s">
        <v>54</v>
      </c>
      <c r="K855" s="12" t="s">
        <v>55</v>
      </c>
      <c r="L855" s="12" t="s">
        <v>55</v>
      </c>
      <c r="M855" s="8" t="s">
        <v>54</v>
      </c>
      <c r="N855" s="10" t="s">
        <v>67</v>
      </c>
      <c r="O855" s="8" t="s">
        <v>54</v>
      </c>
      <c r="P855" s="8" t="s">
        <v>54</v>
      </c>
      <c r="Q855" s="12" t="s">
        <v>55</v>
      </c>
      <c r="R855" s="8" t="s">
        <v>54</v>
      </c>
      <c r="S855" s="8" t="s">
        <v>54</v>
      </c>
      <c r="T855" s="8" t="s">
        <v>54</v>
      </c>
      <c r="U855" s="10" t="s">
        <v>67</v>
      </c>
      <c r="V855" s="8" t="s">
        <v>54</v>
      </c>
      <c r="W855" s="8" t="s">
        <v>54</v>
      </c>
      <c r="X855" s="8" t="s">
        <v>54</v>
      </c>
      <c r="Y855" s="8" t="s">
        <v>54</v>
      </c>
      <c r="Z855" s="8" t="s">
        <v>54</v>
      </c>
      <c r="AA855" s="8" t="s">
        <v>54</v>
      </c>
      <c r="AB855" s="10" t="s">
        <v>67</v>
      </c>
      <c r="AC855" s="12" t="s">
        <v>55</v>
      </c>
      <c r="AD855" s="8" t="s">
        <v>54</v>
      </c>
      <c r="AE855" s="8" t="s">
        <v>54</v>
      </c>
      <c r="AF855" s="8" t="s">
        <v>54</v>
      </c>
      <c r="AG855" s="8" t="s">
        <v>54</v>
      </c>
      <c r="AH855" s="8" t="s">
        <v>54</v>
      </c>
      <c r="AI855" s="10" t="s">
        <v>67</v>
      </c>
      <c r="AJ855" s="8">
        <f>COUNTIF($E$855:$AI$855,"P")</f>
        <v>20</v>
      </c>
      <c r="AK855" s="8">
        <f>COUNTIF($E$855:$AI$855,"A")</f>
        <v>6</v>
      </c>
      <c r="AL855" s="8">
        <f>SUM($E$856:$AI$856)</f>
        <v>25</v>
      </c>
      <c r="AM855" s="8">
        <f>SUM($E$857:$AI$857)</f>
        <v>112.5</v>
      </c>
      <c r="AN855" s="8">
        <f>AL855+AM855</f>
        <v>137.5</v>
      </c>
      <c r="AO855" s="8">
        <f>COUNTIF($E$855:$AI$855,"CL")</f>
        <v>0</v>
      </c>
      <c r="AP855" s="8">
        <f>COUNTIF($E$855:$AI$855,"SL")</f>
        <v>0</v>
      </c>
      <c r="AQ855" s="8">
        <f>COUNTIF($E$855:$AI$855,"EL")</f>
        <v>0</v>
      </c>
      <c r="AR855" s="8">
        <f>COUNTIF($E$855:$AI$855,"H")</f>
        <v>0</v>
      </c>
      <c r="AS855" s="8"/>
      <c r="AT855" s="11" t="s">
        <v>247</v>
      </c>
    </row>
    <row r="856" spans="1:46" ht="15.1" customHeight="1">
      <c r="A856" s="8"/>
      <c r="B856" s="9"/>
      <c r="C856" s="8"/>
      <c r="D856" s="9"/>
      <c r="E856" s="8">
        <v>0</v>
      </c>
      <c r="F856" s="8">
        <v>0</v>
      </c>
      <c r="G856" s="8">
        <v>0</v>
      </c>
      <c r="H856" s="8">
        <v>2</v>
      </c>
      <c r="I856" s="8">
        <v>2</v>
      </c>
      <c r="J856" s="8">
        <v>2</v>
      </c>
      <c r="K856" s="8">
        <v>0</v>
      </c>
      <c r="L856" s="8">
        <v>0</v>
      </c>
      <c r="M856" s="8">
        <v>2</v>
      </c>
      <c r="N856" s="8">
        <v>0</v>
      </c>
      <c r="O856" s="8">
        <v>2</v>
      </c>
      <c r="P856" s="8">
        <v>2</v>
      </c>
      <c r="Q856" s="8">
        <v>0</v>
      </c>
      <c r="R856" s="8">
        <v>2</v>
      </c>
      <c r="S856" s="8">
        <v>2</v>
      </c>
      <c r="T856" s="8">
        <v>2</v>
      </c>
      <c r="U856" s="8">
        <v>0</v>
      </c>
      <c r="V856" s="8">
        <v>2</v>
      </c>
      <c r="W856" s="8">
        <v>2</v>
      </c>
      <c r="X856" s="8">
        <v>2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1</v>
      </c>
      <c r="AH856" s="8">
        <v>0</v>
      </c>
      <c r="AI856" s="8">
        <v>0</v>
      </c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11" t="s">
        <v>247</v>
      </c>
    </row>
    <row r="857" spans="1:46" ht="15.1" customHeight="1">
      <c r="A857" s="8"/>
      <c r="B857" s="9"/>
      <c r="C857" s="8"/>
      <c r="D857" s="9"/>
      <c r="E857" s="8">
        <v>0</v>
      </c>
      <c r="F857" s="8">
        <v>0</v>
      </c>
      <c r="G857" s="8">
        <v>14</v>
      </c>
      <c r="H857" s="8">
        <v>5</v>
      </c>
      <c r="I857" s="8">
        <v>7</v>
      </c>
      <c r="J857" s="8">
        <v>7</v>
      </c>
      <c r="K857" s="8">
        <v>0</v>
      </c>
      <c r="L857" s="8">
        <v>0</v>
      </c>
      <c r="M857" s="8">
        <v>5</v>
      </c>
      <c r="N857" s="8">
        <v>17</v>
      </c>
      <c r="O857" s="8">
        <v>7</v>
      </c>
      <c r="P857" s="8">
        <v>7</v>
      </c>
      <c r="Q857" s="8">
        <v>0</v>
      </c>
      <c r="R857" s="8">
        <v>7</v>
      </c>
      <c r="S857" s="8">
        <v>7</v>
      </c>
      <c r="T857" s="8">
        <v>3</v>
      </c>
      <c r="U857" s="8">
        <v>12.5</v>
      </c>
      <c r="V857" s="8">
        <v>7</v>
      </c>
      <c r="W857" s="8">
        <v>7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11" t="s">
        <v>247</v>
      </c>
    </row>
    <row r="858" spans="1:46" ht="15.1" customHeight="1">
      <c r="A858" s="8">
        <v>285</v>
      </c>
      <c r="B858" s="9" t="s">
        <v>835</v>
      </c>
      <c r="C858" s="8" t="s">
        <v>836</v>
      </c>
      <c r="D858" s="9" t="s">
        <v>451</v>
      </c>
      <c r="E858" s="12" t="s">
        <v>55</v>
      </c>
      <c r="F858" s="12" t="s">
        <v>55</v>
      </c>
      <c r="G858" s="10" t="s">
        <v>67</v>
      </c>
      <c r="H858" s="8" t="s">
        <v>54</v>
      </c>
      <c r="I858" s="8" t="s">
        <v>54</v>
      </c>
      <c r="J858" s="12" t="s">
        <v>55</v>
      </c>
      <c r="K858" s="8" t="s">
        <v>54</v>
      </c>
      <c r="L858" s="8" t="s">
        <v>54</v>
      </c>
      <c r="M858" s="8" t="s">
        <v>54</v>
      </c>
      <c r="N858" s="10" t="s">
        <v>67</v>
      </c>
      <c r="O858" s="8" t="s">
        <v>54</v>
      </c>
      <c r="P858" s="8" t="s">
        <v>54</v>
      </c>
      <c r="Q858" s="8" t="s">
        <v>54</v>
      </c>
      <c r="R858" s="12" t="s">
        <v>55</v>
      </c>
      <c r="S858" s="8" t="s">
        <v>54</v>
      </c>
      <c r="T858" s="8" t="s">
        <v>54</v>
      </c>
      <c r="U858" s="10" t="s">
        <v>67</v>
      </c>
      <c r="V858" s="8" t="s">
        <v>54</v>
      </c>
      <c r="W858" s="8" t="s">
        <v>54</v>
      </c>
      <c r="X858" s="8" t="s">
        <v>54</v>
      </c>
      <c r="Y858" s="12" t="s">
        <v>55</v>
      </c>
      <c r="Z858" s="8" t="s">
        <v>54</v>
      </c>
      <c r="AA858" s="8" t="s">
        <v>54</v>
      </c>
      <c r="AB858" s="10" t="s">
        <v>67</v>
      </c>
      <c r="AC858" s="8" t="s">
        <v>54</v>
      </c>
      <c r="AD858" s="8" t="s">
        <v>54</v>
      </c>
      <c r="AE858" s="8" t="s">
        <v>54</v>
      </c>
      <c r="AF858" s="8" t="s">
        <v>54</v>
      </c>
      <c r="AG858" s="8" t="s">
        <v>54</v>
      </c>
      <c r="AH858" s="8" t="s">
        <v>54</v>
      </c>
      <c r="AI858" s="10" t="s">
        <v>67</v>
      </c>
      <c r="AJ858" s="8">
        <f>COUNTIF($E$858:$AI$858,"P")</f>
        <v>21</v>
      </c>
      <c r="AK858" s="8">
        <f>COUNTIF($E$858:$AI$858,"A")</f>
        <v>5</v>
      </c>
      <c r="AL858" s="8">
        <f>SUM($E$859:$AI$859)</f>
        <v>27</v>
      </c>
      <c r="AM858" s="8">
        <f>SUM($E$860:$AI$860)</f>
        <v>116.5</v>
      </c>
      <c r="AN858" s="8">
        <f>AL858+AM858</f>
        <v>143.5</v>
      </c>
      <c r="AO858" s="8">
        <f>COUNTIF($E$858:$AI$858,"CL")</f>
        <v>0</v>
      </c>
      <c r="AP858" s="8">
        <f>COUNTIF($E$858:$AI$858,"SL")</f>
        <v>0</v>
      </c>
      <c r="AQ858" s="8">
        <f>COUNTIF($E$858:$AI$858,"EL")</f>
        <v>0</v>
      </c>
      <c r="AR858" s="8">
        <f>COUNTIF($E$858:$AI$858,"H")</f>
        <v>0</v>
      </c>
      <c r="AS858" s="8"/>
      <c r="AT858" s="11" t="s">
        <v>247</v>
      </c>
    </row>
    <row r="859" spans="1:46" ht="15.1" customHeight="1">
      <c r="A859" s="8"/>
      <c r="B859" s="9"/>
      <c r="C859" s="8"/>
      <c r="D859" s="9"/>
      <c r="E859" s="8">
        <v>0</v>
      </c>
      <c r="F859" s="8">
        <v>0</v>
      </c>
      <c r="G859" s="8">
        <v>0</v>
      </c>
      <c r="H859" s="8">
        <v>2</v>
      </c>
      <c r="I859" s="8">
        <v>2</v>
      </c>
      <c r="J859" s="8">
        <v>0</v>
      </c>
      <c r="K859" s="8">
        <v>2</v>
      </c>
      <c r="L859" s="8">
        <v>2</v>
      </c>
      <c r="M859" s="8">
        <v>2</v>
      </c>
      <c r="N859" s="8">
        <v>0</v>
      </c>
      <c r="O859" s="8">
        <v>2</v>
      </c>
      <c r="P859" s="8">
        <v>2</v>
      </c>
      <c r="Q859" s="8">
        <v>2</v>
      </c>
      <c r="R859" s="8">
        <v>0</v>
      </c>
      <c r="S859" s="8">
        <v>2</v>
      </c>
      <c r="T859" s="8">
        <v>2</v>
      </c>
      <c r="U859" s="8">
        <v>0</v>
      </c>
      <c r="V859" s="8">
        <v>2</v>
      </c>
      <c r="W859" s="8">
        <v>2</v>
      </c>
      <c r="X859" s="8">
        <v>2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1</v>
      </c>
      <c r="AH859" s="8">
        <v>0</v>
      </c>
      <c r="AI859" s="8">
        <v>0</v>
      </c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11" t="s">
        <v>247</v>
      </c>
    </row>
    <row r="860" spans="1:46" ht="15.1" customHeight="1">
      <c r="A860" s="8"/>
      <c r="B860" s="9"/>
      <c r="C860" s="8"/>
      <c r="D860" s="9"/>
      <c r="E860" s="8">
        <v>0</v>
      </c>
      <c r="F860" s="8">
        <v>0</v>
      </c>
      <c r="G860" s="8">
        <v>14</v>
      </c>
      <c r="H860" s="8">
        <v>5</v>
      </c>
      <c r="I860" s="8">
        <v>7</v>
      </c>
      <c r="J860" s="8">
        <v>0</v>
      </c>
      <c r="K860" s="8">
        <v>7</v>
      </c>
      <c r="L860" s="8">
        <v>7</v>
      </c>
      <c r="M860" s="8">
        <v>5</v>
      </c>
      <c r="N860" s="8">
        <v>16.5</v>
      </c>
      <c r="O860" s="8">
        <v>7</v>
      </c>
      <c r="P860" s="8">
        <v>6.5</v>
      </c>
      <c r="Q860" s="8">
        <v>4.5</v>
      </c>
      <c r="R860" s="8">
        <v>0</v>
      </c>
      <c r="S860" s="8">
        <v>7</v>
      </c>
      <c r="T860" s="8">
        <v>3</v>
      </c>
      <c r="U860" s="8">
        <v>13</v>
      </c>
      <c r="V860" s="8">
        <v>7</v>
      </c>
      <c r="W860" s="8">
        <v>7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11" t="s">
        <v>247</v>
      </c>
    </row>
    <row r="861" spans="1:46" ht="15.1" customHeight="1">
      <c r="A861" s="8">
        <v>286</v>
      </c>
      <c r="B861" s="9" t="s">
        <v>837</v>
      </c>
      <c r="C861" s="8" t="s">
        <v>838</v>
      </c>
      <c r="D861" s="9" t="s">
        <v>451</v>
      </c>
      <c r="E861" s="8" t="s">
        <v>54</v>
      </c>
      <c r="F861" s="8" t="s">
        <v>54</v>
      </c>
      <c r="G861" s="10" t="s">
        <v>67</v>
      </c>
      <c r="H861" s="8" t="s">
        <v>54</v>
      </c>
      <c r="I861" s="8" t="s">
        <v>54</v>
      </c>
      <c r="J861" s="8" t="s">
        <v>54</v>
      </c>
      <c r="K861" s="8" t="s">
        <v>54</v>
      </c>
      <c r="L861" s="8" t="s">
        <v>54</v>
      </c>
      <c r="M861" s="8" t="s">
        <v>54</v>
      </c>
      <c r="N861" s="10" t="s">
        <v>67</v>
      </c>
      <c r="O861" s="8" t="s">
        <v>54</v>
      </c>
      <c r="P861" s="8" t="s">
        <v>54</v>
      </c>
      <c r="Q861" s="8" t="s">
        <v>54</v>
      </c>
      <c r="R861" s="8" t="s">
        <v>54</v>
      </c>
      <c r="S861" s="8" t="s">
        <v>54</v>
      </c>
      <c r="T861" s="8" t="s">
        <v>54</v>
      </c>
      <c r="U861" s="10" t="s">
        <v>67</v>
      </c>
      <c r="V861" s="8" t="s">
        <v>54</v>
      </c>
      <c r="W861" s="8" t="s">
        <v>54</v>
      </c>
      <c r="X861" s="8" t="s">
        <v>54</v>
      </c>
      <c r="Y861" s="8" t="s">
        <v>54</v>
      </c>
      <c r="Z861" s="8" t="s">
        <v>54</v>
      </c>
      <c r="AA861" s="8" t="s">
        <v>54</v>
      </c>
      <c r="AB861" s="10" t="s">
        <v>67</v>
      </c>
      <c r="AC861" s="8" t="s">
        <v>54</v>
      </c>
      <c r="AD861" s="8" t="s">
        <v>54</v>
      </c>
      <c r="AE861" s="8" t="s">
        <v>54</v>
      </c>
      <c r="AF861" s="8" t="s">
        <v>54</v>
      </c>
      <c r="AG861" s="8" t="s">
        <v>54</v>
      </c>
      <c r="AH861" s="8" t="s">
        <v>54</v>
      </c>
      <c r="AI861" s="10" t="s">
        <v>67</v>
      </c>
      <c r="AJ861" s="8">
        <f>COUNTIF($E$861:$AI$861,"P")</f>
        <v>26</v>
      </c>
      <c r="AK861" s="8">
        <f>COUNTIF($E$861:$AI$861,"A")</f>
        <v>0</v>
      </c>
      <c r="AL861" s="8">
        <f>SUM($E$862:$AI$862)</f>
        <v>37</v>
      </c>
      <c r="AM861" s="8">
        <f>SUM($E$863:$AI$863)</f>
        <v>135</v>
      </c>
      <c r="AN861" s="8">
        <f>AL861+AM861</f>
        <v>172</v>
      </c>
      <c r="AO861" s="8">
        <f>COUNTIF($E$861:$AI$861,"CL")</f>
        <v>0</v>
      </c>
      <c r="AP861" s="8">
        <f>COUNTIF($E$861:$AI$861,"SL")</f>
        <v>0</v>
      </c>
      <c r="AQ861" s="8">
        <f>COUNTIF($E$861:$AI$861,"EL")</f>
        <v>0</v>
      </c>
      <c r="AR861" s="8">
        <f>COUNTIF($E$861:$AI$861,"H")</f>
        <v>0</v>
      </c>
      <c r="AS861" s="8"/>
      <c r="AT861" s="11" t="s">
        <v>247</v>
      </c>
    </row>
    <row r="862" spans="1:46" ht="15.1" customHeight="1">
      <c r="A862" s="8"/>
      <c r="B862" s="9"/>
      <c r="C862" s="8"/>
      <c r="D862" s="9"/>
      <c r="E862" s="8">
        <v>2</v>
      </c>
      <c r="F862" s="8">
        <v>2</v>
      </c>
      <c r="G862" s="8">
        <v>0</v>
      </c>
      <c r="H862" s="8">
        <v>2</v>
      </c>
      <c r="I862" s="8">
        <v>2</v>
      </c>
      <c r="J862" s="8">
        <v>2</v>
      </c>
      <c r="K862" s="8">
        <v>2</v>
      </c>
      <c r="L862" s="8">
        <v>2</v>
      </c>
      <c r="M862" s="8">
        <v>2</v>
      </c>
      <c r="N862" s="8">
        <v>0</v>
      </c>
      <c r="O862" s="8">
        <v>2</v>
      </c>
      <c r="P862" s="8">
        <v>2</v>
      </c>
      <c r="Q862" s="8">
        <v>2</v>
      </c>
      <c r="R862" s="8">
        <v>2</v>
      </c>
      <c r="S862" s="8">
        <v>2</v>
      </c>
      <c r="T862" s="8">
        <v>2</v>
      </c>
      <c r="U862" s="8">
        <v>0</v>
      </c>
      <c r="V862" s="8">
        <v>2</v>
      </c>
      <c r="W862" s="8">
        <v>2</v>
      </c>
      <c r="X862" s="8">
        <v>2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2</v>
      </c>
      <c r="AE862" s="8">
        <v>0</v>
      </c>
      <c r="AF862" s="8">
        <v>0</v>
      </c>
      <c r="AG862" s="8">
        <v>1</v>
      </c>
      <c r="AH862" s="8">
        <v>0</v>
      </c>
      <c r="AI862" s="8">
        <v>0</v>
      </c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11" t="s">
        <v>247</v>
      </c>
    </row>
    <row r="863" spans="1:46" ht="15.1" customHeight="1">
      <c r="A863" s="8"/>
      <c r="B863" s="9"/>
      <c r="C863" s="8"/>
      <c r="D863" s="9"/>
      <c r="E863" s="8">
        <v>4.5</v>
      </c>
      <c r="F863" s="8">
        <v>3</v>
      </c>
      <c r="G863" s="8">
        <v>13.5</v>
      </c>
      <c r="H863" s="8">
        <v>5</v>
      </c>
      <c r="I863" s="8">
        <v>7</v>
      </c>
      <c r="J863" s="8">
        <v>7</v>
      </c>
      <c r="K863" s="8">
        <v>6.5</v>
      </c>
      <c r="L863" s="8">
        <v>6.5</v>
      </c>
      <c r="M863" s="8">
        <v>4.5</v>
      </c>
      <c r="N863" s="8">
        <v>14</v>
      </c>
      <c r="O863" s="8">
        <v>7</v>
      </c>
      <c r="P863" s="8">
        <v>6.5</v>
      </c>
      <c r="Q863" s="8">
        <v>4.5</v>
      </c>
      <c r="R863" s="8">
        <v>6.5</v>
      </c>
      <c r="S863" s="8">
        <v>6.5</v>
      </c>
      <c r="T863" s="8">
        <v>4.5</v>
      </c>
      <c r="U863" s="8">
        <v>12.5</v>
      </c>
      <c r="V863" s="8">
        <v>7</v>
      </c>
      <c r="W863" s="8">
        <v>6.5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2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11" t="s">
        <v>247</v>
      </c>
    </row>
    <row r="864" spans="1:46" ht="15.1" customHeight="1">
      <c r="A864" s="8">
        <v>287</v>
      </c>
      <c r="B864" s="9" t="s">
        <v>839</v>
      </c>
      <c r="C864" s="8" t="s">
        <v>840</v>
      </c>
      <c r="D864" s="9" t="s">
        <v>451</v>
      </c>
      <c r="E864" s="12" t="s">
        <v>55</v>
      </c>
      <c r="F864" s="12" t="s">
        <v>55</v>
      </c>
      <c r="G864" s="10" t="s">
        <v>67</v>
      </c>
      <c r="H864" s="8" t="s">
        <v>54</v>
      </c>
      <c r="I864" s="8" t="s">
        <v>54</v>
      </c>
      <c r="J864" s="8" t="s">
        <v>54</v>
      </c>
      <c r="K864" s="8" t="s">
        <v>54</v>
      </c>
      <c r="L864" s="8" t="s">
        <v>54</v>
      </c>
      <c r="M864" s="12" t="s">
        <v>55</v>
      </c>
      <c r="N864" s="10" t="s">
        <v>67</v>
      </c>
      <c r="O864" s="8" t="s">
        <v>54</v>
      </c>
      <c r="P864" s="8" t="s">
        <v>54</v>
      </c>
      <c r="Q864" s="12" t="s">
        <v>55</v>
      </c>
      <c r="R864" s="8" t="s">
        <v>54</v>
      </c>
      <c r="S864" s="8" t="s">
        <v>54</v>
      </c>
      <c r="T864" s="8" t="s">
        <v>54</v>
      </c>
      <c r="U864" s="10" t="s">
        <v>67</v>
      </c>
      <c r="V864" s="12" t="s">
        <v>55</v>
      </c>
      <c r="W864" s="12" t="s">
        <v>55</v>
      </c>
      <c r="X864" s="12" t="s">
        <v>55</v>
      </c>
      <c r="Y864" s="8" t="s">
        <v>54</v>
      </c>
      <c r="Z864" s="8" t="s">
        <v>54</v>
      </c>
      <c r="AA864" s="8" t="s">
        <v>54</v>
      </c>
      <c r="AB864" s="10" t="s">
        <v>67</v>
      </c>
      <c r="AC864" s="8" t="s">
        <v>54</v>
      </c>
      <c r="AD864" s="8" t="s">
        <v>54</v>
      </c>
      <c r="AE864" s="8" t="s">
        <v>54</v>
      </c>
      <c r="AF864" s="8" t="s">
        <v>54</v>
      </c>
      <c r="AG864" s="8" t="s">
        <v>54</v>
      </c>
      <c r="AH864" s="8" t="s">
        <v>54</v>
      </c>
      <c r="AI864" s="10" t="s">
        <v>67</v>
      </c>
      <c r="AJ864" s="8">
        <f>COUNTIF($E$864:$AI$864,"P")</f>
        <v>19</v>
      </c>
      <c r="AK864" s="8">
        <f>COUNTIF($E$864:$AI$864,"A")</f>
        <v>7</v>
      </c>
      <c r="AL864" s="8">
        <f>SUM($E$865:$AI$865)</f>
        <v>23</v>
      </c>
      <c r="AM864" s="8">
        <f>SUM($E$866:$AI$866)</f>
        <v>84</v>
      </c>
      <c r="AN864" s="8">
        <f>AL864+AM864</f>
        <v>107</v>
      </c>
      <c r="AO864" s="8">
        <f>COUNTIF($E$864:$AI$864,"CL")</f>
        <v>0</v>
      </c>
      <c r="AP864" s="8">
        <f>COUNTIF($E$864:$AI$864,"SL")</f>
        <v>0</v>
      </c>
      <c r="AQ864" s="8">
        <f>COUNTIF($E$864:$AI$864,"EL")</f>
        <v>0</v>
      </c>
      <c r="AR864" s="8">
        <f>COUNTIF($E$864:$AI$864,"H")</f>
        <v>0</v>
      </c>
      <c r="AS864" s="8"/>
      <c r="AT864" s="11" t="s">
        <v>247</v>
      </c>
    </row>
    <row r="865" spans="1:46" ht="15.1" customHeight="1">
      <c r="A865" s="8"/>
      <c r="B865" s="9"/>
      <c r="C865" s="8"/>
      <c r="D865" s="9"/>
      <c r="E865" s="8">
        <v>0</v>
      </c>
      <c r="F865" s="8">
        <v>0</v>
      </c>
      <c r="G865" s="8">
        <v>0</v>
      </c>
      <c r="H865" s="8">
        <v>2</v>
      </c>
      <c r="I865" s="8">
        <v>2</v>
      </c>
      <c r="J865" s="8">
        <v>2</v>
      </c>
      <c r="K865" s="8">
        <v>2</v>
      </c>
      <c r="L865" s="8">
        <v>2</v>
      </c>
      <c r="M865" s="8">
        <v>0</v>
      </c>
      <c r="N865" s="8">
        <v>0</v>
      </c>
      <c r="O865" s="8">
        <v>2</v>
      </c>
      <c r="P865" s="8">
        <v>2</v>
      </c>
      <c r="Q865" s="8">
        <v>0</v>
      </c>
      <c r="R865" s="8">
        <v>2</v>
      </c>
      <c r="S865" s="8">
        <v>2</v>
      </c>
      <c r="T865" s="8">
        <v>2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2</v>
      </c>
      <c r="AD865" s="8">
        <v>0</v>
      </c>
      <c r="AE865" s="8">
        <v>0</v>
      </c>
      <c r="AF865" s="8">
        <v>0</v>
      </c>
      <c r="AG865" s="8">
        <v>1</v>
      </c>
      <c r="AH865" s="8">
        <v>0</v>
      </c>
      <c r="AI865" s="8">
        <v>0</v>
      </c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11" t="s">
        <v>247</v>
      </c>
    </row>
    <row r="866" spans="1:46" ht="15.1" customHeight="1">
      <c r="A866" s="8"/>
      <c r="B866" s="9"/>
      <c r="C866" s="8"/>
      <c r="D866" s="9"/>
      <c r="E866" s="8">
        <v>0</v>
      </c>
      <c r="F866" s="8">
        <v>0</v>
      </c>
      <c r="G866" s="8">
        <v>0</v>
      </c>
      <c r="H866" s="8">
        <v>5</v>
      </c>
      <c r="I866" s="8">
        <v>7</v>
      </c>
      <c r="J866" s="8">
        <v>7</v>
      </c>
      <c r="K866" s="8">
        <v>6</v>
      </c>
      <c r="L866" s="8">
        <v>6</v>
      </c>
      <c r="M866" s="8">
        <v>0</v>
      </c>
      <c r="N866" s="8">
        <v>16.5</v>
      </c>
      <c r="O866" s="8">
        <v>6.5</v>
      </c>
      <c r="P866" s="8">
        <v>6.5</v>
      </c>
      <c r="Q866" s="8">
        <v>0</v>
      </c>
      <c r="R866" s="8">
        <v>7</v>
      </c>
      <c r="S866" s="8">
        <v>6.5</v>
      </c>
      <c r="T866" s="8">
        <v>2.5</v>
      </c>
      <c r="U866" s="8">
        <v>7.5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11" t="s">
        <v>247</v>
      </c>
    </row>
    <row r="867" spans="1:46" ht="15.1" customHeight="1">
      <c r="A867" s="8">
        <v>288</v>
      </c>
      <c r="B867" s="9" t="s">
        <v>841</v>
      </c>
      <c r="C867" s="8" t="s">
        <v>842</v>
      </c>
      <c r="D867" s="9" t="s">
        <v>451</v>
      </c>
      <c r="E867" s="8" t="s">
        <v>54</v>
      </c>
      <c r="F867" s="8" t="s">
        <v>54</v>
      </c>
      <c r="G867" s="10" t="s">
        <v>67</v>
      </c>
      <c r="H867" s="8" t="s">
        <v>54</v>
      </c>
      <c r="I867" s="8" t="s">
        <v>54</v>
      </c>
      <c r="J867" s="8" t="s">
        <v>54</v>
      </c>
      <c r="K867" s="8" t="s">
        <v>54</v>
      </c>
      <c r="L867" s="8" t="s">
        <v>54</v>
      </c>
      <c r="M867" s="8" t="s">
        <v>54</v>
      </c>
      <c r="N867" s="10" t="s">
        <v>67</v>
      </c>
      <c r="O867" s="8" t="s">
        <v>54</v>
      </c>
      <c r="P867" s="8" t="s">
        <v>54</v>
      </c>
      <c r="Q867" s="8" t="s">
        <v>54</v>
      </c>
      <c r="R867" s="8" t="s">
        <v>54</v>
      </c>
      <c r="S867" s="8" t="s">
        <v>54</v>
      </c>
      <c r="T867" s="8" t="s">
        <v>54</v>
      </c>
      <c r="U867" s="10" t="s">
        <v>67</v>
      </c>
      <c r="V867" s="8" t="s">
        <v>54</v>
      </c>
      <c r="W867" s="8" t="s">
        <v>54</v>
      </c>
      <c r="X867" s="8" t="s">
        <v>54</v>
      </c>
      <c r="Y867" s="8" t="s">
        <v>54</v>
      </c>
      <c r="Z867" s="8" t="s">
        <v>54</v>
      </c>
      <c r="AA867" s="8" t="s">
        <v>54</v>
      </c>
      <c r="AB867" s="10" t="s">
        <v>67</v>
      </c>
      <c r="AC867" s="8" t="s">
        <v>54</v>
      </c>
      <c r="AD867" s="8" t="s">
        <v>54</v>
      </c>
      <c r="AE867" s="8" t="s">
        <v>54</v>
      </c>
      <c r="AF867" s="8" t="s">
        <v>54</v>
      </c>
      <c r="AG867" s="8" t="s">
        <v>54</v>
      </c>
      <c r="AH867" s="8" t="s">
        <v>54</v>
      </c>
      <c r="AI867" s="10" t="s">
        <v>67</v>
      </c>
      <c r="AJ867" s="8">
        <f>COUNTIF($E$867:$AI$867,"P")</f>
        <v>26</v>
      </c>
      <c r="AK867" s="8">
        <f>COUNTIF($E$867:$AI$867,"A")</f>
        <v>0</v>
      </c>
      <c r="AL867" s="8">
        <f>SUM($E$868:$AI$868)</f>
        <v>37</v>
      </c>
      <c r="AM867" s="8">
        <f>SUM($E$869:$AI$869)</f>
        <v>141</v>
      </c>
      <c r="AN867" s="8">
        <f>AL867+AM867</f>
        <v>178</v>
      </c>
      <c r="AO867" s="8">
        <f>COUNTIF($E$867:$AI$867,"CL")</f>
        <v>0</v>
      </c>
      <c r="AP867" s="8">
        <f>COUNTIF($E$867:$AI$867,"SL")</f>
        <v>0</v>
      </c>
      <c r="AQ867" s="8">
        <f>COUNTIF($E$867:$AI$867,"EL")</f>
        <v>0</v>
      </c>
      <c r="AR867" s="8">
        <f>COUNTIF($E$867:$AI$867,"H")</f>
        <v>0</v>
      </c>
      <c r="AS867" s="8"/>
      <c r="AT867" s="11" t="s">
        <v>247</v>
      </c>
    </row>
    <row r="868" spans="1:46" ht="15.1" customHeight="1">
      <c r="A868" s="8"/>
      <c r="B868" s="9"/>
      <c r="C868" s="8"/>
      <c r="D868" s="9"/>
      <c r="E868" s="8">
        <v>2</v>
      </c>
      <c r="F868" s="8">
        <v>2</v>
      </c>
      <c r="G868" s="8">
        <v>0</v>
      </c>
      <c r="H868" s="8">
        <v>2</v>
      </c>
      <c r="I868" s="8">
        <v>2</v>
      </c>
      <c r="J868" s="8">
        <v>2</v>
      </c>
      <c r="K868" s="8">
        <v>2</v>
      </c>
      <c r="L868" s="8">
        <v>2</v>
      </c>
      <c r="M868" s="8">
        <v>2</v>
      </c>
      <c r="N868" s="8">
        <v>0</v>
      </c>
      <c r="O868" s="8">
        <v>2</v>
      </c>
      <c r="P868" s="8">
        <v>2</v>
      </c>
      <c r="Q868" s="8">
        <v>2</v>
      </c>
      <c r="R868" s="8">
        <v>2</v>
      </c>
      <c r="S868" s="8">
        <v>2</v>
      </c>
      <c r="T868" s="8">
        <v>2</v>
      </c>
      <c r="U868" s="8">
        <v>0</v>
      </c>
      <c r="V868" s="8">
        <v>2</v>
      </c>
      <c r="W868" s="8">
        <v>2</v>
      </c>
      <c r="X868" s="8">
        <v>2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2</v>
      </c>
      <c r="AE868" s="8">
        <v>0</v>
      </c>
      <c r="AF868" s="8">
        <v>0</v>
      </c>
      <c r="AG868" s="8">
        <v>1</v>
      </c>
      <c r="AH868" s="8">
        <v>0</v>
      </c>
      <c r="AI868" s="8">
        <v>0</v>
      </c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11" t="s">
        <v>247</v>
      </c>
    </row>
    <row r="869" spans="1:46" ht="15.1" customHeight="1">
      <c r="A869" s="8"/>
      <c r="B869" s="9"/>
      <c r="C869" s="8"/>
      <c r="D869" s="9"/>
      <c r="E869" s="8">
        <v>5</v>
      </c>
      <c r="F869" s="8">
        <v>3</v>
      </c>
      <c r="G869" s="8">
        <v>14</v>
      </c>
      <c r="H869" s="8">
        <v>5</v>
      </c>
      <c r="I869" s="8">
        <v>7</v>
      </c>
      <c r="J869" s="8">
        <v>7</v>
      </c>
      <c r="K869" s="8">
        <v>7</v>
      </c>
      <c r="L869" s="8">
        <v>7</v>
      </c>
      <c r="M869" s="8">
        <v>5</v>
      </c>
      <c r="N869" s="8">
        <v>16.5</v>
      </c>
      <c r="O869" s="8">
        <v>7</v>
      </c>
      <c r="P869" s="8">
        <v>7</v>
      </c>
      <c r="Q869" s="8">
        <v>5</v>
      </c>
      <c r="R869" s="8">
        <v>7</v>
      </c>
      <c r="S869" s="8">
        <v>7</v>
      </c>
      <c r="T869" s="8">
        <v>3</v>
      </c>
      <c r="U869" s="8">
        <v>12.5</v>
      </c>
      <c r="V869" s="8">
        <v>7</v>
      </c>
      <c r="W869" s="8">
        <v>7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2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11" t="s">
        <v>247</v>
      </c>
    </row>
    <row r="870" spans="1:46" ht="15.1" customHeight="1">
      <c r="A870" s="8">
        <v>289</v>
      </c>
      <c r="B870" s="9" t="s">
        <v>843</v>
      </c>
      <c r="C870" s="8" t="s">
        <v>844</v>
      </c>
      <c r="D870" s="9" t="s">
        <v>451</v>
      </c>
      <c r="E870" s="8" t="s">
        <v>54</v>
      </c>
      <c r="F870" s="8" t="s">
        <v>54</v>
      </c>
      <c r="G870" s="10" t="s">
        <v>67</v>
      </c>
      <c r="H870" s="12" t="s">
        <v>55</v>
      </c>
      <c r="I870" s="8" t="s">
        <v>54</v>
      </c>
      <c r="J870" s="8" t="s">
        <v>54</v>
      </c>
      <c r="K870" s="12" t="s">
        <v>55</v>
      </c>
      <c r="L870" s="12" t="s">
        <v>55</v>
      </c>
      <c r="M870" s="12" t="s">
        <v>55</v>
      </c>
      <c r="N870" s="10" t="s">
        <v>67</v>
      </c>
      <c r="O870" s="8" t="s">
        <v>54</v>
      </c>
      <c r="P870" s="8" t="s">
        <v>54</v>
      </c>
      <c r="Q870" s="8" t="s">
        <v>54</v>
      </c>
      <c r="R870" s="8" t="s">
        <v>54</v>
      </c>
      <c r="S870" s="12" t="s">
        <v>55</v>
      </c>
      <c r="T870" s="8" t="s">
        <v>54</v>
      </c>
      <c r="U870" s="10" t="s">
        <v>67</v>
      </c>
      <c r="V870" s="8" t="s">
        <v>54</v>
      </c>
      <c r="W870" s="8" t="s">
        <v>54</v>
      </c>
      <c r="X870" s="8" t="s">
        <v>54</v>
      </c>
      <c r="Y870" s="12" t="s">
        <v>55</v>
      </c>
      <c r="Z870" s="8" t="s">
        <v>54</v>
      </c>
      <c r="AA870" s="8" t="s">
        <v>54</v>
      </c>
      <c r="AB870" s="10" t="s">
        <v>67</v>
      </c>
      <c r="AC870" s="8" t="s">
        <v>54</v>
      </c>
      <c r="AD870" s="8" t="s">
        <v>54</v>
      </c>
      <c r="AE870" s="12" t="s">
        <v>55</v>
      </c>
      <c r="AF870" s="8" t="s">
        <v>54</v>
      </c>
      <c r="AG870" s="8" t="s">
        <v>54</v>
      </c>
      <c r="AH870" s="8" t="s">
        <v>54</v>
      </c>
      <c r="AI870" s="10" t="s">
        <v>67</v>
      </c>
      <c r="AJ870" s="8">
        <f>COUNTIF($E$870:$AI$870,"P")</f>
        <v>19</v>
      </c>
      <c r="AK870" s="8">
        <f>COUNTIF($E$870:$AI$870,"A")</f>
        <v>7</v>
      </c>
      <c r="AL870" s="8">
        <f>SUM($E$871:$AI$871)</f>
        <v>27</v>
      </c>
      <c r="AM870" s="8">
        <f>SUM($E$872:$AI$872)</f>
        <v>63.5</v>
      </c>
      <c r="AN870" s="8">
        <f>AL870+AM870</f>
        <v>90.5</v>
      </c>
      <c r="AO870" s="8">
        <f>COUNTIF($E$870:$AI$870,"CL")</f>
        <v>0</v>
      </c>
      <c r="AP870" s="8">
        <f>COUNTIF($E$870:$AI$870,"SL")</f>
        <v>0</v>
      </c>
      <c r="AQ870" s="8">
        <f>COUNTIF($E$870:$AI$870,"EL")</f>
        <v>0</v>
      </c>
      <c r="AR870" s="8">
        <f>COUNTIF($E$870:$AI$870,"H")</f>
        <v>0</v>
      </c>
      <c r="AS870" s="8"/>
      <c r="AT870" s="11" t="s">
        <v>247</v>
      </c>
    </row>
    <row r="871" spans="1:46" ht="15.1" customHeight="1">
      <c r="A871" s="8"/>
      <c r="B871" s="9"/>
      <c r="C871" s="8"/>
      <c r="D871" s="9"/>
      <c r="E871" s="8">
        <v>2</v>
      </c>
      <c r="F871" s="8">
        <v>2</v>
      </c>
      <c r="G871" s="8">
        <v>0</v>
      </c>
      <c r="H871" s="8">
        <v>0</v>
      </c>
      <c r="I871" s="8">
        <v>2</v>
      </c>
      <c r="J871" s="8">
        <v>2</v>
      </c>
      <c r="K871" s="8">
        <v>0</v>
      </c>
      <c r="L871" s="8">
        <v>0</v>
      </c>
      <c r="M871" s="8">
        <v>0</v>
      </c>
      <c r="N871" s="8">
        <v>0</v>
      </c>
      <c r="O871" s="8">
        <v>2</v>
      </c>
      <c r="P871" s="8">
        <v>2</v>
      </c>
      <c r="Q871" s="8">
        <v>2</v>
      </c>
      <c r="R871" s="8">
        <v>2</v>
      </c>
      <c r="S871" s="8">
        <v>0</v>
      </c>
      <c r="T871" s="8">
        <v>2</v>
      </c>
      <c r="U871" s="8">
        <v>0</v>
      </c>
      <c r="V871" s="8">
        <v>2</v>
      </c>
      <c r="W871" s="8">
        <v>2</v>
      </c>
      <c r="X871" s="8">
        <v>2</v>
      </c>
      <c r="Y871" s="8">
        <v>0</v>
      </c>
      <c r="Z871" s="8">
        <v>0</v>
      </c>
      <c r="AA871" s="8">
        <v>0</v>
      </c>
      <c r="AB871" s="8">
        <v>0</v>
      </c>
      <c r="AC871" s="8">
        <v>2</v>
      </c>
      <c r="AD871" s="8">
        <v>0</v>
      </c>
      <c r="AE871" s="8">
        <v>0</v>
      </c>
      <c r="AF871" s="8">
        <v>0</v>
      </c>
      <c r="AG871" s="8">
        <v>1</v>
      </c>
      <c r="AH871" s="8">
        <v>0</v>
      </c>
      <c r="AI871" s="8">
        <v>0</v>
      </c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11" t="s">
        <v>247</v>
      </c>
    </row>
    <row r="872" spans="1:46" ht="15.1" customHeight="1">
      <c r="A872" s="8"/>
      <c r="B872" s="9"/>
      <c r="C872" s="8"/>
      <c r="D872" s="9"/>
      <c r="E872" s="8">
        <v>3.5</v>
      </c>
      <c r="F872" s="8">
        <v>3</v>
      </c>
      <c r="G872" s="8">
        <v>0</v>
      </c>
      <c r="H872" s="8">
        <v>0</v>
      </c>
      <c r="I872" s="8">
        <v>7</v>
      </c>
      <c r="J872" s="8">
        <v>7</v>
      </c>
      <c r="K872" s="8">
        <v>0</v>
      </c>
      <c r="L872" s="8">
        <v>0</v>
      </c>
      <c r="M872" s="8">
        <v>0</v>
      </c>
      <c r="N872" s="8">
        <v>0</v>
      </c>
      <c r="O872" s="8">
        <v>7</v>
      </c>
      <c r="P872" s="8">
        <v>7</v>
      </c>
      <c r="Q872" s="8">
        <v>5</v>
      </c>
      <c r="R872" s="8">
        <v>7</v>
      </c>
      <c r="S872" s="8">
        <v>0</v>
      </c>
      <c r="T872" s="8">
        <v>3</v>
      </c>
      <c r="U872" s="8">
        <v>0</v>
      </c>
      <c r="V872" s="8">
        <v>7</v>
      </c>
      <c r="W872" s="8">
        <v>7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11" t="s">
        <v>247</v>
      </c>
    </row>
    <row r="873" spans="1:46" ht="15.1" customHeight="1">
      <c r="A873" s="8">
        <v>290</v>
      </c>
      <c r="B873" s="9" t="s">
        <v>626</v>
      </c>
      <c r="C873" s="8" t="s">
        <v>845</v>
      </c>
      <c r="D873" s="9" t="s">
        <v>451</v>
      </c>
      <c r="E873" s="12" t="s">
        <v>55</v>
      </c>
      <c r="F873" s="12" t="s">
        <v>55</v>
      </c>
      <c r="G873" s="10" t="s">
        <v>67</v>
      </c>
      <c r="H873" s="12" t="s">
        <v>55</v>
      </c>
      <c r="I873" s="8" t="s">
        <v>54</v>
      </c>
      <c r="J873" s="8" t="s">
        <v>54</v>
      </c>
      <c r="K873" s="8" t="s">
        <v>54</v>
      </c>
      <c r="L873" s="8" t="s">
        <v>54</v>
      </c>
      <c r="M873" s="8" t="s">
        <v>54</v>
      </c>
      <c r="N873" s="10" t="s">
        <v>67</v>
      </c>
      <c r="O873" s="8" t="s">
        <v>54</v>
      </c>
      <c r="P873" s="8" t="s">
        <v>54</v>
      </c>
      <c r="Q873" s="8" t="s">
        <v>54</v>
      </c>
      <c r="R873" s="8" t="s">
        <v>54</v>
      </c>
      <c r="S873" s="12" t="s">
        <v>55</v>
      </c>
      <c r="T873" s="8" t="s">
        <v>54</v>
      </c>
      <c r="U873" s="10" t="s">
        <v>67</v>
      </c>
      <c r="V873" s="8" t="s">
        <v>54</v>
      </c>
      <c r="W873" s="12" t="s">
        <v>55</v>
      </c>
      <c r="X873" s="8" t="s">
        <v>54</v>
      </c>
      <c r="Y873" s="8" t="s">
        <v>54</v>
      </c>
      <c r="Z873" s="8" t="s">
        <v>54</v>
      </c>
      <c r="AA873" s="8" t="s">
        <v>54</v>
      </c>
      <c r="AB873" s="10" t="s">
        <v>67</v>
      </c>
      <c r="AC873" s="8" t="s">
        <v>54</v>
      </c>
      <c r="AD873" s="8" t="s">
        <v>54</v>
      </c>
      <c r="AE873" s="8" t="s">
        <v>54</v>
      </c>
      <c r="AF873" s="8" t="s">
        <v>54</v>
      </c>
      <c r="AG873" s="8" t="s">
        <v>54</v>
      </c>
      <c r="AH873" s="8" t="s">
        <v>54</v>
      </c>
      <c r="AI873" s="10" t="s">
        <v>67</v>
      </c>
      <c r="AJ873" s="8">
        <f>COUNTIF($E$873:$AI$873,"P")</f>
        <v>21</v>
      </c>
      <c r="AK873" s="8">
        <f>COUNTIF($E$873:$AI$873,"A")</f>
        <v>5</v>
      </c>
      <c r="AL873" s="8">
        <f>SUM($E$874:$AI$874)</f>
        <v>27</v>
      </c>
      <c r="AM873" s="8">
        <f>SUM($E$875:$AI$875)</f>
        <v>95.5</v>
      </c>
      <c r="AN873" s="8">
        <f>AL873+AM873</f>
        <v>122.5</v>
      </c>
      <c r="AO873" s="8">
        <f>COUNTIF($E$873:$AI$873,"CL")</f>
        <v>0</v>
      </c>
      <c r="AP873" s="8">
        <f>COUNTIF($E$873:$AI$873,"SL")</f>
        <v>0</v>
      </c>
      <c r="AQ873" s="8">
        <f>COUNTIF($E$873:$AI$873,"EL")</f>
        <v>0</v>
      </c>
      <c r="AR873" s="8">
        <f>COUNTIF($E$873:$AI$873,"H")</f>
        <v>0</v>
      </c>
      <c r="AS873" s="8"/>
      <c r="AT873" s="11" t="s">
        <v>247</v>
      </c>
    </row>
    <row r="874" spans="1:46" ht="15.1" customHeight="1">
      <c r="A874" s="8"/>
      <c r="B874" s="9"/>
      <c r="C874" s="8"/>
      <c r="D874" s="9"/>
      <c r="E874" s="8">
        <v>0</v>
      </c>
      <c r="F874" s="8">
        <v>0</v>
      </c>
      <c r="G874" s="8">
        <v>0</v>
      </c>
      <c r="H874" s="8">
        <v>0</v>
      </c>
      <c r="I874" s="8">
        <v>2</v>
      </c>
      <c r="J874" s="8">
        <v>2</v>
      </c>
      <c r="K874" s="8">
        <v>2</v>
      </c>
      <c r="L874" s="8">
        <v>2</v>
      </c>
      <c r="M874" s="8">
        <v>2</v>
      </c>
      <c r="N874" s="8">
        <v>0</v>
      </c>
      <c r="O874" s="8">
        <v>2</v>
      </c>
      <c r="P874" s="8">
        <v>2</v>
      </c>
      <c r="Q874" s="8">
        <v>2</v>
      </c>
      <c r="R874" s="8">
        <v>2</v>
      </c>
      <c r="S874" s="8">
        <v>0</v>
      </c>
      <c r="T874" s="8">
        <v>2</v>
      </c>
      <c r="U874" s="8">
        <v>0</v>
      </c>
      <c r="V874" s="8">
        <v>2</v>
      </c>
      <c r="W874" s="8">
        <v>0</v>
      </c>
      <c r="X874" s="8">
        <v>2</v>
      </c>
      <c r="Y874" s="8">
        <v>0</v>
      </c>
      <c r="Z874" s="8">
        <v>0</v>
      </c>
      <c r="AA874" s="8">
        <v>0</v>
      </c>
      <c r="AB874" s="8">
        <v>0</v>
      </c>
      <c r="AC874" s="8">
        <v>2</v>
      </c>
      <c r="AD874" s="8">
        <v>0</v>
      </c>
      <c r="AE874" s="8">
        <v>0</v>
      </c>
      <c r="AF874" s="8">
        <v>0</v>
      </c>
      <c r="AG874" s="8">
        <v>1</v>
      </c>
      <c r="AH874" s="8">
        <v>0</v>
      </c>
      <c r="AI874" s="8">
        <v>0</v>
      </c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11" t="s">
        <v>247</v>
      </c>
    </row>
    <row r="875" spans="1:46" ht="15.1" customHeight="1">
      <c r="A875" s="8"/>
      <c r="B875" s="9"/>
      <c r="C875" s="8"/>
      <c r="D875" s="9"/>
      <c r="E875" s="8">
        <v>0</v>
      </c>
      <c r="F875" s="8">
        <v>0</v>
      </c>
      <c r="G875" s="8">
        <v>0</v>
      </c>
      <c r="H875" s="8">
        <v>0</v>
      </c>
      <c r="I875" s="8">
        <v>7</v>
      </c>
      <c r="J875" s="8">
        <v>6.5</v>
      </c>
      <c r="K875" s="8">
        <v>7</v>
      </c>
      <c r="L875" s="8">
        <v>6.5</v>
      </c>
      <c r="M875" s="8">
        <v>5</v>
      </c>
      <c r="N875" s="8">
        <v>16.5</v>
      </c>
      <c r="O875" s="8">
        <v>7</v>
      </c>
      <c r="P875" s="8">
        <v>6.5</v>
      </c>
      <c r="Q875" s="8">
        <v>5</v>
      </c>
      <c r="R875" s="8">
        <v>7</v>
      </c>
      <c r="S875" s="8">
        <v>0</v>
      </c>
      <c r="T875" s="8">
        <v>2.5</v>
      </c>
      <c r="U875" s="8">
        <v>12.5</v>
      </c>
      <c r="V875" s="8">
        <v>6.5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11" t="s">
        <v>247</v>
      </c>
    </row>
    <row r="876" spans="1:46" ht="15.1" customHeight="1">
      <c r="A876" s="8">
        <v>291</v>
      </c>
      <c r="B876" s="9" t="s">
        <v>846</v>
      </c>
      <c r="C876" s="8" t="s">
        <v>847</v>
      </c>
      <c r="D876" s="9" t="s">
        <v>451</v>
      </c>
      <c r="E876" s="8" t="s">
        <v>54</v>
      </c>
      <c r="F876" s="8" t="s">
        <v>54</v>
      </c>
      <c r="G876" s="10" t="s">
        <v>67</v>
      </c>
      <c r="H876" s="8" t="s">
        <v>54</v>
      </c>
      <c r="I876" s="12" t="s">
        <v>55</v>
      </c>
      <c r="J876" s="12" t="s">
        <v>55</v>
      </c>
      <c r="K876" s="12" t="s">
        <v>55</v>
      </c>
      <c r="L876" s="8" t="s">
        <v>54</v>
      </c>
      <c r="M876" s="8" t="s">
        <v>54</v>
      </c>
      <c r="N876" s="10" t="s">
        <v>67</v>
      </c>
      <c r="O876" s="8" t="s">
        <v>54</v>
      </c>
      <c r="P876" s="8" t="s">
        <v>54</v>
      </c>
      <c r="Q876" s="8" t="s">
        <v>54</v>
      </c>
      <c r="R876" s="8" t="s">
        <v>54</v>
      </c>
      <c r="S876" s="8" t="s">
        <v>54</v>
      </c>
      <c r="T876" s="8" t="s">
        <v>54</v>
      </c>
      <c r="U876" s="10" t="s">
        <v>67</v>
      </c>
      <c r="V876" s="8" t="s">
        <v>54</v>
      </c>
      <c r="W876" s="8" t="s">
        <v>54</v>
      </c>
      <c r="X876" s="8" t="s">
        <v>54</v>
      </c>
      <c r="Y876" s="8" t="s">
        <v>54</v>
      </c>
      <c r="Z876" s="8" t="s">
        <v>54</v>
      </c>
      <c r="AA876" s="8" t="s">
        <v>54</v>
      </c>
      <c r="AB876" s="10" t="s">
        <v>67</v>
      </c>
      <c r="AC876" s="8" t="s">
        <v>54</v>
      </c>
      <c r="AD876" s="8" t="s">
        <v>54</v>
      </c>
      <c r="AE876" s="8" t="s">
        <v>54</v>
      </c>
      <c r="AF876" s="8" t="s">
        <v>54</v>
      </c>
      <c r="AG876" s="8" t="s">
        <v>54</v>
      </c>
      <c r="AH876" s="8" t="s">
        <v>54</v>
      </c>
      <c r="AI876" s="10" t="s">
        <v>67</v>
      </c>
      <c r="AJ876" s="8">
        <f>COUNTIF($E$876:$AI$876,"P")</f>
        <v>23</v>
      </c>
      <c r="AK876" s="8">
        <f>COUNTIF($E$876:$AI$876,"A")</f>
        <v>3</v>
      </c>
      <c r="AL876" s="8">
        <f>SUM($E$877:$AI$877)</f>
        <v>29</v>
      </c>
      <c r="AM876" s="8">
        <f>SUM($E$878:$AI$878)</f>
        <v>108</v>
      </c>
      <c r="AN876" s="8">
        <f>AL876+AM876</f>
        <v>137</v>
      </c>
      <c r="AO876" s="8">
        <f>COUNTIF($E$876:$AI$876,"CL")</f>
        <v>0</v>
      </c>
      <c r="AP876" s="8">
        <f>COUNTIF($E$876:$AI$876,"SL")</f>
        <v>0</v>
      </c>
      <c r="AQ876" s="8">
        <f>COUNTIF($E$876:$AI$876,"EL")</f>
        <v>0</v>
      </c>
      <c r="AR876" s="8">
        <f>COUNTIF($E$876:$AI$876,"H")</f>
        <v>0</v>
      </c>
      <c r="AS876" s="8"/>
      <c r="AT876" s="11" t="s">
        <v>247</v>
      </c>
    </row>
    <row r="877" spans="1:46" ht="15.1" customHeight="1">
      <c r="A877" s="8"/>
      <c r="B877" s="9"/>
      <c r="C877" s="8"/>
      <c r="D877" s="9"/>
      <c r="E877" s="8">
        <v>2</v>
      </c>
      <c r="F877" s="8">
        <v>2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2</v>
      </c>
      <c r="M877" s="8">
        <v>2</v>
      </c>
      <c r="N877" s="8">
        <v>0</v>
      </c>
      <c r="O877" s="8">
        <v>2</v>
      </c>
      <c r="P877" s="8">
        <v>2</v>
      </c>
      <c r="Q877" s="8">
        <v>2</v>
      </c>
      <c r="R877" s="8">
        <v>2</v>
      </c>
      <c r="S877" s="8">
        <v>2</v>
      </c>
      <c r="T877" s="8">
        <v>2</v>
      </c>
      <c r="U877" s="8">
        <v>0</v>
      </c>
      <c r="V877" s="8">
        <v>2</v>
      </c>
      <c r="W877" s="8">
        <v>2</v>
      </c>
      <c r="X877" s="8">
        <v>2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2</v>
      </c>
      <c r="AE877" s="8">
        <v>0</v>
      </c>
      <c r="AF877" s="8">
        <v>0</v>
      </c>
      <c r="AG877" s="8">
        <v>1</v>
      </c>
      <c r="AH877" s="8">
        <v>0</v>
      </c>
      <c r="AI877" s="8">
        <v>0</v>
      </c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11" t="s">
        <v>247</v>
      </c>
    </row>
    <row r="878" spans="1:46" ht="15.1" customHeight="1">
      <c r="A878" s="8"/>
      <c r="B878" s="9"/>
      <c r="C878" s="8"/>
      <c r="D878" s="9"/>
      <c r="E878" s="8">
        <v>4.5</v>
      </c>
      <c r="F878" s="8">
        <v>3</v>
      </c>
      <c r="G878" s="8">
        <v>13.5</v>
      </c>
      <c r="H878" s="8">
        <v>0</v>
      </c>
      <c r="I878" s="8">
        <v>0</v>
      </c>
      <c r="J878" s="8">
        <v>0</v>
      </c>
      <c r="K878" s="8">
        <v>0</v>
      </c>
      <c r="L878" s="8">
        <v>7</v>
      </c>
      <c r="M878" s="8">
        <v>5</v>
      </c>
      <c r="N878" s="8">
        <v>17</v>
      </c>
      <c r="O878" s="8">
        <v>7</v>
      </c>
      <c r="P878" s="8">
        <v>6.5</v>
      </c>
      <c r="Q878" s="8">
        <v>5</v>
      </c>
      <c r="R878" s="8">
        <v>7</v>
      </c>
      <c r="S878" s="8">
        <v>6.5</v>
      </c>
      <c r="T878" s="8">
        <v>2.5</v>
      </c>
      <c r="U878" s="8">
        <v>7.5</v>
      </c>
      <c r="V878" s="8">
        <v>7</v>
      </c>
      <c r="W878" s="8">
        <v>7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2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11" t="s">
        <v>247</v>
      </c>
    </row>
    <row r="879" spans="1:46" ht="15.1" customHeight="1">
      <c r="A879" s="8">
        <v>292</v>
      </c>
      <c r="B879" s="9" t="s">
        <v>848</v>
      </c>
      <c r="C879" s="8" t="s">
        <v>849</v>
      </c>
      <c r="D879" s="9" t="s">
        <v>451</v>
      </c>
      <c r="E879" s="12" t="s">
        <v>55</v>
      </c>
      <c r="F879" s="8" t="s">
        <v>54</v>
      </c>
      <c r="G879" s="10" t="s">
        <v>67</v>
      </c>
      <c r="H879" s="8" t="s">
        <v>54</v>
      </c>
      <c r="I879" s="8" t="s">
        <v>54</v>
      </c>
      <c r="J879" s="8" t="s">
        <v>54</v>
      </c>
      <c r="K879" s="8" t="s">
        <v>54</v>
      </c>
      <c r="L879" s="8" t="s">
        <v>54</v>
      </c>
      <c r="M879" s="12" t="s">
        <v>55</v>
      </c>
      <c r="N879" s="10" t="s">
        <v>67</v>
      </c>
      <c r="O879" s="8" t="s">
        <v>54</v>
      </c>
      <c r="P879" s="8" t="s">
        <v>54</v>
      </c>
      <c r="Q879" s="8" t="s">
        <v>54</v>
      </c>
      <c r="R879" s="8" t="s">
        <v>54</v>
      </c>
      <c r="S879" s="12" t="s">
        <v>55</v>
      </c>
      <c r="T879" s="8" t="s">
        <v>54</v>
      </c>
      <c r="U879" s="10" t="s">
        <v>67</v>
      </c>
      <c r="V879" s="8" t="s">
        <v>54</v>
      </c>
      <c r="W879" s="8" t="s">
        <v>54</v>
      </c>
      <c r="X879" s="8" t="s">
        <v>54</v>
      </c>
      <c r="Y879" s="8" t="s">
        <v>54</v>
      </c>
      <c r="Z879" s="8" t="s">
        <v>54</v>
      </c>
      <c r="AA879" s="8" t="s">
        <v>54</v>
      </c>
      <c r="AB879" s="10" t="s">
        <v>67</v>
      </c>
      <c r="AC879" s="8" t="s">
        <v>54</v>
      </c>
      <c r="AD879" s="8" t="s">
        <v>54</v>
      </c>
      <c r="AE879" s="8" t="s">
        <v>54</v>
      </c>
      <c r="AF879" s="8" t="s">
        <v>54</v>
      </c>
      <c r="AG879" s="8" t="s">
        <v>54</v>
      </c>
      <c r="AH879" s="8" t="s">
        <v>54</v>
      </c>
      <c r="AI879" s="10" t="s">
        <v>67</v>
      </c>
      <c r="AJ879" s="8">
        <f>COUNTIF($E$879:$AI$879,"P")</f>
        <v>23</v>
      </c>
      <c r="AK879" s="8">
        <f>COUNTIF($E$879:$AI$879,"A")</f>
        <v>3</v>
      </c>
      <c r="AL879" s="8">
        <f>SUM($E$880:$AI$880)</f>
        <v>29</v>
      </c>
      <c r="AM879" s="8">
        <f>SUM($E$881:$AI$881)</f>
        <v>107</v>
      </c>
      <c r="AN879" s="8">
        <f>AL879+AM879</f>
        <v>136</v>
      </c>
      <c r="AO879" s="8">
        <f>COUNTIF($E$879:$AI$879,"CL")</f>
        <v>0</v>
      </c>
      <c r="AP879" s="8">
        <f>COUNTIF($E$879:$AI$879,"SL")</f>
        <v>0</v>
      </c>
      <c r="AQ879" s="8">
        <f>COUNTIF($E$879:$AI$879,"EL")</f>
        <v>0</v>
      </c>
      <c r="AR879" s="8">
        <f>COUNTIF($E$879:$AI$879,"H")</f>
        <v>0</v>
      </c>
      <c r="AS879" s="8"/>
      <c r="AT879" s="11" t="s">
        <v>247</v>
      </c>
    </row>
    <row r="880" spans="1:46" ht="15.1" customHeight="1">
      <c r="A880" s="8"/>
      <c r="B880" s="9"/>
      <c r="C880" s="8"/>
      <c r="D880" s="9"/>
      <c r="E880" s="8">
        <v>0</v>
      </c>
      <c r="F880" s="8">
        <v>2</v>
      </c>
      <c r="G880" s="8">
        <v>0</v>
      </c>
      <c r="H880" s="8">
        <v>2</v>
      </c>
      <c r="I880" s="8">
        <v>2</v>
      </c>
      <c r="J880" s="8">
        <v>2</v>
      </c>
      <c r="K880" s="8">
        <v>2</v>
      </c>
      <c r="L880" s="8">
        <v>2</v>
      </c>
      <c r="M880" s="8">
        <v>0</v>
      </c>
      <c r="N880" s="8">
        <v>0</v>
      </c>
      <c r="O880" s="8">
        <v>2</v>
      </c>
      <c r="P880" s="8">
        <v>2</v>
      </c>
      <c r="Q880" s="8">
        <v>2</v>
      </c>
      <c r="R880" s="8">
        <v>2</v>
      </c>
      <c r="S880" s="8">
        <v>0</v>
      </c>
      <c r="T880" s="8">
        <v>2</v>
      </c>
      <c r="U880" s="8">
        <v>0</v>
      </c>
      <c r="V880" s="8">
        <v>2</v>
      </c>
      <c r="W880" s="8">
        <v>2</v>
      </c>
      <c r="X880" s="8">
        <v>2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1</v>
      </c>
      <c r="AH880" s="8">
        <v>0</v>
      </c>
      <c r="AI880" s="8">
        <v>0</v>
      </c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11" t="s">
        <v>247</v>
      </c>
    </row>
    <row r="881" spans="1:46" ht="15.1" customHeight="1">
      <c r="A881" s="8"/>
      <c r="B881" s="9"/>
      <c r="C881" s="8"/>
      <c r="D881" s="9"/>
      <c r="E881" s="8">
        <v>0</v>
      </c>
      <c r="F881" s="8">
        <v>3</v>
      </c>
      <c r="G881" s="8">
        <v>14</v>
      </c>
      <c r="H881" s="8">
        <v>5</v>
      </c>
      <c r="I881" s="8">
        <v>7</v>
      </c>
      <c r="J881" s="8">
        <v>7</v>
      </c>
      <c r="K881" s="8">
        <v>7</v>
      </c>
      <c r="L881" s="8">
        <v>7</v>
      </c>
      <c r="M881" s="8">
        <v>0</v>
      </c>
      <c r="N881" s="8">
        <v>0</v>
      </c>
      <c r="O881" s="8">
        <v>7</v>
      </c>
      <c r="P881" s="8">
        <v>7</v>
      </c>
      <c r="Q881" s="8">
        <v>4</v>
      </c>
      <c r="R881" s="8">
        <v>7</v>
      </c>
      <c r="S881" s="8">
        <v>0</v>
      </c>
      <c r="T881" s="8">
        <v>5</v>
      </c>
      <c r="U881" s="8">
        <v>13</v>
      </c>
      <c r="V881" s="8">
        <v>7</v>
      </c>
      <c r="W881" s="8">
        <v>7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11" t="s">
        <v>247</v>
      </c>
    </row>
    <row r="882" spans="1:46" ht="15.1" customHeight="1">
      <c r="A882" s="8">
        <v>293</v>
      </c>
      <c r="B882" s="9" t="s">
        <v>850</v>
      </c>
      <c r="C882" s="8" t="s">
        <v>851</v>
      </c>
      <c r="D882" s="9" t="s">
        <v>451</v>
      </c>
      <c r="E882" s="12" t="s">
        <v>55</v>
      </c>
      <c r="F882" s="12" t="s">
        <v>55</v>
      </c>
      <c r="G882" s="10" t="s">
        <v>67</v>
      </c>
      <c r="H882" s="12" t="s">
        <v>55</v>
      </c>
      <c r="I882" s="8" t="s">
        <v>54</v>
      </c>
      <c r="J882" s="8" t="s">
        <v>54</v>
      </c>
      <c r="K882" s="8" t="s">
        <v>54</v>
      </c>
      <c r="L882" s="12" t="s">
        <v>55</v>
      </c>
      <c r="M882" s="12" t="s">
        <v>55</v>
      </c>
      <c r="N882" s="10" t="s">
        <v>67</v>
      </c>
      <c r="O882" s="12" t="s">
        <v>55</v>
      </c>
      <c r="P882" s="8" t="s">
        <v>54</v>
      </c>
      <c r="Q882" s="8" t="s">
        <v>54</v>
      </c>
      <c r="R882" s="8" t="s">
        <v>54</v>
      </c>
      <c r="S882" s="8" t="s">
        <v>54</v>
      </c>
      <c r="T882" s="8" t="s">
        <v>54</v>
      </c>
      <c r="U882" s="10" t="s">
        <v>67</v>
      </c>
      <c r="V882" s="12" t="s">
        <v>55</v>
      </c>
      <c r="W882" s="8" t="s">
        <v>54</v>
      </c>
      <c r="X882" s="8" t="s">
        <v>54</v>
      </c>
      <c r="Y882" s="8" t="s">
        <v>54</v>
      </c>
      <c r="Z882" s="8" t="s">
        <v>54</v>
      </c>
      <c r="AA882" s="8" t="s">
        <v>54</v>
      </c>
      <c r="AB882" s="10" t="s">
        <v>67</v>
      </c>
      <c r="AC882" s="8" t="s">
        <v>54</v>
      </c>
      <c r="AD882" s="12" t="s">
        <v>55</v>
      </c>
      <c r="AE882" s="8" t="s">
        <v>54</v>
      </c>
      <c r="AF882" s="8" t="s">
        <v>54</v>
      </c>
      <c r="AG882" s="8" t="s">
        <v>54</v>
      </c>
      <c r="AH882" s="8" t="s">
        <v>54</v>
      </c>
      <c r="AI882" s="10" t="s">
        <v>67</v>
      </c>
      <c r="AJ882" s="8">
        <f>COUNTIF($E$882:$AI$882,"P")</f>
        <v>18</v>
      </c>
      <c r="AK882" s="8">
        <f>COUNTIF($E$882:$AI$882,"A")</f>
        <v>8</v>
      </c>
      <c r="AL882" s="8">
        <f>SUM($E$883:$AI$883)</f>
        <v>21</v>
      </c>
      <c r="AM882" s="8">
        <f>SUM($E$884:$AI$884)</f>
        <v>82.5</v>
      </c>
      <c r="AN882" s="8">
        <f>AL882+AM882</f>
        <v>103</v>
      </c>
      <c r="AO882" s="8">
        <f>COUNTIF($E$882:$AI$882,"CL")</f>
        <v>0</v>
      </c>
      <c r="AP882" s="8">
        <f>COUNTIF($E$882:$AI$882,"SL")</f>
        <v>0</v>
      </c>
      <c r="AQ882" s="8">
        <f>COUNTIF($E$882:$AI$882,"EL")</f>
        <v>0</v>
      </c>
      <c r="AR882" s="8">
        <f>COUNTIF($E$882:$AI$882,"H")</f>
        <v>0</v>
      </c>
      <c r="AS882" s="8"/>
      <c r="AT882" s="11" t="s">
        <v>247</v>
      </c>
    </row>
    <row r="883" spans="1:46" ht="15.1" customHeight="1">
      <c r="A883" s="8"/>
      <c r="B883" s="9"/>
      <c r="C883" s="8"/>
      <c r="D883" s="9"/>
      <c r="E883" s="8">
        <v>0</v>
      </c>
      <c r="F883" s="8">
        <v>0</v>
      </c>
      <c r="G883" s="8">
        <v>0</v>
      </c>
      <c r="H883" s="8">
        <v>0</v>
      </c>
      <c r="I883" s="8">
        <v>2</v>
      </c>
      <c r="J883" s="8">
        <v>2</v>
      </c>
      <c r="K883" s="8">
        <v>2</v>
      </c>
      <c r="L883" s="8">
        <v>0</v>
      </c>
      <c r="M883" s="8">
        <v>0</v>
      </c>
      <c r="N883" s="8">
        <v>0</v>
      </c>
      <c r="O883" s="8">
        <v>0</v>
      </c>
      <c r="P883" s="8">
        <v>2</v>
      </c>
      <c r="Q883" s="8">
        <v>2</v>
      </c>
      <c r="R883" s="8">
        <v>2</v>
      </c>
      <c r="S883" s="8">
        <v>2</v>
      </c>
      <c r="T883" s="8">
        <v>2</v>
      </c>
      <c r="U883" s="8">
        <v>0</v>
      </c>
      <c r="V883" s="8">
        <v>0</v>
      </c>
      <c r="W883" s="8">
        <v>2</v>
      </c>
      <c r="X883" s="8">
        <v>2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1</v>
      </c>
      <c r="AH883" s="8">
        <v>0</v>
      </c>
      <c r="AI883" s="8">
        <v>0</v>
      </c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11" t="s">
        <v>247</v>
      </c>
    </row>
    <row r="884" spans="1:46" ht="15.1" customHeight="1">
      <c r="A884" s="8"/>
      <c r="B884" s="9"/>
      <c r="C884" s="8"/>
      <c r="D884" s="9"/>
      <c r="E884" s="8">
        <v>0</v>
      </c>
      <c r="F884" s="8">
        <v>0</v>
      </c>
      <c r="G884" s="8">
        <v>0</v>
      </c>
      <c r="H884" s="8">
        <v>0</v>
      </c>
      <c r="I884" s="8">
        <v>7</v>
      </c>
      <c r="J884" s="8">
        <v>7</v>
      </c>
      <c r="K884" s="8">
        <v>6.5</v>
      </c>
      <c r="L884" s="8">
        <v>0</v>
      </c>
      <c r="M884" s="8">
        <v>0</v>
      </c>
      <c r="N884" s="8">
        <v>14</v>
      </c>
      <c r="O884" s="8">
        <v>0</v>
      </c>
      <c r="P884" s="8">
        <v>7</v>
      </c>
      <c r="Q884" s="8">
        <v>4.5</v>
      </c>
      <c r="R884" s="8">
        <v>7</v>
      </c>
      <c r="S884" s="8">
        <v>7</v>
      </c>
      <c r="T884" s="8">
        <v>3</v>
      </c>
      <c r="U884" s="8">
        <v>12.5</v>
      </c>
      <c r="V884" s="8">
        <v>0</v>
      </c>
      <c r="W884" s="8">
        <v>7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11" t="s">
        <v>247</v>
      </c>
    </row>
    <row r="885" spans="1:46" ht="15.1" customHeight="1">
      <c r="A885" s="8">
        <v>294</v>
      </c>
      <c r="B885" s="9" t="s">
        <v>852</v>
      </c>
      <c r="C885" s="8" t="s">
        <v>853</v>
      </c>
      <c r="D885" s="9" t="s">
        <v>451</v>
      </c>
      <c r="E885" s="8" t="s">
        <v>19</v>
      </c>
      <c r="F885" s="8" t="s">
        <v>19</v>
      </c>
      <c r="G885" s="10" t="s">
        <v>67</v>
      </c>
      <c r="H885" s="8" t="s">
        <v>19</v>
      </c>
      <c r="I885" s="8" t="s">
        <v>19</v>
      </c>
      <c r="J885" s="8" t="s">
        <v>19</v>
      </c>
      <c r="K885" s="8" t="s">
        <v>19</v>
      </c>
      <c r="L885" s="8" t="s">
        <v>54</v>
      </c>
      <c r="M885" s="8" t="s">
        <v>54</v>
      </c>
      <c r="N885" s="10" t="s">
        <v>67</v>
      </c>
      <c r="O885" s="8" t="s">
        <v>54</v>
      </c>
      <c r="P885" s="12" t="s">
        <v>55</v>
      </c>
      <c r="Q885" s="12" t="s">
        <v>55</v>
      </c>
      <c r="R885" s="12" t="s">
        <v>55</v>
      </c>
      <c r="S885" s="8" t="s">
        <v>54</v>
      </c>
      <c r="T885" s="8" t="s">
        <v>54</v>
      </c>
      <c r="U885" s="10" t="s">
        <v>67</v>
      </c>
      <c r="V885" s="8" t="s">
        <v>54</v>
      </c>
      <c r="W885" s="8" t="s">
        <v>54</v>
      </c>
      <c r="X885" s="12" t="s">
        <v>55</v>
      </c>
      <c r="Y885" s="8" t="s">
        <v>54</v>
      </c>
      <c r="Z885" s="8" t="s">
        <v>54</v>
      </c>
      <c r="AA885" s="8" t="s">
        <v>54</v>
      </c>
      <c r="AB885" s="10" t="s">
        <v>67</v>
      </c>
      <c r="AC885" s="8" t="s">
        <v>54</v>
      </c>
      <c r="AD885" s="8" t="s">
        <v>54</v>
      </c>
      <c r="AE885" s="8" t="s">
        <v>54</v>
      </c>
      <c r="AF885" s="8" t="s">
        <v>54</v>
      </c>
      <c r="AG885" s="8" t="s">
        <v>54</v>
      </c>
      <c r="AH885" s="8" t="s">
        <v>54</v>
      </c>
      <c r="AI885" s="10" t="s">
        <v>67</v>
      </c>
      <c r="AJ885" s="8">
        <f>COUNTIF($E$885:$AI$885,"P")</f>
        <v>16</v>
      </c>
      <c r="AK885" s="8">
        <f>COUNTIF($E$885:$AI$885,"A")</f>
        <v>4</v>
      </c>
      <c r="AL885" s="8">
        <f>SUM($E$886:$AI$886)</f>
        <v>17</v>
      </c>
      <c r="AM885" s="8">
        <f>SUM($E$887:$AI$887)</f>
        <v>61.5</v>
      </c>
      <c r="AN885" s="8">
        <f>AL885+AM885</f>
        <v>78.5</v>
      </c>
      <c r="AO885" s="8">
        <f>COUNTIF($E$885:$AI$885,"CL")</f>
        <v>0</v>
      </c>
      <c r="AP885" s="8">
        <f>COUNTIF($E$885:$AI$885,"SL")</f>
        <v>6</v>
      </c>
      <c r="AQ885" s="8">
        <f>COUNTIF($E$885:$AI$885,"EL")</f>
        <v>0</v>
      </c>
      <c r="AR885" s="8">
        <f>COUNTIF($E$885:$AI$885,"H")</f>
        <v>0</v>
      </c>
      <c r="AS885" s="8"/>
      <c r="AT885" s="11" t="s">
        <v>247</v>
      </c>
    </row>
    <row r="886" spans="1:46" ht="15.1" customHeight="1">
      <c r="A886" s="8"/>
      <c r="B886" s="9"/>
      <c r="C886" s="8"/>
      <c r="D886" s="9"/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2</v>
      </c>
      <c r="M886" s="8">
        <v>2</v>
      </c>
      <c r="N886" s="8">
        <v>0</v>
      </c>
      <c r="O886" s="8">
        <v>2</v>
      </c>
      <c r="P886" s="8">
        <v>0</v>
      </c>
      <c r="Q886" s="8">
        <v>0</v>
      </c>
      <c r="R886" s="8">
        <v>0</v>
      </c>
      <c r="S886" s="8">
        <v>2</v>
      </c>
      <c r="T886" s="8">
        <v>2</v>
      </c>
      <c r="U886" s="8">
        <v>0</v>
      </c>
      <c r="V886" s="8">
        <v>2</v>
      </c>
      <c r="W886" s="8">
        <v>2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2</v>
      </c>
      <c r="AE886" s="8">
        <v>0</v>
      </c>
      <c r="AF886" s="8">
        <v>0</v>
      </c>
      <c r="AG886" s="8">
        <v>1</v>
      </c>
      <c r="AH886" s="8">
        <v>0</v>
      </c>
      <c r="AI886" s="8">
        <v>0</v>
      </c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11" t="s">
        <v>247</v>
      </c>
    </row>
    <row r="887" spans="1:46" ht="15.1" customHeight="1">
      <c r="A887" s="8"/>
      <c r="B887" s="9"/>
      <c r="C887" s="8"/>
      <c r="D887" s="9"/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16.5</v>
      </c>
      <c r="O887" s="8">
        <v>7</v>
      </c>
      <c r="P887" s="8">
        <v>0</v>
      </c>
      <c r="Q887" s="8">
        <v>0</v>
      </c>
      <c r="R887" s="8">
        <v>0</v>
      </c>
      <c r="S887" s="8">
        <v>7</v>
      </c>
      <c r="T887" s="8">
        <v>3</v>
      </c>
      <c r="U887" s="8">
        <v>12.5</v>
      </c>
      <c r="V887" s="8">
        <v>6.5</v>
      </c>
      <c r="W887" s="8">
        <v>7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2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11" t="s">
        <v>247</v>
      </c>
    </row>
    <row r="888" spans="1:46" ht="15.1" customHeight="1">
      <c r="A888" s="8">
        <v>295</v>
      </c>
      <c r="B888" s="9" t="s">
        <v>854</v>
      </c>
      <c r="C888" s="8" t="s">
        <v>855</v>
      </c>
      <c r="D888" s="9" t="s">
        <v>451</v>
      </c>
      <c r="E888" s="8" t="s">
        <v>54</v>
      </c>
      <c r="F888" s="8" t="s">
        <v>54</v>
      </c>
      <c r="G888" s="10" t="s">
        <v>67</v>
      </c>
      <c r="H888" s="8" t="s">
        <v>54</v>
      </c>
      <c r="I888" s="8" t="s">
        <v>54</v>
      </c>
      <c r="J888" s="8" t="s">
        <v>54</v>
      </c>
      <c r="K888" s="8" t="s">
        <v>54</v>
      </c>
      <c r="L888" s="8" t="s">
        <v>54</v>
      </c>
      <c r="M888" s="8" t="s">
        <v>54</v>
      </c>
      <c r="N888" s="10" t="s">
        <v>67</v>
      </c>
      <c r="O888" s="12" t="s">
        <v>55</v>
      </c>
      <c r="P888" s="12" t="s">
        <v>55</v>
      </c>
      <c r="Q888" s="12" t="s">
        <v>55</v>
      </c>
      <c r="R888" s="8" t="s">
        <v>54</v>
      </c>
      <c r="S888" s="8" t="s">
        <v>54</v>
      </c>
      <c r="T888" s="8" t="s">
        <v>54</v>
      </c>
      <c r="U888" s="10" t="s">
        <v>67</v>
      </c>
      <c r="V888" s="8" t="s">
        <v>54</v>
      </c>
      <c r="W888" s="8" t="s">
        <v>54</v>
      </c>
      <c r="X888" s="8" t="s">
        <v>54</v>
      </c>
      <c r="Y888" s="8" t="s">
        <v>54</v>
      </c>
      <c r="Z888" s="8" t="s">
        <v>54</v>
      </c>
      <c r="AA888" s="8" t="s">
        <v>54</v>
      </c>
      <c r="AB888" s="10" t="s">
        <v>67</v>
      </c>
      <c r="AC888" s="8" t="s">
        <v>54</v>
      </c>
      <c r="AD888" s="8" t="s">
        <v>54</v>
      </c>
      <c r="AE888" s="8" t="s">
        <v>54</v>
      </c>
      <c r="AF888" s="8" t="s">
        <v>54</v>
      </c>
      <c r="AG888" s="8" t="s">
        <v>54</v>
      </c>
      <c r="AH888" s="8" t="s">
        <v>54</v>
      </c>
      <c r="AI888" s="10" t="s">
        <v>67</v>
      </c>
      <c r="AJ888" s="8">
        <f>COUNTIF($E$888:$AI$888,"P")</f>
        <v>23</v>
      </c>
      <c r="AK888" s="8">
        <f>COUNTIF($E$888:$AI$888,"A")</f>
        <v>3</v>
      </c>
      <c r="AL888" s="8">
        <f>SUM($E$889:$AI$889)</f>
        <v>31</v>
      </c>
      <c r="AM888" s="8">
        <f>SUM($E$890:$AI$890)</f>
        <v>116</v>
      </c>
      <c r="AN888" s="8">
        <f>AL888+AM888</f>
        <v>146.5</v>
      </c>
      <c r="AO888" s="8">
        <f>COUNTIF($E$888:$AI$888,"CL")</f>
        <v>0</v>
      </c>
      <c r="AP888" s="8">
        <f>COUNTIF($E$888:$AI$888,"SL")</f>
        <v>0</v>
      </c>
      <c r="AQ888" s="8">
        <f>COUNTIF($E$888:$AI$888,"EL")</f>
        <v>0</v>
      </c>
      <c r="AR888" s="8">
        <f>COUNTIF($E$888:$AI$888,"H")</f>
        <v>0</v>
      </c>
      <c r="AS888" s="8"/>
      <c r="AT888" s="11" t="s">
        <v>247</v>
      </c>
    </row>
    <row r="889" spans="1:46" ht="15.1" customHeight="1">
      <c r="A889" s="8"/>
      <c r="B889" s="9"/>
      <c r="C889" s="8"/>
      <c r="D889" s="9"/>
      <c r="E889" s="8">
        <v>2</v>
      </c>
      <c r="F889" s="8">
        <v>2</v>
      </c>
      <c r="G889" s="8">
        <v>0</v>
      </c>
      <c r="H889" s="8">
        <v>2</v>
      </c>
      <c r="I889" s="8">
        <v>2</v>
      </c>
      <c r="J889" s="8">
        <v>2</v>
      </c>
      <c r="K889" s="8">
        <v>2</v>
      </c>
      <c r="L889" s="8">
        <v>2</v>
      </c>
      <c r="M889" s="8">
        <v>2</v>
      </c>
      <c r="N889" s="8">
        <v>0</v>
      </c>
      <c r="O889" s="8">
        <v>0</v>
      </c>
      <c r="P889" s="8">
        <v>0</v>
      </c>
      <c r="Q889" s="8">
        <v>0</v>
      </c>
      <c r="R889" s="8">
        <v>2</v>
      </c>
      <c r="S889" s="8">
        <v>2</v>
      </c>
      <c r="T889" s="8">
        <v>2</v>
      </c>
      <c r="U889" s="8">
        <v>0</v>
      </c>
      <c r="V889" s="8">
        <v>2</v>
      </c>
      <c r="W889" s="8">
        <v>2</v>
      </c>
      <c r="X889" s="8">
        <v>2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2</v>
      </c>
      <c r="AE889" s="8">
        <v>0</v>
      </c>
      <c r="AF889" s="8">
        <v>0</v>
      </c>
      <c r="AG889" s="8">
        <v>1</v>
      </c>
      <c r="AH889" s="8">
        <v>0</v>
      </c>
      <c r="AI889" s="8">
        <v>0</v>
      </c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11" t="s">
        <v>247</v>
      </c>
    </row>
    <row r="890" spans="1:46" ht="15.1" customHeight="1">
      <c r="A890" s="8"/>
      <c r="B890" s="9"/>
      <c r="C890" s="8"/>
      <c r="D890" s="9"/>
      <c r="E890" s="8">
        <v>4.5</v>
      </c>
      <c r="F890" s="8">
        <v>3</v>
      </c>
      <c r="G890" s="8">
        <v>13.5</v>
      </c>
      <c r="H890" s="8">
        <v>5</v>
      </c>
      <c r="I890" s="8">
        <v>6.5</v>
      </c>
      <c r="J890" s="8">
        <v>6.5</v>
      </c>
      <c r="K890" s="8">
        <v>6.5</v>
      </c>
      <c r="L890" s="8">
        <v>6.5</v>
      </c>
      <c r="M890" s="8">
        <v>4</v>
      </c>
      <c r="N890" s="8">
        <v>16.5</v>
      </c>
      <c r="O890" s="8">
        <v>0</v>
      </c>
      <c r="P890" s="8">
        <v>0</v>
      </c>
      <c r="Q890" s="8">
        <v>0</v>
      </c>
      <c r="R890" s="8">
        <v>7</v>
      </c>
      <c r="S890" s="8">
        <v>6.5</v>
      </c>
      <c r="T890" s="8">
        <v>2.5</v>
      </c>
      <c r="U890" s="8">
        <v>12.5</v>
      </c>
      <c r="V890" s="8">
        <v>6.5</v>
      </c>
      <c r="W890" s="8">
        <v>6.5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2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11" t="s">
        <v>247</v>
      </c>
    </row>
    <row r="891" spans="1:46" ht="15.1" customHeight="1">
      <c r="A891" s="8">
        <v>296</v>
      </c>
      <c r="B891" s="9" t="s">
        <v>856</v>
      </c>
      <c r="C891" s="8" t="s">
        <v>857</v>
      </c>
      <c r="D891" s="9" t="s">
        <v>451</v>
      </c>
      <c r="E891" s="8" t="s">
        <v>54</v>
      </c>
      <c r="F891" s="8" t="s">
        <v>54</v>
      </c>
      <c r="G891" s="10" t="s">
        <v>67</v>
      </c>
      <c r="H891" s="8" t="s">
        <v>54</v>
      </c>
      <c r="I891" s="8" t="s">
        <v>54</v>
      </c>
      <c r="J891" s="8" t="s">
        <v>54</v>
      </c>
      <c r="K891" s="8" t="s">
        <v>54</v>
      </c>
      <c r="L891" s="12" t="s">
        <v>55</v>
      </c>
      <c r="M891" s="8" t="s">
        <v>54</v>
      </c>
      <c r="N891" s="10" t="s">
        <v>67</v>
      </c>
      <c r="O891" s="8" t="s">
        <v>54</v>
      </c>
      <c r="P891" s="8" t="s">
        <v>54</v>
      </c>
      <c r="Q891" s="8" t="s">
        <v>54</v>
      </c>
      <c r="R891" s="8" t="s">
        <v>54</v>
      </c>
      <c r="S891" s="8" t="s">
        <v>54</v>
      </c>
      <c r="T891" s="8" t="s">
        <v>54</v>
      </c>
      <c r="U891" s="10" t="s">
        <v>67</v>
      </c>
      <c r="V891" s="8" t="s">
        <v>54</v>
      </c>
      <c r="W891" s="8" t="s">
        <v>54</v>
      </c>
      <c r="X891" s="8" t="s">
        <v>54</v>
      </c>
      <c r="Y891" s="8" t="s">
        <v>54</v>
      </c>
      <c r="Z891" s="8" t="s">
        <v>54</v>
      </c>
      <c r="AA891" s="8" t="s">
        <v>54</v>
      </c>
      <c r="AB891" s="10" t="s">
        <v>67</v>
      </c>
      <c r="AC891" s="8" t="s">
        <v>54</v>
      </c>
      <c r="AD891" s="8" t="s">
        <v>54</v>
      </c>
      <c r="AE891" s="8" t="s">
        <v>54</v>
      </c>
      <c r="AF891" s="8" t="s">
        <v>54</v>
      </c>
      <c r="AG891" s="8" t="s">
        <v>54</v>
      </c>
      <c r="AH891" s="8" t="s">
        <v>54</v>
      </c>
      <c r="AI891" s="10" t="s">
        <v>67</v>
      </c>
      <c r="AJ891" s="8">
        <f>COUNTIF($E$891:$AI$891,"P")</f>
        <v>25</v>
      </c>
      <c r="AK891" s="8">
        <f>COUNTIF($E$891:$AI$891,"A")</f>
        <v>1</v>
      </c>
      <c r="AL891" s="8">
        <f>SUM($E$892:$AI$892)</f>
        <v>35</v>
      </c>
      <c r="AM891" s="8">
        <f>SUM($E$893:$AI$893)</f>
        <v>120</v>
      </c>
      <c r="AN891" s="8">
        <f>AL891+AM891</f>
        <v>155</v>
      </c>
      <c r="AO891" s="8">
        <f>COUNTIF($E$891:$AI$891,"CL")</f>
        <v>0</v>
      </c>
      <c r="AP891" s="8">
        <f>COUNTIF($E$891:$AI$891,"SL")</f>
        <v>0</v>
      </c>
      <c r="AQ891" s="8">
        <f>COUNTIF($E$891:$AI$891,"EL")</f>
        <v>0</v>
      </c>
      <c r="AR891" s="8">
        <f>COUNTIF($E$891:$AI$891,"H")</f>
        <v>0</v>
      </c>
      <c r="AS891" s="8"/>
      <c r="AT891" s="11" t="s">
        <v>247</v>
      </c>
    </row>
    <row r="892" spans="1:46" ht="15.1" customHeight="1">
      <c r="A892" s="8"/>
      <c r="B892" s="9"/>
      <c r="C892" s="8"/>
      <c r="D892" s="9"/>
      <c r="E892" s="8">
        <v>2</v>
      </c>
      <c r="F892" s="8">
        <v>2</v>
      </c>
      <c r="G892" s="8">
        <v>0</v>
      </c>
      <c r="H892" s="8">
        <v>2</v>
      </c>
      <c r="I892" s="8">
        <v>2</v>
      </c>
      <c r="J892" s="8">
        <v>2</v>
      </c>
      <c r="K892" s="8">
        <v>2</v>
      </c>
      <c r="L892" s="8">
        <v>0</v>
      </c>
      <c r="M892" s="8">
        <v>2</v>
      </c>
      <c r="N892" s="8">
        <v>0</v>
      </c>
      <c r="O892" s="8">
        <v>2</v>
      </c>
      <c r="P892" s="8">
        <v>2</v>
      </c>
      <c r="Q892" s="8">
        <v>2</v>
      </c>
      <c r="R892" s="8">
        <v>2</v>
      </c>
      <c r="S892" s="8">
        <v>2</v>
      </c>
      <c r="T892" s="8">
        <v>2</v>
      </c>
      <c r="U892" s="8">
        <v>0</v>
      </c>
      <c r="V892" s="8">
        <v>2</v>
      </c>
      <c r="W892" s="8">
        <v>2</v>
      </c>
      <c r="X892" s="8">
        <v>2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2</v>
      </c>
      <c r="AE892" s="8">
        <v>0</v>
      </c>
      <c r="AF892" s="8">
        <v>0</v>
      </c>
      <c r="AG892" s="8">
        <v>1</v>
      </c>
      <c r="AH892" s="8">
        <v>0</v>
      </c>
      <c r="AI892" s="8">
        <v>0</v>
      </c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11" t="s">
        <v>247</v>
      </c>
    </row>
    <row r="893" spans="1:46" ht="15.1" customHeight="1">
      <c r="A893" s="8"/>
      <c r="B893" s="9"/>
      <c r="C893" s="8"/>
      <c r="D893" s="9"/>
      <c r="E893" s="8">
        <v>3.5</v>
      </c>
      <c r="F893" s="8">
        <v>3</v>
      </c>
      <c r="G893" s="8">
        <v>13.5</v>
      </c>
      <c r="H893" s="8">
        <v>5</v>
      </c>
      <c r="I893" s="8">
        <v>7</v>
      </c>
      <c r="J893" s="8">
        <v>7</v>
      </c>
      <c r="K893" s="8">
        <v>7</v>
      </c>
      <c r="L893" s="8">
        <v>0</v>
      </c>
      <c r="M893" s="8">
        <v>5</v>
      </c>
      <c r="N893" s="8">
        <v>17</v>
      </c>
      <c r="O893" s="8">
        <v>7</v>
      </c>
      <c r="P893" s="8">
        <v>7</v>
      </c>
      <c r="Q893" s="8">
        <v>5</v>
      </c>
      <c r="R893" s="8">
        <v>7</v>
      </c>
      <c r="S893" s="8">
        <v>7</v>
      </c>
      <c r="T893" s="8">
        <v>3</v>
      </c>
      <c r="U893" s="8">
        <v>0</v>
      </c>
      <c r="V893" s="8">
        <v>7</v>
      </c>
      <c r="W893" s="8">
        <v>7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2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11" t="s">
        <v>247</v>
      </c>
    </row>
    <row r="894" spans="1:46" ht="15.1" customHeight="1">
      <c r="A894" s="8">
        <v>297</v>
      </c>
      <c r="B894" s="9" t="s">
        <v>747</v>
      </c>
      <c r="C894" s="8" t="s">
        <v>858</v>
      </c>
      <c r="D894" s="9" t="s">
        <v>451</v>
      </c>
      <c r="E894" s="8" t="s">
        <v>54</v>
      </c>
      <c r="F894" s="8" t="s">
        <v>54</v>
      </c>
      <c r="G894" s="10" t="s">
        <v>67</v>
      </c>
      <c r="H894" s="12" t="s">
        <v>55</v>
      </c>
      <c r="I894" s="12" t="s">
        <v>55</v>
      </c>
      <c r="J894" s="12" t="s">
        <v>55</v>
      </c>
      <c r="K894" s="8" t="s">
        <v>54</v>
      </c>
      <c r="L894" s="8" t="s">
        <v>54</v>
      </c>
      <c r="M894" s="12" t="s">
        <v>55</v>
      </c>
      <c r="N894" s="10" t="s">
        <v>67</v>
      </c>
      <c r="O894" s="8" t="s">
        <v>54</v>
      </c>
      <c r="P894" s="8" t="s">
        <v>54</v>
      </c>
      <c r="Q894" s="8" t="s">
        <v>54</v>
      </c>
      <c r="R894" s="8" t="s">
        <v>54</v>
      </c>
      <c r="S894" s="8" t="s">
        <v>54</v>
      </c>
      <c r="T894" s="8" t="s">
        <v>54</v>
      </c>
      <c r="U894" s="10" t="s">
        <v>67</v>
      </c>
      <c r="V894" s="8" t="s">
        <v>54</v>
      </c>
      <c r="W894" s="8" t="s">
        <v>54</v>
      </c>
      <c r="X894" s="8" t="s">
        <v>54</v>
      </c>
      <c r="Y894" s="8" t="s">
        <v>54</v>
      </c>
      <c r="Z894" s="8" t="s">
        <v>54</v>
      </c>
      <c r="AA894" s="8" t="s">
        <v>54</v>
      </c>
      <c r="AB894" s="10" t="s">
        <v>67</v>
      </c>
      <c r="AC894" s="8" t="s">
        <v>54</v>
      </c>
      <c r="AD894" s="8" t="s">
        <v>54</v>
      </c>
      <c r="AE894" s="8" t="s">
        <v>54</v>
      </c>
      <c r="AF894" s="8" t="s">
        <v>54</v>
      </c>
      <c r="AG894" s="8" t="s">
        <v>54</v>
      </c>
      <c r="AH894" s="8" t="s">
        <v>54</v>
      </c>
      <c r="AI894" s="10" t="s">
        <v>67</v>
      </c>
      <c r="AJ894" s="8">
        <f>COUNTIF($E$894:$AI$894,"P")</f>
        <v>22</v>
      </c>
      <c r="AK894" s="8">
        <f>COUNTIF($E$894:$AI$894,"A")</f>
        <v>4</v>
      </c>
      <c r="AL894" s="8">
        <f>SUM($E$895:$AI$895)</f>
        <v>29</v>
      </c>
      <c r="AM894" s="8">
        <f>SUM($E$896:$AI$896)</f>
        <v>114</v>
      </c>
      <c r="AN894" s="8">
        <f>AL894+AM894</f>
        <v>143</v>
      </c>
      <c r="AO894" s="8">
        <f>COUNTIF($E$894:$AI$894,"CL")</f>
        <v>0</v>
      </c>
      <c r="AP894" s="8">
        <f>COUNTIF($E$894:$AI$894,"SL")</f>
        <v>0</v>
      </c>
      <c r="AQ894" s="8">
        <f>COUNTIF($E$894:$AI$894,"EL")</f>
        <v>0</v>
      </c>
      <c r="AR894" s="8">
        <f>COUNTIF($E$894:$AI$894,"H")</f>
        <v>0</v>
      </c>
      <c r="AS894" s="8"/>
      <c r="AT894" s="11" t="s">
        <v>247</v>
      </c>
    </row>
    <row r="895" spans="1:46" ht="15.1" customHeight="1">
      <c r="A895" s="8"/>
      <c r="B895" s="9"/>
      <c r="C895" s="8"/>
      <c r="D895" s="9"/>
      <c r="E895" s="8">
        <v>2</v>
      </c>
      <c r="F895" s="8">
        <v>2</v>
      </c>
      <c r="G895" s="8">
        <v>0</v>
      </c>
      <c r="H895" s="8">
        <v>0</v>
      </c>
      <c r="I895" s="8">
        <v>0</v>
      </c>
      <c r="J895" s="8">
        <v>0</v>
      </c>
      <c r="K895" s="8">
        <v>2</v>
      </c>
      <c r="L895" s="8">
        <v>2</v>
      </c>
      <c r="M895" s="8">
        <v>0</v>
      </c>
      <c r="N895" s="8">
        <v>0</v>
      </c>
      <c r="O895" s="8">
        <v>2</v>
      </c>
      <c r="P895" s="8">
        <v>2</v>
      </c>
      <c r="Q895" s="8">
        <v>2</v>
      </c>
      <c r="R895" s="8">
        <v>2</v>
      </c>
      <c r="S895" s="8">
        <v>2</v>
      </c>
      <c r="T895" s="8">
        <v>2</v>
      </c>
      <c r="U895" s="8">
        <v>0</v>
      </c>
      <c r="V895" s="8">
        <v>2</v>
      </c>
      <c r="W895" s="8">
        <v>2</v>
      </c>
      <c r="X895" s="8">
        <v>2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2</v>
      </c>
      <c r="AE895" s="8">
        <v>0</v>
      </c>
      <c r="AF895" s="8">
        <v>0</v>
      </c>
      <c r="AG895" s="8">
        <v>1</v>
      </c>
      <c r="AH895" s="8">
        <v>0</v>
      </c>
      <c r="AI895" s="8">
        <v>0</v>
      </c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11" t="s">
        <v>247</v>
      </c>
    </row>
    <row r="896" spans="1:46" ht="15.1" customHeight="1">
      <c r="A896" s="8"/>
      <c r="B896" s="9"/>
      <c r="C896" s="8"/>
      <c r="D896" s="9"/>
      <c r="E896" s="8">
        <v>4.5</v>
      </c>
      <c r="F896" s="8">
        <v>2.5</v>
      </c>
      <c r="G896" s="8">
        <v>13.5</v>
      </c>
      <c r="H896" s="8">
        <v>0</v>
      </c>
      <c r="I896" s="8">
        <v>0</v>
      </c>
      <c r="J896" s="8">
        <v>0</v>
      </c>
      <c r="K896" s="8">
        <v>7</v>
      </c>
      <c r="L896" s="8">
        <v>7</v>
      </c>
      <c r="M896" s="8">
        <v>0</v>
      </c>
      <c r="N896" s="8">
        <v>16.5</v>
      </c>
      <c r="O896" s="8">
        <v>7</v>
      </c>
      <c r="P896" s="8">
        <v>7</v>
      </c>
      <c r="Q896" s="8">
        <v>4.5</v>
      </c>
      <c r="R896" s="8">
        <v>6.5</v>
      </c>
      <c r="S896" s="8">
        <v>6.5</v>
      </c>
      <c r="T896" s="8">
        <v>3</v>
      </c>
      <c r="U896" s="8">
        <v>12.5</v>
      </c>
      <c r="V896" s="8">
        <v>7</v>
      </c>
      <c r="W896" s="8">
        <v>7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2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11" t="s">
        <v>247</v>
      </c>
    </row>
    <row r="897" spans="1:46" ht="15.1" customHeight="1">
      <c r="A897" s="8">
        <v>298</v>
      </c>
      <c r="B897" s="9" t="s">
        <v>859</v>
      </c>
      <c r="C897" s="8" t="s">
        <v>860</v>
      </c>
      <c r="D897" s="9" t="s">
        <v>451</v>
      </c>
      <c r="E897" s="8" t="s">
        <v>54</v>
      </c>
      <c r="F897" s="8" t="s">
        <v>54</v>
      </c>
      <c r="G897" s="10" t="s">
        <v>67</v>
      </c>
      <c r="H897" s="8" t="s">
        <v>54</v>
      </c>
      <c r="I897" s="8" t="s">
        <v>54</v>
      </c>
      <c r="J897" s="8" t="s">
        <v>54</v>
      </c>
      <c r="K897" s="8" t="s">
        <v>54</v>
      </c>
      <c r="L897" s="8" t="s">
        <v>54</v>
      </c>
      <c r="M897" s="8" t="s">
        <v>54</v>
      </c>
      <c r="N897" s="10" t="s">
        <v>67</v>
      </c>
      <c r="O897" s="8" t="s">
        <v>54</v>
      </c>
      <c r="P897" s="8" t="s">
        <v>54</v>
      </c>
      <c r="Q897" s="8" t="s">
        <v>54</v>
      </c>
      <c r="R897" s="8" t="s">
        <v>54</v>
      </c>
      <c r="S897" s="8" t="s">
        <v>54</v>
      </c>
      <c r="T897" s="8" t="s">
        <v>54</v>
      </c>
      <c r="U897" s="10" t="s">
        <v>67</v>
      </c>
      <c r="V897" s="8" t="s">
        <v>54</v>
      </c>
      <c r="W897" s="8" t="s">
        <v>54</v>
      </c>
      <c r="X897" s="8" t="s">
        <v>54</v>
      </c>
      <c r="Y897" s="8" t="s">
        <v>54</v>
      </c>
      <c r="Z897" s="8" t="s">
        <v>54</v>
      </c>
      <c r="AA897" s="8" t="s">
        <v>54</v>
      </c>
      <c r="AB897" s="10" t="s">
        <v>67</v>
      </c>
      <c r="AC897" s="8" t="s">
        <v>54</v>
      </c>
      <c r="AD897" s="8" t="s">
        <v>54</v>
      </c>
      <c r="AE897" s="8" t="s">
        <v>54</v>
      </c>
      <c r="AF897" s="8" t="s">
        <v>54</v>
      </c>
      <c r="AG897" s="8" t="s">
        <v>54</v>
      </c>
      <c r="AH897" s="8" t="s">
        <v>54</v>
      </c>
      <c r="AI897" s="10" t="s">
        <v>67</v>
      </c>
      <c r="AJ897" s="8">
        <f>COUNTIF($E$897:$AI$897,"P")</f>
        <v>26</v>
      </c>
      <c r="AK897" s="8">
        <f>COUNTIF($E$897:$AI$897,"A")</f>
        <v>0</v>
      </c>
      <c r="AL897" s="8">
        <f>SUM($E$898:$AI$898)</f>
        <v>37</v>
      </c>
      <c r="AM897" s="8">
        <f>SUM($E$899:$AI$899)</f>
        <v>138</v>
      </c>
      <c r="AN897" s="8">
        <f>AL897+AM897</f>
        <v>175</v>
      </c>
      <c r="AO897" s="8">
        <f>COUNTIF($E$897:$AI$897,"CL")</f>
        <v>0</v>
      </c>
      <c r="AP897" s="8">
        <f>COUNTIF($E$897:$AI$897,"SL")</f>
        <v>0</v>
      </c>
      <c r="AQ897" s="8">
        <f>COUNTIF($E$897:$AI$897,"EL")</f>
        <v>0</v>
      </c>
      <c r="AR897" s="8">
        <f>COUNTIF($E$897:$AI$897,"H")</f>
        <v>0</v>
      </c>
      <c r="AS897" s="8"/>
      <c r="AT897" s="11" t="s">
        <v>247</v>
      </c>
    </row>
    <row r="898" spans="1:46" ht="15.1" customHeight="1">
      <c r="A898" s="8"/>
      <c r="B898" s="9"/>
      <c r="C898" s="8"/>
      <c r="D898" s="9"/>
      <c r="E898" s="8">
        <v>2</v>
      </c>
      <c r="F898" s="8">
        <v>2</v>
      </c>
      <c r="G898" s="8">
        <v>0</v>
      </c>
      <c r="H898" s="8">
        <v>2</v>
      </c>
      <c r="I898" s="8">
        <v>2</v>
      </c>
      <c r="J898" s="8">
        <v>2</v>
      </c>
      <c r="K898" s="8">
        <v>2</v>
      </c>
      <c r="L898" s="8">
        <v>2</v>
      </c>
      <c r="M898" s="8">
        <v>2</v>
      </c>
      <c r="N898" s="8">
        <v>0</v>
      </c>
      <c r="O898" s="8">
        <v>2</v>
      </c>
      <c r="P898" s="8">
        <v>2</v>
      </c>
      <c r="Q898" s="8">
        <v>2</v>
      </c>
      <c r="R898" s="8">
        <v>2</v>
      </c>
      <c r="S898" s="8">
        <v>2</v>
      </c>
      <c r="T898" s="8">
        <v>2</v>
      </c>
      <c r="U898" s="8">
        <v>0</v>
      </c>
      <c r="V898" s="8">
        <v>2</v>
      </c>
      <c r="W898" s="8">
        <v>2</v>
      </c>
      <c r="X898" s="8">
        <v>2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2</v>
      </c>
      <c r="AE898" s="8">
        <v>0</v>
      </c>
      <c r="AF898" s="8">
        <v>0</v>
      </c>
      <c r="AG898" s="8">
        <v>1</v>
      </c>
      <c r="AH898" s="8">
        <v>0</v>
      </c>
      <c r="AI898" s="8">
        <v>0</v>
      </c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11" t="s">
        <v>247</v>
      </c>
    </row>
    <row r="899" spans="1:46" ht="15.1" customHeight="1">
      <c r="A899" s="8"/>
      <c r="B899" s="9"/>
      <c r="C899" s="8"/>
      <c r="D899" s="9"/>
      <c r="E899" s="8">
        <v>5</v>
      </c>
      <c r="F899" s="8">
        <v>3</v>
      </c>
      <c r="G899" s="8">
        <v>14</v>
      </c>
      <c r="H899" s="8">
        <v>5</v>
      </c>
      <c r="I899" s="8">
        <v>7</v>
      </c>
      <c r="J899" s="8">
        <v>7</v>
      </c>
      <c r="K899" s="8">
        <v>7</v>
      </c>
      <c r="L899" s="8">
        <v>7</v>
      </c>
      <c r="M899" s="8">
        <v>5</v>
      </c>
      <c r="N899" s="8">
        <v>16.5</v>
      </c>
      <c r="O899" s="8">
        <v>7</v>
      </c>
      <c r="P899" s="8">
        <v>7</v>
      </c>
      <c r="Q899" s="8">
        <v>5</v>
      </c>
      <c r="R899" s="8">
        <v>7</v>
      </c>
      <c r="S899" s="8">
        <v>7</v>
      </c>
      <c r="T899" s="8">
        <v>3</v>
      </c>
      <c r="U899" s="8">
        <v>9.5</v>
      </c>
      <c r="V899" s="8">
        <v>7</v>
      </c>
      <c r="W899" s="8">
        <v>7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2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11" t="s">
        <v>247</v>
      </c>
    </row>
    <row r="900" spans="1:46" ht="15.1" customHeight="1">
      <c r="A900" s="8">
        <v>299</v>
      </c>
      <c r="B900" s="9" t="s">
        <v>861</v>
      </c>
      <c r="C900" s="8" t="s">
        <v>862</v>
      </c>
      <c r="D900" s="9" t="s">
        <v>451</v>
      </c>
      <c r="E900" s="8" t="s">
        <v>54</v>
      </c>
      <c r="F900" s="8" t="s">
        <v>54</v>
      </c>
      <c r="G900" s="10" t="s">
        <v>67</v>
      </c>
      <c r="H900" s="8" t="s">
        <v>54</v>
      </c>
      <c r="I900" s="8" t="s">
        <v>54</v>
      </c>
      <c r="J900" s="8" t="s">
        <v>54</v>
      </c>
      <c r="K900" s="8" t="s">
        <v>54</v>
      </c>
      <c r="L900" s="8" t="s">
        <v>54</v>
      </c>
      <c r="M900" s="12" t="s">
        <v>55</v>
      </c>
      <c r="N900" s="10" t="s">
        <v>67</v>
      </c>
      <c r="O900" s="8" t="s">
        <v>54</v>
      </c>
      <c r="P900" s="8" t="s">
        <v>54</v>
      </c>
      <c r="Q900" s="12" t="s">
        <v>55</v>
      </c>
      <c r="R900" s="8" t="s">
        <v>54</v>
      </c>
      <c r="S900" s="8" t="s">
        <v>54</v>
      </c>
      <c r="T900" s="8" t="s">
        <v>54</v>
      </c>
      <c r="U900" s="10" t="s">
        <v>67</v>
      </c>
      <c r="V900" s="12" t="s">
        <v>55</v>
      </c>
      <c r="W900" s="8" t="s">
        <v>54</v>
      </c>
      <c r="X900" s="8" t="s">
        <v>54</v>
      </c>
      <c r="Y900" s="8" t="s">
        <v>54</v>
      </c>
      <c r="Z900" s="8" t="s">
        <v>54</v>
      </c>
      <c r="AA900" s="8" t="s">
        <v>54</v>
      </c>
      <c r="AB900" s="10" t="s">
        <v>67</v>
      </c>
      <c r="AC900" s="8" t="s">
        <v>54</v>
      </c>
      <c r="AD900" s="8" t="s">
        <v>54</v>
      </c>
      <c r="AE900" s="8" t="s">
        <v>54</v>
      </c>
      <c r="AF900" s="8" t="s">
        <v>54</v>
      </c>
      <c r="AG900" s="8" t="s">
        <v>54</v>
      </c>
      <c r="AH900" s="8" t="s">
        <v>54</v>
      </c>
      <c r="AI900" s="10" t="s">
        <v>67</v>
      </c>
      <c r="AJ900" s="8">
        <f>COUNTIF($E$900:$AI$900,"P")</f>
        <v>23</v>
      </c>
      <c r="AK900" s="8">
        <f>COUNTIF($E$900:$AI$900,"A")</f>
        <v>3</v>
      </c>
      <c r="AL900" s="8">
        <f>SUM($E$901:$AI$901)</f>
        <v>29</v>
      </c>
      <c r="AM900" s="8">
        <f>SUM($E$902:$AI$902)</f>
        <v>113</v>
      </c>
      <c r="AN900" s="8">
        <f>AL900+AM900</f>
        <v>142</v>
      </c>
      <c r="AO900" s="8">
        <f>COUNTIF($E$900:$AI$900,"CL")</f>
        <v>0</v>
      </c>
      <c r="AP900" s="8">
        <f>COUNTIF($E$900:$AI$900,"SL")</f>
        <v>0</v>
      </c>
      <c r="AQ900" s="8">
        <f>COUNTIF($E$900:$AI$900,"EL")</f>
        <v>0</v>
      </c>
      <c r="AR900" s="8">
        <f>COUNTIF($E$900:$AI$900,"H")</f>
        <v>0</v>
      </c>
      <c r="AS900" s="8"/>
      <c r="AT900" s="11" t="s">
        <v>247</v>
      </c>
    </row>
    <row r="901" spans="1:46" ht="15.1" customHeight="1">
      <c r="A901" s="8"/>
      <c r="B901" s="9"/>
      <c r="C901" s="8"/>
      <c r="D901" s="9"/>
      <c r="E901" s="8">
        <v>2</v>
      </c>
      <c r="F901" s="8">
        <v>2</v>
      </c>
      <c r="G901" s="8">
        <v>0</v>
      </c>
      <c r="H901" s="8">
        <v>2</v>
      </c>
      <c r="I901" s="8">
        <v>2</v>
      </c>
      <c r="J901" s="8">
        <v>2</v>
      </c>
      <c r="K901" s="8">
        <v>2</v>
      </c>
      <c r="L901" s="8">
        <v>0</v>
      </c>
      <c r="M901" s="8">
        <v>0</v>
      </c>
      <c r="N901" s="8">
        <v>0</v>
      </c>
      <c r="O901" s="8">
        <v>2</v>
      </c>
      <c r="P901" s="8">
        <v>2</v>
      </c>
      <c r="Q901" s="8">
        <v>0</v>
      </c>
      <c r="R901" s="8">
        <v>2</v>
      </c>
      <c r="S901" s="8">
        <v>2</v>
      </c>
      <c r="T901" s="8">
        <v>2</v>
      </c>
      <c r="U901" s="8">
        <v>0</v>
      </c>
      <c r="V901" s="8">
        <v>0</v>
      </c>
      <c r="W901" s="8">
        <v>2</v>
      </c>
      <c r="X901" s="8">
        <v>2</v>
      </c>
      <c r="Y901" s="8">
        <v>0</v>
      </c>
      <c r="Z901" s="8">
        <v>0</v>
      </c>
      <c r="AA901" s="8">
        <v>0</v>
      </c>
      <c r="AB901" s="8">
        <v>0</v>
      </c>
      <c r="AC901" s="8">
        <v>2</v>
      </c>
      <c r="AD901" s="8">
        <v>0</v>
      </c>
      <c r="AE901" s="8">
        <v>0</v>
      </c>
      <c r="AF901" s="8">
        <v>0</v>
      </c>
      <c r="AG901" s="8">
        <v>1</v>
      </c>
      <c r="AH901" s="8">
        <v>0</v>
      </c>
      <c r="AI901" s="8">
        <v>0</v>
      </c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11" t="s">
        <v>247</v>
      </c>
    </row>
    <row r="902" spans="1:46" ht="15.1" customHeight="1">
      <c r="A902" s="8"/>
      <c r="B902" s="9"/>
      <c r="C902" s="8"/>
      <c r="D902" s="9"/>
      <c r="E902" s="8">
        <v>5</v>
      </c>
      <c r="F902" s="8">
        <v>3</v>
      </c>
      <c r="G902" s="8">
        <v>13.5</v>
      </c>
      <c r="H902" s="8">
        <v>5</v>
      </c>
      <c r="I902" s="8">
        <v>7</v>
      </c>
      <c r="J902" s="8">
        <v>7</v>
      </c>
      <c r="K902" s="8">
        <v>7</v>
      </c>
      <c r="L902" s="8">
        <v>0</v>
      </c>
      <c r="M902" s="8">
        <v>0</v>
      </c>
      <c r="N902" s="8">
        <v>16.5</v>
      </c>
      <c r="O902" s="8">
        <v>7</v>
      </c>
      <c r="P902" s="8">
        <v>7</v>
      </c>
      <c r="Q902" s="8">
        <v>0</v>
      </c>
      <c r="R902" s="8">
        <v>7</v>
      </c>
      <c r="S902" s="8">
        <v>6.5</v>
      </c>
      <c r="T902" s="8">
        <v>2</v>
      </c>
      <c r="U902" s="8">
        <v>12.5</v>
      </c>
      <c r="V902" s="8">
        <v>0</v>
      </c>
      <c r="W902" s="8">
        <v>7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11" t="s">
        <v>247</v>
      </c>
    </row>
    <row r="903" spans="1:46" ht="15.1" customHeight="1">
      <c r="A903" s="8">
        <v>300</v>
      </c>
      <c r="B903" s="9" t="s">
        <v>863</v>
      </c>
      <c r="C903" s="8" t="s">
        <v>864</v>
      </c>
      <c r="D903" s="9" t="s">
        <v>451</v>
      </c>
      <c r="E903" s="12" t="s">
        <v>55</v>
      </c>
      <c r="F903" s="12" t="s">
        <v>55</v>
      </c>
      <c r="G903" s="10" t="s">
        <v>67</v>
      </c>
      <c r="H903" s="8" t="s">
        <v>54</v>
      </c>
      <c r="I903" s="8" t="s">
        <v>54</v>
      </c>
      <c r="J903" s="8" t="s">
        <v>54</v>
      </c>
      <c r="K903" s="12" t="s">
        <v>55</v>
      </c>
      <c r="L903" s="12" t="s">
        <v>55</v>
      </c>
      <c r="M903" s="12" t="s">
        <v>55</v>
      </c>
      <c r="N903" s="10" t="s">
        <v>67</v>
      </c>
      <c r="O903" s="8" t="s">
        <v>54</v>
      </c>
      <c r="P903" s="8" t="s">
        <v>54</v>
      </c>
      <c r="Q903" s="8" t="s">
        <v>54</v>
      </c>
      <c r="R903" s="8" t="s">
        <v>54</v>
      </c>
      <c r="S903" s="8" t="s">
        <v>54</v>
      </c>
      <c r="T903" s="8" t="s">
        <v>54</v>
      </c>
      <c r="U903" s="10" t="s">
        <v>67</v>
      </c>
      <c r="V903" s="8" t="s">
        <v>54</v>
      </c>
      <c r="W903" s="8" t="s">
        <v>54</v>
      </c>
      <c r="X903" s="8" t="s">
        <v>54</v>
      </c>
      <c r="Y903" s="8" t="s">
        <v>54</v>
      </c>
      <c r="Z903" s="8" t="s">
        <v>54</v>
      </c>
      <c r="AA903" s="8" t="s">
        <v>54</v>
      </c>
      <c r="AB903" s="10" t="s">
        <v>67</v>
      </c>
      <c r="AC903" s="8" t="s">
        <v>54</v>
      </c>
      <c r="AD903" s="8" t="s">
        <v>54</v>
      </c>
      <c r="AE903" s="8" t="s">
        <v>54</v>
      </c>
      <c r="AF903" s="8" t="s">
        <v>54</v>
      </c>
      <c r="AG903" s="8" t="s">
        <v>54</v>
      </c>
      <c r="AH903" s="8" t="s">
        <v>54</v>
      </c>
      <c r="AI903" s="10" t="s">
        <v>67</v>
      </c>
      <c r="AJ903" s="8">
        <f>COUNTIF($E$903:$AI$903,"P")</f>
        <v>21</v>
      </c>
      <c r="AK903" s="8">
        <f>COUNTIF($E$903:$AI$903,"A")</f>
        <v>5</v>
      </c>
      <c r="AL903" s="8">
        <f>SUM($E$904:$AI$904)</f>
        <v>27</v>
      </c>
      <c r="AM903" s="8">
        <f>SUM($E$905:$AI$905)</f>
        <v>109</v>
      </c>
      <c r="AN903" s="8">
        <f>AL903+AM903</f>
        <v>136</v>
      </c>
      <c r="AO903" s="8">
        <f>COUNTIF($E$903:$AI$903,"CL")</f>
        <v>0</v>
      </c>
      <c r="AP903" s="8">
        <f>COUNTIF($E$903:$AI$903,"SL")</f>
        <v>0</v>
      </c>
      <c r="AQ903" s="8">
        <f>COUNTIF($E$903:$AI$903,"EL")</f>
        <v>0</v>
      </c>
      <c r="AR903" s="8">
        <f>COUNTIF($E$903:$AI$903,"H")</f>
        <v>0</v>
      </c>
      <c r="AS903" s="8"/>
      <c r="AT903" s="11" t="s">
        <v>247</v>
      </c>
    </row>
    <row r="904" spans="1:46" ht="15.1" customHeight="1">
      <c r="A904" s="8"/>
      <c r="B904" s="9"/>
      <c r="C904" s="8"/>
      <c r="D904" s="9"/>
      <c r="E904" s="8">
        <v>0</v>
      </c>
      <c r="F904" s="8">
        <v>0</v>
      </c>
      <c r="G904" s="8">
        <v>0</v>
      </c>
      <c r="H904" s="8">
        <v>2</v>
      </c>
      <c r="I904" s="8">
        <v>2</v>
      </c>
      <c r="J904" s="8">
        <v>2</v>
      </c>
      <c r="K904" s="8">
        <v>0</v>
      </c>
      <c r="L904" s="8">
        <v>0</v>
      </c>
      <c r="M904" s="8">
        <v>0</v>
      </c>
      <c r="N904" s="8">
        <v>0</v>
      </c>
      <c r="O904" s="8">
        <v>2</v>
      </c>
      <c r="P904" s="8">
        <v>2</v>
      </c>
      <c r="Q904" s="8">
        <v>2</v>
      </c>
      <c r="R904" s="8">
        <v>2</v>
      </c>
      <c r="S904" s="8">
        <v>2</v>
      </c>
      <c r="T904" s="8">
        <v>2</v>
      </c>
      <c r="U904" s="8">
        <v>0</v>
      </c>
      <c r="V904" s="8">
        <v>2</v>
      </c>
      <c r="W904" s="8">
        <v>2</v>
      </c>
      <c r="X904" s="8">
        <v>2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2</v>
      </c>
      <c r="AE904" s="8">
        <v>0</v>
      </c>
      <c r="AF904" s="8">
        <v>0</v>
      </c>
      <c r="AG904" s="8">
        <v>1</v>
      </c>
      <c r="AH904" s="8">
        <v>0</v>
      </c>
      <c r="AI904" s="8">
        <v>0</v>
      </c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11" t="s">
        <v>247</v>
      </c>
    </row>
    <row r="905" spans="1:46" ht="15.1" customHeight="1">
      <c r="A905" s="8"/>
      <c r="B905" s="9"/>
      <c r="C905" s="8"/>
      <c r="D905" s="9"/>
      <c r="E905" s="8">
        <v>0</v>
      </c>
      <c r="F905" s="8">
        <v>0</v>
      </c>
      <c r="G905" s="8">
        <v>13.5</v>
      </c>
      <c r="H905" s="8">
        <v>5</v>
      </c>
      <c r="I905" s="8">
        <v>6.5</v>
      </c>
      <c r="J905" s="8">
        <v>6.5</v>
      </c>
      <c r="K905" s="8">
        <v>0</v>
      </c>
      <c r="L905" s="8">
        <v>0</v>
      </c>
      <c r="M905" s="8">
        <v>0</v>
      </c>
      <c r="N905" s="8">
        <v>16.5</v>
      </c>
      <c r="O905" s="8">
        <v>7</v>
      </c>
      <c r="P905" s="8">
        <v>6.5</v>
      </c>
      <c r="Q905" s="8">
        <v>4.5</v>
      </c>
      <c r="R905" s="8">
        <v>6.5</v>
      </c>
      <c r="S905" s="8">
        <v>6.5</v>
      </c>
      <c r="T905" s="8">
        <v>2.5</v>
      </c>
      <c r="U905" s="8">
        <v>12</v>
      </c>
      <c r="V905" s="8">
        <v>6.5</v>
      </c>
      <c r="W905" s="8">
        <v>7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2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11" t="s">
        <v>247</v>
      </c>
    </row>
    <row r="906" spans="1:46" ht="15.1" customHeight="1">
      <c r="A906" s="8">
        <v>301</v>
      </c>
      <c r="B906" s="9" t="s">
        <v>476</v>
      </c>
      <c r="C906" s="8" t="s">
        <v>865</v>
      </c>
      <c r="D906" s="9" t="s">
        <v>451</v>
      </c>
      <c r="E906" s="8" t="s">
        <v>54</v>
      </c>
      <c r="F906" s="8" t="s">
        <v>54</v>
      </c>
      <c r="G906" s="10" t="s">
        <v>67</v>
      </c>
      <c r="H906" s="8" t="s">
        <v>54</v>
      </c>
      <c r="I906" s="8" t="s">
        <v>54</v>
      </c>
      <c r="J906" s="8" t="s">
        <v>54</v>
      </c>
      <c r="K906" s="8" t="s">
        <v>54</v>
      </c>
      <c r="L906" s="8" t="s">
        <v>54</v>
      </c>
      <c r="M906" s="8" t="s">
        <v>54</v>
      </c>
      <c r="N906" s="10" t="s">
        <v>67</v>
      </c>
      <c r="O906" s="8" t="s">
        <v>54</v>
      </c>
      <c r="P906" s="8" t="s">
        <v>54</v>
      </c>
      <c r="Q906" s="8" t="s">
        <v>54</v>
      </c>
      <c r="R906" s="8" t="s">
        <v>54</v>
      </c>
      <c r="S906" s="8" t="s">
        <v>54</v>
      </c>
      <c r="T906" s="8" t="s">
        <v>54</v>
      </c>
      <c r="U906" s="10" t="s">
        <v>67</v>
      </c>
      <c r="V906" s="8" t="s">
        <v>54</v>
      </c>
      <c r="W906" s="8" t="s">
        <v>54</v>
      </c>
      <c r="X906" s="8" t="s">
        <v>54</v>
      </c>
      <c r="Y906" s="8" t="s">
        <v>54</v>
      </c>
      <c r="Z906" s="8" t="s">
        <v>54</v>
      </c>
      <c r="AA906" s="8" t="s">
        <v>54</v>
      </c>
      <c r="AB906" s="10" t="s">
        <v>67</v>
      </c>
      <c r="AC906" s="8" t="s">
        <v>54</v>
      </c>
      <c r="AD906" s="8" t="s">
        <v>54</v>
      </c>
      <c r="AE906" s="8" t="s">
        <v>54</v>
      </c>
      <c r="AF906" s="8" t="s">
        <v>54</v>
      </c>
      <c r="AG906" s="8" t="s">
        <v>54</v>
      </c>
      <c r="AH906" s="8" t="s">
        <v>54</v>
      </c>
      <c r="AI906" s="10" t="s">
        <v>67</v>
      </c>
      <c r="AJ906" s="8">
        <f>COUNTIF($E$906:$AI$906,"P")</f>
        <v>26</v>
      </c>
      <c r="AK906" s="8">
        <f>COUNTIF($E$906:$AI$906,"A")</f>
        <v>0</v>
      </c>
      <c r="AL906" s="8">
        <f>SUM($E$907:$AI$907)</f>
        <v>35</v>
      </c>
      <c r="AM906" s="8">
        <f>SUM($E$908:$AI$908)</f>
        <v>91.5</v>
      </c>
      <c r="AN906" s="8">
        <f>AL906+AM906</f>
        <v>126.5</v>
      </c>
      <c r="AO906" s="8">
        <f>COUNTIF($E$906:$AI$906,"CL")</f>
        <v>0</v>
      </c>
      <c r="AP906" s="8">
        <f>COUNTIF($E$906:$AI$906,"SL")</f>
        <v>0</v>
      </c>
      <c r="AQ906" s="8">
        <f>COUNTIF($E$906:$AI$906,"EL")</f>
        <v>0</v>
      </c>
      <c r="AR906" s="8">
        <f>COUNTIF($E$906:$AI$906,"H")</f>
        <v>0</v>
      </c>
      <c r="AS906" s="8"/>
      <c r="AT906" s="11" t="s">
        <v>247</v>
      </c>
    </row>
    <row r="907" spans="1:46" ht="15.1" customHeight="1">
      <c r="A907" s="8"/>
      <c r="B907" s="9"/>
      <c r="C907" s="8"/>
      <c r="D907" s="9"/>
      <c r="E907" s="8">
        <v>2</v>
      </c>
      <c r="F907" s="8">
        <v>2</v>
      </c>
      <c r="G907" s="8">
        <v>0</v>
      </c>
      <c r="H907" s="8">
        <v>2</v>
      </c>
      <c r="I907" s="8">
        <v>2</v>
      </c>
      <c r="J907" s="8">
        <v>2</v>
      </c>
      <c r="K907" s="8">
        <v>2</v>
      </c>
      <c r="L907" s="8">
        <v>2</v>
      </c>
      <c r="M907" s="8">
        <v>2</v>
      </c>
      <c r="N907" s="8">
        <v>0</v>
      </c>
      <c r="O907" s="8">
        <v>2</v>
      </c>
      <c r="P907" s="8">
        <v>2</v>
      </c>
      <c r="Q907" s="8">
        <v>2</v>
      </c>
      <c r="R907" s="8">
        <v>2</v>
      </c>
      <c r="S907" s="8">
        <v>2</v>
      </c>
      <c r="T907" s="8">
        <v>2</v>
      </c>
      <c r="U907" s="8">
        <v>0</v>
      </c>
      <c r="V907" s="8">
        <v>2</v>
      </c>
      <c r="W907" s="8">
        <v>2</v>
      </c>
      <c r="X907" s="8">
        <v>2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1</v>
      </c>
      <c r="AH907" s="8">
        <v>0</v>
      </c>
      <c r="AI907" s="8">
        <v>0</v>
      </c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11" t="s">
        <v>247</v>
      </c>
    </row>
    <row r="908" spans="1:46" ht="15.1" customHeight="1">
      <c r="A908" s="8"/>
      <c r="B908" s="9"/>
      <c r="C908" s="8"/>
      <c r="D908" s="9"/>
      <c r="E908" s="8">
        <v>4.5</v>
      </c>
      <c r="F908" s="8">
        <v>3</v>
      </c>
      <c r="G908" s="8">
        <v>0</v>
      </c>
      <c r="H908" s="8">
        <v>5</v>
      </c>
      <c r="I908" s="8">
        <v>7</v>
      </c>
      <c r="J908" s="8">
        <v>6.5</v>
      </c>
      <c r="K908" s="8">
        <v>7</v>
      </c>
      <c r="L908" s="8">
        <v>6.5</v>
      </c>
      <c r="M908" s="8">
        <v>4.5</v>
      </c>
      <c r="N908" s="8">
        <v>0</v>
      </c>
      <c r="O908" s="8">
        <v>7</v>
      </c>
      <c r="P908" s="8">
        <v>7</v>
      </c>
      <c r="Q908" s="8">
        <v>4.5</v>
      </c>
      <c r="R908" s="8">
        <v>7</v>
      </c>
      <c r="S908" s="8">
        <v>6.5</v>
      </c>
      <c r="T908" s="8">
        <v>2.5</v>
      </c>
      <c r="U908" s="8">
        <v>0</v>
      </c>
      <c r="V908" s="8">
        <v>6.5</v>
      </c>
      <c r="W908" s="8">
        <v>6.5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11" t="s">
        <v>247</v>
      </c>
    </row>
    <row r="909" spans="1:46" ht="15.1" customHeight="1">
      <c r="A909" s="8">
        <v>302</v>
      </c>
      <c r="B909" s="9" t="s">
        <v>866</v>
      </c>
      <c r="C909" s="8" t="s">
        <v>867</v>
      </c>
      <c r="D909" s="9" t="s">
        <v>451</v>
      </c>
      <c r="E909" s="12" t="s">
        <v>55</v>
      </c>
      <c r="F909" s="12" t="s">
        <v>55</v>
      </c>
      <c r="G909" s="10" t="s">
        <v>67</v>
      </c>
      <c r="H909" s="12" t="s">
        <v>55</v>
      </c>
      <c r="I909" s="8" t="s">
        <v>54</v>
      </c>
      <c r="J909" s="8" t="s">
        <v>54</v>
      </c>
      <c r="K909" s="12" t="s">
        <v>55</v>
      </c>
      <c r="L909" s="8" t="s">
        <v>54</v>
      </c>
      <c r="M909" s="12" t="s">
        <v>55</v>
      </c>
      <c r="N909" s="10" t="s">
        <v>67</v>
      </c>
      <c r="O909" s="12" t="s">
        <v>55</v>
      </c>
      <c r="P909" s="12" t="s">
        <v>55</v>
      </c>
      <c r="Q909" s="12" t="s">
        <v>55</v>
      </c>
      <c r="R909" s="12" t="s">
        <v>55</v>
      </c>
      <c r="S909" s="12" t="s">
        <v>55</v>
      </c>
      <c r="T909" s="12" t="s">
        <v>55</v>
      </c>
      <c r="U909" s="10" t="s">
        <v>67</v>
      </c>
      <c r="V909" s="8"/>
      <c r="W909" s="8"/>
      <c r="X909" s="8"/>
      <c r="Y909" s="8"/>
      <c r="Z909" s="8"/>
      <c r="AA909" s="8"/>
      <c r="AB909" s="10"/>
      <c r="AC909" s="8"/>
      <c r="AD909" s="8"/>
      <c r="AE909" s="8"/>
      <c r="AF909" s="8"/>
      <c r="AG909" s="8"/>
      <c r="AH909" s="8"/>
      <c r="AI909" s="10"/>
      <c r="AJ909" s="8">
        <f>COUNTIF($E$909:$AI$909,"P")</f>
        <v>3</v>
      </c>
      <c r="AK909" s="8">
        <f>COUNTIF($E$909:$AI$909,"A")</f>
        <v>11</v>
      </c>
      <c r="AL909" s="8">
        <f>SUM($E$910:$AI$910)</f>
        <v>2</v>
      </c>
      <c r="AM909" s="8">
        <f>SUM($E$911:$AI$911)</f>
        <v>3</v>
      </c>
      <c r="AN909" s="8">
        <f>AL909+AM909</f>
        <v>5</v>
      </c>
      <c r="AO909" s="8">
        <f>COUNTIF($E$909:$AI$909,"CL")</f>
        <v>0</v>
      </c>
      <c r="AP909" s="8">
        <f>COUNTIF($E$909:$AI$909,"SL")</f>
        <v>0</v>
      </c>
      <c r="AQ909" s="8">
        <f>COUNTIF($E$909:$AI$909,"EL")</f>
        <v>0</v>
      </c>
      <c r="AR909" s="8">
        <f>COUNTIF($E$909:$AI$909,"H")</f>
        <v>0</v>
      </c>
      <c r="AS909" s="8"/>
      <c r="AT909" s="11" t="s">
        <v>247</v>
      </c>
    </row>
    <row r="910" spans="1:46" ht="15.1" customHeight="1">
      <c r="A910" s="8"/>
      <c r="B910" s="9"/>
      <c r="C910" s="8"/>
      <c r="D910" s="9"/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2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11" t="s">
        <v>247</v>
      </c>
    </row>
    <row r="911" spans="1:46" ht="15.1" customHeight="1">
      <c r="A911" s="8"/>
      <c r="B911" s="9"/>
      <c r="C911" s="8"/>
      <c r="D911" s="9"/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3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11" t="s">
        <v>247</v>
      </c>
    </row>
    <row r="912" spans="1:46" ht="15.1" customHeight="1">
      <c r="A912" s="8">
        <v>303</v>
      </c>
      <c r="B912" s="9" t="s">
        <v>868</v>
      </c>
      <c r="C912" s="8" t="s">
        <v>869</v>
      </c>
      <c r="D912" s="9" t="s">
        <v>451</v>
      </c>
      <c r="E912" s="8" t="s">
        <v>54</v>
      </c>
      <c r="F912" s="8" t="s">
        <v>54</v>
      </c>
      <c r="G912" s="10" t="s">
        <v>67</v>
      </c>
      <c r="H912" s="8" t="s">
        <v>54</v>
      </c>
      <c r="I912" s="8" t="s">
        <v>54</v>
      </c>
      <c r="J912" s="8" t="s">
        <v>54</v>
      </c>
      <c r="K912" s="8" t="s">
        <v>54</v>
      </c>
      <c r="L912" s="8" t="s">
        <v>54</v>
      </c>
      <c r="M912" s="8" t="s">
        <v>54</v>
      </c>
      <c r="N912" s="10" t="s">
        <v>67</v>
      </c>
      <c r="O912" s="8" t="s">
        <v>54</v>
      </c>
      <c r="P912" s="8" t="s">
        <v>54</v>
      </c>
      <c r="Q912" s="8" t="s">
        <v>54</v>
      </c>
      <c r="R912" s="8" t="s">
        <v>54</v>
      </c>
      <c r="S912" s="8" t="s">
        <v>54</v>
      </c>
      <c r="T912" s="8" t="s">
        <v>54</v>
      </c>
      <c r="U912" s="10" t="s">
        <v>67</v>
      </c>
      <c r="V912" s="8" t="s">
        <v>54</v>
      </c>
      <c r="W912" s="8" t="s">
        <v>54</v>
      </c>
      <c r="X912" s="8" t="s">
        <v>54</v>
      </c>
      <c r="Y912" s="8" t="s">
        <v>54</v>
      </c>
      <c r="Z912" s="8" t="s">
        <v>54</v>
      </c>
      <c r="AA912" s="8" t="s">
        <v>54</v>
      </c>
      <c r="AB912" s="10" t="s">
        <v>67</v>
      </c>
      <c r="AC912" s="12" t="s">
        <v>55</v>
      </c>
      <c r="AD912" s="8" t="s">
        <v>54</v>
      </c>
      <c r="AE912" s="8" t="s">
        <v>54</v>
      </c>
      <c r="AF912" s="8" t="s">
        <v>54</v>
      </c>
      <c r="AG912" s="8" t="s">
        <v>54</v>
      </c>
      <c r="AH912" s="8" t="s">
        <v>54</v>
      </c>
      <c r="AI912" s="10" t="s">
        <v>67</v>
      </c>
      <c r="AJ912" s="8">
        <f>COUNTIF($E$912:$AI$912,"P")</f>
        <v>25</v>
      </c>
      <c r="AK912" s="8">
        <f>COUNTIF($E$912:$AI$912,"A")</f>
        <v>1</v>
      </c>
      <c r="AL912" s="8">
        <f>SUM($E$913:$AI$913)</f>
        <v>33</v>
      </c>
      <c r="AM912" s="8">
        <f>SUM($E$914:$AI$914)</f>
        <v>120.5</v>
      </c>
      <c r="AN912" s="8">
        <f>AL912+AM912</f>
        <v>153.5</v>
      </c>
      <c r="AO912" s="8">
        <f>COUNTIF($E$912:$AI$912,"CL")</f>
        <v>0</v>
      </c>
      <c r="AP912" s="8">
        <f>COUNTIF($E$912:$AI$912,"SL")</f>
        <v>0</v>
      </c>
      <c r="AQ912" s="8">
        <f>COUNTIF($E$912:$AI$912,"EL")</f>
        <v>0</v>
      </c>
      <c r="AR912" s="8">
        <f>COUNTIF($E$912:$AI$912,"H")</f>
        <v>0</v>
      </c>
      <c r="AS912" s="8"/>
      <c r="AT912" s="11" t="s">
        <v>247</v>
      </c>
    </row>
    <row r="913" spans="1:46" ht="15.1" customHeight="1">
      <c r="A913" s="8"/>
      <c r="B913" s="9"/>
      <c r="C913" s="8"/>
      <c r="D913" s="9"/>
      <c r="E913" s="8">
        <v>0</v>
      </c>
      <c r="F913" s="8">
        <v>2</v>
      </c>
      <c r="G913" s="8">
        <v>0</v>
      </c>
      <c r="H913" s="8">
        <v>2</v>
      </c>
      <c r="I913" s="8">
        <v>2</v>
      </c>
      <c r="J913" s="8">
        <v>2</v>
      </c>
      <c r="K913" s="8">
        <v>2</v>
      </c>
      <c r="L913" s="8">
        <v>2</v>
      </c>
      <c r="M913" s="8">
        <v>2</v>
      </c>
      <c r="N913" s="8">
        <v>0</v>
      </c>
      <c r="O913" s="8">
        <v>2</v>
      </c>
      <c r="P913" s="8">
        <v>2</v>
      </c>
      <c r="Q913" s="8">
        <v>2</v>
      </c>
      <c r="R913" s="8">
        <v>2</v>
      </c>
      <c r="S913" s="8">
        <v>2</v>
      </c>
      <c r="T913" s="8">
        <v>2</v>
      </c>
      <c r="U913" s="8">
        <v>0</v>
      </c>
      <c r="V913" s="8">
        <v>2</v>
      </c>
      <c r="W913" s="8">
        <v>2</v>
      </c>
      <c r="X913" s="8">
        <v>2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1</v>
      </c>
      <c r="AH913" s="8">
        <v>0</v>
      </c>
      <c r="AI913" s="8">
        <v>0</v>
      </c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11" t="s">
        <v>247</v>
      </c>
    </row>
    <row r="914" spans="1:46" ht="15.1" customHeight="1">
      <c r="A914" s="8"/>
      <c r="B914" s="9"/>
      <c r="C914" s="8"/>
      <c r="D914" s="9"/>
      <c r="E914" s="8">
        <v>0</v>
      </c>
      <c r="F914" s="8">
        <v>3</v>
      </c>
      <c r="G914" s="8">
        <v>0</v>
      </c>
      <c r="H914" s="8">
        <v>5</v>
      </c>
      <c r="I914" s="8">
        <v>7</v>
      </c>
      <c r="J914" s="8">
        <v>7</v>
      </c>
      <c r="K914" s="8">
        <v>7</v>
      </c>
      <c r="L914" s="8">
        <v>7</v>
      </c>
      <c r="M914" s="8">
        <v>5</v>
      </c>
      <c r="N914" s="8">
        <v>16.5</v>
      </c>
      <c r="O914" s="8">
        <v>7</v>
      </c>
      <c r="P914" s="8">
        <v>7</v>
      </c>
      <c r="Q914" s="8">
        <v>5</v>
      </c>
      <c r="R914" s="8">
        <v>7</v>
      </c>
      <c r="S914" s="8">
        <v>7</v>
      </c>
      <c r="T914" s="8">
        <v>3</v>
      </c>
      <c r="U914" s="8">
        <v>13</v>
      </c>
      <c r="V914" s="8">
        <v>7</v>
      </c>
      <c r="W914" s="8">
        <v>7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11" t="s">
        <v>247</v>
      </c>
    </row>
    <row r="915" spans="1:46" ht="15.1" customHeight="1">
      <c r="A915" s="8">
        <v>304</v>
      </c>
      <c r="B915" s="9" t="s">
        <v>870</v>
      </c>
      <c r="C915" s="8" t="s">
        <v>871</v>
      </c>
      <c r="D915" s="9" t="s">
        <v>451</v>
      </c>
      <c r="E915" s="8" t="s">
        <v>54</v>
      </c>
      <c r="F915" s="8" t="s">
        <v>54</v>
      </c>
      <c r="G915" s="10" t="s">
        <v>67</v>
      </c>
      <c r="H915" s="8" t="s">
        <v>54</v>
      </c>
      <c r="I915" s="8" t="s">
        <v>54</v>
      </c>
      <c r="J915" s="8" t="s">
        <v>54</v>
      </c>
      <c r="K915" s="8" t="s">
        <v>54</v>
      </c>
      <c r="L915" s="8" t="s">
        <v>54</v>
      </c>
      <c r="M915" s="8" t="s">
        <v>54</v>
      </c>
      <c r="N915" s="10" t="s">
        <v>67</v>
      </c>
      <c r="O915" s="8" t="s">
        <v>54</v>
      </c>
      <c r="P915" s="8" t="s">
        <v>54</v>
      </c>
      <c r="Q915" s="8" t="s">
        <v>54</v>
      </c>
      <c r="R915" s="8" t="s">
        <v>54</v>
      </c>
      <c r="S915" s="8" t="s">
        <v>54</v>
      </c>
      <c r="T915" s="8" t="s">
        <v>54</v>
      </c>
      <c r="U915" s="10" t="s">
        <v>67</v>
      </c>
      <c r="V915" s="8" t="s">
        <v>54</v>
      </c>
      <c r="W915" s="8" t="s">
        <v>54</v>
      </c>
      <c r="X915" s="8" t="s">
        <v>54</v>
      </c>
      <c r="Y915" s="8" t="s">
        <v>54</v>
      </c>
      <c r="Z915" s="8" t="s">
        <v>54</v>
      </c>
      <c r="AA915" s="8" t="s">
        <v>54</v>
      </c>
      <c r="AB915" s="10" t="s">
        <v>67</v>
      </c>
      <c r="AC915" s="8" t="s">
        <v>54</v>
      </c>
      <c r="AD915" s="8" t="s">
        <v>54</v>
      </c>
      <c r="AE915" s="8" t="s">
        <v>54</v>
      </c>
      <c r="AF915" s="8" t="s">
        <v>54</v>
      </c>
      <c r="AG915" s="8" t="s">
        <v>54</v>
      </c>
      <c r="AH915" s="8" t="s">
        <v>54</v>
      </c>
      <c r="AI915" s="10" t="s">
        <v>67</v>
      </c>
      <c r="AJ915" s="8">
        <f>COUNTIF($E$915:$AI$915,"P")</f>
        <v>26</v>
      </c>
      <c r="AK915" s="8">
        <f>COUNTIF($E$915:$AI$915,"A")</f>
        <v>0</v>
      </c>
      <c r="AL915" s="8">
        <f>SUM($E$916:$AI$916)</f>
        <v>37</v>
      </c>
      <c r="AM915" s="8">
        <f>SUM($E$917:$AI$917)</f>
        <v>136.5</v>
      </c>
      <c r="AN915" s="8">
        <f>AL915+AM915</f>
        <v>173.5</v>
      </c>
      <c r="AO915" s="8">
        <f>COUNTIF($E$915:$AI$915,"CL")</f>
        <v>0</v>
      </c>
      <c r="AP915" s="8">
        <f>COUNTIF($E$915:$AI$915,"SL")</f>
        <v>0</v>
      </c>
      <c r="AQ915" s="8">
        <f>COUNTIF($E$915:$AI$915,"EL")</f>
        <v>0</v>
      </c>
      <c r="AR915" s="8">
        <f>COUNTIF($E$915:$AI$915,"H")</f>
        <v>0</v>
      </c>
      <c r="AS915" s="8"/>
      <c r="AT915" s="11" t="s">
        <v>247</v>
      </c>
    </row>
    <row r="916" spans="1:46" ht="15.1" customHeight="1">
      <c r="A916" s="8"/>
      <c r="B916" s="9"/>
      <c r="C916" s="8"/>
      <c r="D916" s="9"/>
      <c r="E916" s="8">
        <v>2</v>
      </c>
      <c r="F916" s="8">
        <v>2</v>
      </c>
      <c r="G916" s="8">
        <v>0</v>
      </c>
      <c r="H916" s="8">
        <v>2</v>
      </c>
      <c r="I916" s="8">
        <v>2</v>
      </c>
      <c r="J916" s="8">
        <v>2</v>
      </c>
      <c r="K916" s="8">
        <v>2</v>
      </c>
      <c r="L916" s="8">
        <v>2</v>
      </c>
      <c r="M916" s="8">
        <v>2</v>
      </c>
      <c r="N916" s="8">
        <v>0</v>
      </c>
      <c r="O916" s="8">
        <v>2</v>
      </c>
      <c r="P916" s="8">
        <v>2</v>
      </c>
      <c r="Q916" s="8">
        <v>2</v>
      </c>
      <c r="R916" s="8">
        <v>2</v>
      </c>
      <c r="S916" s="8">
        <v>2</v>
      </c>
      <c r="T916" s="8">
        <v>2</v>
      </c>
      <c r="U916" s="8">
        <v>0</v>
      </c>
      <c r="V916" s="8">
        <v>2</v>
      </c>
      <c r="W916" s="8">
        <v>2</v>
      </c>
      <c r="X916" s="8">
        <v>2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2</v>
      </c>
      <c r="AE916" s="8">
        <v>0</v>
      </c>
      <c r="AF916" s="8">
        <v>0</v>
      </c>
      <c r="AG916" s="8">
        <v>1</v>
      </c>
      <c r="AH916" s="8">
        <v>0</v>
      </c>
      <c r="AI916" s="8">
        <v>0</v>
      </c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11" t="s">
        <v>247</v>
      </c>
    </row>
    <row r="917" spans="1:46" ht="15.1" customHeight="1">
      <c r="A917" s="8"/>
      <c r="B917" s="9"/>
      <c r="C917" s="8"/>
      <c r="D917" s="9"/>
      <c r="E917" s="8">
        <v>4.5</v>
      </c>
      <c r="F917" s="8">
        <v>3</v>
      </c>
      <c r="G917" s="8">
        <v>13.5</v>
      </c>
      <c r="H917" s="8">
        <v>5</v>
      </c>
      <c r="I917" s="8">
        <v>7</v>
      </c>
      <c r="J917" s="8">
        <v>6.5</v>
      </c>
      <c r="K917" s="8">
        <v>6.5</v>
      </c>
      <c r="L917" s="8">
        <v>6.5</v>
      </c>
      <c r="M917" s="8">
        <v>4.5</v>
      </c>
      <c r="N917" s="8">
        <v>16.5</v>
      </c>
      <c r="O917" s="8">
        <v>7</v>
      </c>
      <c r="P917" s="8">
        <v>6.5</v>
      </c>
      <c r="Q917" s="8">
        <v>4.5</v>
      </c>
      <c r="R917" s="8">
        <v>6.5</v>
      </c>
      <c r="S917" s="8">
        <v>6.5</v>
      </c>
      <c r="T917" s="8">
        <v>4.5</v>
      </c>
      <c r="U917" s="8">
        <v>12</v>
      </c>
      <c r="V917" s="8">
        <v>6.5</v>
      </c>
      <c r="W917" s="8">
        <v>7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2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11" t="s">
        <v>247</v>
      </c>
    </row>
    <row r="918" spans="1:46" ht="15.1" customHeight="1">
      <c r="A918" s="8">
        <v>305</v>
      </c>
      <c r="B918" s="9" t="s">
        <v>563</v>
      </c>
      <c r="C918" s="8" t="s">
        <v>872</v>
      </c>
      <c r="D918" s="9" t="s">
        <v>451</v>
      </c>
      <c r="E918" s="12" t="s">
        <v>55</v>
      </c>
      <c r="F918" s="12" t="s">
        <v>55</v>
      </c>
      <c r="G918" s="10" t="s">
        <v>67</v>
      </c>
      <c r="H918" s="8" t="s">
        <v>54</v>
      </c>
      <c r="I918" s="8" t="s">
        <v>54</v>
      </c>
      <c r="J918" s="12" t="s">
        <v>55</v>
      </c>
      <c r="K918" s="12" t="s">
        <v>55</v>
      </c>
      <c r="L918" s="8" t="s">
        <v>54</v>
      </c>
      <c r="M918" s="8" t="s">
        <v>54</v>
      </c>
      <c r="N918" s="10" t="s">
        <v>67</v>
      </c>
      <c r="O918" s="8" t="s">
        <v>54</v>
      </c>
      <c r="P918" s="8" t="s">
        <v>54</v>
      </c>
      <c r="Q918" s="8" t="s">
        <v>54</v>
      </c>
      <c r="R918" s="8" t="s">
        <v>54</v>
      </c>
      <c r="S918" s="12" t="s">
        <v>55</v>
      </c>
      <c r="T918" s="12" t="s">
        <v>55</v>
      </c>
      <c r="U918" s="10" t="s">
        <v>67</v>
      </c>
      <c r="V918" s="12" t="s">
        <v>55</v>
      </c>
      <c r="W918" s="12" t="s">
        <v>55</v>
      </c>
      <c r="X918" s="12" t="s">
        <v>55</v>
      </c>
      <c r="Y918" s="8" t="s">
        <v>54</v>
      </c>
      <c r="Z918" s="12" t="s">
        <v>55</v>
      </c>
      <c r="AA918" s="12" t="s">
        <v>55</v>
      </c>
      <c r="AB918" s="10" t="s">
        <v>67</v>
      </c>
      <c r="AC918" s="8" t="s">
        <v>54</v>
      </c>
      <c r="AD918" s="8" t="s">
        <v>54</v>
      </c>
      <c r="AE918" s="8" t="s">
        <v>54</v>
      </c>
      <c r="AF918" s="12" t="s">
        <v>55</v>
      </c>
      <c r="AG918" s="8" t="s">
        <v>54</v>
      </c>
      <c r="AH918" s="12" t="s">
        <v>55</v>
      </c>
      <c r="AI918" s="10" t="s">
        <v>67</v>
      </c>
      <c r="AJ918" s="8">
        <f>COUNTIF($E$918:$AI$918,"P")</f>
        <v>13</v>
      </c>
      <c r="AK918" s="8">
        <f>COUNTIF($E$918:$AI$918,"A")</f>
        <v>13</v>
      </c>
      <c r="AL918" s="8">
        <f>SUM($E$919:$AI$919)</f>
        <v>17</v>
      </c>
      <c r="AM918" s="8">
        <f>SUM($E$920:$AI$920)</f>
        <v>61</v>
      </c>
      <c r="AN918" s="8">
        <f>AL918+AM918</f>
        <v>78</v>
      </c>
      <c r="AO918" s="8">
        <f>COUNTIF($E$918:$AI$918,"CL")</f>
        <v>0</v>
      </c>
      <c r="AP918" s="8">
        <f>COUNTIF($E$918:$AI$918,"SL")</f>
        <v>0</v>
      </c>
      <c r="AQ918" s="8">
        <f>COUNTIF($E$918:$AI$918,"EL")</f>
        <v>0</v>
      </c>
      <c r="AR918" s="8">
        <f>COUNTIF($E$918:$AI$918,"H")</f>
        <v>0</v>
      </c>
      <c r="AS918" s="8"/>
      <c r="AT918" s="11" t="s">
        <v>247</v>
      </c>
    </row>
    <row r="919" spans="1:46" ht="15.1" customHeight="1">
      <c r="A919" s="8"/>
      <c r="B919" s="9"/>
      <c r="C919" s="8"/>
      <c r="D919" s="9"/>
      <c r="E919" s="8">
        <v>0</v>
      </c>
      <c r="F919" s="8">
        <v>0</v>
      </c>
      <c r="G919" s="8">
        <v>0</v>
      </c>
      <c r="H919" s="8">
        <v>2</v>
      </c>
      <c r="I919" s="8">
        <v>2</v>
      </c>
      <c r="J919" s="8">
        <v>0</v>
      </c>
      <c r="K919" s="8">
        <v>0</v>
      </c>
      <c r="L919" s="8">
        <v>2</v>
      </c>
      <c r="M919" s="8">
        <v>0</v>
      </c>
      <c r="N919" s="8">
        <v>0</v>
      </c>
      <c r="O919" s="8">
        <v>2</v>
      </c>
      <c r="P919" s="8">
        <v>2</v>
      </c>
      <c r="Q919" s="8">
        <v>2</v>
      </c>
      <c r="R919" s="8">
        <v>2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2</v>
      </c>
      <c r="AE919" s="8">
        <v>0</v>
      </c>
      <c r="AF919" s="8">
        <v>0</v>
      </c>
      <c r="AG919" s="8">
        <v>1</v>
      </c>
      <c r="AH919" s="8">
        <v>0</v>
      </c>
      <c r="AI919" s="8">
        <v>0</v>
      </c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11" t="s">
        <v>247</v>
      </c>
    </row>
    <row r="920" spans="1:46" ht="15.1" customHeight="1">
      <c r="A920" s="8"/>
      <c r="B920" s="9"/>
      <c r="C920" s="8"/>
      <c r="D920" s="9"/>
      <c r="E920" s="8">
        <v>0</v>
      </c>
      <c r="F920" s="8">
        <v>0</v>
      </c>
      <c r="G920" s="8">
        <v>14</v>
      </c>
      <c r="H920" s="8">
        <v>5</v>
      </c>
      <c r="I920" s="8">
        <v>7</v>
      </c>
      <c r="J920" s="8">
        <v>0</v>
      </c>
      <c r="K920" s="8">
        <v>0</v>
      </c>
      <c r="L920" s="8">
        <v>7</v>
      </c>
      <c r="M920" s="8">
        <v>0</v>
      </c>
      <c r="N920" s="8">
        <v>0</v>
      </c>
      <c r="O920" s="8">
        <v>7</v>
      </c>
      <c r="P920" s="8">
        <v>7</v>
      </c>
      <c r="Q920" s="8">
        <v>5</v>
      </c>
      <c r="R920" s="8">
        <v>7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2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11" t="s">
        <v>247</v>
      </c>
    </row>
    <row r="921" spans="1:46" ht="15.1" customHeight="1">
      <c r="A921" s="8">
        <v>306</v>
      </c>
      <c r="B921" s="9" t="s">
        <v>873</v>
      </c>
      <c r="C921" s="8" t="s">
        <v>874</v>
      </c>
      <c r="D921" s="9" t="s">
        <v>451</v>
      </c>
      <c r="E921" s="8" t="s">
        <v>54</v>
      </c>
      <c r="F921" s="8" t="s">
        <v>54</v>
      </c>
      <c r="G921" s="10" t="s">
        <v>67</v>
      </c>
      <c r="H921" s="8" t="s">
        <v>54</v>
      </c>
      <c r="I921" s="8" t="s">
        <v>54</v>
      </c>
      <c r="J921" s="8" t="s">
        <v>54</v>
      </c>
      <c r="K921" s="8" t="s">
        <v>54</v>
      </c>
      <c r="L921" s="8" t="s">
        <v>54</v>
      </c>
      <c r="M921" s="8" t="s">
        <v>54</v>
      </c>
      <c r="N921" s="10" t="s">
        <v>67</v>
      </c>
      <c r="O921" s="8" t="s">
        <v>54</v>
      </c>
      <c r="P921" s="8" t="s">
        <v>54</v>
      </c>
      <c r="Q921" s="8" t="s">
        <v>54</v>
      </c>
      <c r="R921" s="8" t="s">
        <v>54</v>
      </c>
      <c r="S921" s="8" t="s">
        <v>54</v>
      </c>
      <c r="T921" s="8" t="s">
        <v>54</v>
      </c>
      <c r="U921" s="10" t="s">
        <v>67</v>
      </c>
      <c r="V921" s="8" t="s">
        <v>54</v>
      </c>
      <c r="W921" s="8" t="s">
        <v>54</v>
      </c>
      <c r="X921" s="8" t="s">
        <v>54</v>
      </c>
      <c r="Y921" s="12" t="s">
        <v>55</v>
      </c>
      <c r="Z921" s="12" t="s">
        <v>55</v>
      </c>
      <c r="AA921" s="12" t="s">
        <v>55</v>
      </c>
      <c r="AB921" s="10" t="s">
        <v>67</v>
      </c>
      <c r="AC921" s="8" t="s">
        <v>54</v>
      </c>
      <c r="AD921" s="8" t="s">
        <v>54</v>
      </c>
      <c r="AE921" s="8" t="s">
        <v>54</v>
      </c>
      <c r="AF921" s="8" t="s">
        <v>54</v>
      </c>
      <c r="AG921" s="8" t="s">
        <v>54</v>
      </c>
      <c r="AH921" s="8" t="s">
        <v>54</v>
      </c>
      <c r="AI921" s="10" t="s">
        <v>67</v>
      </c>
      <c r="AJ921" s="8">
        <f>COUNTIF($E$921:$AI$921,"P")</f>
        <v>23</v>
      </c>
      <c r="AK921" s="8">
        <f>COUNTIF($E$921:$AI$921,"A")</f>
        <v>3</v>
      </c>
      <c r="AL921" s="8">
        <f>SUM($E$922:$AI$922)</f>
        <v>35</v>
      </c>
      <c r="AM921" s="8">
        <f>SUM($E$923:$AI$923)</f>
        <v>140.5</v>
      </c>
      <c r="AN921" s="8">
        <f>AL921+AM921</f>
        <v>175.5</v>
      </c>
      <c r="AO921" s="8">
        <f>COUNTIF($E$921:$AI$921,"CL")</f>
        <v>0</v>
      </c>
      <c r="AP921" s="8">
        <f>COUNTIF($E$921:$AI$921,"SL")</f>
        <v>0</v>
      </c>
      <c r="AQ921" s="8">
        <f>COUNTIF($E$921:$AI$921,"EL")</f>
        <v>0</v>
      </c>
      <c r="AR921" s="8">
        <f>COUNTIF($E$921:$AI$921,"H")</f>
        <v>0</v>
      </c>
      <c r="AS921" s="8"/>
      <c r="AT921" s="11" t="s">
        <v>247</v>
      </c>
    </row>
    <row r="922" spans="1:46" ht="15.1" customHeight="1">
      <c r="A922" s="8"/>
      <c r="B922" s="9"/>
      <c r="C922" s="8"/>
      <c r="D922" s="9"/>
      <c r="E922" s="8">
        <v>2</v>
      </c>
      <c r="F922" s="8">
        <v>2</v>
      </c>
      <c r="G922" s="8">
        <v>0</v>
      </c>
      <c r="H922" s="8">
        <v>2</v>
      </c>
      <c r="I922" s="8">
        <v>2</v>
      </c>
      <c r="J922" s="8">
        <v>2</v>
      </c>
      <c r="K922" s="8">
        <v>2</v>
      </c>
      <c r="L922" s="8">
        <v>2</v>
      </c>
      <c r="M922" s="8">
        <v>2</v>
      </c>
      <c r="N922" s="8">
        <v>0</v>
      </c>
      <c r="O922" s="8">
        <v>2</v>
      </c>
      <c r="P922" s="8">
        <v>2</v>
      </c>
      <c r="Q922" s="8">
        <v>2</v>
      </c>
      <c r="R922" s="8">
        <v>2</v>
      </c>
      <c r="S922" s="8">
        <v>2</v>
      </c>
      <c r="T922" s="8">
        <v>2</v>
      </c>
      <c r="U922" s="8">
        <v>0</v>
      </c>
      <c r="V922" s="8">
        <v>2</v>
      </c>
      <c r="W922" s="8">
        <v>2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2</v>
      </c>
      <c r="AE922" s="8">
        <v>0</v>
      </c>
      <c r="AF922" s="8">
        <v>0</v>
      </c>
      <c r="AG922" s="8">
        <v>1</v>
      </c>
      <c r="AH922" s="8">
        <v>0</v>
      </c>
      <c r="AI922" s="8">
        <v>0</v>
      </c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11" t="s">
        <v>247</v>
      </c>
    </row>
    <row r="923" spans="1:46" ht="15.1" customHeight="1">
      <c r="A923" s="8"/>
      <c r="B923" s="9"/>
      <c r="C923" s="8"/>
      <c r="D923" s="9"/>
      <c r="E923" s="8">
        <v>5</v>
      </c>
      <c r="F923" s="8">
        <v>3</v>
      </c>
      <c r="G923" s="8">
        <v>13.5</v>
      </c>
      <c r="H923" s="8">
        <v>5</v>
      </c>
      <c r="I923" s="8">
        <v>7</v>
      </c>
      <c r="J923" s="8">
        <v>7</v>
      </c>
      <c r="K923" s="8">
        <v>7</v>
      </c>
      <c r="L923" s="8">
        <v>7</v>
      </c>
      <c r="M923" s="8">
        <v>5</v>
      </c>
      <c r="N923" s="8">
        <v>16.5</v>
      </c>
      <c r="O923" s="8">
        <v>7</v>
      </c>
      <c r="P923" s="8">
        <v>7</v>
      </c>
      <c r="Q923" s="8">
        <v>5</v>
      </c>
      <c r="R923" s="8">
        <v>7</v>
      </c>
      <c r="S923" s="8">
        <v>7</v>
      </c>
      <c r="T923" s="8">
        <v>3</v>
      </c>
      <c r="U923" s="8">
        <v>12.5</v>
      </c>
      <c r="V923" s="8">
        <v>7</v>
      </c>
      <c r="W923" s="8">
        <v>7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2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11" t="s">
        <v>247</v>
      </c>
    </row>
    <row r="924" spans="1:46" ht="15.1" customHeight="1">
      <c r="A924" s="8">
        <v>307</v>
      </c>
      <c r="B924" s="9" t="s">
        <v>875</v>
      </c>
      <c r="C924" s="8" t="s">
        <v>876</v>
      </c>
      <c r="D924" s="9" t="s">
        <v>451</v>
      </c>
      <c r="E924" s="8" t="s">
        <v>54</v>
      </c>
      <c r="F924" s="8" t="s">
        <v>54</v>
      </c>
      <c r="G924" s="10" t="s">
        <v>67</v>
      </c>
      <c r="H924" s="8" t="s">
        <v>54</v>
      </c>
      <c r="I924" s="8" t="s">
        <v>54</v>
      </c>
      <c r="J924" s="8" t="s">
        <v>54</v>
      </c>
      <c r="K924" s="8" t="s">
        <v>54</v>
      </c>
      <c r="L924" s="8" t="s">
        <v>54</v>
      </c>
      <c r="M924" s="8" t="s">
        <v>54</v>
      </c>
      <c r="N924" s="10" t="s">
        <v>67</v>
      </c>
      <c r="O924" s="8" t="s">
        <v>54</v>
      </c>
      <c r="P924" s="8" t="s">
        <v>54</v>
      </c>
      <c r="Q924" s="8" t="s">
        <v>54</v>
      </c>
      <c r="R924" s="8" t="s">
        <v>54</v>
      </c>
      <c r="S924" s="8" t="s">
        <v>54</v>
      </c>
      <c r="T924" s="8" t="s">
        <v>54</v>
      </c>
      <c r="U924" s="10" t="s">
        <v>67</v>
      </c>
      <c r="V924" s="8" t="s">
        <v>54</v>
      </c>
      <c r="W924" s="8" t="s">
        <v>54</v>
      </c>
      <c r="X924" s="8" t="s">
        <v>54</v>
      </c>
      <c r="Y924" s="8" t="s">
        <v>54</v>
      </c>
      <c r="Z924" s="8" t="s">
        <v>54</v>
      </c>
      <c r="AA924" s="8" t="s">
        <v>54</v>
      </c>
      <c r="AB924" s="10" t="s">
        <v>67</v>
      </c>
      <c r="AC924" s="8" t="s">
        <v>54</v>
      </c>
      <c r="AD924" s="8" t="s">
        <v>54</v>
      </c>
      <c r="AE924" s="8" t="s">
        <v>54</v>
      </c>
      <c r="AF924" s="8" t="s">
        <v>54</v>
      </c>
      <c r="AG924" s="8" t="s">
        <v>54</v>
      </c>
      <c r="AH924" s="8" t="s">
        <v>54</v>
      </c>
      <c r="AI924" s="10" t="s">
        <v>67</v>
      </c>
      <c r="AJ924" s="8">
        <f>COUNTIF($E$924:$AI$924,"P")</f>
        <v>26</v>
      </c>
      <c r="AK924" s="8">
        <f>COUNTIF($E$924:$AI$924,"A")</f>
        <v>0</v>
      </c>
      <c r="AL924" s="8">
        <f>SUM($E$925:$AI$925)</f>
        <v>44</v>
      </c>
      <c r="AM924" s="8">
        <f>SUM($E$926:$AI$926)</f>
        <v>100.5</v>
      </c>
      <c r="AN924" s="8">
        <f>AL924+AM924</f>
        <v>144.5</v>
      </c>
      <c r="AO924" s="8">
        <f>COUNTIF($E$924:$AI$924,"CL")</f>
        <v>0</v>
      </c>
      <c r="AP924" s="8">
        <f>COUNTIF($E$924:$AI$924,"SL")</f>
        <v>0</v>
      </c>
      <c r="AQ924" s="8">
        <f>COUNTIF($E$924:$AI$924,"EL")</f>
        <v>0</v>
      </c>
      <c r="AR924" s="8">
        <f>COUNTIF($E$924:$AI$924,"H")</f>
        <v>0</v>
      </c>
      <c r="AS924" s="8"/>
      <c r="AT924" s="11" t="s">
        <v>247</v>
      </c>
    </row>
    <row r="925" spans="1:46" ht="15.1" customHeight="1">
      <c r="A925" s="8"/>
      <c r="B925" s="9"/>
      <c r="C925" s="8"/>
      <c r="D925" s="9"/>
      <c r="E925" s="8">
        <v>2</v>
      </c>
      <c r="F925" s="8">
        <v>2</v>
      </c>
      <c r="G925" s="8">
        <v>0</v>
      </c>
      <c r="H925" s="8">
        <v>2</v>
      </c>
      <c r="I925" s="8">
        <v>2</v>
      </c>
      <c r="J925" s="8">
        <v>2</v>
      </c>
      <c r="K925" s="8">
        <v>2</v>
      </c>
      <c r="L925" s="8">
        <v>2</v>
      </c>
      <c r="M925" s="8">
        <v>2</v>
      </c>
      <c r="N925" s="8">
        <v>0</v>
      </c>
      <c r="O925" s="8">
        <v>2</v>
      </c>
      <c r="P925" s="8">
        <v>2</v>
      </c>
      <c r="Q925" s="8">
        <v>2</v>
      </c>
      <c r="R925" s="8">
        <v>2</v>
      </c>
      <c r="S925" s="8">
        <v>2</v>
      </c>
      <c r="T925" s="8">
        <v>2</v>
      </c>
      <c r="U925" s="8">
        <v>0</v>
      </c>
      <c r="V925" s="8">
        <v>2</v>
      </c>
      <c r="W925" s="8">
        <v>2</v>
      </c>
      <c r="X925" s="8">
        <v>2</v>
      </c>
      <c r="Y925" s="8">
        <v>0</v>
      </c>
      <c r="Z925" s="8">
        <v>0</v>
      </c>
      <c r="AA925" s="8">
        <v>0</v>
      </c>
      <c r="AB925" s="8">
        <v>0</v>
      </c>
      <c r="AC925" s="8">
        <v>2</v>
      </c>
      <c r="AD925" s="8">
        <v>2</v>
      </c>
      <c r="AE925" s="8">
        <v>0</v>
      </c>
      <c r="AF925" s="8">
        <v>2</v>
      </c>
      <c r="AG925" s="8">
        <v>2</v>
      </c>
      <c r="AH925" s="8">
        <v>2</v>
      </c>
      <c r="AI925" s="8">
        <v>0</v>
      </c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11" t="s">
        <v>247</v>
      </c>
    </row>
    <row r="926" spans="1:46" ht="15.1" customHeight="1">
      <c r="A926" s="8"/>
      <c r="B926" s="9"/>
      <c r="C926" s="8"/>
      <c r="D926" s="9"/>
      <c r="E926" s="8">
        <v>4</v>
      </c>
      <c r="F926" s="8">
        <v>3</v>
      </c>
      <c r="G926" s="8">
        <v>14</v>
      </c>
      <c r="H926" s="8">
        <v>4</v>
      </c>
      <c r="I926" s="8">
        <v>6</v>
      </c>
      <c r="J926" s="8">
        <v>3</v>
      </c>
      <c r="K926" s="8">
        <v>3</v>
      </c>
      <c r="L926" s="8">
        <v>4.5</v>
      </c>
      <c r="M926" s="8">
        <v>3.5</v>
      </c>
      <c r="N926" s="8">
        <v>13</v>
      </c>
      <c r="O926" s="8">
        <v>5</v>
      </c>
      <c r="P926" s="8">
        <v>5</v>
      </c>
      <c r="Q926" s="8">
        <v>4.5</v>
      </c>
      <c r="R926" s="8">
        <v>5</v>
      </c>
      <c r="S926" s="8">
        <v>4</v>
      </c>
      <c r="T926" s="8">
        <v>2</v>
      </c>
      <c r="U926" s="8">
        <v>8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3</v>
      </c>
      <c r="AE926" s="8">
        <v>0</v>
      </c>
      <c r="AF926" s="8">
        <v>3</v>
      </c>
      <c r="AG926" s="8">
        <v>0</v>
      </c>
      <c r="AH926" s="8">
        <v>3</v>
      </c>
      <c r="AI926" s="8">
        <v>0</v>
      </c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11" t="s">
        <v>247</v>
      </c>
    </row>
    <row r="927" spans="1:46" ht="15.1" customHeight="1">
      <c r="A927" s="8">
        <v>308</v>
      </c>
      <c r="B927" s="9" t="s">
        <v>877</v>
      </c>
      <c r="C927" s="8" t="s">
        <v>878</v>
      </c>
      <c r="D927" s="9" t="s">
        <v>451</v>
      </c>
      <c r="E927" s="8" t="s">
        <v>54</v>
      </c>
      <c r="F927" s="8" t="s">
        <v>54</v>
      </c>
      <c r="G927" s="10" t="s">
        <v>67</v>
      </c>
      <c r="H927" s="8" t="s">
        <v>54</v>
      </c>
      <c r="I927" s="8" t="s">
        <v>54</v>
      </c>
      <c r="J927" s="8" t="s">
        <v>54</v>
      </c>
      <c r="K927" s="8" t="s">
        <v>54</v>
      </c>
      <c r="L927" s="8" t="s">
        <v>54</v>
      </c>
      <c r="M927" s="8" t="s">
        <v>54</v>
      </c>
      <c r="N927" s="10" t="s">
        <v>67</v>
      </c>
      <c r="O927" s="12" t="s">
        <v>55</v>
      </c>
      <c r="P927" s="12" t="s">
        <v>55</v>
      </c>
      <c r="Q927" s="12" t="s">
        <v>55</v>
      </c>
      <c r="R927" s="8" t="s">
        <v>54</v>
      </c>
      <c r="S927" s="8" t="s">
        <v>54</v>
      </c>
      <c r="T927" s="8" t="s">
        <v>54</v>
      </c>
      <c r="U927" s="10" t="s">
        <v>67</v>
      </c>
      <c r="V927" s="8" t="s">
        <v>54</v>
      </c>
      <c r="W927" s="8" t="s">
        <v>54</v>
      </c>
      <c r="X927" s="8" t="s">
        <v>54</v>
      </c>
      <c r="Y927" s="8" t="s">
        <v>54</v>
      </c>
      <c r="Z927" s="8" t="s">
        <v>54</v>
      </c>
      <c r="AA927" s="8" t="s">
        <v>54</v>
      </c>
      <c r="AB927" s="10" t="s">
        <v>67</v>
      </c>
      <c r="AC927" s="8" t="s">
        <v>54</v>
      </c>
      <c r="AD927" s="8" t="s">
        <v>54</v>
      </c>
      <c r="AE927" s="8" t="s">
        <v>54</v>
      </c>
      <c r="AF927" s="8" t="s">
        <v>54</v>
      </c>
      <c r="AG927" s="8" t="s">
        <v>54</v>
      </c>
      <c r="AH927" s="8" t="s">
        <v>54</v>
      </c>
      <c r="AI927" s="10" t="s">
        <v>67</v>
      </c>
      <c r="AJ927" s="8">
        <f>COUNTIF($E$927:$AI$927,"P")</f>
        <v>23</v>
      </c>
      <c r="AK927" s="8">
        <f>COUNTIF($E$927:$AI$927,"A")</f>
        <v>3</v>
      </c>
      <c r="AL927" s="8">
        <f>SUM($E$928:$AI$928)</f>
        <v>31</v>
      </c>
      <c r="AM927" s="8">
        <f>SUM($E$929:$AI$929)</f>
        <v>115.5</v>
      </c>
      <c r="AN927" s="8">
        <f>AL927+AM927</f>
        <v>146.5</v>
      </c>
      <c r="AO927" s="8">
        <f>COUNTIF($E$927:$AI$927,"CL")</f>
        <v>0</v>
      </c>
      <c r="AP927" s="8">
        <f>COUNTIF($E$927:$AI$927,"SL")</f>
        <v>0</v>
      </c>
      <c r="AQ927" s="8">
        <f>COUNTIF($E$927:$AI$927,"EL")</f>
        <v>0</v>
      </c>
      <c r="AR927" s="8">
        <f>COUNTIF($E$927:$AI$927,"H")</f>
        <v>0</v>
      </c>
      <c r="AS927" s="8"/>
      <c r="AT927" s="11" t="s">
        <v>247</v>
      </c>
    </row>
    <row r="928" spans="1:46" ht="15.1" customHeight="1">
      <c r="A928" s="8"/>
      <c r="B928" s="9"/>
      <c r="C928" s="8"/>
      <c r="D928" s="9"/>
      <c r="E928" s="8">
        <v>2</v>
      </c>
      <c r="F928" s="8">
        <v>2</v>
      </c>
      <c r="G928" s="8">
        <v>0</v>
      </c>
      <c r="H928" s="8">
        <v>2</v>
      </c>
      <c r="I928" s="8">
        <v>2</v>
      </c>
      <c r="J928" s="8">
        <v>2</v>
      </c>
      <c r="K928" s="8">
        <v>2</v>
      </c>
      <c r="L928" s="8">
        <v>2</v>
      </c>
      <c r="M928" s="8">
        <v>2</v>
      </c>
      <c r="N928" s="8">
        <v>0</v>
      </c>
      <c r="O928" s="8">
        <v>0</v>
      </c>
      <c r="P928" s="8">
        <v>0</v>
      </c>
      <c r="Q928" s="8">
        <v>0</v>
      </c>
      <c r="R928" s="8">
        <v>2</v>
      </c>
      <c r="S928" s="8">
        <v>2</v>
      </c>
      <c r="T928" s="8">
        <v>2</v>
      </c>
      <c r="U928" s="8">
        <v>0</v>
      </c>
      <c r="V928" s="8">
        <v>2</v>
      </c>
      <c r="W928" s="8">
        <v>2</v>
      </c>
      <c r="X928" s="8">
        <v>2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2</v>
      </c>
      <c r="AE928" s="8">
        <v>0</v>
      </c>
      <c r="AF928" s="8">
        <v>0</v>
      </c>
      <c r="AG928" s="8">
        <v>1</v>
      </c>
      <c r="AH928" s="8">
        <v>0</v>
      </c>
      <c r="AI928" s="8">
        <v>0</v>
      </c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11" t="s">
        <v>247</v>
      </c>
    </row>
    <row r="929" spans="1:46" ht="15.1" customHeight="1">
      <c r="A929" s="8"/>
      <c r="B929" s="9"/>
      <c r="C929" s="8"/>
      <c r="D929" s="9"/>
      <c r="E929" s="8">
        <v>5</v>
      </c>
      <c r="F929" s="8">
        <v>3</v>
      </c>
      <c r="G929" s="8">
        <v>13.5</v>
      </c>
      <c r="H929" s="8">
        <v>5</v>
      </c>
      <c r="I929" s="8">
        <v>7</v>
      </c>
      <c r="J929" s="8">
        <v>7</v>
      </c>
      <c r="K929" s="8">
        <v>6.5</v>
      </c>
      <c r="L929" s="8">
        <v>7</v>
      </c>
      <c r="M929" s="8">
        <v>3</v>
      </c>
      <c r="N929" s="8">
        <v>16.5</v>
      </c>
      <c r="O929" s="8">
        <v>0</v>
      </c>
      <c r="P929" s="8">
        <v>0</v>
      </c>
      <c r="Q929" s="8">
        <v>0</v>
      </c>
      <c r="R929" s="8">
        <v>7</v>
      </c>
      <c r="S929" s="8">
        <v>6.5</v>
      </c>
      <c r="T929" s="8">
        <v>2.5</v>
      </c>
      <c r="U929" s="8">
        <v>12.5</v>
      </c>
      <c r="V929" s="8">
        <v>7</v>
      </c>
      <c r="W929" s="8">
        <v>6.5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11" t="s">
        <v>247</v>
      </c>
    </row>
    <row r="930" spans="1:46" ht="15.1" customHeight="1">
      <c r="A930" s="8">
        <v>309</v>
      </c>
      <c r="B930" s="9" t="s">
        <v>879</v>
      </c>
      <c r="C930" s="8" t="s">
        <v>880</v>
      </c>
      <c r="D930" s="9" t="s">
        <v>451</v>
      </c>
      <c r="E930" s="8" t="s">
        <v>54</v>
      </c>
      <c r="F930" s="8" t="s">
        <v>54</v>
      </c>
      <c r="G930" s="10" t="s">
        <v>67</v>
      </c>
      <c r="H930" s="8" t="s">
        <v>54</v>
      </c>
      <c r="I930" s="8" t="s">
        <v>54</v>
      </c>
      <c r="J930" s="8" t="s">
        <v>54</v>
      </c>
      <c r="K930" s="8" t="s">
        <v>54</v>
      </c>
      <c r="L930" s="8" t="s">
        <v>54</v>
      </c>
      <c r="M930" s="8" t="s">
        <v>54</v>
      </c>
      <c r="N930" s="10" t="s">
        <v>67</v>
      </c>
      <c r="O930" s="8" t="s">
        <v>54</v>
      </c>
      <c r="P930" s="8" t="s">
        <v>54</v>
      </c>
      <c r="Q930" s="8" t="s">
        <v>54</v>
      </c>
      <c r="R930" s="8" t="s">
        <v>54</v>
      </c>
      <c r="S930" s="8" t="s">
        <v>54</v>
      </c>
      <c r="T930" s="8" t="s">
        <v>54</v>
      </c>
      <c r="U930" s="10" t="s">
        <v>67</v>
      </c>
      <c r="V930" s="8" t="s">
        <v>54</v>
      </c>
      <c r="W930" s="8" t="s">
        <v>54</v>
      </c>
      <c r="X930" s="8" t="s">
        <v>54</v>
      </c>
      <c r="Y930" s="8" t="s">
        <v>54</v>
      </c>
      <c r="Z930" s="8" t="s">
        <v>54</v>
      </c>
      <c r="AA930" s="8" t="s">
        <v>54</v>
      </c>
      <c r="AB930" s="10" t="s">
        <v>67</v>
      </c>
      <c r="AC930" s="8" t="s">
        <v>54</v>
      </c>
      <c r="AD930" s="8" t="s">
        <v>54</v>
      </c>
      <c r="AE930" s="8" t="s">
        <v>54</v>
      </c>
      <c r="AF930" s="8" t="s">
        <v>54</v>
      </c>
      <c r="AG930" s="8" t="s">
        <v>54</v>
      </c>
      <c r="AH930" s="8" t="s">
        <v>54</v>
      </c>
      <c r="AI930" s="10" t="s">
        <v>67</v>
      </c>
      <c r="AJ930" s="8">
        <f>COUNTIF($E$930:$AI$930,"P")</f>
        <v>26</v>
      </c>
      <c r="AK930" s="8">
        <f>COUNTIF($E$930:$AI$930,"A")</f>
        <v>0</v>
      </c>
      <c r="AL930" s="8">
        <f>SUM($E$931:$AI$931)</f>
        <v>37</v>
      </c>
      <c r="AM930" s="8">
        <f>SUM($E$932:$AI$932)</f>
        <v>137</v>
      </c>
      <c r="AN930" s="8">
        <f>AL930+AM930</f>
        <v>174</v>
      </c>
      <c r="AO930" s="8">
        <f>COUNTIF($E$930:$AI$930,"CL")</f>
        <v>0</v>
      </c>
      <c r="AP930" s="8">
        <f>COUNTIF($E$930:$AI$930,"SL")</f>
        <v>0</v>
      </c>
      <c r="AQ930" s="8">
        <f>COUNTIF($E$930:$AI$930,"EL")</f>
        <v>0</v>
      </c>
      <c r="AR930" s="8">
        <f>COUNTIF($E$930:$AI$930,"H")</f>
        <v>0</v>
      </c>
      <c r="AS930" s="8"/>
      <c r="AT930" s="11" t="s">
        <v>247</v>
      </c>
    </row>
    <row r="931" spans="1:46" ht="15.1" customHeight="1">
      <c r="A931" s="8"/>
      <c r="B931" s="9"/>
      <c r="C931" s="8"/>
      <c r="D931" s="9"/>
      <c r="E931" s="8">
        <v>2</v>
      </c>
      <c r="F931" s="8">
        <v>2</v>
      </c>
      <c r="G931" s="8">
        <v>0</v>
      </c>
      <c r="H931" s="8">
        <v>2</v>
      </c>
      <c r="I931" s="8">
        <v>2</v>
      </c>
      <c r="J931" s="8">
        <v>2</v>
      </c>
      <c r="K931" s="8">
        <v>2</v>
      </c>
      <c r="L931" s="8">
        <v>2</v>
      </c>
      <c r="M931" s="8">
        <v>2</v>
      </c>
      <c r="N931" s="8">
        <v>0</v>
      </c>
      <c r="O931" s="8">
        <v>2</v>
      </c>
      <c r="P931" s="8">
        <v>2</v>
      </c>
      <c r="Q931" s="8">
        <v>2</v>
      </c>
      <c r="R931" s="8">
        <v>2</v>
      </c>
      <c r="S931" s="8">
        <v>2</v>
      </c>
      <c r="T931" s="8">
        <v>2</v>
      </c>
      <c r="U931" s="8">
        <v>0</v>
      </c>
      <c r="V931" s="8">
        <v>2</v>
      </c>
      <c r="W931" s="8">
        <v>2</v>
      </c>
      <c r="X931" s="8">
        <v>2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2</v>
      </c>
      <c r="AE931" s="8">
        <v>0</v>
      </c>
      <c r="AF931" s="8">
        <v>0</v>
      </c>
      <c r="AG931" s="8">
        <v>1</v>
      </c>
      <c r="AH931" s="8">
        <v>0</v>
      </c>
      <c r="AI931" s="8">
        <v>0</v>
      </c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11" t="s">
        <v>247</v>
      </c>
    </row>
    <row r="932" spans="1:46" ht="15.1" customHeight="1">
      <c r="A932" s="8"/>
      <c r="B932" s="9"/>
      <c r="C932" s="8"/>
      <c r="D932" s="9"/>
      <c r="E932" s="8">
        <v>5</v>
      </c>
      <c r="F932" s="8">
        <v>3</v>
      </c>
      <c r="G932" s="8">
        <v>14</v>
      </c>
      <c r="H932" s="8">
        <v>5</v>
      </c>
      <c r="I932" s="8">
        <v>7</v>
      </c>
      <c r="J932" s="8">
        <v>7</v>
      </c>
      <c r="K932" s="8">
        <v>7</v>
      </c>
      <c r="L932" s="8">
        <v>7</v>
      </c>
      <c r="M932" s="8">
        <v>5</v>
      </c>
      <c r="N932" s="8">
        <v>17</v>
      </c>
      <c r="O932" s="8">
        <v>7</v>
      </c>
      <c r="P932" s="8">
        <v>7</v>
      </c>
      <c r="Q932" s="8">
        <v>5</v>
      </c>
      <c r="R932" s="8">
        <v>7</v>
      </c>
      <c r="S932" s="8">
        <v>7</v>
      </c>
      <c r="T932" s="8">
        <v>3</v>
      </c>
      <c r="U932" s="8">
        <v>8</v>
      </c>
      <c r="V932" s="8">
        <v>7</v>
      </c>
      <c r="W932" s="8">
        <v>7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2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11" t="s">
        <v>247</v>
      </c>
    </row>
    <row r="933" spans="1:46" ht="15.1" customHeight="1">
      <c r="A933" s="8">
        <v>310</v>
      </c>
      <c r="B933" s="9" t="s">
        <v>881</v>
      </c>
      <c r="C933" s="8" t="s">
        <v>882</v>
      </c>
      <c r="D933" s="9" t="s">
        <v>451</v>
      </c>
      <c r="E933" s="8" t="s">
        <v>54</v>
      </c>
      <c r="F933" s="12" t="s">
        <v>55</v>
      </c>
      <c r="G933" s="10" t="s">
        <v>67</v>
      </c>
      <c r="H933" s="8" t="s">
        <v>54</v>
      </c>
      <c r="I933" s="8" t="s">
        <v>54</v>
      </c>
      <c r="J933" s="8" t="s">
        <v>54</v>
      </c>
      <c r="K933" s="12" t="s">
        <v>55</v>
      </c>
      <c r="L933" s="8" t="s">
        <v>54</v>
      </c>
      <c r="M933" s="8" t="s">
        <v>54</v>
      </c>
      <c r="N933" s="10" t="s">
        <v>67</v>
      </c>
      <c r="O933" s="8" t="s">
        <v>54</v>
      </c>
      <c r="P933" s="8" t="s">
        <v>54</v>
      </c>
      <c r="Q933" s="8" t="s">
        <v>54</v>
      </c>
      <c r="R933" s="8" t="s">
        <v>54</v>
      </c>
      <c r="S933" s="8" t="s">
        <v>54</v>
      </c>
      <c r="T933" s="8" t="s">
        <v>54</v>
      </c>
      <c r="U933" s="10" t="s">
        <v>67</v>
      </c>
      <c r="V933" s="8" t="s">
        <v>54</v>
      </c>
      <c r="W933" s="8" t="s">
        <v>54</v>
      </c>
      <c r="X933" s="8" t="s">
        <v>54</v>
      </c>
      <c r="Y933" s="8" t="s">
        <v>54</v>
      </c>
      <c r="Z933" s="12" t="s">
        <v>55</v>
      </c>
      <c r="AA933" s="12" t="s">
        <v>55</v>
      </c>
      <c r="AB933" s="10" t="s">
        <v>67</v>
      </c>
      <c r="AC933" s="12" t="s">
        <v>55</v>
      </c>
      <c r="AD933" s="8" t="s">
        <v>54</v>
      </c>
      <c r="AE933" s="8" t="s">
        <v>54</v>
      </c>
      <c r="AF933" s="8" t="s">
        <v>54</v>
      </c>
      <c r="AG933" s="8" t="s">
        <v>54</v>
      </c>
      <c r="AH933" s="8" t="s">
        <v>54</v>
      </c>
      <c r="AI933" s="10" t="s">
        <v>67</v>
      </c>
      <c r="AJ933" s="8">
        <f>COUNTIF($E$933:$AI$933,"P")</f>
        <v>21</v>
      </c>
      <c r="AK933" s="8">
        <f>COUNTIF($E$933:$AI$933,"A")</f>
        <v>5</v>
      </c>
      <c r="AL933" s="8">
        <f>SUM($E$934:$AI$934)</f>
        <v>33</v>
      </c>
      <c r="AM933" s="8">
        <f>SUM($E$935:$AI$935)</f>
        <v>127.5</v>
      </c>
      <c r="AN933" s="8">
        <f>AL933+AM933</f>
        <v>160</v>
      </c>
      <c r="AO933" s="8">
        <f>COUNTIF($E$933:$AI$933,"CL")</f>
        <v>0</v>
      </c>
      <c r="AP933" s="8">
        <f>COUNTIF($E$933:$AI$933,"SL")</f>
        <v>0</v>
      </c>
      <c r="AQ933" s="8">
        <f>COUNTIF($E$933:$AI$933,"EL")</f>
        <v>0</v>
      </c>
      <c r="AR933" s="8">
        <f>COUNTIF($E$933:$AI$933,"H")</f>
        <v>0</v>
      </c>
      <c r="AS933" s="8"/>
      <c r="AT933" s="11" t="s">
        <v>247</v>
      </c>
    </row>
    <row r="934" spans="1:46" ht="15.1" customHeight="1">
      <c r="A934" s="8"/>
      <c r="B934" s="9"/>
      <c r="C934" s="8"/>
      <c r="D934" s="9"/>
      <c r="E934" s="8">
        <v>2</v>
      </c>
      <c r="F934" s="8">
        <v>0</v>
      </c>
      <c r="G934" s="8">
        <v>0</v>
      </c>
      <c r="H934" s="8">
        <v>2</v>
      </c>
      <c r="I934" s="8">
        <v>2</v>
      </c>
      <c r="J934" s="8">
        <v>2</v>
      </c>
      <c r="K934" s="8">
        <v>0</v>
      </c>
      <c r="L934" s="8">
        <v>2</v>
      </c>
      <c r="M934" s="8">
        <v>2</v>
      </c>
      <c r="N934" s="8">
        <v>0</v>
      </c>
      <c r="O934" s="8">
        <v>2</v>
      </c>
      <c r="P934" s="8">
        <v>2</v>
      </c>
      <c r="Q934" s="8">
        <v>2</v>
      </c>
      <c r="R934" s="8">
        <v>2</v>
      </c>
      <c r="S934" s="8">
        <v>2</v>
      </c>
      <c r="T934" s="8">
        <v>2</v>
      </c>
      <c r="U934" s="8">
        <v>0</v>
      </c>
      <c r="V934" s="8">
        <v>2</v>
      </c>
      <c r="W934" s="8">
        <v>2</v>
      </c>
      <c r="X934" s="8">
        <v>2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2</v>
      </c>
      <c r="AE934" s="8">
        <v>0</v>
      </c>
      <c r="AF934" s="8">
        <v>0</v>
      </c>
      <c r="AG934" s="8">
        <v>1</v>
      </c>
      <c r="AH934" s="8">
        <v>0</v>
      </c>
      <c r="AI934" s="8">
        <v>0</v>
      </c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11" t="s">
        <v>247</v>
      </c>
    </row>
    <row r="935" spans="1:46" ht="15.1" customHeight="1">
      <c r="A935" s="8"/>
      <c r="B935" s="9"/>
      <c r="C935" s="8"/>
      <c r="D935" s="9"/>
      <c r="E935" s="8">
        <v>5</v>
      </c>
      <c r="F935" s="8">
        <v>0</v>
      </c>
      <c r="G935" s="8">
        <v>14</v>
      </c>
      <c r="H935" s="8">
        <v>5</v>
      </c>
      <c r="I935" s="8">
        <v>6.5</v>
      </c>
      <c r="J935" s="8">
        <v>6.5</v>
      </c>
      <c r="K935" s="8">
        <v>0</v>
      </c>
      <c r="L935" s="8">
        <v>7</v>
      </c>
      <c r="M935" s="8">
        <v>5</v>
      </c>
      <c r="N935" s="8">
        <v>16.5</v>
      </c>
      <c r="O935" s="8">
        <v>6.5</v>
      </c>
      <c r="P935" s="8">
        <v>6.5</v>
      </c>
      <c r="Q935" s="8">
        <v>4.5</v>
      </c>
      <c r="R935" s="8">
        <v>6.5</v>
      </c>
      <c r="S935" s="8">
        <v>7</v>
      </c>
      <c r="T935" s="8">
        <v>3</v>
      </c>
      <c r="U935" s="8">
        <v>12.5</v>
      </c>
      <c r="V935" s="8">
        <v>6.5</v>
      </c>
      <c r="W935" s="8">
        <v>6.5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2.5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11" t="s">
        <v>247</v>
      </c>
    </row>
    <row r="936" spans="1:46" ht="15.1" customHeight="1">
      <c r="A936" s="8">
        <v>311</v>
      </c>
      <c r="B936" s="9" t="s">
        <v>452</v>
      </c>
      <c r="C936" s="8" t="s">
        <v>883</v>
      </c>
      <c r="D936" s="9" t="s">
        <v>451</v>
      </c>
      <c r="E936" s="8"/>
      <c r="F936" s="8"/>
      <c r="G936" s="10"/>
      <c r="H936" s="8"/>
      <c r="I936" s="8"/>
      <c r="J936" s="8"/>
      <c r="K936" s="8"/>
      <c r="L936" s="8"/>
      <c r="M936" s="8"/>
      <c r="N936" s="10"/>
      <c r="O936" s="8"/>
      <c r="P936" s="8" t="s">
        <v>54</v>
      </c>
      <c r="Q936" s="8" t="s">
        <v>54</v>
      </c>
      <c r="R936" s="8" t="s">
        <v>54</v>
      </c>
      <c r="S936" s="8" t="s">
        <v>54</v>
      </c>
      <c r="T936" s="8" t="s">
        <v>54</v>
      </c>
      <c r="U936" s="10" t="s">
        <v>67</v>
      </c>
      <c r="V936" s="8" t="s">
        <v>54</v>
      </c>
      <c r="W936" s="8" t="s">
        <v>54</v>
      </c>
      <c r="X936" s="8" t="s">
        <v>54</v>
      </c>
      <c r="Y936" s="8" t="s">
        <v>54</v>
      </c>
      <c r="Z936" s="8" t="s">
        <v>54</v>
      </c>
      <c r="AA936" s="8" t="s">
        <v>54</v>
      </c>
      <c r="AB936" s="10" t="s">
        <v>67</v>
      </c>
      <c r="AC936" s="8" t="s">
        <v>54</v>
      </c>
      <c r="AD936" s="8" t="s">
        <v>54</v>
      </c>
      <c r="AE936" s="8" t="s">
        <v>54</v>
      </c>
      <c r="AF936" s="8" t="s">
        <v>54</v>
      </c>
      <c r="AG936" s="8" t="s">
        <v>54</v>
      </c>
      <c r="AH936" s="8" t="s">
        <v>54</v>
      </c>
      <c r="AI936" s="10" t="s">
        <v>67</v>
      </c>
      <c r="AJ936" s="8">
        <f>COUNTIF($E$936:$AI$936,"P")</f>
        <v>17</v>
      </c>
      <c r="AK936" s="8">
        <f>COUNTIF($E$936:$AI$936,"A")</f>
        <v>0</v>
      </c>
      <c r="AL936" s="8">
        <f>SUM($E$937:$AI$937)</f>
        <v>19</v>
      </c>
      <c r="AM936" s="8">
        <f>SUM($E$938:$AI$938)</f>
        <v>45</v>
      </c>
      <c r="AN936" s="8">
        <f>AL936+AM936</f>
        <v>64</v>
      </c>
      <c r="AO936" s="8">
        <f>COUNTIF($E$936:$AI$936,"CL")</f>
        <v>0</v>
      </c>
      <c r="AP936" s="8">
        <f>COUNTIF($E$936:$AI$936,"SL")</f>
        <v>0</v>
      </c>
      <c r="AQ936" s="8">
        <f>COUNTIF($E$936:$AI$936,"EL")</f>
        <v>0</v>
      </c>
      <c r="AR936" s="8">
        <f>COUNTIF($E$936:$AI$936,"H")</f>
        <v>0</v>
      </c>
      <c r="AS936" s="8"/>
      <c r="AT936" s="11" t="s">
        <v>247</v>
      </c>
    </row>
    <row r="937" spans="1:46" ht="15.1" customHeight="1">
      <c r="A937" s="8"/>
      <c r="B937" s="9"/>
      <c r="C937" s="8"/>
      <c r="D937" s="9"/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2</v>
      </c>
      <c r="Q937" s="8">
        <v>2</v>
      </c>
      <c r="R937" s="8">
        <v>2</v>
      </c>
      <c r="S937" s="8">
        <v>2</v>
      </c>
      <c r="T937" s="8">
        <v>2</v>
      </c>
      <c r="U937" s="8">
        <v>0</v>
      </c>
      <c r="V937" s="8">
        <v>2</v>
      </c>
      <c r="W937" s="8">
        <v>2</v>
      </c>
      <c r="X937" s="8">
        <v>2</v>
      </c>
      <c r="Y937" s="8">
        <v>0</v>
      </c>
      <c r="Z937" s="8">
        <v>0</v>
      </c>
      <c r="AA937" s="8">
        <v>0</v>
      </c>
      <c r="AB937" s="8">
        <v>0</v>
      </c>
      <c r="AC937" s="8">
        <v>2</v>
      </c>
      <c r="AD937" s="8">
        <v>0</v>
      </c>
      <c r="AE937" s="8">
        <v>0</v>
      </c>
      <c r="AF937" s="8">
        <v>0</v>
      </c>
      <c r="AG937" s="8">
        <v>1</v>
      </c>
      <c r="AH937" s="8">
        <v>0</v>
      </c>
      <c r="AI937" s="8">
        <v>0</v>
      </c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11" t="s">
        <v>247</v>
      </c>
    </row>
    <row r="938" spans="1:46" ht="15.1" customHeight="1">
      <c r="A938" s="8"/>
      <c r="B938" s="9"/>
      <c r="C938" s="8"/>
      <c r="D938" s="9"/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7</v>
      </c>
      <c r="Q938" s="8">
        <v>7</v>
      </c>
      <c r="R938" s="8">
        <v>7</v>
      </c>
      <c r="S938" s="8">
        <v>7</v>
      </c>
      <c r="T938" s="8">
        <v>3</v>
      </c>
      <c r="U938" s="8">
        <v>0</v>
      </c>
      <c r="V938" s="8">
        <v>7</v>
      </c>
      <c r="W938" s="8">
        <v>7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11" t="s">
        <v>247</v>
      </c>
    </row>
    <row r="939" spans="1:46" ht="15.1" customHeight="1">
      <c r="A939" s="8">
        <v>312</v>
      </c>
      <c r="B939" s="9" t="s">
        <v>884</v>
      </c>
      <c r="C939" s="8" t="s">
        <v>885</v>
      </c>
      <c r="D939" s="9" t="s">
        <v>451</v>
      </c>
      <c r="E939" s="8"/>
      <c r="F939" s="8"/>
      <c r="G939" s="10"/>
      <c r="H939" s="8"/>
      <c r="I939" s="8"/>
      <c r="J939" s="8"/>
      <c r="K939" s="8"/>
      <c r="L939" s="8"/>
      <c r="M939" s="8"/>
      <c r="N939" s="10"/>
      <c r="O939" s="8"/>
      <c r="P939" s="8"/>
      <c r="Q939" s="8"/>
      <c r="R939" s="8"/>
      <c r="S939" s="8"/>
      <c r="T939" s="8" t="s">
        <v>54</v>
      </c>
      <c r="U939" s="10" t="s">
        <v>67</v>
      </c>
      <c r="V939" s="8" t="s">
        <v>54</v>
      </c>
      <c r="W939" s="8" t="s">
        <v>54</v>
      </c>
      <c r="X939" s="8" t="s">
        <v>54</v>
      </c>
      <c r="Y939" s="8" t="s">
        <v>54</v>
      </c>
      <c r="Z939" s="8" t="s">
        <v>54</v>
      </c>
      <c r="AA939" s="8" t="s">
        <v>54</v>
      </c>
      <c r="AB939" s="10" t="s">
        <v>67</v>
      </c>
      <c r="AC939" s="8" t="s">
        <v>54</v>
      </c>
      <c r="AD939" s="8" t="s">
        <v>54</v>
      </c>
      <c r="AE939" s="8" t="s">
        <v>54</v>
      </c>
      <c r="AF939" s="8" t="s">
        <v>54</v>
      </c>
      <c r="AG939" s="8" t="s">
        <v>54</v>
      </c>
      <c r="AH939" s="8" t="s">
        <v>54</v>
      </c>
      <c r="AI939" s="10" t="s">
        <v>67</v>
      </c>
      <c r="AJ939" s="8">
        <f>COUNTIF($E$939:$AI$939,"P")</f>
        <v>13</v>
      </c>
      <c r="AK939" s="8">
        <f>COUNTIF($E$939:$AI$939,"A")</f>
        <v>0</v>
      </c>
      <c r="AL939" s="8">
        <f>SUM($E$940:$AI$940)</f>
        <v>11</v>
      </c>
      <c r="AM939" s="8">
        <f>SUM($E$941:$AI$941)</f>
        <v>7</v>
      </c>
      <c r="AN939" s="8">
        <f>AL939+AM939</f>
        <v>18</v>
      </c>
      <c r="AO939" s="8">
        <f>COUNTIF($E$939:$AI$939,"CL")</f>
        <v>0</v>
      </c>
      <c r="AP939" s="8">
        <f>COUNTIF($E$939:$AI$939,"SL")</f>
        <v>0</v>
      </c>
      <c r="AQ939" s="8">
        <f>COUNTIF($E$939:$AI$939,"EL")</f>
        <v>0</v>
      </c>
      <c r="AR939" s="8">
        <f>COUNTIF($E$939:$AI$939,"H")</f>
        <v>0</v>
      </c>
      <c r="AS939" s="8"/>
      <c r="AT939" s="11" t="s">
        <v>247</v>
      </c>
    </row>
    <row r="940" spans="1:46" ht="15.1" customHeight="1">
      <c r="A940" s="8"/>
      <c r="B940" s="9"/>
      <c r="C940" s="8"/>
      <c r="D940" s="9"/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2</v>
      </c>
      <c r="W940" s="8">
        <v>2</v>
      </c>
      <c r="X940" s="8">
        <v>2</v>
      </c>
      <c r="Y940" s="8">
        <v>0</v>
      </c>
      <c r="Z940" s="8">
        <v>0</v>
      </c>
      <c r="AA940" s="8">
        <v>0</v>
      </c>
      <c r="AB940" s="8">
        <v>0</v>
      </c>
      <c r="AC940" s="8">
        <v>2</v>
      </c>
      <c r="AD940" s="8">
        <v>2</v>
      </c>
      <c r="AE940" s="8">
        <v>0</v>
      </c>
      <c r="AF940" s="8">
        <v>0</v>
      </c>
      <c r="AG940" s="8">
        <v>1</v>
      </c>
      <c r="AH940" s="8">
        <v>0</v>
      </c>
      <c r="AI940" s="8">
        <v>0</v>
      </c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11" t="s">
        <v>247</v>
      </c>
    </row>
    <row r="941" spans="1:46" ht="15.1" customHeight="1">
      <c r="A941" s="8"/>
      <c r="B941" s="9"/>
      <c r="C941" s="8"/>
      <c r="D941" s="9"/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7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11" t="s">
        <v>247</v>
      </c>
    </row>
    <row r="942" spans="1:46" ht="15.1" customHeight="1">
      <c r="A942" s="8">
        <v>313</v>
      </c>
      <c r="B942" s="9" t="s">
        <v>886</v>
      </c>
      <c r="C942" s="8" t="s">
        <v>887</v>
      </c>
      <c r="D942" s="9" t="s">
        <v>888</v>
      </c>
      <c r="E942" s="8" t="s">
        <v>54</v>
      </c>
      <c r="F942" s="8" t="s">
        <v>54</v>
      </c>
      <c r="G942" s="10" t="s">
        <v>67</v>
      </c>
      <c r="H942" s="8" t="s">
        <v>54</v>
      </c>
      <c r="I942" s="8" t="s">
        <v>54</v>
      </c>
      <c r="J942" s="8" t="s">
        <v>54</v>
      </c>
      <c r="K942" s="8" t="s">
        <v>54</v>
      </c>
      <c r="L942" s="8" t="s">
        <v>54</v>
      </c>
      <c r="M942" s="8" t="s">
        <v>54</v>
      </c>
      <c r="N942" s="10" t="s">
        <v>67</v>
      </c>
      <c r="O942" s="8" t="s">
        <v>54</v>
      </c>
      <c r="P942" s="8" t="s">
        <v>54</v>
      </c>
      <c r="Q942" s="8" t="s">
        <v>54</v>
      </c>
      <c r="R942" s="8" t="s">
        <v>54</v>
      </c>
      <c r="S942" s="8" t="s">
        <v>54</v>
      </c>
      <c r="T942" s="8" t="s">
        <v>54</v>
      </c>
      <c r="U942" s="10" t="s">
        <v>67</v>
      </c>
      <c r="V942" s="8" t="s">
        <v>54</v>
      </c>
      <c r="W942" s="8" t="s">
        <v>54</v>
      </c>
      <c r="X942" s="8" t="s">
        <v>54</v>
      </c>
      <c r="Y942" s="8" t="s">
        <v>54</v>
      </c>
      <c r="Z942" s="8" t="s">
        <v>54</v>
      </c>
      <c r="AA942" s="8" t="s">
        <v>54</v>
      </c>
      <c r="AB942" s="10" t="s">
        <v>67</v>
      </c>
      <c r="AC942" s="8" t="s">
        <v>54</v>
      </c>
      <c r="AD942" s="8" t="s">
        <v>54</v>
      </c>
      <c r="AE942" s="8" t="s">
        <v>54</v>
      </c>
      <c r="AF942" s="8" t="s">
        <v>54</v>
      </c>
      <c r="AG942" s="8" t="s">
        <v>54</v>
      </c>
      <c r="AH942" s="8" t="s">
        <v>54</v>
      </c>
      <c r="AI942" s="10" t="s">
        <v>67</v>
      </c>
      <c r="AJ942" s="8">
        <f>COUNTIF($E$942:$AI$942,"P")</f>
        <v>26</v>
      </c>
      <c r="AK942" s="8">
        <f>COUNTIF($E$942:$AI$942,"A")</f>
        <v>0</v>
      </c>
      <c r="AL942" s="8">
        <f>SUM($E$943:$AI$943)</f>
        <v>32</v>
      </c>
      <c r="AM942" s="8">
        <f>SUM($E$944:$AI$944)</f>
        <v>133.5</v>
      </c>
      <c r="AN942" s="8">
        <f>AL942+AM942</f>
        <v>165.5</v>
      </c>
      <c r="AO942" s="8">
        <f>COUNTIF($E$942:$AI$942,"CL")</f>
        <v>0</v>
      </c>
      <c r="AP942" s="8">
        <f>COUNTIF($E$942:$AI$942,"SL")</f>
        <v>0</v>
      </c>
      <c r="AQ942" s="8">
        <f>COUNTIF($E$942:$AI$942,"EL")</f>
        <v>0</v>
      </c>
      <c r="AR942" s="8">
        <f>COUNTIF($E$942:$AI$942,"H")</f>
        <v>0</v>
      </c>
      <c r="AS942" s="8"/>
      <c r="AT942" s="11" t="s">
        <v>248</v>
      </c>
    </row>
    <row r="943" spans="1:46" ht="15.1" customHeight="1">
      <c r="A943" s="8"/>
      <c r="B943" s="9"/>
      <c r="C943" s="8"/>
      <c r="D943" s="9"/>
      <c r="E943" s="8">
        <v>2</v>
      </c>
      <c r="F943" s="8">
        <v>2</v>
      </c>
      <c r="G943" s="8">
        <v>0</v>
      </c>
      <c r="H943" s="8">
        <v>2</v>
      </c>
      <c r="I943" s="8">
        <v>2</v>
      </c>
      <c r="J943" s="8">
        <v>2</v>
      </c>
      <c r="K943" s="8">
        <v>2</v>
      </c>
      <c r="L943" s="8">
        <v>2</v>
      </c>
      <c r="M943" s="8">
        <v>2</v>
      </c>
      <c r="N943" s="8">
        <v>0</v>
      </c>
      <c r="O943" s="8">
        <v>2</v>
      </c>
      <c r="P943" s="8">
        <v>2</v>
      </c>
      <c r="Q943" s="8">
        <v>2</v>
      </c>
      <c r="R943" s="8">
        <v>2</v>
      </c>
      <c r="S943" s="8">
        <v>2</v>
      </c>
      <c r="T943" s="8">
        <v>2</v>
      </c>
      <c r="U943" s="8">
        <v>0</v>
      </c>
      <c r="V943" s="8">
        <v>2</v>
      </c>
      <c r="W943" s="8">
        <v>2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11" t="s">
        <v>248</v>
      </c>
    </row>
    <row r="944" spans="1:46" ht="15.1" customHeight="1">
      <c r="A944" s="8"/>
      <c r="B944" s="9"/>
      <c r="C944" s="8"/>
      <c r="D944" s="9"/>
      <c r="E944" s="8">
        <v>5</v>
      </c>
      <c r="F944" s="8">
        <v>3</v>
      </c>
      <c r="G944" s="8">
        <v>14</v>
      </c>
      <c r="H944" s="8">
        <v>5</v>
      </c>
      <c r="I944" s="8">
        <v>4.5</v>
      </c>
      <c r="J944" s="8">
        <v>7</v>
      </c>
      <c r="K944" s="8">
        <v>7</v>
      </c>
      <c r="L944" s="8">
        <v>7</v>
      </c>
      <c r="M944" s="8">
        <v>5</v>
      </c>
      <c r="N944" s="8">
        <v>17</v>
      </c>
      <c r="O944" s="8">
        <v>7</v>
      </c>
      <c r="P944" s="8">
        <v>7</v>
      </c>
      <c r="Q944" s="8">
        <v>5</v>
      </c>
      <c r="R944" s="8">
        <v>7</v>
      </c>
      <c r="S944" s="8">
        <v>7</v>
      </c>
      <c r="T944" s="8">
        <v>3</v>
      </c>
      <c r="U944" s="8">
        <v>13</v>
      </c>
      <c r="V944" s="8">
        <v>7</v>
      </c>
      <c r="W944" s="8">
        <v>3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11" t="s">
        <v>248</v>
      </c>
    </row>
    <row r="945" spans="1:46" ht="15.1" customHeight="1">
      <c r="A945" s="8">
        <v>314</v>
      </c>
      <c r="B945" s="9" t="s">
        <v>889</v>
      </c>
      <c r="C945" s="8" t="s">
        <v>890</v>
      </c>
      <c r="D945" s="9" t="s">
        <v>888</v>
      </c>
      <c r="E945" s="8" t="s">
        <v>54</v>
      </c>
      <c r="F945" s="8" t="s">
        <v>54</v>
      </c>
      <c r="G945" s="10" t="s">
        <v>67</v>
      </c>
      <c r="H945" s="8" t="s">
        <v>54</v>
      </c>
      <c r="I945" s="8" t="s">
        <v>54</v>
      </c>
      <c r="J945" s="8" t="s">
        <v>54</v>
      </c>
      <c r="K945" s="8" t="s">
        <v>54</v>
      </c>
      <c r="L945" s="8" t="s">
        <v>54</v>
      </c>
      <c r="M945" s="8" t="s">
        <v>54</v>
      </c>
      <c r="N945" s="10" t="s">
        <v>67</v>
      </c>
      <c r="O945" s="8" t="s">
        <v>54</v>
      </c>
      <c r="P945" s="8" t="s">
        <v>54</v>
      </c>
      <c r="Q945" s="8" t="s">
        <v>54</v>
      </c>
      <c r="R945" s="8" t="s">
        <v>54</v>
      </c>
      <c r="S945" s="8" t="s">
        <v>54</v>
      </c>
      <c r="T945" s="8" t="s">
        <v>54</v>
      </c>
      <c r="U945" s="10" t="s">
        <v>67</v>
      </c>
      <c r="V945" s="8" t="s">
        <v>54</v>
      </c>
      <c r="W945" s="8" t="s">
        <v>54</v>
      </c>
      <c r="X945" s="8" t="s">
        <v>54</v>
      </c>
      <c r="Y945" s="8" t="s">
        <v>54</v>
      </c>
      <c r="Z945" s="8" t="s">
        <v>54</v>
      </c>
      <c r="AA945" s="12" t="s">
        <v>55</v>
      </c>
      <c r="AB945" s="10" t="s">
        <v>67</v>
      </c>
      <c r="AC945" s="8" t="s">
        <v>54</v>
      </c>
      <c r="AD945" s="8" t="s">
        <v>54</v>
      </c>
      <c r="AE945" s="8" t="s">
        <v>54</v>
      </c>
      <c r="AF945" s="8" t="s">
        <v>54</v>
      </c>
      <c r="AG945" s="8" t="s">
        <v>54</v>
      </c>
      <c r="AH945" s="8" t="s">
        <v>54</v>
      </c>
      <c r="AI945" s="10" t="s">
        <v>67</v>
      </c>
      <c r="AJ945" s="8">
        <f>COUNTIF($E$945:$AI$945,"P")</f>
        <v>25</v>
      </c>
      <c r="AK945" s="8">
        <f>COUNTIF($E$945:$AI$945,"A")</f>
        <v>1</v>
      </c>
      <c r="AL945" s="8">
        <f>SUM($E$946:$AI$946)</f>
        <v>32</v>
      </c>
      <c r="AM945" s="8">
        <f>SUM($E$947:$AI$947)</f>
        <v>130</v>
      </c>
      <c r="AN945" s="8">
        <f>AL945+AM945</f>
        <v>162</v>
      </c>
      <c r="AO945" s="8">
        <f>COUNTIF($E$945:$AI$945,"CL")</f>
        <v>0</v>
      </c>
      <c r="AP945" s="8">
        <f>COUNTIF($E$945:$AI$945,"SL")</f>
        <v>0</v>
      </c>
      <c r="AQ945" s="8">
        <f>COUNTIF($E$945:$AI$945,"EL")</f>
        <v>0</v>
      </c>
      <c r="AR945" s="8">
        <f>COUNTIF($E$945:$AI$945,"H")</f>
        <v>0</v>
      </c>
      <c r="AS945" s="8"/>
      <c r="AT945" s="11" t="s">
        <v>248</v>
      </c>
    </row>
    <row r="946" spans="1:46" ht="15.1" customHeight="1">
      <c r="A946" s="8"/>
      <c r="B946" s="9"/>
      <c r="C946" s="8"/>
      <c r="D946" s="9"/>
      <c r="E946" s="8">
        <v>2</v>
      </c>
      <c r="F946" s="8">
        <v>2</v>
      </c>
      <c r="G946" s="8">
        <v>0</v>
      </c>
      <c r="H946" s="8">
        <v>2</v>
      </c>
      <c r="I946" s="8">
        <v>2</v>
      </c>
      <c r="J946" s="8">
        <v>2</v>
      </c>
      <c r="K946" s="8">
        <v>2</v>
      </c>
      <c r="L946" s="8">
        <v>2</v>
      </c>
      <c r="M946" s="8">
        <v>2</v>
      </c>
      <c r="N946" s="8">
        <v>0</v>
      </c>
      <c r="O946" s="8">
        <v>2</v>
      </c>
      <c r="P946" s="8">
        <v>2</v>
      </c>
      <c r="Q946" s="8">
        <v>2</v>
      </c>
      <c r="R946" s="8">
        <v>2</v>
      </c>
      <c r="S946" s="8">
        <v>2</v>
      </c>
      <c r="T946" s="8">
        <v>2</v>
      </c>
      <c r="U946" s="8">
        <v>0</v>
      </c>
      <c r="V946" s="8">
        <v>2</v>
      </c>
      <c r="W946" s="8">
        <v>2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11" t="s">
        <v>248</v>
      </c>
    </row>
    <row r="947" spans="1:46" ht="15.1" customHeight="1">
      <c r="A947" s="8"/>
      <c r="B947" s="9"/>
      <c r="C947" s="8"/>
      <c r="D947" s="9"/>
      <c r="E947" s="8">
        <v>5</v>
      </c>
      <c r="F947" s="8">
        <v>3</v>
      </c>
      <c r="G947" s="8">
        <v>13.5</v>
      </c>
      <c r="H947" s="8">
        <v>5</v>
      </c>
      <c r="I947" s="8">
        <v>4.5</v>
      </c>
      <c r="J947" s="8">
        <v>7</v>
      </c>
      <c r="K947" s="8">
        <v>7</v>
      </c>
      <c r="L947" s="8">
        <v>7</v>
      </c>
      <c r="M947" s="8">
        <v>5</v>
      </c>
      <c r="N947" s="8">
        <v>16.5</v>
      </c>
      <c r="O947" s="8">
        <v>7</v>
      </c>
      <c r="P947" s="8">
        <v>6.5</v>
      </c>
      <c r="Q947" s="8">
        <v>4.5</v>
      </c>
      <c r="R947" s="8">
        <v>6.5</v>
      </c>
      <c r="S947" s="8">
        <v>7</v>
      </c>
      <c r="T947" s="8">
        <v>2.5</v>
      </c>
      <c r="U947" s="8">
        <v>12.5</v>
      </c>
      <c r="V947" s="8">
        <v>7</v>
      </c>
      <c r="W947" s="8">
        <v>3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11" t="s">
        <v>248</v>
      </c>
    </row>
    <row r="948" spans="1:46" ht="15.1" customHeight="1">
      <c r="A948" s="8">
        <v>315</v>
      </c>
      <c r="B948" s="9" t="s">
        <v>891</v>
      </c>
      <c r="C948" s="8" t="s">
        <v>892</v>
      </c>
      <c r="D948" s="9" t="s">
        <v>451</v>
      </c>
      <c r="E948" s="8" t="s">
        <v>54</v>
      </c>
      <c r="F948" s="8" t="s">
        <v>54</v>
      </c>
      <c r="G948" s="10" t="s">
        <v>67</v>
      </c>
      <c r="H948" s="8" t="s">
        <v>54</v>
      </c>
      <c r="I948" s="8" t="s">
        <v>54</v>
      </c>
      <c r="J948" s="8" t="s">
        <v>54</v>
      </c>
      <c r="K948" s="8" t="s">
        <v>54</v>
      </c>
      <c r="L948" s="8" t="s">
        <v>54</v>
      </c>
      <c r="M948" s="8" t="s">
        <v>54</v>
      </c>
      <c r="N948" s="10" t="s">
        <v>67</v>
      </c>
      <c r="O948" s="8" t="s">
        <v>54</v>
      </c>
      <c r="P948" s="8" t="s">
        <v>54</v>
      </c>
      <c r="Q948" s="8" t="s">
        <v>54</v>
      </c>
      <c r="R948" s="8" t="s">
        <v>54</v>
      </c>
      <c r="S948" s="8" t="s">
        <v>54</v>
      </c>
      <c r="T948" s="8" t="s">
        <v>54</v>
      </c>
      <c r="U948" s="10" t="s">
        <v>67</v>
      </c>
      <c r="V948" s="8" t="s">
        <v>54</v>
      </c>
      <c r="W948" s="8" t="s">
        <v>54</v>
      </c>
      <c r="X948" s="8" t="s">
        <v>54</v>
      </c>
      <c r="Y948" s="8" t="s">
        <v>54</v>
      </c>
      <c r="Z948" s="8" t="s">
        <v>54</v>
      </c>
      <c r="AA948" s="8" t="s">
        <v>54</v>
      </c>
      <c r="AB948" s="10" t="s">
        <v>67</v>
      </c>
      <c r="AC948" s="8" t="s">
        <v>54</v>
      </c>
      <c r="AD948" s="8" t="s">
        <v>54</v>
      </c>
      <c r="AE948" s="8" t="s">
        <v>54</v>
      </c>
      <c r="AF948" s="8" t="s">
        <v>54</v>
      </c>
      <c r="AG948" s="8" t="s">
        <v>54</v>
      </c>
      <c r="AH948" s="8" t="s">
        <v>54</v>
      </c>
      <c r="AI948" s="10" t="s">
        <v>67</v>
      </c>
      <c r="AJ948" s="8">
        <f>COUNTIF($E$948:$AI$948,"P")</f>
        <v>26</v>
      </c>
      <c r="AK948" s="8">
        <f>COUNTIF($E$948:$AI$948,"A")</f>
        <v>0</v>
      </c>
      <c r="AL948" s="8">
        <f>SUM($E$949:$AI$949)</f>
        <v>32</v>
      </c>
      <c r="AM948" s="8">
        <f>SUM($E$950:$AI$950)</f>
        <v>130.5</v>
      </c>
      <c r="AN948" s="8">
        <f>AL948+AM948</f>
        <v>162.5</v>
      </c>
      <c r="AO948" s="8">
        <f>COUNTIF($E$948:$AI$948,"CL")</f>
        <v>0</v>
      </c>
      <c r="AP948" s="8">
        <f>COUNTIF($E$948:$AI$948,"SL")</f>
        <v>0</v>
      </c>
      <c r="AQ948" s="8">
        <f>COUNTIF($E$948:$AI$948,"EL")</f>
        <v>0</v>
      </c>
      <c r="AR948" s="8">
        <f>COUNTIF($E$948:$AI$948,"H")</f>
        <v>0</v>
      </c>
      <c r="AS948" s="8"/>
      <c r="AT948" s="11" t="s">
        <v>248</v>
      </c>
    </row>
    <row r="949" spans="1:46" ht="15.1" customHeight="1">
      <c r="A949" s="8"/>
      <c r="B949" s="9"/>
      <c r="C949" s="8"/>
      <c r="D949" s="9"/>
      <c r="E949" s="8">
        <v>2</v>
      </c>
      <c r="F949" s="8">
        <v>2</v>
      </c>
      <c r="G949" s="8">
        <v>0</v>
      </c>
      <c r="H949" s="8">
        <v>2</v>
      </c>
      <c r="I949" s="8">
        <v>2</v>
      </c>
      <c r="J949" s="8">
        <v>2</v>
      </c>
      <c r="K949" s="8">
        <v>2</v>
      </c>
      <c r="L949" s="8">
        <v>2</v>
      </c>
      <c r="M949" s="8">
        <v>2</v>
      </c>
      <c r="N949" s="8">
        <v>0</v>
      </c>
      <c r="O949" s="8">
        <v>2</v>
      </c>
      <c r="P949" s="8">
        <v>2</v>
      </c>
      <c r="Q949" s="8">
        <v>2</v>
      </c>
      <c r="R949" s="8">
        <v>2</v>
      </c>
      <c r="S949" s="8">
        <v>2</v>
      </c>
      <c r="T949" s="8">
        <v>2</v>
      </c>
      <c r="U949" s="8">
        <v>0</v>
      </c>
      <c r="V949" s="8">
        <v>2</v>
      </c>
      <c r="W949" s="8">
        <v>2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11" t="s">
        <v>248</v>
      </c>
    </row>
    <row r="950" spans="1:46" ht="15.1" customHeight="1">
      <c r="A950" s="8"/>
      <c r="B950" s="9"/>
      <c r="C950" s="8"/>
      <c r="D950" s="9"/>
      <c r="E950" s="8">
        <v>5</v>
      </c>
      <c r="F950" s="8">
        <v>3</v>
      </c>
      <c r="G950" s="8">
        <v>13.5</v>
      </c>
      <c r="H950" s="8">
        <v>5</v>
      </c>
      <c r="I950" s="8">
        <v>4.5</v>
      </c>
      <c r="J950" s="8">
        <v>7</v>
      </c>
      <c r="K950" s="8">
        <v>7</v>
      </c>
      <c r="L950" s="8">
        <v>7</v>
      </c>
      <c r="M950" s="8">
        <v>5</v>
      </c>
      <c r="N950" s="8">
        <v>16.5</v>
      </c>
      <c r="O950" s="8">
        <v>7</v>
      </c>
      <c r="P950" s="8">
        <v>6.5</v>
      </c>
      <c r="Q950" s="8">
        <v>4.5</v>
      </c>
      <c r="R950" s="8">
        <v>6.5</v>
      </c>
      <c r="S950" s="8">
        <v>7</v>
      </c>
      <c r="T950" s="8">
        <v>3</v>
      </c>
      <c r="U950" s="8">
        <v>12.5</v>
      </c>
      <c r="V950" s="8">
        <v>7</v>
      </c>
      <c r="W950" s="8">
        <v>3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11" t="s">
        <v>248</v>
      </c>
    </row>
    <row r="951" spans="1:46" ht="15.1" customHeight="1">
      <c r="A951" s="8">
        <v>316</v>
      </c>
      <c r="B951" s="9" t="s">
        <v>893</v>
      </c>
      <c r="C951" s="8" t="s">
        <v>894</v>
      </c>
      <c r="D951" s="9" t="s">
        <v>451</v>
      </c>
      <c r="E951" s="8" t="s">
        <v>54</v>
      </c>
      <c r="F951" s="8" t="s">
        <v>54</v>
      </c>
      <c r="G951" s="10" t="s">
        <v>67</v>
      </c>
      <c r="H951" s="8" t="s">
        <v>54</v>
      </c>
      <c r="I951" s="8" t="s">
        <v>54</v>
      </c>
      <c r="J951" s="8" t="s">
        <v>54</v>
      </c>
      <c r="K951" s="8" t="s">
        <v>54</v>
      </c>
      <c r="L951" s="8" t="s">
        <v>54</v>
      </c>
      <c r="M951" s="8" t="s">
        <v>54</v>
      </c>
      <c r="N951" s="10" t="s">
        <v>67</v>
      </c>
      <c r="O951" s="8" t="s">
        <v>54</v>
      </c>
      <c r="P951" s="8" t="s">
        <v>54</v>
      </c>
      <c r="Q951" s="8" t="s">
        <v>54</v>
      </c>
      <c r="R951" s="8" t="s">
        <v>54</v>
      </c>
      <c r="S951" s="8" t="s">
        <v>54</v>
      </c>
      <c r="T951" s="8" t="s">
        <v>54</v>
      </c>
      <c r="U951" s="10" t="s">
        <v>67</v>
      </c>
      <c r="V951" s="8" t="s">
        <v>54</v>
      </c>
      <c r="W951" s="8" t="s">
        <v>54</v>
      </c>
      <c r="X951" s="8" t="s">
        <v>54</v>
      </c>
      <c r="Y951" s="8" t="s">
        <v>54</v>
      </c>
      <c r="Z951" s="8" t="s">
        <v>54</v>
      </c>
      <c r="AA951" s="8" t="s">
        <v>54</v>
      </c>
      <c r="AB951" s="10" t="s">
        <v>67</v>
      </c>
      <c r="AC951" s="8" t="s">
        <v>54</v>
      </c>
      <c r="AD951" s="8" t="s">
        <v>54</v>
      </c>
      <c r="AE951" s="8" t="s">
        <v>54</v>
      </c>
      <c r="AF951" s="8" t="s">
        <v>54</v>
      </c>
      <c r="AG951" s="8" t="s">
        <v>54</v>
      </c>
      <c r="AH951" s="8" t="s">
        <v>54</v>
      </c>
      <c r="AI951" s="10" t="s">
        <v>67</v>
      </c>
      <c r="AJ951" s="8">
        <f>COUNTIF($E$951:$AI$951,"P")</f>
        <v>26</v>
      </c>
      <c r="AK951" s="8">
        <f>COUNTIF($E$951:$AI$951,"A")</f>
        <v>0</v>
      </c>
      <c r="AL951" s="8">
        <f>SUM($E$952:$AI$952)</f>
        <v>33</v>
      </c>
      <c r="AM951" s="8">
        <f>SUM($E$953:$AI$953)</f>
        <v>118.5</v>
      </c>
      <c r="AN951" s="8">
        <f>AL951+AM951</f>
        <v>151.5</v>
      </c>
      <c r="AO951" s="8">
        <f>COUNTIF($E$951:$AI$951,"CL")</f>
        <v>0</v>
      </c>
      <c r="AP951" s="8">
        <f>COUNTIF($E$951:$AI$951,"SL")</f>
        <v>0</v>
      </c>
      <c r="AQ951" s="8">
        <f>COUNTIF($E$951:$AI$951,"EL")</f>
        <v>0</v>
      </c>
      <c r="AR951" s="8">
        <f>COUNTIF($E$951:$AI$951,"H")</f>
        <v>0</v>
      </c>
      <c r="AS951" s="8"/>
      <c r="AT951" s="11" t="s">
        <v>248</v>
      </c>
    </row>
    <row r="952" spans="1:46" ht="15.1" customHeight="1">
      <c r="A952" s="8"/>
      <c r="B952" s="9"/>
      <c r="C952" s="8"/>
      <c r="D952" s="9"/>
      <c r="E952" s="8">
        <v>2</v>
      </c>
      <c r="F952" s="8">
        <v>2</v>
      </c>
      <c r="G952" s="8">
        <v>0</v>
      </c>
      <c r="H952" s="8">
        <v>2</v>
      </c>
      <c r="I952" s="8">
        <v>2</v>
      </c>
      <c r="J952" s="8">
        <v>2</v>
      </c>
      <c r="K952" s="8">
        <v>2</v>
      </c>
      <c r="L952" s="8">
        <v>2</v>
      </c>
      <c r="M952" s="8">
        <v>2</v>
      </c>
      <c r="N952" s="8">
        <v>0</v>
      </c>
      <c r="O952" s="8">
        <v>2</v>
      </c>
      <c r="P952" s="8">
        <v>2</v>
      </c>
      <c r="Q952" s="8">
        <v>2</v>
      </c>
      <c r="R952" s="8">
        <v>2</v>
      </c>
      <c r="S952" s="8">
        <v>2</v>
      </c>
      <c r="T952" s="8">
        <v>2</v>
      </c>
      <c r="U952" s="8">
        <v>0</v>
      </c>
      <c r="V952" s="8">
        <v>2</v>
      </c>
      <c r="W952" s="8">
        <v>2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1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11" t="s">
        <v>248</v>
      </c>
    </row>
    <row r="953" spans="1:46" ht="15.1" customHeight="1">
      <c r="A953" s="8"/>
      <c r="B953" s="9"/>
      <c r="C953" s="8"/>
      <c r="D953" s="9"/>
      <c r="E953" s="8">
        <v>5</v>
      </c>
      <c r="F953" s="8">
        <v>3</v>
      </c>
      <c r="G953" s="8">
        <v>0</v>
      </c>
      <c r="H953" s="8">
        <v>5</v>
      </c>
      <c r="I953" s="8">
        <v>4.5</v>
      </c>
      <c r="J953" s="8">
        <v>7</v>
      </c>
      <c r="K953" s="8">
        <v>7</v>
      </c>
      <c r="L953" s="8">
        <v>7</v>
      </c>
      <c r="M953" s="8">
        <v>5</v>
      </c>
      <c r="N953" s="8">
        <v>16.5</v>
      </c>
      <c r="O953" s="8">
        <v>7</v>
      </c>
      <c r="P953" s="8">
        <v>7</v>
      </c>
      <c r="Q953" s="8">
        <v>5</v>
      </c>
      <c r="R953" s="8">
        <v>7</v>
      </c>
      <c r="S953" s="8">
        <v>7</v>
      </c>
      <c r="T953" s="8">
        <v>3</v>
      </c>
      <c r="U953" s="8">
        <v>12.5</v>
      </c>
      <c r="V953" s="8">
        <v>7</v>
      </c>
      <c r="W953" s="8">
        <v>3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11" t="s">
        <v>248</v>
      </c>
    </row>
    <row r="954" spans="1:46" ht="15.1" customHeight="1">
      <c r="A954" s="8">
        <v>317</v>
      </c>
      <c r="B954" s="9" t="s">
        <v>733</v>
      </c>
      <c r="C954" s="8" t="s">
        <v>895</v>
      </c>
      <c r="D954" s="9" t="s">
        <v>451</v>
      </c>
      <c r="E954" s="8" t="s">
        <v>54</v>
      </c>
      <c r="F954" s="8" t="s">
        <v>54</v>
      </c>
      <c r="G954" s="10" t="s">
        <v>67</v>
      </c>
      <c r="H954" s="8" t="s">
        <v>54</v>
      </c>
      <c r="I954" s="8" t="s">
        <v>54</v>
      </c>
      <c r="J954" s="8" t="s">
        <v>54</v>
      </c>
      <c r="K954" s="8" t="s">
        <v>54</v>
      </c>
      <c r="L954" s="8" t="s">
        <v>54</v>
      </c>
      <c r="M954" s="8" t="s">
        <v>54</v>
      </c>
      <c r="N954" s="10" t="s">
        <v>67</v>
      </c>
      <c r="O954" s="8" t="s">
        <v>54</v>
      </c>
      <c r="P954" s="8" t="s">
        <v>54</v>
      </c>
      <c r="Q954" s="8" t="s">
        <v>54</v>
      </c>
      <c r="R954" s="8" t="s">
        <v>54</v>
      </c>
      <c r="S954" s="8" t="s">
        <v>54</v>
      </c>
      <c r="T954" s="8" t="s">
        <v>54</v>
      </c>
      <c r="U954" s="10" t="s">
        <v>67</v>
      </c>
      <c r="V954" s="8" t="s">
        <v>54</v>
      </c>
      <c r="W954" s="8" t="s">
        <v>54</v>
      </c>
      <c r="X954" s="8" t="s">
        <v>54</v>
      </c>
      <c r="Y954" s="8" t="s">
        <v>54</v>
      </c>
      <c r="Z954" s="8" t="s">
        <v>54</v>
      </c>
      <c r="AA954" s="8" t="s">
        <v>54</v>
      </c>
      <c r="AB954" s="10" t="s">
        <v>67</v>
      </c>
      <c r="AC954" s="8" t="s">
        <v>54</v>
      </c>
      <c r="AD954" s="8" t="s">
        <v>54</v>
      </c>
      <c r="AE954" s="8" t="s">
        <v>54</v>
      </c>
      <c r="AF954" s="8" t="s">
        <v>54</v>
      </c>
      <c r="AG954" s="8" t="s">
        <v>54</v>
      </c>
      <c r="AH954" s="8" t="s">
        <v>54</v>
      </c>
      <c r="AI954" s="10" t="s">
        <v>67</v>
      </c>
      <c r="AJ954" s="8">
        <f>COUNTIF($E$954:$AI$954,"P")</f>
        <v>26</v>
      </c>
      <c r="AK954" s="8">
        <f>COUNTIF($E$954:$AI$954,"A")</f>
        <v>0</v>
      </c>
      <c r="AL954" s="8">
        <f>SUM($E$955:$AI$955)</f>
        <v>32</v>
      </c>
      <c r="AM954" s="8">
        <f>SUM($E$956:$AI$956)</f>
        <v>132.5</v>
      </c>
      <c r="AN954" s="8">
        <f>AL954+AM954</f>
        <v>164.5</v>
      </c>
      <c r="AO954" s="8">
        <f>COUNTIF($E$954:$AI$954,"CL")</f>
        <v>0</v>
      </c>
      <c r="AP954" s="8">
        <f>COUNTIF($E$954:$AI$954,"SL")</f>
        <v>0</v>
      </c>
      <c r="AQ954" s="8">
        <f>COUNTIF($E$954:$AI$954,"EL")</f>
        <v>0</v>
      </c>
      <c r="AR954" s="8">
        <f>COUNTIF($E$954:$AI$954,"H")</f>
        <v>0</v>
      </c>
      <c r="AS954" s="8"/>
      <c r="AT954" s="11" t="s">
        <v>248</v>
      </c>
    </row>
    <row r="955" spans="1:46" ht="15.1" customHeight="1">
      <c r="A955" s="8"/>
      <c r="B955" s="9"/>
      <c r="C955" s="8"/>
      <c r="D955" s="9"/>
      <c r="E955" s="8">
        <v>2</v>
      </c>
      <c r="F955" s="8">
        <v>2</v>
      </c>
      <c r="G955" s="8">
        <v>0</v>
      </c>
      <c r="H955" s="8">
        <v>2</v>
      </c>
      <c r="I955" s="8">
        <v>2</v>
      </c>
      <c r="J955" s="8">
        <v>2</v>
      </c>
      <c r="K955" s="8">
        <v>2</v>
      </c>
      <c r="L955" s="8">
        <v>2</v>
      </c>
      <c r="M955" s="8">
        <v>2</v>
      </c>
      <c r="N955" s="8">
        <v>0</v>
      </c>
      <c r="O955" s="8">
        <v>2</v>
      </c>
      <c r="P955" s="8">
        <v>2</v>
      </c>
      <c r="Q955" s="8">
        <v>2</v>
      </c>
      <c r="R955" s="8">
        <v>2</v>
      </c>
      <c r="S955" s="8">
        <v>2</v>
      </c>
      <c r="T955" s="8">
        <v>2</v>
      </c>
      <c r="U955" s="8">
        <v>0</v>
      </c>
      <c r="V955" s="8">
        <v>2</v>
      </c>
      <c r="W955" s="8">
        <v>2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11" t="s">
        <v>248</v>
      </c>
    </row>
    <row r="956" spans="1:46" ht="15.1" customHeight="1">
      <c r="A956" s="8"/>
      <c r="B956" s="9"/>
      <c r="C956" s="8"/>
      <c r="D956" s="9"/>
      <c r="E956" s="8">
        <v>5</v>
      </c>
      <c r="F956" s="8">
        <v>3</v>
      </c>
      <c r="G956" s="8">
        <v>13.5</v>
      </c>
      <c r="H956" s="8">
        <v>5</v>
      </c>
      <c r="I956" s="8">
        <v>5</v>
      </c>
      <c r="J956" s="8">
        <v>7</v>
      </c>
      <c r="K956" s="8">
        <v>7</v>
      </c>
      <c r="L956" s="8">
        <v>7</v>
      </c>
      <c r="M956" s="8">
        <v>5</v>
      </c>
      <c r="N956" s="8">
        <v>16.5</v>
      </c>
      <c r="O956" s="8">
        <v>7</v>
      </c>
      <c r="P956" s="8">
        <v>7</v>
      </c>
      <c r="Q956" s="8">
        <v>5</v>
      </c>
      <c r="R956" s="8">
        <v>7</v>
      </c>
      <c r="S956" s="8">
        <v>7</v>
      </c>
      <c r="T956" s="8">
        <v>3</v>
      </c>
      <c r="U956" s="8">
        <v>12.5</v>
      </c>
      <c r="V956" s="8">
        <v>7</v>
      </c>
      <c r="W956" s="8">
        <v>3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11" t="s">
        <v>248</v>
      </c>
    </row>
    <row r="957" spans="1:46" ht="15.1" customHeight="1">
      <c r="A957" s="8">
        <v>318</v>
      </c>
      <c r="B957" s="9" t="s">
        <v>896</v>
      </c>
      <c r="C957" s="8" t="s">
        <v>897</v>
      </c>
      <c r="D957" s="9" t="s">
        <v>451</v>
      </c>
      <c r="E957" s="8" t="s">
        <v>54</v>
      </c>
      <c r="F957" s="8" t="s">
        <v>54</v>
      </c>
      <c r="G957" s="10" t="s">
        <v>67</v>
      </c>
      <c r="H957" s="8" t="s">
        <v>54</v>
      </c>
      <c r="I957" s="12" t="s">
        <v>55</v>
      </c>
      <c r="J957" s="12" t="s">
        <v>55</v>
      </c>
      <c r="K957" s="12" t="s">
        <v>55</v>
      </c>
      <c r="L957" s="8" t="s">
        <v>54</v>
      </c>
      <c r="M957" s="8" t="s">
        <v>54</v>
      </c>
      <c r="N957" s="10" t="s">
        <v>67</v>
      </c>
      <c r="O957" s="8" t="s">
        <v>54</v>
      </c>
      <c r="P957" s="8" t="s">
        <v>54</v>
      </c>
      <c r="Q957" s="8" t="s">
        <v>54</v>
      </c>
      <c r="R957" s="8" t="s">
        <v>54</v>
      </c>
      <c r="S957" s="8" t="s">
        <v>54</v>
      </c>
      <c r="T957" s="8" t="s">
        <v>54</v>
      </c>
      <c r="U957" s="10" t="s">
        <v>67</v>
      </c>
      <c r="V957" s="8" t="s">
        <v>54</v>
      </c>
      <c r="W957" s="8" t="s">
        <v>54</v>
      </c>
      <c r="X957" s="8" t="s">
        <v>54</v>
      </c>
      <c r="Y957" s="8" t="s">
        <v>54</v>
      </c>
      <c r="Z957" s="8" t="s">
        <v>54</v>
      </c>
      <c r="AA957" s="8" t="s">
        <v>54</v>
      </c>
      <c r="AB957" s="10" t="s">
        <v>67</v>
      </c>
      <c r="AC957" s="12" t="s">
        <v>55</v>
      </c>
      <c r="AD957" s="12" t="s">
        <v>55</v>
      </c>
      <c r="AE957" s="8" t="s">
        <v>54</v>
      </c>
      <c r="AF957" s="8" t="s">
        <v>54</v>
      </c>
      <c r="AG957" s="8" t="s">
        <v>54</v>
      </c>
      <c r="AH957" s="8" t="s">
        <v>54</v>
      </c>
      <c r="AI957" s="10" t="s">
        <v>67</v>
      </c>
      <c r="AJ957" s="8">
        <f>COUNTIF($E$957:$AI$957,"P")</f>
        <v>21</v>
      </c>
      <c r="AK957" s="8">
        <f>COUNTIF($E$957:$AI$957,"A")</f>
        <v>5</v>
      </c>
      <c r="AL957" s="8">
        <f>SUM($E$958:$AI$958)</f>
        <v>26</v>
      </c>
      <c r="AM957" s="8">
        <f>SUM($E$959:$AI$959)</f>
        <v>98.5</v>
      </c>
      <c r="AN957" s="8">
        <f>AL957+AM957</f>
        <v>124.5</v>
      </c>
      <c r="AO957" s="8">
        <f>COUNTIF($E$957:$AI$957,"CL")</f>
        <v>0</v>
      </c>
      <c r="AP957" s="8">
        <f>COUNTIF($E$957:$AI$957,"SL")</f>
        <v>0</v>
      </c>
      <c r="AQ957" s="8">
        <f>COUNTIF($E$957:$AI$957,"EL")</f>
        <v>0</v>
      </c>
      <c r="AR957" s="8">
        <f>COUNTIF($E$957:$AI$957,"H")</f>
        <v>0</v>
      </c>
      <c r="AS957" s="8"/>
      <c r="AT957" s="11" t="s">
        <v>248</v>
      </c>
    </row>
    <row r="958" spans="1:46" ht="15.1" customHeight="1">
      <c r="A958" s="8"/>
      <c r="B958" s="9"/>
      <c r="C958" s="8"/>
      <c r="D958" s="9"/>
      <c r="E958" s="8">
        <v>2</v>
      </c>
      <c r="F958" s="8">
        <v>2</v>
      </c>
      <c r="G958" s="8">
        <v>0</v>
      </c>
      <c r="H958" s="8">
        <v>2</v>
      </c>
      <c r="I958" s="8">
        <v>0</v>
      </c>
      <c r="J958" s="8">
        <v>0</v>
      </c>
      <c r="K958" s="8">
        <v>0</v>
      </c>
      <c r="L958" s="8">
        <v>2</v>
      </c>
      <c r="M958" s="8">
        <v>2</v>
      </c>
      <c r="N958" s="8">
        <v>0</v>
      </c>
      <c r="O958" s="8">
        <v>2</v>
      </c>
      <c r="P958" s="8">
        <v>2</v>
      </c>
      <c r="Q958" s="8">
        <v>2</v>
      </c>
      <c r="R958" s="8">
        <v>2</v>
      </c>
      <c r="S958" s="8">
        <v>2</v>
      </c>
      <c r="T958" s="8">
        <v>2</v>
      </c>
      <c r="U958" s="8">
        <v>0</v>
      </c>
      <c r="V958" s="8">
        <v>2</v>
      </c>
      <c r="W958" s="8">
        <v>2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11" t="s">
        <v>248</v>
      </c>
    </row>
    <row r="959" spans="1:46" ht="15.1" customHeight="1">
      <c r="A959" s="8"/>
      <c r="B959" s="9"/>
      <c r="C959" s="8"/>
      <c r="D959" s="9"/>
      <c r="E959" s="8">
        <v>5</v>
      </c>
      <c r="F959" s="8">
        <v>3</v>
      </c>
      <c r="G959" s="8">
        <v>10</v>
      </c>
      <c r="H959" s="8">
        <v>5</v>
      </c>
      <c r="I959" s="8">
        <v>0</v>
      </c>
      <c r="J959" s="8">
        <v>0</v>
      </c>
      <c r="K959" s="8">
        <v>0</v>
      </c>
      <c r="L959" s="8">
        <v>7</v>
      </c>
      <c r="M959" s="8">
        <v>5</v>
      </c>
      <c r="N959" s="8">
        <v>16.5</v>
      </c>
      <c r="O959" s="8">
        <v>7</v>
      </c>
      <c r="P959" s="8">
        <v>7</v>
      </c>
      <c r="Q959" s="8">
        <v>5</v>
      </c>
      <c r="R959" s="8">
        <v>7</v>
      </c>
      <c r="S959" s="8">
        <v>6.5</v>
      </c>
      <c r="T959" s="8">
        <v>3</v>
      </c>
      <c r="U959" s="8">
        <v>4.5</v>
      </c>
      <c r="V959" s="8">
        <v>7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11" t="s">
        <v>248</v>
      </c>
    </row>
    <row r="960" spans="1:46" ht="15.1" customHeight="1">
      <c r="A960" s="8">
        <v>319</v>
      </c>
      <c r="B960" s="9" t="s">
        <v>898</v>
      </c>
      <c r="C960" s="8" t="s">
        <v>899</v>
      </c>
      <c r="D960" s="9" t="s">
        <v>451</v>
      </c>
      <c r="E960" s="8" t="s">
        <v>54</v>
      </c>
      <c r="F960" s="8" t="s">
        <v>54</v>
      </c>
      <c r="G960" s="10" t="s">
        <v>67</v>
      </c>
      <c r="H960" s="8" t="s">
        <v>54</v>
      </c>
      <c r="I960" s="8" t="s">
        <v>54</v>
      </c>
      <c r="J960" s="8" t="s">
        <v>54</v>
      </c>
      <c r="K960" s="8" t="s">
        <v>54</v>
      </c>
      <c r="L960" s="8" t="s">
        <v>54</v>
      </c>
      <c r="M960" s="8" t="s">
        <v>54</v>
      </c>
      <c r="N960" s="10" t="s">
        <v>67</v>
      </c>
      <c r="O960" s="8" t="s">
        <v>54</v>
      </c>
      <c r="P960" s="8" t="s">
        <v>54</v>
      </c>
      <c r="Q960" s="8" t="s">
        <v>54</v>
      </c>
      <c r="R960" s="8" t="s">
        <v>54</v>
      </c>
      <c r="S960" s="8" t="s">
        <v>54</v>
      </c>
      <c r="T960" s="8" t="s">
        <v>54</v>
      </c>
      <c r="U960" s="10" t="s">
        <v>67</v>
      </c>
      <c r="V960" s="8" t="s">
        <v>54</v>
      </c>
      <c r="W960" s="8" t="s">
        <v>54</v>
      </c>
      <c r="X960" s="8" t="s">
        <v>54</v>
      </c>
      <c r="Y960" s="8" t="s">
        <v>54</v>
      </c>
      <c r="Z960" s="8" t="s">
        <v>54</v>
      </c>
      <c r="AA960" s="8" t="s">
        <v>54</v>
      </c>
      <c r="AB960" s="10" t="s">
        <v>67</v>
      </c>
      <c r="AC960" s="12" t="s">
        <v>55</v>
      </c>
      <c r="AD960" s="12" t="s">
        <v>55</v>
      </c>
      <c r="AE960" s="12" t="s">
        <v>55</v>
      </c>
      <c r="AF960" s="8" t="s">
        <v>54</v>
      </c>
      <c r="AG960" s="8" t="s">
        <v>54</v>
      </c>
      <c r="AH960" s="8" t="s">
        <v>54</v>
      </c>
      <c r="AI960" s="10" t="s">
        <v>67</v>
      </c>
      <c r="AJ960" s="8">
        <f>COUNTIF($E$960:$AI$960,"P")</f>
        <v>23</v>
      </c>
      <c r="AK960" s="8">
        <f>COUNTIF($E$960:$AI$960,"A")</f>
        <v>3</v>
      </c>
      <c r="AL960" s="8">
        <f>SUM($E$961:$AI$961)</f>
        <v>32</v>
      </c>
      <c r="AM960" s="8">
        <f>SUM($E$962:$AI$962)</f>
        <v>131.5</v>
      </c>
      <c r="AN960" s="8">
        <f>AL960+AM960</f>
        <v>163.5</v>
      </c>
      <c r="AO960" s="8">
        <f>COUNTIF($E$960:$AI$960,"CL")</f>
        <v>0</v>
      </c>
      <c r="AP960" s="8">
        <f>COUNTIF($E$960:$AI$960,"SL")</f>
        <v>0</v>
      </c>
      <c r="AQ960" s="8">
        <f>COUNTIF($E$960:$AI$960,"EL")</f>
        <v>0</v>
      </c>
      <c r="AR960" s="8">
        <f>COUNTIF($E$960:$AI$960,"H")</f>
        <v>0</v>
      </c>
      <c r="AS960" s="8"/>
      <c r="AT960" s="11" t="s">
        <v>248</v>
      </c>
    </row>
    <row r="961" spans="1:46" ht="15.1" customHeight="1">
      <c r="A961" s="8"/>
      <c r="B961" s="9"/>
      <c r="C961" s="8"/>
      <c r="D961" s="9"/>
      <c r="E961" s="8">
        <v>2</v>
      </c>
      <c r="F961" s="8">
        <v>2</v>
      </c>
      <c r="G961" s="8">
        <v>0</v>
      </c>
      <c r="H961" s="8">
        <v>2</v>
      </c>
      <c r="I961" s="8">
        <v>2</v>
      </c>
      <c r="J961" s="8">
        <v>2</v>
      </c>
      <c r="K961" s="8">
        <v>2</v>
      </c>
      <c r="L961" s="8">
        <v>2</v>
      </c>
      <c r="M961" s="8">
        <v>2</v>
      </c>
      <c r="N961" s="8">
        <v>0</v>
      </c>
      <c r="O961" s="8">
        <v>2</v>
      </c>
      <c r="P961" s="8">
        <v>2</v>
      </c>
      <c r="Q961" s="8">
        <v>2</v>
      </c>
      <c r="R961" s="8">
        <v>2</v>
      </c>
      <c r="S961" s="8">
        <v>2</v>
      </c>
      <c r="T961" s="8">
        <v>2</v>
      </c>
      <c r="U961" s="8">
        <v>0</v>
      </c>
      <c r="V961" s="8">
        <v>2</v>
      </c>
      <c r="W961" s="8">
        <v>2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11" t="s">
        <v>248</v>
      </c>
    </row>
    <row r="962" spans="1:46" ht="15.1" customHeight="1">
      <c r="A962" s="8"/>
      <c r="B962" s="9"/>
      <c r="C962" s="8"/>
      <c r="D962" s="9"/>
      <c r="E962" s="8">
        <v>4.5</v>
      </c>
      <c r="F962" s="8">
        <v>3</v>
      </c>
      <c r="G962" s="8">
        <v>13.5</v>
      </c>
      <c r="H962" s="8">
        <v>5</v>
      </c>
      <c r="I962" s="8">
        <v>4.5</v>
      </c>
      <c r="J962" s="8">
        <v>7</v>
      </c>
      <c r="K962" s="8">
        <v>7</v>
      </c>
      <c r="L962" s="8">
        <v>7</v>
      </c>
      <c r="M962" s="8">
        <v>5</v>
      </c>
      <c r="N962" s="8">
        <v>16.5</v>
      </c>
      <c r="O962" s="8">
        <v>7</v>
      </c>
      <c r="P962" s="8">
        <v>7</v>
      </c>
      <c r="Q962" s="8">
        <v>5</v>
      </c>
      <c r="R962" s="8">
        <v>7</v>
      </c>
      <c r="S962" s="8">
        <v>7</v>
      </c>
      <c r="T962" s="8">
        <v>3</v>
      </c>
      <c r="U962" s="8">
        <v>12.5</v>
      </c>
      <c r="V962" s="8">
        <v>7</v>
      </c>
      <c r="W962" s="8">
        <v>3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11" t="s">
        <v>248</v>
      </c>
    </row>
    <row r="963" spans="1:46" ht="15.1" customHeight="1">
      <c r="A963" s="8">
        <v>320</v>
      </c>
      <c r="B963" s="9" t="s">
        <v>900</v>
      </c>
      <c r="C963" s="8" t="s">
        <v>901</v>
      </c>
      <c r="D963" s="9" t="s">
        <v>451</v>
      </c>
      <c r="E963" s="8" t="s">
        <v>54</v>
      </c>
      <c r="F963" s="8" t="s">
        <v>54</v>
      </c>
      <c r="G963" s="10" t="s">
        <v>67</v>
      </c>
      <c r="H963" s="8" t="s">
        <v>54</v>
      </c>
      <c r="I963" s="8" t="s">
        <v>54</v>
      </c>
      <c r="J963" s="8" t="s">
        <v>54</v>
      </c>
      <c r="K963" s="8" t="s">
        <v>54</v>
      </c>
      <c r="L963" s="8" t="s">
        <v>54</v>
      </c>
      <c r="M963" s="8" t="s">
        <v>54</v>
      </c>
      <c r="N963" s="10" t="s">
        <v>67</v>
      </c>
      <c r="O963" s="8" t="s">
        <v>54</v>
      </c>
      <c r="P963" s="8" t="s">
        <v>54</v>
      </c>
      <c r="Q963" s="8" t="s">
        <v>54</v>
      </c>
      <c r="R963" s="8" t="s">
        <v>54</v>
      </c>
      <c r="S963" s="8" t="s">
        <v>54</v>
      </c>
      <c r="T963" s="8" t="s">
        <v>54</v>
      </c>
      <c r="U963" s="10" t="s">
        <v>67</v>
      </c>
      <c r="V963" s="8" t="s">
        <v>54</v>
      </c>
      <c r="W963" s="8" t="s">
        <v>54</v>
      </c>
      <c r="X963" s="8" t="s">
        <v>54</v>
      </c>
      <c r="Y963" s="8" t="s">
        <v>54</v>
      </c>
      <c r="Z963" s="8" t="s">
        <v>54</v>
      </c>
      <c r="AA963" s="12" t="s">
        <v>55</v>
      </c>
      <c r="AB963" s="10" t="s">
        <v>67</v>
      </c>
      <c r="AC963" s="12" t="s">
        <v>55</v>
      </c>
      <c r="AD963" s="8" t="s">
        <v>54</v>
      </c>
      <c r="AE963" s="8" t="s">
        <v>54</v>
      </c>
      <c r="AF963" s="8" t="s">
        <v>54</v>
      </c>
      <c r="AG963" s="8" t="s">
        <v>54</v>
      </c>
      <c r="AH963" s="8" t="s">
        <v>54</v>
      </c>
      <c r="AI963" s="10" t="s">
        <v>67</v>
      </c>
      <c r="AJ963" s="8">
        <f>COUNTIF($E$963:$AI$963,"P")</f>
        <v>24</v>
      </c>
      <c r="AK963" s="8">
        <f>COUNTIF($E$963:$AI$963,"A")</f>
        <v>2</v>
      </c>
      <c r="AL963" s="8">
        <f>SUM($E$964:$AI$964)</f>
        <v>34</v>
      </c>
      <c r="AM963" s="8">
        <f>SUM($E$965:$AI$965)</f>
        <v>130.5</v>
      </c>
      <c r="AN963" s="8">
        <f>AL963+AM963</f>
        <v>164.5</v>
      </c>
      <c r="AO963" s="8">
        <f>COUNTIF($E$963:$AI$963,"CL")</f>
        <v>0</v>
      </c>
      <c r="AP963" s="8">
        <f>COUNTIF($E$963:$AI$963,"SL")</f>
        <v>0</v>
      </c>
      <c r="AQ963" s="8">
        <f>COUNTIF($E$963:$AI$963,"EL")</f>
        <v>0</v>
      </c>
      <c r="AR963" s="8">
        <f>COUNTIF($E$963:$AI$963,"H")</f>
        <v>0</v>
      </c>
      <c r="AS963" s="8"/>
      <c r="AT963" s="11" t="s">
        <v>248</v>
      </c>
    </row>
    <row r="964" spans="1:46" ht="15.1" customHeight="1">
      <c r="A964" s="8"/>
      <c r="B964" s="9"/>
      <c r="C964" s="8"/>
      <c r="D964" s="9"/>
      <c r="E964" s="8">
        <v>2</v>
      </c>
      <c r="F964" s="8">
        <v>2</v>
      </c>
      <c r="G964" s="8">
        <v>0</v>
      </c>
      <c r="H964" s="8">
        <v>2</v>
      </c>
      <c r="I964" s="8">
        <v>2</v>
      </c>
      <c r="J964" s="8">
        <v>2</v>
      </c>
      <c r="K964" s="8">
        <v>2</v>
      </c>
      <c r="L964" s="8">
        <v>2</v>
      </c>
      <c r="M964" s="8">
        <v>2</v>
      </c>
      <c r="N964" s="8">
        <v>0</v>
      </c>
      <c r="O964" s="8">
        <v>2</v>
      </c>
      <c r="P964" s="8">
        <v>2</v>
      </c>
      <c r="Q964" s="8">
        <v>2</v>
      </c>
      <c r="R964" s="8">
        <v>2</v>
      </c>
      <c r="S964" s="8">
        <v>2</v>
      </c>
      <c r="T964" s="8">
        <v>2</v>
      </c>
      <c r="U964" s="8">
        <v>0</v>
      </c>
      <c r="V964" s="8">
        <v>2</v>
      </c>
      <c r="W964" s="8">
        <v>2</v>
      </c>
      <c r="X964" s="8">
        <v>2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11" t="s">
        <v>248</v>
      </c>
    </row>
    <row r="965" spans="1:46" ht="15.1" customHeight="1">
      <c r="A965" s="8"/>
      <c r="B965" s="9"/>
      <c r="C965" s="8"/>
      <c r="D965" s="9"/>
      <c r="E965" s="8">
        <v>4.5</v>
      </c>
      <c r="F965" s="8">
        <v>3</v>
      </c>
      <c r="G965" s="8">
        <v>13.5</v>
      </c>
      <c r="H965" s="8">
        <v>5</v>
      </c>
      <c r="I965" s="8">
        <v>4.5</v>
      </c>
      <c r="J965" s="8">
        <v>7</v>
      </c>
      <c r="K965" s="8">
        <v>7</v>
      </c>
      <c r="L965" s="8">
        <v>7</v>
      </c>
      <c r="M965" s="8">
        <v>5</v>
      </c>
      <c r="N965" s="8">
        <v>16.5</v>
      </c>
      <c r="O965" s="8">
        <v>7</v>
      </c>
      <c r="P965" s="8">
        <v>7</v>
      </c>
      <c r="Q965" s="8">
        <v>4.5</v>
      </c>
      <c r="R965" s="8">
        <v>7</v>
      </c>
      <c r="S965" s="8">
        <v>6.5</v>
      </c>
      <c r="T965" s="8">
        <v>3</v>
      </c>
      <c r="U965" s="8">
        <v>12.5</v>
      </c>
      <c r="V965" s="8">
        <v>7</v>
      </c>
      <c r="W965" s="8">
        <v>3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11" t="s">
        <v>248</v>
      </c>
    </row>
    <row r="966" spans="1:46" ht="15.1" customHeight="1">
      <c r="A966" s="8">
        <v>321</v>
      </c>
      <c r="B966" s="9" t="s">
        <v>902</v>
      </c>
      <c r="C966" s="8" t="s">
        <v>903</v>
      </c>
      <c r="D966" s="9" t="s">
        <v>451</v>
      </c>
      <c r="E966" s="8" t="s">
        <v>54</v>
      </c>
      <c r="F966" s="8" t="s">
        <v>54</v>
      </c>
      <c r="G966" s="10" t="s">
        <v>67</v>
      </c>
      <c r="H966" s="8" t="s">
        <v>54</v>
      </c>
      <c r="I966" s="8" t="s">
        <v>54</v>
      </c>
      <c r="J966" s="8" t="s">
        <v>54</v>
      </c>
      <c r="K966" s="8" t="s">
        <v>54</v>
      </c>
      <c r="L966" s="8" t="s">
        <v>54</v>
      </c>
      <c r="M966" s="8" t="s">
        <v>54</v>
      </c>
      <c r="N966" s="10" t="s">
        <v>67</v>
      </c>
      <c r="O966" s="8" t="s">
        <v>54</v>
      </c>
      <c r="P966" s="8" t="s">
        <v>54</v>
      </c>
      <c r="Q966" s="8" t="s">
        <v>54</v>
      </c>
      <c r="R966" s="8" t="s">
        <v>54</v>
      </c>
      <c r="S966" s="8" t="s">
        <v>54</v>
      </c>
      <c r="T966" s="8" t="s">
        <v>54</v>
      </c>
      <c r="U966" s="10" t="s">
        <v>67</v>
      </c>
      <c r="V966" s="8" t="s">
        <v>54</v>
      </c>
      <c r="W966" s="12" t="s">
        <v>55</v>
      </c>
      <c r="X966" s="12" t="s">
        <v>55</v>
      </c>
      <c r="Y966" s="12" t="s">
        <v>55</v>
      </c>
      <c r="Z966" s="8" t="s">
        <v>54</v>
      </c>
      <c r="AA966" s="8" t="s">
        <v>54</v>
      </c>
      <c r="AB966" s="10" t="s">
        <v>67</v>
      </c>
      <c r="AC966" s="8" t="s">
        <v>54</v>
      </c>
      <c r="AD966" s="8" t="s">
        <v>54</v>
      </c>
      <c r="AE966" s="8" t="s">
        <v>54</v>
      </c>
      <c r="AF966" s="8" t="s">
        <v>54</v>
      </c>
      <c r="AG966" s="8" t="s">
        <v>54</v>
      </c>
      <c r="AH966" s="8" t="s">
        <v>54</v>
      </c>
      <c r="AI966" s="10" t="s">
        <v>67</v>
      </c>
      <c r="AJ966" s="8">
        <f>COUNTIF($E$966:$AI$966,"P")</f>
        <v>23</v>
      </c>
      <c r="AK966" s="8">
        <f>COUNTIF($E$966:$AI$966,"A")</f>
        <v>3</v>
      </c>
      <c r="AL966" s="8">
        <f>SUM($E$967:$AI$967)</f>
        <v>30</v>
      </c>
      <c r="AM966" s="8">
        <f>SUM($E$968:$AI$968)</f>
        <v>110.5</v>
      </c>
      <c r="AN966" s="8">
        <f>AL966+AM966</f>
        <v>140.5</v>
      </c>
      <c r="AO966" s="8">
        <f>COUNTIF($E$966:$AI$966,"CL")</f>
        <v>0</v>
      </c>
      <c r="AP966" s="8">
        <f>COUNTIF($E$966:$AI$966,"SL")</f>
        <v>0</v>
      </c>
      <c r="AQ966" s="8">
        <f>COUNTIF($E$966:$AI$966,"EL")</f>
        <v>0</v>
      </c>
      <c r="AR966" s="8">
        <f>COUNTIF($E$966:$AI$966,"H")</f>
        <v>0</v>
      </c>
      <c r="AS966" s="8"/>
      <c r="AT966" s="11" t="s">
        <v>248</v>
      </c>
    </row>
    <row r="967" spans="1:46" ht="15.1" customHeight="1">
      <c r="A967" s="8"/>
      <c r="B967" s="9"/>
      <c r="C967" s="8"/>
      <c r="D967" s="9"/>
      <c r="E967" s="8">
        <v>2</v>
      </c>
      <c r="F967" s="8">
        <v>2</v>
      </c>
      <c r="G967" s="8">
        <v>0</v>
      </c>
      <c r="H967" s="8">
        <v>2</v>
      </c>
      <c r="I967" s="8">
        <v>2</v>
      </c>
      <c r="J967" s="8">
        <v>2</v>
      </c>
      <c r="K967" s="8">
        <v>2</v>
      </c>
      <c r="L967" s="8">
        <v>2</v>
      </c>
      <c r="M967" s="8">
        <v>2</v>
      </c>
      <c r="N967" s="8">
        <v>0</v>
      </c>
      <c r="O967" s="8">
        <v>2</v>
      </c>
      <c r="P967" s="8">
        <v>2</v>
      </c>
      <c r="Q967" s="8">
        <v>2</v>
      </c>
      <c r="R967" s="8">
        <v>2</v>
      </c>
      <c r="S967" s="8">
        <v>2</v>
      </c>
      <c r="T967" s="8">
        <v>2</v>
      </c>
      <c r="U967" s="8">
        <v>0</v>
      </c>
      <c r="V967" s="8">
        <v>2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11" t="s">
        <v>248</v>
      </c>
    </row>
    <row r="968" spans="1:46" ht="15.1" customHeight="1">
      <c r="A968" s="8"/>
      <c r="B968" s="9"/>
      <c r="C968" s="8"/>
      <c r="D968" s="9"/>
      <c r="E968" s="8">
        <v>4.5</v>
      </c>
      <c r="F968" s="8">
        <v>3</v>
      </c>
      <c r="G968" s="8">
        <v>13.5</v>
      </c>
      <c r="H968" s="8">
        <v>5</v>
      </c>
      <c r="I968" s="8">
        <v>4.5</v>
      </c>
      <c r="J968" s="8">
        <v>7</v>
      </c>
      <c r="K968" s="8">
        <v>7</v>
      </c>
      <c r="L968" s="8">
        <v>7</v>
      </c>
      <c r="M968" s="8">
        <v>5</v>
      </c>
      <c r="N968" s="8">
        <v>0</v>
      </c>
      <c r="O968" s="8">
        <v>7</v>
      </c>
      <c r="P968" s="8">
        <v>7</v>
      </c>
      <c r="Q968" s="8">
        <v>5</v>
      </c>
      <c r="R968" s="8">
        <v>7</v>
      </c>
      <c r="S968" s="8">
        <v>5.5</v>
      </c>
      <c r="T968" s="8">
        <v>3</v>
      </c>
      <c r="U968" s="8">
        <v>12.5</v>
      </c>
      <c r="V968" s="8">
        <v>7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11" t="s">
        <v>248</v>
      </c>
    </row>
    <row r="969" spans="1:46" ht="15.1" customHeight="1">
      <c r="A969" s="8">
        <v>322</v>
      </c>
      <c r="B969" s="9" t="s">
        <v>904</v>
      </c>
      <c r="C969" s="8" t="s">
        <v>905</v>
      </c>
      <c r="D969" s="9" t="s">
        <v>451</v>
      </c>
      <c r="E969" s="12" t="s">
        <v>55</v>
      </c>
      <c r="F969" s="12" t="s">
        <v>55</v>
      </c>
      <c r="G969" s="10" t="s">
        <v>67</v>
      </c>
      <c r="H969" s="8" t="s">
        <v>54</v>
      </c>
      <c r="I969" s="8" t="s">
        <v>54</v>
      </c>
      <c r="J969" s="8" t="s">
        <v>54</v>
      </c>
      <c r="K969" s="8" t="s">
        <v>54</v>
      </c>
      <c r="L969" s="8" t="s">
        <v>54</v>
      </c>
      <c r="M969" s="8" t="s">
        <v>54</v>
      </c>
      <c r="N969" s="10" t="s">
        <v>67</v>
      </c>
      <c r="O969" s="8" t="s">
        <v>54</v>
      </c>
      <c r="P969" s="8" t="s">
        <v>54</v>
      </c>
      <c r="Q969" s="8" t="s">
        <v>54</v>
      </c>
      <c r="R969" s="8" t="s">
        <v>54</v>
      </c>
      <c r="S969" s="8" t="s">
        <v>54</v>
      </c>
      <c r="T969" s="8" t="s">
        <v>54</v>
      </c>
      <c r="U969" s="10" t="s">
        <v>67</v>
      </c>
      <c r="V969" s="8" t="s">
        <v>54</v>
      </c>
      <c r="W969" s="12" t="s">
        <v>55</v>
      </c>
      <c r="X969" s="12" t="s">
        <v>55</v>
      </c>
      <c r="Y969" s="8" t="s">
        <v>54</v>
      </c>
      <c r="Z969" s="8" t="s">
        <v>54</v>
      </c>
      <c r="AA969" s="8" t="s">
        <v>54</v>
      </c>
      <c r="AB969" s="10" t="s">
        <v>67</v>
      </c>
      <c r="AC969" s="8" t="s">
        <v>54</v>
      </c>
      <c r="AD969" s="8" t="s">
        <v>54</v>
      </c>
      <c r="AE969" s="8" t="s">
        <v>54</v>
      </c>
      <c r="AF969" s="8" t="s">
        <v>54</v>
      </c>
      <c r="AG969" s="8" t="s">
        <v>54</v>
      </c>
      <c r="AH969" s="8" t="s">
        <v>54</v>
      </c>
      <c r="AI969" s="10" t="s">
        <v>67</v>
      </c>
      <c r="AJ969" s="8">
        <f>COUNTIF($E$969:$AI$969,"P")</f>
        <v>22</v>
      </c>
      <c r="AK969" s="8">
        <f>COUNTIF($E$969:$AI$969,"A")</f>
        <v>4</v>
      </c>
      <c r="AL969" s="8">
        <f>SUM($E$970:$AI$970)</f>
        <v>24</v>
      </c>
      <c r="AM969" s="8">
        <f>SUM($E$971:$AI$971)</f>
        <v>100</v>
      </c>
      <c r="AN969" s="8">
        <f>AL969+AM969</f>
        <v>124</v>
      </c>
      <c r="AO969" s="8">
        <f>COUNTIF($E$969:$AI$969,"CL")</f>
        <v>0</v>
      </c>
      <c r="AP969" s="8">
        <f>COUNTIF($E$969:$AI$969,"SL")</f>
        <v>0</v>
      </c>
      <c r="AQ969" s="8">
        <f>COUNTIF($E$969:$AI$969,"EL")</f>
        <v>0</v>
      </c>
      <c r="AR969" s="8">
        <f>COUNTIF($E$969:$AI$969,"H")</f>
        <v>0</v>
      </c>
      <c r="AS969" s="8"/>
      <c r="AT969" s="11" t="s">
        <v>248</v>
      </c>
    </row>
    <row r="970" spans="1:46" ht="15.1" customHeight="1">
      <c r="A970" s="8"/>
      <c r="B970" s="9"/>
      <c r="C970" s="8"/>
      <c r="D970" s="9"/>
      <c r="E970" s="8">
        <v>0</v>
      </c>
      <c r="F970" s="8">
        <v>0</v>
      </c>
      <c r="G970" s="8">
        <v>0</v>
      </c>
      <c r="H970" s="8">
        <v>2</v>
      </c>
      <c r="I970" s="8">
        <v>2</v>
      </c>
      <c r="J970" s="8">
        <v>2</v>
      </c>
      <c r="K970" s="8">
        <v>2</v>
      </c>
      <c r="L970" s="8">
        <v>2</v>
      </c>
      <c r="M970" s="8">
        <v>2</v>
      </c>
      <c r="N970" s="8">
        <v>0</v>
      </c>
      <c r="O970" s="8">
        <v>2</v>
      </c>
      <c r="P970" s="8">
        <v>2</v>
      </c>
      <c r="Q970" s="8">
        <v>2</v>
      </c>
      <c r="R970" s="8">
        <v>2</v>
      </c>
      <c r="S970" s="8">
        <v>2</v>
      </c>
      <c r="T970" s="8">
        <v>2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11" t="s">
        <v>248</v>
      </c>
    </row>
    <row r="971" spans="1:46" ht="15.1" customHeight="1">
      <c r="A971" s="8"/>
      <c r="B971" s="9"/>
      <c r="C971" s="8"/>
      <c r="D971" s="9"/>
      <c r="E971" s="8">
        <v>0</v>
      </c>
      <c r="F971" s="8">
        <v>0</v>
      </c>
      <c r="G971" s="8">
        <v>0</v>
      </c>
      <c r="H971" s="8">
        <v>5</v>
      </c>
      <c r="I971" s="8">
        <v>4.5</v>
      </c>
      <c r="J971" s="8">
        <v>7</v>
      </c>
      <c r="K971" s="8">
        <v>7</v>
      </c>
      <c r="L971" s="8">
        <v>7</v>
      </c>
      <c r="M971" s="8">
        <v>5</v>
      </c>
      <c r="N971" s="8">
        <v>16.5</v>
      </c>
      <c r="O971" s="8">
        <v>7</v>
      </c>
      <c r="P971" s="8">
        <v>6.5</v>
      </c>
      <c r="Q971" s="8">
        <v>5</v>
      </c>
      <c r="R971" s="8">
        <v>7</v>
      </c>
      <c r="S971" s="8">
        <v>7</v>
      </c>
      <c r="T971" s="8">
        <v>3</v>
      </c>
      <c r="U971" s="8">
        <v>12.5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11" t="s">
        <v>248</v>
      </c>
    </row>
    <row r="972" spans="1:46" ht="15.1" customHeight="1">
      <c r="A972" s="8">
        <v>323</v>
      </c>
      <c r="B972" s="9" t="s">
        <v>906</v>
      </c>
      <c r="C972" s="8" t="s">
        <v>907</v>
      </c>
      <c r="D972" s="9" t="s">
        <v>451</v>
      </c>
      <c r="E972" s="8" t="s">
        <v>54</v>
      </c>
      <c r="F972" s="8" t="s">
        <v>54</v>
      </c>
      <c r="G972" s="10" t="s">
        <v>67</v>
      </c>
      <c r="H972" s="12" t="s">
        <v>55</v>
      </c>
      <c r="I972" s="8" t="s">
        <v>54</v>
      </c>
      <c r="J972" s="8" t="s">
        <v>54</v>
      </c>
      <c r="K972" s="8" t="s">
        <v>54</v>
      </c>
      <c r="L972" s="8" t="s">
        <v>54</v>
      </c>
      <c r="M972" s="8" t="s">
        <v>54</v>
      </c>
      <c r="N972" s="10" t="s">
        <v>67</v>
      </c>
      <c r="O972" s="8" t="s">
        <v>54</v>
      </c>
      <c r="P972" s="8" t="s">
        <v>54</v>
      </c>
      <c r="Q972" s="8" t="s">
        <v>54</v>
      </c>
      <c r="R972" s="8" t="s">
        <v>54</v>
      </c>
      <c r="S972" s="8" t="s">
        <v>54</v>
      </c>
      <c r="T972" s="8" t="s">
        <v>54</v>
      </c>
      <c r="U972" s="10" t="s">
        <v>67</v>
      </c>
      <c r="V972" s="8" t="s">
        <v>54</v>
      </c>
      <c r="W972" s="8" t="s">
        <v>54</v>
      </c>
      <c r="X972" s="8" t="s">
        <v>54</v>
      </c>
      <c r="Y972" s="8" t="s">
        <v>54</v>
      </c>
      <c r="Z972" s="8" t="s">
        <v>54</v>
      </c>
      <c r="AA972" s="8" t="s">
        <v>54</v>
      </c>
      <c r="AB972" s="10" t="s">
        <v>67</v>
      </c>
      <c r="AC972" s="8" t="s">
        <v>54</v>
      </c>
      <c r="AD972" s="8" t="s">
        <v>54</v>
      </c>
      <c r="AE972" s="8" t="s">
        <v>54</v>
      </c>
      <c r="AF972" s="8" t="s">
        <v>54</v>
      </c>
      <c r="AG972" s="8" t="s">
        <v>54</v>
      </c>
      <c r="AH972" s="8" t="s">
        <v>54</v>
      </c>
      <c r="AI972" s="10" t="s">
        <v>67</v>
      </c>
      <c r="AJ972" s="8">
        <f>COUNTIF($E$972:$AI$972,"P")</f>
        <v>25</v>
      </c>
      <c r="AK972" s="8">
        <f>COUNTIF($E$972:$AI$972,"A")</f>
        <v>1</v>
      </c>
      <c r="AL972" s="8">
        <f>SUM($E$973:$AI$973)</f>
        <v>30</v>
      </c>
      <c r="AM972" s="8">
        <f>SUM($E$974:$AI$974)</f>
        <v>126.5</v>
      </c>
      <c r="AN972" s="8">
        <f>AL972+AM972</f>
        <v>156.5</v>
      </c>
      <c r="AO972" s="8">
        <f>COUNTIF($E$972:$AI$972,"CL")</f>
        <v>0</v>
      </c>
      <c r="AP972" s="8">
        <f>COUNTIF($E$972:$AI$972,"SL")</f>
        <v>0</v>
      </c>
      <c r="AQ972" s="8">
        <f>COUNTIF($E$972:$AI$972,"EL")</f>
        <v>0</v>
      </c>
      <c r="AR972" s="8">
        <f>COUNTIF($E$972:$AI$972,"H")</f>
        <v>0</v>
      </c>
      <c r="AS972" s="8"/>
      <c r="AT972" s="11" t="s">
        <v>248</v>
      </c>
    </row>
    <row r="973" spans="1:46" ht="15.1" customHeight="1">
      <c r="A973" s="8"/>
      <c r="B973" s="9"/>
      <c r="C973" s="8"/>
      <c r="D973" s="9"/>
      <c r="E973" s="8">
        <v>2</v>
      </c>
      <c r="F973" s="8">
        <v>2</v>
      </c>
      <c r="G973" s="8">
        <v>0</v>
      </c>
      <c r="H973" s="8">
        <v>0</v>
      </c>
      <c r="I973" s="8">
        <v>2</v>
      </c>
      <c r="J973" s="8">
        <v>2</v>
      </c>
      <c r="K973" s="8">
        <v>2</v>
      </c>
      <c r="L973" s="8">
        <v>2</v>
      </c>
      <c r="M973" s="8">
        <v>2</v>
      </c>
      <c r="N973" s="8">
        <v>0</v>
      </c>
      <c r="O973" s="8">
        <v>2</v>
      </c>
      <c r="P973" s="8">
        <v>2</v>
      </c>
      <c r="Q973" s="8">
        <v>2</v>
      </c>
      <c r="R973" s="8">
        <v>2</v>
      </c>
      <c r="S973" s="8">
        <v>2</v>
      </c>
      <c r="T973" s="8">
        <v>2</v>
      </c>
      <c r="U973" s="8">
        <v>0</v>
      </c>
      <c r="V973" s="8">
        <v>2</v>
      </c>
      <c r="W973" s="8">
        <v>2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11" t="s">
        <v>248</v>
      </c>
    </row>
    <row r="974" spans="1:46" ht="15.1" customHeight="1">
      <c r="A974" s="8"/>
      <c r="B974" s="9"/>
      <c r="C974" s="8"/>
      <c r="D974" s="9"/>
      <c r="E974" s="8">
        <v>5</v>
      </c>
      <c r="F974" s="8">
        <v>3</v>
      </c>
      <c r="G974" s="8">
        <v>13</v>
      </c>
      <c r="H974" s="8">
        <v>0</v>
      </c>
      <c r="I974" s="8">
        <v>4.5</v>
      </c>
      <c r="J974" s="8">
        <v>7</v>
      </c>
      <c r="K974" s="8">
        <v>7</v>
      </c>
      <c r="L974" s="8">
        <v>7</v>
      </c>
      <c r="M974" s="8">
        <v>5</v>
      </c>
      <c r="N974" s="8">
        <v>16.5</v>
      </c>
      <c r="O974" s="8">
        <v>7</v>
      </c>
      <c r="P974" s="8">
        <v>7</v>
      </c>
      <c r="Q974" s="8">
        <v>5</v>
      </c>
      <c r="R974" s="8">
        <v>7</v>
      </c>
      <c r="S974" s="8">
        <v>7</v>
      </c>
      <c r="T974" s="8">
        <v>3</v>
      </c>
      <c r="U974" s="8">
        <v>12.5</v>
      </c>
      <c r="V974" s="8">
        <v>7</v>
      </c>
      <c r="W974" s="8">
        <v>3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11" t="s">
        <v>248</v>
      </c>
    </row>
    <row r="975" spans="1:46" ht="15.1" customHeight="1">
      <c r="A975" s="8">
        <v>324</v>
      </c>
      <c r="B975" s="9" t="s">
        <v>908</v>
      </c>
      <c r="C975" s="8" t="s">
        <v>909</v>
      </c>
      <c r="D975" s="9" t="s">
        <v>451</v>
      </c>
      <c r="E975" s="12" t="s">
        <v>55</v>
      </c>
      <c r="F975" s="12" t="s">
        <v>55</v>
      </c>
      <c r="G975" s="10" t="s">
        <v>67</v>
      </c>
      <c r="H975" s="8" t="s">
        <v>54</v>
      </c>
      <c r="I975" s="8" t="s">
        <v>54</v>
      </c>
      <c r="J975" s="8" t="s">
        <v>54</v>
      </c>
      <c r="K975" s="8" t="s">
        <v>54</v>
      </c>
      <c r="L975" s="8" t="s">
        <v>54</v>
      </c>
      <c r="M975" s="8" t="s">
        <v>54</v>
      </c>
      <c r="N975" s="10" t="s">
        <v>67</v>
      </c>
      <c r="O975" s="8" t="s">
        <v>54</v>
      </c>
      <c r="P975" s="8" t="s">
        <v>54</v>
      </c>
      <c r="Q975" s="8" t="s">
        <v>54</v>
      </c>
      <c r="R975" s="8" t="s">
        <v>54</v>
      </c>
      <c r="S975" s="8" t="s">
        <v>54</v>
      </c>
      <c r="T975" s="8" t="s">
        <v>54</v>
      </c>
      <c r="U975" s="10" t="s">
        <v>67</v>
      </c>
      <c r="V975" s="8" t="s">
        <v>54</v>
      </c>
      <c r="W975" s="8" t="s">
        <v>54</v>
      </c>
      <c r="X975" s="8" t="s">
        <v>54</v>
      </c>
      <c r="Y975" s="8" t="s">
        <v>54</v>
      </c>
      <c r="Z975" s="8" t="s">
        <v>54</v>
      </c>
      <c r="AA975" s="8" t="s">
        <v>54</v>
      </c>
      <c r="AB975" s="10" t="s">
        <v>67</v>
      </c>
      <c r="AC975" s="8" t="s">
        <v>54</v>
      </c>
      <c r="AD975" s="8" t="s">
        <v>54</v>
      </c>
      <c r="AE975" s="8" t="s">
        <v>54</v>
      </c>
      <c r="AF975" s="8" t="s">
        <v>54</v>
      </c>
      <c r="AG975" s="8" t="s">
        <v>54</v>
      </c>
      <c r="AH975" s="8" t="s">
        <v>54</v>
      </c>
      <c r="AI975" s="10" t="s">
        <v>67</v>
      </c>
      <c r="AJ975" s="8">
        <f>COUNTIF($E$975:$AI$975,"P")</f>
        <v>24</v>
      </c>
      <c r="AK975" s="8">
        <f>COUNTIF($E$975:$AI$975,"A")</f>
        <v>2</v>
      </c>
      <c r="AL975" s="8">
        <f>SUM($E$976:$AI$976)</f>
        <v>28</v>
      </c>
      <c r="AM975" s="8">
        <f>SUM($E$977:$AI$977)</f>
        <v>110.5</v>
      </c>
      <c r="AN975" s="8">
        <f>AL975+AM975</f>
        <v>138.5</v>
      </c>
      <c r="AO975" s="8">
        <f>COUNTIF($E$975:$AI$975,"CL")</f>
        <v>0</v>
      </c>
      <c r="AP975" s="8">
        <f>COUNTIF($E$975:$AI$975,"SL")</f>
        <v>0</v>
      </c>
      <c r="AQ975" s="8">
        <f>COUNTIF($E$975:$AI$975,"EL")</f>
        <v>0</v>
      </c>
      <c r="AR975" s="8">
        <f>COUNTIF($E$975:$AI$975,"H")</f>
        <v>0</v>
      </c>
      <c r="AS975" s="8"/>
      <c r="AT975" s="11" t="s">
        <v>248</v>
      </c>
    </row>
    <row r="976" spans="1:46" ht="15.1" customHeight="1">
      <c r="A976" s="8"/>
      <c r="B976" s="9"/>
      <c r="C976" s="8"/>
      <c r="D976" s="9"/>
      <c r="E976" s="8">
        <v>0</v>
      </c>
      <c r="F976" s="8">
        <v>0</v>
      </c>
      <c r="G976" s="8">
        <v>0</v>
      </c>
      <c r="H976" s="8">
        <v>2</v>
      </c>
      <c r="I976" s="8">
        <v>2</v>
      </c>
      <c r="J976" s="8">
        <v>2</v>
      </c>
      <c r="K976" s="8">
        <v>2</v>
      </c>
      <c r="L976" s="8">
        <v>2</v>
      </c>
      <c r="M976" s="8">
        <v>2</v>
      </c>
      <c r="N976" s="8">
        <v>0</v>
      </c>
      <c r="O976" s="8">
        <v>2</v>
      </c>
      <c r="P976" s="8">
        <v>2</v>
      </c>
      <c r="Q976" s="8">
        <v>2</v>
      </c>
      <c r="R976" s="8">
        <v>2</v>
      </c>
      <c r="S976" s="8">
        <v>2</v>
      </c>
      <c r="T976" s="8">
        <v>2</v>
      </c>
      <c r="U976" s="8">
        <v>0</v>
      </c>
      <c r="V976" s="8">
        <v>2</v>
      </c>
      <c r="W976" s="8">
        <v>2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11" t="s">
        <v>248</v>
      </c>
    </row>
    <row r="977" spans="1:46" ht="15.1" customHeight="1">
      <c r="A977" s="8"/>
      <c r="B977" s="9"/>
      <c r="C977" s="8"/>
      <c r="D977" s="9"/>
      <c r="E977" s="8">
        <v>0</v>
      </c>
      <c r="F977" s="8">
        <v>0</v>
      </c>
      <c r="G977" s="8">
        <v>0</v>
      </c>
      <c r="H977" s="8">
        <v>5</v>
      </c>
      <c r="I977" s="8">
        <v>4.5</v>
      </c>
      <c r="J977" s="8">
        <v>7</v>
      </c>
      <c r="K977" s="8">
        <v>7</v>
      </c>
      <c r="L977" s="8">
        <v>7</v>
      </c>
      <c r="M977" s="8">
        <v>5</v>
      </c>
      <c r="N977" s="8">
        <v>16.5</v>
      </c>
      <c r="O977" s="8">
        <v>7</v>
      </c>
      <c r="P977" s="8">
        <v>7</v>
      </c>
      <c r="Q977" s="8">
        <v>5</v>
      </c>
      <c r="R977" s="8">
        <v>7</v>
      </c>
      <c r="S977" s="8">
        <v>7</v>
      </c>
      <c r="T977" s="8">
        <v>3</v>
      </c>
      <c r="U977" s="8">
        <v>13</v>
      </c>
      <c r="V977" s="8">
        <v>6.5</v>
      </c>
      <c r="W977" s="8">
        <v>3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11" t="s">
        <v>248</v>
      </c>
    </row>
    <row r="978" spans="1:46" ht="15.1" customHeight="1">
      <c r="A978" s="8">
        <v>325</v>
      </c>
      <c r="B978" s="9" t="s">
        <v>910</v>
      </c>
      <c r="C978" s="8" t="s">
        <v>911</v>
      </c>
      <c r="D978" s="9" t="s">
        <v>451</v>
      </c>
      <c r="E978" s="8" t="s">
        <v>54</v>
      </c>
      <c r="F978" s="8" t="s">
        <v>54</v>
      </c>
      <c r="G978" s="10" t="s">
        <v>67</v>
      </c>
      <c r="H978" s="8" t="s">
        <v>54</v>
      </c>
      <c r="I978" s="8" t="s">
        <v>54</v>
      </c>
      <c r="J978" s="8" t="s">
        <v>54</v>
      </c>
      <c r="K978" s="8" t="s">
        <v>54</v>
      </c>
      <c r="L978" s="8" t="s">
        <v>54</v>
      </c>
      <c r="M978" s="8" t="s">
        <v>54</v>
      </c>
      <c r="N978" s="10" t="s">
        <v>67</v>
      </c>
      <c r="O978" s="8" t="s">
        <v>54</v>
      </c>
      <c r="P978" s="8" t="s">
        <v>54</v>
      </c>
      <c r="Q978" s="8" t="s">
        <v>54</v>
      </c>
      <c r="R978" s="8" t="s">
        <v>54</v>
      </c>
      <c r="S978" s="8" t="s">
        <v>54</v>
      </c>
      <c r="T978" s="8" t="s">
        <v>54</v>
      </c>
      <c r="U978" s="10" t="s">
        <v>67</v>
      </c>
      <c r="V978" s="8" t="s">
        <v>54</v>
      </c>
      <c r="W978" s="8" t="s">
        <v>54</v>
      </c>
      <c r="X978" s="8" t="s">
        <v>54</v>
      </c>
      <c r="Y978" s="8" t="s">
        <v>54</v>
      </c>
      <c r="Z978" s="8" t="s">
        <v>54</v>
      </c>
      <c r="AA978" s="8" t="s">
        <v>54</v>
      </c>
      <c r="AB978" s="10" t="s">
        <v>67</v>
      </c>
      <c r="AC978" s="8" t="s">
        <v>54</v>
      </c>
      <c r="AD978" s="8" t="s">
        <v>54</v>
      </c>
      <c r="AE978" s="8" t="s">
        <v>54</v>
      </c>
      <c r="AF978" s="8" t="s">
        <v>54</v>
      </c>
      <c r="AG978" s="8" t="s">
        <v>54</v>
      </c>
      <c r="AH978" s="8" t="s">
        <v>54</v>
      </c>
      <c r="AI978" s="10" t="s">
        <v>67</v>
      </c>
      <c r="AJ978" s="8">
        <f>COUNTIF($E$978:$AI$978,"P")</f>
        <v>26</v>
      </c>
      <c r="AK978" s="8">
        <f>COUNTIF($E$978:$AI$978,"A")</f>
        <v>0</v>
      </c>
      <c r="AL978" s="8">
        <f>SUM($E$979:$AI$979)</f>
        <v>32</v>
      </c>
      <c r="AM978" s="8">
        <f>SUM($E$980:$AI$980)</f>
        <v>133.5</v>
      </c>
      <c r="AN978" s="8">
        <f>AL978+AM978</f>
        <v>165.5</v>
      </c>
      <c r="AO978" s="8">
        <f>COUNTIF($E$978:$AI$978,"CL")</f>
        <v>0</v>
      </c>
      <c r="AP978" s="8">
        <f>COUNTIF($E$978:$AI$978,"SL")</f>
        <v>0</v>
      </c>
      <c r="AQ978" s="8">
        <f>COUNTIF($E$978:$AI$978,"EL")</f>
        <v>0</v>
      </c>
      <c r="AR978" s="8">
        <f>COUNTIF($E$978:$AI$978,"H")</f>
        <v>0</v>
      </c>
      <c r="AS978" s="8"/>
      <c r="AT978" s="11" t="s">
        <v>248</v>
      </c>
    </row>
    <row r="979" spans="1:46" ht="15.1" customHeight="1">
      <c r="A979" s="8"/>
      <c r="B979" s="9"/>
      <c r="C979" s="8"/>
      <c r="D979" s="9"/>
      <c r="E979" s="8">
        <v>2</v>
      </c>
      <c r="F979" s="8">
        <v>2</v>
      </c>
      <c r="G979" s="8">
        <v>0</v>
      </c>
      <c r="H979" s="8">
        <v>2</v>
      </c>
      <c r="I979" s="8">
        <v>2</v>
      </c>
      <c r="J979" s="8">
        <v>2</v>
      </c>
      <c r="K979" s="8">
        <v>2</v>
      </c>
      <c r="L979" s="8">
        <v>2</v>
      </c>
      <c r="M979" s="8">
        <v>2</v>
      </c>
      <c r="N979" s="8">
        <v>0</v>
      </c>
      <c r="O979" s="8">
        <v>2</v>
      </c>
      <c r="P979" s="8">
        <v>2</v>
      </c>
      <c r="Q979" s="8">
        <v>2</v>
      </c>
      <c r="R979" s="8">
        <v>2</v>
      </c>
      <c r="S979" s="8">
        <v>2</v>
      </c>
      <c r="T979" s="8">
        <v>2</v>
      </c>
      <c r="U979" s="8">
        <v>0</v>
      </c>
      <c r="V979" s="8">
        <v>2</v>
      </c>
      <c r="W979" s="8">
        <v>2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11" t="s">
        <v>248</v>
      </c>
    </row>
    <row r="980" spans="1:46" ht="15.1" customHeight="1">
      <c r="A980" s="8"/>
      <c r="B980" s="9"/>
      <c r="C980" s="8"/>
      <c r="D980" s="9"/>
      <c r="E980" s="8">
        <v>5</v>
      </c>
      <c r="F980" s="8">
        <v>3</v>
      </c>
      <c r="G980" s="8">
        <v>14</v>
      </c>
      <c r="H980" s="8">
        <v>5</v>
      </c>
      <c r="I980" s="8">
        <v>4.5</v>
      </c>
      <c r="J980" s="8">
        <v>7</v>
      </c>
      <c r="K980" s="8">
        <v>7</v>
      </c>
      <c r="L980" s="8">
        <v>7</v>
      </c>
      <c r="M980" s="8">
        <v>5</v>
      </c>
      <c r="N980" s="8">
        <v>17</v>
      </c>
      <c r="O980" s="8">
        <v>7</v>
      </c>
      <c r="P980" s="8">
        <v>7</v>
      </c>
      <c r="Q980" s="8">
        <v>5</v>
      </c>
      <c r="R980" s="8">
        <v>7</v>
      </c>
      <c r="S980" s="8">
        <v>7</v>
      </c>
      <c r="T980" s="8">
        <v>3</v>
      </c>
      <c r="U980" s="8">
        <v>13</v>
      </c>
      <c r="V980" s="8">
        <v>7</v>
      </c>
      <c r="W980" s="8">
        <v>3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11" t="s">
        <v>248</v>
      </c>
    </row>
    <row r="981" spans="1:46" ht="15.1" customHeight="1">
      <c r="A981" s="8">
        <v>326</v>
      </c>
      <c r="B981" s="9" t="s">
        <v>912</v>
      </c>
      <c r="C981" s="8" t="s">
        <v>913</v>
      </c>
      <c r="D981" s="9" t="s">
        <v>451</v>
      </c>
      <c r="E981" s="8" t="s">
        <v>54</v>
      </c>
      <c r="F981" s="8" t="s">
        <v>54</v>
      </c>
      <c r="G981" s="10" t="s">
        <v>67</v>
      </c>
      <c r="H981" s="8" t="s">
        <v>54</v>
      </c>
      <c r="I981" s="8" t="s">
        <v>54</v>
      </c>
      <c r="J981" s="8" t="s">
        <v>54</v>
      </c>
      <c r="K981" s="8" t="s">
        <v>54</v>
      </c>
      <c r="L981" s="8" t="s">
        <v>54</v>
      </c>
      <c r="M981" s="8" t="s">
        <v>54</v>
      </c>
      <c r="N981" s="10" t="s">
        <v>67</v>
      </c>
      <c r="O981" s="8" t="s">
        <v>54</v>
      </c>
      <c r="P981" s="8" t="s">
        <v>54</v>
      </c>
      <c r="Q981" s="8" t="s">
        <v>54</v>
      </c>
      <c r="R981" s="8" t="s">
        <v>54</v>
      </c>
      <c r="S981" s="8" t="s">
        <v>54</v>
      </c>
      <c r="T981" s="8" t="s">
        <v>54</v>
      </c>
      <c r="U981" s="10" t="s">
        <v>67</v>
      </c>
      <c r="V981" s="8" t="s">
        <v>54</v>
      </c>
      <c r="W981" s="8" t="s">
        <v>54</v>
      </c>
      <c r="X981" s="8" t="s">
        <v>54</v>
      </c>
      <c r="Y981" s="12" t="s">
        <v>55</v>
      </c>
      <c r="Z981" s="12" t="s">
        <v>55</v>
      </c>
      <c r="AA981" s="12" t="s">
        <v>55</v>
      </c>
      <c r="AB981" s="10" t="s">
        <v>67</v>
      </c>
      <c r="AC981" s="8" t="s">
        <v>54</v>
      </c>
      <c r="AD981" s="8" t="s">
        <v>54</v>
      </c>
      <c r="AE981" s="8" t="s">
        <v>54</v>
      </c>
      <c r="AF981" s="8" t="s">
        <v>54</v>
      </c>
      <c r="AG981" s="8" t="s">
        <v>54</v>
      </c>
      <c r="AH981" s="8" t="s">
        <v>54</v>
      </c>
      <c r="AI981" s="10" t="s">
        <v>67</v>
      </c>
      <c r="AJ981" s="8">
        <f>COUNTIF($E$981:$AI$981,"P")</f>
        <v>23</v>
      </c>
      <c r="AK981" s="8">
        <f>COUNTIF($E$981:$AI$981,"A")</f>
        <v>3</v>
      </c>
      <c r="AL981" s="8">
        <f>SUM($E$982:$AI$982)</f>
        <v>32</v>
      </c>
      <c r="AM981" s="8">
        <f>SUM($E$983:$AI$983)</f>
        <v>111.5</v>
      </c>
      <c r="AN981" s="8">
        <f>AL981+AM981</f>
        <v>143.5</v>
      </c>
      <c r="AO981" s="8">
        <f>COUNTIF($E$981:$AI$981,"CL")</f>
        <v>0</v>
      </c>
      <c r="AP981" s="8">
        <f>COUNTIF($E$981:$AI$981,"SL")</f>
        <v>0</v>
      </c>
      <c r="AQ981" s="8">
        <f>COUNTIF($E$981:$AI$981,"EL")</f>
        <v>0</v>
      </c>
      <c r="AR981" s="8">
        <f>COUNTIF($E$981:$AI$981,"H")</f>
        <v>0</v>
      </c>
      <c r="AS981" s="8"/>
      <c r="AT981" s="11" t="s">
        <v>248</v>
      </c>
    </row>
    <row r="982" spans="1:46" ht="15.1" customHeight="1">
      <c r="A982" s="8"/>
      <c r="B982" s="9"/>
      <c r="C982" s="8"/>
      <c r="D982" s="9"/>
      <c r="E982" s="8">
        <v>2</v>
      </c>
      <c r="F982" s="8">
        <v>2</v>
      </c>
      <c r="G982" s="8">
        <v>0</v>
      </c>
      <c r="H982" s="8">
        <v>2</v>
      </c>
      <c r="I982" s="8">
        <v>2</v>
      </c>
      <c r="J982" s="8">
        <v>2</v>
      </c>
      <c r="K982" s="8">
        <v>2</v>
      </c>
      <c r="L982" s="8">
        <v>2</v>
      </c>
      <c r="M982" s="8">
        <v>2</v>
      </c>
      <c r="N982" s="8">
        <v>0</v>
      </c>
      <c r="O982" s="8">
        <v>2</v>
      </c>
      <c r="P982" s="8">
        <v>2</v>
      </c>
      <c r="Q982" s="8">
        <v>2</v>
      </c>
      <c r="R982" s="8">
        <v>2</v>
      </c>
      <c r="S982" s="8">
        <v>2</v>
      </c>
      <c r="T982" s="8">
        <v>2</v>
      </c>
      <c r="U982" s="8">
        <v>0</v>
      </c>
      <c r="V982" s="8">
        <v>2</v>
      </c>
      <c r="W982" s="8">
        <v>2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11" t="s">
        <v>248</v>
      </c>
    </row>
    <row r="983" spans="1:46" ht="15.1" customHeight="1">
      <c r="A983" s="8"/>
      <c r="B983" s="9"/>
      <c r="C983" s="8"/>
      <c r="D983" s="9"/>
      <c r="E983" s="8">
        <v>5</v>
      </c>
      <c r="F983" s="8">
        <v>3</v>
      </c>
      <c r="G983" s="8">
        <v>9.5</v>
      </c>
      <c r="H983" s="8">
        <v>5</v>
      </c>
      <c r="I983" s="8">
        <v>4.5</v>
      </c>
      <c r="J983" s="8">
        <v>7</v>
      </c>
      <c r="K983" s="8">
        <v>7</v>
      </c>
      <c r="L983" s="8">
        <v>7</v>
      </c>
      <c r="M983" s="8">
        <v>5</v>
      </c>
      <c r="N983" s="8">
        <v>0</v>
      </c>
      <c r="O983" s="8">
        <v>7</v>
      </c>
      <c r="P983" s="8">
        <v>7</v>
      </c>
      <c r="Q983" s="8">
        <v>5</v>
      </c>
      <c r="R983" s="8">
        <v>7</v>
      </c>
      <c r="S983" s="8">
        <v>7</v>
      </c>
      <c r="T983" s="8">
        <v>3</v>
      </c>
      <c r="U983" s="8">
        <v>12.5</v>
      </c>
      <c r="V983" s="8">
        <v>7</v>
      </c>
      <c r="W983" s="8">
        <v>3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11" t="s">
        <v>248</v>
      </c>
    </row>
    <row r="984" spans="1:46" ht="15.1" customHeight="1">
      <c r="A984" s="8">
        <v>327</v>
      </c>
      <c r="B984" s="9" t="s">
        <v>914</v>
      </c>
      <c r="C984" s="8" t="s">
        <v>915</v>
      </c>
      <c r="D984" s="9" t="s">
        <v>451</v>
      </c>
      <c r="E984" s="8" t="s">
        <v>54</v>
      </c>
      <c r="F984" s="8" t="s">
        <v>54</v>
      </c>
      <c r="G984" s="10" t="s">
        <v>67</v>
      </c>
      <c r="H984" s="8" t="s">
        <v>54</v>
      </c>
      <c r="I984" s="8" t="s">
        <v>54</v>
      </c>
      <c r="J984" s="8" t="s">
        <v>54</v>
      </c>
      <c r="K984" s="8" t="s">
        <v>54</v>
      </c>
      <c r="L984" s="8" t="s">
        <v>54</v>
      </c>
      <c r="M984" s="8" t="s">
        <v>54</v>
      </c>
      <c r="N984" s="10" t="s">
        <v>67</v>
      </c>
      <c r="O984" s="12" t="s">
        <v>55</v>
      </c>
      <c r="P984" s="12" t="s">
        <v>55</v>
      </c>
      <c r="Q984" s="8" t="s">
        <v>54</v>
      </c>
      <c r="R984" s="8" t="s">
        <v>54</v>
      </c>
      <c r="S984" s="8" t="s">
        <v>54</v>
      </c>
      <c r="T984" s="8" t="s">
        <v>54</v>
      </c>
      <c r="U984" s="10" t="s">
        <v>67</v>
      </c>
      <c r="V984" s="8" t="s">
        <v>54</v>
      </c>
      <c r="W984" s="8" t="s">
        <v>54</v>
      </c>
      <c r="X984" s="8" t="s">
        <v>54</v>
      </c>
      <c r="Y984" s="8" t="s">
        <v>54</v>
      </c>
      <c r="Z984" s="8" t="s">
        <v>54</v>
      </c>
      <c r="AA984" s="8" t="s">
        <v>54</v>
      </c>
      <c r="AB984" s="10" t="s">
        <v>67</v>
      </c>
      <c r="AC984" s="8" t="s">
        <v>54</v>
      </c>
      <c r="AD984" s="8" t="s">
        <v>54</v>
      </c>
      <c r="AE984" s="8" t="s">
        <v>54</v>
      </c>
      <c r="AF984" s="8" t="s">
        <v>54</v>
      </c>
      <c r="AG984" s="8" t="s">
        <v>54</v>
      </c>
      <c r="AH984" s="8" t="s">
        <v>54</v>
      </c>
      <c r="AI984" s="10" t="s">
        <v>67</v>
      </c>
      <c r="AJ984" s="8">
        <f>COUNTIF($E$984:$AI$984,"P")</f>
        <v>24</v>
      </c>
      <c r="AK984" s="8">
        <f>COUNTIF($E$984:$AI$984,"A")</f>
        <v>2</v>
      </c>
      <c r="AL984" s="8">
        <f>SUM($E$985:$AI$985)</f>
        <v>26</v>
      </c>
      <c r="AM984" s="8">
        <f>SUM($E$986:$AI$986)</f>
        <v>95.5</v>
      </c>
      <c r="AN984" s="8">
        <f>AL984+AM984</f>
        <v>121.5</v>
      </c>
      <c r="AO984" s="8">
        <f>COUNTIF($E$984:$AI$984,"CL")</f>
        <v>0</v>
      </c>
      <c r="AP984" s="8">
        <f>COUNTIF($E$984:$AI$984,"SL")</f>
        <v>0</v>
      </c>
      <c r="AQ984" s="8">
        <f>COUNTIF($E$984:$AI$984,"EL")</f>
        <v>0</v>
      </c>
      <c r="AR984" s="8">
        <f>COUNTIF($E$984:$AI$984,"H")</f>
        <v>0</v>
      </c>
      <c r="AS984" s="8"/>
      <c r="AT984" s="11" t="s">
        <v>248</v>
      </c>
    </row>
    <row r="985" spans="1:46" ht="15.1" customHeight="1">
      <c r="A985" s="8"/>
      <c r="B985" s="9"/>
      <c r="C985" s="8"/>
      <c r="D985" s="9"/>
      <c r="E985" s="8">
        <v>2</v>
      </c>
      <c r="F985" s="8">
        <v>2</v>
      </c>
      <c r="G985" s="8">
        <v>0</v>
      </c>
      <c r="H985" s="8">
        <v>2</v>
      </c>
      <c r="I985" s="8">
        <v>2</v>
      </c>
      <c r="J985" s="8">
        <v>2</v>
      </c>
      <c r="K985" s="8">
        <v>2</v>
      </c>
      <c r="L985" s="8">
        <v>2</v>
      </c>
      <c r="M985" s="8">
        <v>0</v>
      </c>
      <c r="N985" s="8">
        <v>0</v>
      </c>
      <c r="O985" s="8">
        <v>0</v>
      </c>
      <c r="P985" s="8">
        <v>0</v>
      </c>
      <c r="Q985" s="8">
        <v>2</v>
      </c>
      <c r="R985" s="8">
        <v>2</v>
      </c>
      <c r="S985" s="8">
        <v>2</v>
      </c>
      <c r="T985" s="8">
        <v>2</v>
      </c>
      <c r="U985" s="8">
        <v>0</v>
      </c>
      <c r="V985" s="8">
        <v>2</v>
      </c>
      <c r="W985" s="8">
        <v>2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11" t="s">
        <v>248</v>
      </c>
    </row>
    <row r="986" spans="1:46" ht="15.1" customHeight="1">
      <c r="A986" s="8"/>
      <c r="B986" s="9"/>
      <c r="C986" s="8"/>
      <c r="D986" s="9"/>
      <c r="E986" s="8">
        <v>4.5</v>
      </c>
      <c r="F986" s="8">
        <v>3</v>
      </c>
      <c r="G986" s="8">
        <v>12.5</v>
      </c>
      <c r="H986" s="8">
        <v>5</v>
      </c>
      <c r="I986" s="8">
        <v>5</v>
      </c>
      <c r="J986" s="8">
        <v>6.5</v>
      </c>
      <c r="K986" s="8">
        <v>7</v>
      </c>
      <c r="L986" s="8">
        <v>7</v>
      </c>
      <c r="M986" s="8">
        <v>0</v>
      </c>
      <c r="N986" s="8">
        <v>0</v>
      </c>
      <c r="O986" s="8">
        <v>0</v>
      </c>
      <c r="P986" s="8">
        <v>0</v>
      </c>
      <c r="Q986" s="8">
        <v>5</v>
      </c>
      <c r="R986" s="8">
        <v>6.5</v>
      </c>
      <c r="S986" s="8">
        <v>6.5</v>
      </c>
      <c r="T986" s="8">
        <v>2</v>
      </c>
      <c r="U986" s="8">
        <v>11.5</v>
      </c>
      <c r="V986" s="8">
        <v>7</v>
      </c>
      <c r="W986" s="8">
        <v>6.5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11" t="s">
        <v>248</v>
      </c>
    </row>
    <row r="987" spans="1:46" ht="15.1" customHeight="1">
      <c r="A987" s="8">
        <v>328</v>
      </c>
      <c r="B987" s="9" t="s">
        <v>916</v>
      </c>
      <c r="C987" s="8" t="s">
        <v>917</v>
      </c>
      <c r="D987" s="9" t="s">
        <v>451</v>
      </c>
      <c r="E987" s="8" t="s">
        <v>54</v>
      </c>
      <c r="F987" s="12" t="s">
        <v>55</v>
      </c>
      <c r="G987" s="10" t="s">
        <v>67</v>
      </c>
      <c r="H987" s="8" t="s">
        <v>54</v>
      </c>
      <c r="I987" s="8" t="s">
        <v>54</v>
      </c>
      <c r="J987" s="12" t="s">
        <v>55</v>
      </c>
      <c r="K987" s="12" t="s">
        <v>55</v>
      </c>
      <c r="L987" s="8" t="s">
        <v>54</v>
      </c>
      <c r="M987" s="8" t="s">
        <v>54</v>
      </c>
      <c r="N987" s="10" t="s">
        <v>67</v>
      </c>
      <c r="O987" s="8" t="s">
        <v>54</v>
      </c>
      <c r="P987" s="8" t="s">
        <v>54</v>
      </c>
      <c r="Q987" s="8" t="s">
        <v>54</v>
      </c>
      <c r="R987" s="8" t="s">
        <v>54</v>
      </c>
      <c r="S987" s="8" t="s">
        <v>54</v>
      </c>
      <c r="T987" s="8" t="s">
        <v>54</v>
      </c>
      <c r="U987" s="10" t="s">
        <v>67</v>
      </c>
      <c r="V987" s="8" t="s">
        <v>54</v>
      </c>
      <c r="W987" s="8" t="s">
        <v>54</v>
      </c>
      <c r="X987" s="8" t="s">
        <v>54</v>
      </c>
      <c r="Y987" s="8" t="s">
        <v>54</v>
      </c>
      <c r="Z987" s="8" t="s">
        <v>54</v>
      </c>
      <c r="AA987" s="8" t="s">
        <v>54</v>
      </c>
      <c r="AB987" s="10" t="s">
        <v>67</v>
      </c>
      <c r="AC987" s="8" t="s">
        <v>54</v>
      </c>
      <c r="AD987" s="8" t="s">
        <v>54</v>
      </c>
      <c r="AE987" s="8" t="s">
        <v>54</v>
      </c>
      <c r="AF987" s="8" t="s">
        <v>54</v>
      </c>
      <c r="AG987" s="8" t="s">
        <v>54</v>
      </c>
      <c r="AH987" s="8" t="s">
        <v>54</v>
      </c>
      <c r="AI987" s="10" t="s">
        <v>67</v>
      </c>
      <c r="AJ987" s="8">
        <f>COUNTIF($E$987:$AI$987,"P")</f>
        <v>23</v>
      </c>
      <c r="AK987" s="8">
        <f>COUNTIF($E$987:$AI$987,"A")</f>
        <v>3</v>
      </c>
      <c r="AL987" s="8">
        <f>SUM($E$988:$AI$988)</f>
        <v>20</v>
      </c>
      <c r="AM987" s="8">
        <f>SUM($E$989:$AI$989)</f>
        <v>71</v>
      </c>
      <c r="AN987" s="8">
        <f>AL987+AM987</f>
        <v>91</v>
      </c>
      <c r="AO987" s="8">
        <f>COUNTIF($E$987:$AI$987,"CL")</f>
        <v>0</v>
      </c>
      <c r="AP987" s="8">
        <f>COUNTIF($E$987:$AI$987,"SL")</f>
        <v>0</v>
      </c>
      <c r="AQ987" s="8">
        <f>COUNTIF($E$987:$AI$987,"EL")</f>
        <v>0</v>
      </c>
      <c r="AR987" s="8">
        <f>COUNTIF($E$987:$AI$987,"H")</f>
        <v>0</v>
      </c>
      <c r="AS987" s="8"/>
      <c r="AT987" s="11" t="s">
        <v>248</v>
      </c>
    </row>
    <row r="988" spans="1:46" ht="15.1" customHeight="1">
      <c r="A988" s="8"/>
      <c r="B988" s="9"/>
      <c r="C988" s="8"/>
      <c r="D988" s="9"/>
      <c r="E988" s="8">
        <v>0</v>
      </c>
      <c r="F988" s="8">
        <v>0</v>
      </c>
      <c r="G988" s="8">
        <v>0</v>
      </c>
      <c r="H988" s="8">
        <v>2</v>
      </c>
      <c r="I988" s="8">
        <v>0</v>
      </c>
      <c r="J988" s="8">
        <v>0</v>
      </c>
      <c r="K988" s="8">
        <v>0</v>
      </c>
      <c r="L988" s="8">
        <v>2</v>
      </c>
      <c r="M988" s="8">
        <v>0</v>
      </c>
      <c r="N988" s="8">
        <v>0</v>
      </c>
      <c r="O988" s="8">
        <v>2</v>
      </c>
      <c r="P988" s="8">
        <v>2</v>
      </c>
      <c r="Q988" s="8">
        <v>2</v>
      </c>
      <c r="R988" s="8">
        <v>2</v>
      </c>
      <c r="S988" s="8">
        <v>2</v>
      </c>
      <c r="T988" s="8">
        <v>2</v>
      </c>
      <c r="U988" s="8">
        <v>0</v>
      </c>
      <c r="V988" s="8">
        <v>2</v>
      </c>
      <c r="W988" s="8">
        <v>2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11" t="s">
        <v>248</v>
      </c>
    </row>
    <row r="989" spans="1:46" ht="15.1" customHeight="1">
      <c r="A989" s="8"/>
      <c r="B989" s="9"/>
      <c r="C989" s="8"/>
      <c r="D989" s="9"/>
      <c r="E989" s="8">
        <v>0</v>
      </c>
      <c r="F989" s="8">
        <v>0</v>
      </c>
      <c r="G989" s="8">
        <v>0</v>
      </c>
      <c r="H989" s="8">
        <v>5</v>
      </c>
      <c r="I989" s="8">
        <v>0</v>
      </c>
      <c r="J989" s="8">
        <v>0</v>
      </c>
      <c r="K989" s="8">
        <v>0</v>
      </c>
      <c r="L989" s="8">
        <v>7</v>
      </c>
      <c r="M989" s="8">
        <v>0</v>
      </c>
      <c r="N989" s="8">
        <v>0</v>
      </c>
      <c r="O989" s="8">
        <v>7</v>
      </c>
      <c r="P989" s="8">
        <v>7</v>
      </c>
      <c r="Q989" s="8">
        <v>5</v>
      </c>
      <c r="R989" s="8">
        <v>7</v>
      </c>
      <c r="S989" s="8">
        <v>7</v>
      </c>
      <c r="T989" s="8">
        <v>3</v>
      </c>
      <c r="U989" s="8">
        <v>13</v>
      </c>
      <c r="V989" s="8">
        <v>7</v>
      </c>
      <c r="W989" s="8">
        <v>3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11" t="s">
        <v>248</v>
      </c>
    </row>
    <row r="990" spans="1:46" ht="15.1" customHeight="1">
      <c r="A990" s="8">
        <v>329</v>
      </c>
      <c r="B990" s="9" t="s">
        <v>918</v>
      </c>
      <c r="C990" s="8" t="s">
        <v>919</v>
      </c>
      <c r="D990" s="9" t="s">
        <v>451</v>
      </c>
      <c r="E990" s="8" t="s">
        <v>54</v>
      </c>
      <c r="F990" s="8" t="s">
        <v>54</v>
      </c>
      <c r="G990" s="10" t="s">
        <v>67</v>
      </c>
      <c r="H990" s="8" t="s">
        <v>54</v>
      </c>
      <c r="I990" s="8" t="s">
        <v>54</v>
      </c>
      <c r="J990" s="8" t="s">
        <v>54</v>
      </c>
      <c r="K990" s="8" t="s">
        <v>54</v>
      </c>
      <c r="L990" s="8" t="s">
        <v>54</v>
      </c>
      <c r="M990" s="12" t="s">
        <v>55</v>
      </c>
      <c r="N990" s="10" t="s">
        <v>67</v>
      </c>
      <c r="O990" s="8" t="s">
        <v>54</v>
      </c>
      <c r="P990" s="8" t="s">
        <v>54</v>
      </c>
      <c r="Q990" s="8" t="s">
        <v>54</v>
      </c>
      <c r="R990" s="8" t="s">
        <v>54</v>
      </c>
      <c r="S990" s="8" t="s">
        <v>54</v>
      </c>
      <c r="T990" s="8" t="s">
        <v>54</v>
      </c>
      <c r="U990" s="10" t="s">
        <v>67</v>
      </c>
      <c r="V990" s="8" t="s">
        <v>54</v>
      </c>
      <c r="W990" s="12" t="s">
        <v>55</v>
      </c>
      <c r="X990" s="12" t="s">
        <v>55</v>
      </c>
      <c r="Y990" s="8" t="s">
        <v>54</v>
      </c>
      <c r="Z990" s="8" t="s">
        <v>54</v>
      </c>
      <c r="AA990" s="8" t="s">
        <v>54</v>
      </c>
      <c r="AB990" s="10" t="s">
        <v>67</v>
      </c>
      <c r="AC990" s="8" t="s">
        <v>54</v>
      </c>
      <c r="AD990" s="8" t="s">
        <v>54</v>
      </c>
      <c r="AE990" s="8" t="s">
        <v>54</v>
      </c>
      <c r="AF990" s="8" t="s">
        <v>54</v>
      </c>
      <c r="AG990" s="8" t="s">
        <v>54</v>
      </c>
      <c r="AH990" s="8" t="s">
        <v>54</v>
      </c>
      <c r="AI990" s="10" t="s">
        <v>67</v>
      </c>
      <c r="AJ990" s="8">
        <f>COUNTIF($E$990:$AI$990,"P")</f>
        <v>23</v>
      </c>
      <c r="AK990" s="8">
        <f>COUNTIF($E$990:$AI$990,"A")</f>
        <v>3</v>
      </c>
      <c r="AL990" s="8">
        <f>SUM($E$991:$AI$991)</f>
        <v>26</v>
      </c>
      <c r="AM990" s="8">
        <f>SUM($E$992:$AI$992)</f>
        <v>86</v>
      </c>
      <c r="AN990" s="8">
        <f>AL990+AM990</f>
        <v>112</v>
      </c>
      <c r="AO990" s="8">
        <f>COUNTIF($E$990:$AI$990,"CL")</f>
        <v>0</v>
      </c>
      <c r="AP990" s="8">
        <f>COUNTIF($E$990:$AI$990,"SL")</f>
        <v>0</v>
      </c>
      <c r="AQ990" s="8">
        <f>COUNTIF($E$990:$AI$990,"EL")</f>
        <v>0</v>
      </c>
      <c r="AR990" s="8">
        <f>COUNTIF($E$990:$AI$990,"H")</f>
        <v>0</v>
      </c>
      <c r="AS990" s="8"/>
      <c r="AT990" s="11" t="s">
        <v>248</v>
      </c>
    </row>
    <row r="991" spans="1:46" ht="15.1" customHeight="1">
      <c r="A991" s="8"/>
      <c r="B991" s="9"/>
      <c r="C991" s="8"/>
      <c r="D991" s="9"/>
      <c r="E991" s="8">
        <v>2</v>
      </c>
      <c r="F991" s="8">
        <v>2</v>
      </c>
      <c r="G991" s="8">
        <v>0</v>
      </c>
      <c r="H991" s="8">
        <v>2</v>
      </c>
      <c r="I991" s="8">
        <v>2</v>
      </c>
      <c r="J991" s="8">
        <v>2</v>
      </c>
      <c r="K991" s="8">
        <v>2</v>
      </c>
      <c r="L991" s="8">
        <v>2</v>
      </c>
      <c r="M991" s="8">
        <v>0</v>
      </c>
      <c r="N991" s="8">
        <v>0</v>
      </c>
      <c r="O991" s="8">
        <v>2</v>
      </c>
      <c r="P991" s="8">
        <v>2</v>
      </c>
      <c r="Q991" s="8">
        <v>2</v>
      </c>
      <c r="R991" s="8">
        <v>2</v>
      </c>
      <c r="S991" s="8">
        <v>2</v>
      </c>
      <c r="T991" s="8">
        <v>2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11" t="s">
        <v>248</v>
      </c>
    </row>
    <row r="992" spans="1:46" ht="15.1" customHeight="1">
      <c r="A992" s="8"/>
      <c r="B992" s="9"/>
      <c r="C992" s="8"/>
      <c r="D992" s="9"/>
      <c r="E992" s="8">
        <v>4.5</v>
      </c>
      <c r="F992" s="8">
        <v>3</v>
      </c>
      <c r="G992" s="8">
        <v>13.5</v>
      </c>
      <c r="H992" s="8">
        <v>3</v>
      </c>
      <c r="I992" s="8">
        <v>4.5</v>
      </c>
      <c r="J992" s="8">
        <v>7</v>
      </c>
      <c r="K992" s="8">
        <v>7</v>
      </c>
      <c r="L992" s="8">
        <v>7</v>
      </c>
      <c r="M992" s="8">
        <v>0</v>
      </c>
      <c r="N992" s="8">
        <v>0</v>
      </c>
      <c r="O992" s="8">
        <v>3</v>
      </c>
      <c r="P992" s="8">
        <v>7</v>
      </c>
      <c r="Q992" s="8">
        <v>5</v>
      </c>
      <c r="R992" s="8">
        <v>7</v>
      </c>
      <c r="S992" s="8">
        <v>7</v>
      </c>
      <c r="T992" s="8">
        <v>3</v>
      </c>
      <c r="U992" s="8">
        <v>4.5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11" t="s">
        <v>248</v>
      </c>
    </row>
    <row r="993" spans="1:46" ht="15.1" customHeight="1">
      <c r="A993" s="8">
        <v>330</v>
      </c>
      <c r="B993" s="9" t="s">
        <v>920</v>
      </c>
      <c r="C993" s="8" t="s">
        <v>921</v>
      </c>
      <c r="D993" s="9" t="s">
        <v>451</v>
      </c>
      <c r="E993" s="8" t="s">
        <v>54</v>
      </c>
      <c r="F993" s="8" t="s">
        <v>54</v>
      </c>
      <c r="G993" s="10" t="s">
        <v>67</v>
      </c>
      <c r="H993" s="8" t="s">
        <v>54</v>
      </c>
      <c r="I993" s="8" t="s">
        <v>54</v>
      </c>
      <c r="J993" s="8" t="s">
        <v>54</v>
      </c>
      <c r="K993" s="8" t="s">
        <v>54</v>
      </c>
      <c r="L993" s="8" t="s">
        <v>54</v>
      </c>
      <c r="M993" s="8" t="s">
        <v>54</v>
      </c>
      <c r="N993" s="10" t="s">
        <v>67</v>
      </c>
      <c r="O993" s="8" t="s">
        <v>54</v>
      </c>
      <c r="P993" s="8" t="s">
        <v>54</v>
      </c>
      <c r="Q993" s="8" t="s">
        <v>54</v>
      </c>
      <c r="R993" s="8" t="s">
        <v>54</v>
      </c>
      <c r="S993" s="8" t="s">
        <v>54</v>
      </c>
      <c r="T993" s="8" t="s">
        <v>54</v>
      </c>
      <c r="U993" s="10" t="s">
        <v>67</v>
      </c>
      <c r="V993" s="8" t="s">
        <v>54</v>
      </c>
      <c r="W993" s="8" t="s">
        <v>54</v>
      </c>
      <c r="X993" s="8" t="s">
        <v>54</v>
      </c>
      <c r="Y993" s="8" t="s">
        <v>54</v>
      </c>
      <c r="Z993" s="8" t="s">
        <v>54</v>
      </c>
      <c r="AA993" s="8" t="s">
        <v>54</v>
      </c>
      <c r="AB993" s="10" t="s">
        <v>67</v>
      </c>
      <c r="AC993" s="8" t="s">
        <v>54</v>
      </c>
      <c r="AD993" s="12" t="s">
        <v>55</v>
      </c>
      <c r="AE993" s="12" t="s">
        <v>55</v>
      </c>
      <c r="AF993" s="12" t="s">
        <v>55</v>
      </c>
      <c r="AG993" s="8" t="s">
        <v>54</v>
      </c>
      <c r="AH993" s="8" t="s">
        <v>54</v>
      </c>
      <c r="AI993" s="10" t="s">
        <v>67</v>
      </c>
      <c r="AJ993" s="8">
        <f>COUNTIF($E$993:$AI$993,"P")</f>
        <v>23</v>
      </c>
      <c r="AK993" s="8">
        <f>COUNTIF($E$993:$AI$993,"A")</f>
        <v>3</v>
      </c>
      <c r="AL993" s="8">
        <f>SUM($E$994:$AI$994)</f>
        <v>32</v>
      </c>
      <c r="AM993" s="8">
        <f>SUM($E$995:$AI$995)</f>
        <v>127.5</v>
      </c>
      <c r="AN993" s="8">
        <f>AL993+AM993</f>
        <v>159.5</v>
      </c>
      <c r="AO993" s="8">
        <f>COUNTIF($E$993:$AI$993,"CL")</f>
        <v>0</v>
      </c>
      <c r="AP993" s="8">
        <f>COUNTIF($E$993:$AI$993,"SL")</f>
        <v>0</v>
      </c>
      <c r="AQ993" s="8">
        <f>COUNTIF($E$993:$AI$993,"EL")</f>
        <v>0</v>
      </c>
      <c r="AR993" s="8">
        <f>COUNTIF($E$993:$AI$993,"H")</f>
        <v>0</v>
      </c>
      <c r="AS993" s="8"/>
      <c r="AT993" s="11" t="s">
        <v>248</v>
      </c>
    </row>
    <row r="994" spans="1:46" ht="15.1" customHeight="1">
      <c r="A994" s="8"/>
      <c r="B994" s="9"/>
      <c r="C994" s="8"/>
      <c r="D994" s="9"/>
      <c r="E994" s="8">
        <v>2</v>
      </c>
      <c r="F994" s="8">
        <v>2</v>
      </c>
      <c r="G994" s="8">
        <v>0</v>
      </c>
      <c r="H994" s="8">
        <v>2</v>
      </c>
      <c r="I994" s="8">
        <v>2</v>
      </c>
      <c r="J994" s="8">
        <v>2</v>
      </c>
      <c r="K994" s="8">
        <v>2</v>
      </c>
      <c r="L994" s="8">
        <v>2</v>
      </c>
      <c r="M994" s="8">
        <v>2</v>
      </c>
      <c r="N994" s="8">
        <v>0</v>
      </c>
      <c r="O994" s="8">
        <v>2</v>
      </c>
      <c r="P994" s="8">
        <v>2</v>
      </c>
      <c r="Q994" s="8">
        <v>2</v>
      </c>
      <c r="R994" s="8">
        <v>2</v>
      </c>
      <c r="S994" s="8">
        <v>2</v>
      </c>
      <c r="T994" s="8">
        <v>2</v>
      </c>
      <c r="U994" s="8">
        <v>0</v>
      </c>
      <c r="V994" s="8">
        <v>2</v>
      </c>
      <c r="W994" s="8">
        <v>2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11" t="s">
        <v>248</v>
      </c>
    </row>
    <row r="995" spans="1:46" ht="15.1" customHeight="1">
      <c r="A995" s="8"/>
      <c r="B995" s="9"/>
      <c r="C995" s="8"/>
      <c r="D995" s="9"/>
      <c r="E995" s="8">
        <v>4.5</v>
      </c>
      <c r="F995" s="8">
        <v>3</v>
      </c>
      <c r="G995" s="8">
        <v>13.5</v>
      </c>
      <c r="H995" s="8">
        <v>5</v>
      </c>
      <c r="I995" s="8">
        <v>4.5</v>
      </c>
      <c r="J995" s="8">
        <v>7</v>
      </c>
      <c r="K995" s="8">
        <v>7</v>
      </c>
      <c r="L995" s="8">
        <v>7</v>
      </c>
      <c r="M995" s="8">
        <v>5</v>
      </c>
      <c r="N995" s="8">
        <v>16.5</v>
      </c>
      <c r="O995" s="8">
        <v>6</v>
      </c>
      <c r="P995" s="8">
        <v>7</v>
      </c>
      <c r="Q995" s="8">
        <v>5</v>
      </c>
      <c r="R995" s="8">
        <v>7</v>
      </c>
      <c r="S995" s="8">
        <v>7</v>
      </c>
      <c r="T995" s="8">
        <v>3</v>
      </c>
      <c r="U995" s="8">
        <v>12.5</v>
      </c>
      <c r="V995" s="8">
        <v>7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11" t="s">
        <v>248</v>
      </c>
    </row>
    <row r="996" spans="1:46" ht="15.1" customHeight="1">
      <c r="A996" s="8">
        <v>331</v>
      </c>
      <c r="B996" s="9" t="s">
        <v>922</v>
      </c>
      <c r="C996" s="8" t="s">
        <v>923</v>
      </c>
      <c r="D996" s="9" t="s">
        <v>451</v>
      </c>
      <c r="E996" s="8" t="s">
        <v>54</v>
      </c>
      <c r="F996" s="8" t="s">
        <v>54</v>
      </c>
      <c r="G996" s="10" t="s">
        <v>67</v>
      </c>
      <c r="H996" s="8" t="s">
        <v>54</v>
      </c>
      <c r="I996" s="8" t="s">
        <v>54</v>
      </c>
      <c r="J996" s="8" t="s">
        <v>54</v>
      </c>
      <c r="K996" s="8" t="s">
        <v>54</v>
      </c>
      <c r="L996" s="8" t="s">
        <v>54</v>
      </c>
      <c r="M996" s="8" t="s">
        <v>54</v>
      </c>
      <c r="N996" s="10" t="s">
        <v>67</v>
      </c>
      <c r="O996" s="8" t="s">
        <v>54</v>
      </c>
      <c r="P996" s="8" t="s">
        <v>54</v>
      </c>
      <c r="Q996" s="8" t="s">
        <v>54</v>
      </c>
      <c r="R996" s="8" t="s">
        <v>54</v>
      </c>
      <c r="S996" s="8" t="s">
        <v>54</v>
      </c>
      <c r="T996" s="8" t="s">
        <v>54</v>
      </c>
      <c r="U996" s="10" t="s">
        <v>67</v>
      </c>
      <c r="V996" s="8" t="s">
        <v>54</v>
      </c>
      <c r="W996" s="8" t="s">
        <v>54</v>
      </c>
      <c r="X996" s="8" t="s">
        <v>54</v>
      </c>
      <c r="Y996" s="8" t="s">
        <v>54</v>
      </c>
      <c r="Z996" s="8" t="s">
        <v>54</v>
      </c>
      <c r="AA996" s="8" t="s">
        <v>54</v>
      </c>
      <c r="AB996" s="10" t="s">
        <v>67</v>
      </c>
      <c r="AC996" s="8" t="s">
        <v>54</v>
      </c>
      <c r="AD996" s="8" t="s">
        <v>54</v>
      </c>
      <c r="AE996" s="8" t="s">
        <v>54</v>
      </c>
      <c r="AF996" s="8" t="s">
        <v>54</v>
      </c>
      <c r="AG996" s="8" t="s">
        <v>54</v>
      </c>
      <c r="AH996" s="8" t="s">
        <v>54</v>
      </c>
      <c r="AI996" s="10" t="s">
        <v>67</v>
      </c>
      <c r="AJ996" s="8">
        <f>COUNTIF($E$996:$AI$996,"P")</f>
        <v>26</v>
      </c>
      <c r="AK996" s="8">
        <f>COUNTIF($E$996:$AI$996,"A")</f>
        <v>0</v>
      </c>
      <c r="AL996" s="8">
        <f>SUM($E$997:$AI$997)</f>
        <v>48</v>
      </c>
      <c r="AM996" s="8">
        <f>SUM($E$998:$AI$998)</f>
        <v>24</v>
      </c>
      <c r="AN996" s="8">
        <f>AL996+AM996</f>
        <v>72</v>
      </c>
      <c r="AO996" s="8">
        <f>COUNTIF($E$996:$AI$996,"CL")</f>
        <v>0</v>
      </c>
      <c r="AP996" s="8">
        <f>COUNTIF($E$996:$AI$996,"SL")</f>
        <v>0</v>
      </c>
      <c r="AQ996" s="8">
        <f>COUNTIF($E$996:$AI$996,"EL")</f>
        <v>0</v>
      </c>
      <c r="AR996" s="8">
        <f>COUNTIF($E$996:$AI$996,"H")</f>
        <v>0</v>
      </c>
      <c r="AS996" s="8"/>
      <c r="AT996" s="11" t="s">
        <v>249</v>
      </c>
    </row>
    <row r="997" spans="1:46" ht="15.1" customHeight="1">
      <c r="A997" s="8"/>
      <c r="B997" s="9"/>
      <c r="C997" s="8"/>
      <c r="D997" s="9"/>
      <c r="E997" s="8">
        <v>0</v>
      </c>
      <c r="F997" s="8">
        <v>2</v>
      </c>
      <c r="G997" s="8">
        <v>0</v>
      </c>
      <c r="H997" s="8">
        <v>0</v>
      </c>
      <c r="I997" s="8">
        <v>2</v>
      </c>
      <c r="J997" s="8">
        <v>2</v>
      </c>
      <c r="K997" s="8">
        <v>2</v>
      </c>
      <c r="L997" s="8">
        <v>2</v>
      </c>
      <c r="M997" s="8">
        <v>2</v>
      </c>
      <c r="N997" s="8">
        <v>0</v>
      </c>
      <c r="O997" s="8">
        <v>2</v>
      </c>
      <c r="P997" s="8">
        <v>2</v>
      </c>
      <c r="Q997" s="8">
        <v>2</v>
      </c>
      <c r="R997" s="8">
        <v>2</v>
      </c>
      <c r="S997" s="8">
        <v>2</v>
      </c>
      <c r="T997" s="8">
        <v>2</v>
      </c>
      <c r="U997" s="8">
        <v>0</v>
      </c>
      <c r="V997" s="8">
        <v>2</v>
      </c>
      <c r="W997" s="8">
        <v>2</v>
      </c>
      <c r="X997" s="8">
        <v>2</v>
      </c>
      <c r="Y997" s="8">
        <v>2</v>
      </c>
      <c r="Z997" s="8">
        <v>2</v>
      </c>
      <c r="AA997" s="8">
        <v>2</v>
      </c>
      <c r="AB997" s="8">
        <v>0</v>
      </c>
      <c r="AC997" s="8">
        <v>2</v>
      </c>
      <c r="AD997" s="8">
        <v>2</v>
      </c>
      <c r="AE997" s="8">
        <v>2</v>
      </c>
      <c r="AF997" s="8">
        <v>2</v>
      </c>
      <c r="AG997" s="8">
        <v>2</v>
      </c>
      <c r="AH997" s="8">
        <v>2</v>
      </c>
      <c r="AI997" s="8">
        <v>0</v>
      </c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11" t="s">
        <v>249</v>
      </c>
    </row>
    <row r="998" spans="1:46" ht="15.1" customHeight="1">
      <c r="A998" s="8"/>
      <c r="B998" s="9"/>
      <c r="C998" s="8"/>
      <c r="D998" s="9"/>
      <c r="E998" s="8">
        <v>0</v>
      </c>
      <c r="F998" s="8">
        <v>1</v>
      </c>
      <c r="G998" s="8">
        <v>0</v>
      </c>
      <c r="H998" s="8">
        <v>0</v>
      </c>
      <c r="I998" s="8">
        <v>1</v>
      </c>
      <c r="J998" s="8">
        <v>1</v>
      </c>
      <c r="K998" s="8">
        <v>1</v>
      </c>
      <c r="L998" s="8">
        <v>1</v>
      </c>
      <c r="M998" s="8">
        <v>1</v>
      </c>
      <c r="N998" s="8">
        <v>0</v>
      </c>
      <c r="O998" s="8">
        <v>1</v>
      </c>
      <c r="P998" s="8">
        <v>1</v>
      </c>
      <c r="Q998" s="8">
        <v>1</v>
      </c>
      <c r="R998" s="8">
        <v>1</v>
      </c>
      <c r="S998" s="8">
        <v>1</v>
      </c>
      <c r="T998" s="8">
        <v>1</v>
      </c>
      <c r="U998" s="8">
        <v>0</v>
      </c>
      <c r="V998" s="8">
        <v>1</v>
      </c>
      <c r="W998" s="8">
        <v>1</v>
      </c>
      <c r="X998" s="8">
        <v>1</v>
      </c>
      <c r="Y998" s="8">
        <v>1</v>
      </c>
      <c r="Z998" s="8">
        <v>1</v>
      </c>
      <c r="AA998" s="8">
        <v>1</v>
      </c>
      <c r="AB998" s="8">
        <v>0</v>
      </c>
      <c r="AC998" s="8">
        <v>1</v>
      </c>
      <c r="AD998" s="8">
        <v>1</v>
      </c>
      <c r="AE998" s="8">
        <v>1</v>
      </c>
      <c r="AF998" s="8">
        <v>1</v>
      </c>
      <c r="AG998" s="8">
        <v>1</v>
      </c>
      <c r="AH998" s="8">
        <v>1</v>
      </c>
      <c r="AI998" s="8">
        <v>0</v>
      </c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11" t="s">
        <v>249</v>
      </c>
    </row>
    <row r="999" spans="1:46" ht="15.1" customHeight="1">
      <c r="A999" s="8">
        <v>332</v>
      </c>
      <c r="B999" s="9" t="s">
        <v>924</v>
      </c>
      <c r="C999" s="8" t="s">
        <v>925</v>
      </c>
      <c r="D999" s="9" t="s">
        <v>451</v>
      </c>
      <c r="E999" s="8" t="s">
        <v>54</v>
      </c>
      <c r="F999" s="12" t="s">
        <v>55</v>
      </c>
      <c r="G999" s="10" t="s">
        <v>67</v>
      </c>
      <c r="H999" s="8" t="s">
        <v>54</v>
      </c>
      <c r="I999" s="8" t="s">
        <v>54</v>
      </c>
      <c r="J999" s="8" t="s">
        <v>54</v>
      </c>
      <c r="K999" s="8" t="s">
        <v>54</v>
      </c>
      <c r="L999" s="8" t="s">
        <v>54</v>
      </c>
      <c r="M999" s="8" t="s">
        <v>54</v>
      </c>
      <c r="N999" s="10" t="s">
        <v>67</v>
      </c>
      <c r="O999" s="8" t="s">
        <v>54</v>
      </c>
      <c r="P999" s="8" t="s">
        <v>54</v>
      </c>
      <c r="Q999" s="8" t="s">
        <v>54</v>
      </c>
      <c r="R999" s="8" t="s">
        <v>54</v>
      </c>
      <c r="S999" s="8" t="s">
        <v>54</v>
      </c>
      <c r="T999" s="8" t="s">
        <v>54</v>
      </c>
      <c r="U999" s="10" t="s">
        <v>67</v>
      </c>
      <c r="V999" s="8" t="s">
        <v>54</v>
      </c>
      <c r="W999" s="8" t="s">
        <v>54</v>
      </c>
      <c r="X999" s="8" t="s">
        <v>54</v>
      </c>
      <c r="Y999" s="8" t="s">
        <v>54</v>
      </c>
      <c r="Z999" s="8" t="s">
        <v>54</v>
      </c>
      <c r="AA999" s="8" t="s">
        <v>54</v>
      </c>
      <c r="AB999" s="10" t="s">
        <v>67</v>
      </c>
      <c r="AC999" s="8" t="s">
        <v>54</v>
      </c>
      <c r="AD999" s="8" t="s">
        <v>54</v>
      </c>
      <c r="AE999" s="8" t="s">
        <v>54</v>
      </c>
      <c r="AF999" s="8" t="s">
        <v>54</v>
      </c>
      <c r="AG999" s="8" t="s">
        <v>54</v>
      </c>
      <c r="AH999" s="12" t="s">
        <v>55</v>
      </c>
      <c r="AI999" s="10" t="s">
        <v>67</v>
      </c>
      <c r="AJ999" s="8">
        <f>COUNTIF($E$999:$AI$999,"P")</f>
        <v>24</v>
      </c>
      <c r="AK999" s="8">
        <f>COUNTIF($E$999:$AI$999,"A")</f>
        <v>2</v>
      </c>
      <c r="AL999" s="8">
        <f>SUM($E$1000:$AI$1000)</f>
        <v>44</v>
      </c>
      <c r="AM999" s="8">
        <f>SUM($E$1001:$AI$1001)</f>
        <v>22</v>
      </c>
      <c r="AN999" s="8">
        <f>AL999+AM999</f>
        <v>66</v>
      </c>
      <c r="AO999" s="8">
        <f>COUNTIF($E$999:$AI$999,"CL")</f>
        <v>0</v>
      </c>
      <c r="AP999" s="8">
        <f>COUNTIF($E$999:$AI$999,"SL")</f>
        <v>0</v>
      </c>
      <c r="AQ999" s="8">
        <f>COUNTIF($E$999:$AI$999,"EL")</f>
        <v>0</v>
      </c>
      <c r="AR999" s="8">
        <f>COUNTIF($E$999:$AI$999,"H")</f>
        <v>0</v>
      </c>
      <c r="AS999" s="8"/>
      <c r="AT999" s="11" t="s">
        <v>249</v>
      </c>
    </row>
    <row r="1000" spans="1:46" ht="15.1" customHeight="1">
      <c r="A1000" s="8"/>
      <c r="B1000" s="9"/>
      <c r="C1000" s="8"/>
      <c r="D1000" s="9"/>
      <c r="E1000" s="8">
        <v>0</v>
      </c>
      <c r="F1000" s="8">
        <v>0</v>
      </c>
      <c r="G1000" s="8">
        <v>0</v>
      </c>
      <c r="H1000" s="8">
        <v>2</v>
      </c>
      <c r="I1000" s="8">
        <v>2</v>
      </c>
      <c r="J1000" s="8">
        <v>2</v>
      </c>
      <c r="K1000" s="8">
        <v>2</v>
      </c>
      <c r="L1000" s="8">
        <v>0</v>
      </c>
      <c r="M1000" s="8">
        <v>2</v>
      </c>
      <c r="N1000" s="8">
        <v>0</v>
      </c>
      <c r="O1000" s="8">
        <v>2</v>
      </c>
      <c r="P1000" s="8">
        <v>2</v>
      </c>
      <c r="Q1000" s="8">
        <v>2</v>
      </c>
      <c r="R1000" s="8">
        <v>2</v>
      </c>
      <c r="S1000" s="8">
        <v>2</v>
      </c>
      <c r="T1000" s="8">
        <v>2</v>
      </c>
      <c r="U1000" s="8">
        <v>0</v>
      </c>
      <c r="V1000" s="8">
        <v>2</v>
      </c>
      <c r="W1000" s="8">
        <v>2</v>
      </c>
      <c r="X1000" s="8">
        <v>2</v>
      </c>
      <c r="Y1000" s="8">
        <v>2</v>
      </c>
      <c r="Z1000" s="8">
        <v>2</v>
      </c>
      <c r="AA1000" s="8">
        <v>2</v>
      </c>
      <c r="AB1000" s="8">
        <v>0</v>
      </c>
      <c r="AC1000" s="8">
        <v>2</v>
      </c>
      <c r="AD1000" s="8">
        <v>2</v>
      </c>
      <c r="AE1000" s="8">
        <v>2</v>
      </c>
      <c r="AF1000" s="8">
        <v>2</v>
      </c>
      <c r="AG1000" s="8">
        <v>2</v>
      </c>
      <c r="AH1000" s="8">
        <v>0</v>
      </c>
      <c r="AI1000" s="8">
        <v>0</v>
      </c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11" t="s">
        <v>249</v>
      </c>
    </row>
    <row r="1001" spans="1:46" ht="15.1" customHeight="1">
      <c r="A1001" s="8"/>
      <c r="B1001" s="9"/>
      <c r="C1001" s="8"/>
      <c r="D1001" s="9"/>
      <c r="E1001" s="8">
        <v>0</v>
      </c>
      <c r="F1001" s="8">
        <v>0</v>
      </c>
      <c r="G1001" s="8">
        <v>0</v>
      </c>
      <c r="H1001" s="8">
        <v>1</v>
      </c>
      <c r="I1001" s="8">
        <v>1</v>
      </c>
      <c r="J1001" s="8">
        <v>1</v>
      </c>
      <c r="K1001" s="8">
        <v>1</v>
      </c>
      <c r="L1001" s="8">
        <v>0</v>
      </c>
      <c r="M1001" s="8">
        <v>1</v>
      </c>
      <c r="N1001" s="8">
        <v>0</v>
      </c>
      <c r="O1001" s="8">
        <v>1</v>
      </c>
      <c r="P1001" s="8">
        <v>1</v>
      </c>
      <c r="Q1001" s="8">
        <v>1</v>
      </c>
      <c r="R1001" s="8">
        <v>1</v>
      </c>
      <c r="S1001" s="8">
        <v>1</v>
      </c>
      <c r="T1001" s="8">
        <v>1</v>
      </c>
      <c r="U1001" s="8">
        <v>0</v>
      </c>
      <c r="V1001" s="8">
        <v>1</v>
      </c>
      <c r="W1001" s="8">
        <v>1</v>
      </c>
      <c r="X1001" s="8">
        <v>1</v>
      </c>
      <c r="Y1001" s="8">
        <v>1</v>
      </c>
      <c r="Z1001" s="8">
        <v>1</v>
      </c>
      <c r="AA1001" s="8">
        <v>1</v>
      </c>
      <c r="AB1001" s="8">
        <v>0</v>
      </c>
      <c r="AC1001" s="8">
        <v>1</v>
      </c>
      <c r="AD1001" s="8">
        <v>1</v>
      </c>
      <c r="AE1001" s="8">
        <v>1</v>
      </c>
      <c r="AF1001" s="8">
        <v>1</v>
      </c>
      <c r="AG1001" s="8">
        <v>1</v>
      </c>
      <c r="AH1001" s="8">
        <v>0</v>
      </c>
      <c r="AI1001" s="8">
        <v>0</v>
      </c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11" t="s">
        <v>249</v>
      </c>
    </row>
    <row r="1002" spans="1:46" ht="15.1" customHeight="1">
      <c r="A1002" s="8">
        <v>333</v>
      </c>
      <c r="B1002" s="9" t="s">
        <v>926</v>
      </c>
      <c r="C1002" s="8" t="s">
        <v>927</v>
      </c>
      <c r="D1002" s="9" t="s">
        <v>451</v>
      </c>
      <c r="E1002" s="8" t="s">
        <v>54</v>
      </c>
      <c r="F1002" s="8" t="s">
        <v>54</v>
      </c>
      <c r="G1002" s="10" t="s">
        <v>67</v>
      </c>
      <c r="H1002" s="8" t="s">
        <v>54</v>
      </c>
      <c r="I1002" s="12" t="s">
        <v>55</v>
      </c>
      <c r="J1002" s="12" t="s">
        <v>55</v>
      </c>
      <c r="K1002" s="8" t="s">
        <v>54</v>
      </c>
      <c r="L1002" s="8" t="s">
        <v>54</v>
      </c>
      <c r="M1002" s="8" t="s">
        <v>54</v>
      </c>
      <c r="N1002" s="10" t="s">
        <v>67</v>
      </c>
      <c r="O1002" s="8" t="s">
        <v>54</v>
      </c>
      <c r="P1002" s="8" t="s">
        <v>54</v>
      </c>
      <c r="Q1002" s="8" t="s">
        <v>54</v>
      </c>
      <c r="R1002" s="8" t="s">
        <v>54</v>
      </c>
      <c r="S1002" s="8" t="s">
        <v>54</v>
      </c>
      <c r="T1002" s="8" t="s">
        <v>54</v>
      </c>
      <c r="U1002" s="10" t="s">
        <v>67</v>
      </c>
      <c r="V1002" s="8" t="s">
        <v>54</v>
      </c>
      <c r="W1002" s="8" t="s">
        <v>54</v>
      </c>
      <c r="X1002" s="12" t="s">
        <v>55</v>
      </c>
      <c r="Y1002" s="8" t="s">
        <v>54</v>
      </c>
      <c r="Z1002" s="8" t="s">
        <v>54</v>
      </c>
      <c r="AA1002" s="8" t="s">
        <v>54</v>
      </c>
      <c r="AB1002" s="10" t="s">
        <v>67</v>
      </c>
      <c r="AC1002" s="8" t="s">
        <v>54</v>
      </c>
      <c r="AD1002" s="8" t="s">
        <v>54</v>
      </c>
      <c r="AE1002" s="8" t="s">
        <v>54</v>
      </c>
      <c r="AF1002" s="8" t="s">
        <v>54</v>
      </c>
      <c r="AG1002" s="8" t="s">
        <v>54</v>
      </c>
      <c r="AH1002" s="8" t="s">
        <v>54</v>
      </c>
      <c r="AI1002" s="10" t="s">
        <v>67</v>
      </c>
      <c r="AJ1002" s="8">
        <f>COUNTIF($E$1002:$AI$1002,"P")</f>
        <v>23</v>
      </c>
      <c r="AK1002" s="8">
        <f>COUNTIF($E$1002:$AI$1002,"A")</f>
        <v>3</v>
      </c>
      <c r="AL1002" s="8">
        <f>SUM($E$1003:$AI$1003)</f>
        <v>40</v>
      </c>
      <c r="AM1002" s="8">
        <f>SUM($E$1004:$AI$1004)</f>
        <v>31</v>
      </c>
      <c r="AN1002" s="8">
        <f>AL1002+AM1002</f>
        <v>71</v>
      </c>
      <c r="AO1002" s="8">
        <f>COUNTIF($E$1002:$AI$1002,"CL")</f>
        <v>0</v>
      </c>
      <c r="AP1002" s="8">
        <f>COUNTIF($E$1002:$AI$1002,"SL")</f>
        <v>0</v>
      </c>
      <c r="AQ1002" s="8">
        <f>COUNTIF($E$1002:$AI$1002,"EL")</f>
        <v>0</v>
      </c>
      <c r="AR1002" s="8">
        <f>COUNTIF($E$1002:$AI$1002,"H")</f>
        <v>0</v>
      </c>
      <c r="AS1002" s="8"/>
      <c r="AT1002" s="11" t="s">
        <v>249</v>
      </c>
    </row>
    <row r="1003" spans="1:46" ht="15.1" customHeight="1">
      <c r="A1003" s="8"/>
      <c r="B1003" s="9"/>
      <c r="C1003" s="8"/>
      <c r="D1003" s="9"/>
      <c r="E1003" s="8">
        <v>0</v>
      </c>
      <c r="F1003" s="8">
        <v>2</v>
      </c>
      <c r="G1003" s="8">
        <v>0</v>
      </c>
      <c r="H1003" s="8">
        <v>0</v>
      </c>
      <c r="I1003" s="8">
        <v>0</v>
      </c>
      <c r="J1003" s="8">
        <v>0</v>
      </c>
      <c r="K1003" s="8">
        <v>2</v>
      </c>
      <c r="L1003" s="8">
        <v>2</v>
      </c>
      <c r="M1003" s="8">
        <v>2</v>
      </c>
      <c r="N1003" s="8">
        <v>0</v>
      </c>
      <c r="O1003" s="8">
        <v>2</v>
      </c>
      <c r="P1003" s="8">
        <v>2</v>
      </c>
      <c r="Q1003" s="8">
        <v>2</v>
      </c>
      <c r="R1003" s="8">
        <v>2</v>
      </c>
      <c r="S1003" s="8">
        <v>2</v>
      </c>
      <c r="T1003" s="8">
        <v>2</v>
      </c>
      <c r="U1003" s="8">
        <v>0</v>
      </c>
      <c r="V1003" s="8">
        <v>2</v>
      </c>
      <c r="W1003" s="8">
        <v>2</v>
      </c>
      <c r="X1003" s="8">
        <v>0</v>
      </c>
      <c r="Y1003" s="8">
        <v>2</v>
      </c>
      <c r="Z1003" s="8">
        <v>0</v>
      </c>
      <c r="AA1003" s="8">
        <v>2</v>
      </c>
      <c r="AB1003" s="8">
        <v>0</v>
      </c>
      <c r="AC1003" s="8">
        <v>2</v>
      </c>
      <c r="AD1003" s="8">
        <v>2</v>
      </c>
      <c r="AE1003" s="8">
        <v>2</v>
      </c>
      <c r="AF1003" s="8">
        <v>2</v>
      </c>
      <c r="AG1003" s="8">
        <v>2</v>
      </c>
      <c r="AH1003" s="8">
        <v>2</v>
      </c>
      <c r="AI1003" s="8">
        <v>0</v>
      </c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11" t="s">
        <v>249</v>
      </c>
    </row>
    <row r="1004" spans="1:46" ht="15.1" customHeight="1">
      <c r="A1004" s="8"/>
      <c r="B1004" s="9"/>
      <c r="C1004" s="8"/>
      <c r="D1004" s="9"/>
      <c r="E1004" s="8">
        <v>0</v>
      </c>
      <c r="F1004" s="8">
        <v>1</v>
      </c>
      <c r="G1004" s="8">
        <v>0</v>
      </c>
      <c r="H1004" s="8">
        <v>0</v>
      </c>
      <c r="I1004" s="8">
        <v>0</v>
      </c>
      <c r="J1004" s="8">
        <v>0</v>
      </c>
      <c r="K1004" s="8">
        <v>1</v>
      </c>
      <c r="L1004" s="8">
        <v>1</v>
      </c>
      <c r="M1004" s="8">
        <v>1</v>
      </c>
      <c r="N1004" s="8">
        <v>12</v>
      </c>
      <c r="O1004" s="8">
        <v>0</v>
      </c>
      <c r="P1004" s="8">
        <v>1</v>
      </c>
      <c r="Q1004" s="8">
        <v>1</v>
      </c>
      <c r="R1004" s="8">
        <v>1</v>
      </c>
      <c r="S1004" s="8">
        <v>1</v>
      </c>
      <c r="T1004" s="8">
        <v>1</v>
      </c>
      <c r="U1004" s="8">
        <v>0</v>
      </c>
      <c r="V1004" s="8">
        <v>1</v>
      </c>
      <c r="W1004" s="8">
        <v>1</v>
      </c>
      <c r="X1004" s="8">
        <v>0</v>
      </c>
      <c r="Y1004" s="8">
        <v>1</v>
      </c>
      <c r="Z1004" s="8">
        <v>0</v>
      </c>
      <c r="AA1004" s="8">
        <v>1</v>
      </c>
      <c r="AB1004" s="8">
        <v>0</v>
      </c>
      <c r="AC1004" s="8">
        <v>1</v>
      </c>
      <c r="AD1004" s="8">
        <v>1</v>
      </c>
      <c r="AE1004" s="8">
        <v>1</v>
      </c>
      <c r="AF1004" s="8">
        <v>1</v>
      </c>
      <c r="AG1004" s="8">
        <v>1</v>
      </c>
      <c r="AH1004" s="8">
        <v>1</v>
      </c>
      <c r="AI1004" s="8">
        <v>0</v>
      </c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11" t="s">
        <v>249</v>
      </c>
    </row>
    <row r="1005" spans="1:46" ht="15.1" customHeight="1">
      <c r="A1005" s="8">
        <v>334</v>
      </c>
      <c r="B1005" s="9" t="s">
        <v>928</v>
      </c>
      <c r="C1005" s="8" t="s">
        <v>929</v>
      </c>
      <c r="D1005" s="9" t="s">
        <v>451</v>
      </c>
      <c r="E1005" s="8" t="s">
        <v>54</v>
      </c>
      <c r="F1005" s="8" t="s">
        <v>54</v>
      </c>
      <c r="G1005" s="10" t="s">
        <v>67</v>
      </c>
      <c r="H1005" s="8" t="s">
        <v>54</v>
      </c>
      <c r="I1005" s="8" t="s">
        <v>54</v>
      </c>
      <c r="J1005" s="8" t="s">
        <v>54</v>
      </c>
      <c r="K1005" s="8" t="s">
        <v>54</v>
      </c>
      <c r="L1005" s="8" t="s">
        <v>54</v>
      </c>
      <c r="M1005" s="8" t="s">
        <v>54</v>
      </c>
      <c r="N1005" s="10" t="s">
        <v>67</v>
      </c>
      <c r="O1005" s="8" t="s">
        <v>54</v>
      </c>
      <c r="P1005" s="8" t="s">
        <v>54</v>
      </c>
      <c r="Q1005" s="8" t="s">
        <v>54</v>
      </c>
      <c r="R1005" s="8" t="s">
        <v>54</v>
      </c>
      <c r="S1005" s="8" t="s">
        <v>54</v>
      </c>
      <c r="T1005" s="8" t="s">
        <v>54</v>
      </c>
      <c r="U1005" s="10" t="s">
        <v>67</v>
      </c>
      <c r="V1005" s="8" t="s">
        <v>54</v>
      </c>
      <c r="W1005" s="8" t="s">
        <v>54</v>
      </c>
      <c r="X1005" s="8" t="s">
        <v>54</v>
      </c>
      <c r="Y1005" s="8" t="s">
        <v>54</v>
      </c>
      <c r="Z1005" s="8" t="s">
        <v>54</v>
      </c>
      <c r="AA1005" s="8" t="s">
        <v>54</v>
      </c>
      <c r="AB1005" s="10" t="s">
        <v>67</v>
      </c>
      <c r="AC1005" s="8" t="s">
        <v>54</v>
      </c>
      <c r="AD1005" s="8" t="s">
        <v>54</v>
      </c>
      <c r="AE1005" s="8" t="s">
        <v>54</v>
      </c>
      <c r="AF1005" s="8" t="s">
        <v>54</v>
      </c>
      <c r="AG1005" s="8" t="s">
        <v>54</v>
      </c>
      <c r="AH1005" s="8" t="s">
        <v>54</v>
      </c>
      <c r="AI1005" s="10" t="s">
        <v>67</v>
      </c>
      <c r="AJ1005" s="8">
        <f>COUNTIF($E$1005:$AI$1005,"P")</f>
        <v>26</v>
      </c>
      <c r="AK1005" s="8">
        <f>COUNTIF($E$1005:$AI$1005,"A")</f>
        <v>0</v>
      </c>
      <c r="AL1005" s="8">
        <f>SUM($E$1006:$AI$1006)</f>
        <v>50</v>
      </c>
      <c r="AM1005" s="8">
        <f>SUM($E$1007:$AI$1007)</f>
        <v>25</v>
      </c>
      <c r="AN1005" s="8">
        <f>AL1005+AM1005</f>
        <v>75</v>
      </c>
      <c r="AO1005" s="8">
        <f>COUNTIF($E$1005:$AI$1005,"CL")</f>
        <v>0</v>
      </c>
      <c r="AP1005" s="8">
        <f>COUNTIF($E$1005:$AI$1005,"SL")</f>
        <v>0</v>
      </c>
      <c r="AQ1005" s="8">
        <f>COUNTIF($E$1005:$AI$1005,"EL")</f>
        <v>0</v>
      </c>
      <c r="AR1005" s="8">
        <f>COUNTIF($E$1005:$AI$1005,"H")</f>
        <v>0</v>
      </c>
      <c r="AS1005" s="8"/>
      <c r="AT1005" s="11" t="s">
        <v>249</v>
      </c>
    </row>
    <row r="1006" spans="1:46" ht="15.1" customHeight="1">
      <c r="A1006" s="8"/>
      <c r="B1006" s="9"/>
      <c r="C1006" s="8"/>
      <c r="D1006" s="9"/>
      <c r="E1006" s="8">
        <v>2</v>
      </c>
      <c r="F1006" s="8">
        <v>2</v>
      </c>
      <c r="G1006" s="8">
        <v>0</v>
      </c>
      <c r="H1006" s="8">
        <v>2</v>
      </c>
      <c r="I1006" s="8">
        <v>2</v>
      </c>
      <c r="J1006" s="8">
        <v>2</v>
      </c>
      <c r="K1006" s="8">
        <v>2</v>
      </c>
      <c r="L1006" s="8">
        <v>2</v>
      </c>
      <c r="M1006" s="8">
        <v>2</v>
      </c>
      <c r="N1006" s="8">
        <v>0</v>
      </c>
      <c r="O1006" s="8">
        <v>2</v>
      </c>
      <c r="P1006" s="8">
        <v>2</v>
      </c>
      <c r="Q1006" s="8">
        <v>2</v>
      </c>
      <c r="R1006" s="8">
        <v>2</v>
      </c>
      <c r="S1006" s="8">
        <v>2</v>
      </c>
      <c r="T1006" s="8">
        <v>2</v>
      </c>
      <c r="U1006" s="8">
        <v>0</v>
      </c>
      <c r="V1006" s="8">
        <v>2</v>
      </c>
      <c r="W1006" s="8">
        <v>2</v>
      </c>
      <c r="X1006" s="8">
        <v>2</v>
      </c>
      <c r="Y1006" s="8">
        <v>2</v>
      </c>
      <c r="Z1006" s="8">
        <v>0</v>
      </c>
      <c r="AA1006" s="8">
        <v>2</v>
      </c>
      <c r="AB1006" s="8">
        <v>0</v>
      </c>
      <c r="AC1006" s="8">
        <v>2</v>
      </c>
      <c r="AD1006" s="8">
        <v>2</v>
      </c>
      <c r="AE1006" s="8">
        <v>2</v>
      </c>
      <c r="AF1006" s="8">
        <v>2</v>
      </c>
      <c r="AG1006" s="8">
        <v>2</v>
      </c>
      <c r="AH1006" s="8">
        <v>2</v>
      </c>
      <c r="AI1006" s="8">
        <v>0</v>
      </c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11" t="s">
        <v>249</v>
      </c>
    </row>
    <row r="1007" spans="1:46" ht="15.1" customHeight="1">
      <c r="A1007" s="8"/>
      <c r="B1007" s="9"/>
      <c r="C1007" s="8"/>
      <c r="D1007" s="9"/>
      <c r="E1007" s="8">
        <v>1</v>
      </c>
      <c r="F1007" s="8">
        <v>1</v>
      </c>
      <c r="G1007" s="8">
        <v>0</v>
      </c>
      <c r="H1007" s="8">
        <v>1</v>
      </c>
      <c r="I1007" s="8">
        <v>1</v>
      </c>
      <c r="J1007" s="8">
        <v>1</v>
      </c>
      <c r="K1007" s="8">
        <v>1</v>
      </c>
      <c r="L1007" s="8">
        <v>1</v>
      </c>
      <c r="M1007" s="8">
        <v>1</v>
      </c>
      <c r="N1007" s="8">
        <v>0</v>
      </c>
      <c r="O1007" s="8">
        <v>1</v>
      </c>
      <c r="P1007" s="8">
        <v>1</v>
      </c>
      <c r="Q1007" s="8">
        <v>1</v>
      </c>
      <c r="R1007" s="8">
        <v>1</v>
      </c>
      <c r="S1007" s="8">
        <v>1</v>
      </c>
      <c r="T1007" s="8">
        <v>1</v>
      </c>
      <c r="U1007" s="8">
        <v>0</v>
      </c>
      <c r="V1007" s="8">
        <v>1</v>
      </c>
      <c r="W1007" s="8">
        <v>1</v>
      </c>
      <c r="X1007" s="8">
        <v>1</v>
      </c>
      <c r="Y1007" s="8">
        <v>1</v>
      </c>
      <c r="Z1007" s="8">
        <v>0</v>
      </c>
      <c r="AA1007" s="8">
        <v>1</v>
      </c>
      <c r="AB1007" s="8">
        <v>0</v>
      </c>
      <c r="AC1007" s="8">
        <v>1</v>
      </c>
      <c r="AD1007" s="8">
        <v>1</v>
      </c>
      <c r="AE1007" s="8">
        <v>1</v>
      </c>
      <c r="AF1007" s="8">
        <v>1</v>
      </c>
      <c r="AG1007" s="8">
        <v>1</v>
      </c>
      <c r="AH1007" s="8">
        <v>1</v>
      </c>
      <c r="AI1007" s="8">
        <v>0</v>
      </c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11" t="s">
        <v>249</v>
      </c>
    </row>
    <row r="1008" spans="1:46" ht="15.1" customHeight="1">
      <c r="A1008" s="8">
        <v>335</v>
      </c>
      <c r="B1008" s="9" t="s">
        <v>930</v>
      </c>
      <c r="C1008" s="8" t="s">
        <v>931</v>
      </c>
      <c r="D1008" s="9" t="s">
        <v>451</v>
      </c>
      <c r="E1008" s="8" t="s">
        <v>54</v>
      </c>
      <c r="F1008" s="8" t="s">
        <v>54</v>
      </c>
      <c r="G1008" s="10" t="s">
        <v>67</v>
      </c>
      <c r="H1008" s="8" t="s">
        <v>54</v>
      </c>
      <c r="I1008" s="8" t="s">
        <v>54</v>
      </c>
      <c r="J1008" s="8" t="s">
        <v>54</v>
      </c>
      <c r="K1008" s="8" t="s">
        <v>54</v>
      </c>
      <c r="L1008" s="8" t="s">
        <v>54</v>
      </c>
      <c r="M1008" s="8" t="s">
        <v>54</v>
      </c>
      <c r="N1008" s="10" t="s">
        <v>67</v>
      </c>
      <c r="O1008" s="8" t="s">
        <v>54</v>
      </c>
      <c r="P1008" s="8" t="s">
        <v>54</v>
      </c>
      <c r="Q1008" s="8" t="s">
        <v>54</v>
      </c>
      <c r="R1008" s="8" t="s">
        <v>54</v>
      </c>
      <c r="S1008" s="8" t="s">
        <v>54</v>
      </c>
      <c r="T1008" s="8" t="s">
        <v>54</v>
      </c>
      <c r="U1008" s="10" t="s">
        <v>67</v>
      </c>
      <c r="V1008" s="8" t="s">
        <v>54</v>
      </c>
      <c r="W1008" s="8" t="s">
        <v>54</v>
      </c>
      <c r="X1008" s="8" t="s">
        <v>54</v>
      </c>
      <c r="Y1008" s="8" t="s">
        <v>54</v>
      </c>
      <c r="Z1008" s="8" t="s">
        <v>54</v>
      </c>
      <c r="AA1008" s="8" t="s">
        <v>54</v>
      </c>
      <c r="AB1008" s="10" t="s">
        <v>67</v>
      </c>
      <c r="AC1008" s="8" t="s">
        <v>54</v>
      </c>
      <c r="AD1008" s="8" t="s">
        <v>54</v>
      </c>
      <c r="AE1008" s="8" t="s">
        <v>54</v>
      </c>
      <c r="AF1008" s="8" t="s">
        <v>54</v>
      </c>
      <c r="AG1008" s="8" t="s">
        <v>54</v>
      </c>
      <c r="AH1008" s="8" t="s">
        <v>54</v>
      </c>
      <c r="AI1008" s="10" t="s">
        <v>67</v>
      </c>
      <c r="AJ1008" s="8">
        <f>COUNTIF($E$1008:$AI$1008,"P")</f>
        <v>26</v>
      </c>
      <c r="AK1008" s="8">
        <f>COUNTIF($E$1008:$AI$1008,"A")</f>
        <v>0</v>
      </c>
      <c r="AL1008" s="8">
        <f>SUM($E$1009:$AI$1009)</f>
        <v>52</v>
      </c>
      <c r="AM1008" s="8">
        <f>SUM($E$1010:$AI$1010)</f>
        <v>26</v>
      </c>
      <c r="AN1008" s="8">
        <f>AL1008+AM1008</f>
        <v>78</v>
      </c>
      <c r="AO1008" s="8">
        <f>COUNTIF($E$1008:$AI$1008,"CL")</f>
        <v>0</v>
      </c>
      <c r="AP1008" s="8">
        <f>COUNTIF($E$1008:$AI$1008,"SL")</f>
        <v>0</v>
      </c>
      <c r="AQ1008" s="8">
        <f>COUNTIF($E$1008:$AI$1008,"EL")</f>
        <v>0</v>
      </c>
      <c r="AR1008" s="8">
        <f>COUNTIF($E$1008:$AI$1008,"H")</f>
        <v>0</v>
      </c>
      <c r="AS1008" s="8"/>
      <c r="AT1008" s="11" t="s">
        <v>249</v>
      </c>
    </row>
    <row r="1009" spans="1:46" ht="15.1" customHeight="1">
      <c r="A1009" s="8"/>
      <c r="B1009" s="9"/>
      <c r="C1009" s="8"/>
      <c r="D1009" s="9"/>
      <c r="E1009" s="8">
        <v>2</v>
      </c>
      <c r="F1009" s="8">
        <v>2</v>
      </c>
      <c r="G1009" s="8">
        <v>0</v>
      </c>
      <c r="H1009" s="8">
        <v>2</v>
      </c>
      <c r="I1009" s="8">
        <v>2</v>
      </c>
      <c r="J1009" s="8">
        <v>2</v>
      </c>
      <c r="K1009" s="8">
        <v>2</v>
      </c>
      <c r="L1009" s="8">
        <v>2</v>
      </c>
      <c r="M1009" s="8">
        <v>2</v>
      </c>
      <c r="N1009" s="8">
        <v>0</v>
      </c>
      <c r="O1009" s="8">
        <v>2</v>
      </c>
      <c r="P1009" s="8">
        <v>2</v>
      </c>
      <c r="Q1009" s="8">
        <v>2</v>
      </c>
      <c r="R1009" s="8">
        <v>2</v>
      </c>
      <c r="S1009" s="8">
        <v>2</v>
      </c>
      <c r="T1009" s="8">
        <v>2</v>
      </c>
      <c r="U1009" s="8">
        <v>0</v>
      </c>
      <c r="V1009" s="8">
        <v>2</v>
      </c>
      <c r="W1009" s="8">
        <v>2</v>
      </c>
      <c r="X1009" s="8">
        <v>2</v>
      </c>
      <c r="Y1009" s="8">
        <v>2</v>
      </c>
      <c r="Z1009" s="8">
        <v>2</v>
      </c>
      <c r="AA1009" s="8">
        <v>2</v>
      </c>
      <c r="AB1009" s="8">
        <v>0</v>
      </c>
      <c r="AC1009" s="8">
        <v>2</v>
      </c>
      <c r="AD1009" s="8">
        <v>2</v>
      </c>
      <c r="AE1009" s="8">
        <v>2</v>
      </c>
      <c r="AF1009" s="8">
        <v>2</v>
      </c>
      <c r="AG1009" s="8">
        <v>2</v>
      </c>
      <c r="AH1009" s="8">
        <v>2</v>
      </c>
      <c r="AI1009" s="8">
        <v>0</v>
      </c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11" t="s">
        <v>249</v>
      </c>
    </row>
    <row r="1010" spans="1:46" ht="15.1" customHeight="1">
      <c r="A1010" s="8"/>
      <c r="B1010" s="9"/>
      <c r="C1010" s="8"/>
      <c r="D1010" s="9"/>
      <c r="E1010" s="8">
        <v>1</v>
      </c>
      <c r="F1010" s="8">
        <v>1</v>
      </c>
      <c r="G1010" s="8">
        <v>0</v>
      </c>
      <c r="H1010" s="8">
        <v>1</v>
      </c>
      <c r="I1010" s="8">
        <v>1</v>
      </c>
      <c r="J1010" s="8">
        <v>1</v>
      </c>
      <c r="K1010" s="8">
        <v>1</v>
      </c>
      <c r="L1010" s="8">
        <v>1</v>
      </c>
      <c r="M1010" s="8">
        <v>1</v>
      </c>
      <c r="N1010" s="8">
        <v>0</v>
      </c>
      <c r="O1010" s="8">
        <v>1</v>
      </c>
      <c r="P1010" s="8">
        <v>1</v>
      </c>
      <c r="Q1010" s="8">
        <v>1</v>
      </c>
      <c r="R1010" s="8">
        <v>1</v>
      </c>
      <c r="S1010" s="8">
        <v>1</v>
      </c>
      <c r="T1010" s="8">
        <v>1</v>
      </c>
      <c r="U1010" s="8">
        <v>0</v>
      </c>
      <c r="V1010" s="8">
        <v>1</v>
      </c>
      <c r="W1010" s="8">
        <v>1</v>
      </c>
      <c r="X1010" s="8">
        <v>1</v>
      </c>
      <c r="Y1010" s="8">
        <v>1</v>
      </c>
      <c r="Z1010" s="8">
        <v>1</v>
      </c>
      <c r="AA1010" s="8">
        <v>1</v>
      </c>
      <c r="AB1010" s="8">
        <v>0</v>
      </c>
      <c r="AC1010" s="8">
        <v>1</v>
      </c>
      <c r="AD1010" s="8">
        <v>1</v>
      </c>
      <c r="AE1010" s="8">
        <v>1</v>
      </c>
      <c r="AF1010" s="8">
        <v>1</v>
      </c>
      <c r="AG1010" s="8">
        <v>1</v>
      </c>
      <c r="AH1010" s="8">
        <v>1</v>
      </c>
      <c r="AI1010" s="8">
        <v>0</v>
      </c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11" t="s">
        <v>249</v>
      </c>
    </row>
    <row r="1011" spans="1:46" ht="15.1" customHeight="1">
      <c r="A1011" s="8">
        <v>336</v>
      </c>
      <c r="B1011" s="9" t="s">
        <v>932</v>
      </c>
      <c r="C1011" s="8" t="s">
        <v>933</v>
      </c>
      <c r="D1011" s="9" t="s">
        <v>451</v>
      </c>
      <c r="E1011" s="8" t="s">
        <v>54</v>
      </c>
      <c r="F1011" s="8" t="s">
        <v>54</v>
      </c>
      <c r="G1011" s="10" t="s">
        <v>67</v>
      </c>
      <c r="H1011" s="8" t="s">
        <v>54</v>
      </c>
      <c r="I1011" s="8" t="s">
        <v>54</v>
      </c>
      <c r="J1011" s="8" t="s">
        <v>54</v>
      </c>
      <c r="K1011" s="8" t="s">
        <v>54</v>
      </c>
      <c r="L1011" s="8" t="s">
        <v>54</v>
      </c>
      <c r="M1011" s="8" t="s">
        <v>54</v>
      </c>
      <c r="N1011" s="10" t="s">
        <v>67</v>
      </c>
      <c r="O1011" s="8" t="s">
        <v>54</v>
      </c>
      <c r="P1011" s="8" t="s">
        <v>54</v>
      </c>
      <c r="Q1011" s="8" t="s">
        <v>54</v>
      </c>
      <c r="R1011" s="8" t="s">
        <v>54</v>
      </c>
      <c r="S1011" s="8" t="s">
        <v>54</v>
      </c>
      <c r="T1011" s="8" t="s">
        <v>54</v>
      </c>
      <c r="U1011" s="10" t="s">
        <v>67</v>
      </c>
      <c r="V1011" s="8" t="s">
        <v>54</v>
      </c>
      <c r="W1011" s="8" t="s">
        <v>54</v>
      </c>
      <c r="X1011" s="8" t="s">
        <v>54</v>
      </c>
      <c r="Y1011" s="8" t="s">
        <v>54</v>
      </c>
      <c r="Z1011" s="8" t="s">
        <v>54</v>
      </c>
      <c r="AA1011" s="8" t="s">
        <v>54</v>
      </c>
      <c r="AB1011" s="10" t="s">
        <v>67</v>
      </c>
      <c r="AC1011" s="8" t="s">
        <v>54</v>
      </c>
      <c r="AD1011" s="8" t="s">
        <v>54</v>
      </c>
      <c r="AE1011" s="8" t="s">
        <v>54</v>
      </c>
      <c r="AF1011" s="8" t="s">
        <v>54</v>
      </c>
      <c r="AG1011" s="8" t="s">
        <v>54</v>
      </c>
      <c r="AH1011" s="8" t="s">
        <v>54</v>
      </c>
      <c r="AI1011" s="10" t="s">
        <v>67</v>
      </c>
      <c r="AJ1011" s="8">
        <f>COUNTIF($E$1011:$AI$1011,"P")</f>
        <v>26</v>
      </c>
      <c r="AK1011" s="8">
        <f>COUNTIF($E$1011:$AI$1011,"A")</f>
        <v>0</v>
      </c>
      <c r="AL1011" s="8">
        <f>SUM($E$1012:$AI$1012)</f>
        <v>48</v>
      </c>
      <c r="AM1011" s="8">
        <f>SUM($E$1013:$AI$1013)</f>
        <v>33</v>
      </c>
      <c r="AN1011" s="8">
        <f>AL1011+AM1011</f>
        <v>81</v>
      </c>
      <c r="AO1011" s="8">
        <f>COUNTIF($E$1011:$AI$1011,"CL")</f>
        <v>0</v>
      </c>
      <c r="AP1011" s="8">
        <f>COUNTIF($E$1011:$AI$1011,"SL")</f>
        <v>0</v>
      </c>
      <c r="AQ1011" s="8">
        <f>COUNTIF($E$1011:$AI$1011,"EL")</f>
        <v>0</v>
      </c>
      <c r="AR1011" s="8">
        <f>COUNTIF($E$1011:$AI$1011,"H")</f>
        <v>0</v>
      </c>
      <c r="AS1011" s="8"/>
      <c r="AT1011" s="11" t="s">
        <v>249</v>
      </c>
    </row>
    <row r="1012" spans="1:46" ht="15.1" customHeight="1">
      <c r="A1012" s="8"/>
      <c r="B1012" s="9"/>
      <c r="C1012" s="8"/>
      <c r="D1012" s="9"/>
      <c r="E1012" s="8">
        <v>2</v>
      </c>
      <c r="F1012" s="8">
        <v>0</v>
      </c>
      <c r="G1012" s="8">
        <v>0</v>
      </c>
      <c r="H1012" s="8">
        <v>2</v>
      </c>
      <c r="I1012" s="8">
        <v>2</v>
      </c>
      <c r="J1012" s="8">
        <v>2</v>
      </c>
      <c r="K1012" s="8">
        <v>2</v>
      </c>
      <c r="L1012" s="8">
        <v>2</v>
      </c>
      <c r="M1012" s="8">
        <v>2</v>
      </c>
      <c r="N1012" s="8">
        <v>0</v>
      </c>
      <c r="O1012" s="8">
        <v>2</v>
      </c>
      <c r="P1012" s="8">
        <v>2</v>
      </c>
      <c r="Q1012" s="8">
        <v>2</v>
      </c>
      <c r="R1012" s="8">
        <v>2</v>
      </c>
      <c r="S1012" s="8">
        <v>2</v>
      </c>
      <c r="T1012" s="8">
        <v>2</v>
      </c>
      <c r="U1012" s="8">
        <v>0</v>
      </c>
      <c r="V1012" s="8">
        <v>2</v>
      </c>
      <c r="W1012" s="8">
        <v>2</v>
      </c>
      <c r="X1012" s="8">
        <v>2</v>
      </c>
      <c r="Y1012" s="8">
        <v>0</v>
      </c>
      <c r="Z1012" s="8">
        <v>2</v>
      </c>
      <c r="AA1012" s="8">
        <v>2</v>
      </c>
      <c r="AB1012" s="8">
        <v>0</v>
      </c>
      <c r="AC1012" s="8">
        <v>2</v>
      </c>
      <c r="AD1012" s="8">
        <v>2</v>
      </c>
      <c r="AE1012" s="8">
        <v>2</v>
      </c>
      <c r="AF1012" s="8">
        <v>2</v>
      </c>
      <c r="AG1012" s="8">
        <v>2</v>
      </c>
      <c r="AH1012" s="8">
        <v>2</v>
      </c>
      <c r="AI1012" s="8">
        <v>0</v>
      </c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11" t="s">
        <v>249</v>
      </c>
    </row>
    <row r="1013" spans="1:46" ht="15.1" customHeight="1">
      <c r="A1013" s="8"/>
      <c r="B1013" s="9"/>
      <c r="C1013" s="8"/>
      <c r="D1013" s="9"/>
      <c r="E1013" s="8">
        <v>1</v>
      </c>
      <c r="F1013" s="8">
        <v>0</v>
      </c>
      <c r="G1013" s="8">
        <v>0</v>
      </c>
      <c r="H1013" s="8">
        <v>1</v>
      </c>
      <c r="I1013" s="8">
        <v>1</v>
      </c>
      <c r="J1013" s="8">
        <v>1</v>
      </c>
      <c r="K1013" s="8">
        <v>1</v>
      </c>
      <c r="L1013" s="8">
        <v>1</v>
      </c>
      <c r="M1013" s="8">
        <v>1</v>
      </c>
      <c r="N1013" s="8">
        <v>0</v>
      </c>
      <c r="O1013" s="8">
        <v>1</v>
      </c>
      <c r="P1013" s="8">
        <v>1</v>
      </c>
      <c r="Q1013" s="8">
        <v>1</v>
      </c>
      <c r="R1013" s="8">
        <v>1</v>
      </c>
      <c r="S1013" s="8">
        <v>1</v>
      </c>
      <c r="T1013" s="8">
        <v>1</v>
      </c>
      <c r="U1013" s="8">
        <v>0</v>
      </c>
      <c r="V1013" s="8">
        <v>10</v>
      </c>
      <c r="W1013" s="8">
        <v>1</v>
      </c>
      <c r="X1013" s="8">
        <v>1</v>
      </c>
      <c r="Y1013" s="8">
        <v>0</v>
      </c>
      <c r="Z1013" s="8">
        <v>1</v>
      </c>
      <c r="AA1013" s="8">
        <v>1</v>
      </c>
      <c r="AB1013" s="8">
        <v>0</v>
      </c>
      <c r="AC1013" s="8">
        <v>1</v>
      </c>
      <c r="AD1013" s="8">
        <v>1</v>
      </c>
      <c r="AE1013" s="8">
        <v>1</v>
      </c>
      <c r="AF1013" s="8">
        <v>1</v>
      </c>
      <c r="AG1013" s="8">
        <v>1</v>
      </c>
      <c r="AH1013" s="8">
        <v>1</v>
      </c>
      <c r="AI1013" s="8">
        <v>0</v>
      </c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11" t="s">
        <v>249</v>
      </c>
    </row>
    <row r="1014" spans="1:46" ht="15.1" customHeight="1">
      <c r="A1014" s="8">
        <v>337</v>
      </c>
      <c r="B1014" s="9" t="s">
        <v>934</v>
      </c>
      <c r="C1014" s="8" t="s">
        <v>935</v>
      </c>
      <c r="D1014" s="9" t="s">
        <v>451</v>
      </c>
      <c r="E1014" s="8" t="s">
        <v>54</v>
      </c>
      <c r="F1014" s="8" t="s">
        <v>54</v>
      </c>
      <c r="G1014" s="10" t="s">
        <v>67</v>
      </c>
      <c r="H1014" s="8" t="s">
        <v>54</v>
      </c>
      <c r="I1014" s="8" t="s">
        <v>54</v>
      </c>
      <c r="J1014" s="8" t="s">
        <v>54</v>
      </c>
      <c r="K1014" s="8" t="s">
        <v>54</v>
      </c>
      <c r="L1014" s="8" t="s">
        <v>54</v>
      </c>
      <c r="M1014" s="8" t="s">
        <v>54</v>
      </c>
      <c r="N1014" s="10" t="s">
        <v>67</v>
      </c>
      <c r="O1014" s="8" t="s">
        <v>54</v>
      </c>
      <c r="P1014" s="8" t="s">
        <v>54</v>
      </c>
      <c r="Q1014" s="8" t="s">
        <v>54</v>
      </c>
      <c r="R1014" s="8" t="s">
        <v>54</v>
      </c>
      <c r="S1014" s="8" t="s">
        <v>54</v>
      </c>
      <c r="T1014" s="8" t="s">
        <v>54</v>
      </c>
      <c r="U1014" s="10" t="s">
        <v>67</v>
      </c>
      <c r="V1014" s="8" t="s">
        <v>54</v>
      </c>
      <c r="W1014" s="8" t="s">
        <v>54</v>
      </c>
      <c r="X1014" s="8" t="s">
        <v>54</v>
      </c>
      <c r="Y1014" s="8" t="s">
        <v>54</v>
      </c>
      <c r="Z1014" s="8" t="s">
        <v>54</v>
      </c>
      <c r="AA1014" s="8" t="s">
        <v>54</v>
      </c>
      <c r="AB1014" s="10" t="s">
        <v>67</v>
      </c>
      <c r="AC1014" s="8" t="s">
        <v>54</v>
      </c>
      <c r="AD1014" s="8" t="s">
        <v>54</v>
      </c>
      <c r="AE1014" s="8" t="s">
        <v>54</v>
      </c>
      <c r="AF1014" s="8" t="s">
        <v>54</v>
      </c>
      <c r="AG1014" s="8" t="s">
        <v>54</v>
      </c>
      <c r="AH1014" s="8" t="s">
        <v>54</v>
      </c>
      <c r="AI1014" s="10" t="s">
        <v>67</v>
      </c>
      <c r="AJ1014" s="8">
        <f>COUNTIF($E$1014:$AI$1014,"P")</f>
        <v>26</v>
      </c>
      <c r="AK1014" s="8">
        <f>COUNTIF($E$1014:$AI$1014,"A")</f>
        <v>0</v>
      </c>
      <c r="AL1014" s="8">
        <f>SUM($E$1015:$AI$1015)</f>
        <v>48</v>
      </c>
      <c r="AM1014" s="8">
        <f>SUM($E$1016:$AI$1016)</f>
        <v>36</v>
      </c>
      <c r="AN1014" s="8">
        <f>AL1014+AM1014</f>
        <v>84</v>
      </c>
      <c r="AO1014" s="8">
        <f>COUNTIF($E$1014:$AI$1014,"CL")</f>
        <v>0</v>
      </c>
      <c r="AP1014" s="8">
        <f>COUNTIF($E$1014:$AI$1014,"SL")</f>
        <v>0</v>
      </c>
      <c r="AQ1014" s="8">
        <f>COUNTIF($E$1014:$AI$1014,"EL")</f>
        <v>0</v>
      </c>
      <c r="AR1014" s="8">
        <f>COUNTIF($E$1014:$AI$1014,"H")</f>
        <v>0</v>
      </c>
      <c r="AS1014" s="8"/>
      <c r="AT1014" s="11" t="s">
        <v>249</v>
      </c>
    </row>
    <row r="1015" spans="1:46" ht="15.1" customHeight="1">
      <c r="A1015" s="8"/>
      <c r="B1015" s="9"/>
      <c r="C1015" s="8"/>
      <c r="D1015" s="9"/>
      <c r="E1015" s="8">
        <v>2</v>
      </c>
      <c r="F1015" s="8">
        <v>2</v>
      </c>
      <c r="G1015" s="8">
        <v>0</v>
      </c>
      <c r="H1015" s="8">
        <v>0</v>
      </c>
      <c r="I1015" s="8">
        <v>2</v>
      </c>
      <c r="J1015" s="8">
        <v>2</v>
      </c>
      <c r="K1015" s="8">
        <v>2</v>
      </c>
      <c r="L1015" s="8">
        <v>2</v>
      </c>
      <c r="M1015" s="8">
        <v>2</v>
      </c>
      <c r="N1015" s="8">
        <v>0</v>
      </c>
      <c r="O1015" s="8">
        <v>2</v>
      </c>
      <c r="P1015" s="8">
        <v>2</v>
      </c>
      <c r="Q1015" s="8">
        <v>2</v>
      </c>
      <c r="R1015" s="8">
        <v>2</v>
      </c>
      <c r="S1015" s="8">
        <v>2</v>
      </c>
      <c r="T1015" s="8">
        <v>2</v>
      </c>
      <c r="U1015" s="8">
        <v>0</v>
      </c>
      <c r="V1015" s="8">
        <v>2</v>
      </c>
      <c r="W1015" s="8">
        <v>2</v>
      </c>
      <c r="X1015" s="8">
        <v>2</v>
      </c>
      <c r="Y1015" s="8">
        <v>2</v>
      </c>
      <c r="Z1015" s="8">
        <v>0</v>
      </c>
      <c r="AA1015" s="8">
        <v>2</v>
      </c>
      <c r="AB1015" s="8">
        <v>0</v>
      </c>
      <c r="AC1015" s="8">
        <v>2</v>
      </c>
      <c r="AD1015" s="8">
        <v>2</v>
      </c>
      <c r="AE1015" s="8">
        <v>2</v>
      </c>
      <c r="AF1015" s="8">
        <v>2</v>
      </c>
      <c r="AG1015" s="8">
        <v>2</v>
      </c>
      <c r="AH1015" s="8">
        <v>2</v>
      </c>
      <c r="AI1015" s="8">
        <v>0</v>
      </c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11" t="s">
        <v>249</v>
      </c>
    </row>
    <row r="1016" spans="1:46" ht="15.1" customHeight="1">
      <c r="A1016" s="8"/>
      <c r="B1016" s="9"/>
      <c r="C1016" s="8"/>
      <c r="D1016" s="9"/>
      <c r="E1016" s="8">
        <v>1</v>
      </c>
      <c r="F1016" s="8">
        <v>1</v>
      </c>
      <c r="G1016" s="8">
        <v>0</v>
      </c>
      <c r="H1016" s="8">
        <v>0</v>
      </c>
      <c r="I1016" s="8">
        <v>1</v>
      </c>
      <c r="J1016" s="8">
        <v>1</v>
      </c>
      <c r="K1016" s="8">
        <v>1</v>
      </c>
      <c r="L1016" s="8">
        <v>1</v>
      </c>
      <c r="M1016" s="8">
        <v>1</v>
      </c>
      <c r="N1016" s="8">
        <v>12</v>
      </c>
      <c r="O1016" s="8">
        <v>1</v>
      </c>
      <c r="P1016" s="8">
        <v>1</v>
      </c>
      <c r="Q1016" s="8">
        <v>1</v>
      </c>
      <c r="R1016" s="8">
        <v>1</v>
      </c>
      <c r="S1016" s="8">
        <v>1</v>
      </c>
      <c r="T1016" s="8">
        <v>1</v>
      </c>
      <c r="U1016" s="8">
        <v>0</v>
      </c>
      <c r="V1016" s="8">
        <v>1</v>
      </c>
      <c r="W1016" s="8">
        <v>1</v>
      </c>
      <c r="X1016" s="8">
        <v>1</v>
      </c>
      <c r="Y1016" s="8">
        <v>1</v>
      </c>
      <c r="Z1016" s="8">
        <v>0</v>
      </c>
      <c r="AA1016" s="8">
        <v>1</v>
      </c>
      <c r="AB1016" s="8">
        <v>0</v>
      </c>
      <c r="AC1016" s="8">
        <v>1</v>
      </c>
      <c r="AD1016" s="8">
        <v>1</v>
      </c>
      <c r="AE1016" s="8">
        <v>1</v>
      </c>
      <c r="AF1016" s="8">
        <v>1</v>
      </c>
      <c r="AG1016" s="8">
        <v>1</v>
      </c>
      <c r="AH1016" s="8">
        <v>1</v>
      </c>
      <c r="AI1016" s="8">
        <v>0</v>
      </c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11" t="s">
        <v>249</v>
      </c>
    </row>
    <row r="1017" spans="1:46" ht="15.1" customHeight="1">
      <c r="A1017" s="8">
        <v>338</v>
      </c>
      <c r="B1017" s="9" t="s">
        <v>936</v>
      </c>
      <c r="C1017" s="8" t="s">
        <v>937</v>
      </c>
      <c r="D1017" s="9" t="s">
        <v>451</v>
      </c>
      <c r="E1017" s="8" t="s">
        <v>54</v>
      </c>
      <c r="F1017" s="8" t="s">
        <v>54</v>
      </c>
      <c r="G1017" s="10" t="s">
        <v>67</v>
      </c>
      <c r="H1017" s="8" t="s">
        <v>54</v>
      </c>
      <c r="I1017" s="8" t="s">
        <v>54</v>
      </c>
      <c r="J1017" s="8" t="s">
        <v>54</v>
      </c>
      <c r="K1017" s="8" t="s">
        <v>54</v>
      </c>
      <c r="L1017" s="8" t="s">
        <v>54</v>
      </c>
      <c r="M1017" s="8" t="s">
        <v>54</v>
      </c>
      <c r="N1017" s="10" t="s">
        <v>67</v>
      </c>
      <c r="O1017" s="8" t="s">
        <v>54</v>
      </c>
      <c r="P1017" s="8" t="s">
        <v>54</v>
      </c>
      <c r="Q1017" s="8" t="s">
        <v>54</v>
      </c>
      <c r="R1017" s="8" t="s">
        <v>54</v>
      </c>
      <c r="S1017" s="8" t="s">
        <v>54</v>
      </c>
      <c r="T1017" s="8" t="s">
        <v>54</v>
      </c>
      <c r="U1017" s="10" t="s">
        <v>67</v>
      </c>
      <c r="V1017" s="8" t="s">
        <v>54</v>
      </c>
      <c r="W1017" s="8" t="s">
        <v>54</v>
      </c>
      <c r="X1017" s="8" t="s">
        <v>54</v>
      </c>
      <c r="Y1017" s="8" t="s">
        <v>54</v>
      </c>
      <c r="Z1017" s="8" t="s">
        <v>54</v>
      </c>
      <c r="AA1017" s="8" t="s">
        <v>54</v>
      </c>
      <c r="AB1017" s="10" t="s">
        <v>67</v>
      </c>
      <c r="AC1017" s="8" t="s">
        <v>54</v>
      </c>
      <c r="AD1017" s="8" t="s">
        <v>54</v>
      </c>
      <c r="AE1017" s="8" t="s">
        <v>54</v>
      </c>
      <c r="AF1017" s="8" t="s">
        <v>54</v>
      </c>
      <c r="AG1017" s="8" t="s">
        <v>54</v>
      </c>
      <c r="AH1017" s="8" t="s">
        <v>54</v>
      </c>
      <c r="AI1017" s="10" t="s">
        <v>67</v>
      </c>
      <c r="AJ1017" s="8">
        <f>COUNTIF($E$1017:$AI$1017,"P")</f>
        <v>26</v>
      </c>
      <c r="AK1017" s="8">
        <f>COUNTIF($E$1017:$AI$1017,"A")</f>
        <v>0</v>
      </c>
      <c r="AL1017" s="8">
        <f>SUM($E$1018:$AI$1018)</f>
        <v>46</v>
      </c>
      <c r="AM1017" s="8">
        <f>SUM($E$1019:$AI$1019)</f>
        <v>23</v>
      </c>
      <c r="AN1017" s="8">
        <f>AL1017+AM1017</f>
        <v>69</v>
      </c>
      <c r="AO1017" s="8">
        <f>COUNTIF($E$1017:$AI$1017,"CL")</f>
        <v>0</v>
      </c>
      <c r="AP1017" s="8">
        <f>COUNTIF($E$1017:$AI$1017,"SL")</f>
        <v>0</v>
      </c>
      <c r="AQ1017" s="8">
        <f>COUNTIF($E$1017:$AI$1017,"EL")</f>
        <v>0</v>
      </c>
      <c r="AR1017" s="8">
        <f>COUNTIF($E$1017:$AI$1017,"H")</f>
        <v>0</v>
      </c>
      <c r="AS1017" s="8"/>
      <c r="AT1017" s="11" t="s">
        <v>249</v>
      </c>
    </row>
    <row r="1018" spans="1:46" ht="15.1" customHeight="1">
      <c r="A1018" s="8"/>
      <c r="B1018" s="9"/>
      <c r="C1018" s="8"/>
      <c r="D1018" s="9"/>
      <c r="E1018" s="8">
        <v>0</v>
      </c>
      <c r="F1018" s="8">
        <v>0</v>
      </c>
      <c r="G1018" s="8">
        <v>0</v>
      </c>
      <c r="H1018" s="8">
        <v>0</v>
      </c>
      <c r="I1018" s="8">
        <v>2</v>
      </c>
      <c r="J1018" s="8">
        <v>2</v>
      </c>
      <c r="K1018" s="8">
        <v>2</v>
      </c>
      <c r="L1018" s="8">
        <v>2</v>
      </c>
      <c r="M1018" s="8">
        <v>2</v>
      </c>
      <c r="N1018" s="8">
        <v>0</v>
      </c>
      <c r="O1018" s="8">
        <v>2</v>
      </c>
      <c r="P1018" s="8">
        <v>2</v>
      </c>
      <c r="Q1018" s="8">
        <v>2</v>
      </c>
      <c r="R1018" s="8">
        <v>2</v>
      </c>
      <c r="S1018" s="8">
        <v>2</v>
      </c>
      <c r="T1018" s="8">
        <v>2</v>
      </c>
      <c r="U1018" s="8">
        <v>0</v>
      </c>
      <c r="V1018" s="8">
        <v>2</v>
      </c>
      <c r="W1018" s="8">
        <v>2</v>
      </c>
      <c r="X1018" s="8">
        <v>2</v>
      </c>
      <c r="Y1018" s="8">
        <v>2</v>
      </c>
      <c r="Z1018" s="8">
        <v>2</v>
      </c>
      <c r="AA1018" s="8">
        <v>2</v>
      </c>
      <c r="AB1018" s="8">
        <v>0</v>
      </c>
      <c r="AC1018" s="8">
        <v>2</v>
      </c>
      <c r="AD1018" s="8">
        <v>2</v>
      </c>
      <c r="AE1018" s="8">
        <v>2</v>
      </c>
      <c r="AF1018" s="8">
        <v>2</v>
      </c>
      <c r="AG1018" s="8">
        <v>2</v>
      </c>
      <c r="AH1018" s="8">
        <v>2</v>
      </c>
      <c r="AI1018" s="8">
        <v>0</v>
      </c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11" t="s">
        <v>249</v>
      </c>
    </row>
    <row r="1019" spans="1:46" ht="15.1" customHeight="1">
      <c r="A1019" s="8"/>
      <c r="B1019" s="9"/>
      <c r="C1019" s="8"/>
      <c r="D1019" s="9"/>
      <c r="E1019" s="8">
        <v>0</v>
      </c>
      <c r="F1019" s="8">
        <v>0</v>
      </c>
      <c r="G1019" s="8">
        <v>0</v>
      </c>
      <c r="H1019" s="8">
        <v>0</v>
      </c>
      <c r="I1019" s="8">
        <v>1</v>
      </c>
      <c r="J1019" s="8">
        <v>1</v>
      </c>
      <c r="K1019" s="8">
        <v>1</v>
      </c>
      <c r="L1019" s="8">
        <v>1</v>
      </c>
      <c r="M1019" s="8">
        <v>1</v>
      </c>
      <c r="N1019" s="8">
        <v>0</v>
      </c>
      <c r="O1019" s="8">
        <v>1</v>
      </c>
      <c r="P1019" s="8">
        <v>1</v>
      </c>
      <c r="Q1019" s="8">
        <v>1</v>
      </c>
      <c r="R1019" s="8">
        <v>1</v>
      </c>
      <c r="S1019" s="8">
        <v>1</v>
      </c>
      <c r="T1019" s="8">
        <v>1</v>
      </c>
      <c r="U1019" s="8">
        <v>0</v>
      </c>
      <c r="V1019" s="8">
        <v>1</v>
      </c>
      <c r="W1019" s="8">
        <v>1</v>
      </c>
      <c r="X1019" s="8">
        <v>1</v>
      </c>
      <c r="Y1019" s="8">
        <v>1</v>
      </c>
      <c r="Z1019" s="8">
        <v>1</v>
      </c>
      <c r="AA1019" s="8">
        <v>1</v>
      </c>
      <c r="AB1019" s="8">
        <v>0</v>
      </c>
      <c r="AC1019" s="8">
        <v>1</v>
      </c>
      <c r="AD1019" s="8">
        <v>1</v>
      </c>
      <c r="AE1019" s="8">
        <v>1</v>
      </c>
      <c r="AF1019" s="8">
        <v>1</v>
      </c>
      <c r="AG1019" s="8">
        <v>1</v>
      </c>
      <c r="AH1019" s="8">
        <v>1</v>
      </c>
      <c r="AI1019" s="8">
        <v>0</v>
      </c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11" t="s">
        <v>249</v>
      </c>
    </row>
    <row r="1020" spans="1:46" ht="15.1" customHeight="1">
      <c r="A1020" s="8">
        <v>339</v>
      </c>
      <c r="B1020" s="9" t="s">
        <v>938</v>
      </c>
      <c r="C1020" s="8" t="s">
        <v>939</v>
      </c>
      <c r="D1020" s="9" t="s">
        <v>451</v>
      </c>
      <c r="E1020" s="8" t="s">
        <v>54</v>
      </c>
      <c r="F1020" s="8" t="s">
        <v>54</v>
      </c>
      <c r="G1020" s="10" t="s">
        <v>67</v>
      </c>
      <c r="H1020" s="8" t="s">
        <v>54</v>
      </c>
      <c r="I1020" s="8" t="s">
        <v>54</v>
      </c>
      <c r="J1020" s="8" t="s">
        <v>54</v>
      </c>
      <c r="K1020" s="8" t="s">
        <v>54</v>
      </c>
      <c r="L1020" s="8" t="s">
        <v>54</v>
      </c>
      <c r="M1020" s="8" t="s">
        <v>54</v>
      </c>
      <c r="N1020" s="10" t="s">
        <v>67</v>
      </c>
      <c r="O1020" s="8" t="s">
        <v>54</v>
      </c>
      <c r="P1020" s="8" t="s">
        <v>54</v>
      </c>
      <c r="Q1020" s="8" t="s">
        <v>54</v>
      </c>
      <c r="R1020" s="8" t="s">
        <v>54</v>
      </c>
      <c r="S1020" s="8" t="s">
        <v>54</v>
      </c>
      <c r="T1020" s="8" t="s">
        <v>54</v>
      </c>
      <c r="U1020" s="10" t="s">
        <v>67</v>
      </c>
      <c r="V1020" s="8" t="s">
        <v>54</v>
      </c>
      <c r="W1020" s="8" t="s">
        <v>54</v>
      </c>
      <c r="X1020" s="8" t="s">
        <v>54</v>
      </c>
      <c r="Y1020" s="8" t="s">
        <v>54</v>
      </c>
      <c r="Z1020" s="8" t="s">
        <v>54</v>
      </c>
      <c r="AA1020" s="8" t="s">
        <v>54</v>
      </c>
      <c r="AB1020" s="10" t="s">
        <v>67</v>
      </c>
      <c r="AC1020" s="8" t="s">
        <v>54</v>
      </c>
      <c r="AD1020" s="8" t="s">
        <v>54</v>
      </c>
      <c r="AE1020" s="8" t="s">
        <v>54</v>
      </c>
      <c r="AF1020" s="8" t="s">
        <v>54</v>
      </c>
      <c r="AG1020" s="8" t="s">
        <v>54</v>
      </c>
      <c r="AH1020" s="8" t="s">
        <v>54</v>
      </c>
      <c r="AI1020" s="10" t="s">
        <v>67</v>
      </c>
      <c r="AJ1020" s="8">
        <f>COUNTIF($E$1020:$AI$1020,"P")</f>
        <v>26</v>
      </c>
      <c r="AK1020" s="8">
        <f>COUNTIF($E$1020:$AI$1020,"A")</f>
        <v>0</v>
      </c>
      <c r="AL1020" s="8">
        <f>SUM($E$1021:$AI$1021)</f>
        <v>50</v>
      </c>
      <c r="AM1020" s="8">
        <f>SUM($E$1022:$AI$1022)</f>
        <v>25</v>
      </c>
      <c r="AN1020" s="8">
        <f>AL1020+AM1020</f>
        <v>75</v>
      </c>
      <c r="AO1020" s="8">
        <f>COUNTIF($E$1020:$AI$1020,"CL")</f>
        <v>0</v>
      </c>
      <c r="AP1020" s="8">
        <f>COUNTIF($E$1020:$AI$1020,"SL")</f>
        <v>0</v>
      </c>
      <c r="AQ1020" s="8">
        <f>COUNTIF($E$1020:$AI$1020,"EL")</f>
        <v>0</v>
      </c>
      <c r="AR1020" s="8">
        <f>COUNTIF($E$1020:$AI$1020,"H")</f>
        <v>0</v>
      </c>
      <c r="AS1020" s="8"/>
      <c r="AT1020" s="11" t="s">
        <v>249</v>
      </c>
    </row>
    <row r="1021" spans="1:46" ht="15.1" customHeight="1">
      <c r="A1021" s="8"/>
      <c r="B1021" s="9"/>
      <c r="C1021" s="8"/>
      <c r="D1021" s="9"/>
      <c r="E1021" s="8">
        <v>2</v>
      </c>
      <c r="F1021" s="8">
        <v>2</v>
      </c>
      <c r="G1021" s="8">
        <v>0</v>
      </c>
      <c r="H1021" s="8">
        <v>0</v>
      </c>
      <c r="I1021" s="8">
        <v>2</v>
      </c>
      <c r="J1021" s="8">
        <v>2</v>
      </c>
      <c r="K1021" s="8">
        <v>2</v>
      </c>
      <c r="L1021" s="8">
        <v>2</v>
      </c>
      <c r="M1021" s="8">
        <v>2</v>
      </c>
      <c r="N1021" s="8">
        <v>0</v>
      </c>
      <c r="O1021" s="8">
        <v>2</v>
      </c>
      <c r="P1021" s="8">
        <v>2</v>
      </c>
      <c r="Q1021" s="8">
        <v>2</v>
      </c>
      <c r="R1021" s="8">
        <v>2</v>
      </c>
      <c r="S1021" s="8">
        <v>2</v>
      </c>
      <c r="T1021" s="8">
        <v>2</v>
      </c>
      <c r="U1021" s="8">
        <v>0</v>
      </c>
      <c r="V1021" s="8">
        <v>2</v>
      </c>
      <c r="W1021" s="8">
        <v>2</v>
      </c>
      <c r="X1021" s="8">
        <v>2</v>
      </c>
      <c r="Y1021" s="8">
        <v>2</v>
      </c>
      <c r="Z1021" s="8">
        <v>2</v>
      </c>
      <c r="AA1021" s="8">
        <v>2</v>
      </c>
      <c r="AB1021" s="8">
        <v>0</v>
      </c>
      <c r="AC1021" s="8">
        <v>2</v>
      </c>
      <c r="AD1021" s="8">
        <v>2</v>
      </c>
      <c r="AE1021" s="8">
        <v>2</v>
      </c>
      <c r="AF1021" s="8">
        <v>2</v>
      </c>
      <c r="AG1021" s="8">
        <v>2</v>
      </c>
      <c r="AH1021" s="8">
        <v>2</v>
      </c>
      <c r="AI1021" s="8">
        <v>0</v>
      </c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11" t="s">
        <v>249</v>
      </c>
    </row>
    <row r="1022" spans="1:46" ht="15.1" customHeight="1">
      <c r="A1022" s="8"/>
      <c r="B1022" s="9"/>
      <c r="C1022" s="8"/>
      <c r="D1022" s="9"/>
      <c r="E1022" s="8">
        <v>1</v>
      </c>
      <c r="F1022" s="8">
        <v>1</v>
      </c>
      <c r="G1022" s="8">
        <v>0</v>
      </c>
      <c r="H1022" s="8">
        <v>0</v>
      </c>
      <c r="I1022" s="8">
        <v>1</v>
      </c>
      <c r="J1022" s="8">
        <v>1</v>
      </c>
      <c r="K1022" s="8">
        <v>1</v>
      </c>
      <c r="L1022" s="8">
        <v>1</v>
      </c>
      <c r="M1022" s="8">
        <v>1</v>
      </c>
      <c r="N1022" s="8">
        <v>0</v>
      </c>
      <c r="O1022" s="8">
        <v>1</v>
      </c>
      <c r="P1022" s="8">
        <v>1</v>
      </c>
      <c r="Q1022" s="8">
        <v>1</v>
      </c>
      <c r="R1022" s="8">
        <v>1</v>
      </c>
      <c r="S1022" s="8">
        <v>1</v>
      </c>
      <c r="T1022" s="8">
        <v>1</v>
      </c>
      <c r="U1022" s="8">
        <v>0</v>
      </c>
      <c r="V1022" s="8">
        <v>1</v>
      </c>
      <c r="W1022" s="8">
        <v>1</v>
      </c>
      <c r="X1022" s="8">
        <v>1</v>
      </c>
      <c r="Y1022" s="8">
        <v>1</v>
      </c>
      <c r="Z1022" s="8">
        <v>1</v>
      </c>
      <c r="AA1022" s="8">
        <v>1</v>
      </c>
      <c r="AB1022" s="8">
        <v>0</v>
      </c>
      <c r="AC1022" s="8">
        <v>1</v>
      </c>
      <c r="AD1022" s="8">
        <v>1</v>
      </c>
      <c r="AE1022" s="8">
        <v>1</v>
      </c>
      <c r="AF1022" s="8">
        <v>1</v>
      </c>
      <c r="AG1022" s="8">
        <v>1</v>
      </c>
      <c r="AH1022" s="8">
        <v>1</v>
      </c>
      <c r="AI1022" s="8">
        <v>0</v>
      </c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11" t="s">
        <v>249</v>
      </c>
    </row>
    <row r="1023" spans="1:46" ht="15.1" customHeight="1">
      <c r="A1023" s="8">
        <v>340</v>
      </c>
      <c r="B1023" s="9" t="s">
        <v>940</v>
      </c>
      <c r="C1023" s="8" t="s">
        <v>941</v>
      </c>
      <c r="D1023" s="9" t="s">
        <v>451</v>
      </c>
      <c r="E1023" s="8" t="s">
        <v>54</v>
      </c>
      <c r="F1023" s="8" t="s">
        <v>54</v>
      </c>
      <c r="G1023" s="10" t="s">
        <v>67</v>
      </c>
      <c r="H1023" s="8" t="s">
        <v>54</v>
      </c>
      <c r="I1023" s="8" t="s">
        <v>54</v>
      </c>
      <c r="J1023" s="8" t="s">
        <v>54</v>
      </c>
      <c r="K1023" s="8" t="s">
        <v>54</v>
      </c>
      <c r="L1023" s="8" t="s">
        <v>54</v>
      </c>
      <c r="M1023" s="8" t="s">
        <v>54</v>
      </c>
      <c r="N1023" s="10" t="s">
        <v>67</v>
      </c>
      <c r="O1023" s="8" t="s">
        <v>54</v>
      </c>
      <c r="P1023" s="8" t="s">
        <v>54</v>
      </c>
      <c r="Q1023" s="8" t="s">
        <v>54</v>
      </c>
      <c r="R1023" s="8" t="s">
        <v>54</v>
      </c>
      <c r="S1023" s="8" t="s">
        <v>54</v>
      </c>
      <c r="T1023" s="8" t="s">
        <v>54</v>
      </c>
      <c r="U1023" s="10" t="s">
        <v>67</v>
      </c>
      <c r="V1023" s="8" t="s">
        <v>54</v>
      </c>
      <c r="W1023" s="8" t="s">
        <v>54</v>
      </c>
      <c r="X1023" s="8" t="s">
        <v>54</v>
      </c>
      <c r="Y1023" s="8" t="s">
        <v>54</v>
      </c>
      <c r="Z1023" s="8" t="s">
        <v>54</v>
      </c>
      <c r="AA1023" s="8" t="s">
        <v>54</v>
      </c>
      <c r="AB1023" s="10" t="s">
        <v>67</v>
      </c>
      <c r="AC1023" s="8" t="s">
        <v>54</v>
      </c>
      <c r="AD1023" s="8" t="s">
        <v>54</v>
      </c>
      <c r="AE1023" s="8" t="s">
        <v>54</v>
      </c>
      <c r="AF1023" s="8" t="s">
        <v>54</v>
      </c>
      <c r="AG1023" s="8" t="s">
        <v>54</v>
      </c>
      <c r="AH1023" s="8" t="s">
        <v>54</v>
      </c>
      <c r="AI1023" s="10" t="s">
        <v>67</v>
      </c>
      <c r="AJ1023" s="8">
        <f>COUNTIF($E$1023:$AI$1023,"P")</f>
        <v>26</v>
      </c>
      <c r="AK1023" s="8">
        <f>COUNTIF($E$1023:$AI$1023,"A")</f>
        <v>0</v>
      </c>
      <c r="AL1023" s="8">
        <f>SUM($E$1024:$AI$1024)</f>
        <v>50</v>
      </c>
      <c r="AM1023" s="8">
        <f>SUM($E$1025:$AI$1025)</f>
        <v>36</v>
      </c>
      <c r="AN1023" s="8">
        <f>AL1023+AM1023</f>
        <v>86</v>
      </c>
      <c r="AO1023" s="8">
        <f>COUNTIF($E$1023:$AI$1023,"CL")</f>
        <v>0</v>
      </c>
      <c r="AP1023" s="8">
        <f>COUNTIF($E$1023:$AI$1023,"SL")</f>
        <v>0</v>
      </c>
      <c r="AQ1023" s="8">
        <f>COUNTIF($E$1023:$AI$1023,"EL")</f>
        <v>0</v>
      </c>
      <c r="AR1023" s="8">
        <f>COUNTIF($E$1023:$AI$1023,"H")</f>
        <v>0</v>
      </c>
      <c r="AS1023" s="8"/>
      <c r="AT1023" s="11" t="s">
        <v>249</v>
      </c>
    </row>
    <row r="1024" spans="1:46" ht="15.1" customHeight="1">
      <c r="A1024" s="8"/>
      <c r="B1024" s="9"/>
      <c r="C1024" s="8"/>
      <c r="D1024" s="9"/>
      <c r="E1024" s="8">
        <v>2</v>
      </c>
      <c r="F1024" s="8">
        <v>2</v>
      </c>
      <c r="G1024" s="8">
        <v>0</v>
      </c>
      <c r="H1024" s="8">
        <v>2</v>
      </c>
      <c r="I1024" s="8">
        <v>2</v>
      </c>
      <c r="J1024" s="8">
        <v>2</v>
      </c>
      <c r="K1024" s="8">
        <v>2</v>
      </c>
      <c r="L1024" s="8">
        <v>2</v>
      </c>
      <c r="M1024" s="8">
        <v>2</v>
      </c>
      <c r="N1024" s="8">
        <v>0</v>
      </c>
      <c r="O1024" s="8">
        <v>2</v>
      </c>
      <c r="P1024" s="8">
        <v>2</v>
      </c>
      <c r="Q1024" s="8">
        <v>2</v>
      </c>
      <c r="R1024" s="8">
        <v>2</v>
      </c>
      <c r="S1024" s="8">
        <v>2</v>
      </c>
      <c r="T1024" s="8">
        <v>2</v>
      </c>
      <c r="U1024" s="8">
        <v>0</v>
      </c>
      <c r="V1024" s="8">
        <v>2</v>
      </c>
      <c r="W1024" s="8">
        <v>2</v>
      </c>
      <c r="X1024" s="8">
        <v>2</v>
      </c>
      <c r="Y1024" s="8">
        <v>2</v>
      </c>
      <c r="Z1024" s="8">
        <v>0</v>
      </c>
      <c r="AA1024" s="8">
        <v>2</v>
      </c>
      <c r="AB1024" s="8">
        <v>0</v>
      </c>
      <c r="AC1024" s="8">
        <v>2</v>
      </c>
      <c r="AD1024" s="8">
        <v>2</v>
      </c>
      <c r="AE1024" s="8">
        <v>2</v>
      </c>
      <c r="AF1024" s="8">
        <v>2</v>
      </c>
      <c r="AG1024" s="8">
        <v>2</v>
      </c>
      <c r="AH1024" s="8">
        <v>2</v>
      </c>
      <c r="AI1024" s="8">
        <v>0</v>
      </c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11" t="s">
        <v>249</v>
      </c>
    </row>
    <row r="1025" spans="1:46" ht="15.1" customHeight="1">
      <c r="A1025" s="8"/>
      <c r="B1025" s="9"/>
      <c r="C1025" s="8"/>
      <c r="D1025" s="9"/>
      <c r="E1025" s="8">
        <v>1</v>
      </c>
      <c r="F1025" s="8">
        <v>1</v>
      </c>
      <c r="G1025" s="8">
        <v>0</v>
      </c>
      <c r="H1025" s="8">
        <v>1</v>
      </c>
      <c r="I1025" s="8">
        <v>1</v>
      </c>
      <c r="J1025" s="8">
        <v>1</v>
      </c>
      <c r="K1025" s="8">
        <v>1</v>
      </c>
      <c r="L1025" s="8">
        <v>1</v>
      </c>
      <c r="M1025" s="8">
        <v>1</v>
      </c>
      <c r="N1025" s="8">
        <v>12</v>
      </c>
      <c r="O1025" s="8">
        <v>0</v>
      </c>
      <c r="P1025" s="8">
        <v>1</v>
      </c>
      <c r="Q1025" s="8">
        <v>1</v>
      </c>
      <c r="R1025" s="8">
        <v>1</v>
      </c>
      <c r="S1025" s="8">
        <v>1</v>
      </c>
      <c r="T1025" s="8">
        <v>1</v>
      </c>
      <c r="U1025" s="8">
        <v>0</v>
      </c>
      <c r="V1025" s="8">
        <v>1</v>
      </c>
      <c r="W1025" s="8">
        <v>1</v>
      </c>
      <c r="X1025" s="8">
        <v>1</v>
      </c>
      <c r="Y1025" s="8">
        <v>1</v>
      </c>
      <c r="Z1025" s="8">
        <v>0</v>
      </c>
      <c r="AA1025" s="8">
        <v>1</v>
      </c>
      <c r="AB1025" s="8">
        <v>0</v>
      </c>
      <c r="AC1025" s="8">
        <v>1</v>
      </c>
      <c r="AD1025" s="8">
        <v>1</v>
      </c>
      <c r="AE1025" s="8">
        <v>1</v>
      </c>
      <c r="AF1025" s="8">
        <v>1</v>
      </c>
      <c r="AG1025" s="8">
        <v>1</v>
      </c>
      <c r="AH1025" s="8">
        <v>1</v>
      </c>
      <c r="AI1025" s="8">
        <v>0</v>
      </c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11" t="s">
        <v>249</v>
      </c>
    </row>
    <row r="1026" spans="1:46" ht="15.1" customHeight="1">
      <c r="A1026" s="8">
        <v>341</v>
      </c>
      <c r="B1026" s="9" t="s">
        <v>942</v>
      </c>
      <c r="C1026" s="8" t="s">
        <v>943</v>
      </c>
      <c r="D1026" s="9" t="s">
        <v>451</v>
      </c>
      <c r="E1026" s="8" t="s">
        <v>54</v>
      </c>
      <c r="F1026" s="8" t="s">
        <v>54</v>
      </c>
      <c r="G1026" s="10" t="s">
        <v>67</v>
      </c>
      <c r="H1026" s="8" t="s">
        <v>54</v>
      </c>
      <c r="I1026" s="8" t="s">
        <v>54</v>
      </c>
      <c r="J1026" s="8" t="s">
        <v>54</v>
      </c>
      <c r="K1026" s="8" t="s">
        <v>54</v>
      </c>
      <c r="L1026" s="8" t="s">
        <v>54</v>
      </c>
      <c r="M1026" s="8" t="s">
        <v>54</v>
      </c>
      <c r="N1026" s="10" t="s">
        <v>67</v>
      </c>
      <c r="O1026" s="8" t="s">
        <v>54</v>
      </c>
      <c r="P1026" s="8" t="s">
        <v>54</v>
      </c>
      <c r="Q1026" s="8" t="s">
        <v>54</v>
      </c>
      <c r="R1026" s="8" t="s">
        <v>54</v>
      </c>
      <c r="S1026" s="8" t="s">
        <v>54</v>
      </c>
      <c r="T1026" s="8" t="s">
        <v>54</v>
      </c>
      <c r="U1026" s="10" t="s">
        <v>67</v>
      </c>
      <c r="V1026" s="8" t="s">
        <v>54</v>
      </c>
      <c r="W1026" s="8" t="s">
        <v>54</v>
      </c>
      <c r="X1026" s="8" t="s">
        <v>54</v>
      </c>
      <c r="Y1026" s="8" t="s">
        <v>54</v>
      </c>
      <c r="Z1026" s="8" t="s">
        <v>54</v>
      </c>
      <c r="AA1026" s="8" t="s">
        <v>54</v>
      </c>
      <c r="AB1026" s="10" t="s">
        <v>67</v>
      </c>
      <c r="AC1026" s="8" t="s">
        <v>54</v>
      </c>
      <c r="AD1026" s="8" t="s">
        <v>54</v>
      </c>
      <c r="AE1026" s="8" t="s">
        <v>54</v>
      </c>
      <c r="AF1026" s="8" t="s">
        <v>54</v>
      </c>
      <c r="AG1026" s="8" t="s">
        <v>54</v>
      </c>
      <c r="AH1026" s="8" t="s">
        <v>54</v>
      </c>
      <c r="AI1026" s="10" t="s">
        <v>67</v>
      </c>
      <c r="AJ1026" s="8">
        <f>COUNTIF($E$1026:$AI$1026,"P")</f>
        <v>26</v>
      </c>
      <c r="AK1026" s="8">
        <f>COUNTIF($E$1026:$AI$1026,"A")</f>
        <v>0</v>
      </c>
      <c r="AL1026" s="8">
        <f>SUM($E$1027:$AI$1027)</f>
        <v>52</v>
      </c>
      <c r="AM1026" s="8">
        <f>SUM($E$1028:$AI$1028)</f>
        <v>26</v>
      </c>
      <c r="AN1026" s="8">
        <f>AL1026+AM1026</f>
        <v>78</v>
      </c>
      <c r="AO1026" s="8">
        <f>COUNTIF($E$1026:$AI$1026,"CL")</f>
        <v>0</v>
      </c>
      <c r="AP1026" s="8">
        <f>COUNTIF($E$1026:$AI$1026,"SL")</f>
        <v>0</v>
      </c>
      <c r="AQ1026" s="8">
        <f>COUNTIF($E$1026:$AI$1026,"EL")</f>
        <v>0</v>
      </c>
      <c r="AR1026" s="8">
        <f>COUNTIF($E$1026:$AI$1026,"H")</f>
        <v>0</v>
      </c>
      <c r="AS1026" s="8"/>
      <c r="AT1026" s="11" t="s">
        <v>249</v>
      </c>
    </row>
    <row r="1027" spans="1:46" ht="15.1" customHeight="1">
      <c r="A1027" s="8"/>
      <c r="B1027" s="9"/>
      <c r="C1027" s="8"/>
      <c r="D1027" s="9"/>
      <c r="E1027" s="8">
        <v>2</v>
      </c>
      <c r="F1027" s="8">
        <v>2</v>
      </c>
      <c r="G1027" s="8">
        <v>0</v>
      </c>
      <c r="H1027" s="8">
        <v>2</v>
      </c>
      <c r="I1027" s="8">
        <v>2</v>
      </c>
      <c r="J1027" s="8">
        <v>2</v>
      </c>
      <c r="K1027" s="8">
        <v>2</v>
      </c>
      <c r="L1027" s="8">
        <v>2</v>
      </c>
      <c r="M1027" s="8">
        <v>2</v>
      </c>
      <c r="N1027" s="8">
        <v>0</v>
      </c>
      <c r="O1027" s="8">
        <v>2</v>
      </c>
      <c r="P1027" s="8">
        <v>2</v>
      </c>
      <c r="Q1027" s="8">
        <v>2</v>
      </c>
      <c r="R1027" s="8">
        <v>2</v>
      </c>
      <c r="S1027" s="8">
        <v>2</v>
      </c>
      <c r="T1027" s="8">
        <v>2</v>
      </c>
      <c r="U1027" s="8">
        <v>0</v>
      </c>
      <c r="V1027" s="8">
        <v>2</v>
      </c>
      <c r="W1027" s="8">
        <v>2</v>
      </c>
      <c r="X1027" s="8">
        <v>2</v>
      </c>
      <c r="Y1027" s="8">
        <v>2</v>
      </c>
      <c r="Z1027" s="8">
        <v>2</v>
      </c>
      <c r="AA1027" s="8">
        <v>2</v>
      </c>
      <c r="AB1027" s="8">
        <v>0</v>
      </c>
      <c r="AC1027" s="8">
        <v>2</v>
      </c>
      <c r="AD1027" s="8">
        <v>2</v>
      </c>
      <c r="AE1027" s="8">
        <v>2</v>
      </c>
      <c r="AF1027" s="8">
        <v>2</v>
      </c>
      <c r="AG1027" s="8">
        <v>2</v>
      </c>
      <c r="AH1027" s="8">
        <v>2</v>
      </c>
      <c r="AI1027" s="8">
        <v>0</v>
      </c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11" t="s">
        <v>249</v>
      </c>
    </row>
    <row r="1028" spans="1:46" ht="15.1" customHeight="1">
      <c r="A1028" s="8"/>
      <c r="B1028" s="9"/>
      <c r="C1028" s="8"/>
      <c r="D1028" s="9"/>
      <c r="E1028" s="8">
        <v>1</v>
      </c>
      <c r="F1028" s="8">
        <v>1</v>
      </c>
      <c r="G1028" s="8">
        <v>0</v>
      </c>
      <c r="H1028" s="8">
        <v>1</v>
      </c>
      <c r="I1028" s="8">
        <v>1</v>
      </c>
      <c r="J1028" s="8">
        <v>1</v>
      </c>
      <c r="K1028" s="8">
        <v>1</v>
      </c>
      <c r="L1028" s="8">
        <v>1</v>
      </c>
      <c r="M1028" s="8">
        <v>1</v>
      </c>
      <c r="N1028" s="8">
        <v>0</v>
      </c>
      <c r="O1028" s="8">
        <v>1</v>
      </c>
      <c r="P1028" s="8">
        <v>1</v>
      </c>
      <c r="Q1028" s="8">
        <v>1</v>
      </c>
      <c r="R1028" s="8">
        <v>1</v>
      </c>
      <c r="S1028" s="8">
        <v>1</v>
      </c>
      <c r="T1028" s="8">
        <v>1</v>
      </c>
      <c r="U1028" s="8">
        <v>0</v>
      </c>
      <c r="V1028" s="8">
        <v>1</v>
      </c>
      <c r="W1028" s="8">
        <v>1</v>
      </c>
      <c r="X1028" s="8">
        <v>1</v>
      </c>
      <c r="Y1028" s="8">
        <v>1</v>
      </c>
      <c r="Z1028" s="8">
        <v>1</v>
      </c>
      <c r="AA1028" s="8">
        <v>1</v>
      </c>
      <c r="AB1028" s="8">
        <v>0</v>
      </c>
      <c r="AC1028" s="8">
        <v>1</v>
      </c>
      <c r="AD1028" s="8">
        <v>1</v>
      </c>
      <c r="AE1028" s="8">
        <v>1</v>
      </c>
      <c r="AF1028" s="8">
        <v>1</v>
      </c>
      <c r="AG1028" s="8">
        <v>1</v>
      </c>
      <c r="AH1028" s="8">
        <v>1</v>
      </c>
      <c r="AI1028" s="8">
        <v>0</v>
      </c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11" t="s">
        <v>249</v>
      </c>
    </row>
    <row r="1029" spans="1:46" ht="15.1" customHeight="1">
      <c r="A1029" s="8">
        <v>342</v>
      </c>
      <c r="B1029" s="9" t="s">
        <v>944</v>
      </c>
      <c r="C1029" s="8" t="s">
        <v>945</v>
      </c>
      <c r="D1029" s="9" t="s">
        <v>451</v>
      </c>
      <c r="E1029" s="8" t="s">
        <v>54</v>
      </c>
      <c r="F1029" s="8" t="s">
        <v>54</v>
      </c>
      <c r="G1029" s="10" t="s">
        <v>67</v>
      </c>
      <c r="H1029" s="8" t="s">
        <v>54</v>
      </c>
      <c r="I1029" s="8" t="s">
        <v>54</v>
      </c>
      <c r="J1029" s="8" t="s">
        <v>54</v>
      </c>
      <c r="K1029" s="8" t="s">
        <v>54</v>
      </c>
      <c r="L1029" s="8" t="s">
        <v>54</v>
      </c>
      <c r="M1029" s="8" t="s">
        <v>54</v>
      </c>
      <c r="N1029" s="10" t="s">
        <v>67</v>
      </c>
      <c r="O1029" s="8" t="s">
        <v>54</v>
      </c>
      <c r="P1029" s="8" t="s">
        <v>54</v>
      </c>
      <c r="Q1029" s="8" t="s">
        <v>54</v>
      </c>
      <c r="R1029" s="12" t="s">
        <v>55</v>
      </c>
      <c r="S1029" s="12" t="s">
        <v>55</v>
      </c>
      <c r="T1029" s="8" t="s">
        <v>54</v>
      </c>
      <c r="U1029" s="10" t="s">
        <v>67</v>
      </c>
      <c r="V1029" s="8" t="s">
        <v>54</v>
      </c>
      <c r="W1029" s="8" t="s">
        <v>54</v>
      </c>
      <c r="X1029" s="8" t="s">
        <v>54</v>
      </c>
      <c r="Y1029" s="8" t="s">
        <v>54</v>
      </c>
      <c r="Z1029" s="8" t="s">
        <v>54</v>
      </c>
      <c r="AA1029" s="8" t="s">
        <v>54</v>
      </c>
      <c r="AB1029" s="10" t="s">
        <v>67</v>
      </c>
      <c r="AC1029" s="8" t="s">
        <v>54</v>
      </c>
      <c r="AD1029" s="8" t="s">
        <v>54</v>
      </c>
      <c r="AE1029" s="8" t="s">
        <v>54</v>
      </c>
      <c r="AF1029" s="8" t="s">
        <v>54</v>
      </c>
      <c r="AG1029" s="8" t="s">
        <v>54</v>
      </c>
      <c r="AH1029" s="8" t="s">
        <v>54</v>
      </c>
      <c r="AI1029" s="10" t="s">
        <v>67</v>
      </c>
      <c r="AJ1029" s="8">
        <f>COUNTIF($E$1029:$AI$1029,"P")</f>
        <v>24</v>
      </c>
      <c r="AK1029" s="8">
        <f>COUNTIF($E$1029:$AI$1029,"A")</f>
        <v>2</v>
      </c>
      <c r="AL1029" s="8">
        <f>SUM($E$1030:$AI$1030)</f>
        <v>46</v>
      </c>
      <c r="AM1029" s="8">
        <f>SUM($E$1031:$AI$1031)</f>
        <v>23</v>
      </c>
      <c r="AN1029" s="8">
        <f>AL1029+AM1029</f>
        <v>69</v>
      </c>
      <c r="AO1029" s="8">
        <f>COUNTIF($E$1029:$AI$1029,"CL")</f>
        <v>0</v>
      </c>
      <c r="AP1029" s="8">
        <f>COUNTIF($E$1029:$AI$1029,"SL")</f>
        <v>0</v>
      </c>
      <c r="AQ1029" s="8">
        <f>COUNTIF($E$1029:$AI$1029,"EL")</f>
        <v>0</v>
      </c>
      <c r="AR1029" s="8">
        <f>COUNTIF($E$1029:$AI$1029,"H")</f>
        <v>0</v>
      </c>
      <c r="AS1029" s="8"/>
      <c r="AT1029" s="11" t="s">
        <v>249</v>
      </c>
    </row>
    <row r="1030" spans="1:46" ht="15.1" customHeight="1">
      <c r="A1030" s="8"/>
      <c r="B1030" s="9"/>
      <c r="C1030" s="8"/>
      <c r="D1030" s="9"/>
      <c r="E1030" s="8">
        <v>2</v>
      </c>
      <c r="F1030" s="8">
        <v>2</v>
      </c>
      <c r="G1030" s="8">
        <v>0</v>
      </c>
      <c r="H1030" s="8">
        <v>2</v>
      </c>
      <c r="I1030" s="8">
        <v>2</v>
      </c>
      <c r="J1030" s="8">
        <v>2</v>
      </c>
      <c r="K1030" s="8">
        <v>2</v>
      </c>
      <c r="L1030" s="8">
        <v>2</v>
      </c>
      <c r="M1030" s="8">
        <v>2</v>
      </c>
      <c r="N1030" s="8">
        <v>0</v>
      </c>
      <c r="O1030" s="8">
        <v>2</v>
      </c>
      <c r="P1030" s="8">
        <v>2</v>
      </c>
      <c r="Q1030" s="8">
        <v>2</v>
      </c>
      <c r="R1030" s="8">
        <v>0</v>
      </c>
      <c r="S1030" s="8">
        <v>0</v>
      </c>
      <c r="T1030" s="8">
        <v>2</v>
      </c>
      <c r="U1030" s="8">
        <v>0</v>
      </c>
      <c r="V1030" s="8">
        <v>2</v>
      </c>
      <c r="W1030" s="8">
        <v>2</v>
      </c>
      <c r="X1030" s="8">
        <v>2</v>
      </c>
      <c r="Y1030" s="8">
        <v>2</v>
      </c>
      <c r="Z1030" s="8">
        <v>0</v>
      </c>
      <c r="AA1030" s="8">
        <v>2</v>
      </c>
      <c r="AB1030" s="8">
        <v>0</v>
      </c>
      <c r="AC1030" s="8">
        <v>2</v>
      </c>
      <c r="AD1030" s="8">
        <v>2</v>
      </c>
      <c r="AE1030" s="8">
        <v>2</v>
      </c>
      <c r="AF1030" s="8">
        <v>2</v>
      </c>
      <c r="AG1030" s="8">
        <v>2</v>
      </c>
      <c r="AH1030" s="8">
        <v>2</v>
      </c>
      <c r="AI1030" s="8">
        <v>0</v>
      </c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11" t="s">
        <v>249</v>
      </c>
    </row>
    <row r="1031" spans="1:46" ht="15.1" customHeight="1">
      <c r="A1031" s="8"/>
      <c r="B1031" s="9"/>
      <c r="C1031" s="8"/>
      <c r="D1031" s="9"/>
      <c r="E1031" s="8">
        <v>1</v>
      </c>
      <c r="F1031" s="8">
        <v>1</v>
      </c>
      <c r="G1031" s="8">
        <v>0</v>
      </c>
      <c r="H1031" s="8">
        <v>1</v>
      </c>
      <c r="I1031" s="8">
        <v>1</v>
      </c>
      <c r="J1031" s="8">
        <v>1</v>
      </c>
      <c r="K1031" s="8">
        <v>1</v>
      </c>
      <c r="L1031" s="8">
        <v>1</v>
      </c>
      <c r="M1031" s="8">
        <v>1</v>
      </c>
      <c r="N1031" s="8">
        <v>0</v>
      </c>
      <c r="O1031" s="8">
        <v>1</v>
      </c>
      <c r="P1031" s="8">
        <v>1</v>
      </c>
      <c r="Q1031" s="8">
        <v>1</v>
      </c>
      <c r="R1031" s="8">
        <v>0</v>
      </c>
      <c r="S1031" s="8">
        <v>0</v>
      </c>
      <c r="T1031" s="8">
        <v>1</v>
      </c>
      <c r="U1031" s="8">
        <v>0</v>
      </c>
      <c r="V1031" s="8">
        <v>1</v>
      </c>
      <c r="W1031" s="8">
        <v>1</v>
      </c>
      <c r="X1031" s="8">
        <v>1</v>
      </c>
      <c r="Y1031" s="8">
        <v>1</v>
      </c>
      <c r="Z1031" s="8">
        <v>0</v>
      </c>
      <c r="AA1031" s="8">
        <v>1</v>
      </c>
      <c r="AB1031" s="8">
        <v>0</v>
      </c>
      <c r="AC1031" s="8">
        <v>1</v>
      </c>
      <c r="AD1031" s="8">
        <v>1</v>
      </c>
      <c r="AE1031" s="8">
        <v>1</v>
      </c>
      <c r="AF1031" s="8">
        <v>1</v>
      </c>
      <c r="AG1031" s="8">
        <v>1</v>
      </c>
      <c r="AH1031" s="8">
        <v>1</v>
      </c>
      <c r="AI1031" s="8">
        <v>0</v>
      </c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11" t="s">
        <v>249</v>
      </c>
    </row>
    <row r="1032" spans="1:46" ht="15.1" customHeight="1">
      <c r="A1032" s="8">
        <v>343</v>
      </c>
      <c r="B1032" s="9" t="s">
        <v>946</v>
      </c>
      <c r="C1032" s="8" t="s">
        <v>947</v>
      </c>
      <c r="D1032" s="9" t="s">
        <v>451</v>
      </c>
      <c r="E1032" s="8" t="s">
        <v>54</v>
      </c>
      <c r="F1032" s="8" t="s">
        <v>54</v>
      </c>
      <c r="G1032" s="10" t="s">
        <v>67</v>
      </c>
      <c r="H1032" s="8" t="s">
        <v>54</v>
      </c>
      <c r="I1032" s="8" t="s">
        <v>54</v>
      </c>
      <c r="J1032" s="8" t="s">
        <v>54</v>
      </c>
      <c r="K1032" s="8" t="s">
        <v>54</v>
      </c>
      <c r="L1032" s="8" t="s">
        <v>54</v>
      </c>
      <c r="M1032" s="8" t="s">
        <v>54</v>
      </c>
      <c r="N1032" s="10" t="s">
        <v>67</v>
      </c>
      <c r="O1032" s="8" t="s">
        <v>54</v>
      </c>
      <c r="P1032" s="8" t="s">
        <v>54</v>
      </c>
      <c r="Q1032" s="8" t="s">
        <v>54</v>
      </c>
      <c r="R1032" s="8" t="s">
        <v>54</v>
      </c>
      <c r="S1032" s="8" t="s">
        <v>54</v>
      </c>
      <c r="T1032" s="8" t="s">
        <v>54</v>
      </c>
      <c r="U1032" s="10" t="s">
        <v>67</v>
      </c>
      <c r="V1032" s="8" t="s">
        <v>54</v>
      </c>
      <c r="W1032" s="8" t="s">
        <v>54</v>
      </c>
      <c r="X1032" s="8" t="s">
        <v>54</v>
      </c>
      <c r="Y1032" s="8" t="s">
        <v>54</v>
      </c>
      <c r="Z1032" s="8" t="s">
        <v>54</v>
      </c>
      <c r="AA1032" s="8" t="s">
        <v>54</v>
      </c>
      <c r="AB1032" s="10" t="s">
        <v>67</v>
      </c>
      <c r="AC1032" s="8" t="s">
        <v>54</v>
      </c>
      <c r="AD1032" s="8" t="s">
        <v>54</v>
      </c>
      <c r="AE1032" s="8" t="s">
        <v>54</v>
      </c>
      <c r="AF1032" s="8" t="s">
        <v>54</v>
      </c>
      <c r="AG1032" s="8" t="s">
        <v>54</v>
      </c>
      <c r="AH1032" s="8" t="s">
        <v>54</v>
      </c>
      <c r="AI1032" s="10" t="s">
        <v>67</v>
      </c>
      <c r="AJ1032" s="8">
        <f>COUNTIF($E$1032:$AI$1032,"P")</f>
        <v>26</v>
      </c>
      <c r="AK1032" s="8">
        <f>COUNTIF($E$1032:$AI$1032,"A")</f>
        <v>0</v>
      </c>
      <c r="AL1032" s="8">
        <f>SUM($E$1033:$AI$1033)</f>
        <v>50</v>
      </c>
      <c r="AM1032" s="8">
        <f>SUM($E$1034:$AI$1034)</f>
        <v>25</v>
      </c>
      <c r="AN1032" s="8">
        <f>AL1032+AM1032</f>
        <v>75</v>
      </c>
      <c r="AO1032" s="8">
        <f>COUNTIF($E$1032:$AI$1032,"CL")</f>
        <v>0</v>
      </c>
      <c r="AP1032" s="8">
        <f>COUNTIF($E$1032:$AI$1032,"SL")</f>
        <v>0</v>
      </c>
      <c r="AQ1032" s="8">
        <f>COUNTIF($E$1032:$AI$1032,"EL")</f>
        <v>0</v>
      </c>
      <c r="AR1032" s="8">
        <f>COUNTIF($E$1032:$AI$1032,"H")</f>
        <v>0</v>
      </c>
      <c r="AS1032" s="8"/>
      <c r="AT1032" s="11" t="s">
        <v>249</v>
      </c>
    </row>
    <row r="1033" spans="1:46" ht="15.1" customHeight="1">
      <c r="A1033" s="8"/>
      <c r="B1033" s="9"/>
      <c r="C1033" s="8"/>
      <c r="D1033" s="9"/>
      <c r="E1033" s="8">
        <v>2</v>
      </c>
      <c r="F1033" s="8">
        <v>2</v>
      </c>
      <c r="G1033" s="8">
        <v>0</v>
      </c>
      <c r="H1033" s="8">
        <v>2</v>
      </c>
      <c r="I1033" s="8">
        <v>2</v>
      </c>
      <c r="J1033" s="8">
        <v>2</v>
      </c>
      <c r="K1033" s="8">
        <v>2</v>
      </c>
      <c r="L1033" s="8">
        <v>2</v>
      </c>
      <c r="M1033" s="8">
        <v>2</v>
      </c>
      <c r="N1033" s="8">
        <v>0</v>
      </c>
      <c r="O1033" s="8">
        <v>2</v>
      </c>
      <c r="P1033" s="8">
        <v>2</v>
      </c>
      <c r="Q1033" s="8">
        <v>2</v>
      </c>
      <c r="R1033" s="8">
        <v>2</v>
      </c>
      <c r="S1033" s="8">
        <v>2</v>
      </c>
      <c r="T1033" s="8">
        <v>2</v>
      </c>
      <c r="U1033" s="8">
        <v>0</v>
      </c>
      <c r="V1033" s="8">
        <v>2</v>
      </c>
      <c r="W1033" s="8">
        <v>2</v>
      </c>
      <c r="X1033" s="8">
        <v>2</v>
      </c>
      <c r="Y1033" s="8">
        <v>2</v>
      </c>
      <c r="Z1033" s="8">
        <v>0</v>
      </c>
      <c r="AA1033" s="8">
        <v>2</v>
      </c>
      <c r="AB1033" s="8">
        <v>0</v>
      </c>
      <c r="AC1033" s="8">
        <v>2</v>
      </c>
      <c r="AD1033" s="8">
        <v>2</v>
      </c>
      <c r="AE1033" s="8">
        <v>2</v>
      </c>
      <c r="AF1033" s="8">
        <v>2</v>
      </c>
      <c r="AG1033" s="8">
        <v>2</v>
      </c>
      <c r="AH1033" s="8">
        <v>2</v>
      </c>
      <c r="AI1033" s="8">
        <v>0</v>
      </c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11" t="s">
        <v>249</v>
      </c>
    </row>
    <row r="1034" spans="1:46" ht="15.1" customHeight="1">
      <c r="A1034" s="8"/>
      <c r="B1034" s="9"/>
      <c r="C1034" s="8"/>
      <c r="D1034" s="9"/>
      <c r="E1034" s="8">
        <v>1</v>
      </c>
      <c r="F1034" s="8">
        <v>1</v>
      </c>
      <c r="G1034" s="8">
        <v>0</v>
      </c>
      <c r="H1034" s="8">
        <v>1</v>
      </c>
      <c r="I1034" s="8">
        <v>1</v>
      </c>
      <c r="J1034" s="8">
        <v>1</v>
      </c>
      <c r="K1034" s="8">
        <v>1</v>
      </c>
      <c r="L1034" s="8">
        <v>1</v>
      </c>
      <c r="M1034" s="8">
        <v>1</v>
      </c>
      <c r="N1034" s="8">
        <v>0</v>
      </c>
      <c r="O1034" s="8">
        <v>1</v>
      </c>
      <c r="P1034" s="8">
        <v>1</v>
      </c>
      <c r="Q1034" s="8">
        <v>1</v>
      </c>
      <c r="R1034" s="8">
        <v>1</v>
      </c>
      <c r="S1034" s="8">
        <v>1</v>
      </c>
      <c r="T1034" s="8">
        <v>1</v>
      </c>
      <c r="U1034" s="8">
        <v>0</v>
      </c>
      <c r="V1034" s="8">
        <v>1</v>
      </c>
      <c r="W1034" s="8">
        <v>1</v>
      </c>
      <c r="X1034" s="8">
        <v>1</v>
      </c>
      <c r="Y1034" s="8">
        <v>1</v>
      </c>
      <c r="Z1034" s="8">
        <v>0</v>
      </c>
      <c r="AA1034" s="8">
        <v>1</v>
      </c>
      <c r="AB1034" s="8">
        <v>0</v>
      </c>
      <c r="AC1034" s="8">
        <v>1</v>
      </c>
      <c r="AD1034" s="8">
        <v>1</v>
      </c>
      <c r="AE1034" s="8">
        <v>1</v>
      </c>
      <c r="AF1034" s="8">
        <v>1</v>
      </c>
      <c r="AG1034" s="8">
        <v>1</v>
      </c>
      <c r="AH1034" s="8">
        <v>1</v>
      </c>
      <c r="AI1034" s="8">
        <v>0</v>
      </c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11" t="s">
        <v>249</v>
      </c>
    </row>
    <row r="1035" spans="1:46" ht="15.1" customHeight="1">
      <c r="A1035" s="8">
        <v>344</v>
      </c>
      <c r="B1035" s="9" t="s">
        <v>948</v>
      </c>
      <c r="C1035" s="8" t="s">
        <v>949</v>
      </c>
      <c r="D1035" s="9" t="s">
        <v>451</v>
      </c>
      <c r="E1035" s="8" t="s">
        <v>54</v>
      </c>
      <c r="F1035" s="8" t="s">
        <v>54</v>
      </c>
      <c r="G1035" s="10" t="s">
        <v>67</v>
      </c>
      <c r="H1035" s="8" t="s">
        <v>54</v>
      </c>
      <c r="I1035" s="8" t="s">
        <v>54</v>
      </c>
      <c r="J1035" s="8" t="s">
        <v>54</v>
      </c>
      <c r="K1035" s="8" t="s">
        <v>54</v>
      </c>
      <c r="L1035" s="8" t="s">
        <v>54</v>
      </c>
      <c r="M1035" s="8" t="s">
        <v>54</v>
      </c>
      <c r="N1035" s="10" t="s">
        <v>67</v>
      </c>
      <c r="O1035" s="8" t="s">
        <v>54</v>
      </c>
      <c r="P1035" s="8" t="s">
        <v>54</v>
      </c>
      <c r="Q1035" s="8" t="s">
        <v>54</v>
      </c>
      <c r="R1035" s="8" t="s">
        <v>54</v>
      </c>
      <c r="S1035" s="8" t="s">
        <v>54</v>
      </c>
      <c r="T1035" s="8" t="s">
        <v>54</v>
      </c>
      <c r="U1035" s="10" t="s">
        <v>67</v>
      </c>
      <c r="V1035" s="8" t="s">
        <v>54</v>
      </c>
      <c r="W1035" s="8" t="s">
        <v>54</v>
      </c>
      <c r="X1035" s="8" t="s">
        <v>54</v>
      </c>
      <c r="Y1035" s="8" t="s">
        <v>54</v>
      </c>
      <c r="Z1035" s="8" t="s">
        <v>54</v>
      </c>
      <c r="AA1035" s="8" t="s">
        <v>54</v>
      </c>
      <c r="AB1035" s="10" t="s">
        <v>67</v>
      </c>
      <c r="AC1035" s="8" t="s">
        <v>54</v>
      </c>
      <c r="AD1035" s="8" t="s">
        <v>54</v>
      </c>
      <c r="AE1035" s="8" t="s">
        <v>54</v>
      </c>
      <c r="AF1035" s="8" t="s">
        <v>54</v>
      </c>
      <c r="AG1035" s="8" t="s">
        <v>54</v>
      </c>
      <c r="AH1035" s="8" t="s">
        <v>54</v>
      </c>
      <c r="AI1035" s="10" t="s">
        <v>67</v>
      </c>
      <c r="AJ1035" s="8">
        <f>COUNTIF($E$1035:$AI$1035,"P")</f>
        <v>26</v>
      </c>
      <c r="AK1035" s="8">
        <f>COUNTIF($E$1035:$AI$1035,"A")</f>
        <v>0</v>
      </c>
      <c r="AL1035" s="8">
        <f>SUM($E$1036:$AI$1036)</f>
        <v>48</v>
      </c>
      <c r="AM1035" s="8">
        <f>SUM($E$1037:$AI$1037)</f>
        <v>23</v>
      </c>
      <c r="AN1035" s="8">
        <f>AL1035+AM1035</f>
        <v>71</v>
      </c>
      <c r="AO1035" s="8">
        <f>COUNTIF($E$1035:$AI$1035,"CL")</f>
        <v>0</v>
      </c>
      <c r="AP1035" s="8">
        <f>COUNTIF($E$1035:$AI$1035,"SL")</f>
        <v>0</v>
      </c>
      <c r="AQ1035" s="8">
        <f>COUNTIF($E$1035:$AI$1035,"EL")</f>
        <v>0</v>
      </c>
      <c r="AR1035" s="8">
        <f>COUNTIF($E$1035:$AI$1035,"H")</f>
        <v>0</v>
      </c>
      <c r="AS1035" s="8"/>
      <c r="AT1035" s="11" t="s">
        <v>249</v>
      </c>
    </row>
    <row r="1036" spans="1:46" ht="15.1" customHeight="1">
      <c r="A1036" s="8"/>
      <c r="B1036" s="9"/>
      <c r="C1036" s="8"/>
      <c r="D1036" s="9"/>
      <c r="E1036" s="8">
        <v>0</v>
      </c>
      <c r="F1036" s="8">
        <v>2</v>
      </c>
      <c r="G1036" s="8">
        <v>0</v>
      </c>
      <c r="H1036" s="8">
        <v>2</v>
      </c>
      <c r="I1036" s="8">
        <v>2</v>
      </c>
      <c r="J1036" s="8">
        <v>2</v>
      </c>
      <c r="K1036" s="8">
        <v>2</v>
      </c>
      <c r="L1036" s="8">
        <v>2</v>
      </c>
      <c r="M1036" s="8">
        <v>2</v>
      </c>
      <c r="N1036" s="8">
        <v>0</v>
      </c>
      <c r="O1036" s="8">
        <v>2</v>
      </c>
      <c r="P1036" s="8">
        <v>2</v>
      </c>
      <c r="Q1036" s="8">
        <v>2</v>
      </c>
      <c r="R1036" s="8">
        <v>2</v>
      </c>
      <c r="S1036" s="8">
        <v>2</v>
      </c>
      <c r="T1036" s="8">
        <v>2</v>
      </c>
      <c r="U1036" s="8">
        <v>0</v>
      </c>
      <c r="V1036" s="8">
        <v>2</v>
      </c>
      <c r="W1036" s="8">
        <v>2</v>
      </c>
      <c r="X1036" s="8">
        <v>2</v>
      </c>
      <c r="Y1036" s="8">
        <v>2</v>
      </c>
      <c r="Z1036" s="8">
        <v>0</v>
      </c>
      <c r="AA1036" s="8">
        <v>2</v>
      </c>
      <c r="AB1036" s="8">
        <v>0</v>
      </c>
      <c r="AC1036" s="8">
        <v>2</v>
      </c>
      <c r="AD1036" s="8">
        <v>2</v>
      </c>
      <c r="AE1036" s="8">
        <v>2</v>
      </c>
      <c r="AF1036" s="8">
        <v>2</v>
      </c>
      <c r="AG1036" s="8">
        <v>2</v>
      </c>
      <c r="AH1036" s="8">
        <v>2</v>
      </c>
      <c r="AI1036" s="8">
        <v>0</v>
      </c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11" t="s">
        <v>249</v>
      </c>
    </row>
    <row r="1037" spans="1:46" ht="15.1" customHeight="1">
      <c r="A1037" s="8"/>
      <c r="B1037" s="9"/>
      <c r="C1037" s="8"/>
      <c r="D1037" s="9"/>
      <c r="E1037" s="8">
        <v>0</v>
      </c>
      <c r="F1037" s="8">
        <v>0</v>
      </c>
      <c r="G1037" s="8">
        <v>0</v>
      </c>
      <c r="H1037" s="8">
        <v>1</v>
      </c>
      <c r="I1037" s="8">
        <v>1</v>
      </c>
      <c r="J1037" s="8">
        <v>1</v>
      </c>
      <c r="K1037" s="8">
        <v>1</v>
      </c>
      <c r="L1037" s="8">
        <v>1</v>
      </c>
      <c r="M1037" s="8">
        <v>1</v>
      </c>
      <c r="N1037" s="8">
        <v>0</v>
      </c>
      <c r="O1037" s="8">
        <v>1</v>
      </c>
      <c r="P1037" s="8">
        <v>1</v>
      </c>
      <c r="Q1037" s="8">
        <v>1</v>
      </c>
      <c r="R1037" s="8">
        <v>1</v>
      </c>
      <c r="S1037" s="8">
        <v>1</v>
      </c>
      <c r="T1037" s="8">
        <v>1</v>
      </c>
      <c r="U1037" s="8">
        <v>0</v>
      </c>
      <c r="V1037" s="8">
        <v>1</v>
      </c>
      <c r="W1037" s="8">
        <v>1</v>
      </c>
      <c r="X1037" s="8">
        <v>1</v>
      </c>
      <c r="Y1037" s="8">
        <v>1</v>
      </c>
      <c r="Z1037" s="8">
        <v>0</v>
      </c>
      <c r="AA1037" s="8">
        <v>1</v>
      </c>
      <c r="AB1037" s="8">
        <v>0</v>
      </c>
      <c r="AC1037" s="8">
        <v>1</v>
      </c>
      <c r="AD1037" s="8">
        <v>1</v>
      </c>
      <c r="AE1037" s="8">
        <v>1</v>
      </c>
      <c r="AF1037" s="8">
        <v>1</v>
      </c>
      <c r="AG1037" s="8">
        <v>1</v>
      </c>
      <c r="AH1037" s="8">
        <v>1</v>
      </c>
      <c r="AI1037" s="8">
        <v>0</v>
      </c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11" t="s">
        <v>249</v>
      </c>
    </row>
    <row r="1038" spans="1:46" ht="15.1" customHeight="1">
      <c r="A1038" s="8">
        <v>345</v>
      </c>
      <c r="B1038" s="9" t="s">
        <v>950</v>
      </c>
      <c r="C1038" s="8" t="s">
        <v>951</v>
      </c>
      <c r="D1038" s="9" t="s">
        <v>451</v>
      </c>
      <c r="E1038" s="8" t="s">
        <v>54</v>
      </c>
      <c r="F1038" s="8" t="s">
        <v>54</v>
      </c>
      <c r="G1038" s="10" t="s">
        <v>67</v>
      </c>
      <c r="H1038" s="8" t="s">
        <v>54</v>
      </c>
      <c r="I1038" s="8" t="s">
        <v>54</v>
      </c>
      <c r="J1038" s="8" t="s">
        <v>54</v>
      </c>
      <c r="K1038" s="8" t="s">
        <v>54</v>
      </c>
      <c r="L1038" s="8" t="s">
        <v>54</v>
      </c>
      <c r="M1038" s="8" t="s">
        <v>54</v>
      </c>
      <c r="N1038" s="10" t="s">
        <v>67</v>
      </c>
      <c r="O1038" s="8" t="s">
        <v>54</v>
      </c>
      <c r="P1038" s="8" t="s">
        <v>54</v>
      </c>
      <c r="Q1038" s="8" t="s">
        <v>54</v>
      </c>
      <c r="R1038" s="8" t="s">
        <v>54</v>
      </c>
      <c r="S1038" s="8" t="s">
        <v>54</v>
      </c>
      <c r="T1038" s="8" t="s">
        <v>54</v>
      </c>
      <c r="U1038" s="10" t="s">
        <v>67</v>
      </c>
      <c r="V1038" s="8" t="s">
        <v>54</v>
      </c>
      <c r="W1038" s="8" t="s">
        <v>54</v>
      </c>
      <c r="X1038" s="8" t="s">
        <v>54</v>
      </c>
      <c r="Y1038" s="8" t="s">
        <v>54</v>
      </c>
      <c r="Z1038" s="8" t="s">
        <v>54</v>
      </c>
      <c r="AA1038" s="8" t="s">
        <v>54</v>
      </c>
      <c r="AB1038" s="10" t="s">
        <v>67</v>
      </c>
      <c r="AC1038" s="8" t="s">
        <v>54</v>
      </c>
      <c r="AD1038" s="8" t="s">
        <v>54</v>
      </c>
      <c r="AE1038" s="8" t="s">
        <v>54</v>
      </c>
      <c r="AF1038" s="8" t="s">
        <v>54</v>
      </c>
      <c r="AG1038" s="8" t="s">
        <v>54</v>
      </c>
      <c r="AH1038" s="8" t="s">
        <v>54</v>
      </c>
      <c r="AI1038" s="10" t="s">
        <v>67</v>
      </c>
      <c r="AJ1038" s="8">
        <f>COUNTIF($E$1038:$AI$1038,"P")</f>
        <v>26</v>
      </c>
      <c r="AK1038" s="8">
        <f>COUNTIF($E$1038:$AI$1038,"A")</f>
        <v>0</v>
      </c>
      <c r="AL1038" s="8">
        <f>SUM($E$1039:$AI$1039)</f>
        <v>44</v>
      </c>
      <c r="AM1038" s="8">
        <f>SUM($E$1040:$AI$1040)</f>
        <v>21</v>
      </c>
      <c r="AN1038" s="8">
        <f>AL1038+AM1038</f>
        <v>65</v>
      </c>
      <c r="AO1038" s="8">
        <f>COUNTIF($E$1038:$AI$1038,"CL")</f>
        <v>0</v>
      </c>
      <c r="AP1038" s="8">
        <f>COUNTIF($E$1038:$AI$1038,"SL")</f>
        <v>0</v>
      </c>
      <c r="AQ1038" s="8">
        <f>COUNTIF($E$1038:$AI$1038,"EL")</f>
        <v>0</v>
      </c>
      <c r="AR1038" s="8">
        <f>COUNTIF($E$1038:$AI$1038,"H")</f>
        <v>0</v>
      </c>
      <c r="AS1038" s="8"/>
      <c r="AT1038" s="11" t="s">
        <v>249</v>
      </c>
    </row>
    <row r="1039" spans="1:46" ht="15.1" customHeight="1">
      <c r="A1039" s="8"/>
      <c r="B1039" s="9"/>
      <c r="C1039" s="8"/>
      <c r="D1039" s="9"/>
      <c r="E1039" s="8">
        <v>0</v>
      </c>
      <c r="F1039" s="8">
        <v>2</v>
      </c>
      <c r="G1039" s="8">
        <v>0</v>
      </c>
      <c r="H1039" s="8">
        <v>2</v>
      </c>
      <c r="I1039" s="8">
        <v>2</v>
      </c>
      <c r="J1039" s="8">
        <v>2</v>
      </c>
      <c r="K1039" s="8">
        <v>2</v>
      </c>
      <c r="L1039" s="8">
        <v>2</v>
      </c>
      <c r="M1039" s="8">
        <v>2</v>
      </c>
      <c r="N1039" s="8">
        <v>0</v>
      </c>
      <c r="O1039" s="8">
        <v>0</v>
      </c>
      <c r="P1039" s="8">
        <v>0</v>
      </c>
      <c r="Q1039" s="8">
        <v>2</v>
      </c>
      <c r="R1039" s="8">
        <v>2</v>
      </c>
      <c r="S1039" s="8">
        <v>2</v>
      </c>
      <c r="T1039" s="8">
        <v>2</v>
      </c>
      <c r="U1039" s="8">
        <v>0</v>
      </c>
      <c r="V1039" s="8">
        <v>2</v>
      </c>
      <c r="W1039" s="8">
        <v>2</v>
      </c>
      <c r="X1039" s="8">
        <v>2</v>
      </c>
      <c r="Y1039" s="8">
        <v>2</v>
      </c>
      <c r="Z1039" s="8">
        <v>0</v>
      </c>
      <c r="AA1039" s="8">
        <v>2</v>
      </c>
      <c r="AB1039" s="8">
        <v>0</v>
      </c>
      <c r="AC1039" s="8">
        <v>2</v>
      </c>
      <c r="AD1039" s="8">
        <v>2</v>
      </c>
      <c r="AE1039" s="8">
        <v>2</v>
      </c>
      <c r="AF1039" s="8">
        <v>2</v>
      </c>
      <c r="AG1039" s="8">
        <v>2</v>
      </c>
      <c r="AH1039" s="8">
        <v>2</v>
      </c>
      <c r="AI1039" s="8">
        <v>0</v>
      </c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11" t="s">
        <v>249</v>
      </c>
    </row>
    <row r="1040" spans="1:46" ht="15.1" customHeight="1">
      <c r="A1040" s="8"/>
      <c r="B1040" s="9"/>
      <c r="C1040" s="8"/>
      <c r="D1040" s="9"/>
      <c r="E1040" s="8">
        <v>0</v>
      </c>
      <c r="F1040" s="8">
        <v>0</v>
      </c>
      <c r="G1040" s="8">
        <v>0</v>
      </c>
      <c r="H1040" s="8">
        <v>1</v>
      </c>
      <c r="I1040" s="8">
        <v>1</v>
      </c>
      <c r="J1040" s="8">
        <v>1</v>
      </c>
      <c r="K1040" s="8">
        <v>1</v>
      </c>
      <c r="L1040" s="8">
        <v>1</v>
      </c>
      <c r="M1040" s="8">
        <v>1</v>
      </c>
      <c r="N1040" s="8">
        <v>0</v>
      </c>
      <c r="O1040" s="8">
        <v>0</v>
      </c>
      <c r="P1040" s="8">
        <v>0</v>
      </c>
      <c r="Q1040" s="8">
        <v>1</v>
      </c>
      <c r="R1040" s="8">
        <v>1</v>
      </c>
      <c r="S1040" s="8">
        <v>1</v>
      </c>
      <c r="T1040" s="8">
        <v>1</v>
      </c>
      <c r="U1040" s="8">
        <v>0</v>
      </c>
      <c r="V1040" s="8">
        <v>1</v>
      </c>
      <c r="W1040" s="8">
        <v>1</v>
      </c>
      <c r="X1040" s="8">
        <v>1</v>
      </c>
      <c r="Y1040" s="8">
        <v>1</v>
      </c>
      <c r="Z1040" s="8">
        <v>0</v>
      </c>
      <c r="AA1040" s="8">
        <v>1</v>
      </c>
      <c r="AB1040" s="8">
        <v>0</v>
      </c>
      <c r="AC1040" s="8">
        <v>1</v>
      </c>
      <c r="AD1040" s="8">
        <v>1</v>
      </c>
      <c r="AE1040" s="8">
        <v>1</v>
      </c>
      <c r="AF1040" s="8">
        <v>1</v>
      </c>
      <c r="AG1040" s="8">
        <v>1</v>
      </c>
      <c r="AH1040" s="8">
        <v>1</v>
      </c>
      <c r="AI1040" s="8">
        <v>0</v>
      </c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11" t="s">
        <v>249</v>
      </c>
    </row>
    <row r="1041" spans="1:46" ht="15.1" customHeight="1">
      <c r="A1041" s="8">
        <v>346</v>
      </c>
      <c r="B1041" s="9" t="s">
        <v>952</v>
      </c>
      <c r="C1041" s="8" t="s">
        <v>953</v>
      </c>
      <c r="D1041" s="9" t="s">
        <v>451</v>
      </c>
      <c r="E1041" s="8" t="s">
        <v>54</v>
      </c>
      <c r="F1041" s="8" t="s">
        <v>54</v>
      </c>
      <c r="G1041" s="10" t="s">
        <v>67</v>
      </c>
      <c r="H1041" s="8" t="s">
        <v>54</v>
      </c>
      <c r="I1041" s="8" t="s">
        <v>54</v>
      </c>
      <c r="J1041" s="8" t="s">
        <v>54</v>
      </c>
      <c r="K1041" s="8" t="s">
        <v>54</v>
      </c>
      <c r="L1041" s="8" t="s">
        <v>54</v>
      </c>
      <c r="M1041" s="8" t="s">
        <v>54</v>
      </c>
      <c r="N1041" s="10" t="s">
        <v>67</v>
      </c>
      <c r="O1041" s="8" t="s">
        <v>54</v>
      </c>
      <c r="P1041" s="8" t="s">
        <v>54</v>
      </c>
      <c r="Q1041" s="8" t="s">
        <v>54</v>
      </c>
      <c r="R1041" s="8" t="s">
        <v>54</v>
      </c>
      <c r="S1041" s="8" t="s">
        <v>54</v>
      </c>
      <c r="T1041" s="8" t="s">
        <v>54</v>
      </c>
      <c r="U1041" s="10" t="s">
        <v>67</v>
      </c>
      <c r="V1041" s="8" t="s">
        <v>54</v>
      </c>
      <c r="W1041" s="8" t="s">
        <v>54</v>
      </c>
      <c r="X1041" s="8" t="s">
        <v>54</v>
      </c>
      <c r="Y1041" s="8" t="s">
        <v>54</v>
      </c>
      <c r="Z1041" s="8" t="s">
        <v>54</v>
      </c>
      <c r="AA1041" s="8" t="s">
        <v>54</v>
      </c>
      <c r="AB1041" s="10" t="s">
        <v>67</v>
      </c>
      <c r="AC1041" s="8" t="s">
        <v>54</v>
      </c>
      <c r="AD1041" s="8" t="s">
        <v>54</v>
      </c>
      <c r="AE1041" s="8" t="s">
        <v>54</v>
      </c>
      <c r="AF1041" s="8" t="s">
        <v>54</v>
      </c>
      <c r="AG1041" s="8" t="s">
        <v>54</v>
      </c>
      <c r="AH1041" s="8" t="s">
        <v>54</v>
      </c>
      <c r="AI1041" s="10" t="s">
        <v>67</v>
      </c>
      <c r="AJ1041" s="8">
        <f>COUNTIF($E$1041:$AI$1041,"P")</f>
        <v>26</v>
      </c>
      <c r="AK1041" s="8">
        <f>COUNTIF($E$1041:$AI$1041,"A")</f>
        <v>0</v>
      </c>
      <c r="AL1041" s="8">
        <f>SUM($E$1042:$AI$1042)</f>
        <v>48</v>
      </c>
      <c r="AM1041" s="8">
        <f>SUM($E$1043:$AI$1043)</f>
        <v>36</v>
      </c>
      <c r="AN1041" s="8">
        <f>AL1041+AM1041</f>
        <v>84</v>
      </c>
      <c r="AO1041" s="8">
        <f>COUNTIF($E$1041:$AI$1041,"CL")</f>
        <v>0</v>
      </c>
      <c r="AP1041" s="8">
        <f>COUNTIF($E$1041:$AI$1041,"SL")</f>
        <v>0</v>
      </c>
      <c r="AQ1041" s="8">
        <f>COUNTIF($E$1041:$AI$1041,"EL")</f>
        <v>0</v>
      </c>
      <c r="AR1041" s="8">
        <f>COUNTIF($E$1041:$AI$1041,"H")</f>
        <v>0</v>
      </c>
      <c r="AS1041" s="8"/>
      <c r="AT1041" s="11" t="s">
        <v>249</v>
      </c>
    </row>
    <row r="1042" spans="1:46" ht="15.1" customHeight="1">
      <c r="A1042" s="8"/>
      <c r="B1042" s="9"/>
      <c r="C1042" s="8"/>
      <c r="D1042" s="9"/>
      <c r="E1042" s="8">
        <v>2</v>
      </c>
      <c r="F1042" s="8">
        <v>0</v>
      </c>
      <c r="G1042" s="8">
        <v>0</v>
      </c>
      <c r="H1042" s="8">
        <v>2</v>
      </c>
      <c r="I1042" s="8">
        <v>2</v>
      </c>
      <c r="J1042" s="8">
        <v>2</v>
      </c>
      <c r="K1042" s="8">
        <v>2</v>
      </c>
      <c r="L1042" s="8">
        <v>2</v>
      </c>
      <c r="M1042" s="8">
        <v>2</v>
      </c>
      <c r="N1042" s="8">
        <v>0</v>
      </c>
      <c r="O1042" s="8">
        <v>2</v>
      </c>
      <c r="P1042" s="8">
        <v>2</v>
      </c>
      <c r="Q1042" s="8">
        <v>2</v>
      </c>
      <c r="R1042" s="8">
        <v>2</v>
      </c>
      <c r="S1042" s="8">
        <v>2</v>
      </c>
      <c r="T1042" s="8">
        <v>2</v>
      </c>
      <c r="U1042" s="8">
        <v>0</v>
      </c>
      <c r="V1042" s="8">
        <v>2</v>
      </c>
      <c r="W1042" s="8">
        <v>2</v>
      </c>
      <c r="X1042" s="8">
        <v>2</v>
      </c>
      <c r="Y1042" s="8">
        <v>2</v>
      </c>
      <c r="Z1042" s="8">
        <v>0</v>
      </c>
      <c r="AA1042" s="8">
        <v>2</v>
      </c>
      <c r="AB1042" s="8">
        <v>0</v>
      </c>
      <c r="AC1042" s="8">
        <v>2</v>
      </c>
      <c r="AD1042" s="8">
        <v>2</v>
      </c>
      <c r="AE1042" s="8">
        <v>2</v>
      </c>
      <c r="AF1042" s="8">
        <v>2</v>
      </c>
      <c r="AG1042" s="8">
        <v>2</v>
      </c>
      <c r="AH1042" s="8">
        <v>2</v>
      </c>
      <c r="AI1042" s="8">
        <v>0</v>
      </c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11" t="s">
        <v>249</v>
      </c>
    </row>
    <row r="1043" spans="1:46" ht="15.1" customHeight="1">
      <c r="A1043" s="8"/>
      <c r="B1043" s="9"/>
      <c r="C1043" s="8"/>
      <c r="D1043" s="9"/>
      <c r="E1043" s="8">
        <v>1</v>
      </c>
      <c r="F1043" s="8">
        <v>0</v>
      </c>
      <c r="G1043" s="8">
        <v>0</v>
      </c>
      <c r="H1043" s="8">
        <v>1</v>
      </c>
      <c r="I1043" s="8">
        <v>1</v>
      </c>
      <c r="J1043" s="8">
        <v>1</v>
      </c>
      <c r="K1043" s="8">
        <v>1</v>
      </c>
      <c r="L1043" s="8">
        <v>1</v>
      </c>
      <c r="M1043" s="8">
        <v>1</v>
      </c>
      <c r="N1043" s="8">
        <v>12</v>
      </c>
      <c r="O1043" s="8">
        <v>1</v>
      </c>
      <c r="P1043" s="8">
        <v>1</v>
      </c>
      <c r="Q1043" s="8">
        <v>1</v>
      </c>
      <c r="R1043" s="8">
        <v>1</v>
      </c>
      <c r="S1043" s="8">
        <v>1</v>
      </c>
      <c r="T1043" s="8">
        <v>1</v>
      </c>
      <c r="U1043" s="8">
        <v>0</v>
      </c>
      <c r="V1043" s="8">
        <v>1</v>
      </c>
      <c r="W1043" s="8">
        <v>1</v>
      </c>
      <c r="X1043" s="8">
        <v>1</v>
      </c>
      <c r="Y1043" s="8">
        <v>1</v>
      </c>
      <c r="Z1043" s="8">
        <v>0</v>
      </c>
      <c r="AA1043" s="8">
        <v>1</v>
      </c>
      <c r="AB1043" s="8">
        <v>0</v>
      </c>
      <c r="AC1043" s="8">
        <v>1</v>
      </c>
      <c r="AD1043" s="8">
        <v>1</v>
      </c>
      <c r="AE1043" s="8">
        <v>1</v>
      </c>
      <c r="AF1043" s="8">
        <v>1</v>
      </c>
      <c r="AG1043" s="8">
        <v>1</v>
      </c>
      <c r="AH1043" s="8">
        <v>1</v>
      </c>
      <c r="AI1043" s="8">
        <v>0</v>
      </c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11" t="s">
        <v>249</v>
      </c>
    </row>
    <row r="1044" spans="1:46" ht="15.1" customHeight="1">
      <c r="A1044" s="8">
        <v>347</v>
      </c>
      <c r="B1044" s="9" t="s">
        <v>954</v>
      </c>
      <c r="C1044" s="8" t="s">
        <v>955</v>
      </c>
      <c r="D1044" s="9" t="s">
        <v>451</v>
      </c>
      <c r="E1044" s="8" t="s">
        <v>54</v>
      </c>
      <c r="F1044" s="8" t="s">
        <v>54</v>
      </c>
      <c r="G1044" s="10" t="s">
        <v>67</v>
      </c>
      <c r="H1044" s="8" t="s">
        <v>54</v>
      </c>
      <c r="I1044" s="8" t="s">
        <v>54</v>
      </c>
      <c r="J1044" s="8" t="s">
        <v>54</v>
      </c>
      <c r="K1044" s="8" t="s">
        <v>54</v>
      </c>
      <c r="L1044" s="8" t="s">
        <v>54</v>
      </c>
      <c r="M1044" s="8" t="s">
        <v>54</v>
      </c>
      <c r="N1044" s="10" t="s">
        <v>67</v>
      </c>
      <c r="O1044" s="8" t="s">
        <v>54</v>
      </c>
      <c r="P1044" s="8" t="s">
        <v>54</v>
      </c>
      <c r="Q1044" s="8" t="s">
        <v>54</v>
      </c>
      <c r="R1044" s="8" t="s">
        <v>54</v>
      </c>
      <c r="S1044" s="8" t="s">
        <v>54</v>
      </c>
      <c r="T1044" s="8" t="s">
        <v>54</v>
      </c>
      <c r="U1044" s="10" t="s">
        <v>67</v>
      </c>
      <c r="V1044" s="8" t="s">
        <v>54</v>
      </c>
      <c r="W1044" s="8" t="s">
        <v>54</v>
      </c>
      <c r="X1044" s="8" t="s">
        <v>54</v>
      </c>
      <c r="Y1044" s="8" t="s">
        <v>54</v>
      </c>
      <c r="Z1044" s="8" t="s">
        <v>54</v>
      </c>
      <c r="AA1044" s="8" t="s">
        <v>54</v>
      </c>
      <c r="AB1044" s="10" t="s">
        <v>67</v>
      </c>
      <c r="AC1044" s="8" t="s">
        <v>54</v>
      </c>
      <c r="AD1044" s="8" t="s">
        <v>54</v>
      </c>
      <c r="AE1044" s="8" t="s">
        <v>54</v>
      </c>
      <c r="AF1044" s="8" t="s">
        <v>54</v>
      </c>
      <c r="AG1044" s="8" t="s">
        <v>54</v>
      </c>
      <c r="AH1044" s="8" t="s">
        <v>54</v>
      </c>
      <c r="AI1044" s="10" t="s">
        <v>67</v>
      </c>
      <c r="AJ1044" s="8">
        <f>COUNTIF($E$1044:$AI$1044,"P")</f>
        <v>26</v>
      </c>
      <c r="AK1044" s="8">
        <f>COUNTIF($E$1044:$AI$1044,"A")</f>
        <v>0</v>
      </c>
      <c r="AL1044" s="8">
        <f>SUM($E$1045:$AI$1045)</f>
        <v>52</v>
      </c>
      <c r="AM1044" s="8">
        <f>SUM($E$1046:$AI$1046)</f>
        <v>26</v>
      </c>
      <c r="AN1044" s="8">
        <f>AL1044+AM1044</f>
        <v>78</v>
      </c>
      <c r="AO1044" s="8">
        <f>COUNTIF($E$1044:$AI$1044,"CL")</f>
        <v>0</v>
      </c>
      <c r="AP1044" s="8">
        <f>COUNTIF($E$1044:$AI$1044,"SL")</f>
        <v>0</v>
      </c>
      <c r="AQ1044" s="8">
        <f>COUNTIF($E$1044:$AI$1044,"EL")</f>
        <v>0</v>
      </c>
      <c r="AR1044" s="8">
        <f>COUNTIF($E$1044:$AI$1044,"H")</f>
        <v>0</v>
      </c>
      <c r="AS1044" s="8"/>
      <c r="AT1044" s="11" t="s">
        <v>249</v>
      </c>
    </row>
    <row r="1045" spans="1:46" ht="15.1" customHeight="1">
      <c r="A1045" s="8"/>
      <c r="B1045" s="9"/>
      <c r="C1045" s="8"/>
      <c r="D1045" s="9"/>
      <c r="E1045" s="8">
        <v>2</v>
      </c>
      <c r="F1045" s="8">
        <v>2</v>
      </c>
      <c r="G1045" s="8">
        <v>0</v>
      </c>
      <c r="H1045" s="8">
        <v>2</v>
      </c>
      <c r="I1045" s="8">
        <v>2</v>
      </c>
      <c r="J1045" s="8">
        <v>2</v>
      </c>
      <c r="K1045" s="8">
        <v>2</v>
      </c>
      <c r="L1045" s="8">
        <v>2</v>
      </c>
      <c r="M1045" s="8">
        <v>2</v>
      </c>
      <c r="N1045" s="8">
        <v>0</v>
      </c>
      <c r="O1045" s="8">
        <v>2</v>
      </c>
      <c r="P1045" s="8">
        <v>2</v>
      </c>
      <c r="Q1045" s="8">
        <v>2</v>
      </c>
      <c r="R1045" s="8">
        <v>2</v>
      </c>
      <c r="S1045" s="8">
        <v>2</v>
      </c>
      <c r="T1045" s="8">
        <v>2</v>
      </c>
      <c r="U1045" s="8">
        <v>0</v>
      </c>
      <c r="V1045" s="8">
        <v>2</v>
      </c>
      <c r="W1045" s="8">
        <v>2</v>
      </c>
      <c r="X1045" s="8">
        <v>2</v>
      </c>
      <c r="Y1045" s="8">
        <v>2</v>
      </c>
      <c r="Z1045" s="8">
        <v>2</v>
      </c>
      <c r="AA1045" s="8">
        <v>2</v>
      </c>
      <c r="AB1045" s="8">
        <v>0</v>
      </c>
      <c r="AC1045" s="8">
        <v>2</v>
      </c>
      <c r="AD1045" s="8">
        <v>2</v>
      </c>
      <c r="AE1045" s="8">
        <v>2</v>
      </c>
      <c r="AF1045" s="8">
        <v>2</v>
      </c>
      <c r="AG1045" s="8">
        <v>2</v>
      </c>
      <c r="AH1045" s="8">
        <v>2</v>
      </c>
      <c r="AI1045" s="8">
        <v>0</v>
      </c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11" t="s">
        <v>249</v>
      </c>
    </row>
    <row r="1046" spans="1:46" ht="15.1" customHeight="1">
      <c r="A1046" s="8"/>
      <c r="B1046" s="9"/>
      <c r="C1046" s="8"/>
      <c r="D1046" s="9"/>
      <c r="E1046" s="8">
        <v>1</v>
      </c>
      <c r="F1046" s="8">
        <v>1</v>
      </c>
      <c r="G1046" s="8">
        <v>0</v>
      </c>
      <c r="H1046" s="8">
        <v>1</v>
      </c>
      <c r="I1046" s="8">
        <v>1</v>
      </c>
      <c r="J1046" s="8">
        <v>1</v>
      </c>
      <c r="K1046" s="8">
        <v>1</v>
      </c>
      <c r="L1046" s="8">
        <v>1</v>
      </c>
      <c r="M1046" s="8">
        <v>1</v>
      </c>
      <c r="N1046" s="8">
        <v>0</v>
      </c>
      <c r="O1046" s="8">
        <v>1</v>
      </c>
      <c r="P1046" s="8">
        <v>1</v>
      </c>
      <c r="Q1046" s="8">
        <v>1</v>
      </c>
      <c r="R1046" s="8">
        <v>1</v>
      </c>
      <c r="S1046" s="8">
        <v>1</v>
      </c>
      <c r="T1046" s="8">
        <v>1</v>
      </c>
      <c r="U1046" s="8">
        <v>0</v>
      </c>
      <c r="V1046" s="8">
        <v>1</v>
      </c>
      <c r="W1046" s="8">
        <v>1</v>
      </c>
      <c r="X1046" s="8">
        <v>1</v>
      </c>
      <c r="Y1046" s="8">
        <v>1</v>
      </c>
      <c r="Z1046" s="8">
        <v>1</v>
      </c>
      <c r="AA1046" s="8">
        <v>1</v>
      </c>
      <c r="AB1046" s="8">
        <v>0</v>
      </c>
      <c r="AC1046" s="8">
        <v>1</v>
      </c>
      <c r="AD1046" s="8">
        <v>1</v>
      </c>
      <c r="AE1046" s="8">
        <v>1</v>
      </c>
      <c r="AF1046" s="8">
        <v>1</v>
      </c>
      <c r="AG1046" s="8">
        <v>1</v>
      </c>
      <c r="AH1046" s="8">
        <v>1</v>
      </c>
      <c r="AI1046" s="8">
        <v>0</v>
      </c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11" t="s">
        <v>249</v>
      </c>
    </row>
    <row r="1047" spans="1:46" ht="15.1" customHeight="1">
      <c r="A1047" s="8">
        <v>348</v>
      </c>
      <c r="B1047" s="9" t="s">
        <v>956</v>
      </c>
      <c r="C1047" s="8" t="s">
        <v>957</v>
      </c>
      <c r="D1047" s="9" t="s">
        <v>451</v>
      </c>
      <c r="E1047" s="8" t="s">
        <v>54</v>
      </c>
      <c r="F1047" s="8" t="s">
        <v>54</v>
      </c>
      <c r="G1047" s="10" t="s">
        <v>67</v>
      </c>
      <c r="H1047" s="8" t="s">
        <v>54</v>
      </c>
      <c r="I1047" s="8" t="s">
        <v>54</v>
      </c>
      <c r="J1047" s="8" t="s">
        <v>54</v>
      </c>
      <c r="K1047" s="8" t="s">
        <v>54</v>
      </c>
      <c r="L1047" s="8" t="s">
        <v>54</v>
      </c>
      <c r="M1047" s="12" t="s">
        <v>55</v>
      </c>
      <c r="N1047" s="10" t="s">
        <v>67</v>
      </c>
      <c r="O1047" s="8" t="s">
        <v>54</v>
      </c>
      <c r="P1047" s="8" t="s">
        <v>54</v>
      </c>
      <c r="Q1047" s="8" t="s">
        <v>54</v>
      </c>
      <c r="R1047" s="8" t="s">
        <v>54</v>
      </c>
      <c r="S1047" s="8" t="s">
        <v>54</v>
      </c>
      <c r="T1047" s="8" t="s">
        <v>54</v>
      </c>
      <c r="U1047" s="10" t="s">
        <v>67</v>
      </c>
      <c r="V1047" s="8" t="s">
        <v>54</v>
      </c>
      <c r="W1047" s="8" t="s">
        <v>54</v>
      </c>
      <c r="X1047" s="8" t="s">
        <v>54</v>
      </c>
      <c r="Y1047" s="8" t="s">
        <v>54</v>
      </c>
      <c r="Z1047" s="8" t="s">
        <v>54</v>
      </c>
      <c r="AA1047" s="8" t="s">
        <v>54</v>
      </c>
      <c r="AB1047" s="10" t="s">
        <v>67</v>
      </c>
      <c r="AC1047" s="8" t="s">
        <v>54</v>
      </c>
      <c r="AD1047" s="8" t="s">
        <v>54</v>
      </c>
      <c r="AE1047" s="8" t="s">
        <v>54</v>
      </c>
      <c r="AF1047" s="12" t="s">
        <v>55</v>
      </c>
      <c r="AG1047" s="12" t="s">
        <v>55</v>
      </c>
      <c r="AH1047" s="12" t="s">
        <v>55</v>
      </c>
      <c r="AI1047" s="10" t="s">
        <v>67</v>
      </c>
      <c r="AJ1047" s="8">
        <f>COUNTIF($E$1047:$AI$1047,"P")</f>
        <v>22</v>
      </c>
      <c r="AK1047" s="8">
        <f>COUNTIF($E$1047:$AI$1047,"A")</f>
        <v>4</v>
      </c>
      <c r="AL1047" s="8">
        <f>SUM($E$1048:$AI$1048)</f>
        <v>42</v>
      </c>
      <c r="AM1047" s="8">
        <f>SUM($E$1049:$AI$1049)</f>
        <v>21</v>
      </c>
      <c r="AN1047" s="8">
        <f>AL1047+AM1047</f>
        <v>63</v>
      </c>
      <c r="AO1047" s="8">
        <f>COUNTIF($E$1047:$AI$1047,"CL")</f>
        <v>0</v>
      </c>
      <c r="AP1047" s="8">
        <f>COUNTIF($E$1047:$AI$1047,"SL")</f>
        <v>0</v>
      </c>
      <c r="AQ1047" s="8">
        <f>COUNTIF($E$1047:$AI$1047,"EL")</f>
        <v>0</v>
      </c>
      <c r="AR1047" s="8">
        <f>COUNTIF($E$1047:$AI$1047,"H")</f>
        <v>0</v>
      </c>
      <c r="AS1047" s="8"/>
      <c r="AT1047" s="11" t="s">
        <v>249</v>
      </c>
    </row>
    <row r="1048" spans="1:46" ht="15.1" customHeight="1">
      <c r="A1048" s="8"/>
      <c r="B1048" s="9"/>
      <c r="C1048" s="8"/>
      <c r="D1048" s="9"/>
      <c r="E1048" s="8">
        <v>2</v>
      </c>
      <c r="F1048" s="8">
        <v>2</v>
      </c>
      <c r="G1048" s="8">
        <v>0</v>
      </c>
      <c r="H1048" s="8">
        <v>2</v>
      </c>
      <c r="I1048" s="8">
        <v>2</v>
      </c>
      <c r="J1048" s="8">
        <v>2</v>
      </c>
      <c r="K1048" s="8">
        <v>2</v>
      </c>
      <c r="L1048" s="8">
        <v>2</v>
      </c>
      <c r="M1048" s="8">
        <v>0</v>
      </c>
      <c r="N1048" s="8">
        <v>0</v>
      </c>
      <c r="O1048" s="8">
        <v>2</v>
      </c>
      <c r="P1048" s="8">
        <v>2</v>
      </c>
      <c r="Q1048" s="8">
        <v>2</v>
      </c>
      <c r="R1048" s="8">
        <v>2</v>
      </c>
      <c r="S1048" s="8">
        <v>2</v>
      </c>
      <c r="T1048" s="8">
        <v>2</v>
      </c>
      <c r="U1048" s="8">
        <v>0</v>
      </c>
      <c r="V1048" s="8">
        <v>2</v>
      </c>
      <c r="W1048" s="8">
        <v>2</v>
      </c>
      <c r="X1048" s="8">
        <v>2</v>
      </c>
      <c r="Y1048" s="8">
        <v>2</v>
      </c>
      <c r="Z1048" s="8">
        <v>0</v>
      </c>
      <c r="AA1048" s="8">
        <v>2</v>
      </c>
      <c r="AB1048" s="8">
        <v>0</v>
      </c>
      <c r="AC1048" s="8">
        <v>2</v>
      </c>
      <c r="AD1048" s="8">
        <v>2</v>
      </c>
      <c r="AE1048" s="8">
        <v>2</v>
      </c>
      <c r="AF1048" s="8">
        <v>0</v>
      </c>
      <c r="AG1048" s="8">
        <v>0</v>
      </c>
      <c r="AH1048" s="8">
        <v>0</v>
      </c>
      <c r="AI1048" s="8">
        <v>0</v>
      </c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11" t="s">
        <v>249</v>
      </c>
    </row>
    <row r="1049" spans="1:46" ht="15.1" customHeight="1">
      <c r="A1049" s="8"/>
      <c r="B1049" s="9"/>
      <c r="C1049" s="8"/>
      <c r="D1049" s="9"/>
      <c r="E1049" s="8">
        <v>1</v>
      </c>
      <c r="F1049" s="8">
        <v>1</v>
      </c>
      <c r="G1049" s="8">
        <v>0</v>
      </c>
      <c r="H1049" s="8">
        <v>1</v>
      </c>
      <c r="I1049" s="8">
        <v>1</v>
      </c>
      <c r="J1049" s="8">
        <v>1</v>
      </c>
      <c r="K1049" s="8">
        <v>1</v>
      </c>
      <c r="L1049" s="8">
        <v>1</v>
      </c>
      <c r="M1049" s="8">
        <v>0</v>
      </c>
      <c r="N1049" s="8">
        <v>0</v>
      </c>
      <c r="O1049" s="8">
        <v>1</v>
      </c>
      <c r="P1049" s="8">
        <v>1</v>
      </c>
      <c r="Q1049" s="8">
        <v>1</v>
      </c>
      <c r="R1049" s="8">
        <v>1</v>
      </c>
      <c r="S1049" s="8">
        <v>1</v>
      </c>
      <c r="T1049" s="8">
        <v>1</v>
      </c>
      <c r="U1049" s="8">
        <v>0</v>
      </c>
      <c r="V1049" s="8">
        <v>1</v>
      </c>
      <c r="W1049" s="8">
        <v>1</v>
      </c>
      <c r="X1049" s="8">
        <v>1</v>
      </c>
      <c r="Y1049" s="8">
        <v>1</v>
      </c>
      <c r="Z1049" s="8">
        <v>0</v>
      </c>
      <c r="AA1049" s="8">
        <v>1</v>
      </c>
      <c r="AB1049" s="8">
        <v>0</v>
      </c>
      <c r="AC1049" s="8">
        <v>1</v>
      </c>
      <c r="AD1049" s="8">
        <v>1</v>
      </c>
      <c r="AE1049" s="8">
        <v>1</v>
      </c>
      <c r="AF1049" s="8">
        <v>0</v>
      </c>
      <c r="AG1049" s="8">
        <v>0</v>
      </c>
      <c r="AH1049" s="8">
        <v>0</v>
      </c>
      <c r="AI1049" s="8">
        <v>0</v>
      </c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11" t="s">
        <v>249</v>
      </c>
    </row>
    <row r="1050" spans="1:46" ht="15.1" customHeight="1">
      <c r="A1050" s="8">
        <v>349</v>
      </c>
      <c r="B1050" s="9" t="s">
        <v>426</v>
      </c>
      <c r="C1050" s="8" t="s">
        <v>958</v>
      </c>
      <c r="D1050" s="9" t="s">
        <v>451</v>
      </c>
      <c r="E1050" s="8" t="s">
        <v>54</v>
      </c>
      <c r="F1050" s="8" t="s">
        <v>54</v>
      </c>
      <c r="G1050" s="10" t="s">
        <v>67</v>
      </c>
      <c r="H1050" s="8" t="s">
        <v>54</v>
      </c>
      <c r="I1050" s="8" t="s">
        <v>54</v>
      </c>
      <c r="J1050" s="8" t="s">
        <v>54</v>
      </c>
      <c r="K1050" s="8" t="s">
        <v>54</v>
      </c>
      <c r="L1050" s="8" t="s">
        <v>54</v>
      </c>
      <c r="M1050" s="8" t="s">
        <v>54</v>
      </c>
      <c r="N1050" s="10" t="s">
        <v>67</v>
      </c>
      <c r="O1050" s="8" t="s">
        <v>54</v>
      </c>
      <c r="P1050" s="8" t="s">
        <v>54</v>
      </c>
      <c r="Q1050" s="8" t="s">
        <v>54</v>
      </c>
      <c r="R1050" s="8" t="s">
        <v>54</v>
      </c>
      <c r="S1050" s="8" t="s">
        <v>54</v>
      </c>
      <c r="T1050" s="8" t="s">
        <v>54</v>
      </c>
      <c r="U1050" s="10" t="s">
        <v>67</v>
      </c>
      <c r="V1050" s="8" t="s">
        <v>54</v>
      </c>
      <c r="W1050" s="8" t="s">
        <v>54</v>
      </c>
      <c r="X1050" s="8" t="s">
        <v>54</v>
      </c>
      <c r="Y1050" s="8" t="s">
        <v>54</v>
      </c>
      <c r="Z1050" s="8" t="s">
        <v>54</v>
      </c>
      <c r="AA1050" s="8" t="s">
        <v>54</v>
      </c>
      <c r="AB1050" s="10" t="s">
        <v>67</v>
      </c>
      <c r="AC1050" s="8" t="s">
        <v>54</v>
      </c>
      <c r="AD1050" s="8" t="s">
        <v>54</v>
      </c>
      <c r="AE1050" s="8" t="s">
        <v>54</v>
      </c>
      <c r="AF1050" s="8" t="s">
        <v>54</v>
      </c>
      <c r="AG1050" s="8" t="s">
        <v>54</v>
      </c>
      <c r="AH1050" s="8" t="s">
        <v>54</v>
      </c>
      <c r="AI1050" s="10" t="s">
        <v>67</v>
      </c>
      <c r="AJ1050" s="8">
        <f>COUNTIF($E$1050:$AI$1050,"P")</f>
        <v>26</v>
      </c>
      <c r="AK1050" s="8">
        <f>COUNTIF($E$1050:$AI$1050,"A")</f>
        <v>0</v>
      </c>
      <c r="AL1050" s="8">
        <f>SUM($E$1051:$AI$1051)</f>
        <v>50</v>
      </c>
      <c r="AM1050" s="8">
        <f>SUM($E$1052:$AI$1052)</f>
        <v>25</v>
      </c>
      <c r="AN1050" s="8">
        <f>AL1050+AM1050</f>
        <v>75</v>
      </c>
      <c r="AO1050" s="8">
        <f>COUNTIF($E$1050:$AI$1050,"CL")</f>
        <v>0</v>
      </c>
      <c r="AP1050" s="8">
        <f>COUNTIF($E$1050:$AI$1050,"SL")</f>
        <v>0</v>
      </c>
      <c r="AQ1050" s="8">
        <f>COUNTIF($E$1050:$AI$1050,"EL")</f>
        <v>0</v>
      </c>
      <c r="AR1050" s="8">
        <f>COUNTIF($E$1050:$AI$1050,"H")</f>
        <v>0</v>
      </c>
      <c r="AS1050" s="8"/>
      <c r="AT1050" s="11" t="s">
        <v>249</v>
      </c>
    </row>
    <row r="1051" spans="1:46" ht="15.1" customHeight="1">
      <c r="A1051" s="8"/>
      <c r="B1051" s="9"/>
      <c r="C1051" s="8"/>
      <c r="D1051" s="9"/>
      <c r="E1051" s="8">
        <v>2</v>
      </c>
      <c r="F1051" s="8">
        <v>0</v>
      </c>
      <c r="G1051" s="8">
        <v>0</v>
      </c>
      <c r="H1051" s="8">
        <v>2</v>
      </c>
      <c r="I1051" s="8">
        <v>2</v>
      </c>
      <c r="J1051" s="8">
        <v>2</v>
      </c>
      <c r="K1051" s="8">
        <v>2</v>
      </c>
      <c r="L1051" s="8">
        <v>2</v>
      </c>
      <c r="M1051" s="8">
        <v>2</v>
      </c>
      <c r="N1051" s="8">
        <v>0</v>
      </c>
      <c r="O1051" s="8">
        <v>2</v>
      </c>
      <c r="P1051" s="8">
        <v>2</v>
      </c>
      <c r="Q1051" s="8">
        <v>2</v>
      </c>
      <c r="R1051" s="8">
        <v>2</v>
      </c>
      <c r="S1051" s="8">
        <v>2</v>
      </c>
      <c r="T1051" s="8">
        <v>2</v>
      </c>
      <c r="U1051" s="8">
        <v>0</v>
      </c>
      <c r="V1051" s="8">
        <v>2</v>
      </c>
      <c r="W1051" s="8">
        <v>2</v>
      </c>
      <c r="X1051" s="8">
        <v>2</v>
      </c>
      <c r="Y1051" s="8">
        <v>2</v>
      </c>
      <c r="Z1051" s="8">
        <v>2</v>
      </c>
      <c r="AA1051" s="8">
        <v>2</v>
      </c>
      <c r="AB1051" s="8">
        <v>0</v>
      </c>
      <c r="AC1051" s="8">
        <v>2</v>
      </c>
      <c r="AD1051" s="8">
        <v>2</v>
      </c>
      <c r="AE1051" s="8">
        <v>2</v>
      </c>
      <c r="AF1051" s="8">
        <v>2</v>
      </c>
      <c r="AG1051" s="8">
        <v>2</v>
      </c>
      <c r="AH1051" s="8">
        <v>2</v>
      </c>
      <c r="AI1051" s="8">
        <v>0</v>
      </c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11" t="s">
        <v>249</v>
      </c>
    </row>
    <row r="1052" spans="1:46" ht="15.1" customHeight="1">
      <c r="A1052" s="8"/>
      <c r="B1052" s="9"/>
      <c r="C1052" s="8"/>
      <c r="D1052" s="9"/>
      <c r="E1052" s="8">
        <v>1</v>
      </c>
      <c r="F1052" s="8">
        <v>0</v>
      </c>
      <c r="G1052" s="8">
        <v>0</v>
      </c>
      <c r="H1052" s="8">
        <v>1</v>
      </c>
      <c r="I1052" s="8">
        <v>1</v>
      </c>
      <c r="J1052" s="8">
        <v>1</v>
      </c>
      <c r="K1052" s="8">
        <v>1</v>
      </c>
      <c r="L1052" s="8">
        <v>1</v>
      </c>
      <c r="M1052" s="8">
        <v>1</v>
      </c>
      <c r="N1052" s="8">
        <v>0</v>
      </c>
      <c r="O1052" s="8">
        <v>1</v>
      </c>
      <c r="P1052" s="8">
        <v>1</v>
      </c>
      <c r="Q1052" s="8">
        <v>1</v>
      </c>
      <c r="R1052" s="8">
        <v>1</v>
      </c>
      <c r="S1052" s="8">
        <v>1</v>
      </c>
      <c r="T1052" s="8">
        <v>1</v>
      </c>
      <c r="U1052" s="8">
        <v>0</v>
      </c>
      <c r="V1052" s="8">
        <v>1</v>
      </c>
      <c r="W1052" s="8">
        <v>1</v>
      </c>
      <c r="X1052" s="8">
        <v>1</v>
      </c>
      <c r="Y1052" s="8">
        <v>1</v>
      </c>
      <c r="Z1052" s="8">
        <v>1</v>
      </c>
      <c r="AA1052" s="8">
        <v>1</v>
      </c>
      <c r="AB1052" s="8">
        <v>0</v>
      </c>
      <c r="AC1052" s="8">
        <v>1</v>
      </c>
      <c r="AD1052" s="8">
        <v>1</v>
      </c>
      <c r="AE1052" s="8">
        <v>1</v>
      </c>
      <c r="AF1052" s="8">
        <v>1</v>
      </c>
      <c r="AG1052" s="8">
        <v>1</v>
      </c>
      <c r="AH1052" s="8">
        <v>1</v>
      </c>
      <c r="AI1052" s="8">
        <v>0</v>
      </c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11" t="s">
        <v>249</v>
      </c>
    </row>
    <row r="1053" spans="1:46" ht="15.1" customHeight="1">
      <c r="A1053" s="8">
        <v>350</v>
      </c>
      <c r="B1053" s="9" t="s">
        <v>959</v>
      </c>
      <c r="C1053" s="8" t="s">
        <v>960</v>
      </c>
      <c r="D1053" s="9" t="s">
        <v>451</v>
      </c>
      <c r="E1053" s="12" t="s">
        <v>55</v>
      </c>
      <c r="F1053" s="12" t="s">
        <v>55</v>
      </c>
      <c r="G1053" s="10" t="s">
        <v>67</v>
      </c>
      <c r="H1053" s="8" t="s">
        <v>54</v>
      </c>
      <c r="I1053" s="8" t="s">
        <v>54</v>
      </c>
      <c r="J1053" s="8" t="s">
        <v>54</v>
      </c>
      <c r="K1053" s="8" t="s">
        <v>54</v>
      </c>
      <c r="L1053" s="8" t="s">
        <v>54</v>
      </c>
      <c r="M1053" s="8" t="s">
        <v>54</v>
      </c>
      <c r="N1053" s="10" t="s">
        <v>67</v>
      </c>
      <c r="O1053" s="8" t="s">
        <v>54</v>
      </c>
      <c r="P1053" s="8" t="s">
        <v>54</v>
      </c>
      <c r="Q1053" s="8" t="s">
        <v>54</v>
      </c>
      <c r="R1053" s="8" t="s">
        <v>54</v>
      </c>
      <c r="S1053" s="8" t="s">
        <v>54</v>
      </c>
      <c r="T1053" s="8" t="s">
        <v>54</v>
      </c>
      <c r="U1053" s="10" t="s">
        <v>67</v>
      </c>
      <c r="V1053" s="8" t="s">
        <v>54</v>
      </c>
      <c r="W1053" s="8" t="s">
        <v>54</v>
      </c>
      <c r="X1053" s="8" t="s">
        <v>54</v>
      </c>
      <c r="Y1053" s="8" t="s">
        <v>54</v>
      </c>
      <c r="Z1053" s="8" t="s">
        <v>54</v>
      </c>
      <c r="AA1053" s="8" t="s">
        <v>54</v>
      </c>
      <c r="AB1053" s="10" t="s">
        <v>67</v>
      </c>
      <c r="AC1053" s="8" t="s">
        <v>54</v>
      </c>
      <c r="AD1053" s="8" t="s">
        <v>54</v>
      </c>
      <c r="AE1053" s="8" t="s">
        <v>54</v>
      </c>
      <c r="AF1053" s="8" t="s">
        <v>54</v>
      </c>
      <c r="AG1053" s="8" t="s">
        <v>54</v>
      </c>
      <c r="AH1053" s="8" t="s">
        <v>54</v>
      </c>
      <c r="AI1053" s="10" t="s">
        <v>67</v>
      </c>
      <c r="AJ1053" s="8">
        <f>COUNTIF($E$1053:$AI$1053,"P")</f>
        <v>24</v>
      </c>
      <c r="AK1053" s="8">
        <f>COUNTIF($E$1053:$AI$1053,"A")</f>
        <v>2</v>
      </c>
      <c r="AL1053" s="8">
        <f>SUM($E$1054:$AI$1054)</f>
        <v>44</v>
      </c>
      <c r="AM1053" s="8">
        <f>SUM($E$1055:$AI$1055)</f>
        <v>22</v>
      </c>
      <c r="AN1053" s="8">
        <f>AL1053+AM1053</f>
        <v>66</v>
      </c>
      <c r="AO1053" s="8">
        <f>COUNTIF($E$1053:$AI$1053,"CL")</f>
        <v>0</v>
      </c>
      <c r="AP1053" s="8">
        <f>COUNTIF($E$1053:$AI$1053,"SL")</f>
        <v>0</v>
      </c>
      <c r="AQ1053" s="8">
        <f>COUNTIF($E$1053:$AI$1053,"EL")</f>
        <v>0</v>
      </c>
      <c r="AR1053" s="8">
        <f>COUNTIF($E$1053:$AI$1053,"H")</f>
        <v>0</v>
      </c>
      <c r="AS1053" s="8"/>
      <c r="AT1053" s="11" t="s">
        <v>249</v>
      </c>
    </row>
    <row r="1054" spans="1:46" ht="15.1" customHeight="1">
      <c r="A1054" s="8"/>
      <c r="B1054" s="9"/>
      <c r="C1054" s="8"/>
      <c r="D1054" s="9"/>
      <c r="E1054" s="8">
        <v>0</v>
      </c>
      <c r="F1054" s="8">
        <v>0</v>
      </c>
      <c r="G1054" s="8">
        <v>0</v>
      </c>
      <c r="H1054" s="8">
        <v>2</v>
      </c>
      <c r="I1054" s="8">
        <v>2</v>
      </c>
      <c r="J1054" s="8">
        <v>2</v>
      </c>
      <c r="K1054" s="8">
        <v>2</v>
      </c>
      <c r="L1054" s="8">
        <v>2</v>
      </c>
      <c r="M1054" s="8">
        <v>2</v>
      </c>
      <c r="N1054" s="8">
        <v>0</v>
      </c>
      <c r="O1054" s="8">
        <v>2</v>
      </c>
      <c r="P1054" s="8">
        <v>2</v>
      </c>
      <c r="Q1054" s="8">
        <v>2</v>
      </c>
      <c r="R1054" s="8">
        <v>2</v>
      </c>
      <c r="S1054" s="8">
        <v>2</v>
      </c>
      <c r="T1054" s="8">
        <v>2</v>
      </c>
      <c r="U1054" s="8">
        <v>0</v>
      </c>
      <c r="V1054" s="8">
        <v>2</v>
      </c>
      <c r="W1054" s="8">
        <v>2</v>
      </c>
      <c r="X1054" s="8">
        <v>2</v>
      </c>
      <c r="Y1054" s="8">
        <v>2</v>
      </c>
      <c r="Z1054" s="8">
        <v>0</v>
      </c>
      <c r="AA1054" s="8">
        <v>2</v>
      </c>
      <c r="AB1054" s="8">
        <v>0</v>
      </c>
      <c r="AC1054" s="8">
        <v>2</v>
      </c>
      <c r="AD1054" s="8">
        <v>2</v>
      </c>
      <c r="AE1054" s="8">
        <v>2</v>
      </c>
      <c r="AF1054" s="8">
        <v>2</v>
      </c>
      <c r="AG1054" s="8">
        <v>2</v>
      </c>
      <c r="AH1054" s="8">
        <v>0</v>
      </c>
      <c r="AI1054" s="8">
        <v>0</v>
      </c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11" t="s">
        <v>249</v>
      </c>
    </row>
    <row r="1055" spans="1:46" ht="15.1" customHeight="1">
      <c r="A1055" s="8"/>
      <c r="B1055" s="9"/>
      <c r="C1055" s="8"/>
      <c r="D1055" s="9"/>
      <c r="E1055" s="8">
        <v>0</v>
      </c>
      <c r="F1055" s="8">
        <v>0</v>
      </c>
      <c r="G1055" s="8">
        <v>0</v>
      </c>
      <c r="H1055" s="8">
        <v>1</v>
      </c>
      <c r="I1055" s="8">
        <v>1</v>
      </c>
      <c r="J1055" s="8">
        <v>1</v>
      </c>
      <c r="K1055" s="8">
        <v>1</v>
      </c>
      <c r="L1055" s="8">
        <v>1</v>
      </c>
      <c r="M1055" s="8">
        <v>1</v>
      </c>
      <c r="N1055" s="8">
        <v>0</v>
      </c>
      <c r="O1055" s="8">
        <v>1</v>
      </c>
      <c r="P1055" s="8">
        <v>1</v>
      </c>
      <c r="Q1055" s="8">
        <v>1</v>
      </c>
      <c r="R1055" s="8">
        <v>1</v>
      </c>
      <c r="S1055" s="8">
        <v>1</v>
      </c>
      <c r="T1055" s="8">
        <v>1</v>
      </c>
      <c r="U1055" s="8">
        <v>0</v>
      </c>
      <c r="V1055" s="8">
        <v>1</v>
      </c>
      <c r="W1055" s="8">
        <v>1</v>
      </c>
      <c r="X1055" s="8">
        <v>1</v>
      </c>
      <c r="Y1055" s="8">
        <v>1</v>
      </c>
      <c r="Z1055" s="8">
        <v>0</v>
      </c>
      <c r="AA1055" s="8">
        <v>1</v>
      </c>
      <c r="AB1055" s="8">
        <v>0</v>
      </c>
      <c r="AC1055" s="8">
        <v>1</v>
      </c>
      <c r="AD1055" s="8">
        <v>1</v>
      </c>
      <c r="AE1055" s="8">
        <v>1</v>
      </c>
      <c r="AF1055" s="8">
        <v>1</v>
      </c>
      <c r="AG1055" s="8">
        <v>1</v>
      </c>
      <c r="AH1055" s="8">
        <v>0</v>
      </c>
      <c r="AI1055" s="8">
        <v>0</v>
      </c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11" t="s">
        <v>249</v>
      </c>
    </row>
    <row r="1056" spans="1:46" ht="15.1" customHeight="1">
      <c r="A1056" s="8">
        <v>351</v>
      </c>
      <c r="B1056" s="9" t="s">
        <v>961</v>
      </c>
      <c r="C1056" s="8" t="s">
        <v>962</v>
      </c>
      <c r="D1056" s="9" t="s">
        <v>451</v>
      </c>
      <c r="E1056" s="8" t="s">
        <v>54</v>
      </c>
      <c r="F1056" s="8" t="s">
        <v>54</v>
      </c>
      <c r="G1056" s="10" t="s">
        <v>67</v>
      </c>
      <c r="H1056" s="8" t="s">
        <v>54</v>
      </c>
      <c r="I1056" s="8" t="s">
        <v>54</v>
      </c>
      <c r="J1056" s="8" t="s">
        <v>54</v>
      </c>
      <c r="K1056" s="8" t="s">
        <v>54</v>
      </c>
      <c r="L1056" s="8" t="s">
        <v>54</v>
      </c>
      <c r="M1056" s="8" t="s">
        <v>54</v>
      </c>
      <c r="N1056" s="10" t="s">
        <v>67</v>
      </c>
      <c r="O1056" s="12" t="s">
        <v>55</v>
      </c>
      <c r="P1056" s="12" t="s">
        <v>55</v>
      </c>
      <c r="Q1056" s="12" t="s">
        <v>55</v>
      </c>
      <c r="R1056" s="8" t="s">
        <v>54</v>
      </c>
      <c r="S1056" s="8" t="s">
        <v>54</v>
      </c>
      <c r="T1056" s="8" t="s">
        <v>54</v>
      </c>
      <c r="U1056" s="10" t="s">
        <v>67</v>
      </c>
      <c r="V1056" s="8" t="s">
        <v>54</v>
      </c>
      <c r="W1056" s="8" t="s">
        <v>54</v>
      </c>
      <c r="X1056" s="8" t="s">
        <v>54</v>
      </c>
      <c r="Y1056" s="8" t="s">
        <v>54</v>
      </c>
      <c r="Z1056" s="8" t="s">
        <v>54</v>
      </c>
      <c r="AA1056" s="8" t="s">
        <v>54</v>
      </c>
      <c r="AB1056" s="10" t="s">
        <v>67</v>
      </c>
      <c r="AC1056" s="8" t="s">
        <v>54</v>
      </c>
      <c r="AD1056" s="8" t="s">
        <v>54</v>
      </c>
      <c r="AE1056" s="8" t="s">
        <v>54</v>
      </c>
      <c r="AF1056" s="8" t="s">
        <v>54</v>
      </c>
      <c r="AG1056" s="8" t="s">
        <v>54</v>
      </c>
      <c r="AH1056" s="8" t="s">
        <v>54</v>
      </c>
      <c r="AI1056" s="10" t="s">
        <v>67</v>
      </c>
      <c r="AJ1056" s="8">
        <f>COUNTIF($E$1056:$AI$1056,"P")</f>
        <v>23</v>
      </c>
      <c r="AK1056" s="8">
        <f>COUNTIF($E$1056:$AI$1056,"A")</f>
        <v>3</v>
      </c>
      <c r="AL1056" s="8">
        <f>SUM($E$1057:$AI$1057)</f>
        <v>44</v>
      </c>
      <c r="AM1056" s="8">
        <f>SUM($E$1058:$AI$1058)</f>
        <v>22</v>
      </c>
      <c r="AN1056" s="8">
        <f>AL1056+AM1056</f>
        <v>66</v>
      </c>
      <c r="AO1056" s="8">
        <f>COUNTIF($E$1056:$AI$1056,"CL")</f>
        <v>0</v>
      </c>
      <c r="AP1056" s="8">
        <f>COUNTIF($E$1056:$AI$1056,"SL")</f>
        <v>0</v>
      </c>
      <c r="AQ1056" s="8">
        <f>COUNTIF($E$1056:$AI$1056,"EL")</f>
        <v>0</v>
      </c>
      <c r="AR1056" s="8">
        <f>COUNTIF($E$1056:$AI$1056,"H")</f>
        <v>0</v>
      </c>
      <c r="AS1056" s="8"/>
      <c r="AT1056" s="11" t="s">
        <v>249</v>
      </c>
    </row>
    <row r="1057" spans="1:46" ht="15.1" customHeight="1">
      <c r="A1057" s="8"/>
      <c r="B1057" s="9"/>
      <c r="C1057" s="8"/>
      <c r="D1057" s="9"/>
      <c r="E1057" s="8">
        <v>2</v>
      </c>
      <c r="F1057" s="8">
        <v>0</v>
      </c>
      <c r="G1057" s="8">
        <v>0</v>
      </c>
      <c r="H1057" s="8">
        <v>2</v>
      </c>
      <c r="I1057" s="8">
        <v>2</v>
      </c>
      <c r="J1057" s="8">
        <v>2</v>
      </c>
      <c r="K1057" s="8">
        <v>2</v>
      </c>
      <c r="L1057" s="8">
        <v>2</v>
      </c>
      <c r="M1057" s="8">
        <v>2</v>
      </c>
      <c r="N1057" s="8">
        <v>0</v>
      </c>
      <c r="O1057" s="8">
        <v>0</v>
      </c>
      <c r="P1057" s="8">
        <v>0</v>
      </c>
      <c r="Q1057" s="8">
        <v>0</v>
      </c>
      <c r="R1057" s="8">
        <v>2</v>
      </c>
      <c r="S1057" s="8">
        <v>2</v>
      </c>
      <c r="T1057" s="8">
        <v>2</v>
      </c>
      <c r="U1057" s="8">
        <v>0</v>
      </c>
      <c r="V1057" s="8">
        <v>2</v>
      </c>
      <c r="W1057" s="8">
        <v>2</v>
      </c>
      <c r="X1057" s="8">
        <v>2</v>
      </c>
      <c r="Y1057" s="8">
        <v>2</v>
      </c>
      <c r="Z1057" s="8">
        <v>2</v>
      </c>
      <c r="AA1057" s="8">
        <v>2</v>
      </c>
      <c r="AB1057" s="8">
        <v>0</v>
      </c>
      <c r="AC1057" s="8">
        <v>2</v>
      </c>
      <c r="AD1057" s="8">
        <v>2</v>
      </c>
      <c r="AE1057" s="8">
        <v>2</v>
      </c>
      <c r="AF1057" s="8">
        <v>2</v>
      </c>
      <c r="AG1057" s="8">
        <v>2</v>
      </c>
      <c r="AH1057" s="8">
        <v>2</v>
      </c>
      <c r="AI1057" s="8">
        <v>0</v>
      </c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11" t="s">
        <v>249</v>
      </c>
    </row>
    <row r="1058" spans="1:46" ht="15.1" customHeight="1">
      <c r="A1058" s="8"/>
      <c r="B1058" s="9"/>
      <c r="C1058" s="8"/>
      <c r="D1058" s="9"/>
      <c r="E1058" s="8">
        <v>1</v>
      </c>
      <c r="F1058" s="8">
        <v>0</v>
      </c>
      <c r="G1058" s="8">
        <v>0</v>
      </c>
      <c r="H1058" s="8">
        <v>1</v>
      </c>
      <c r="I1058" s="8">
        <v>1</v>
      </c>
      <c r="J1058" s="8">
        <v>1</v>
      </c>
      <c r="K1058" s="8">
        <v>1</v>
      </c>
      <c r="L1058" s="8">
        <v>1</v>
      </c>
      <c r="M1058" s="8">
        <v>1</v>
      </c>
      <c r="N1058" s="8">
        <v>0</v>
      </c>
      <c r="O1058" s="8">
        <v>0</v>
      </c>
      <c r="P1058" s="8">
        <v>0</v>
      </c>
      <c r="Q1058" s="8">
        <v>0</v>
      </c>
      <c r="R1058" s="8">
        <v>1</v>
      </c>
      <c r="S1058" s="8">
        <v>1</v>
      </c>
      <c r="T1058" s="8">
        <v>1</v>
      </c>
      <c r="U1058" s="8">
        <v>0</v>
      </c>
      <c r="V1058" s="8">
        <v>1</v>
      </c>
      <c r="W1058" s="8">
        <v>1</v>
      </c>
      <c r="X1058" s="8">
        <v>1</v>
      </c>
      <c r="Y1058" s="8">
        <v>1</v>
      </c>
      <c r="Z1058" s="8">
        <v>1</v>
      </c>
      <c r="AA1058" s="8">
        <v>1</v>
      </c>
      <c r="AB1058" s="8">
        <v>0</v>
      </c>
      <c r="AC1058" s="8">
        <v>1</v>
      </c>
      <c r="AD1058" s="8">
        <v>1</v>
      </c>
      <c r="AE1058" s="8">
        <v>1</v>
      </c>
      <c r="AF1058" s="8">
        <v>1</v>
      </c>
      <c r="AG1058" s="8">
        <v>1</v>
      </c>
      <c r="AH1058" s="8">
        <v>1</v>
      </c>
      <c r="AI1058" s="8">
        <v>0</v>
      </c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11" t="s">
        <v>249</v>
      </c>
    </row>
    <row r="1059" spans="1:46" ht="15.1" customHeight="1">
      <c r="A1059" s="8">
        <v>352</v>
      </c>
      <c r="B1059" s="9" t="s">
        <v>963</v>
      </c>
      <c r="C1059" s="8" t="s">
        <v>964</v>
      </c>
      <c r="D1059" s="9" t="s">
        <v>451</v>
      </c>
      <c r="E1059" s="12" t="s">
        <v>55</v>
      </c>
      <c r="F1059" s="12" t="s">
        <v>55</v>
      </c>
      <c r="G1059" s="10" t="s">
        <v>67</v>
      </c>
      <c r="H1059" s="8" t="s">
        <v>54</v>
      </c>
      <c r="I1059" s="8" t="s">
        <v>54</v>
      </c>
      <c r="J1059" s="8" t="s">
        <v>54</v>
      </c>
      <c r="K1059" s="8" t="s">
        <v>54</v>
      </c>
      <c r="L1059" s="8" t="s">
        <v>54</v>
      </c>
      <c r="M1059" s="8" t="s">
        <v>54</v>
      </c>
      <c r="N1059" s="10" t="s">
        <v>67</v>
      </c>
      <c r="O1059" s="8" t="s">
        <v>54</v>
      </c>
      <c r="P1059" s="8" t="s">
        <v>54</v>
      </c>
      <c r="Q1059" s="8" t="s">
        <v>54</v>
      </c>
      <c r="R1059" s="8" t="s">
        <v>54</v>
      </c>
      <c r="S1059" s="8" t="s">
        <v>54</v>
      </c>
      <c r="T1059" s="8" t="s">
        <v>54</v>
      </c>
      <c r="U1059" s="10" t="s">
        <v>67</v>
      </c>
      <c r="V1059" s="8" t="s">
        <v>54</v>
      </c>
      <c r="W1059" s="8" t="s">
        <v>54</v>
      </c>
      <c r="X1059" s="8" t="s">
        <v>54</v>
      </c>
      <c r="Y1059" s="8" t="s">
        <v>54</v>
      </c>
      <c r="Z1059" s="8" t="s">
        <v>54</v>
      </c>
      <c r="AA1059" s="8" t="s">
        <v>54</v>
      </c>
      <c r="AB1059" s="10" t="s">
        <v>67</v>
      </c>
      <c r="AC1059" s="8" t="s">
        <v>54</v>
      </c>
      <c r="AD1059" s="8" t="s">
        <v>54</v>
      </c>
      <c r="AE1059" s="8" t="s">
        <v>54</v>
      </c>
      <c r="AF1059" s="8" t="s">
        <v>54</v>
      </c>
      <c r="AG1059" s="8" t="s">
        <v>54</v>
      </c>
      <c r="AH1059" s="8" t="s">
        <v>54</v>
      </c>
      <c r="AI1059" s="10" t="s">
        <v>67</v>
      </c>
      <c r="AJ1059" s="8">
        <f>COUNTIF($E$1059:$AI$1059,"P")</f>
        <v>24</v>
      </c>
      <c r="AK1059" s="8">
        <f>COUNTIF($E$1059:$AI$1059,"A")</f>
        <v>2</v>
      </c>
      <c r="AL1059" s="8">
        <f>SUM($E$1060:$AI$1060)</f>
        <v>48</v>
      </c>
      <c r="AM1059" s="8">
        <f>SUM($E$1061:$AI$1061)</f>
        <v>24</v>
      </c>
      <c r="AN1059" s="8">
        <f>AL1059+AM1059</f>
        <v>72</v>
      </c>
      <c r="AO1059" s="8">
        <f>COUNTIF($E$1059:$AI$1059,"CL")</f>
        <v>0</v>
      </c>
      <c r="AP1059" s="8">
        <f>COUNTIF($E$1059:$AI$1059,"SL")</f>
        <v>0</v>
      </c>
      <c r="AQ1059" s="8">
        <f>COUNTIF($E$1059:$AI$1059,"EL")</f>
        <v>0</v>
      </c>
      <c r="AR1059" s="8">
        <f>COUNTIF($E$1059:$AI$1059,"H")</f>
        <v>0</v>
      </c>
      <c r="AS1059" s="8"/>
      <c r="AT1059" s="11" t="s">
        <v>249</v>
      </c>
    </row>
    <row r="1060" spans="1:46" ht="15.1" customHeight="1">
      <c r="A1060" s="8"/>
      <c r="B1060" s="9"/>
      <c r="C1060" s="8"/>
      <c r="D1060" s="9"/>
      <c r="E1060" s="8">
        <v>0</v>
      </c>
      <c r="F1060" s="8">
        <v>0</v>
      </c>
      <c r="G1060" s="8">
        <v>0</v>
      </c>
      <c r="H1060" s="8">
        <v>2</v>
      </c>
      <c r="I1060" s="8">
        <v>2</v>
      </c>
      <c r="J1060" s="8">
        <v>2</v>
      </c>
      <c r="K1060" s="8">
        <v>2</v>
      </c>
      <c r="L1060" s="8">
        <v>2</v>
      </c>
      <c r="M1060" s="8">
        <v>2</v>
      </c>
      <c r="N1060" s="8">
        <v>0</v>
      </c>
      <c r="O1060" s="8">
        <v>2</v>
      </c>
      <c r="P1060" s="8">
        <v>2</v>
      </c>
      <c r="Q1060" s="8">
        <v>2</v>
      </c>
      <c r="R1060" s="8">
        <v>2</v>
      </c>
      <c r="S1060" s="8">
        <v>2</v>
      </c>
      <c r="T1060" s="8">
        <v>2</v>
      </c>
      <c r="U1060" s="8">
        <v>0</v>
      </c>
      <c r="V1060" s="8">
        <v>2</v>
      </c>
      <c r="W1060" s="8">
        <v>2</v>
      </c>
      <c r="X1060" s="8">
        <v>2</v>
      </c>
      <c r="Y1060" s="8">
        <v>2</v>
      </c>
      <c r="Z1060" s="8">
        <v>2</v>
      </c>
      <c r="AA1060" s="8">
        <v>2</v>
      </c>
      <c r="AB1060" s="8">
        <v>0</v>
      </c>
      <c r="AC1060" s="8">
        <v>2</v>
      </c>
      <c r="AD1060" s="8">
        <v>2</v>
      </c>
      <c r="AE1060" s="8">
        <v>2</v>
      </c>
      <c r="AF1060" s="8">
        <v>2</v>
      </c>
      <c r="AG1060" s="8">
        <v>2</v>
      </c>
      <c r="AH1060" s="8">
        <v>2</v>
      </c>
      <c r="AI1060" s="8">
        <v>0</v>
      </c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11" t="s">
        <v>249</v>
      </c>
    </row>
    <row r="1061" spans="1:46" ht="15.1" customHeight="1">
      <c r="A1061" s="8"/>
      <c r="B1061" s="9"/>
      <c r="C1061" s="8"/>
      <c r="D1061" s="9"/>
      <c r="E1061" s="8">
        <v>0</v>
      </c>
      <c r="F1061" s="8">
        <v>0</v>
      </c>
      <c r="G1061" s="8">
        <v>0</v>
      </c>
      <c r="H1061" s="8">
        <v>1</v>
      </c>
      <c r="I1061" s="8">
        <v>1</v>
      </c>
      <c r="J1061" s="8">
        <v>1</v>
      </c>
      <c r="K1061" s="8">
        <v>1</v>
      </c>
      <c r="L1061" s="8">
        <v>1</v>
      </c>
      <c r="M1061" s="8">
        <v>1</v>
      </c>
      <c r="N1061" s="8">
        <v>0</v>
      </c>
      <c r="O1061" s="8">
        <v>1</v>
      </c>
      <c r="P1061" s="8">
        <v>1</v>
      </c>
      <c r="Q1061" s="8">
        <v>1</v>
      </c>
      <c r="R1061" s="8">
        <v>1</v>
      </c>
      <c r="S1061" s="8">
        <v>1</v>
      </c>
      <c r="T1061" s="8">
        <v>1</v>
      </c>
      <c r="U1061" s="8">
        <v>0</v>
      </c>
      <c r="V1061" s="8">
        <v>1</v>
      </c>
      <c r="W1061" s="8">
        <v>1</v>
      </c>
      <c r="X1061" s="8">
        <v>1</v>
      </c>
      <c r="Y1061" s="8">
        <v>1</v>
      </c>
      <c r="Z1061" s="8">
        <v>1</v>
      </c>
      <c r="AA1061" s="8">
        <v>1</v>
      </c>
      <c r="AB1061" s="8">
        <v>0</v>
      </c>
      <c r="AC1061" s="8">
        <v>1</v>
      </c>
      <c r="AD1061" s="8">
        <v>1</v>
      </c>
      <c r="AE1061" s="8">
        <v>1</v>
      </c>
      <c r="AF1061" s="8">
        <v>1</v>
      </c>
      <c r="AG1061" s="8">
        <v>1</v>
      </c>
      <c r="AH1061" s="8">
        <v>1</v>
      </c>
      <c r="AI1061" s="8">
        <v>0</v>
      </c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11" t="s">
        <v>249</v>
      </c>
    </row>
    <row r="1062" spans="1:46" ht="15.1" customHeight="1">
      <c r="A1062" s="8">
        <v>353</v>
      </c>
      <c r="B1062" s="9" t="s">
        <v>965</v>
      </c>
      <c r="C1062" s="8" t="s">
        <v>966</v>
      </c>
      <c r="D1062" s="9" t="s">
        <v>451</v>
      </c>
      <c r="E1062" s="8" t="s">
        <v>54</v>
      </c>
      <c r="F1062" s="8" t="s">
        <v>54</v>
      </c>
      <c r="G1062" s="10" t="s">
        <v>67</v>
      </c>
      <c r="H1062" s="12" t="s">
        <v>55</v>
      </c>
      <c r="I1062" s="8" t="s">
        <v>54</v>
      </c>
      <c r="J1062" s="8" t="s">
        <v>54</v>
      </c>
      <c r="K1062" s="8" t="s">
        <v>54</v>
      </c>
      <c r="L1062" s="8" t="s">
        <v>54</v>
      </c>
      <c r="M1062" s="8" t="s">
        <v>54</v>
      </c>
      <c r="N1062" s="10" t="s">
        <v>67</v>
      </c>
      <c r="O1062" s="8" t="s">
        <v>54</v>
      </c>
      <c r="P1062" s="8" t="s">
        <v>54</v>
      </c>
      <c r="Q1062" s="8" t="s">
        <v>54</v>
      </c>
      <c r="R1062" s="8" t="s">
        <v>54</v>
      </c>
      <c r="S1062" s="8" t="s">
        <v>54</v>
      </c>
      <c r="T1062" s="8" t="s">
        <v>54</v>
      </c>
      <c r="U1062" s="10" t="s">
        <v>67</v>
      </c>
      <c r="V1062" s="8" t="s">
        <v>54</v>
      </c>
      <c r="W1062" s="8" t="s">
        <v>54</v>
      </c>
      <c r="X1062" s="8" t="s">
        <v>54</v>
      </c>
      <c r="Y1062" s="8" t="s">
        <v>54</v>
      </c>
      <c r="Z1062" s="8" t="s">
        <v>54</v>
      </c>
      <c r="AA1062" s="8" t="s">
        <v>54</v>
      </c>
      <c r="AB1062" s="10" t="s">
        <v>67</v>
      </c>
      <c r="AC1062" s="8" t="s">
        <v>54</v>
      </c>
      <c r="AD1062" s="8" t="s">
        <v>54</v>
      </c>
      <c r="AE1062" s="8" t="s">
        <v>54</v>
      </c>
      <c r="AF1062" s="8" t="s">
        <v>54</v>
      </c>
      <c r="AG1062" s="8" t="s">
        <v>54</v>
      </c>
      <c r="AH1062" s="8" t="s">
        <v>54</v>
      </c>
      <c r="AI1062" s="10" t="s">
        <v>67</v>
      </c>
      <c r="AJ1062" s="8">
        <f>COUNTIF($E$1062:$AI$1062,"P")</f>
        <v>25</v>
      </c>
      <c r="AK1062" s="8">
        <f>COUNTIF($E$1062:$AI$1062,"A")</f>
        <v>1</v>
      </c>
      <c r="AL1062" s="8">
        <f>SUM($E$1063:$AI$1063)</f>
        <v>44</v>
      </c>
      <c r="AM1062" s="8">
        <f>SUM($E$1064:$AI$1064)</f>
        <v>31</v>
      </c>
      <c r="AN1062" s="8">
        <f>AL1062+AM1062</f>
        <v>75</v>
      </c>
      <c r="AO1062" s="8">
        <f>COUNTIF($E$1062:$AI$1062,"CL")</f>
        <v>0</v>
      </c>
      <c r="AP1062" s="8">
        <f>COUNTIF($E$1062:$AI$1062,"SL")</f>
        <v>0</v>
      </c>
      <c r="AQ1062" s="8">
        <f>COUNTIF($E$1062:$AI$1062,"EL")</f>
        <v>0</v>
      </c>
      <c r="AR1062" s="8">
        <f>COUNTIF($E$1062:$AI$1062,"H")</f>
        <v>0</v>
      </c>
      <c r="AS1062" s="8"/>
      <c r="AT1062" s="11" t="s">
        <v>249</v>
      </c>
    </row>
    <row r="1063" spans="1:46" ht="15.1" customHeight="1">
      <c r="A1063" s="8"/>
      <c r="B1063" s="9"/>
      <c r="C1063" s="8"/>
      <c r="D1063" s="9"/>
      <c r="E1063" s="8">
        <v>0</v>
      </c>
      <c r="F1063" s="8">
        <v>0</v>
      </c>
      <c r="G1063" s="8">
        <v>0</v>
      </c>
      <c r="H1063" s="8">
        <v>0</v>
      </c>
      <c r="I1063" s="8">
        <v>2</v>
      </c>
      <c r="J1063" s="8">
        <v>2</v>
      </c>
      <c r="K1063" s="8">
        <v>2</v>
      </c>
      <c r="L1063" s="8">
        <v>2</v>
      </c>
      <c r="M1063" s="8">
        <v>2</v>
      </c>
      <c r="N1063" s="8">
        <v>0</v>
      </c>
      <c r="O1063" s="8">
        <v>2</v>
      </c>
      <c r="P1063" s="8">
        <v>2</v>
      </c>
      <c r="Q1063" s="8">
        <v>2</v>
      </c>
      <c r="R1063" s="8">
        <v>2</v>
      </c>
      <c r="S1063" s="8">
        <v>2</v>
      </c>
      <c r="T1063" s="8">
        <v>2</v>
      </c>
      <c r="U1063" s="8">
        <v>0</v>
      </c>
      <c r="V1063" s="8">
        <v>2</v>
      </c>
      <c r="W1063" s="8">
        <v>0</v>
      </c>
      <c r="X1063" s="8">
        <v>2</v>
      </c>
      <c r="Y1063" s="8">
        <v>2</v>
      </c>
      <c r="Z1063" s="8">
        <v>2</v>
      </c>
      <c r="AA1063" s="8">
        <v>2</v>
      </c>
      <c r="AB1063" s="8">
        <v>0</v>
      </c>
      <c r="AC1063" s="8">
        <v>2</v>
      </c>
      <c r="AD1063" s="8">
        <v>2</v>
      </c>
      <c r="AE1063" s="8">
        <v>2</v>
      </c>
      <c r="AF1063" s="8">
        <v>2</v>
      </c>
      <c r="AG1063" s="8">
        <v>2</v>
      </c>
      <c r="AH1063" s="8">
        <v>2</v>
      </c>
      <c r="AI1063" s="8">
        <v>0</v>
      </c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11" t="s">
        <v>249</v>
      </c>
    </row>
    <row r="1064" spans="1:46" ht="15.1" customHeight="1">
      <c r="A1064" s="8"/>
      <c r="B1064" s="9"/>
      <c r="C1064" s="8"/>
      <c r="D1064" s="9"/>
      <c r="E1064" s="8">
        <v>0</v>
      </c>
      <c r="F1064" s="8">
        <v>0</v>
      </c>
      <c r="G1064" s="8">
        <v>9</v>
      </c>
      <c r="H1064" s="8">
        <v>0</v>
      </c>
      <c r="I1064" s="8">
        <v>1</v>
      </c>
      <c r="J1064" s="8">
        <v>1</v>
      </c>
      <c r="K1064" s="8">
        <v>1</v>
      </c>
      <c r="L1064" s="8">
        <v>1</v>
      </c>
      <c r="M1064" s="8">
        <v>1</v>
      </c>
      <c r="N1064" s="8">
        <v>0</v>
      </c>
      <c r="O1064" s="8">
        <v>1</v>
      </c>
      <c r="P1064" s="8">
        <v>1</v>
      </c>
      <c r="Q1064" s="8">
        <v>1</v>
      </c>
      <c r="R1064" s="8">
        <v>1</v>
      </c>
      <c r="S1064" s="8">
        <v>1</v>
      </c>
      <c r="T1064" s="8">
        <v>1</v>
      </c>
      <c r="U1064" s="8">
        <v>0</v>
      </c>
      <c r="V1064" s="8">
        <v>1</v>
      </c>
      <c r="W1064" s="8">
        <v>0</v>
      </c>
      <c r="X1064" s="8">
        <v>1</v>
      </c>
      <c r="Y1064" s="8">
        <v>1</v>
      </c>
      <c r="Z1064" s="8">
        <v>1</v>
      </c>
      <c r="AA1064" s="8">
        <v>1</v>
      </c>
      <c r="AB1064" s="8">
        <v>0</v>
      </c>
      <c r="AC1064" s="8">
        <v>1</v>
      </c>
      <c r="AD1064" s="8">
        <v>1</v>
      </c>
      <c r="AE1064" s="8">
        <v>1</v>
      </c>
      <c r="AF1064" s="8">
        <v>1</v>
      </c>
      <c r="AG1064" s="8">
        <v>1</v>
      </c>
      <c r="AH1064" s="8">
        <v>1</v>
      </c>
      <c r="AI1064" s="8">
        <v>0</v>
      </c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11" t="s">
        <v>249</v>
      </c>
    </row>
    <row r="1065" spans="1:46" ht="15.1" customHeight="1">
      <c r="A1065" s="8">
        <v>354</v>
      </c>
      <c r="B1065" s="9" t="s">
        <v>967</v>
      </c>
      <c r="C1065" s="8" t="s">
        <v>968</v>
      </c>
      <c r="D1065" s="9" t="s">
        <v>451</v>
      </c>
      <c r="E1065" s="8" t="s">
        <v>54</v>
      </c>
      <c r="F1065" s="8" t="s">
        <v>54</v>
      </c>
      <c r="G1065" s="10" t="s">
        <v>67</v>
      </c>
      <c r="H1065" s="8" t="s">
        <v>54</v>
      </c>
      <c r="I1065" s="8" t="s">
        <v>54</v>
      </c>
      <c r="J1065" s="8" t="s">
        <v>54</v>
      </c>
      <c r="K1065" s="8" t="s">
        <v>54</v>
      </c>
      <c r="L1065" s="8" t="s">
        <v>54</v>
      </c>
      <c r="M1065" s="8" t="s">
        <v>54</v>
      </c>
      <c r="N1065" s="10" t="s">
        <v>67</v>
      </c>
      <c r="O1065" s="8" t="s">
        <v>54</v>
      </c>
      <c r="P1065" s="8" t="s">
        <v>54</v>
      </c>
      <c r="Q1065" s="8" t="s">
        <v>54</v>
      </c>
      <c r="R1065" s="8" t="s">
        <v>54</v>
      </c>
      <c r="S1065" s="8" t="s">
        <v>54</v>
      </c>
      <c r="T1065" s="8" t="s">
        <v>54</v>
      </c>
      <c r="U1065" s="10" t="s">
        <v>67</v>
      </c>
      <c r="V1065" s="8" t="s">
        <v>54</v>
      </c>
      <c r="W1065" s="8" t="s">
        <v>54</v>
      </c>
      <c r="X1065" s="8" t="s">
        <v>54</v>
      </c>
      <c r="Y1065" s="8" t="s">
        <v>54</v>
      </c>
      <c r="Z1065" s="8" t="s">
        <v>54</v>
      </c>
      <c r="AA1065" s="8" t="s">
        <v>54</v>
      </c>
      <c r="AB1065" s="10" t="s">
        <v>67</v>
      </c>
      <c r="AC1065" s="8" t="s">
        <v>54</v>
      </c>
      <c r="AD1065" s="8" t="s">
        <v>54</v>
      </c>
      <c r="AE1065" s="8" t="s">
        <v>54</v>
      </c>
      <c r="AF1065" s="8" t="s">
        <v>54</v>
      </c>
      <c r="AG1065" s="8" t="s">
        <v>54</v>
      </c>
      <c r="AH1065" s="8" t="s">
        <v>54</v>
      </c>
      <c r="AI1065" s="10" t="s">
        <v>67</v>
      </c>
      <c r="AJ1065" s="8">
        <f>COUNTIF($E$1065:$AI$1065,"P")</f>
        <v>26</v>
      </c>
      <c r="AK1065" s="8">
        <f>COUNTIF($E$1065:$AI$1065,"A")</f>
        <v>0</v>
      </c>
      <c r="AL1065" s="8">
        <f>SUM($E$1066:$AI$1066)</f>
        <v>48</v>
      </c>
      <c r="AM1065" s="8">
        <f>SUM($E$1067:$AI$1067)</f>
        <v>35</v>
      </c>
      <c r="AN1065" s="8">
        <f>AL1065+AM1065</f>
        <v>83</v>
      </c>
      <c r="AO1065" s="8">
        <f>COUNTIF($E$1065:$AI$1065,"CL")</f>
        <v>0</v>
      </c>
      <c r="AP1065" s="8">
        <f>COUNTIF($E$1065:$AI$1065,"SL")</f>
        <v>0</v>
      </c>
      <c r="AQ1065" s="8">
        <f>COUNTIF($E$1065:$AI$1065,"EL")</f>
        <v>0</v>
      </c>
      <c r="AR1065" s="8">
        <f>COUNTIF($E$1065:$AI$1065,"H")</f>
        <v>0</v>
      </c>
      <c r="AS1065" s="8"/>
      <c r="AT1065" s="11" t="s">
        <v>249</v>
      </c>
    </row>
    <row r="1066" spans="1:46" ht="15.1" customHeight="1">
      <c r="A1066" s="8"/>
      <c r="B1066" s="9"/>
      <c r="C1066" s="8"/>
      <c r="D1066" s="9"/>
      <c r="E1066" s="8">
        <v>2</v>
      </c>
      <c r="F1066" s="8">
        <v>2</v>
      </c>
      <c r="G1066" s="8">
        <v>0</v>
      </c>
      <c r="H1066" s="8">
        <v>0</v>
      </c>
      <c r="I1066" s="8">
        <v>2</v>
      </c>
      <c r="J1066" s="8">
        <v>2</v>
      </c>
      <c r="K1066" s="8">
        <v>2</v>
      </c>
      <c r="L1066" s="8">
        <v>2</v>
      </c>
      <c r="M1066" s="8">
        <v>2</v>
      </c>
      <c r="N1066" s="8">
        <v>0</v>
      </c>
      <c r="O1066" s="8">
        <v>2</v>
      </c>
      <c r="P1066" s="8">
        <v>2</v>
      </c>
      <c r="Q1066" s="8">
        <v>2</v>
      </c>
      <c r="R1066" s="8">
        <v>2</v>
      </c>
      <c r="S1066" s="8">
        <v>2</v>
      </c>
      <c r="T1066" s="8">
        <v>2</v>
      </c>
      <c r="U1066" s="8">
        <v>0</v>
      </c>
      <c r="V1066" s="8">
        <v>2</v>
      </c>
      <c r="W1066" s="8">
        <v>2</v>
      </c>
      <c r="X1066" s="8">
        <v>2</v>
      </c>
      <c r="Y1066" s="8">
        <v>2</v>
      </c>
      <c r="Z1066" s="8">
        <v>0</v>
      </c>
      <c r="AA1066" s="8">
        <v>2</v>
      </c>
      <c r="AB1066" s="8">
        <v>0</v>
      </c>
      <c r="AC1066" s="8">
        <v>2</v>
      </c>
      <c r="AD1066" s="8">
        <v>2</v>
      </c>
      <c r="AE1066" s="8">
        <v>2</v>
      </c>
      <c r="AF1066" s="8">
        <v>2</v>
      </c>
      <c r="AG1066" s="8">
        <v>2</v>
      </c>
      <c r="AH1066" s="8">
        <v>2</v>
      </c>
      <c r="AI1066" s="8">
        <v>0</v>
      </c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11" t="s">
        <v>249</v>
      </c>
    </row>
    <row r="1067" spans="1:46" ht="15.1" customHeight="1">
      <c r="A1067" s="8"/>
      <c r="B1067" s="9"/>
      <c r="C1067" s="8"/>
      <c r="D1067" s="9"/>
      <c r="E1067" s="8">
        <v>1</v>
      </c>
      <c r="F1067" s="8">
        <v>1</v>
      </c>
      <c r="G1067" s="8">
        <v>0</v>
      </c>
      <c r="H1067" s="8">
        <v>0</v>
      </c>
      <c r="I1067" s="8">
        <v>1</v>
      </c>
      <c r="J1067" s="8">
        <v>1</v>
      </c>
      <c r="K1067" s="8">
        <v>1</v>
      </c>
      <c r="L1067" s="8">
        <v>1</v>
      </c>
      <c r="M1067" s="8">
        <v>1</v>
      </c>
      <c r="N1067" s="8">
        <v>12</v>
      </c>
      <c r="O1067" s="8">
        <v>0</v>
      </c>
      <c r="P1067" s="8">
        <v>1</v>
      </c>
      <c r="Q1067" s="8">
        <v>1</v>
      </c>
      <c r="R1067" s="8">
        <v>1</v>
      </c>
      <c r="S1067" s="8">
        <v>1</v>
      </c>
      <c r="T1067" s="8">
        <v>1</v>
      </c>
      <c r="U1067" s="8">
        <v>0</v>
      </c>
      <c r="V1067" s="8">
        <v>1</v>
      </c>
      <c r="W1067" s="8">
        <v>1</v>
      </c>
      <c r="X1067" s="8">
        <v>1</v>
      </c>
      <c r="Y1067" s="8">
        <v>1</v>
      </c>
      <c r="Z1067" s="8">
        <v>0</v>
      </c>
      <c r="AA1067" s="8">
        <v>1</v>
      </c>
      <c r="AB1067" s="8">
        <v>0</v>
      </c>
      <c r="AC1067" s="8">
        <v>1</v>
      </c>
      <c r="AD1067" s="8">
        <v>1</v>
      </c>
      <c r="AE1067" s="8">
        <v>1</v>
      </c>
      <c r="AF1067" s="8">
        <v>1</v>
      </c>
      <c r="AG1067" s="8">
        <v>1</v>
      </c>
      <c r="AH1067" s="8">
        <v>1</v>
      </c>
      <c r="AI1067" s="8">
        <v>0</v>
      </c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11" t="s">
        <v>249</v>
      </c>
    </row>
    <row r="1068" spans="1:46" ht="15.1" customHeight="1">
      <c r="A1068" s="8">
        <v>355</v>
      </c>
      <c r="B1068" s="9" t="s">
        <v>969</v>
      </c>
      <c r="C1068" s="8" t="s">
        <v>970</v>
      </c>
      <c r="D1068" s="9" t="s">
        <v>451</v>
      </c>
      <c r="E1068" s="8" t="s">
        <v>54</v>
      </c>
      <c r="F1068" s="8" t="s">
        <v>54</v>
      </c>
      <c r="G1068" s="10" t="s">
        <v>67</v>
      </c>
      <c r="H1068" s="8" t="s">
        <v>54</v>
      </c>
      <c r="I1068" s="8" t="s">
        <v>54</v>
      </c>
      <c r="J1068" s="8" t="s">
        <v>54</v>
      </c>
      <c r="K1068" s="8" t="s">
        <v>54</v>
      </c>
      <c r="L1068" s="8" t="s">
        <v>54</v>
      </c>
      <c r="M1068" s="8" t="s">
        <v>54</v>
      </c>
      <c r="N1068" s="10" t="s">
        <v>67</v>
      </c>
      <c r="O1068" s="8" t="s">
        <v>54</v>
      </c>
      <c r="P1068" s="8" t="s">
        <v>54</v>
      </c>
      <c r="Q1068" s="8" t="s">
        <v>54</v>
      </c>
      <c r="R1068" s="8" t="s">
        <v>54</v>
      </c>
      <c r="S1068" s="8" t="s">
        <v>54</v>
      </c>
      <c r="T1068" s="8" t="s">
        <v>54</v>
      </c>
      <c r="U1068" s="10" t="s">
        <v>67</v>
      </c>
      <c r="V1068" s="8" t="s">
        <v>54</v>
      </c>
      <c r="W1068" s="8" t="s">
        <v>54</v>
      </c>
      <c r="X1068" s="8" t="s">
        <v>54</v>
      </c>
      <c r="Y1068" s="8" t="s">
        <v>54</v>
      </c>
      <c r="Z1068" s="8" t="s">
        <v>54</v>
      </c>
      <c r="AA1068" s="8" t="s">
        <v>54</v>
      </c>
      <c r="AB1068" s="10" t="s">
        <v>67</v>
      </c>
      <c r="AC1068" s="8" t="s">
        <v>54</v>
      </c>
      <c r="AD1068" s="8" t="s">
        <v>54</v>
      </c>
      <c r="AE1068" s="12" t="s">
        <v>55</v>
      </c>
      <c r="AF1068" s="12" t="s">
        <v>55</v>
      </c>
      <c r="AG1068" s="8" t="s">
        <v>54</v>
      </c>
      <c r="AH1068" s="8" t="s">
        <v>54</v>
      </c>
      <c r="AI1068" s="10" t="s">
        <v>67</v>
      </c>
      <c r="AJ1068" s="8">
        <f>COUNTIF($E$1068:$AI$1068,"P")</f>
        <v>24</v>
      </c>
      <c r="AK1068" s="8">
        <f>COUNTIF($E$1068:$AI$1068,"A")</f>
        <v>2</v>
      </c>
      <c r="AL1068" s="8">
        <f>SUM($E$1069:$AI$1069)</f>
        <v>46</v>
      </c>
      <c r="AM1068" s="8">
        <f>SUM($E$1070:$AI$1070)</f>
        <v>23</v>
      </c>
      <c r="AN1068" s="8">
        <f>AL1068+AM1068</f>
        <v>69</v>
      </c>
      <c r="AO1068" s="8">
        <f>COUNTIF($E$1068:$AI$1068,"CL")</f>
        <v>0</v>
      </c>
      <c r="AP1068" s="8">
        <f>COUNTIF($E$1068:$AI$1068,"SL")</f>
        <v>0</v>
      </c>
      <c r="AQ1068" s="8">
        <f>COUNTIF($E$1068:$AI$1068,"EL")</f>
        <v>0</v>
      </c>
      <c r="AR1068" s="8">
        <f>COUNTIF($E$1068:$AI$1068,"H")</f>
        <v>0</v>
      </c>
      <c r="AS1068" s="8"/>
      <c r="AT1068" s="11" t="s">
        <v>249</v>
      </c>
    </row>
    <row r="1069" spans="1:46" ht="15.1" customHeight="1">
      <c r="A1069" s="8"/>
      <c r="B1069" s="9"/>
      <c r="C1069" s="8"/>
      <c r="D1069" s="9"/>
      <c r="E1069" s="8">
        <v>2</v>
      </c>
      <c r="F1069" s="8">
        <v>0</v>
      </c>
      <c r="G1069" s="8">
        <v>0</v>
      </c>
      <c r="H1069" s="8">
        <v>2</v>
      </c>
      <c r="I1069" s="8">
        <v>2</v>
      </c>
      <c r="J1069" s="8">
        <v>2</v>
      </c>
      <c r="K1069" s="8">
        <v>2</v>
      </c>
      <c r="L1069" s="8">
        <v>2</v>
      </c>
      <c r="M1069" s="8">
        <v>2</v>
      </c>
      <c r="N1069" s="8">
        <v>0</v>
      </c>
      <c r="O1069" s="8">
        <v>2</v>
      </c>
      <c r="P1069" s="8">
        <v>2</v>
      </c>
      <c r="Q1069" s="8">
        <v>2</v>
      </c>
      <c r="R1069" s="8">
        <v>2</v>
      </c>
      <c r="S1069" s="8">
        <v>2</v>
      </c>
      <c r="T1069" s="8">
        <v>2</v>
      </c>
      <c r="U1069" s="8">
        <v>0</v>
      </c>
      <c r="V1069" s="8">
        <v>2</v>
      </c>
      <c r="W1069" s="8">
        <v>2</v>
      </c>
      <c r="X1069" s="8">
        <v>2</v>
      </c>
      <c r="Y1069" s="8">
        <v>2</v>
      </c>
      <c r="Z1069" s="8">
        <v>2</v>
      </c>
      <c r="AA1069" s="8">
        <v>2</v>
      </c>
      <c r="AB1069" s="8">
        <v>0</v>
      </c>
      <c r="AC1069" s="8">
        <v>2</v>
      </c>
      <c r="AD1069" s="8">
        <v>2</v>
      </c>
      <c r="AE1069" s="8">
        <v>0</v>
      </c>
      <c r="AF1069" s="8">
        <v>0</v>
      </c>
      <c r="AG1069" s="8">
        <v>2</v>
      </c>
      <c r="AH1069" s="8">
        <v>2</v>
      </c>
      <c r="AI1069" s="8">
        <v>0</v>
      </c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11" t="s">
        <v>249</v>
      </c>
    </row>
    <row r="1070" spans="1:46" ht="15.1" customHeight="1">
      <c r="A1070" s="8"/>
      <c r="B1070" s="9"/>
      <c r="C1070" s="8"/>
      <c r="D1070" s="9"/>
      <c r="E1070" s="8">
        <v>1</v>
      </c>
      <c r="F1070" s="8">
        <v>0</v>
      </c>
      <c r="G1070" s="8">
        <v>0</v>
      </c>
      <c r="H1070" s="8">
        <v>1</v>
      </c>
      <c r="I1070" s="8">
        <v>1</v>
      </c>
      <c r="J1070" s="8">
        <v>1</v>
      </c>
      <c r="K1070" s="8">
        <v>1</v>
      </c>
      <c r="L1070" s="8">
        <v>1</v>
      </c>
      <c r="M1070" s="8">
        <v>1</v>
      </c>
      <c r="N1070" s="8">
        <v>0</v>
      </c>
      <c r="O1070" s="8">
        <v>1</v>
      </c>
      <c r="P1070" s="8">
        <v>1</v>
      </c>
      <c r="Q1070" s="8">
        <v>1</v>
      </c>
      <c r="R1070" s="8">
        <v>1</v>
      </c>
      <c r="S1070" s="8">
        <v>1</v>
      </c>
      <c r="T1070" s="8">
        <v>1</v>
      </c>
      <c r="U1070" s="8">
        <v>0</v>
      </c>
      <c r="V1070" s="8">
        <v>1</v>
      </c>
      <c r="W1070" s="8">
        <v>1</v>
      </c>
      <c r="X1070" s="8">
        <v>1</v>
      </c>
      <c r="Y1070" s="8">
        <v>1</v>
      </c>
      <c r="Z1070" s="8">
        <v>1</v>
      </c>
      <c r="AA1070" s="8">
        <v>1</v>
      </c>
      <c r="AB1070" s="8">
        <v>0</v>
      </c>
      <c r="AC1070" s="8">
        <v>1</v>
      </c>
      <c r="AD1070" s="8">
        <v>1</v>
      </c>
      <c r="AE1070" s="8">
        <v>0</v>
      </c>
      <c r="AF1070" s="8">
        <v>0</v>
      </c>
      <c r="AG1070" s="8">
        <v>1</v>
      </c>
      <c r="AH1070" s="8">
        <v>1</v>
      </c>
      <c r="AI1070" s="8">
        <v>0</v>
      </c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11" t="s">
        <v>249</v>
      </c>
    </row>
    <row r="1071" spans="1:46" ht="15.1" customHeight="1">
      <c r="A1071" s="8">
        <v>356</v>
      </c>
      <c r="B1071" s="9" t="s">
        <v>971</v>
      </c>
      <c r="C1071" s="8" t="s">
        <v>972</v>
      </c>
      <c r="D1071" s="9" t="s">
        <v>451</v>
      </c>
      <c r="E1071" s="8" t="s">
        <v>54</v>
      </c>
      <c r="F1071" s="8" t="s">
        <v>54</v>
      </c>
      <c r="G1071" s="10" t="s">
        <v>67</v>
      </c>
      <c r="H1071" s="12" t="s">
        <v>55</v>
      </c>
      <c r="I1071" s="8" t="s">
        <v>54</v>
      </c>
      <c r="J1071" s="8" t="s">
        <v>54</v>
      </c>
      <c r="K1071" s="8" t="s">
        <v>54</v>
      </c>
      <c r="L1071" s="8" t="s">
        <v>54</v>
      </c>
      <c r="M1071" s="8" t="s">
        <v>54</v>
      </c>
      <c r="N1071" s="10" t="s">
        <v>67</v>
      </c>
      <c r="O1071" s="8" t="s">
        <v>54</v>
      </c>
      <c r="P1071" s="8" t="s">
        <v>54</v>
      </c>
      <c r="Q1071" s="8" t="s">
        <v>54</v>
      </c>
      <c r="R1071" s="8" t="s">
        <v>54</v>
      </c>
      <c r="S1071" s="8" t="s">
        <v>54</v>
      </c>
      <c r="T1071" s="8" t="s">
        <v>54</v>
      </c>
      <c r="U1071" s="10" t="s">
        <v>67</v>
      </c>
      <c r="V1071" s="12" t="s">
        <v>55</v>
      </c>
      <c r="W1071" s="8" t="s">
        <v>54</v>
      </c>
      <c r="X1071" s="8" t="s">
        <v>54</v>
      </c>
      <c r="Y1071" s="8" t="s">
        <v>54</v>
      </c>
      <c r="Z1071" s="8" t="s">
        <v>54</v>
      </c>
      <c r="AA1071" s="8" t="s">
        <v>54</v>
      </c>
      <c r="AB1071" s="10" t="s">
        <v>67</v>
      </c>
      <c r="AC1071" s="8" t="s">
        <v>54</v>
      </c>
      <c r="AD1071" s="8" t="s">
        <v>54</v>
      </c>
      <c r="AE1071" s="8" t="s">
        <v>54</v>
      </c>
      <c r="AF1071" s="8" t="s">
        <v>54</v>
      </c>
      <c r="AG1071" s="8" t="s">
        <v>54</v>
      </c>
      <c r="AH1071" s="12" t="s">
        <v>55</v>
      </c>
      <c r="AI1071" s="10" t="s">
        <v>67</v>
      </c>
      <c r="AJ1071" s="8">
        <f>COUNTIF($E$1071:$AI$1071,"P")</f>
        <v>23</v>
      </c>
      <c r="AK1071" s="8">
        <f>COUNTIF($E$1071:$AI$1071,"A")</f>
        <v>3</v>
      </c>
      <c r="AL1071" s="8">
        <f>SUM($E$1072:$AI$1072)</f>
        <v>42</v>
      </c>
      <c r="AM1071" s="8">
        <f>SUM($E$1073:$AI$1073)</f>
        <v>30</v>
      </c>
      <c r="AN1071" s="8">
        <f>AL1071+AM1071</f>
        <v>72</v>
      </c>
      <c r="AO1071" s="8">
        <f>COUNTIF($E$1071:$AI$1071,"CL")</f>
        <v>0</v>
      </c>
      <c r="AP1071" s="8">
        <f>COUNTIF($E$1071:$AI$1071,"SL")</f>
        <v>0</v>
      </c>
      <c r="AQ1071" s="8">
        <f>COUNTIF($E$1071:$AI$1071,"EL")</f>
        <v>0</v>
      </c>
      <c r="AR1071" s="8">
        <f>COUNTIF($E$1071:$AI$1071,"H")</f>
        <v>0</v>
      </c>
      <c r="AS1071" s="8"/>
      <c r="AT1071" s="11" t="s">
        <v>249</v>
      </c>
    </row>
    <row r="1072" spans="1:46" ht="15.1" customHeight="1">
      <c r="A1072" s="8"/>
      <c r="B1072" s="9"/>
      <c r="C1072" s="8"/>
      <c r="D1072" s="9"/>
      <c r="E1072" s="8">
        <v>0</v>
      </c>
      <c r="F1072" s="8">
        <v>2</v>
      </c>
      <c r="G1072" s="8">
        <v>0</v>
      </c>
      <c r="H1072" s="8">
        <v>0</v>
      </c>
      <c r="I1072" s="8">
        <v>2</v>
      </c>
      <c r="J1072" s="8">
        <v>2</v>
      </c>
      <c r="K1072" s="8">
        <v>2</v>
      </c>
      <c r="L1072" s="8">
        <v>2</v>
      </c>
      <c r="M1072" s="8">
        <v>2</v>
      </c>
      <c r="N1072" s="8">
        <v>0</v>
      </c>
      <c r="O1072" s="8">
        <v>2</v>
      </c>
      <c r="P1072" s="8">
        <v>2</v>
      </c>
      <c r="Q1072" s="8">
        <v>2</v>
      </c>
      <c r="R1072" s="8">
        <v>2</v>
      </c>
      <c r="S1072" s="8">
        <v>2</v>
      </c>
      <c r="T1072" s="8">
        <v>2</v>
      </c>
      <c r="U1072" s="8">
        <v>0</v>
      </c>
      <c r="V1072" s="8">
        <v>0</v>
      </c>
      <c r="W1072" s="8">
        <v>2</v>
      </c>
      <c r="X1072" s="8">
        <v>2</v>
      </c>
      <c r="Y1072" s="8">
        <v>0</v>
      </c>
      <c r="Z1072" s="8">
        <v>2</v>
      </c>
      <c r="AA1072" s="8">
        <v>2</v>
      </c>
      <c r="AB1072" s="8">
        <v>0</v>
      </c>
      <c r="AC1072" s="8">
        <v>2</v>
      </c>
      <c r="AD1072" s="8">
        <v>2</v>
      </c>
      <c r="AE1072" s="8">
        <v>2</v>
      </c>
      <c r="AF1072" s="8">
        <v>2</v>
      </c>
      <c r="AG1072" s="8">
        <v>2</v>
      </c>
      <c r="AH1072" s="8">
        <v>0</v>
      </c>
      <c r="AI1072" s="8">
        <v>0</v>
      </c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11" t="s">
        <v>249</v>
      </c>
    </row>
    <row r="1073" spans="1:46" ht="15.1" customHeight="1">
      <c r="A1073" s="8"/>
      <c r="B1073" s="9"/>
      <c r="C1073" s="8"/>
      <c r="D1073" s="9"/>
      <c r="E1073" s="8">
        <v>0</v>
      </c>
      <c r="F1073" s="8">
        <v>1</v>
      </c>
      <c r="G1073" s="8">
        <v>9</v>
      </c>
      <c r="H1073" s="8">
        <v>0</v>
      </c>
      <c r="I1073" s="8">
        <v>1</v>
      </c>
      <c r="J1073" s="8">
        <v>1</v>
      </c>
      <c r="K1073" s="8">
        <v>1</v>
      </c>
      <c r="L1073" s="8">
        <v>1</v>
      </c>
      <c r="M1073" s="8">
        <v>1</v>
      </c>
      <c r="N1073" s="8">
        <v>0</v>
      </c>
      <c r="O1073" s="8">
        <v>1</v>
      </c>
      <c r="P1073" s="8">
        <v>1</v>
      </c>
      <c r="Q1073" s="8">
        <v>1</v>
      </c>
      <c r="R1073" s="8">
        <v>1</v>
      </c>
      <c r="S1073" s="8">
        <v>1</v>
      </c>
      <c r="T1073" s="8">
        <v>1</v>
      </c>
      <c r="U1073" s="8">
        <v>0</v>
      </c>
      <c r="V1073" s="8">
        <v>0</v>
      </c>
      <c r="W1073" s="8">
        <v>1</v>
      </c>
      <c r="X1073" s="8">
        <v>1</v>
      </c>
      <c r="Y1073" s="8">
        <v>0</v>
      </c>
      <c r="Z1073" s="8">
        <v>1</v>
      </c>
      <c r="AA1073" s="8">
        <v>1</v>
      </c>
      <c r="AB1073" s="8">
        <v>0</v>
      </c>
      <c r="AC1073" s="8">
        <v>1</v>
      </c>
      <c r="AD1073" s="8">
        <v>1</v>
      </c>
      <c r="AE1073" s="8">
        <v>1</v>
      </c>
      <c r="AF1073" s="8">
        <v>1</v>
      </c>
      <c r="AG1073" s="8">
        <v>1</v>
      </c>
      <c r="AH1073" s="8">
        <v>0</v>
      </c>
      <c r="AI1073" s="8">
        <v>0</v>
      </c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11" t="s">
        <v>249</v>
      </c>
    </row>
    <row r="1074" spans="1:46" ht="15.1" customHeight="1">
      <c r="A1074" s="8">
        <v>357</v>
      </c>
      <c r="B1074" s="9" t="s">
        <v>973</v>
      </c>
      <c r="C1074" s="8" t="s">
        <v>974</v>
      </c>
      <c r="D1074" s="9" t="s">
        <v>451</v>
      </c>
      <c r="E1074" s="8" t="s">
        <v>54</v>
      </c>
      <c r="F1074" s="8" t="s">
        <v>54</v>
      </c>
      <c r="G1074" s="10" t="s">
        <v>67</v>
      </c>
      <c r="H1074" s="8" t="s">
        <v>54</v>
      </c>
      <c r="I1074" s="8" t="s">
        <v>54</v>
      </c>
      <c r="J1074" s="8" t="s">
        <v>54</v>
      </c>
      <c r="K1074" s="8" t="s">
        <v>54</v>
      </c>
      <c r="L1074" s="8" t="s">
        <v>54</v>
      </c>
      <c r="M1074" s="8" t="s">
        <v>54</v>
      </c>
      <c r="N1074" s="10" t="s">
        <v>67</v>
      </c>
      <c r="O1074" s="8" t="s">
        <v>54</v>
      </c>
      <c r="P1074" s="8" t="s">
        <v>54</v>
      </c>
      <c r="Q1074" s="8" t="s">
        <v>54</v>
      </c>
      <c r="R1074" s="8" t="s">
        <v>54</v>
      </c>
      <c r="S1074" s="8" t="s">
        <v>54</v>
      </c>
      <c r="T1074" s="8" t="s">
        <v>54</v>
      </c>
      <c r="U1074" s="10" t="s">
        <v>67</v>
      </c>
      <c r="V1074" s="8" t="s">
        <v>54</v>
      </c>
      <c r="W1074" s="8" t="s">
        <v>54</v>
      </c>
      <c r="X1074" s="8" t="s">
        <v>54</v>
      </c>
      <c r="Y1074" s="8" t="s">
        <v>54</v>
      </c>
      <c r="Z1074" s="8" t="s">
        <v>54</v>
      </c>
      <c r="AA1074" s="8" t="s">
        <v>54</v>
      </c>
      <c r="AB1074" s="10" t="s">
        <v>67</v>
      </c>
      <c r="AC1074" s="8" t="s">
        <v>54</v>
      </c>
      <c r="AD1074" s="8" t="s">
        <v>54</v>
      </c>
      <c r="AE1074" s="8" t="s">
        <v>54</v>
      </c>
      <c r="AF1074" s="8" t="s">
        <v>54</v>
      </c>
      <c r="AG1074" s="8" t="s">
        <v>54</v>
      </c>
      <c r="AH1074" s="8" t="s">
        <v>54</v>
      </c>
      <c r="AI1074" s="10" t="s">
        <v>67</v>
      </c>
      <c r="AJ1074" s="8">
        <f>COUNTIF($E$1074:$AI$1074,"P")</f>
        <v>26</v>
      </c>
      <c r="AK1074" s="8">
        <f>COUNTIF($E$1074:$AI$1074,"A")</f>
        <v>0</v>
      </c>
      <c r="AL1074" s="8">
        <f>SUM($E$1075:$AI$1075)</f>
        <v>48</v>
      </c>
      <c r="AM1074" s="8">
        <f>SUM($E$1076:$AI$1076)</f>
        <v>24</v>
      </c>
      <c r="AN1074" s="8">
        <f>AL1074+AM1074</f>
        <v>72</v>
      </c>
      <c r="AO1074" s="8">
        <f>COUNTIF($E$1074:$AI$1074,"CL")</f>
        <v>0</v>
      </c>
      <c r="AP1074" s="8">
        <f>COUNTIF($E$1074:$AI$1074,"SL")</f>
        <v>0</v>
      </c>
      <c r="AQ1074" s="8">
        <f>COUNTIF($E$1074:$AI$1074,"EL")</f>
        <v>0</v>
      </c>
      <c r="AR1074" s="8">
        <f>COUNTIF($E$1074:$AI$1074,"H")</f>
        <v>0</v>
      </c>
      <c r="AS1074" s="8"/>
      <c r="AT1074" s="11" t="s">
        <v>249</v>
      </c>
    </row>
    <row r="1075" spans="1:46" ht="15.1" customHeight="1">
      <c r="A1075" s="8"/>
      <c r="B1075" s="9"/>
      <c r="C1075" s="8"/>
      <c r="D1075" s="9"/>
      <c r="E1075" s="8">
        <v>0</v>
      </c>
      <c r="F1075" s="8">
        <v>0</v>
      </c>
      <c r="G1075" s="8">
        <v>0</v>
      </c>
      <c r="H1075" s="8">
        <v>2</v>
      </c>
      <c r="I1075" s="8">
        <v>2</v>
      </c>
      <c r="J1075" s="8">
        <v>2</v>
      </c>
      <c r="K1075" s="8">
        <v>2</v>
      </c>
      <c r="L1075" s="8">
        <v>2</v>
      </c>
      <c r="M1075" s="8">
        <v>2</v>
      </c>
      <c r="N1075" s="8">
        <v>0</v>
      </c>
      <c r="O1075" s="8">
        <v>2</v>
      </c>
      <c r="P1075" s="8">
        <v>2</v>
      </c>
      <c r="Q1075" s="8">
        <v>2</v>
      </c>
      <c r="R1075" s="8">
        <v>2</v>
      </c>
      <c r="S1075" s="8">
        <v>2</v>
      </c>
      <c r="T1075" s="8">
        <v>2</v>
      </c>
      <c r="U1075" s="8">
        <v>0</v>
      </c>
      <c r="V1075" s="8">
        <v>2</v>
      </c>
      <c r="W1075" s="8">
        <v>2</v>
      </c>
      <c r="X1075" s="8">
        <v>2</v>
      </c>
      <c r="Y1075" s="8">
        <v>2</v>
      </c>
      <c r="Z1075" s="8">
        <v>2</v>
      </c>
      <c r="AA1075" s="8">
        <v>2</v>
      </c>
      <c r="AB1075" s="8">
        <v>0</v>
      </c>
      <c r="AC1075" s="8">
        <v>2</v>
      </c>
      <c r="AD1075" s="8">
        <v>2</v>
      </c>
      <c r="AE1075" s="8">
        <v>2</v>
      </c>
      <c r="AF1075" s="8">
        <v>2</v>
      </c>
      <c r="AG1075" s="8">
        <v>2</v>
      </c>
      <c r="AH1075" s="8">
        <v>2</v>
      </c>
      <c r="AI1075" s="8">
        <v>0</v>
      </c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11" t="s">
        <v>249</v>
      </c>
    </row>
    <row r="1076" spans="1:46" ht="15.1" customHeight="1">
      <c r="A1076" s="8"/>
      <c r="B1076" s="9"/>
      <c r="C1076" s="8"/>
      <c r="D1076" s="9"/>
      <c r="E1076" s="8">
        <v>0</v>
      </c>
      <c r="F1076" s="8">
        <v>0</v>
      </c>
      <c r="G1076" s="8">
        <v>0</v>
      </c>
      <c r="H1076" s="8">
        <v>1</v>
      </c>
      <c r="I1076" s="8">
        <v>1</v>
      </c>
      <c r="J1076" s="8">
        <v>1</v>
      </c>
      <c r="K1076" s="8">
        <v>1</v>
      </c>
      <c r="L1076" s="8">
        <v>1</v>
      </c>
      <c r="M1076" s="8">
        <v>1</v>
      </c>
      <c r="N1076" s="8">
        <v>0</v>
      </c>
      <c r="O1076" s="8">
        <v>1</v>
      </c>
      <c r="P1076" s="8">
        <v>1</v>
      </c>
      <c r="Q1076" s="8">
        <v>1</v>
      </c>
      <c r="R1076" s="8">
        <v>1</v>
      </c>
      <c r="S1076" s="8">
        <v>1</v>
      </c>
      <c r="T1076" s="8">
        <v>1</v>
      </c>
      <c r="U1076" s="8">
        <v>0</v>
      </c>
      <c r="V1076" s="8">
        <v>1</v>
      </c>
      <c r="W1076" s="8">
        <v>1</v>
      </c>
      <c r="X1076" s="8">
        <v>1</v>
      </c>
      <c r="Y1076" s="8">
        <v>1</v>
      </c>
      <c r="Z1076" s="8">
        <v>1</v>
      </c>
      <c r="AA1076" s="8">
        <v>1</v>
      </c>
      <c r="AB1076" s="8">
        <v>0</v>
      </c>
      <c r="AC1076" s="8">
        <v>1</v>
      </c>
      <c r="AD1076" s="8">
        <v>1</v>
      </c>
      <c r="AE1076" s="8">
        <v>1</v>
      </c>
      <c r="AF1076" s="8">
        <v>1</v>
      </c>
      <c r="AG1076" s="8">
        <v>1</v>
      </c>
      <c r="AH1076" s="8">
        <v>1</v>
      </c>
      <c r="AI1076" s="8">
        <v>0</v>
      </c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11" t="s">
        <v>249</v>
      </c>
    </row>
    <row r="1077" spans="1:46" ht="15.1" customHeight="1">
      <c r="A1077" s="8">
        <v>358</v>
      </c>
      <c r="B1077" s="9" t="s">
        <v>975</v>
      </c>
      <c r="C1077" s="8" t="s">
        <v>976</v>
      </c>
      <c r="D1077" s="9" t="s">
        <v>451</v>
      </c>
      <c r="E1077" s="8" t="s">
        <v>54</v>
      </c>
      <c r="F1077" s="8" t="s">
        <v>54</v>
      </c>
      <c r="G1077" s="10" t="s">
        <v>67</v>
      </c>
      <c r="H1077" s="8" t="s">
        <v>54</v>
      </c>
      <c r="I1077" s="8" t="s">
        <v>54</v>
      </c>
      <c r="J1077" s="8" t="s">
        <v>54</v>
      </c>
      <c r="K1077" s="8" t="s">
        <v>54</v>
      </c>
      <c r="L1077" s="8" t="s">
        <v>54</v>
      </c>
      <c r="M1077" s="8" t="s">
        <v>54</v>
      </c>
      <c r="N1077" s="10" t="s">
        <v>67</v>
      </c>
      <c r="O1077" s="8" t="s">
        <v>54</v>
      </c>
      <c r="P1077" s="8" t="s">
        <v>54</v>
      </c>
      <c r="Q1077" s="8" t="s">
        <v>54</v>
      </c>
      <c r="R1077" s="8" t="s">
        <v>54</v>
      </c>
      <c r="S1077" s="8" t="s">
        <v>54</v>
      </c>
      <c r="T1077" s="8" t="s">
        <v>54</v>
      </c>
      <c r="U1077" s="10" t="s">
        <v>67</v>
      </c>
      <c r="V1077" s="8" t="s">
        <v>54</v>
      </c>
      <c r="W1077" s="8" t="s">
        <v>54</v>
      </c>
      <c r="X1077" s="8" t="s">
        <v>54</v>
      </c>
      <c r="Y1077" s="8" t="s">
        <v>54</v>
      </c>
      <c r="Z1077" s="8" t="s">
        <v>54</v>
      </c>
      <c r="AA1077" s="8" t="s">
        <v>54</v>
      </c>
      <c r="AB1077" s="10" t="s">
        <v>67</v>
      </c>
      <c r="AC1077" s="8" t="s">
        <v>54</v>
      </c>
      <c r="AD1077" s="8" t="s">
        <v>54</v>
      </c>
      <c r="AE1077" s="8" t="s">
        <v>54</v>
      </c>
      <c r="AF1077" s="8" t="s">
        <v>54</v>
      </c>
      <c r="AG1077" s="8" t="s">
        <v>54</v>
      </c>
      <c r="AH1077" s="8" t="s">
        <v>54</v>
      </c>
      <c r="AI1077" s="10" t="s">
        <v>67</v>
      </c>
      <c r="AJ1077" s="8">
        <f>COUNTIF($E$1077:$AI$1077,"P")</f>
        <v>26</v>
      </c>
      <c r="AK1077" s="8">
        <f>COUNTIF($E$1077:$AI$1077,"A")</f>
        <v>0</v>
      </c>
      <c r="AL1077" s="8">
        <f>SUM($E$1078:$AI$1078)</f>
        <v>50</v>
      </c>
      <c r="AM1077" s="8">
        <f>SUM($E$1079:$AI$1079)</f>
        <v>25</v>
      </c>
      <c r="AN1077" s="8">
        <f>AL1077+AM1077</f>
        <v>75</v>
      </c>
      <c r="AO1077" s="8">
        <f>COUNTIF($E$1077:$AI$1077,"CL")</f>
        <v>0</v>
      </c>
      <c r="AP1077" s="8">
        <f>COUNTIF($E$1077:$AI$1077,"SL")</f>
        <v>0</v>
      </c>
      <c r="AQ1077" s="8">
        <f>COUNTIF($E$1077:$AI$1077,"EL")</f>
        <v>0</v>
      </c>
      <c r="AR1077" s="8">
        <f>COUNTIF($E$1077:$AI$1077,"H")</f>
        <v>0</v>
      </c>
      <c r="AS1077" s="8"/>
      <c r="AT1077" s="11" t="s">
        <v>249</v>
      </c>
    </row>
    <row r="1078" spans="1:46" ht="15.1" customHeight="1">
      <c r="A1078" s="8"/>
      <c r="B1078" s="9"/>
      <c r="C1078" s="8"/>
      <c r="D1078" s="9"/>
      <c r="E1078" s="8">
        <v>2</v>
      </c>
      <c r="F1078" s="8">
        <v>0</v>
      </c>
      <c r="G1078" s="8">
        <v>0</v>
      </c>
      <c r="H1078" s="8">
        <v>2</v>
      </c>
      <c r="I1078" s="8">
        <v>2</v>
      </c>
      <c r="J1078" s="8">
        <v>2</v>
      </c>
      <c r="K1078" s="8">
        <v>2</v>
      </c>
      <c r="L1078" s="8">
        <v>2</v>
      </c>
      <c r="M1078" s="8">
        <v>2</v>
      </c>
      <c r="N1078" s="8">
        <v>0</v>
      </c>
      <c r="O1078" s="8">
        <v>2</v>
      </c>
      <c r="P1078" s="8">
        <v>2</v>
      </c>
      <c r="Q1078" s="8">
        <v>2</v>
      </c>
      <c r="R1078" s="8">
        <v>2</v>
      </c>
      <c r="S1078" s="8">
        <v>2</v>
      </c>
      <c r="T1078" s="8">
        <v>2</v>
      </c>
      <c r="U1078" s="8">
        <v>0</v>
      </c>
      <c r="V1078" s="8">
        <v>2</v>
      </c>
      <c r="W1078" s="8">
        <v>2</v>
      </c>
      <c r="X1078" s="8">
        <v>2</v>
      </c>
      <c r="Y1078" s="8">
        <v>2</v>
      </c>
      <c r="Z1078" s="8">
        <v>2</v>
      </c>
      <c r="AA1078" s="8">
        <v>2</v>
      </c>
      <c r="AB1078" s="8">
        <v>0</v>
      </c>
      <c r="AC1078" s="8">
        <v>2</v>
      </c>
      <c r="AD1078" s="8">
        <v>2</v>
      </c>
      <c r="AE1078" s="8">
        <v>2</v>
      </c>
      <c r="AF1078" s="8">
        <v>2</v>
      </c>
      <c r="AG1078" s="8">
        <v>2</v>
      </c>
      <c r="AH1078" s="8">
        <v>2</v>
      </c>
      <c r="AI1078" s="8">
        <v>0</v>
      </c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11" t="s">
        <v>249</v>
      </c>
    </row>
    <row r="1079" spans="1:46" ht="15.1" customHeight="1">
      <c r="A1079" s="8"/>
      <c r="B1079" s="9"/>
      <c r="C1079" s="8"/>
      <c r="D1079" s="9"/>
      <c r="E1079" s="8">
        <v>1</v>
      </c>
      <c r="F1079" s="8">
        <v>0</v>
      </c>
      <c r="G1079" s="8">
        <v>0</v>
      </c>
      <c r="H1079" s="8">
        <v>1</v>
      </c>
      <c r="I1079" s="8">
        <v>1</v>
      </c>
      <c r="J1079" s="8">
        <v>1</v>
      </c>
      <c r="K1079" s="8">
        <v>1</v>
      </c>
      <c r="L1079" s="8">
        <v>1</v>
      </c>
      <c r="M1079" s="8">
        <v>1</v>
      </c>
      <c r="N1079" s="8">
        <v>0</v>
      </c>
      <c r="O1079" s="8">
        <v>1</v>
      </c>
      <c r="P1079" s="8">
        <v>1</v>
      </c>
      <c r="Q1079" s="8">
        <v>1</v>
      </c>
      <c r="R1079" s="8">
        <v>1</v>
      </c>
      <c r="S1079" s="8">
        <v>1</v>
      </c>
      <c r="T1079" s="8">
        <v>1</v>
      </c>
      <c r="U1079" s="8">
        <v>0</v>
      </c>
      <c r="V1079" s="8">
        <v>1</v>
      </c>
      <c r="W1079" s="8">
        <v>1</v>
      </c>
      <c r="X1079" s="8">
        <v>1</v>
      </c>
      <c r="Y1079" s="8">
        <v>1</v>
      </c>
      <c r="Z1079" s="8">
        <v>1</v>
      </c>
      <c r="AA1079" s="8">
        <v>1</v>
      </c>
      <c r="AB1079" s="8">
        <v>0</v>
      </c>
      <c r="AC1079" s="8">
        <v>1</v>
      </c>
      <c r="AD1079" s="8">
        <v>1</v>
      </c>
      <c r="AE1079" s="8">
        <v>1</v>
      </c>
      <c r="AF1079" s="8">
        <v>1</v>
      </c>
      <c r="AG1079" s="8">
        <v>1</v>
      </c>
      <c r="AH1079" s="8">
        <v>1</v>
      </c>
      <c r="AI1079" s="8">
        <v>0</v>
      </c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11" t="s">
        <v>249</v>
      </c>
    </row>
    <row r="1080" spans="1:46" ht="15.1" customHeight="1">
      <c r="A1080" s="8">
        <v>359</v>
      </c>
      <c r="B1080" s="9" t="s">
        <v>977</v>
      </c>
      <c r="C1080" s="8" t="s">
        <v>978</v>
      </c>
      <c r="D1080" s="9" t="s">
        <v>451</v>
      </c>
      <c r="E1080" s="8" t="s">
        <v>54</v>
      </c>
      <c r="F1080" s="8" t="s">
        <v>54</v>
      </c>
      <c r="G1080" s="10" t="s">
        <v>67</v>
      </c>
      <c r="H1080" s="8" t="s">
        <v>54</v>
      </c>
      <c r="I1080" s="8" t="s">
        <v>54</v>
      </c>
      <c r="J1080" s="8" t="s">
        <v>54</v>
      </c>
      <c r="K1080" s="8" t="s">
        <v>54</v>
      </c>
      <c r="L1080" s="8" t="s">
        <v>54</v>
      </c>
      <c r="M1080" s="8" t="s">
        <v>54</v>
      </c>
      <c r="N1080" s="10" t="s">
        <v>67</v>
      </c>
      <c r="O1080" s="8" t="s">
        <v>54</v>
      </c>
      <c r="P1080" s="8" t="s">
        <v>54</v>
      </c>
      <c r="Q1080" s="8" t="s">
        <v>54</v>
      </c>
      <c r="R1080" s="8" t="s">
        <v>54</v>
      </c>
      <c r="S1080" s="8" t="s">
        <v>54</v>
      </c>
      <c r="T1080" s="8" t="s">
        <v>54</v>
      </c>
      <c r="U1080" s="10" t="s">
        <v>67</v>
      </c>
      <c r="V1080" s="8" t="s">
        <v>54</v>
      </c>
      <c r="W1080" s="8" t="s">
        <v>54</v>
      </c>
      <c r="X1080" s="8" t="s">
        <v>54</v>
      </c>
      <c r="Y1080" s="8" t="s">
        <v>54</v>
      </c>
      <c r="Z1080" s="8" t="s">
        <v>54</v>
      </c>
      <c r="AA1080" s="8" t="s">
        <v>54</v>
      </c>
      <c r="AB1080" s="10" t="s">
        <v>67</v>
      </c>
      <c r="AC1080" s="8" t="s">
        <v>54</v>
      </c>
      <c r="AD1080" s="8" t="s">
        <v>54</v>
      </c>
      <c r="AE1080" s="8" t="s">
        <v>54</v>
      </c>
      <c r="AF1080" s="8" t="s">
        <v>54</v>
      </c>
      <c r="AG1080" s="8" t="s">
        <v>54</v>
      </c>
      <c r="AH1080" s="8" t="s">
        <v>54</v>
      </c>
      <c r="AI1080" s="10" t="s">
        <v>67</v>
      </c>
      <c r="AJ1080" s="8">
        <f>COUNTIF($E$1080:$AI$1080,"P")</f>
        <v>26</v>
      </c>
      <c r="AK1080" s="8">
        <f>COUNTIF($E$1080:$AI$1080,"A")</f>
        <v>0</v>
      </c>
      <c r="AL1080" s="8">
        <f>SUM($E$1081:$AI$1081)</f>
        <v>46</v>
      </c>
      <c r="AM1080" s="8">
        <f>SUM($E$1082:$AI$1082)</f>
        <v>23</v>
      </c>
      <c r="AN1080" s="8">
        <f>AL1080+AM1080</f>
        <v>69</v>
      </c>
      <c r="AO1080" s="8">
        <f>COUNTIF($E$1080:$AI$1080,"CL")</f>
        <v>0</v>
      </c>
      <c r="AP1080" s="8">
        <f>COUNTIF($E$1080:$AI$1080,"SL")</f>
        <v>0</v>
      </c>
      <c r="AQ1080" s="8">
        <f>COUNTIF($E$1080:$AI$1080,"EL")</f>
        <v>0</v>
      </c>
      <c r="AR1080" s="8">
        <f>COUNTIF($E$1080:$AI$1080,"H")</f>
        <v>0</v>
      </c>
      <c r="AS1080" s="8"/>
      <c r="AT1080" s="11" t="s">
        <v>249</v>
      </c>
    </row>
    <row r="1081" spans="1:46" ht="15.1" customHeight="1">
      <c r="A1081" s="8"/>
      <c r="B1081" s="9"/>
      <c r="C1081" s="8"/>
      <c r="D1081" s="9"/>
      <c r="E1081" s="8">
        <v>0</v>
      </c>
      <c r="F1081" s="8">
        <v>2</v>
      </c>
      <c r="G1081" s="8">
        <v>0</v>
      </c>
      <c r="H1081" s="8">
        <v>2</v>
      </c>
      <c r="I1081" s="8">
        <v>2</v>
      </c>
      <c r="J1081" s="8">
        <v>0</v>
      </c>
      <c r="K1081" s="8">
        <v>2</v>
      </c>
      <c r="L1081" s="8">
        <v>2</v>
      </c>
      <c r="M1081" s="8">
        <v>2</v>
      </c>
      <c r="N1081" s="8">
        <v>0</v>
      </c>
      <c r="O1081" s="8">
        <v>2</v>
      </c>
      <c r="P1081" s="8">
        <v>2</v>
      </c>
      <c r="Q1081" s="8">
        <v>2</v>
      </c>
      <c r="R1081" s="8">
        <v>2</v>
      </c>
      <c r="S1081" s="8">
        <v>2</v>
      </c>
      <c r="T1081" s="8">
        <v>2</v>
      </c>
      <c r="U1081" s="8">
        <v>0</v>
      </c>
      <c r="V1081" s="8">
        <v>2</v>
      </c>
      <c r="W1081" s="8">
        <v>2</v>
      </c>
      <c r="X1081" s="8">
        <v>2</v>
      </c>
      <c r="Y1081" s="8">
        <v>2</v>
      </c>
      <c r="Z1081" s="8">
        <v>0</v>
      </c>
      <c r="AA1081" s="8">
        <v>2</v>
      </c>
      <c r="AB1081" s="8">
        <v>0</v>
      </c>
      <c r="AC1081" s="8">
        <v>2</v>
      </c>
      <c r="AD1081" s="8">
        <v>2</v>
      </c>
      <c r="AE1081" s="8">
        <v>2</v>
      </c>
      <c r="AF1081" s="8">
        <v>2</v>
      </c>
      <c r="AG1081" s="8">
        <v>2</v>
      </c>
      <c r="AH1081" s="8">
        <v>2</v>
      </c>
      <c r="AI1081" s="8">
        <v>0</v>
      </c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11" t="s">
        <v>249</v>
      </c>
    </row>
    <row r="1082" spans="1:46" ht="15.1" customHeight="1">
      <c r="A1082" s="8"/>
      <c r="B1082" s="9"/>
      <c r="C1082" s="8"/>
      <c r="D1082" s="9"/>
      <c r="E1082" s="8">
        <v>0</v>
      </c>
      <c r="F1082" s="8">
        <v>1</v>
      </c>
      <c r="G1082" s="8">
        <v>0</v>
      </c>
      <c r="H1082" s="8">
        <v>1</v>
      </c>
      <c r="I1082" s="8">
        <v>1</v>
      </c>
      <c r="J1082" s="8">
        <v>0</v>
      </c>
      <c r="K1082" s="8">
        <v>1</v>
      </c>
      <c r="L1082" s="8">
        <v>1</v>
      </c>
      <c r="M1082" s="8">
        <v>1</v>
      </c>
      <c r="N1082" s="8">
        <v>0</v>
      </c>
      <c r="O1082" s="8">
        <v>1</v>
      </c>
      <c r="P1082" s="8">
        <v>1</v>
      </c>
      <c r="Q1082" s="8">
        <v>1</v>
      </c>
      <c r="R1082" s="8">
        <v>1</v>
      </c>
      <c r="S1082" s="8">
        <v>1</v>
      </c>
      <c r="T1082" s="8">
        <v>1</v>
      </c>
      <c r="U1082" s="8">
        <v>0</v>
      </c>
      <c r="V1082" s="8">
        <v>1</v>
      </c>
      <c r="W1082" s="8">
        <v>1</v>
      </c>
      <c r="X1082" s="8">
        <v>1</v>
      </c>
      <c r="Y1082" s="8">
        <v>1</v>
      </c>
      <c r="Z1082" s="8">
        <v>0</v>
      </c>
      <c r="AA1082" s="8">
        <v>1</v>
      </c>
      <c r="AB1082" s="8">
        <v>0</v>
      </c>
      <c r="AC1082" s="8">
        <v>1</v>
      </c>
      <c r="AD1082" s="8">
        <v>1</v>
      </c>
      <c r="AE1082" s="8">
        <v>1</v>
      </c>
      <c r="AF1082" s="8">
        <v>1</v>
      </c>
      <c r="AG1082" s="8">
        <v>1</v>
      </c>
      <c r="AH1082" s="8">
        <v>1</v>
      </c>
      <c r="AI1082" s="8">
        <v>0</v>
      </c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11" t="s">
        <v>249</v>
      </c>
    </row>
    <row r="1083" spans="1:46" ht="15.1" customHeight="1">
      <c r="A1083" s="8">
        <v>360</v>
      </c>
      <c r="B1083" s="9" t="s">
        <v>979</v>
      </c>
      <c r="C1083" s="8" t="s">
        <v>980</v>
      </c>
      <c r="D1083" s="9" t="s">
        <v>451</v>
      </c>
      <c r="E1083" s="8" t="s">
        <v>54</v>
      </c>
      <c r="F1083" s="8" t="s">
        <v>54</v>
      </c>
      <c r="G1083" s="10" t="s">
        <v>67</v>
      </c>
      <c r="H1083" s="8" t="s">
        <v>54</v>
      </c>
      <c r="I1083" s="8" t="s">
        <v>54</v>
      </c>
      <c r="J1083" s="8" t="s">
        <v>54</v>
      </c>
      <c r="K1083" s="8" t="s">
        <v>54</v>
      </c>
      <c r="L1083" s="8" t="s">
        <v>54</v>
      </c>
      <c r="M1083" s="12" t="s">
        <v>55</v>
      </c>
      <c r="N1083" s="10" t="s">
        <v>67</v>
      </c>
      <c r="O1083" s="8" t="s">
        <v>54</v>
      </c>
      <c r="P1083" s="8" t="s">
        <v>54</v>
      </c>
      <c r="Q1083" s="8" t="s">
        <v>54</v>
      </c>
      <c r="R1083" s="8" t="s">
        <v>54</v>
      </c>
      <c r="S1083" s="8" t="s">
        <v>54</v>
      </c>
      <c r="T1083" s="8" t="s">
        <v>54</v>
      </c>
      <c r="U1083" s="10" t="s">
        <v>67</v>
      </c>
      <c r="V1083" s="8" t="s">
        <v>54</v>
      </c>
      <c r="W1083" s="8" t="s">
        <v>54</v>
      </c>
      <c r="X1083" s="8" t="s">
        <v>54</v>
      </c>
      <c r="Y1083" s="8" t="s">
        <v>54</v>
      </c>
      <c r="Z1083" s="8" t="s">
        <v>54</v>
      </c>
      <c r="AA1083" s="8" t="s">
        <v>54</v>
      </c>
      <c r="AB1083" s="10" t="s">
        <v>67</v>
      </c>
      <c r="AC1083" s="8" t="s">
        <v>54</v>
      </c>
      <c r="AD1083" s="8" t="s">
        <v>54</v>
      </c>
      <c r="AE1083" s="8" t="s">
        <v>54</v>
      </c>
      <c r="AF1083" s="8" t="s">
        <v>54</v>
      </c>
      <c r="AG1083" s="8" t="s">
        <v>54</v>
      </c>
      <c r="AH1083" s="8" t="s">
        <v>54</v>
      </c>
      <c r="AI1083" s="10" t="s">
        <v>67</v>
      </c>
      <c r="AJ1083" s="8">
        <f>COUNTIF($E$1083:$AI$1083,"P")</f>
        <v>25</v>
      </c>
      <c r="AK1083" s="8">
        <f>COUNTIF($E$1083:$AI$1083,"A")</f>
        <v>1</v>
      </c>
      <c r="AL1083" s="8">
        <f>SUM($E$1084:$AI$1084)</f>
        <v>46</v>
      </c>
      <c r="AM1083" s="8">
        <f>SUM($E$1085:$AI$1085)</f>
        <v>23</v>
      </c>
      <c r="AN1083" s="8">
        <f>AL1083+AM1083</f>
        <v>69</v>
      </c>
      <c r="AO1083" s="8">
        <f>COUNTIF($E$1083:$AI$1083,"CL")</f>
        <v>0</v>
      </c>
      <c r="AP1083" s="8">
        <f>COUNTIF($E$1083:$AI$1083,"SL")</f>
        <v>0</v>
      </c>
      <c r="AQ1083" s="8">
        <f>COUNTIF($E$1083:$AI$1083,"EL")</f>
        <v>0</v>
      </c>
      <c r="AR1083" s="8">
        <f>COUNTIF($E$1083:$AI$1083,"H")</f>
        <v>0</v>
      </c>
      <c r="AS1083" s="8"/>
      <c r="AT1083" s="11" t="s">
        <v>249</v>
      </c>
    </row>
    <row r="1084" spans="1:46" ht="15.1" customHeight="1">
      <c r="A1084" s="8"/>
      <c r="B1084" s="9"/>
      <c r="C1084" s="8"/>
      <c r="D1084" s="9"/>
      <c r="E1084" s="8">
        <v>2</v>
      </c>
      <c r="F1084" s="8">
        <v>2</v>
      </c>
      <c r="G1084" s="8">
        <v>0</v>
      </c>
      <c r="H1084" s="8">
        <v>2</v>
      </c>
      <c r="I1084" s="8">
        <v>0</v>
      </c>
      <c r="J1084" s="8">
        <v>2</v>
      </c>
      <c r="K1084" s="8">
        <v>2</v>
      </c>
      <c r="L1084" s="8">
        <v>2</v>
      </c>
      <c r="M1084" s="8">
        <v>0</v>
      </c>
      <c r="N1084" s="8">
        <v>0</v>
      </c>
      <c r="O1084" s="8">
        <v>2</v>
      </c>
      <c r="P1084" s="8">
        <v>2</v>
      </c>
      <c r="Q1084" s="8">
        <v>2</v>
      </c>
      <c r="R1084" s="8">
        <v>2</v>
      </c>
      <c r="S1084" s="8">
        <v>2</v>
      </c>
      <c r="T1084" s="8">
        <v>2</v>
      </c>
      <c r="U1084" s="8">
        <v>0</v>
      </c>
      <c r="V1084" s="8">
        <v>2</v>
      </c>
      <c r="W1084" s="8">
        <v>2</v>
      </c>
      <c r="X1084" s="8">
        <v>2</v>
      </c>
      <c r="Y1084" s="8">
        <v>2</v>
      </c>
      <c r="Z1084" s="8">
        <v>0</v>
      </c>
      <c r="AA1084" s="8">
        <v>2</v>
      </c>
      <c r="AB1084" s="8">
        <v>0</v>
      </c>
      <c r="AC1084" s="8">
        <v>2</v>
      </c>
      <c r="AD1084" s="8">
        <v>2</v>
      </c>
      <c r="AE1084" s="8">
        <v>2</v>
      </c>
      <c r="AF1084" s="8">
        <v>2</v>
      </c>
      <c r="AG1084" s="8">
        <v>2</v>
      </c>
      <c r="AH1084" s="8">
        <v>2</v>
      </c>
      <c r="AI1084" s="8">
        <v>0</v>
      </c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11" t="s">
        <v>249</v>
      </c>
    </row>
    <row r="1085" spans="1:46" ht="15.1" customHeight="1">
      <c r="A1085" s="8"/>
      <c r="B1085" s="9"/>
      <c r="C1085" s="8"/>
      <c r="D1085" s="9"/>
      <c r="E1085" s="8">
        <v>1</v>
      </c>
      <c r="F1085" s="8">
        <v>1</v>
      </c>
      <c r="G1085" s="8">
        <v>0</v>
      </c>
      <c r="H1085" s="8">
        <v>1</v>
      </c>
      <c r="I1085" s="8">
        <v>0</v>
      </c>
      <c r="J1085" s="8">
        <v>1</v>
      </c>
      <c r="K1085" s="8">
        <v>1</v>
      </c>
      <c r="L1085" s="8">
        <v>1</v>
      </c>
      <c r="M1085" s="8">
        <v>0</v>
      </c>
      <c r="N1085" s="8">
        <v>0</v>
      </c>
      <c r="O1085" s="8">
        <v>1</v>
      </c>
      <c r="P1085" s="8">
        <v>1</v>
      </c>
      <c r="Q1085" s="8">
        <v>1</v>
      </c>
      <c r="R1085" s="8">
        <v>1</v>
      </c>
      <c r="S1085" s="8">
        <v>1</v>
      </c>
      <c r="T1085" s="8">
        <v>1</v>
      </c>
      <c r="U1085" s="8">
        <v>0</v>
      </c>
      <c r="V1085" s="8">
        <v>1</v>
      </c>
      <c r="W1085" s="8">
        <v>1</v>
      </c>
      <c r="X1085" s="8">
        <v>1</v>
      </c>
      <c r="Y1085" s="8">
        <v>1</v>
      </c>
      <c r="Z1085" s="8">
        <v>0</v>
      </c>
      <c r="AA1085" s="8">
        <v>1</v>
      </c>
      <c r="AB1085" s="8">
        <v>0</v>
      </c>
      <c r="AC1085" s="8">
        <v>1</v>
      </c>
      <c r="AD1085" s="8">
        <v>1</v>
      </c>
      <c r="AE1085" s="8">
        <v>1</v>
      </c>
      <c r="AF1085" s="8">
        <v>1</v>
      </c>
      <c r="AG1085" s="8">
        <v>1</v>
      </c>
      <c r="AH1085" s="8">
        <v>1</v>
      </c>
      <c r="AI1085" s="8">
        <v>0</v>
      </c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11" t="s">
        <v>249</v>
      </c>
    </row>
    <row r="1086" spans="1:46" ht="15.1" customHeight="1">
      <c r="A1086" s="8">
        <v>361</v>
      </c>
      <c r="B1086" s="9" t="s">
        <v>981</v>
      </c>
      <c r="C1086" s="8" t="s">
        <v>982</v>
      </c>
      <c r="D1086" s="9" t="s">
        <v>451</v>
      </c>
      <c r="E1086" s="8" t="s">
        <v>54</v>
      </c>
      <c r="F1086" s="8" t="s">
        <v>54</v>
      </c>
      <c r="G1086" s="10" t="s">
        <v>67</v>
      </c>
      <c r="H1086" s="8" t="s">
        <v>54</v>
      </c>
      <c r="I1086" s="8" t="s">
        <v>54</v>
      </c>
      <c r="J1086" s="8" t="s">
        <v>54</v>
      </c>
      <c r="K1086" s="8" t="s">
        <v>54</v>
      </c>
      <c r="L1086" s="8" t="s">
        <v>54</v>
      </c>
      <c r="M1086" s="8" t="s">
        <v>54</v>
      </c>
      <c r="N1086" s="10" t="s">
        <v>67</v>
      </c>
      <c r="O1086" s="8" t="s">
        <v>54</v>
      </c>
      <c r="P1086" s="8" t="s">
        <v>54</v>
      </c>
      <c r="Q1086" s="8" t="s">
        <v>54</v>
      </c>
      <c r="R1086" s="8" t="s">
        <v>54</v>
      </c>
      <c r="S1086" s="8" t="s">
        <v>54</v>
      </c>
      <c r="T1086" s="8" t="s">
        <v>54</v>
      </c>
      <c r="U1086" s="10" t="s">
        <v>67</v>
      </c>
      <c r="V1086" s="8" t="s">
        <v>54</v>
      </c>
      <c r="W1086" s="8" t="s">
        <v>54</v>
      </c>
      <c r="X1086" s="8" t="s">
        <v>54</v>
      </c>
      <c r="Y1086" s="8" t="s">
        <v>54</v>
      </c>
      <c r="Z1086" s="8" t="s">
        <v>54</v>
      </c>
      <c r="AA1086" s="8" t="s">
        <v>54</v>
      </c>
      <c r="AB1086" s="10" t="s">
        <v>67</v>
      </c>
      <c r="AC1086" s="8" t="s">
        <v>54</v>
      </c>
      <c r="AD1086" s="8" t="s">
        <v>54</v>
      </c>
      <c r="AE1086" s="8" t="s">
        <v>54</v>
      </c>
      <c r="AF1086" s="8" t="s">
        <v>54</v>
      </c>
      <c r="AG1086" s="8" t="s">
        <v>54</v>
      </c>
      <c r="AH1086" s="8" t="s">
        <v>54</v>
      </c>
      <c r="AI1086" s="10" t="s">
        <v>67</v>
      </c>
      <c r="AJ1086" s="8">
        <f>COUNTIF($E$1086:$AI$1086,"P")</f>
        <v>26</v>
      </c>
      <c r="AK1086" s="8">
        <f>COUNTIF($E$1086:$AI$1086,"A")</f>
        <v>0</v>
      </c>
      <c r="AL1086" s="8">
        <f>SUM($E$1087:$AI$1087)</f>
        <v>50</v>
      </c>
      <c r="AM1086" s="8">
        <f>SUM($E$1088:$AI$1088)</f>
        <v>36</v>
      </c>
      <c r="AN1086" s="8">
        <f>AL1086+AM1086</f>
        <v>86</v>
      </c>
      <c r="AO1086" s="8">
        <f>COUNTIF($E$1086:$AI$1086,"CL")</f>
        <v>0</v>
      </c>
      <c r="AP1086" s="8">
        <f>COUNTIF($E$1086:$AI$1086,"SL")</f>
        <v>0</v>
      </c>
      <c r="AQ1086" s="8">
        <f>COUNTIF($E$1086:$AI$1086,"EL")</f>
        <v>0</v>
      </c>
      <c r="AR1086" s="8">
        <f>COUNTIF($E$1086:$AI$1086,"H")</f>
        <v>0</v>
      </c>
      <c r="AS1086" s="8"/>
      <c r="AT1086" s="11" t="s">
        <v>249</v>
      </c>
    </row>
    <row r="1087" spans="1:46" ht="15.1" customHeight="1">
      <c r="A1087" s="8"/>
      <c r="B1087" s="9"/>
      <c r="C1087" s="8"/>
      <c r="D1087" s="9"/>
      <c r="E1087" s="8">
        <v>2</v>
      </c>
      <c r="F1087" s="8">
        <v>2</v>
      </c>
      <c r="G1087" s="8">
        <v>0</v>
      </c>
      <c r="H1087" s="8">
        <v>2</v>
      </c>
      <c r="I1087" s="8">
        <v>2</v>
      </c>
      <c r="J1087" s="8">
        <v>2</v>
      </c>
      <c r="K1087" s="8">
        <v>2</v>
      </c>
      <c r="L1087" s="8">
        <v>2</v>
      </c>
      <c r="M1087" s="8">
        <v>2</v>
      </c>
      <c r="N1087" s="8">
        <v>0</v>
      </c>
      <c r="O1087" s="8">
        <v>2</v>
      </c>
      <c r="P1087" s="8">
        <v>2</v>
      </c>
      <c r="Q1087" s="8">
        <v>2</v>
      </c>
      <c r="R1087" s="8">
        <v>2</v>
      </c>
      <c r="S1087" s="8">
        <v>2</v>
      </c>
      <c r="T1087" s="8">
        <v>2</v>
      </c>
      <c r="U1087" s="8">
        <v>0</v>
      </c>
      <c r="V1087" s="8">
        <v>2</v>
      </c>
      <c r="W1087" s="8">
        <v>2</v>
      </c>
      <c r="X1087" s="8">
        <v>2</v>
      </c>
      <c r="Y1087" s="8">
        <v>2</v>
      </c>
      <c r="Z1087" s="8">
        <v>0</v>
      </c>
      <c r="AA1087" s="8">
        <v>2</v>
      </c>
      <c r="AB1087" s="8">
        <v>0</v>
      </c>
      <c r="AC1087" s="8">
        <v>2</v>
      </c>
      <c r="AD1087" s="8">
        <v>2</v>
      </c>
      <c r="AE1087" s="8">
        <v>2</v>
      </c>
      <c r="AF1087" s="8">
        <v>2</v>
      </c>
      <c r="AG1087" s="8">
        <v>2</v>
      </c>
      <c r="AH1087" s="8">
        <v>2</v>
      </c>
      <c r="AI1087" s="8">
        <v>0</v>
      </c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11" t="s">
        <v>249</v>
      </c>
    </row>
    <row r="1088" spans="1:46" ht="15.1" customHeight="1">
      <c r="A1088" s="8"/>
      <c r="B1088" s="9"/>
      <c r="C1088" s="8"/>
      <c r="D1088" s="9"/>
      <c r="E1088" s="8">
        <v>1</v>
      </c>
      <c r="F1088" s="8">
        <v>1</v>
      </c>
      <c r="G1088" s="8">
        <v>0</v>
      </c>
      <c r="H1088" s="8">
        <v>1</v>
      </c>
      <c r="I1088" s="8">
        <v>1</v>
      </c>
      <c r="J1088" s="8">
        <v>1</v>
      </c>
      <c r="K1088" s="8">
        <v>1</v>
      </c>
      <c r="L1088" s="8">
        <v>1</v>
      </c>
      <c r="M1088" s="8">
        <v>1</v>
      </c>
      <c r="N1088" s="8">
        <v>12</v>
      </c>
      <c r="O1088" s="8">
        <v>0</v>
      </c>
      <c r="P1088" s="8">
        <v>1</v>
      </c>
      <c r="Q1088" s="8">
        <v>1</v>
      </c>
      <c r="R1088" s="8">
        <v>1</v>
      </c>
      <c r="S1088" s="8">
        <v>1</v>
      </c>
      <c r="T1088" s="8">
        <v>1</v>
      </c>
      <c r="U1088" s="8">
        <v>0</v>
      </c>
      <c r="V1088" s="8">
        <v>1</v>
      </c>
      <c r="W1088" s="8">
        <v>1</v>
      </c>
      <c r="X1088" s="8">
        <v>1</v>
      </c>
      <c r="Y1088" s="8">
        <v>1</v>
      </c>
      <c r="Z1088" s="8">
        <v>0</v>
      </c>
      <c r="AA1088" s="8">
        <v>1</v>
      </c>
      <c r="AB1088" s="8">
        <v>0</v>
      </c>
      <c r="AC1088" s="8">
        <v>1</v>
      </c>
      <c r="AD1088" s="8">
        <v>1</v>
      </c>
      <c r="AE1088" s="8">
        <v>1</v>
      </c>
      <c r="AF1088" s="8">
        <v>1</v>
      </c>
      <c r="AG1088" s="8">
        <v>1</v>
      </c>
      <c r="AH1088" s="8">
        <v>1</v>
      </c>
      <c r="AI1088" s="8">
        <v>0</v>
      </c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11" t="s">
        <v>249</v>
      </c>
    </row>
    <row r="1089" spans="1:46" ht="15.1" customHeight="1">
      <c r="A1089" s="8">
        <v>362</v>
      </c>
      <c r="B1089" s="9" t="s">
        <v>983</v>
      </c>
      <c r="C1089" s="8" t="s">
        <v>984</v>
      </c>
      <c r="D1089" s="9" t="s">
        <v>451</v>
      </c>
      <c r="E1089" s="8" t="s">
        <v>54</v>
      </c>
      <c r="F1089" s="8" t="s">
        <v>54</v>
      </c>
      <c r="G1089" s="10" t="s">
        <v>67</v>
      </c>
      <c r="H1089" s="8" t="s">
        <v>54</v>
      </c>
      <c r="I1089" s="8" t="s">
        <v>54</v>
      </c>
      <c r="J1089" s="8" t="s">
        <v>54</v>
      </c>
      <c r="K1089" s="8" t="s">
        <v>54</v>
      </c>
      <c r="L1089" s="8" t="s">
        <v>54</v>
      </c>
      <c r="M1089" s="8" t="s">
        <v>54</v>
      </c>
      <c r="N1089" s="10" t="s">
        <v>67</v>
      </c>
      <c r="O1089" s="8" t="s">
        <v>54</v>
      </c>
      <c r="P1089" s="8" t="s">
        <v>54</v>
      </c>
      <c r="Q1089" s="8" t="s">
        <v>54</v>
      </c>
      <c r="R1089" s="8" t="s">
        <v>54</v>
      </c>
      <c r="S1089" s="8" t="s">
        <v>54</v>
      </c>
      <c r="T1089" s="8" t="s">
        <v>54</v>
      </c>
      <c r="U1089" s="10" t="s">
        <v>67</v>
      </c>
      <c r="V1089" s="8" t="s">
        <v>54</v>
      </c>
      <c r="W1089" s="8" t="s">
        <v>54</v>
      </c>
      <c r="X1089" s="8" t="s">
        <v>54</v>
      </c>
      <c r="Y1089" s="8" t="s">
        <v>54</v>
      </c>
      <c r="Z1089" s="8" t="s">
        <v>54</v>
      </c>
      <c r="AA1089" s="8" t="s">
        <v>54</v>
      </c>
      <c r="AB1089" s="10" t="s">
        <v>67</v>
      </c>
      <c r="AC1089" s="8" t="s">
        <v>54</v>
      </c>
      <c r="AD1089" s="8" t="s">
        <v>54</v>
      </c>
      <c r="AE1089" s="8" t="s">
        <v>54</v>
      </c>
      <c r="AF1089" s="8" t="s">
        <v>54</v>
      </c>
      <c r="AG1089" s="8" t="s">
        <v>54</v>
      </c>
      <c r="AH1089" s="8" t="s">
        <v>54</v>
      </c>
      <c r="AI1089" s="10" t="s">
        <v>67</v>
      </c>
      <c r="AJ1089" s="8">
        <f>COUNTIF($E$1089:$AI$1089,"P")</f>
        <v>26</v>
      </c>
      <c r="AK1089" s="8">
        <f>COUNTIF($E$1089:$AI$1089,"A")</f>
        <v>0</v>
      </c>
      <c r="AL1089" s="8">
        <f>SUM($E$1090:$AI$1090)</f>
        <v>50</v>
      </c>
      <c r="AM1089" s="8">
        <f>SUM($E$1091:$AI$1091)</f>
        <v>37</v>
      </c>
      <c r="AN1089" s="8">
        <f>AL1089+AM1089</f>
        <v>87</v>
      </c>
      <c r="AO1089" s="8">
        <f>COUNTIF($E$1089:$AI$1089,"CL")</f>
        <v>0</v>
      </c>
      <c r="AP1089" s="8">
        <f>COUNTIF($E$1089:$AI$1089,"SL")</f>
        <v>0</v>
      </c>
      <c r="AQ1089" s="8">
        <f>COUNTIF($E$1089:$AI$1089,"EL")</f>
        <v>0</v>
      </c>
      <c r="AR1089" s="8">
        <f>COUNTIF($E$1089:$AI$1089,"H")</f>
        <v>0</v>
      </c>
      <c r="AS1089" s="8"/>
      <c r="AT1089" s="11" t="s">
        <v>249</v>
      </c>
    </row>
    <row r="1090" spans="1:46" ht="15.1" customHeight="1">
      <c r="A1090" s="8"/>
      <c r="B1090" s="9"/>
      <c r="C1090" s="8"/>
      <c r="D1090" s="9"/>
      <c r="E1090" s="8">
        <v>2</v>
      </c>
      <c r="F1090" s="8">
        <v>2</v>
      </c>
      <c r="G1090" s="8">
        <v>0</v>
      </c>
      <c r="H1090" s="8">
        <v>2</v>
      </c>
      <c r="I1090" s="8">
        <v>2</v>
      </c>
      <c r="J1090" s="8">
        <v>2</v>
      </c>
      <c r="K1090" s="8">
        <v>2</v>
      </c>
      <c r="L1090" s="8">
        <v>2</v>
      </c>
      <c r="M1090" s="8">
        <v>2</v>
      </c>
      <c r="N1090" s="8">
        <v>0</v>
      </c>
      <c r="O1090" s="8">
        <v>2</v>
      </c>
      <c r="P1090" s="8">
        <v>2</v>
      </c>
      <c r="Q1090" s="8">
        <v>2</v>
      </c>
      <c r="R1090" s="8">
        <v>2</v>
      </c>
      <c r="S1090" s="8">
        <v>2</v>
      </c>
      <c r="T1090" s="8">
        <v>2</v>
      </c>
      <c r="U1090" s="8">
        <v>0</v>
      </c>
      <c r="V1090" s="8">
        <v>2</v>
      </c>
      <c r="W1090" s="8">
        <v>2</v>
      </c>
      <c r="X1090" s="8">
        <v>2</v>
      </c>
      <c r="Y1090" s="8">
        <v>2</v>
      </c>
      <c r="Z1090" s="8">
        <v>0</v>
      </c>
      <c r="AA1090" s="8">
        <v>2</v>
      </c>
      <c r="AB1090" s="8">
        <v>0</v>
      </c>
      <c r="AC1090" s="8">
        <v>2</v>
      </c>
      <c r="AD1090" s="8">
        <v>2</v>
      </c>
      <c r="AE1090" s="8">
        <v>2</v>
      </c>
      <c r="AF1090" s="8">
        <v>2</v>
      </c>
      <c r="AG1090" s="8">
        <v>2</v>
      </c>
      <c r="AH1090" s="8">
        <v>2</v>
      </c>
      <c r="AI1090" s="8">
        <v>0</v>
      </c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11" t="s">
        <v>249</v>
      </c>
    </row>
    <row r="1091" spans="1:46" ht="15.1" customHeight="1">
      <c r="A1091" s="8"/>
      <c r="B1091" s="9"/>
      <c r="C1091" s="8"/>
      <c r="D1091" s="9"/>
      <c r="E1091" s="8">
        <v>1</v>
      </c>
      <c r="F1091" s="8">
        <v>1</v>
      </c>
      <c r="G1091" s="8">
        <v>0</v>
      </c>
      <c r="H1091" s="8">
        <v>1</v>
      </c>
      <c r="I1091" s="8">
        <v>1</v>
      </c>
      <c r="J1091" s="8">
        <v>1</v>
      </c>
      <c r="K1091" s="8">
        <v>1</v>
      </c>
      <c r="L1091" s="8">
        <v>1</v>
      </c>
      <c r="M1091" s="8">
        <v>1</v>
      </c>
      <c r="N1091" s="8">
        <v>12</v>
      </c>
      <c r="O1091" s="8">
        <v>1</v>
      </c>
      <c r="P1091" s="8">
        <v>1</v>
      </c>
      <c r="Q1091" s="8">
        <v>1</v>
      </c>
      <c r="R1091" s="8">
        <v>1</v>
      </c>
      <c r="S1091" s="8">
        <v>1</v>
      </c>
      <c r="T1091" s="8">
        <v>1</v>
      </c>
      <c r="U1091" s="8">
        <v>0</v>
      </c>
      <c r="V1091" s="8">
        <v>1</v>
      </c>
      <c r="W1091" s="8">
        <v>1</v>
      </c>
      <c r="X1091" s="8">
        <v>1</v>
      </c>
      <c r="Y1091" s="8">
        <v>1</v>
      </c>
      <c r="Z1091" s="8">
        <v>0</v>
      </c>
      <c r="AA1091" s="8">
        <v>1</v>
      </c>
      <c r="AB1091" s="8">
        <v>0</v>
      </c>
      <c r="AC1091" s="8">
        <v>1</v>
      </c>
      <c r="AD1091" s="8">
        <v>1</v>
      </c>
      <c r="AE1091" s="8">
        <v>1</v>
      </c>
      <c r="AF1091" s="8">
        <v>1</v>
      </c>
      <c r="AG1091" s="8">
        <v>1</v>
      </c>
      <c r="AH1091" s="8">
        <v>1</v>
      </c>
      <c r="AI1091" s="8">
        <v>0</v>
      </c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11" t="s">
        <v>249</v>
      </c>
    </row>
    <row r="1092" spans="1:46" ht="15.1" customHeight="1">
      <c r="A1092" s="8">
        <v>363</v>
      </c>
      <c r="B1092" s="9" t="s">
        <v>985</v>
      </c>
      <c r="C1092" s="8" t="s">
        <v>986</v>
      </c>
      <c r="D1092" s="9" t="s">
        <v>451</v>
      </c>
      <c r="E1092" s="8" t="s">
        <v>54</v>
      </c>
      <c r="F1092" s="8" t="s">
        <v>54</v>
      </c>
      <c r="G1092" s="10" t="s">
        <v>67</v>
      </c>
      <c r="H1092" s="8" t="s">
        <v>54</v>
      </c>
      <c r="I1092" s="8" t="s">
        <v>54</v>
      </c>
      <c r="J1092" s="8" t="s">
        <v>54</v>
      </c>
      <c r="K1092" s="8" t="s">
        <v>54</v>
      </c>
      <c r="L1092" s="8" t="s">
        <v>54</v>
      </c>
      <c r="M1092" s="8" t="s">
        <v>54</v>
      </c>
      <c r="N1092" s="10" t="s">
        <v>67</v>
      </c>
      <c r="O1092" s="8" t="s">
        <v>54</v>
      </c>
      <c r="P1092" s="8" t="s">
        <v>54</v>
      </c>
      <c r="Q1092" s="8" t="s">
        <v>54</v>
      </c>
      <c r="R1092" s="8" t="s">
        <v>54</v>
      </c>
      <c r="S1092" s="8" t="s">
        <v>54</v>
      </c>
      <c r="T1092" s="8" t="s">
        <v>54</v>
      </c>
      <c r="U1092" s="10" t="s">
        <v>67</v>
      </c>
      <c r="V1092" s="8" t="s">
        <v>54</v>
      </c>
      <c r="W1092" s="8" t="s">
        <v>54</v>
      </c>
      <c r="X1092" s="8" t="s">
        <v>54</v>
      </c>
      <c r="Y1092" s="8" t="s">
        <v>54</v>
      </c>
      <c r="Z1092" s="8" t="s">
        <v>54</v>
      </c>
      <c r="AA1092" s="8" t="s">
        <v>54</v>
      </c>
      <c r="AB1092" s="10" t="s">
        <v>67</v>
      </c>
      <c r="AC1092" s="8" t="s">
        <v>54</v>
      </c>
      <c r="AD1092" s="8" t="s">
        <v>54</v>
      </c>
      <c r="AE1092" s="8" t="s">
        <v>54</v>
      </c>
      <c r="AF1092" s="8" t="s">
        <v>54</v>
      </c>
      <c r="AG1092" s="8" t="s">
        <v>54</v>
      </c>
      <c r="AH1092" s="8" t="s">
        <v>54</v>
      </c>
      <c r="AI1092" s="10" t="s">
        <v>67</v>
      </c>
      <c r="AJ1092" s="8">
        <f>COUNTIF($E$1092:$AI$1092,"P")</f>
        <v>26</v>
      </c>
      <c r="AK1092" s="8">
        <f>COUNTIF($E$1092:$AI$1092,"A")</f>
        <v>0</v>
      </c>
      <c r="AL1092" s="8">
        <f>SUM($E$1093:$AI$1093)</f>
        <v>52</v>
      </c>
      <c r="AM1092" s="8">
        <f>SUM($E$1094:$AI$1094)</f>
        <v>26</v>
      </c>
      <c r="AN1092" s="8">
        <f>AL1092+AM1092</f>
        <v>78</v>
      </c>
      <c r="AO1092" s="8">
        <f>COUNTIF($E$1092:$AI$1092,"CL")</f>
        <v>0</v>
      </c>
      <c r="AP1092" s="8">
        <f>COUNTIF($E$1092:$AI$1092,"SL")</f>
        <v>0</v>
      </c>
      <c r="AQ1092" s="8">
        <f>COUNTIF($E$1092:$AI$1092,"EL")</f>
        <v>0</v>
      </c>
      <c r="AR1092" s="8">
        <f>COUNTIF($E$1092:$AI$1092,"H")</f>
        <v>0</v>
      </c>
      <c r="AS1092" s="8"/>
      <c r="AT1092" s="11" t="s">
        <v>249</v>
      </c>
    </row>
    <row r="1093" spans="1:46" ht="15.1" customHeight="1">
      <c r="A1093" s="8"/>
      <c r="B1093" s="9"/>
      <c r="C1093" s="8"/>
      <c r="D1093" s="9"/>
      <c r="E1093" s="8">
        <v>2</v>
      </c>
      <c r="F1093" s="8">
        <v>2</v>
      </c>
      <c r="G1093" s="8">
        <v>0</v>
      </c>
      <c r="H1093" s="8">
        <v>2</v>
      </c>
      <c r="I1093" s="8">
        <v>2</v>
      </c>
      <c r="J1093" s="8">
        <v>2</v>
      </c>
      <c r="K1093" s="8">
        <v>2</v>
      </c>
      <c r="L1093" s="8">
        <v>2</v>
      </c>
      <c r="M1093" s="8">
        <v>2</v>
      </c>
      <c r="N1093" s="8">
        <v>0</v>
      </c>
      <c r="O1093" s="8">
        <v>2</v>
      </c>
      <c r="P1093" s="8">
        <v>2</v>
      </c>
      <c r="Q1093" s="8">
        <v>2</v>
      </c>
      <c r="R1093" s="8">
        <v>2</v>
      </c>
      <c r="S1093" s="8">
        <v>2</v>
      </c>
      <c r="T1093" s="8">
        <v>2</v>
      </c>
      <c r="U1093" s="8">
        <v>0</v>
      </c>
      <c r="V1093" s="8">
        <v>2</v>
      </c>
      <c r="W1093" s="8">
        <v>2</v>
      </c>
      <c r="X1093" s="8">
        <v>2</v>
      </c>
      <c r="Y1093" s="8">
        <v>2</v>
      </c>
      <c r="Z1093" s="8">
        <v>2</v>
      </c>
      <c r="AA1093" s="8">
        <v>2</v>
      </c>
      <c r="AB1093" s="8">
        <v>0</v>
      </c>
      <c r="AC1093" s="8">
        <v>2</v>
      </c>
      <c r="AD1093" s="8">
        <v>2</v>
      </c>
      <c r="AE1093" s="8">
        <v>2</v>
      </c>
      <c r="AF1093" s="8">
        <v>2</v>
      </c>
      <c r="AG1093" s="8">
        <v>2</v>
      </c>
      <c r="AH1093" s="8">
        <v>2</v>
      </c>
      <c r="AI1093" s="8">
        <v>0</v>
      </c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11" t="s">
        <v>249</v>
      </c>
    </row>
    <row r="1094" spans="1:46" ht="15.1" customHeight="1">
      <c r="A1094" s="8"/>
      <c r="B1094" s="9"/>
      <c r="C1094" s="8"/>
      <c r="D1094" s="9"/>
      <c r="E1094" s="8">
        <v>1</v>
      </c>
      <c r="F1094" s="8">
        <v>1</v>
      </c>
      <c r="G1094" s="8">
        <v>0</v>
      </c>
      <c r="H1094" s="8">
        <v>1</v>
      </c>
      <c r="I1094" s="8">
        <v>1</v>
      </c>
      <c r="J1094" s="8">
        <v>1</v>
      </c>
      <c r="K1094" s="8">
        <v>1</v>
      </c>
      <c r="L1094" s="8">
        <v>1</v>
      </c>
      <c r="M1094" s="8">
        <v>1</v>
      </c>
      <c r="N1094" s="8">
        <v>0</v>
      </c>
      <c r="O1094" s="8">
        <v>1</v>
      </c>
      <c r="P1094" s="8">
        <v>1</v>
      </c>
      <c r="Q1094" s="8">
        <v>1</v>
      </c>
      <c r="R1094" s="8">
        <v>1</v>
      </c>
      <c r="S1094" s="8">
        <v>1</v>
      </c>
      <c r="T1094" s="8">
        <v>1</v>
      </c>
      <c r="U1094" s="8">
        <v>0</v>
      </c>
      <c r="V1094" s="8">
        <v>1</v>
      </c>
      <c r="W1094" s="8">
        <v>1</v>
      </c>
      <c r="X1094" s="8">
        <v>1</v>
      </c>
      <c r="Y1094" s="8">
        <v>1</v>
      </c>
      <c r="Z1094" s="8">
        <v>1</v>
      </c>
      <c r="AA1094" s="8">
        <v>1</v>
      </c>
      <c r="AB1094" s="8">
        <v>0</v>
      </c>
      <c r="AC1094" s="8">
        <v>1</v>
      </c>
      <c r="AD1094" s="8">
        <v>1</v>
      </c>
      <c r="AE1094" s="8">
        <v>1</v>
      </c>
      <c r="AF1094" s="8">
        <v>1</v>
      </c>
      <c r="AG1094" s="8">
        <v>1</v>
      </c>
      <c r="AH1094" s="8">
        <v>1</v>
      </c>
      <c r="AI1094" s="8">
        <v>0</v>
      </c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11" t="s">
        <v>249</v>
      </c>
    </row>
    <row r="1095" spans="1:46" ht="15.1" customHeight="1">
      <c r="A1095" s="8">
        <v>364</v>
      </c>
      <c r="B1095" s="9" t="s">
        <v>987</v>
      </c>
      <c r="C1095" s="8" t="s">
        <v>988</v>
      </c>
      <c r="D1095" s="9" t="s">
        <v>451</v>
      </c>
      <c r="E1095" s="8" t="s">
        <v>54</v>
      </c>
      <c r="F1095" s="8" t="s">
        <v>54</v>
      </c>
      <c r="G1095" s="10" t="s">
        <v>67</v>
      </c>
      <c r="H1095" s="8" t="s">
        <v>54</v>
      </c>
      <c r="I1095" s="8" t="s">
        <v>54</v>
      </c>
      <c r="J1095" s="8" t="s">
        <v>54</v>
      </c>
      <c r="K1095" s="8" t="s">
        <v>54</v>
      </c>
      <c r="L1095" s="8" t="s">
        <v>54</v>
      </c>
      <c r="M1095" s="8" t="s">
        <v>54</v>
      </c>
      <c r="N1095" s="10" t="s">
        <v>67</v>
      </c>
      <c r="O1095" s="8" t="s">
        <v>54</v>
      </c>
      <c r="P1095" s="8" t="s">
        <v>54</v>
      </c>
      <c r="Q1095" s="8" t="s">
        <v>54</v>
      </c>
      <c r="R1095" s="8" t="s">
        <v>54</v>
      </c>
      <c r="S1095" s="8" t="s">
        <v>54</v>
      </c>
      <c r="T1095" s="8" t="s">
        <v>54</v>
      </c>
      <c r="U1095" s="10" t="s">
        <v>67</v>
      </c>
      <c r="V1095" s="8" t="s">
        <v>54</v>
      </c>
      <c r="W1095" s="8" t="s">
        <v>54</v>
      </c>
      <c r="X1095" s="8" t="s">
        <v>54</v>
      </c>
      <c r="Y1095" s="8" t="s">
        <v>54</v>
      </c>
      <c r="Z1095" s="8" t="s">
        <v>54</v>
      </c>
      <c r="AA1095" s="8" t="s">
        <v>54</v>
      </c>
      <c r="AB1095" s="10" t="s">
        <v>67</v>
      </c>
      <c r="AC1095" s="8" t="s">
        <v>54</v>
      </c>
      <c r="AD1095" s="8" t="s">
        <v>54</v>
      </c>
      <c r="AE1095" s="8" t="s">
        <v>54</v>
      </c>
      <c r="AF1095" s="8" t="s">
        <v>54</v>
      </c>
      <c r="AG1095" s="8" t="s">
        <v>54</v>
      </c>
      <c r="AH1095" s="8" t="s">
        <v>54</v>
      </c>
      <c r="AI1095" s="10" t="s">
        <v>67</v>
      </c>
      <c r="AJ1095" s="8">
        <f>COUNTIF($E$1095:$AI$1095,"P")</f>
        <v>26</v>
      </c>
      <c r="AK1095" s="8">
        <f>COUNTIF($E$1095:$AI$1095,"A")</f>
        <v>0</v>
      </c>
      <c r="AL1095" s="8">
        <f>SUM($E$1096:$AI$1096)</f>
        <v>52</v>
      </c>
      <c r="AM1095" s="8">
        <f>SUM($E$1097:$AI$1097)</f>
        <v>26</v>
      </c>
      <c r="AN1095" s="8">
        <f>AL1095+AM1095</f>
        <v>78</v>
      </c>
      <c r="AO1095" s="8">
        <f>COUNTIF($E$1095:$AI$1095,"CL")</f>
        <v>0</v>
      </c>
      <c r="AP1095" s="8">
        <f>COUNTIF($E$1095:$AI$1095,"SL")</f>
        <v>0</v>
      </c>
      <c r="AQ1095" s="8">
        <f>COUNTIF($E$1095:$AI$1095,"EL")</f>
        <v>0</v>
      </c>
      <c r="AR1095" s="8">
        <f>COUNTIF($E$1095:$AI$1095,"H")</f>
        <v>0</v>
      </c>
      <c r="AS1095" s="8"/>
      <c r="AT1095" s="11" t="s">
        <v>249</v>
      </c>
    </row>
    <row r="1096" spans="1:46" ht="15.1" customHeight="1">
      <c r="A1096" s="8"/>
      <c r="B1096" s="9"/>
      <c r="C1096" s="8"/>
      <c r="D1096" s="9"/>
      <c r="E1096" s="8">
        <v>2</v>
      </c>
      <c r="F1096" s="8">
        <v>2</v>
      </c>
      <c r="G1096" s="8">
        <v>0</v>
      </c>
      <c r="H1096" s="8">
        <v>2</v>
      </c>
      <c r="I1096" s="8">
        <v>2</v>
      </c>
      <c r="J1096" s="8">
        <v>2</v>
      </c>
      <c r="K1096" s="8">
        <v>2</v>
      </c>
      <c r="L1096" s="8">
        <v>2</v>
      </c>
      <c r="M1096" s="8">
        <v>2</v>
      </c>
      <c r="N1096" s="8">
        <v>0</v>
      </c>
      <c r="O1096" s="8">
        <v>2</v>
      </c>
      <c r="P1096" s="8">
        <v>2</v>
      </c>
      <c r="Q1096" s="8">
        <v>2</v>
      </c>
      <c r="R1096" s="8">
        <v>2</v>
      </c>
      <c r="S1096" s="8">
        <v>2</v>
      </c>
      <c r="T1096" s="8">
        <v>2</v>
      </c>
      <c r="U1096" s="8">
        <v>0</v>
      </c>
      <c r="V1096" s="8">
        <v>2</v>
      </c>
      <c r="W1096" s="8">
        <v>2</v>
      </c>
      <c r="X1096" s="8">
        <v>2</v>
      </c>
      <c r="Y1096" s="8">
        <v>2</v>
      </c>
      <c r="Z1096" s="8">
        <v>2</v>
      </c>
      <c r="AA1096" s="8">
        <v>2</v>
      </c>
      <c r="AB1096" s="8">
        <v>0</v>
      </c>
      <c r="AC1096" s="8">
        <v>2</v>
      </c>
      <c r="AD1096" s="8">
        <v>2</v>
      </c>
      <c r="AE1096" s="8">
        <v>2</v>
      </c>
      <c r="AF1096" s="8">
        <v>2</v>
      </c>
      <c r="AG1096" s="8">
        <v>2</v>
      </c>
      <c r="AH1096" s="8">
        <v>2</v>
      </c>
      <c r="AI1096" s="8">
        <v>0</v>
      </c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11" t="s">
        <v>249</v>
      </c>
    </row>
    <row r="1097" spans="1:46" ht="15.1" customHeight="1">
      <c r="A1097" s="8"/>
      <c r="B1097" s="9"/>
      <c r="C1097" s="8"/>
      <c r="D1097" s="9"/>
      <c r="E1097" s="8">
        <v>1</v>
      </c>
      <c r="F1097" s="8">
        <v>1</v>
      </c>
      <c r="G1097" s="8">
        <v>0</v>
      </c>
      <c r="H1097" s="8">
        <v>1</v>
      </c>
      <c r="I1097" s="8">
        <v>1</v>
      </c>
      <c r="J1097" s="8">
        <v>1</v>
      </c>
      <c r="K1097" s="8">
        <v>1</v>
      </c>
      <c r="L1097" s="8">
        <v>1</v>
      </c>
      <c r="M1097" s="8">
        <v>1</v>
      </c>
      <c r="N1097" s="8">
        <v>0</v>
      </c>
      <c r="O1097" s="8">
        <v>1</v>
      </c>
      <c r="P1097" s="8">
        <v>1</v>
      </c>
      <c r="Q1097" s="8">
        <v>1</v>
      </c>
      <c r="R1097" s="8">
        <v>1</v>
      </c>
      <c r="S1097" s="8">
        <v>1</v>
      </c>
      <c r="T1097" s="8">
        <v>1</v>
      </c>
      <c r="U1097" s="8">
        <v>0</v>
      </c>
      <c r="V1097" s="8">
        <v>1</v>
      </c>
      <c r="W1097" s="8">
        <v>1</v>
      </c>
      <c r="X1097" s="8">
        <v>1</v>
      </c>
      <c r="Y1097" s="8">
        <v>1</v>
      </c>
      <c r="Z1097" s="8">
        <v>1</v>
      </c>
      <c r="AA1097" s="8">
        <v>1</v>
      </c>
      <c r="AB1097" s="8">
        <v>0</v>
      </c>
      <c r="AC1097" s="8">
        <v>1</v>
      </c>
      <c r="AD1097" s="8">
        <v>1</v>
      </c>
      <c r="AE1097" s="8">
        <v>1</v>
      </c>
      <c r="AF1097" s="8">
        <v>1</v>
      </c>
      <c r="AG1097" s="8">
        <v>1</v>
      </c>
      <c r="AH1097" s="8">
        <v>1</v>
      </c>
      <c r="AI1097" s="8">
        <v>0</v>
      </c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11" t="s">
        <v>249</v>
      </c>
    </row>
    <row r="1098" spans="1:46" ht="15.1" customHeight="1">
      <c r="A1098" s="8">
        <v>365</v>
      </c>
      <c r="B1098" s="9" t="s">
        <v>989</v>
      </c>
      <c r="C1098" s="8" t="s">
        <v>990</v>
      </c>
      <c r="D1098" s="9" t="s">
        <v>451</v>
      </c>
      <c r="E1098" s="8" t="s">
        <v>54</v>
      </c>
      <c r="F1098" s="8" t="s">
        <v>54</v>
      </c>
      <c r="G1098" s="10" t="s">
        <v>67</v>
      </c>
      <c r="H1098" s="8" t="s">
        <v>54</v>
      </c>
      <c r="I1098" s="8" t="s">
        <v>54</v>
      </c>
      <c r="J1098" s="8" t="s">
        <v>54</v>
      </c>
      <c r="K1098" s="8" t="s">
        <v>54</v>
      </c>
      <c r="L1098" s="8" t="s">
        <v>54</v>
      </c>
      <c r="M1098" s="8" t="s">
        <v>54</v>
      </c>
      <c r="N1098" s="10" t="s">
        <v>67</v>
      </c>
      <c r="O1098" s="8" t="s">
        <v>54</v>
      </c>
      <c r="P1098" s="8" t="s">
        <v>54</v>
      </c>
      <c r="Q1098" s="8" t="s">
        <v>54</v>
      </c>
      <c r="R1098" s="8" t="s">
        <v>54</v>
      </c>
      <c r="S1098" s="8" t="s">
        <v>54</v>
      </c>
      <c r="T1098" s="8" t="s">
        <v>54</v>
      </c>
      <c r="U1098" s="10" t="s">
        <v>67</v>
      </c>
      <c r="V1098" s="8" t="s">
        <v>54</v>
      </c>
      <c r="W1098" s="8" t="s">
        <v>54</v>
      </c>
      <c r="X1098" s="8" t="s">
        <v>54</v>
      </c>
      <c r="Y1098" s="8" t="s">
        <v>54</v>
      </c>
      <c r="Z1098" s="8" t="s">
        <v>54</v>
      </c>
      <c r="AA1098" s="8" t="s">
        <v>54</v>
      </c>
      <c r="AB1098" s="10" t="s">
        <v>67</v>
      </c>
      <c r="AC1098" s="8" t="s">
        <v>54</v>
      </c>
      <c r="AD1098" s="8" t="s">
        <v>54</v>
      </c>
      <c r="AE1098" s="8" t="s">
        <v>54</v>
      </c>
      <c r="AF1098" s="8" t="s">
        <v>54</v>
      </c>
      <c r="AG1098" s="8" t="s">
        <v>54</v>
      </c>
      <c r="AH1098" s="8" t="s">
        <v>54</v>
      </c>
      <c r="AI1098" s="10" t="s">
        <v>67</v>
      </c>
      <c r="AJ1098" s="8">
        <f>COUNTIF($E$1098:$AI$1098,"P")</f>
        <v>26</v>
      </c>
      <c r="AK1098" s="8">
        <f>COUNTIF($E$1098:$AI$1098,"A")</f>
        <v>0</v>
      </c>
      <c r="AL1098" s="8">
        <f>SUM($E$1099:$AI$1099)</f>
        <v>50</v>
      </c>
      <c r="AM1098" s="8">
        <f>SUM($E$1100:$AI$1100)</f>
        <v>25</v>
      </c>
      <c r="AN1098" s="8">
        <f>AL1098+AM1098</f>
        <v>75</v>
      </c>
      <c r="AO1098" s="8">
        <f>COUNTIF($E$1098:$AI$1098,"CL")</f>
        <v>0</v>
      </c>
      <c r="AP1098" s="8">
        <f>COUNTIF($E$1098:$AI$1098,"SL")</f>
        <v>0</v>
      </c>
      <c r="AQ1098" s="8">
        <f>COUNTIF($E$1098:$AI$1098,"EL")</f>
        <v>0</v>
      </c>
      <c r="AR1098" s="8">
        <f>COUNTIF($E$1098:$AI$1098,"H")</f>
        <v>0</v>
      </c>
      <c r="AS1098" s="8"/>
      <c r="AT1098" s="11" t="s">
        <v>249</v>
      </c>
    </row>
    <row r="1099" spans="1:46" ht="15.1" customHeight="1">
      <c r="A1099" s="8"/>
      <c r="B1099" s="9"/>
      <c r="C1099" s="8"/>
      <c r="D1099" s="9"/>
      <c r="E1099" s="8">
        <v>2</v>
      </c>
      <c r="F1099" s="8">
        <v>2</v>
      </c>
      <c r="G1099" s="8">
        <v>0</v>
      </c>
      <c r="H1099" s="8">
        <v>2</v>
      </c>
      <c r="I1099" s="8">
        <v>2</v>
      </c>
      <c r="J1099" s="8">
        <v>2</v>
      </c>
      <c r="K1099" s="8">
        <v>2</v>
      </c>
      <c r="L1099" s="8">
        <v>2</v>
      </c>
      <c r="M1099" s="8">
        <v>2</v>
      </c>
      <c r="N1099" s="8">
        <v>0</v>
      </c>
      <c r="O1099" s="8">
        <v>2</v>
      </c>
      <c r="P1099" s="8">
        <v>2</v>
      </c>
      <c r="Q1099" s="8">
        <v>2</v>
      </c>
      <c r="R1099" s="8">
        <v>2</v>
      </c>
      <c r="S1099" s="8">
        <v>2</v>
      </c>
      <c r="T1099" s="8">
        <v>2</v>
      </c>
      <c r="U1099" s="8">
        <v>0</v>
      </c>
      <c r="V1099" s="8">
        <v>2</v>
      </c>
      <c r="W1099" s="8">
        <v>2</v>
      </c>
      <c r="X1099" s="8">
        <v>2</v>
      </c>
      <c r="Y1099" s="8">
        <v>2</v>
      </c>
      <c r="Z1099" s="8">
        <v>0</v>
      </c>
      <c r="AA1099" s="8">
        <v>2</v>
      </c>
      <c r="AB1099" s="8">
        <v>0</v>
      </c>
      <c r="AC1099" s="8">
        <v>2</v>
      </c>
      <c r="AD1099" s="8">
        <v>2</v>
      </c>
      <c r="AE1099" s="8">
        <v>2</v>
      </c>
      <c r="AF1099" s="8">
        <v>2</v>
      </c>
      <c r="AG1099" s="8">
        <v>2</v>
      </c>
      <c r="AH1099" s="8">
        <v>2</v>
      </c>
      <c r="AI1099" s="8">
        <v>0</v>
      </c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11" t="s">
        <v>249</v>
      </c>
    </row>
    <row r="1100" spans="1:46" ht="15.1" customHeight="1">
      <c r="A1100" s="8"/>
      <c r="B1100" s="9"/>
      <c r="C1100" s="8"/>
      <c r="D1100" s="9"/>
      <c r="E1100" s="8">
        <v>1</v>
      </c>
      <c r="F1100" s="8">
        <v>1</v>
      </c>
      <c r="G1100" s="8">
        <v>0</v>
      </c>
      <c r="H1100" s="8">
        <v>1</v>
      </c>
      <c r="I1100" s="8">
        <v>1</v>
      </c>
      <c r="J1100" s="8">
        <v>1</v>
      </c>
      <c r="K1100" s="8">
        <v>1</v>
      </c>
      <c r="L1100" s="8">
        <v>1</v>
      </c>
      <c r="M1100" s="8">
        <v>1</v>
      </c>
      <c r="N1100" s="8">
        <v>0</v>
      </c>
      <c r="O1100" s="8">
        <v>1</v>
      </c>
      <c r="P1100" s="8">
        <v>1</v>
      </c>
      <c r="Q1100" s="8">
        <v>1</v>
      </c>
      <c r="R1100" s="8">
        <v>1</v>
      </c>
      <c r="S1100" s="8">
        <v>1</v>
      </c>
      <c r="T1100" s="8">
        <v>1</v>
      </c>
      <c r="U1100" s="8">
        <v>0</v>
      </c>
      <c r="V1100" s="8">
        <v>1</v>
      </c>
      <c r="W1100" s="8">
        <v>1</v>
      </c>
      <c r="X1100" s="8">
        <v>1</v>
      </c>
      <c r="Y1100" s="8">
        <v>1</v>
      </c>
      <c r="Z1100" s="8">
        <v>0</v>
      </c>
      <c r="AA1100" s="8">
        <v>1</v>
      </c>
      <c r="AB1100" s="8">
        <v>0</v>
      </c>
      <c r="AC1100" s="8">
        <v>1</v>
      </c>
      <c r="AD1100" s="8">
        <v>1</v>
      </c>
      <c r="AE1100" s="8">
        <v>1</v>
      </c>
      <c r="AF1100" s="8">
        <v>1</v>
      </c>
      <c r="AG1100" s="8">
        <v>1</v>
      </c>
      <c r="AH1100" s="8">
        <v>1</v>
      </c>
      <c r="AI1100" s="8">
        <v>0</v>
      </c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11" t="s">
        <v>249</v>
      </c>
    </row>
    <row r="1101" spans="1:46" ht="15.1" customHeight="1">
      <c r="A1101" s="8">
        <v>366</v>
      </c>
      <c r="B1101" s="9" t="s">
        <v>991</v>
      </c>
      <c r="C1101" s="8" t="s">
        <v>992</v>
      </c>
      <c r="D1101" s="9" t="s">
        <v>451</v>
      </c>
      <c r="E1101" s="8" t="s">
        <v>54</v>
      </c>
      <c r="F1101" s="8" t="s">
        <v>54</v>
      </c>
      <c r="G1101" s="10" t="s">
        <v>67</v>
      </c>
      <c r="H1101" s="8" t="s">
        <v>54</v>
      </c>
      <c r="I1101" s="8" t="s">
        <v>54</v>
      </c>
      <c r="J1101" s="8" t="s">
        <v>54</v>
      </c>
      <c r="K1101" s="8" t="s">
        <v>54</v>
      </c>
      <c r="L1101" s="8" t="s">
        <v>54</v>
      </c>
      <c r="M1101" s="8" t="s">
        <v>54</v>
      </c>
      <c r="N1101" s="10" t="s">
        <v>67</v>
      </c>
      <c r="O1101" s="8" t="s">
        <v>54</v>
      </c>
      <c r="P1101" s="8" t="s">
        <v>54</v>
      </c>
      <c r="Q1101" s="8" t="s">
        <v>54</v>
      </c>
      <c r="R1101" s="8" t="s">
        <v>54</v>
      </c>
      <c r="S1101" s="8" t="s">
        <v>54</v>
      </c>
      <c r="T1101" s="8" t="s">
        <v>54</v>
      </c>
      <c r="U1101" s="10" t="s">
        <v>67</v>
      </c>
      <c r="V1101" s="8" t="s">
        <v>54</v>
      </c>
      <c r="W1101" s="8" t="s">
        <v>54</v>
      </c>
      <c r="X1101" s="8" t="s">
        <v>54</v>
      </c>
      <c r="Y1101" s="8" t="s">
        <v>54</v>
      </c>
      <c r="Z1101" s="8" t="s">
        <v>54</v>
      </c>
      <c r="AA1101" s="8" t="s">
        <v>54</v>
      </c>
      <c r="AB1101" s="10" t="s">
        <v>67</v>
      </c>
      <c r="AC1101" s="8" t="s">
        <v>54</v>
      </c>
      <c r="AD1101" s="8" t="s">
        <v>54</v>
      </c>
      <c r="AE1101" s="8" t="s">
        <v>54</v>
      </c>
      <c r="AF1101" s="8" t="s">
        <v>54</v>
      </c>
      <c r="AG1101" s="8" t="s">
        <v>54</v>
      </c>
      <c r="AH1101" s="8" t="s">
        <v>54</v>
      </c>
      <c r="AI1101" s="10" t="s">
        <v>67</v>
      </c>
      <c r="AJ1101" s="8">
        <f>COUNTIF($E$1101:$AI$1101,"P")</f>
        <v>26</v>
      </c>
      <c r="AK1101" s="8">
        <f>COUNTIF($E$1101:$AI$1101,"A")</f>
        <v>0</v>
      </c>
      <c r="AL1101" s="8">
        <f>SUM($E$1102:$AI$1102)</f>
        <v>48</v>
      </c>
      <c r="AM1101" s="8">
        <f>SUM($E$1103:$AI$1103)</f>
        <v>24</v>
      </c>
      <c r="AN1101" s="8">
        <f>AL1101+AM1101</f>
        <v>72</v>
      </c>
      <c r="AO1101" s="8">
        <f>COUNTIF($E$1101:$AI$1101,"CL")</f>
        <v>0</v>
      </c>
      <c r="AP1101" s="8">
        <f>COUNTIF($E$1101:$AI$1101,"SL")</f>
        <v>0</v>
      </c>
      <c r="AQ1101" s="8">
        <f>COUNTIF($E$1101:$AI$1101,"EL")</f>
        <v>0</v>
      </c>
      <c r="AR1101" s="8">
        <f>COUNTIF($E$1101:$AI$1101,"H")</f>
        <v>0</v>
      </c>
      <c r="AS1101" s="8"/>
      <c r="AT1101" s="11" t="s">
        <v>249</v>
      </c>
    </row>
    <row r="1102" spans="1:46" ht="15.1" customHeight="1">
      <c r="A1102" s="8"/>
      <c r="B1102" s="9"/>
      <c r="C1102" s="8"/>
      <c r="D1102" s="9"/>
      <c r="E1102" s="8">
        <v>0</v>
      </c>
      <c r="F1102" s="8">
        <v>2</v>
      </c>
      <c r="G1102" s="8">
        <v>0</v>
      </c>
      <c r="H1102" s="8">
        <v>2</v>
      </c>
      <c r="I1102" s="8">
        <v>2</v>
      </c>
      <c r="J1102" s="8">
        <v>2</v>
      </c>
      <c r="K1102" s="8">
        <v>2</v>
      </c>
      <c r="L1102" s="8">
        <v>2</v>
      </c>
      <c r="M1102" s="8">
        <v>2</v>
      </c>
      <c r="N1102" s="8">
        <v>0</v>
      </c>
      <c r="O1102" s="8">
        <v>2</v>
      </c>
      <c r="P1102" s="8">
        <v>2</v>
      </c>
      <c r="Q1102" s="8">
        <v>2</v>
      </c>
      <c r="R1102" s="8">
        <v>2</v>
      </c>
      <c r="S1102" s="8">
        <v>2</v>
      </c>
      <c r="T1102" s="8">
        <v>2</v>
      </c>
      <c r="U1102" s="8">
        <v>0</v>
      </c>
      <c r="V1102" s="8">
        <v>2</v>
      </c>
      <c r="W1102" s="8">
        <v>2</v>
      </c>
      <c r="X1102" s="8">
        <v>2</v>
      </c>
      <c r="Y1102" s="8">
        <v>2</v>
      </c>
      <c r="Z1102" s="8">
        <v>0</v>
      </c>
      <c r="AA1102" s="8">
        <v>2</v>
      </c>
      <c r="AB1102" s="8">
        <v>0</v>
      </c>
      <c r="AC1102" s="8">
        <v>2</v>
      </c>
      <c r="AD1102" s="8">
        <v>2</v>
      </c>
      <c r="AE1102" s="8">
        <v>2</v>
      </c>
      <c r="AF1102" s="8">
        <v>2</v>
      </c>
      <c r="AG1102" s="8">
        <v>2</v>
      </c>
      <c r="AH1102" s="8">
        <v>2</v>
      </c>
      <c r="AI1102" s="8">
        <v>0</v>
      </c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11" t="s">
        <v>249</v>
      </c>
    </row>
    <row r="1103" spans="1:46" ht="15.1" customHeight="1">
      <c r="A1103" s="8"/>
      <c r="B1103" s="9"/>
      <c r="C1103" s="8"/>
      <c r="D1103" s="9"/>
      <c r="E1103" s="8">
        <v>0</v>
      </c>
      <c r="F1103" s="8">
        <v>1</v>
      </c>
      <c r="G1103" s="8">
        <v>0</v>
      </c>
      <c r="H1103" s="8">
        <v>1</v>
      </c>
      <c r="I1103" s="8">
        <v>1</v>
      </c>
      <c r="J1103" s="8">
        <v>1</v>
      </c>
      <c r="K1103" s="8">
        <v>1</v>
      </c>
      <c r="L1103" s="8">
        <v>1</v>
      </c>
      <c r="M1103" s="8">
        <v>1</v>
      </c>
      <c r="N1103" s="8">
        <v>0</v>
      </c>
      <c r="O1103" s="8">
        <v>1</v>
      </c>
      <c r="P1103" s="8">
        <v>1</v>
      </c>
      <c r="Q1103" s="8">
        <v>1</v>
      </c>
      <c r="R1103" s="8">
        <v>1</v>
      </c>
      <c r="S1103" s="8">
        <v>1</v>
      </c>
      <c r="T1103" s="8">
        <v>1</v>
      </c>
      <c r="U1103" s="8">
        <v>0</v>
      </c>
      <c r="V1103" s="8">
        <v>1</v>
      </c>
      <c r="W1103" s="8">
        <v>1</v>
      </c>
      <c r="X1103" s="8">
        <v>1</v>
      </c>
      <c r="Y1103" s="8">
        <v>1</v>
      </c>
      <c r="Z1103" s="8">
        <v>0</v>
      </c>
      <c r="AA1103" s="8">
        <v>1</v>
      </c>
      <c r="AB1103" s="8">
        <v>0</v>
      </c>
      <c r="AC1103" s="8">
        <v>1</v>
      </c>
      <c r="AD1103" s="8">
        <v>1</v>
      </c>
      <c r="AE1103" s="8">
        <v>1</v>
      </c>
      <c r="AF1103" s="8">
        <v>1</v>
      </c>
      <c r="AG1103" s="8">
        <v>1</v>
      </c>
      <c r="AH1103" s="8">
        <v>1</v>
      </c>
      <c r="AI1103" s="8">
        <v>0</v>
      </c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11" t="s">
        <v>249</v>
      </c>
    </row>
    <row r="1104" spans="1:46" ht="15.1" customHeight="1">
      <c r="A1104" s="8">
        <v>367</v>
      </c>
      <c r="B1104" s="9" t="s">
        <v>993</v>
      </c>
      <c r="C1104" s="8" t="s">
        <v>994</v>
      </c>
      <c r="D1104" s="9" t="s">
        <v>451</v>
      </c>
      <c r="E1104" s="8" t="s">
        <v>54</v>
      </c>
      <c r="F1104" s="8" t="s">
        <v>54</v>
      </c>
      <c r="G1104" s="10" t="s">
        <v>67</v>
      </c>
      <c r="H1104" s="8" t="s">
        <v>54</v>
      </c>
      <c r="I1104" s="8" t="s">
        <v>54</v>
      </c>
      <c r="J1104" s="8" t="s">
        <v>54</v>
      </c>
      <c r="K1104" s="8" t="s">
        <v>54</v>
      </c>
      <c r="L1104" s="8" t="s">
        <v>54</v>
      </c>
      <c r="M1104" s="8" t="s">
        <v>54</v>
      </c>
      <c r="N1104" s="10" t="s">
        <v>67</v>
      </c>
      <c r="O1104" s="8" t="s">
        <v>54</v>
      </c>
      <c r="P1104" s="8" t="s">
        <v>54</v>
      </c>
      <c r="Q1104" s="8" t="s">
        <v>54</v>
      </c>
      <c r="R1104" s="8" t="s">
        <v>54</v>
      </c>
      <c r="S1104" s="8" t="s">
        <v>54</v>
      </c>
      <c r="T1104" s="8" t="s">
        <v>54</v>
      </c>
      <c r="U1104" s="10" t="s">
        <v>67</v>
      </c>
      <c r="V1104" s="8" t="s">
        <v>54</v>
      </c>
      <c r="W1104" s="8" t="s">
        <v>54</v>
      </c>
      <c r="X1104" s="8" t="s">
        <v>54</v>
      </c>
      <c r="Y1104" s="8" t="s">
        <v>54</v>
      </c>
      <c r="Z1104" s="8" t="s">
        <v>54</v>
      </c>
      <c r="AA1104" s="8" t="s">
        <v>54</v>
      </c>
      <c r="AB1104" s="10" t="s">
        <v>67</v>
      </c>
      <c r="AC1104" s="8" t="s">
        <v>54</v>
      </c>
      <c r="AD1104" s="8" t="s">
        <v>54</v>
      </c>
      <c r="AE1104" s="8" t="s">
        <v>54</v>
      </c>
      <c r="AF1104" s="8" t="s">
        <v>54</v>
      </c>
      <c r="AG1104" s="8" t="s">
        <v>54</v>
      </c>
      <c r="AH1104" s="8" t="s">
        <v>54</v>
      </c>
      <c r="AI1104" s="10" t="s">
        <v>67</v>
      </c>
      <c r="AJ1104" s="8">
        <f>COUNTIF($E$1104:$AI$1104,"P")</f>
        <v>26</v>
      </c>
      <c r="AK1104" s="8">
        <f>COUNTIF($E$1104:$AI$1104,"A")</f>
        <v>0</v>
      </c>
      <c r="AL1104" s="8">
        <f>SUM($E$1105:$AI$1105)</f>
        <v>52</v>
      </c>
      <c r="AM1104" s="8">
        <f>SUM($E$1106:$AI$1106)</f>
        <v>26</v>
      </c>
      <c r="AN1104" s="8">
        <f>AL1104+AM1104</f>
        <v>78</v>
      </c>
      <c r="AO1104" s="8">
        <f>COUNTIF($E$1104:$AI$1104,"CL")</f>
        <v>0</v>
      </c>
      <c r="AP1104" s="8">
        <f>COUNTIF($E$1104:$AI$1104,"SL")</f>
        <v>0</v>
      </c>
      <c r="AQ1104" s="8">
        <f>COUNTIF($E$1104:$AI$1104,"EL")</f>
        <v>0</v>
      </c>
      <c r="AR1104" s="8">
        <f>COUNTIF($E$1104:$AI$1104,"H")</f>
        <v>0</v>
      </c>
      <c r="AS1104" s="8"/>
      <c r="AT1104" s="11" t="s">
        <v>249</v>
      </c>
    </row>
    <row r="1105" spans="1:46" ht="15.1" customHeight="1">
      <c r="A1105" s="8"/>
      <c r="B1105" s="9"/>
      <c r="C1105" s="8"/>
      <c r="D1105" s="9"/>
      <c r="E1105" s="8">
        <v>2</v>
      </c>
      <c r="F1105" s="8">
        <v>2</v>
      </c>
      <c r="G1105" s="8">
        <v>0</v>
      </c>
      <c r="H1105" s="8">
        <v>2</v>
      </c>
      <c r="I1105" s="8">
        <v>2</v>
      </c>
      <c r="J1105" s="8">
        <v>2</v>
      </c>
      <c r="K1105" s="8">
        <v>2</v>
      </c>
      <c r="L1105" s="8">
        <v>2</v>
      </c>
      <c r="M1105" s="8">
        <v>2</v>
      </c>
      <c r="N1105" s="8">
        <v>0</v>
      </c>
      <c r="O1105" s="8">
        <v>2</v>
      </c>
      <c r="P1105" s="8">
        <v>2</v>
      </c>
      <c r="Q1105" s="8">
        <v>2</v>
      </c>
      <c r="R1105" s="8">
        <v>2</v>
      </c>
      <c r="S1105" s="8">
        <v>2</v>
      </c>
      <c r="T1105" s="8">
        <v>2</v>
      </c>
      <c r="U1105" s="8">
        <v>0</v>
      </c>
      <c r="V1105" s="8">
        <v>2</v>
      </c>
      <c r="W1105" s="8">
        <v>2</v>
      </c>
      <c r="X1105" s="8">
        <v>2</v>
      </c>
      <c r="Y1105" s="8">
        <v>2</v>
      </c>
      <c r="Z1105" s="8">
        <v>2</v>
      </c>
      <c r="AA1105" s="8">
        <v>2</v>
      </c>
      <c r="AB1105" s="8">
        <v>0</v>
      </c>
      <c r="AC1105" s="8">
        <v>2</v>
      </c>
      <c r="AD1105" s="8">
        <v>2</v>
      </c>
      <c r="AE1105" s="8">
        <v>2</v>
      </c>
      <c r="AF1105" s="8">
        <v>2</v>
      </c>
      <c r="AG1105" s="8">
        <v>2</v>
      </c>
      <c r="AH1105" s="8">
        <v>2</v>
      </c>
      <c r="AI1105" s="8">
        <v>0</v>
      </c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11" t="s">
        <v>249</v>
      </c>
    </row>
    <row r="1106" spans="1:46" ht="15.1" customHeight="1">
      <c r="A1106" s="8"/>
      <c r="B1106" s="9"/>
      <c r="C1106" s="8"/>
      <c r="D1106" s="9"/>
      <c r="E1106" s="8">
        <v>1</v>
      </c>
      <c r="F1106" s="8">
        <v>1</v>
      </c>
      <c r="G1106" s="8">
        <v>0</v>
      </c>
      <c r="H1106" s="8">
        <v>1</v>
      </c>
      <c r="I1106" s="8">
        <v>1</v>
      </c>
      <c r="J1106" s="8">
        <v>1</v>
      </c>
      <c r="K1106" s="8">
        <v>1</v>
      </c>
      <c r="L1106" s="8">
        <v>1</v>
      </c>
      <c r="M1106" s="8">
        <v>1</v>
      </c>
      <c r="N1106" s="8">
        <v>0</v>
      </c>
      <c r="O1106" s="8">
        <v>1</v>
      </c>
      <c r="P1106" s="8">
        <v>1</v>
      </c>
      <c r="Q1106" s="8">
        <v>1</v>
      </c>
      <c r="R1106" s="8">
        <v>1</v>
      </c>
      <c r="S1106" s="8">
        <v>1</v>
      </c>
      <c r="T1106" s="8">
        <v>1</v>
      </c>
      <c r="U1106" s="8">
        <v>0</v>
      </c>
      <c r="V1106" s="8">
        <v>1</v>
      </c>
      <c r="W1106" s="8">
        <v>1</v>
      </c>
      <c r="X1106" s="8">
        <v>1</v>
      </c>
      <c r="Y1106" s="8">
        <v>1</v>
      </c>
      <c r="Z1106" s="8">
        <v>1</v>
      </c>
      <c r="AA1106" s="8">
        <v>1</v>
      </c>
      <c r="AB1106" s="8">
        <v>0</v>
      </c>
      <c r="AC1106" s="8">
        <v>1</v>
      </c>
      <c r="AD1106" s="8">
        <v>1</v>
      </c>
      <c r="AE1106" s="8">
        <v>1</v>
      </c>
      <c r="AF1106" s="8">
        <v>1</v>
      </c>
      <c r="AG1106" s="8">
        <v>1</v>
      </c>
      <c r="AH1106" s="8">
        <v>1</v>
      </c>
      <c r="AI1106" s="8">
        <v>0</v>
      </c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11" t="s">
        <v>249</v>
      </c>
    </row>
    <row r="1107" spans="1:46" ht="15.1" customHeight="1">
      <c r="A1107" s="8">
        <v>368</v>
      </c>
      <c r="B1107" s="9" t="s">
        <v>995</v>
      </c>
      <c r="C1107" s="8" t="s">
        <v>996</v>
      </c>
      <c r="D1107" s="9" t="s">
        <v>451</v>
      </c>
      <c r="E1107" s="8" t="s">
        <v>54</v>
      </c>
      <c r="F1107" s="8" t="s">
        <v>54</v>
      </c>
      <c r="G1107" s="10" t="s">
        <v>67</v>
      </c>
      <c r="H1107" s="8" t="s">
        <v>54</v>
      </c>
      <c r="I1107" s="8" t="s">
        <v>54</v>
      </c>
      <c r="J1107" s="8" t="s">
        <v>54</v>
      </c>
      <c r="K1107" s="8" t="s">
        <v>54</v>
      </c>
      <c r="L1107" s="8" t="s">
        <v>54</v>
      </c>
      <c r="M1107" s="8" t="s">
        <v>54</v>
      </c>
      <c r="N1107" s="10" t="s">
        <v>67</v>
      </c>
      <c r="O1107" s="8" t="s">
        <v>54</v>
      </c>
      <c r="P1107" s="12" t="s">
        <v>55</v>
      </c>
      <c r="Q1107" s="12" t="s">
        <v>55</v>
      </c>
      <c r="R1107" s="8" t="s">
        <v>54</v>
      </c>
      <c r="S1107" s="8" t="s">
        <v>54</v>
      </c>
      <c r="T1107" s="8" t="s">
        <v>54</v>
      </c>
      <c r="U1107" s="10" t="s">
        <v>67</v>
      </c>
      <c r="V1107" s="8" t="s">
        <v>54</v>
      </c>
      <c r="W1107" s="8" t="s">
        <v>54</v>
      </c>
      <c r="X1107" s="8" t="s">
        <v>54</v>
      </c>
      <c r="Y1107" s="8" t="s">
        <v>54</v>
      </c>
      <c r="Z1107" s="8" t="s">
        <v>54</v>
      </c>
      <c r="AA1107" s="8" t="s">
        <v>54</v>
      </c>
      <c r="AB1107" s="10" t="s">
        <v>67</v>
      </c>
      <c r="AC1107" s="8" t="s">
        <v>54</v>
      </c>
      <c r="AD1107" s="8" t="s">
        <v>54</v>
      </c>
      <c r="AE1107" s="8" t="s">
        <v>54</v>
      </c>
      <c r="AF1107" s="8" t="s">
        <v>54</v>
      </c>
      <c r="AG1107" s="8" t="s">
        <v>54</v>
      </c>
      <c r="AH1107" s="8" t="s">
        <v>54</v>
      </c>
      <c r="AI1107" s="10" t="s">
        <v>67</v>
      </c>
      <c r="AJ1107" s="8">
        <f>COUNTIF($E$1107:$AI$1107,"P")</f>
        <v>24</v>
      </c>
      <c r="AK1107" s="8">
        <f>COUNTIF($E$1107:$AI$1107,"A")</f>
        <v>2</v>
      </c>
      <c r="AL1107" s="8">
        <f>SUM($E$1108:$AI$1108)</f>
        <v>46</v>
      </c>
      <c r="AM1107" s="8">
        <f>SUM($E$1109:$AI$1109)</f>
        <v>23</v>
      </c>
      <c r="AN1107" s="8">
        <f>AL1107+AM1107</f>
        <v>69</v>
      </c>
      <c r="AO1107" s="8">
        <f>COUNTIF($E$1107:$AI$1107,"CL")</f>
        <v>0</v>
      </c>
      <c r="AP1107" s="8">
        <f>COUNTIF($E$1107:$AI$1107,"SL")</f>
        <v>0</v>
      </c>
      <c r="AQ1107" s="8">
        <f>COUNTIF($E$1107:$AI$1107,"EL")</f>
        <v>0</v>
      </c>
      <c r="AR1107" s="8">
        <f>COUNTIF($E$1107:$AI$1107,"H")</f>
        <v>0</v>
      </c>
      <c r="AS1107" s="8"/>
      <c r="AT1107" s="11" t="s">
        <v>249</v>
      </c>
    </row>
    <row r="1108" spans="1:46" ht="15.1" customHeight="1">
      <c r="A1108" s="8"/>
      <c r="B1108" s="9"/>
      <c r="C1108" s="8"/>
      <c r="D1108" s="9"/>
      <c r="E1108" s="8">
        <v>0</v>
      </c>
      <c r="F1108" s="8">
        <v>2</v>
      </c>
      <c r="G1108" s="8">
        <v>0</v>
      </c>
      <c r="H1108" s="8">
        <v>2</v>
      </c>
      <c r="I1108" s="8">
        <v>2</v>
      </c>
      <c r="J1108" s="8">
        <v>2</v>
      </c>
      <c r="K1108" s="8">
        <v>2</v>
      </c>
      <c r="L1108" s="8">
        <v>2</v>
      </c>
      <c r="M1108" s="8">
        <v>2</v>
      </c>
      <c r="N1108" s="8">
        <v>0</v>
      </c>
      <c r="O1108" s="8">
        <v>2</v>
      </c>
      <c r="P1108" s="8">
        <v>0</v>
      </c>
      <c r="Q1108" s="8">
        <v>0</v>
      </c>
      <c r="R1108" s="8">
        <v>2</v>
      </c>
      <c r="S1108" s="8">
        <v>2</v>
      </c>
      <c r="T1108" s="8">
        <v>2</v>
      </c>
      <c r="U1108" s="8">
        <v>0</v>
      </c>
      <c r="V1108" s="8">
        <v>2</v>
      </c>
      <c r="W1108" s="8">
        <v>2</v>
      </c>
      <c r="X1108" s="8">
        <v>2</v>
      </c>
      <c r="Y1108" s="8">
        <v>2</v>
      </c>
      <c r="Z1108" s="8">
        <v>2</v>
      </c>
      <c r="AA1108" s="8">
        <v>2</v>
      </c>
      <c r="AB1108" s="8">
        <v>0</v>
      </c>
      <c r="AC1108" s="8">
        <v>2</v>
      </c>
      <c r="AD1108" s="8">
        <v>2</v>
      </c>
      <c r="AE1108" s="8">
        <v>2</v>
      </c>
      <c r="AF1108" s="8">
        <v>2</v>
      </c>
      <c r="AG1108" s="8">
        <v>2</v>
      </c>
      <c r="AH1108" s="8">
        <v>2</v>
      </c>
      <c r="AI1108" s="8">
        <v>0</v>
      </c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11" t="s">
        <v>249</v>
      </c>
    </row>
    <row r="1109" spans="1:46" ht="15.1" customHeight="1">
      <c r="A1109" s="8"/>
      <c r="B1109" s="9"/>
      <c r="C1109" s="8"/>
      <c r="D1109" s="9"/>
      <c r="E1109" s="8">
        <v>0</v>
      </c>
      <c r="F1109" s="8">
        <v>1</v>
      </c>
      <c r="G1109" s="8">
        <v>0</v>
      </c>
      <c r="H1109" s="8">
        <v>1</v>
      </c>
      <c r="I1109" s="8">
        <v>1</v>
      </c>
      <c r="J1109" s="8">
        <v>1</v>
      </c>
      <c r="K1109" s="8">
        <v>1</v>
      </c>
      <c r="L1109" s="8">
        <v>1</v>
      </c>
      <c r="M1109" s="8">
        <v>1</v>
      </c>
      <c r="N1109" s="8">
        <v>0</v>
      </c>
      <c r="O1109" s="8">
        <v>1</v>
      </c>
      <c r="P1109" s="8">
        <v>0</v>
      </c>
      <c r="Q1109" s="8">
        <v>0</v>
      </c>
      <c r="R1109" s="8">
        <v>1</v>
      </c>
      <c r="S1109" s="8">
        <v>1</v>
      </c>
      <c r="T1109" s="8">
        <v>1</v>
      </c>
      <c r="U1109" s="8">
        <v>0</v>
      </c>
      <c r="V1109" s="8">
        <v>1</v>
      </c>
      <c r="W1109" s="8">
        <v>1</v>
      </c>
      <c r="X1109" s="8">
        <v>1</v>
      </c>
      <c r="Y1109" s="8">
        <v>1</v>
      </c>
      <c r="Z1109" s="8">
        <v>1</v>
      </c>
      <c r="AA1109" s="8">
        <v>1</v>
      </c>
      <c r="AB1109" s="8">
        <v>0</v>
      </c>
      <c r="AC1109" s="8">
        <v>1</v>
      </c>
      <c r="AD1109" s="8">
        <v>1</v>
      </c>
      <c r="AE1109" s="8">
        <v>1</v>
      </c>
      <c r="AF1109" s="8">
        <v>1</v>
      </c>
      <c r="AG1109" s="8">
        <v>1</v>
      </c>
      <c r="AH1109" s="8">
        <v>1</v>
      </c>
      <c r="AI1109" s="8">
        <v>0</v>
      </c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11" t="s">
        <v>249</v>
      </c>
    </row>
    <row r="1110" spans="1:46" ht="15.1" customHeight="1">
      <c r="A1110" s="8">
        <v>369</v>
      </c>
      <c r="B1110" s="9" t="s">
        <v>997</v>
      </c>
      <c r="C1110" s="8" t="s">
        <v>998</v>
      </c>
      <c r="D1110" s="9" t="s">
        <v>451</v>
      </c>
      <c r="E1110" s="8" t="s">
        <v>54</v>
      </c>
      <c r="F1110" s="8" t="s">
        <v>54</v>
      </c>
      <c r="G1110" s="10" t="s">
        <v>67</v>
      </c>
      <c r="H1110" s="8" t="s">
        <v>54</v>
      </c>
      <c r="I1110" s="8" t="s">
        <v>54</v>
      </c>
      <c r="J1110" s="8" t="s">
        <v>54</v>
      </c>
      <c r="K1110" s="8" t="s">
        <v>54</v>
      </c>
      <c r="L1110" s="8" t="s">
        <v>54</v>
      </c>
      <c r="M1110" s="8" t="s">
        <v>54</v>
      </c>
      <c r="N1110" s="10" t="s">
        <v>67</v>
      </c>
      <c r="O1110" s="8" t="s">
        <v>54</v>
      </c>
      <c r="P1110" s="8" t="s">
        <v>54</v>
      </c>
      <c r="Q1110" s="8" t="s">
        <v>54</v>
      </c>
      <c r="R1110" s="8" t="s">
        <v>54</v>
      </c>
      <c r="S1110" s="8" t="s">
        <v>54</v>
      </c>
      <c r="T1110" s="8" t="s">
        <v>54</v>
      </c>
      <c r="U1110" s="10" t="s">
        <v>67</v>
      </c>
      <c r="V1110" s="8" t="s">
        <v>54</v>
      </c>
      <c r="W1110" s="8" t="s">
        <v>54</v>
      </c>
      <c r="X1110" s="8" t="s">
        <v>54</v>
      </c>
      <c r="Y1110" s="8" t="s">
        <v>54</v>
      </c>
      <c r="Z1110" s="8" t="s">
        <v>54</v>
      </c>
      <c r="AA1110" s="8" t="s">
        <v>54</v>
      </c>
      <c r="AB1110" s="10" t="s">
        <v>67</v>
      </c>
      <c r="AC1110" s="8" t="s">
        <v>54</v>
      </c>
      <c r="AD1110" s="8" t="s">
        <v>54</v>
      </c>
      <c r="AE1110" s="8" t="s">
        <v>54</v>
      </c>
      <c r="AF1110" s="8" t="s">
        <v>54</v>
      </c>
      <c r="AG1110" s="8" t="s">
        <v>54</v>
      </c>
      <c r="AH1110" s="8" t="s">
        <v>54</v>
      </c>
      <c r="AI1110" s="10" t="s">
        <v>67</v>
      </c>
      <c r="AJ1110" s="8">
        <f>COUNTIF($E$1110:$AI$1110,"P")</f>
        <v>26</v>
      </c>
      <c r="AK1110" s="8">
        <f>COUNTIF($E$1110:$AI$1110,"A")</f>
        <v>0</v>
      </c>
      <c r="AL1110" s="8">
        <f>SUM($E$1111:$AI$1111)</f>
        <v>48</v>
      </c>
      <c r="AM1110" s="8">
        <f>SUM($E$1112:$AI$1112)</f>
        <v>24</v>
      </c>
      <c r="AN1110" s="8">
        <f>AL1110+AM1110</f>
        <v>72</v>
      </c>
      <c r="AO1110" s="8">
        <f>COUNTIF($E$1110:$AI$1110,"CL")</f>
        <v>0</v>
      </c>
      <c r="AP1110" s="8">
        <f>COUNTIF($E$1110:$AI$1110,"SL")</f>
        <v>0</v>
      </c>
      <c r="AQ1110" s="8">
        <f>COUNTIF($E$1110:$AI$1110,"EL")</f>
        <v>0</v>
      </c>
      <c r="AR1110" s="8">
        <f>COUNTIF($E$1110:$AI$1110,"H")</f>
        <v>0</v>
      </c>
      <c r="AS1110" s="8"/>
      <c r="AT1110" s="11" t="s">
        <v>249</v>
      </c>
    </row>
    <row r="1111" spans="1:46" ht="15.1" customHeight="1">
      <c r="A1111" s="8"/>
      <c r="B1111" s="9"/>
      <c r="C1111" s="8"/>
      <c r="D1111" s="9"/>
      <c r="E1111" s="8">
        <v>0</v>
      </c>
      <c r="F1111" s="8">
        <v>2</v>
      </c>
      <c r="G1111" s="8">
        <v>0</v>
      </c>
      <c r="H1111" s="8">
        <v>2</v>
      </c>
      <c r="I1111" s="8">
        <v>2</v>
      </c>
      <c r="J1111" s="8">
        <v>2</v>
      </c>
      <c r="K1111" s="8">
        <v>2</v>
      </c>
      <c r="L1111" s="8">
        <v>2</v>
      </c>
      <c r="M1111" s="8">
        <v>2</v>
      </c>
      <c r="N1111" s="8">
        <v>0</v>
      </c>
      <c r="O1111" s="8">
        <v>2</v>
      </c>
      <c r="P1111" s="8">
        <v>2</v>
      </c>
      <c r="Q1111" s="8">
        <v>2</v>
      </c>
      <c r="R1111" s="8">
        <v>2</v>
      </c>
      <c r="S1111" s="8">
        <v>2</v>
      </c>
      <c r="T1111" s="8">
        <v>2</v>
      </c>
      <c r="U1111" s="8">
        <v>0</v>
      </c>
      <c r="V1111" s="8">
        <v>2</v>
      </c>
      <c r="W1111" s="8">
        <v>2</v>
      </c>
      <c r="X1111" s="8">
        <v>2</v>
      </c>
      <c r="Y1111" s="8">
        <v>2</v>
      </c>
      <c r="Z1111" s="8">
        <v>0</v>
      </c>
      <c r="AA1111" s="8">
        <v>2</v>
      </c>
      <c r="AB1111" s="8">
        <v>0</v>
      </c>
      <c r="AC1111" s="8">
        <v>2</v>
      </c>
      <c r="AD1111" s="8">
        <v>2</v>
      </c>
      <c r="AE1111" s="8">
        <v>2</v>
      </c>
      <c r="AF1111" s="8">
        <v>2</v>
      </c>
      <c r="AG1111" s="8">
        <v>2</v>
      </c>
      <c r="AH1111" s="8">
        <v>2</v>
      </c>
      <c r="AI1111" s="8">
        <v>0</v>
      </c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11" t="s">
        <v>249</v>
      </c>
    </row>
    <row r="1112" spans="1:46" ht="15.1" customHeight="1">
      <c r="A1112" s="8"/>
      <c r="B1112" s="9"/>
      <c r="C1112" s="8"/>
      <c r="D1112" s="9"/>
      <c r="E1112" s="8">
        <v>0</v>
      </c>
      <c r="F1112" s="8">
        <v>1</v>
      </c>
      <c r="G1112" s="8">
        <v>0</v>
      </c>
      <c r="H1112" s="8">
        <v>1</v>
      </c>
      <c r="I1112" s="8">
        <v>1</v>
      </c>
      <c r="J1112" s="8">
        <v>1</v>
      </c>
      <c r="K1112" s="8">
        <v>1</v>
      </c>
      <c r="L1112" s="8">
        <v>1</v>
      </c>
      <c r="M1112" s="8">
        <v>1</v>
      </c>
      <c r="N1112" s="8">
        <v>0</v>
      </c>
      <c r="O1112" s="8">
        <v>1</v>
      </c>
      <c r="P1112" s="8">
        <v>1</v>
      </c>
      <c r="Q1112" s="8">
        <v>1</v>
      </c>
      <c r="R1112" s="8">
        <v>1</v>
      </c>
      <c r="S1112" s="8">
        <v>1</v>
      </c>
      <c r="T1112" s="8">
        <v>1</v>
      </c>
      <c r="U1112" s="8">
        <v>0</v>
      </c>
      <c r="V1112" s="8">
        <v>1</v>
      </c>
      <c r="W1112" s="8">
        <v>1</v>
      </c>
      <c r="X1112" s="8">
        <v>1</v>
      </c>
      <c r="Y1112" s="8">
        <v>1</v>
      </c>
      <c r="Z1112" s="8">
        <v>0</v>
      </c>
      <c r="AA1112" s="8">
        <v>1</v>
      </c>
      <c r="AB1112" s="8">
        <v>0</v>
      </c>
      <c r="AC1112" s="8">
        <v>1</v>
      </c>
      <c r="AD1112" s="8">
        <v>1</v>
      </c>
      <c r="AE1112" s="8">
        <v>1</v>
      </c>
      <c r="AF1112" s="8">
        <v>1</v>
      </c>
      <c r="AG1112" s="8">
        <v>1</v>
      </c>
      <c r="AH1112" s="8">
        <v>1</v>
      </c>
      <c r="AI1112" s="8">
        <v>0</v>
      </c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11" t="s">
        <v>249</v>
      </c>
    </row>
    <row r="1113" spans="1:46" ht="15.1" customHeight="1">
      <c r="A1113" s="8">
        <v>370</v>
      </c>
      <c r="B1113" s="9" t="s">
        <v>999</v>
      </c>
      <c r="C1113" s="8" t="s">
        <v>1000</v>
      </c>
      <c r="D1113" s="9" t="s">
        <v>451</v>
      </c>
      <c r="E1113" s="8" t="s">
        <v>54</v>
      </c>
      <c r="F1113" s="8" t="s">
        <v>54</v>
      </c>
      <c r="G1113" s="10" t="s">
        <v>67</v>
      </c>
      <c r="H1113" s="8" t="s">
        <v>54</v>
      </c>
      <c r="I1113" s="8" t="s">
        <v>54</v>
      </c>
      <c r="J1113" s="8" t="s">
        <v>54</v>
      </c>
      <c r="K1113" s="8" t="s">
        <v>54</v>
      </c>
      <c r="L1113" s="8" t="s">
        <v>54</v>
      </c>
      <c r="M1113" s="8" t="s">
        <v>54</v>
      </c>
      <c r="N1113" s="10" t="s">
        <v>67</v>
      </c>
      <c r="O1113" s="8" t="s">
        <v>54</v>
      </c>
      <c r="P1113" s="8" t="s">
        <v>54</v>
      </c>
      <c r="Q1113" s="8" t="s">
        <v>54</v>
      </c>
      <c r="R1113" s="8" t="s">
        <v>54</v>
      </c>
      <c r="S1113" s="8" t="s">
        <v>54</v>
      </c>
      <c r="T1113" s="8" t="s">
        <v>54</v>
      </c>
      <c r="U1113" s="10" t="s">
        <v>67</v>
      </c>
      <c r="V1113" s="12" t="s">
        <v>55</v>
      </c>
      <c r="W1113" s="12" t="s">
        <v>55</v>
      </c>
      <c r="X1113" s="12" t="s">
        <v>55</v>
      </c>
      <c r="Y1113" s="12" t="s">
        <v>55</v>
      </c>
      <c r="Z1113" s="8" t="s">
        <v>54</v>
      </c>
      <c r="AA1113" s="8" t="s">
        <v>54</v>
      </c>
      <c r="AB1113" s="10" t="s">
        <v>67</v>
      </c>
      <c r="AC1113" s="8" t="s">
        <v>54</v>
      </c>
      <c r="AD1113" s="8" t="s">
        <v>54</v>
      </c>
      <c r="AE1113" s="8" t="s">
        <v>54</v>
      </c>
      <c r="AF1113" s="8" t="s">
        <v>54</v>
      </c>
      <c r="AG1113" s="8" t="s">
        <v>54</v>
      </c>
      <c r="AH1113" s="8" t="s">
        <v>54</v>
      </c>
      <c r="AI1113" s="10" t="s">
        <v>67</v>
      </c>
      <c r="AJ1113" s="8">
        <f>COUNTIF($E$1113:$AI$1113,"P")</f>
        <v>22</v>
      </c>
      <c r="AK1113" s="8">
        <f>COUNTIF($E$1113:$AI$1113,"A")</f>
        <v>4</v>
      </c>
      <c r="AL1113" s="8">
        <f>SUM($E$1114:$AI$1114)</f>
        <v>42</v>
      </c>
      <c r="AM1113" s="8">
        <f>SUM($E$1115:$AI$1115)</f>
        <v>21</v>
      </c>
      <c r="AN1113" s="8">
        <f>AL1113+AM1113</f>
        <v>63</v>
      </c>
      <c r="AO1113" s="8">
        <f>COUNTIF($E$1113:$AI$1113,"CL")</f>
        <v>0</v>
      </c>
      <c r="AP1113" s="8">
        <f>COUNTIF($E$1113:$AI$1113,"SL")</f>
        <v>0</v>
      </c>
      <c r="AQ1113" s="8">
        <f>COUNTIF($E$1113:$AI$1113,"EL")</f>
        <v>0</v>
      </c>
      <c r="AR1113" s="8">
        <f>COUNTIF($E$1113:$AI$1113,"H")</f>
        <v>0</v>
      </c>
      <c r="AS1113" s="8"/>
      <c r="AT1113" s="11" t="s">
        <v>249</v>
      </c>
    </row>
    <row r="1114" spans="1:46" ht="15.1" customHeight="1">
      <c r="A1114" s="8"/>
      <c r="B1114" s="9"/>
      <c r="C1114" s="8"/>
      <c r="D1114" s="9"/>
      <c r="E1114" s="8">
        <v>2</v>
      </c>
      <c r="F1114" s="8">
        <v>2</v>
      </c>
      <c r="G1114" s="8">
        <v>0</v>
      </c>
      <c r="H1114" s="8">
        <v>2</v>
      </c>
      <c r="I1114" s="8">
        <v>2</v>
      </c>
      <c r="J1114" s="8">
        <v>2</v>
      </c>
      <c r="K1114" s="8">
        <v>2</v>
      </c>
      <c r="L1114" s="8">
        <v>2</v>
      </c>
      <c r="M1114" s="8">
        <v>2</v>
      </c>
      <c r="N1114" s="8">
        <v>0</v>
      </c>
      <c r="O1114" s="8">
        <v>2</v>
      </c>
      <c r="P1114" s="8">
        <v>2</v>
      </c>
      <c r="Q1114" s="8">
        <v>2</v>
      </c>
      <c r="R1114" s="8">
        <v>2</v>
      </c>
      <c r="S1114" s="8">
        <v>2</v>
      </c>
      <c r="T1114" s="8">
        <v>2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2</v>
      </c>
      <c r="AB1114" s="8">
        <v>0</v>
      </c>
      <c r="AC1114" s="8">
        <v>2</v>
      </c>
      <c r="AD1114" s="8">
        <v>2</v>
      </c>
      <c r="AE1114" s="8">
        <v>2</v>
      </c>
      <c r="AF1114" s="8">
        <v>2</v>
      </c>
      <c r="AG1114" s="8">
        <v>2</v>
      </c>
      <c r="AH1114" s="8">
        <v>2</v>
      </c>
      <c r="AI1114" s="8">
        <v>0</v>
      </c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11" t="s">
        <v>249</v>
      </c>
    </row>
    <row r="1115" spans="1:46" ht="15.1" customHeight="1">
      <c r="A1115" s="8"/>
      <c r="B1115" s="9"/>
      <c r="C1115" s="8"/>
      <c r="D1115" s="9"/>
      <c r="E1115" s="8">
        <v>1</v>
      </c>
      <c r="F1115" s="8">
        <v>1</v>
      </c>
      <c r="G1115" s="8">
        <v>0</v>
      </c>
      <c r="H1115" s="8">
        <v>1</v>
      </c>
      <c r="I1115" s="8">
        <v>1</v>
      </c>
      <c r="J1115" s="8">
        <v>1</v>
      </c>
      <c r="K1115" s="8">
        <v>1</v>
      </c>
      <c r="L1115" s="8">
        <v>1</v>
      </c>
      <c r="M1115" s="8">
        <v>1</v>
      </c>
      <c r="N1115" s="8">
        <v>0</v>
      </c>
      <c r="O1115" s="8">
        <v>1</v>
      </c>
      <c r="P1115" s="8">
        <v>1</v>
      </c>
      <c r="Q1115" s="8">
        <v>1</v>
      </c>
      <c r="R1115" s="8">
        <v>1</v>
      </c>
      <c r="S1115" s="8">
        <v>1</v>
      </c>
      <c r="T1115" s="8">
        <v>1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1</v>
      </c>
      <c r="AB1115" s="8">
        <v>0</v>
      </c>
      <c r="AC1115" s="8">
        <v>1</v>
      </c>
      <c r="AD1115" s="8">
        <v>1</v>
      </c>
      <c r="AE1115" s="8">
        <v>1</v>
      </c>
      <c r="AF1115" s="8">
        <v>1</v>
      </c>
      <c r="AG1115" s="8">
        <v>1</v>
      </c>
      <c r="AH1115" s="8">
        <v>1</v>
      </c>
      <c r="AI1115" s="8">
        <v>0</v>
      </c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11" t="s">
        <v>249</v>
      </c>
    </row>
    <row r="1116" spans="1:46" ht="15.1" customHeight="1">
      <c r="A1116" s="8">
        <v>371</v>
      </c>
      <c r="B1116" s="9" t="s">
        <v>1001</v>
      </c>
      <c r="C1116" s="8" t="s">
        <v>1002</v>
      </c>
      <c r="D1116" s="9" t="s">
        <v>451</v>
      </c>
      <c r="E1116" s="8" t="s">
        <v>54</v>
      </c>
      <c r="F1116" s="8" t="s">
        <v>54</v>
      </c>
      <c r="G1116" s="10" t="s">
        <v>67</v>
      </c>
      <c r="H1116" s="8" t="s">
        <v>54</v>
      </c>
      <c r="I1116" s="8" t="s">
        <v>54</v>
      </c>
      <c r="J1116" s="8" t="s">
        <v>54</v>
      </c>
      <c r="K1116" s="8" t="s">
        <v>54</v>
      </c>
      <c r="L1116" s="8" t="s">
        <v>54</v>
      </c>
      <c r="M1116" s="8" t="s">
        <v>54</v>
      </c>
      <c r="N1116" s="10" t="s">
        <v>67</v>
      </c>
      <c r="O1116" s="8" t="s">
        <v>54</v>
      </c>
      <c r="P1116" s="8" t="s">
        <v>54</v>
      </c>
      <c r="Q1116" s="8" t="s">
        <v>54</v>
      </c>
      <c r="R1116" s="8" t="s">
        <v>54</v>
      </c>
      <c r="S1116" s="8" t="s">
        <v>54</v>
      </c>
      <c r="T1116" s="8" t="s">
        <v>54</v>
      </c>
      <c r="U1116" s="10" t="s">
        <v>67</v>
      </c>
      <c r="V1116" s="8" t="s">
        <v>54</v>
      </c>
      <c r="W1116" s="8" t="s">
        <v>54</v>
      </c>
      <c r="X1116" s="8" t="s">
        <v>54</v>
      </c>
      <c r="Y1116" s="8" t="s">
        <v>54</v>
      </c>
      <c r="Z1116" s="8" t="s">
        <v>54</v>
      </c>
      <c r="AA1116" s="8" t="s">
        <v>54</v>
      </c>
      <c r="AB1116" s="10" t="s">
        <v>67</v>
      </c>
      <c r="AC1116" s="8" t="s">
        <v>54</v>
      </c>
      <c r="AD1116" s="8" t="s">
        <v>54</v>
      </c>
      <c r="AE1116" s="8" t="s">
        <v>54</v>
      </c>
      <c r="AF1116" s="8" t="s">
        <v>54</v>
      </c>
      <c r="AG1116" s="8" t="s">
        <v>54</v>
      </c>
      <c r="AH1116" s="8" t="s">
        <v>54</v>
      </c>
      <c r="AI1116" s="10" t="s">
        <v>67</v>
      </c>
      <c r="AJ1116" s="8">
        <f>COUNTIF($E$1116:$AI$1116,"P")</f>
        <v>26</v>
      </c>
      <c r="AK1116" s="8">
        <f>COUNTIF($E$1116:$AI$1116,"A")</f>
        <v>0</v>
      </c>
      <c r="AL1116" s="8">
        <f>SUM($E$1117:$AI$1117)</f>
        <v>52</v>
      </c>
      <c r="AM1116" s="8">
        <f>SUM($E$1118:$AI$1118)</f>
        <v>26</v>
      </c>
      <c r="AN1116" s="8">
        <f>AL1116+AM1116</f>
        <v>78</v>
      </c>
      <c r="AO1116" s="8">
        <f>COUNTIF($E$1116:$AI$1116,"CL")</f>
        <v>0</v>
      </c>
      <c r="AP1116" s="8">
        <f>COUNTIF($E$1116:$AI$1116,"SL")</f>
        <v>0</v>
      </c>
      <c r="AQ1116" s="8">
        <f>COUNTIF($E$1116:$AI$1116,"EL")</f>
        <v>0</v>
      </c>
      <c r="AR1116" s="8">
        <f>COUNTIF($E$1116:$AI$1116,"H")</f>
        <v>0</v>
      </c>
      <c r="AS1116" s="8"/>
      <c r="AT1116" s="11" t="s">
        <v>249</v>
      </c>
    </row>
    <row r="1117" spans="1:46" ht="15.1" customHeight="1">
      <c r="A1117" s="8"/>
      <c r="B1117" s="9"/>
      <c r="C1117" s="8"/>
      <c r="D1117" s="9"/>
      <c r="E1117" s="8">
        <v>2</v>
      </c>
      <c r="F1117" s="8">
        <v>2</v>
      </c>
      <c r="G1117" s="8">
        <v>0</v>
      </c>
      <c r="H1117" s="8">
        <v>2</v>
      </c>
      <c r="I1117" s="8">
        <v>2</v>
      </c>
      <c r="J1117" s="8">
        <v>2</v>
      </c>
      <c r="K1117" s="8">
        <v>2</v>
      </c>
      <c r="L1117" s="8">
        <v>2</v>
      </c>
      <c r="M1117" s="8">
        <v>2</v>
      </c>
      <c r="N1117" s="8">
        <v>0</v>
      </c>
      <c r="O1117" s="8">
        <v>2</v>
      </c>
      <c r="P1117" s="8">
        <v>2</v>
      </c>
      <c r="Q1117" s="8">
        <v>2</v>
      </c>
      <c r="R1117" s="8">
        <v>2</v>
      </c>
      <c r="S1117" s="8">
        <v>2</v>
      </c>
      <c r="T1117" s="8">
        <v>2</v>
      </c>
      <c r="U1117" s="8">
        <v>0</v>
      </c>
      <c r="V1117" s="8">
        <v>2</v>
      </c>
      <c r="W1117" s="8">
        <v>2</v>
      </c>
      <c r="X1117" s="8">
        <v>2</v>
      </c>
      <c r="Y1117" s="8">
        <v>2</v>
      </c>
      <c r="Z1117" s="8">
        <v>2</v>
      </c>
      <c r="AA1117" s="8">
        <v>2</v>
      </c>
      <c r="AB1117" s="8">
        <v>0</v>
      </c>
      <c r="AC1117" s="8">
        <v>2</v>
      </c>
      <c r="AD1117" s="8">
        <v>2</v>
      </c>
      <c r="AE1117" s="8">
        <v>2</v>
      </c>
      <c r="AF1117" s="8">
        <v>2</v>
      </c>
      <c r="AG1117" s="8">
        <v>2</v>
      </c>
      <c r="AH1117" s="8">
        <v>2</v>
      </c>
      <c r="AI1117" s="8">
        <v>0</v>
      </c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11" t="s">
        <v>249</v>
      </c>
    </row>
    <row r="1118" spans="1:46" ht="15.1" customHeight="1">
      <c r="A1118" s="8"/>
      <c r="B1118" s="9"/>
      <c r="C1118" s="8"/>
      <c r="D1118" s="9"/>
      <c r="E1118" s="8">
        <v>1</v>
      </c>
      <c r="F1118" s="8">
        <v>1</v>
      </c>
      <c r="G1118" s="8">
        <v>0</v>
      </c>
      <c r="H1118" s="8">
        <v>1</v>
      </c>
      <c r="I1118" s="8">
        <v>1</v>
      </c>
      <c r="J1118" s="8">
        <v>1</v>
      </c>
      <c r="K1118" s="8">
        <v>1</v>
      </c>
      <c r="L1118" s="8">
        <v>1</v>
      </c>
      <c r="M1118" s="8">
        <v>1</v>
      </c>
      <c r="N1118" s="8">
        <v>0</v>
      </c>
      <c r="O1118" s="8">
        <v>1</v>
      </c>
      <c r="P1118" s="8">
        <v>1</v>
      </c>
      <c r="Q1118" s="8">
        <v>1</v>
      </c>
      <c r="R1118" s="8">
        <v>1</v>
      </c>
      <c r="S1118" s="8">
        <v>1</v>
      </c>
      <c r="T1118" s="8">
        <v>1</v>
      </c>
      <c r="U1118" s="8">
        <v>0</v>
      </c>
      <c r="V1118" s="8">
        <v>1</v>
      </c>
      <c r="W1118" s="8">
        <v>1</v>
      </c>
      <c r="X1118" s="8">
        <v>1</v>
      </c>
      <c r="Y1118" s="8">
        <v>1</v>
      </c>
      <c r="Z1118" s="8">
        <v>1</v>
      </c>
      <c r="AA1118" s="8">
        <v>1</v>
      </c>
      <c r="AB1118" s="8">
        <v>0</v>
      </c>
      <c r="AC1118" s="8">
        <v>1</v>
      </c>
      <c r="AD1118" s="8">
        <v>1</v>
      </c>
      <c r="AE1118" s="8">
        <v>1</v>
      </c>
      <c r="AF1118" s="8">
        <v>1</v>
      </c>
      <c r="AG1118" s="8">
        <v>1</v>
      </c>
      <c r="AH1118" s="8">
        <v>1</v>
      </c>
      <c r="AI1118" s="8">
        <v>0</v>
      </c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11" t="s">
        <v>249</v>
      </c>
    </row>
    <row r="1119" spans="1:46" ht="15.1" customHeight="1">
      <c r="A1119" s="8">
        <v>372</v>
      </c>
      <c r="B1119" s="9" t="s">
        <v>1003</v>
      </c>
      <c r="C1119" s="8" t="s">
        <v>1004</v>
      </c>
      <c r="D1119" s="9" t="s">
        <v>451</v>
      </c>
      <c r="E1119" s="8" t="s">
        <v>54</v>
      </c>
      <c r="F1119" s="8" t="s">
        <v>54</v>
      </c>
      <c r="G1119" s="10" t="s">
        <v>67</v>
      </c>
      <c r="H1119" s="8" t="s">
        <v>54</v>
      </c>
      <c r="I1119" s="8" t="s">
        <v>54</v>
      </c>
      <c r="J1119" s="8" t="s">
        <v>54</v>
      </c>
      <c r="K1119" s="8" t="s">
        <v>54</v>
      </c>
      <c r="L1119" s="8" t="s">
        <v>54</v>
      </c>
      <c r="M1119" s="8" t="s">
        <v>54</v>
      </c>
      <c r="N1119" s="10" t="s">
        <v>67</v>
      </c>
      <c r="O1119" s="8" t="s">
        <v>54</v>
      </c>
      <c r="P1119" s="8" t="s">
        <v>54</v>
      </c>
      <c r="Q1119" s="8" t="s">
        <v>54</v>
      </c>
      <c r="R1119" s="8" t="s">
        <v>54</v>
      </c>
      <c r="S1119" s="8" t="s">
        <v>54</v>
      </c>
      <c r="T1119" s="8" t="s">
        <v>54</v>
      </c>
      <c r="U1119" s="10" t="s">
        <v>67</v>
      </c>
      <c r="V1119" s="8" t="s">
        <v>54</v>
      </c>
      <c r="W1119" s="8" t="s">
        <v>54</v>
      </c>
      <c r="X1119" s="8" t="s">
        <v>54</v>
      </c>
      <c r="Y1119" s="8" t="s">
        <v>54</v>
      </c>
      <c r="Z1119" s="8" t="s">
        <v>54</v>
      </c>
      <c r="AA1119" s="8" t="s">
        <v>54</v>
      </c>
      <c r="AB1119" s="10" t="s">
        <v>67</v>
      </c>
      <c r="AC1119" s="8" t="s">
        <v>54</v>
      </c>
      <c r="AD1119" s="8" t="s">
        <v>54</v>
      </c>
      <c r="AE1119" s="8" t="s">
        <v>54</v>
      </c>
      <c r="AF1119" s="8" t="s">
        <v>54</v>
      </c>
      <c r="AG1119" s="8" t="s">
        <v>54</v>
      </c>
      <c r="AH1119" s="8" t="s">
        <v>54</v>
      </c>
      <c r="AI1119" s="10" t="s">
        <v>67</v>
      </c>
      <c r="AJ1119" s="8">
        <f>COUNTIF($E$1119:$AI$1119,"P")</f>
        <v>26</v>
      </c>
      <c r="AK1119" s="8">
        <f>COUNTIF($E$1119:$AI$1119,"A")</f>
        <v>0</v>
      </c>
      <c r="AL1119" s="8">
        <f>SUM($E$1120:$AI$1120)</f>
        <v>46</v>
      </c>
      <c r="AM1119" s="8">
        <f>SUM($E$1121:$AI$1121)</f>
        <v>23</v>
      </c>
      <c r="AN1119" s="8">
        <f>AL1119+AM1119</f>
        <v>69</v>
      </c>
      <c r="AO1119" s="8">
        <f>COUNTIF($E$1119:$AI$1119,"CL")</f>
        <v>0</v>
      </c>
      <c r="AP1119" s="8">
        <f>COUNTIF($E$1119:$AI$1119,"SL")</f>
        <v>0</v>
      </c>
      <c r="AQ1119" s="8">
        <f>COUNTIF($E$1119:$AI$1119,"EL")</f>
        <v>0</v>
      </c>
      <c r="AR1119" s="8">
        <f>COUNTIF($E$1119:$AI$1119,"H")</f>
        <v>0</v>
      </c>
      <c r="AS1119" s="8"/>
      <c r="AT1119" s="11" t="s">
        <v>249</v>
      </c>
    </row>
    <row r="1120" spans="1:46" ht="15.1" customHeight="1">
      <c r="A1120" s="8"/>
      <c r="B1120" s="9"/>
      <c r="C1120" s="8"/>
      <c r="D1120" s="9"/>
      <c r="E1120" s="8">
        <v>0</v>
      </c>
      <c r="F1120" s="8">
        <v>0</v>
      </c>
      <c r="G1120" s="8">
        <v>0</v>
      </c>
      <c r="H1120" s="8">
        <v>2</v>
      </c>
      <c r="I1120" s="8">
        <v>2</v>
      </c>
      <c r="J1120" s="8">
        <v>0</v>
      </c>
      <c r="K1120" s="8">
        <v>2</v>
      </c>
      <c r="L1120" s="8">
        <v>2</v>
      </c>
      <c r="M1120" s="8">
        <v>2</v>
      </c>
      <c r="N1120" s="8">
        <v>0</v>
      </c>
      <c r="O1120" s="8">
        <v>2</v>
      </c>
      <c r="P1120" s="8">
        <v>2</v>
      </c>
      <c r="Q1120" s="8">
        <v>2</v>
      </c>
      <c r="R1120" s="8">
        <v>2</v>
      </c>
      <c r="S1120" s="8">
        <v>2</v>
      </c>
      <c r="T1120" s="8">
        <v>2</v>
      </c>
      <c r="U1120" s="8">
        <v>0</v>
      </c>
      <c r="V1120" s="8">
        <v>2</v>
      </c>
      <c r="W1120" s="8">
        <v>2</v>
      </c>
      <c r="X1120" s="8">
        <v>2</v>
      </c>
      <c r="Y1120" s="8">
        <v>2</v>
      </c>
      <c r="Z1120" s="8">
        <v>2</v>
      </c>
      <c r="AA1120" s="8">
        <v>2</v>
      </c>
      <c r="AB1120" s="8">
        <v>0</v>
      </c>
      <c r="AC1120" s="8">
        <v>2</v>
      </c>
      <c r="AD1120" s="8">
        <v>2</v>
      </c>
      <c r="AE1120" s="8">
        <v>2</v>
      </c>
      <c r="AF1120" s="8">
        <v>2</v>
      </c>
      <c r="AG1120" s="8">
        <v>2</v>
      </c>
      <c r="AH1120" s="8">
        <v>2</v>
      </c>
      <c r="AI1120" s="8">
        <v>0</v>
      </c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11" t="s">
        <v>249</v>
      </c>
    </row>
    <row r="1121" spans="1:46" ht="15.1" customHeight="1">
      <c r="A1121" s="8"/>
      <c r="B1121" s="9"/>
      <c r="C1121" s="8"/>
      <c r="D1121" s="9"/>
      <c r="E1121" s="8">
        <v>0</v>
      </c>
      <c r="F1121" s="8">
        <v>0</v>
      </c>
      <c r="G1121" s="8">
        <v>0</v>
      </c>
      <c r="H1121" s="8">
        <v>1</v>
      </c>
      <c r="I1121" s="8">
        <v>1</v>
      </c>
      <c r="J1121" s="8">
        <v>0</v>
      </c>
      <c r="K1121" s="8">
        <v>1</v>
      </c>
      <c r="L1121" s="8">
        <v>1</v>
      </c>
      <c r="M1121" s="8">
        <v>1</v>
      </c>
      <c r="N1121" s="8">
        <v>0</v>
      </c>
      <c r="O1121" s="8">
        <v>1</v>
      </c>
      <c r="P1121" s="8">
        <v>1</v>
      </c>
      <c r="Q1121" s="8">
        <v>1</v>
      </c>
      <c r="R1121" s="8">
        <v>1</v>
      </c>
      <c r="S1121" s="8">
        <v>1</v>
      </c>
      <c r="T1121" s="8">
        <v>1</v>
      </c>
      <c r="U1121" s="8">
        <v>0</v>
      </c>
      <c r="V1121" s="8">
        <v>1</v>
      </c>
      <c r="W1121" s="8">
        <v>1</v>
      </c>
      <c r="X1121" s="8">
        <v>1</v>
      </c>
      <c r="Y1121" s="8">
        <v>1</v>
      </c>
      <c r="Z1121" s="8">
        <v>1</v>
      </c>
      <c r="AA1121" s="8">
        <v>1</v>
      </c>
      <c r="AB1121" s="8">
        <v>0</v>
      </c>
      <c r="AC1121" s="8">
        <v>1</v>
      </c>
      <c r="AD1121" s="8">
        <v>1</v>
      </c>
      <c r="AE1121" s="8">
        <v>1</v>
      </c>
      <c r="AF1121" s="8">
        <v>1</v>
      </c>
      <c r="AG1121" s="8">
        <v>1</v>
      </c>
      <c r="AH1121" s="8">
        <v>1</v>
      </c>
      <c r="AI1121" s="8">
        <v>0</v>
      </c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11" t="s">
        <v>249</v>
      </c>
    </row>
    <row r="1122" spans="1:46" ht="15.1" customHeight="1">
      <c r="A1122" s="8">
        <v>373</v>
      </c>
      <c r="B1122" s="9" t="s">
        <v>1005</v>
      </c>
      <c r="C1122" s="8" t="s">
        <v>1006</v>
      </c>
      <c r="D1122" s="9" t="s">
        <v>451</v>
      </c>
      <c r="E1122" s="8" t="s">
        <v>54</v>
      </c>
      <c r="F1122" s="8" t="s">
        <v>54</v>
      </c>
      <c r="G1122" s="10" t="s">
        <v>67</v>
      </c>
      <c r="H1122" s="8" t="s">
        <v>54</v>
      </c>
      <c r="I1122" s="8" t="s">
        <v>54</v>
      </c>
      <c r="J1122" s="8" t="s">
        <v>54</v>
      </c>
      <c r="K1122" s="8" t="s">
        <v>54</v>
      </c>
      <c r="L1122" s="8" t="s">
        <v>54</v>
      </c>
      <c r="M1122" s="8" t="s">
        <v>54</v>
      </c>
      <c r="N1122" s="10" t="s">
        <v>67</v>
      </c>
      <c r="O1122" s="8" t="s">
        <v>54</v>
      </c>
      <c r="P1122" s="8" t="s">
        <v>54</v>
      </c>
      <c r="Q1122" s="8" t="s">
        <v>54</v>
      </c>
      <c r="R1122" s="8" t="s">
        <v>54</v>
      </c>
      <c r="S1122" s="8" t="s">
        <v>54</v>
      </c>
      <c r="T1122" s="8" t="s">
        <v>54</v>
      </c>
      <c r="U1122" s="10" t="s">
        <v>67</v>
      </c>
      <c r="V1122" s="8" t="s">
        <v>54</v>
      </c>
      <c r="W1122" s="8" t="s">
        <v>54</v>
      </c>
      <c r="X1122" s="8" t="s">
        <v>54</v>
      </c>
      <c r="Y1122" s="8" t="s">
        <v>54</v>
      </c>
      <c r="Z1122" s="8" t="s">
        <v>54</v>
      </c>
      <c r="AA1122" s="8" t="s">
        <v>54</v>
      </c>
      <c r="AB1122" s="10" t="s">
        <v>67</v>
      </c>
      <c r="AC1122" s="8" t="s">
        <v>54</v>
      </c>
      <c r="AD1122" s="8" t="s">
        <v>54</v>
      </c>
      <c r="AE1122" s="8" t="s">
        <v>54</v>
      </c>
      <c r="AF1122" s="8" t="s">
        <v>54</v>
      </c>
      <c r="AG1122" s="8" t="s">
        <v>54</v>
      </c>
      <c r="AH1122" s="8" t="s">
        <v>54</v>
      </c>
      <c r="AI1122" s="10" t="s">
        <v>67</v>
      </c>
      <c r="AJ1122" s="8">
        <f>COUNTIF($E$1122:$AI$1122,"P")</f>
        <v>26</v>
      </c>
      <c r="AK1122" s="8">
        <f>COUNTIF($E$1122:$AI$1122,"A")</f>
        <v>0</v>
      </c>
      <c r="AL1122" s="8">
        <f>SUM($E$1123:$AI$1123)</f>
        <v>50</v>
      </c>
      <c r="AM1122" s="8">
        <f>SUM($E$1124:$AI$1124)</f>
        <v>37</v>
      </c>
      <c r="AN1122" s="8">
        <f>AL1122+AM1122</f>
        <v>87</v>
      </c>
      <c r="AO1122" s="8">
        <f>COUNTIF($E$1122:$AI$1122,"CL")</f>
        <v>0</v>
      </c>
      <c r="AP1122" s="8">
        <f>COUNTIF($E$1122:$AI$1122,"SL")</f>
        <v>0</v>
      </c>
      <c r="AQ1122" s="8">
        <f>COUNTIF($E$1122:$AI$1122,"EL")</f>
        <v>0</v>
      </c>
      <c r="AR1122" s="8">
        <f>COUNTIF($E$1122:$AI$1122,"H")</f>
        <v>0</v>
      </c>
      <c r="AS1122" s="8"/>
      <c r="AT1122" s="11" t="s">
        <v>249</v>
      </c>
    </row>
    <row r="1123" spans="1:46" ht="15.1" customHeight="1">
      <c r="A1123" s="8"/>
      <c r="B1123" s="9"/>
      <c r="C1123" s="8"/>
      <c r="D1123" s="9"/>
      <c r="E1123" s="8">
        <v>2</v>
      </c>
      <c r="F1123" s="8">
        <v>2</v>
      </c>
      <c r="G1123" s="8">
        <v>0</v>
      </c>
      <c r="H1123" s="8">
        <v>2</v>
      </c>
      <c r="I1123" s="8">
        <v>2</v>
      </c>
      <c r="J1123" s="8">
        <v>2</v>
      </c>
      <c r="K1123" s="8">
        <v>2</v>
      </c>
      <c r="L1123" s="8">
        <v>2</v>
      </c>
      <c r="M1123" s="8">
        <v>2</v>
      </c>
      <c r="N1123" s="8">
        <v>0</v>
      </c>
      <c r="O1123" s="8">
        <v>2</v>
      </c>
      <c r="P1123" s="8">
        <v>2</v>
      </c>
      <c r="Q1123" s="8">
        <v>2</v>
      </c>
      <c r="R1123" s="8">
        <v>2</v>
      </c>
      <c r="S1123" s="8">
        <v>2</v>
      </c>
      <c r="T1123" s="8">
        <v>2</v>
      </c>
      <c r="U1123" s="8">
        <v>0</v>
      </c>
      <c r="V1123" s="8">
        <v>2</v>
      </c>
      <c r="W1123" s="8">
        <v>2</v>
      </c>
      <c r="X1123" s="8">
        <v>2</v>
      </c>
      <c r="Y1123" s="8">
        <v>2</v>
      </c>
      <c r="Z1123" s="8">
        <v>0</v>
      </c>
      <c r="AA1123" s="8">
        <v>2</v>
      </c>
      <c r="AB1123" s="8">
        <v>0</v>
      </c>
      <c r="AC1123" s="8">
        <v>2</v>
      </c>
      <c r="AD1123" s="8">
        <v>2</v>
      </c>
      <c r="AE1123" s="8">
        <v>2</v>
      </c>
      <c r="AF1123" s="8">
        <v>2</v>
      </c>
      <c r="AG1123" s="8">
        <v>2</v>
      </c>
      <c r="AH1123" s="8">
        <v>2</v>
      </c>
      <c r="AI1123" s="8">
        <v>0</v>
      </c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11" t="s">
        <v>249</v>
      </c>
    </row>
    <row r="1124" spans="1:46" ht="15.1" customHeight="1">
      <c r="A1124" s="8"/>
      <c r="B1124" s="9"/>
      <c r="C1124" s="8"/>
      <c r="D1124" s="9"/>
      <c r="E1124" s="8">
        <v>1</v>
      </c>
      <c r="F1124" s="8">
        <v>1</v>
      </c>
      <c r="G1124" s="8">
        <v>0</v>
      </c>
      <c r="H1124" s="8">
        <v>1</v>
      </c>
      <c r="I1124" s="8">
        <v>1</v>
      </c>
      <c r="J1124" s="8">
        <v>1</v>
      </c>
      <c r="K1124" s="8">
        <v>1</v>
      </c>
      <c r="L1124" s="8">
        <v>1</v>
      </c>
      <c r="M1124" s="8">
        <v>1</v>
      </c>
      <c r="N1124" s="8">
        <v>12</v>
      </c>
      <c r="O1124" s="8">
        <v>1</v>
      </c>
      <c r="P1124" s="8">
        <v>1</v>
      </c>
      <c r="Q1124" s="8">
        <v>1</v>
      </c>
      <c r="R1124" s="8">
        <v>1</v>
      </c>
      <c r="S1124" s="8">
        <v>1</v>
      </c>
      <c r="T1124" s="8">
        <v>1</v>
      </c>
      <c r="U1124" s="8">
        <v>0</v>
      </c>
      <c r="V1124" s="8">
        <v>1</v>
      </c>
      <c r="W1124" s="8">
        <v>1</v>
      </c>
      <c r="X1124" s="8">
        <v>1</v>
      </c>
      <c r="Y1124" s="8">
        <v>1</v>
      </c>
      <c r="Z1124" s="8">
        <v>0</v>
      </c>
      <c r="AA1124" s="8">
        <v>1</v>
      </c>
      <c r="AB1124" s="8">
        <v>0</v>
      </c>
      <c r="AC1124" s="8">
        <v>1</v>
      </c>
      <c r="AD1124" s="8">
        <v>1</v>
      </c>
      <c r="AE1124" s="8">
        <v>1</v>
      </c>
      <c r="AF1124" s="8">
        <v>1</v>
      </c>
      <c r="AG1124" s="8">
        <v>1</v>
      </c>
      <c r="AH1124" s="8">
        <v>1</v>
      </c>
      <c r="AI1124" s="8">
        <v>0</v>
      </c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11" t="s">
        <v>249</v>
      </c>
    </row>
    <row r="1125" spans="1:46" ht="15.1" customHeight="1">
      <c r="A1125" s="8">
        <v>374</v>
      </c>
      <c r="B1125" s="9" t="s">
        <v>1007</v>
      </c>
      <c r="C1125" s="8" t="s">
        <v>1008</v>
      </c>
      <c r="D1125" s="9" t="s">
        <v>451</v>
      </c>
      <c r="E1125" s="8" t="s">
        <v>54</v>
      </c>
      <c r="F1125" s="8" t="s">
        <v>54</v>
      </c>
      <c r="G1125" s="10" t="s">
        <v>67</v>
      </c>
      <c r="H1125" s="8" t="s">
        <v>54</v>
      </c>
      <c r="I1125" s="8" t="s">
        <v>54</v>
      </c>
      <c r="J1125" s="8" t="s">
        <v>54</v>
      </c>
      <c r="K1125" s="8" t="s">
        <v>54</v>
      </c>
      <c r="L1125" s="8" t="s">
        <v>54</v>
      </c>
      <c r="M1125" s="8" t="s">
        <v>54</v>
      </c>
      <c r="N1125" s="10" t="s">
        <v>67</v>
      </c>
      <c r="O1125" s="8" t="s">
        <v>54</v>
      </c>
      <c r="P1125" s="8" t="s">
        <v>54</v>
      </c>
      <c r="Q1125" s="8" t="s">
        <v>54</v>
      </c>
      <c r="R1125" s="8" t="s">
        <v>54</v>
      </c>
      <c r="S1125" s="8" t="s">
        <v>54</v>
      </c>
      <c r="T1125" s="8" t="s">
        <v>54</v>
      </c>
      <c r="U1125" s="10" t="s">
        <v>67</v>
      </c>
      <c r="V1125" s="8" t="s">
        <v>54</v>
      </c>
      <c r="W1125" s="8" t="s">
        <v>54</v>
      </c>
      <c r="X1125" s="8" t="s">
        <v>54</v>
      </c>
      <c r="Y1125" s="8" t="s">
        <v>54</v>
      </c>
      <c r="Z1125" s="8" t="s">
        <v>54</v>
      </c>
      <c r="AA1125" s="8" t="s">
        <v>54</v>
      </c>
      <c r="AB1125" s="10" t="s">
        <v>67</v>
      </c>
      <c r="AC1125" s="8" t="s">
        <v>54</v>
      </c>
      <c r="AD1125" s="8" t="s">
        <v>54</v>
      </c>
      <c r="AE1125" s="8" t="s">
        <v>54</v>
      </c>
      <c r="AF1125" s="8" t="s">
        <v>54</v>
      </c>
      <c r="AG1125" s="8" t="s">
        <v>54</v>
      </c>
      <c r="AH1125" s="8" t="s">
        <v>54</v>
      </c>
      <c r="AI1125" s="10" t="s">
        <v>67</v>
      </c>
      <c r="AJ1125" s="8">
        <f>COUNTIF($E$1125:$AI$1125,"P")</f>
        <v>26</v>
      </c>
      <c r="AK1125" s="8">
        <f>COUNTIF($E$1125:$AI$1125,"A")</f>
        <v>0</v>
      </c>
      <c r="AL1125" s="8">
        <f>SUM($E$1126:$AI$1126)</f>
        <v>48</v>
      </c>
      <c r="AM1125" s="8">
        <f>SUM($E$1127:$AI$1127)</f>
        <v>24</v>
      </c>
      <c r="AN1125" s="8">
        <f>AL1125+AM1125</f>
        <v>72</v>
      </c>
      <c r="AO1125" s="8">
        <f>COUNTIF($E$1125:$AI$1125,"CL")</f>
        <v>0</v>
      </c>
      <c r="AP1125" s="8">
        <f>COUNTIF($E$1125:$AI$1125,"SL")</f>
        <v>0</v>
      </c>
      <c r="AQ1125" s="8">
        <f>COUNTIF($E$1125:$AI$1125,"EL")</f>
        <v>0</v>
      </c>
      <c r="AR1125" s="8">
        <f>COUNTIF($E$1125:$AI$1125,"H")</f>
        <v>0</v>
      </c>
      <c r="AS1125" s="8"/>
      <c r="AT1125" s="11" t="s">
        <v>249</v>
      </c>
    </row>
    <row r="1126" spans="1:46" ht="15.1" customHeight="1">
      <c r="A1126" s="8"/>
      <c r="B1126" s="9"/>
      <c r="C1126" s="8"/>
      <c r="D1126" s="9"/>
      <c r="E1126" s="8">
        <v>0</v>
      </c>
      <c r="F1126" s="8">
        <v>0</v>
      </c>
      <c r="G1126" s="8">
        <v>0</v>
      </c>
      <c r="H1126" s="8">
        <v>2</v>
      </c>
      <c r="I1126" s="8">
        <v>2</v>
      </c>
      <c r="J1126" s="8">
        <v>2</v>
      </c>
      <c r="K1126" s="8">
        <v>2</v>
      </c>
      <c r="L1126" s="8">
        <v>2</v>
      </c>
      <c r="M1126" s="8">
        <v>2</v>
      </c>
      <c r="N1126" s="8">
        <v>0</v>
      </c>
      <c r="O1126" s="8">
        <v>2</v>
      </c>
      <c r="P1126" s="8">
        <v>2</v>
      </c>
      <c r="Q1126" s="8">
        <v>2</v>
      </c>
      <c r="R1126" s="8">
        <v>2</v>
      </c>
      <c r="S1126" s="8">
        <v>2</v>
      </c>
      <c r="T1126" s="8">
        <v>2</v>
      </c>
      <c r="U1126" s="8">
        <v>0</v>
      </c>
      <c r="V1126" s="8">
        <v>2</v>
      </c>
      <c r="W1126" s="8">
        <v>2</v>
      </c>
      <c r="X1126" s="8">
        <v>2</v>
      </c>
      <c r="Y1126" s="8">
        <v>2</v>
      </c>
      <c r="Z1126" s="8">
        <v>2</v>
      </c>
      <c r="AA1126" s="8">
        <v>2</v>
      </c>
      <c r="AB1126" s="8">
        <v>0</v>
      </c>
      <c r="AC1126" s="8">
        <v>2</v>
      </c>
      <c r="AD1126" s="8">
        <v>2</v>
      </c>
      <c r="AE1126" s="8">
        <v>2</v>
      </c>
      <c r="AF1126" s="8">
        <v>2</v>
      </c>
      <c r="AG1126" s="8">
        <v>2</v>
      </c>
      <c r="AH1126" s="8">
        <v>2</v>
      </c>
      <c r="AI1126" s="8">
        <v>0</v>
      </c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11" t="s">
        <v>249</v>
      </c>
    </row>
    <row r="1127" spans="1:46" ht="15.1" customHeight="1">
      <c r="A1127" s="8"/>
      <c r="B1127" s="9"/>
      <c r="C1127" s="8"/>
      <c r="D1127" s="9"/>
      <c r="E1127" s="8">
        <v>0</v>
      </c>
      <c r="F1127" s="8">
        <v>0</v>
      </c>
      <c r="G1127" s="8">
        <v>0</v>
      </c>
      <c r="H1127" s="8">
        <v>1</v>
      </c>
      <c r="I1127" s="8">
        <v>1</v>
      </c>
      <c r="J1127" s="8">
        <v>1</v>
      </c>
      <c r="K1127" s="8">
        <v>1</v>
      </c>
      <c r="L1127" s="8">
        <v>1</v>
      </c>
      <c r="M1127" s="8">
        <v>1</v>
      </c>
      <c r="N1127" s="8">
        <v>0</v>
      </c>
      <c r="O1127" s="8">
        <v>1</v>
      </c>
      <c r="P1127" s="8">
        <v>1</v>
      </c>
      <c r="Q1127" s="8">
        <v>1</v>
      </c>
      <c r="R1127" s="8">
        <v>1</v>
      </c>
      <c r="S1127" s="8">
        <v>1</v>
      </c>
      <c r="T1127" s="8">
        <v>1</v>
      </c>
      <c r="U1127" s="8">
        <v>0</v>
      </c>
      <c r="V1127" s="8">
        <v>1</v>
      </c>
      <c r="W1127" s="8">
        <v>1</v>
      </c>
      <c r="X1127" s="8">
        <v>1</v>
      </c>
      <c r="Y1127" s="8">
        <v>1</v>
      </c>
      <c r="Z1127" s="8">
        <v>1</v>
      </c>
      <c r="AA1127" s="8">
        <v>1</v>
      </c>
      <c r="AB1127" s="8">
        <v>0</v>
      </c>
      <c r="AC1127" s="8">
        <v>1</v>
      </c>
      <c r="AD1127" s="8">
        <v>1</v>
      </c>
      <c r="AE1127" s="8">
        <v>1</v>
      </c>
      <c r="AF1127" s="8">
        <v>1</v>
      </c>
      <c r="AG1127" s="8">
        <v>1</v>
      </c>
      <c r="AH1127" s="8">
        <v>1</v>
      </c>
      <c r="AI1127" s="8">
        <v>0</v>
      </c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11" t="s">
        <v>249</v>
      </c>
    </row>
    <row r="1128" spans="1:46" ht="15.1" customHeight="1">
      <c r="A1128" s="8">
        <v>375</v>
      </c>
      <c r="B1128" s="9" t="s">
        <v>1009</v>
      </c>
      <c r="C1128" s="8" t="s">
        <v>1010</v>
      </c>
      <c r="D1128" s="9" t="s">
        <v>451</v>
      </c>
      <c r="E1128" s="8" t="s">
        <v>54</v>
      </c>
      <c r="F1128" s="8" t="s">
        <v>54</v>
      </c>
      <c r="G1128" s="10" t="s">
        <v>67</v>
      </c>
      <c r="H1128" s="8" t="s">
        <v>54</v>
      </c>
      <c r="I1128" s="8" t="s">
        <v>54</v>
      </c>
      <c r="J1128" s="8" t="s">
        <v>54</v>
      </c>
      <c r="K1128" s="8" t="s">
        <v>54</v>
      </c>
      <c r="L1128" s="8" t="s">
        <v>54</v>
      </c>
      <c r="M1128" s="8" t="s">
        <v>54</v>
      </c>
      <c r="N1128" s="10" t="s">
        <v>67</v>
      </c>
      <c r="O1128" s="8" t="s">
        <v>54</v>
      </c>
      <c r="P1128" s="8" t="s">
        <v>54</v>
      </c>
      <c r="Q1128" s="12" t="s">
        <v>55</v>
      </c>
      <c r="R1128" s="12" t="s">
        <v>55</v>
      </c>
      <c r="S1128" s="8" t="s">
        <v>54</v>
      </c>
      <c r="T1128" s="8" t="s">
        <v>54</v>
      </c>
      <c r="U1128" s="10" t="s">
        <v>67</v>
      </c>
      <c r="V1128" s="8" t="s">
        <v>54</v>
      </c>
      <c r="W1128" s="8" t="s">
        <v>54</v>
      </c>
      <c r="X1128" s="8" t="s">
        <v>54</v>
      </c>
      <c r="Y1128" s="8" t="s">
        <v>54</v>
      </c>
      <c r="Z1128" s="8" t="s">
        <v>54</v>
      </c>
      <c r="AA1128" s="8" t="s">
        <v>54</v>
      </c>
      <c r="AB1128" s="10" t="s">
        <v>67</v>
      </c>
      <c r="AC1128" s="8" t="s">
        <v>54</v>
      </c>
      <c r="AD1128" s="8" t="s">
        <v>54</v>
      </c>
      <c r="AE1128" s="8" t="s">
        <v>54</v>
      </c>
      <c r="AF1128" s="8" t="s">
        <v>54</v>
      </c>
      <c r="AG1128" s="8" t="s">
        <v>54</v>
      </c>
      <c r="AH1128" s="8" t="s">
        <v>54</v>
      </c>
      <c r="AI1128" s="10" t="s">
        <v>67</v>
      </c>
      <c r="AJ1128" s="8">
        <f>COUNTIF($E$1128:$AI$1128,"P")</f>
        <v>24</v>
      </c>
      <c r="AK1128" s="8">
        <f>COUNTIF($E$1128:$AI$1128,"A")</f>
        <v>2</v>
      </c>
      <c r="AL1128" s="8">
        <f>SUM($E$1129:$AI$1129)</f>
        <v>42</v>
      </c>
      <c r="AM1128" s="8">
        <f>SUM($E$1130:$AI$1130)</f>
        <v>21</v>
      </c>
      <c r="AN1128" s="8">
        <f>AL1128+AM1128</f>
        <v>63</v>
      </c>
      <c r="AO1128" s="8">
        <f>COUNTIF($E$1128:$AI$1128,"CL")</f>
        <v>0</v>
      </c>
      <c r="AP1128" s="8">
        <f>COUNTIF($E$1128:$AI$1128,"SL")</f>
        <v>0</v>
      </c>
      <c r="AQ1128" s="8">
        <f>COUNTIF($E$1128:$AI$1128,"EL")</f>
        <v>0</v>
      </c>
      <c r="AR1128" s="8">
        <f>COUNTIF($E$1128:$AI$1128,"H")</f>
        <v>0</v>
      </c>
      <c r="AS1128" s="8"/>
      <c r="AT1128" s="11" t="s">
        <v>249</v>
      </c>
    </row>
    <row r="1129" spans="1:46" ht="15.1" customHeight="1">
      <c r="A1129" s="8"/>
      <c r="B1129" s="9"/>
      <c r="C1129" s="8"/>
      <c r="D1129" s="9"/>
      <c r="E1129" s="8">
        <v>2</v>
      </c>
      <c r="F1129" s="8">
        <v>0</v>
      </c>
      <c r="G1129" s="8">
        <v>0</v>
      </c>
      <c r="H1129" s="8">
        <v>0</v>
      </c>
      <c r="I1129" s="8">
        <v>2</v>
      </c>
      <c r="J1129" s="8">
        <v>2</v>
      </c>
      <c r="K1129" s="8">
        <v>2</v>
      </c>
      <c r="L1129" s="8">
        <v>2</v>
      </c>
      <c r="M1129" s="8">
        <v>2</v>
      </c>
      <c r="N1129" s="8">
        <v>0</v>
      </c>
      <c r="O1129" s="8">
        <v>2</v>
      </c>
      <c r="P1129" s="8">
        <v>2</v>
      </c>
      <c r="Q1129" s="8">
        <v>0</v>
      </c>
      <c r="R1129" s="8">
        <v>0</v>
      </c>
      <c r="S1129" s="8">
        <v>2</v>
      </c>
      <c r="T1129" s="8">
        <v>2</v>
      </c>
      <c r="U1129" s="8">
        <v>0</v>
      </c>
      <c r="V1129" s="8">
        <v>2</v>
      </c>
      <c r="W1129" s="8">
        <v>2</v>
      </c>
      <c r="X1129" s="8">
        <v>2</v>
      </c>
      <c r="Y1129" s="8">
        <v>2</v>
      </c>
      <c r="Z1129" s="8">
        <v>0</v>
      </c>
      <c r="AA1129" s="8">
        <v>2</v>
      </c>
      <c r="AB1129" s="8">
        <v>0</v>
      </c>
      <c r="AC1129" s="8">
        <v>2</v>
      </c>
      <c r="AD1129" s="8">
        <v>2</v>
      </c>
      <c r="AE1129" s="8">
        <v>2</v>
      </c>
      <c r="AF1129" s="8">
        <v>2</v>
      </c>
      <c r="AG1129" s="8">
        <v>2</v>
      </c>
      <c r="AH1129" s="8">
        <v>2</v>
      </c>
      <c r="AI1129" s="8">
        <v>0</v>
      </c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11" t="s">
        <v>249</v>
      </c>
    </row>
    <row r="1130" spans="1:46" ht="15.1" customHeight="1">
      <c r="A1130" s="8"/>
      <c r="B1130" s="9"/>
      <c r="C1130" s="8"/>
      <c r="D1130" s="9"/>
      <c r="E1130" s="8">
        <v>1</v>
      </c>
      <c r="F1130" s="8">
        <v>0</v>
      </c>
      <c r="G1130" s="8">
        <v>0</v>
      </c>
      <c r="H1130" s="8">
        <v>0</v>
      </c>
      <c r="I1130" s="8">
        <v>1</v>
      </c>
      <c r="J1130" s="8">
        <v>1</v>
      </c>
      <c r="K1130" s="8">
        <v>1</v>
      </c>
      <c r="L1130" s="8">
        <v>1</v>
      </c>
      <c r="M1130" s="8">
        <v>1</v>
      </c>
      <c r="N1130" s="8">
        <v>0</v>
      </c>
      <c r="O1130" s="8">
        <v>1</v>
      </c>
      <c r="P1130" s="8">
        <v>1</v>
      </c>
      <c r="Q1130" s="8">
        <v>0</v>
      </c>
      <c r="R1130" s="8">
        <v>0</v>
      </c>
      <c r="S1130" s="8">
        <v>1</v>
      </c>
      <c r="T1130" s="8">
        <v>1</v>
      </c>
      <c r="U1130" s="8">
        <v>0</v>
      </c>
      <c r="V1130" s="8">
        <v>1</v>
      </c>
      <c r="W1130" s="8">
        <v>1</v>
      </c>
      <c r="X1130" s="8">
        <v>1</v>
      </c>
      <c r="Y1130" s="8">
        <v>1</v>
      </c>
      <c r="Z1130" s="8">
        <v>0</v>
      </c>
      <c r="AA1130" s="8">
        <v>1</v>
      </c>
      <c r="AB1130" s="8">
        <v>0</v>
      </c>
      <c r="AC1130" s="8">
        <v>1</v>
      </c>
      <c r="AD1130" s="8">
        <v>1</v>
      </c>
      <c r="AE1130" s="8">
        <v>1</v>
      </c>
      <c r="AF1130" s="8">
        <v>1</v>
      </c>
      <c r="AG1130" s="8">
        <v>1</v>
      </c>
      <c r="AH1130" s="8">
        <v>1</v>
      </c>
      <c r="AI1130" s="8">
        <v>0</v>
      </c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11" t="s">
        <v>249</v>
      </c>
    </row>
    <row r="1131" spans="1:46" ht="15.1" customHeight="1">
      <c r="A1131" s="8">
        <v>376</v>
      </c>
      <c r="B1131" s="9" t="s">
        <v>1011</v>
      </c>
      <c r="C1131" s="8" t="s">
        <v>1012</v>
      </c>
      <c r="D1131" s="9" t="s">
        <v>451</v>
      </c>
      <c r="E1131" s="8" t="s">
        <v>54</v>
      </c>
      <c r="F1131" s="8" t="s">
        <v>54</v>
      </c>
      <c r="G1131" s="10" t="s">
        <v>67</v>
      </c>
      <c r="H1131" s="8" t="s">
        <v>54</v>
      </c>
      <c r="I1131" s="8" t="s">
        <v>54</v>
      </c>
      <c r="J1131" s="8" t="s">
        <v>54</v>
      </c>
      <c r="K1131" s="8" t="s">
        <v>54</v>
      </c>
      <c r="L1131" s="8" t="s">
        <v>54</v>
      </c>
      <c r="M1131" s="8" t="s">
        <v>54</v>
      </c>
      <c r="N1131" s="10" t="s">
        <v>67</v>
      </c>
      <c r="O1131" s="8" t="s">
        <v>54</v>
      </c>
      <c r="P1131" s="8" t="s">
        <v>54</v>
      </c>
      <c r="Q1131" s="8" t="s">
        <v>54</v>
      </c>
      <c r="R1131" s="12" t="s">
        <v>55</v>
      </c>
      <c r="S1131" s="8" t="s">
        <v>54</v>
      </c>
      <c r="T1131" s="8" t="s">
        <v>54</v>
      </c>
      <c r="U1131" s="10" t="s">
        <v>67</v>
      </c>
      <c r="V1131" s="8" t="s">
        <v>54</v>
      </c>
      <c r="W1131" s="12" t="s">
        <v>55</v>
      </c>
      <c r="X1131" s="8" t="s">
        <v>54</v>
      </c>
      <c r="Y1131" s="8" t="s">
        <v>54</v>
      </c>
      <c r="Z1131" s="8" t="s">
        <v>54</v>
      </c>
      <c r="AA1131" s="8" t="s">
        <v>54</v>
      </c>
      <c r="AB1131" s="10" t="s">
        <v>67</v>
      </c>
      <c r="AC1131" s="8" t="s">
        <v>54</v>
      </c>
      <c r="AD1131" s="8" t="s">
        <v>54</v>
      </c>
      <c r="AE1131" s="8" t="s">
        <v>54</v>
      </c>
      <c r="AF1131" s="8" t="s">
        <v>54</v>
      </c>
      <c r="AG1131" s="8" t="s">
        <v>54</v>
      </c>
      <c r="AH1131" s="8" t="s">
        <v>54</v>
      </c>
      <c r="AI1131" s="10" t="s">
        <v>67</v>
      </c>
      <c r="AJ1131" s="8">
        <f>COUNTIF($E$1131:$AI$1131,"P")</f>
        <v>24</v>
      </c>
      <c r="AK1131" s="8">
        <f>COUNTIF($E$1131:$AI$1131,"A")</f>
        <v>2</v>
      </c>
      <c r="AL1131" s="8">
        <f>SUM($E$1132:$AI$1132)</f>
        <v>48</v>
      </c>
      <c r="AM1131" s="8">
        <f>SUM($E$1133:$AI$1133)</f>
        <v>24</v>
      </c>
      <c r="AN1131" s="8">
        <f>AL1131+AM1131</f>
        <v>72</v>
      </c>
      <c r="AO1131" s="8">
        <f>COUNTIF($E$1131:$AI$1131,"CL")</f>
        <v>0</v>
      </c>
      <c r="AP1131" s="8">
        <f>COUNTIF($E$1131:$AI$1131,"SL")</f>
        <v>0</v>
      </c>
      <c r="AQ1131" s="8">
        <f>COUNTIF($E$1131:$AI$1131,"EL")</f>
        <v>0</v>
      </c>
      <c r="AR1131" s="8">
        <f>COUNTIF($E$1131:$AI$1131,"H")</f>
        <v>0</v>
      </c>
      <c r="AS1131" s="8"/>
      <c r="AT1131" s="11" t="s">
        <v>249</v>
      </c>
    </row>
    <row r="1132" spans="1:46" ht="15.1" customHeight="1">
      <c r="A1132" s="8"/>
      <c r="B1132" s="9"/>
      <c r="C1132" s="8"/>
      <c r="D1132" s="9"/>
      <c r="E1132" s="8">
        <v>2</v>
      </c>
      <c r="F1132" s="8">
        <v>2</v>
      </c>
      <c r="G1132" s="8">
        <v>0</v>
      </c>
      <c r="H1132" s="8">
        <v>2</v>
      </c>
      <c r="I1132" s="8">
        <v>2</v>
      </c>
      <c r="J1132" s="8">
        <v>2</v>
      </c>
      <c r="K1132" s="8">
        <v>2</v>
      </c>
      <c r="L1132" s="8">
        <v>2</v>
      </c>
      <c r="M1132" s="8">
        <v>2</v>
      </c>
      <c r="N1132" s="8">
        <v>0</v>
      </c>
      <c r="O1132" s="8">
        <v>2</v>
      </c>
      <c r="P1132" s="8">
        <v>2</v>
      </c>
      <c r="Q1132" s="8">
        <v>2</v>
      </c>
      <c r="R1132" s="8">
        <v>0</v>
      </c>
      <c r="S1132" s="8">
        <v>2</v>
      </c>
      <c r="T1132" s="8">
        <v>2</v>
      </c>
      <c r="U1132" s="8">
        <v>0</v>
      </c>
      <c r="V1132" s="8">
        <v>2</v>
      </c>
      <c r="W1132" s="8">
        <v>0</v>
      </c>
      <c r="X1132" s="8">
        <v>2</v>
      </c>
      <c r="Y1132" s="8">
        <v>2</v>
      </c>
      <c r="Z1132" s="8">
        <v>2</v>
      </c>
      <c r="AA1132" s="8">
        <v>2</v>
      </c>
      <c r="AB1132" s="8">
        <v>0</v>
      </c>
      <c r="AC1132" s="8">
        <v>2</v>
      </c>
      <c r="AD1132" s="8">
        <v>2</v>
      </c>
      <c r="AE1132" s="8">
        <v>2</v>
      </c>
      <c r="AF1132" s="8">
        <v>2</v>
      </c>
      <c r="AG1132" s="8">
        <v>2</v>
      </c>
      <c r="AH1132" s="8">
        <v>2</v>
      </c>
      <c r="AI1132" s="8">
        <v>0</v>
      </c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11" t="s">
        <v>249</v>
      </c>
    </row>
    <row r="1133" spans="1:46" ht="15.1" customHeight="1">
      <c r="A1133" s="8"/>
      <c r="B1133" s="9"/>
      <c r="C1133" s="8"/>
      <c r="D1133" s="9"/>
      <c r="E1133" s="8">
        <v>1</v>
      </c>
      <c r="F1133" s="8">
        <v>1</v>
      </c>
      <c r="G1133" s="8">
        <v>0</v>
      </c>
      <c r="H1133" s="8">
        <v>1</v>
      </c>
      <c r="I1133" s="8">
        <v>1</v>
      </c>
      <c r="J1133" s="8">
        <v>1</v>
      </c>
      <c r="K1133" s="8">
        <v>1</v>
      </c>
      <c r="L1133" s="8">
        <v>1</v>
      </c>
      <c r="M1133" s="8">
        <v>1</v>
      </c>
      <c r="N1133" s="8">
        <v>0</v>
      </c>
      <c r="O1133" s="8">
        <v>1</v>
      </c>
      <c r="P1133" s="8">
        <v>1</v>
      </c>
      <c r="Q1133" s="8">
        <v>1</v>
      </c>
      <c r="R1133" s="8">
        <v>0</v>
      </c>
      <c r="S1133" s="8">
        <v>1</v>
      </c>
      <c r="T1133" s="8">
        <v>1</v>
      </c>
      <c r="U1133" s="8">
        <v>0</v>
      </c>
      <c r="V1133" s="8">
        <v>1</v>
      </c>
      <c r="W1133" s="8">
        <v>0</v>
      </c>
      <c r="X1133" s="8">
        <v>1</v>
      </c>
      <c r="Y1133" s="8">
        <v>1</v>
      </c>
      <c r="Z1133" s="8">
        <v>1</v>
      </c>
      <c r="AA1133" s="8">
        <v>1</v>
      </c>
      <c r="AB1133" s="8">
        <v>0</v>
      </c>
      <c r="AC1133" s="8">
        <v>1</v>
      </c>
      <c r="AD1133" s="8">
        <v>1</v>
      </c>
      <c r="AE1133" s="8">
        <v>1</v>
      </c>
      <c r="AF1133" s="8">
        <v>1</v>
      </c>
      <c r="AG1133" s="8">
        <v>1</v>
      </c>
      <c r="AH1133" s="8">
        <v>1</v>
      </c>
      <c r="AI1133" s="8">
        <v>0</v>
      </c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11" t="s">
        <v>249</v>
      </c>
    </row>
    <row r="1134" spans="1:46" ht="15.1" customHeight="1">
      <c r="A1134" s="8">
        <v>377</v>
      </c>
      <c r="B1134" s="9" t="s">
        <v>1013</v>
      </c>
      <c r="C1134" s="8" t="s">
        <v>1014</v>
      </c>
      <c r="D1134" s="9" t="s">
        <v>451</v>
      </c>
      <c r="E1134" s="8" t="s">
        <v>54</v>
      </c>
      <c r="F1134" s="8" t="s">
        <v>54</v>
      </c>
      <c r="G1134" s="10" t="s">
        <v>67</v>
      </c>
      <c r="H1134" s="8" t="s">
        <v>54</v>
      </c>
      <c r="I1134" s="8" t="s">
        <v>54</v>
      </c>
      <c r="J1134" s="8" t="s">
        <v>54</v>
      </c>
      <c r="K1134" s="8" t="s">
        <v>54</v>
      </c>
      <c r="L1134" s="8" t="s">
        <v>54</v>
      </c>
      <c r="M1134" s="8" t="s">
        <v>54</v>
      </c>
      <c r="N1134" s="10" t="s">
        <v>67</v>
      </c>
      <c r="O1134" s="12" t="s">
        <v>55</v>
      </c>
      <c r="P1134" s="8" t="s">
        <v>54</v>
      </c>
      <c r="Q1134" s="8" t="s">
        <v>54</v>
      </c>
      <c r="R1134" s="8" t="s">
        <v>54</v>
      </c>
      <c r="S1134" s="8" t="s">
        <v>54</v>
      </c>
      <c r="T1134" s="8" t="s">
        <v>54</v>
      </c>
      <c r="U1134" s="10" t="s">
        <v>67</v>
      </c>
      <c r="V1134" s="8" t="s">
        <v>54</v>
      </c>
      <c r="W1134" s="8" t="s">
        <v>54</v>
      </c>
      <c r="X1134" s="8" t="s">
        <v>54</v>
      </c>
      <c r="Y1134" s="8" t="s">
        <v>54</v>
      </c>
      <c r="Z1134" s="8" t="s">
        <v>54</v>
      </c>
      <c r="AA1134" s="12" t="s">
        <v>55</v>
      </c>
      <c r="AB1134" s="10" t="s">
        <v>67</v>
      </c>
      <c r="AC1134" s="8" t="s">
        <v>54</v>
      </c>
      <c r="AD1134" s="8" t="s">
        <v>54</v>
      </c>
      <c r="AE1134" s="8" t="s">
        <v>54</v>
      </c>
      <c r="AF1134" s="8" t="s">
        <v>54</v>
      </c>
      <c r="AG1134" s="8" t="s">
        <v>54</v>
      </c>
      <c r="AH1134" s="8" t="s">
        <v>54</v>
      </c>
      <c r="AI1134" s="10" t="s">
        <v>67</v>
      </c>
      <c r="AJ1134" s="8">
        <f>COUNTIF($E$1134:$AI$1134,"P")</f>
        <v>24</v>
      </c>
      <c r="AK1134" s="8">
        <f>COUNTIF($E$1134:$AI$1134,"A")</f>
        <v>2</v>
      </c>
      <c r="AL1134" s="8">
        <f>SUM($E$1135:$AI$1135)</f>
        <v>40</v>
      </c>
      <c r="AM1134" s="8">
        <f>SUM($E$1136:$AI$1136)</f>
        <v>20</v>
      </c>
      <c r="AN1134" s="8">
        <f>AL1134+AM1134</f>
        <v>60</v>
      </c>
      <c r="AO1134" s="8">
        <f>COUNTIF($E$1134:$AI$1134,"CL")</f>
        <v>0</v>
      </c>
      <c r="AP1134" s="8">
        <f>COUNTIF($E$1134:$AI$1134,"SL")</f>
        <v>0</v>
      </c>
      <c r="AQ1134" s="8">
        <f>COUNTIF($E$1134:$AI$1134,"EL")</f>
        <v>0</v>
      </c>
      <c r="AR1134" s="8">
        <f>COUNTIF($E$1134:$AI$1134,"H")</f>
        <v>0</v>
      </c>
      <c r="AS1134" s="8"/>
      <c r="AT1134" s="11" t="s">
        <v>249</v>
      </c>
    </row>
    <row r="1135" spans="1:46" ht="15.1" customHeight="1">
      <c r="A1135" s="8"/>
      <c r="B1135" s="9"/>
      <c r="C1135" s="8"/>
      <c r="D1135" s="9"/>
      <c r="E1135" s="8">
        <v>2</v>
      </c>
      <c r="F1135" s="8">
        <v>0</v>
      </c>
      <c r="G1135" s="8">
        <v>0</v>
      </c>
      <c r="H1135" s="8">
        <v>0</v>
      </c>
      <c r="I1135" s="8">
        <v>2</v>
      </c>
      <c r="J1135" s="8">
        <v>2</v>
      </c>
      <c r="K1135" s="8">
        <v>2</v>
      </c>
      <c r="L1135" s="8">
        <v>2</v>
      </c>
      <c r="M1135" s="8">
        <v>2</v>
      </c>
      <c r="N1135" s="8">
        <v>0</v>
      </c>
      <c r="O1135" s="8">
        <v>0</v>
      </c>
      <c r="P1135" s="8">
        <v>2</v>
      </c>
      <c r="Q1135" s="8">
        <v>2</v>
      </c>
      <c r="R1135" s="8">
        <v>2</v>
      </c>
      <c r="S1135" s="8">
        <v>2</v>
      </c>
      <c r="T1135" s="8">
        <v>2</v>
      </c>
      <c r="U1135" s="8">
        <v>0</v>
      </c>
      <c r="V1135" s="8">
        <v>2</v>
      </c>
      <c r="W1135" s="8">
        <v>0</v>
      </c>
      <c r="X1135" s="8">
        <v>2</v>
      </c>
      <c r="Y1135" s="8">
        <v>2</v>
      </c>
      <c r="Z1135" s="8">
        <v>0</v>
      </c>
      <c r="AA1135" s="8">
        <v>0</v>
      </c>
      <c r="AB1135" s="8">
        <v>0</v>
      </c>
      <c r="AC1135" s="8">
        <v>2</v>
      </c>
      <c r="AD1135" s="8">
        <v>2</v>
      </c>
      <c r="AE1135" s="8">
        <v>2</v>
      </c>
      <c r="AF1135" s="8">
        <v>2</v>
      </c>
      <c r="AG1135" s="8">
        <v>2</v>
      </c>
      <c r="AH1135" s="8">
        <v>2</v>
      </c>
      <c r="AI1135" s="8">
        <v>0</v>
      </c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11" t="s">
        <v>249</v>
      </c>
    </row>
    <row r="1136" spans="1:46" ht="15.1" customHeight="1">
      <c r="A1136" s="8"/>
      <c r="B1136" s="9"/>
      <c r="C1136" s="8"/>
      <c r="D1136" s="9"/>
      <c r="E1136" s="8">
        <v>1</v>
      </c>
      <c r="F1136" s="8">
        <v>0</v>
      </c>
      <c r="G1136" s="8">
        <v>0</v>
      </c>
      <c r="H1136" s="8">
        <v>0</v>
      </c>
      <c r="I1136" s="8">
        <v>1</v>
      </c>
      <c r="J1136" s="8">
        <v>1</v>
      </c>
      <c r="K1136" s="8">
        <v>1</v>
      </c>
      <c r="L1136" s="8">
        <v>1</v>
      </c>
      <c r="M1136" s="8">
        <v>1</v>
      </c>
      <c r="N1136" s="8">
        <v>0</v>
      </c>
      <c r="O1136" s="8">
        <v>0</v>
      </c>
      <c r="P1136" s="8">
        <v>1</v>
      </c>
      <c r="Q1136" s="8">
        <v>1</v>
      </c>
      <c r="R1136" s="8">
        <v>1</v>
      </c>
      <c r="S1136" s="8">
        <v>1</v>
      </c>
      <c r="T1136" s="8">
        <v>1</v>
      </c>
      <c r="U1136" s="8">
        <v>0</v>
      </c>
      <c r="V1136" s="8">
        <v>1</v>
      </c>
      <c r="W1136" s="8">
        <v>0</v>
      </c>
      <c r="X1136" s="8">
        <v>1</v>
      </c>
      <c r="Y1136" s="8">
        <v>1</v>
      </c>
      <c r="Z1136" s="8">
        <v>0</v>
      </c>
      <c r="AA1136" s="8">
        <v>0</v>
      </c>
      <c r="AB1136" s="8">
        <v>0</v>
      </c>
      <c r="AC1136" s="8">
        <v>1</v>
      </c>
      <c r="AD1136" s="8">
        <v>1</v>
      </c>
      <c r="AE1136" s="8">
        <v>1</v>
      </c>
      <c r="AF1136" s="8">
        <v>1</v>
      </c>
      <c r="AG1136" s="8">
        <v>1</v>
      </c>
      <c r="AH1136" s="8">
        <v>1</v>
      </c>
      <c r="AI1136" s="8">
        <v>0</v>
      </c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11" t="s">
        <v>249</v>
      </c>
    </row>
    <row r="1137" spans="1:46" ht="15.1" customHeight="1">
      <c r="A1137" s="8">
        <v>378</v>
      </c>
      <c r="B1137" s="9" t="s">
        <v>1015</v>
      </c>
      <c r="C1137" s="8" t="s">
        <v>1016</v>
      </c>
      <c r="D1137" s="9" t="s">
        <v>451</v>
      </c>
      <c r="E1137" s="8" t="s">
        <v>54</v>
      </c>
      <c r="F1137" s="8" t="s">
        <v>54</v>
      </c>
      <c r="G1137" s="10" t="s">
        <v>67</v>
      </c>
      <c r="H1137" s="8" t="s">
        <v>54</v>
      </c>
      <c r="I1137" s="8" t="s">
        <v>54</v>
      </c>
      <c r="J1137" s="8" t="s">
        <v>54</v>
      </c>
      <c r="K1137" s="8" t="s">
        <v>54</v>
      </c>
      <c r="L1137" s="8" t="s">
        <v>54</v>
      </c>
      <c r="M1137" s="8" t="s">
        <v>54</v>
      </c>
      <c r="N1137" s="10" t="s">
        <v>67</v>
      </c>
      <c r="O1137" s="8" t="s">
        <v>54</v>
      </c>
      <c r="P1137" s="8" t="s">
        <v>54</v>
      </c>
      <c r="Q1137" s="8" t="s">
        <v>54</v>
      </c>
      <c r="R1137" s="8" t="s">
        <v>54</v>
      </c>
      <c r="S1137" s="8" t="s">
        <v>54</v>
      </c>
      <c r="T1137" s="8" t="s">
        <v>54</v>
      </c>
      <c r="U1137" s="10" t="s">
        <v>67</v>
      </c>
      <c r="V1137" s="8" t="s">
        <v>54</v>
      </c>
      <c r="W1137" s="8" t="s">
        <v>54</v>
      </c>
      <c r="X1137" s="8" t="s">
        <v>54</v>
      </c>
      <c r="Y1137" s="8" t="s">
        <v>54</v>
      </c>
      <c r="Z1137" s="8" t="s">
        <v>54</v>
      </c>
      <c r="AA1137" s="8" t="s">
        <v>54</v>
      </c>
      <c r="AB1137" s="10" t="s">
        <v>67</v>
      </c>
      <c r="AC1137" s="8" t="s">
        <v>54</v>
      </c>
      <c r="AD1137" s="8" t="s">
        <v>54</v>
      </c>
      <c r="AE1137" s="8" t="s">
        <v>54</v>
      </c>
      <c r="AF1137" s="8" t="s">
        <v>54</v>
      </c>
      <c r="AG1137" s="8" t="s">
        <v>54</v>
      </c>
      <c r="AH1137" s="8" t="s">
        <v>54</v>
      </c>
      <c r="AI1137" s="10" t="s">
        <v>67</v>
      </c>
      <c r="AJ1137" s="8">
        <f>COUNTIF($E$1137:$AI$1137,"P")</f>
        <v>26</v>
      </c>
      <c r="AK1137" s="8">
        <f>COUNTIF($E$1137:$AI$1137,"A")</f>
        <v>0</v>
      </c>
      <c r="AL1137" s="8">
        <f>SUM($E$1138:$AI$1138)</f>
        <v>52</v>
      </c>
      <c r="AM1137" s="8">
        <f>SUM($E$1139:$AI$1139)</f>
        <v>26</v>
      </c>
      <c r="AN1137" s="8">
        <f>AL1137+AM1137</f>
        <v>78</v>
      </c>
      <c r="AO1137" s="8">
        <f>COUNTIF($E$1137:$AI$1137,"CL")</f>
        <v>0</v>
      </c>
      <c r="AP1137" s="8">
        <f>COUNTIF($E$1137:$AI$1137,"SL")</f>
        <v>0</v>
      </c>
      <c r="AQ1137" s="8">
        <f>COUNTIF($E$1137:$AI$1137,"EL")</f>
        <v>0</v>
      </c>
      <c r="AR1137" s="8">
        <f>COUNTIF($E$1137:$AI$1137,"H")</f>
        <v>0</v>
      </c>
      <c r="AS1137" s="8"/>
      <c r="AT1137" s="11" t="s">
        <v>249</v>
      </c>
    </row>
    <row r="1138" spans="1:46" ht="15.1" customHeight="1">
      <c r="A1138" s="8"/>
      <c r="B1138" s="9"/>
      <c r="C1138" s="8"/>
      <c r="D1138" s="9"/>
      <c r="E1138" s="8">
        <v>2</v>
      </c>
      <c r="F1138" s="8">
        <v>2</v>
      </c>
      <c r="G1138" s="8">
        <v>0</v>
      </c>
      <c r="H1138" s="8">
        <v>2</v>
      </c>
      <c r="I1138" s="8">
        <v>2</v>
      </c>
      <c r="J1138" s="8">
        <v>2</v>
      </c>
      <c r="K1138" s="8">
        <v>2</v>
      </c>
      <c r="L1138" s="8">
        <v>2</v>
      </c>
      <c r="M1138" s="8">
        <v>2</v>
      </c>
      <c r="N1138" s="8">
        <v>0</v>
      </c>
      <c r="O1138" s="8">
        <v>2</v>
      </c>
      <c r="P1138" s="8">
        <v>2</v>
      </c>
      <c r="Q1138" s="8">
        <v>2</v>
      </c>
      <c r="R1138" s="8">
        <v>2</v>
      </c>
      <c r="S1138" s="8">
        <v>2</v>
      </c>
      <c r="T1138" s="8">
        <v>2</v>
      </c>
      <c r="U1138" s="8">
        <v>0</v>
      </c>
      <c r="V1138" s="8">
        <v>2</v>
      </c>
      <c r="W1138" s="8">
        <v>2</v>
      </c>
      <c r="X1138" s="8">
        <v>2</v>
      </c>
      <c r="Y1138" s="8">
        <v>2</v>
      </c>
      <c r="Z1138" s="8">
        <v>2</v>
      </c>
      <c r="AA1138" s="8">
        <v>2</v>
      </c>
      <c r="AB1138" s="8">
        <v>0</v>
      </c>
      <c r="AC1138" s="8">
        <v>2</v>
      </c>
      <c r="AD1138" s="8">
        <v>2</v>
      </c>
      <c r="AE1138" s="8">
        <v>2</v>
      </c>
      <c r="AF1138" s="8">
        <v>2</v>
      </c>
      <c r="AG1138" s="8">
        <v>2</v>
      </c>
      <c r="AH1138" s="8">
        <v>2</v>
      </c>
      <c r="AI1138" s="8">
        <v>0</v>
      </c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11" t="s">
        <v>249</v>
      </c>
    </row>
    <row r="1139" spans="1:46" ht="15.1" customHeight="1">
      <c r="A1139" s="8"/>
      <c r="B1139" s="9"/>
      <c r="C1139" s="8"/>
      <c r="D1139" s="9"/>
      <c r="E1139" s="8">
        <v>1</v>
      </c>
      <c r="F1139" s="8">
        <v>1</v>
      </c>
      <c r="G1139" s="8">
        <v>0</v>
      </c>
      <c r="H1139" s="8">
        <v>1</v>
      </c>
      <c r="I1139" s="8">
        <v>1</v>
      </c>
      <c r="J1139" s="8">
        <v>1</v>
      </c>
      <c r="K1139" s="8">
        <v>1</v>
      </c>
      <c r="L1139" s="8">
        <v>1</v>
      </c>
      <c r="M1139" s="8">
        <v>1</v>
      </c>
      <c r="N1139" s="8">
        <v>0</v>
      </c>
      <c r="O1139" s="8">
        <v>1</v>
      </c>
      <c r="P1139" s="8">
        <v>1</v>
      </c>
      <c r="Q1139" s="8">
        <v>1</v>
      </c>
      <c r="R1139" s="8">
        <v>1</v>
      </c>
      <c r="S1139" s="8">
        <v>1</v>
      </c>
      <c r="T1139" s="8">
        <v>1</v>
      </c>
      <c r="U1139" s="8">
        <v>0</v>
      </c>
      <c r="V1139" s="8">
        <v>1</v>
      </c>
      <c r="W1139" s="8">
        <v>1</v>
      </c>
      <c r="X1139" s="8">
        <v>1</v>
      </c>
      <c r="Y1139" s="8">
        <v>1</v>
      </c>
      <c r="Z1139" s="8">
        <v>1</v>
      </c>
      <c r="AA1139" s="8">
        <v>1</v>
      </c>
      <c r="AB1139" s="8">
        <v>0</v>
      </c>
      <c r="AC1139" s="8">
        <v>1</v>
      </c>
      <c r="AD1139" s="8">
        <v>1</v>
      </c>
      <c r="AE1139" s="8">
        <v>1</v>
      </c>
      <c r="AF1139" s="8">
        <v>1</v>
      </c>
      <c r="AG1139" s="8">
        <v>1</v>
      </c>
      <c r="AH1139" s="8">
        <v>1</v>
      </c>
      <c r="AI1139" s="8">
        <v>0</v>
      </c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11" t="s">
        <v>249</v>
      </c>
    </row>
    <row r="1140" spans="1:46" ht="15.1" customHeight="1">
      <c r="A1140" s="8">
        <v>379</v>
      </c>
      <c r="B1140" s="9" t="s">
        <v>1017</v>
      </c>
      <c r="C1140" s="8" t="s">
        <v>1018</v>
      </c>
      <c r="D1140" s="9" t="s">
        <v>451</v>
      </c>
      <c r="E1140" s="8" t="s">
        <v>54</v>
      </c>
      <c r="F1140" s="8" t="s">
        <v>54</v>
      </c>
      <c r="G1140" s="10" t="s">
        <v>67</v>
      </c>
      <c r="H1140" s="8" t="s">
        <v>54</v>
      </c>
      <c r="I1140" s="8" t="s">
        <v>54</v>
      </c>
      <c r="J1140" s="8" t="s">
        <v>54</v>
      </c>
      <c r="K1140" s="8" t="s">
        <v>54</v>
      </c>
      <c r="L1140" s="8" t="s">
        <v>54</v>
      </c>
      <c r="M1140" s="8" t="s">
        <v>54</v>
      </c>
      <c r="N1140" s="10" t="s">
        <v>67</v>
      </c>
      <c r="O1140" s="8" t="s">
        <v>54</v>
      </c>
      <c r="P1140" s="8" t="s">
        <v>54</v>
      </c>
      <c r="Q1140" s="8" t="s">
        <v>54</v>
      </c>
      <c r="R1140" s="8" t="s">
        <v>54</v>
      </c>
      <c r="S1140" s="8" t="s">
        <v>54</v>
      </c>
      <c r="T1140" s="8" t="s">
        <v>54</v>
      </c>
      <c r="U1140" s="10" t="s">
        <v>67</v>
      </c>
      <c r="V1140" s="8" t="s">
        <v>54</v>
      </c>
      <c r="W1140" s="8" t="s">
        <v>54</v>
      </c>
      <c r="X1140" s="8" t="s">
        <v>54</v>
      </c>
      <c r="Y1140" s="8" t="s">
        <v>54</v>
      </c>
      <c r="Z1140" s="8" t="s">
        <v>54</v>
      </c>
      <c r="AA1140" s="8" t="s">
        <v>54</v>
      </c>
      <c r="AB1140" s="10" t="s">
        <v>67</v>
      </c>
      <c r="AC1140" s="8" t="s">
        <v>54</v>
      </c>
      <c r="AD1140" s="8" t="s">
        <v>54</v>
      </c>
      <c r="AE1140" s="8" t="s">
        <v>54</v>
      </c>
      <c r="AF1140" s="8" t="s">
        <v>54</v>
      </c>
      <c r="AG1140" s="8" t="s">
        <v>54</v>
      </c>
      <c r="AH1140" s="8" t="s">
        <v>54</v>
      </c>
      <c r="AI1140" s="10" t="s">
        <v>67</v>
      </c>
      <c r="AJ1140" s="8">
        <f>COUNTIF($E$1140:$AI$1140,"P")</f>
        <v>26</v>
      </c>
      <c r="AK1140" s="8">
        <f>COUNTIF($E$1140:$AI$1140,"A")</f>
        <v>0</v>
      </c>
      <c r="AL1140" s="8">
        <f>SUM($E$1141:$AI$1141)</f>
        <v>50</v>
      </c>
      <c r="AM1140" s="8">
        <f>SUM($E$1142:$AI$1142)</f>
        <v>25</v>
      </c>
      <c r="AN1140" s="8">
        <f>AL1140+AM1140</f>
        <v>75</v>
      </c>
      <c r="AO1140" s="8">
        <f>COUNTIF($E$1140:$AI$1140,"CL")</f>
        <v>0</v>
      </c>
      <c r="AP1140" s="8">
        <f>COUNTIF($E$1140:$AI$1140,"SL")</f>
        <v>0</v>
      </c>
      <c r="AQ1140" s="8">
        <f>COUNTIF($E$1140:$AI$1140,"EL")</f>
        <v>0</v>
      </c>
      <c r="AR1140" s="8">
        <f>COUNTIF($E$1140:$AI$1140,"H")</f>
        <v>0</v>
      </c>
      <c r="AS1140" s="8"/>
      <c r="AT1140" s="11" t="s">
        <v>249</v>
      </c>
    </row>
    <row r="1141" spans="1:46" ht="15.1" customHeight="1">
      <c r="A1141" s="8"/>
      <c r="B1141" s="9"/>
      <c r="C1141" s="8"/>
      <c r="D1141" s="9"/>
      <c r="E1141" s="8">
        <v>2</v>
      </c>
      <c r="F1141" s="8">
        <v>2</v>
      </c>
      <c r="G1141" s="8">
        <v>0</v>
      </c>
      <c r="H1141" s="8">
        <v>0</v>
      </c>
      <c r="I1141" s="8">
        <v>2</v>
      </c>
      <c r="J1141" s="8">
        <v>2</v>
      </c>
      <c r="K1141" s="8">
        <v>2</v>
      </c>
      <c r="L1141" s="8">
        <v>2</v>
      </c>
      <c r="M1141" s="8">
        <v>2</v>
      </c>
      <c r="N1141" s="8">
        <v>0</v>
      </c>
      <c r="O1141" s="8">
        <v>2</v>
      </c>
      <c r="P1141" s="8">
        <v>2</v>
      </c>
      <c r="Q1141" s="8">
        <v>2</v>
      </c>
      <c r="R1141" s="8">
        <v>2</v>
      </c>
      <c r="S1141" s="8">
        <v>2</v>
      </c>
      <c r="T1141" s="8">
        <v>2</v>
      </c>
      <c r="U1141" s="8">
        <v>0</v>
      </c>
      <c r="V1141" s="8">
        <v>2</v>
      </c>
      <c r="W1141" s="8">
        <v>2</v>
      </c>
      <c r="X1141" s="8">
        <v>2</v>
      </c>
      <c r="Y1141" s="8">
        <v>2</v>
      </c>
      <c r="Z1141" s="8">
        <v>2</v>
      </c>
      <c r="AA1141" s="8">
        <v>2</v>
      </c>
      <c r="AB1141" s="8">
        <v>0</v>
      </c>
      <c r="AC1141" s="8">
        <v>2</v>
      </c>
      <c r="AD1141" s="8">
        <v>2</v>
      </c>
      <c r="AE1141" s="8">
        <v>2</v>
      </c>
      <c r="AF1141" s="8">
        <v>2</v>
      </c>
      <c r="AG1141" s="8">
        <v>2</v>
      </c>
      <c r="AH1141" s="8">
        <v>2</v>
      </c>
      <c r="AI1141" s="8">
        <v>0</v>
      </c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11" t="s">
        <v>249</v>
      </c>
    </row>
    <row r="1142" spans="1:46" ht="15.1" customHeight="1">
      <c r="A1142" s="8"/>
      <c r="B1142" s="9"/>
      <c r="C1142" s="8"/>
      <c r="D1142" s="9"/>
      <c r="E1142" s="8">
        <v>1</v>
      </c>
      <c r="F1142" s="8">
        <v>1</v>
      </c>
      <c r="G1142" s="8">
        <v>0</v>
      </c>
      <c r="H1142" s="8">
        <v>0</v>
      </c>
      <c r="I1142" s="8">
        <v>1</v>
      </c>
      <c r="J1142" s="8">
        <v>1</v>
      </c>
      <c r="K1142" s="8">
        <v>1</v>
      </c>
      <c r="L1142" s="8">
        <v>1</v>
      </c>
      <c r="M1142" s="8">
        <v>1</v>
      </c>
      <c r="N1142" s="8">
        <v>0</v>
      </c>
      <c r="O1142" s="8">
        <v>1</v>
      </c>
      <c r="P1142" s="8">
        <v>1</v>
      </c>
      <c r="Q1142" s="8">
        <v>1</v>
      </c>
      <c r="R1142" s="8">
        <v>1</v>
      </c>
      <c r="S1142" s="8">
        <v>1</v>
      </c>
      <c r="T1142" s="8">
        <v>1</v>
      </c>
      <c r="U1142" s="8">
        <v>0</v>
      </c>
      <c r="V1142" s="8">
        <v>1</v>
      </c>
      <c r="W1142" s="8">
        <v>1</v>
      </c>
      <c r="X1142" s="8">
        <v>1</v>
      </c>
      <c r="Y1142" s="8">
        <v>1</v>
      </c>
      <c r="Z1142" s="8">
        <v>1</v>
      </c>
      <c r="AA1142" s="8">
        <v>1</v>
      </c>
      <c r="AB1142" s="8">
        <v>0</v>
      </c>
      <c r="AC1142" s="8">
        <v>1</v>
      </c>
      <c r="AD1142" s="8">
        <v>1</v>
      </c>
      <c r="AE1142" s="8">
        <v>1</v>
      </c>
      <c r="AF1142" s="8">
        <v>1</v>
      </c>
      <c r="AG1142" s="8">
        <v>1</v>
      </c>
      <c r="AH1142" s="8">
        <v>1</v>
      </c>
      <c r="AI1142" s="8">
        <v>0</v>
      </c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11" t="s">
        <v>249</v>
      </c>
    </row>
    <row r="1143" spans="1:46" ht="15.1" customHeight="1">
      <c r="A1143" s="8">
        <v>380</v>
      </c>
      <c r="B1143" s="9" t="s">
        <v>1019</v>
      </c>
      <c r="C1143" s="8" t="s">
        <v>1020</v>
      </c>
      <c r="D1143" s="9" t="s">
        <v>451</v>
      </c>
      <c r="E1143" s="8" t="s">
        <v>54</v>
      </c>
      <c r="F1143" s="8" t="s">
        <v>54</v>
      </c>
      <c r="G1143" s="10" t="s">
        <v>67</v>
      </c>
      <c r="H1143" s="8" t="s">
        <v>54</v>
      </c>
      <c r="I1143" s="8" t="s">
        <v>54</v>
      </c>
      <c r="J1143" s="8" t="s">
        <v>54</v>
      </c>
      <c r="K1143" s="12" t="s">
        <v>55</v>
      </c>
      <c r="L1143" s="8" t="s">
        <v>54</v>
      </c>
      <c r="M1143" s="8" t="s">
        <v>54</v>
      </c>
      <c r="N1143" s="10" t="s">
        <v>67</v>
      </c>
      <c r="O1143" s="8" t="s">
        <v>54</v>
      </c>
      <c r="P1143" s="8" t="s">
        <v>54</v>
      </c>
      <c r="Q1143" s="8" t="s">
        <v>54</v>
      </c>
      <c r="R1143" s="8" t="s">
        <v>54</v>
      </c>
      <c r="S1143" s="8" t="s">
        <v>54</v>
      </c>
      <c r="T1143" s="8" t="s">
        <v>54</v>
      </c>
      <c r="U1143" s="10" t="s">
        <v>67</v>
      </c>
      <c r="V1143" s="12" t="s">
        <v>55</v>
      </c>
      <c r="W1143" s="8" t="s">
        <v>54</v>
      </c>
      <c r="X1143" s="8" t="s">
        <v>54</v>
      </c>
      <c r="Y1143" s="8" t="s">
        <v>54</v>
      </c>
      <c r="Z1143" s="8" t="s">
        <v>54</v>
      </c>
      <c r="AA1143" s="8" t="s">
        <v>54</v>
      </c>
      <c r="AB1143" s="10" t="s">
        <v>67</v>
      </c>
      <c r="AC1143" s="8" t="s">
        <v>54</v>
      </c>
      <c r="AD1143" s="8" t="s">
        <v>54</v>
      </c>
      <c r="AE1143" s="8" t="s">
        <v>54</v>
      </c>
      <c r="AF1143" s="8" t="s">
        <v>54</v>
      </c>
      <c r="AG1143" s="8" t="s">
        <v>54</v>
      </c>
      <c r="AH1143" s="8" t="s">
        <v>54</v>
      </c>
      <c r="AI1143" s="10" t="s">
        <v>67</v>
      </c>
      <c r="AJ1143" s="8">
        <f>COUNTIF($E$1143:$AI$1143,"P")</f>
        <v>24</v>
      </c>
      <c r="AK1143" s="8">
        <f>COUNTIF($E$1143:$AI$1143,"A")</f>
        <v>2</v>
      </c>
      <c r="AL1143" s="8">
        <f>SUM($E$1144:$AI$1144)</f>
        <v>46</v>
      </c>
      <c r="AM1143" s="8">
        <f>SUM($E$1145:$AI$1145)</f>
        <v>23</v>
      </c>
      <c r="AN1143" s="8">
        <f>AL1143+AM1143</f>
        <v>69</v>
      </c>
      <c r="AO1143" s="8">
        <f>COUNTIF($E$1143:$AI$1143,"CL")</f>
        <v>0</v>
      </c>
      <c r="AP1143" s="8">
        <f>COUNTIF($E$1143:$AI$1143,"SL")</f>
        <v>0</v>
      </c>
      <c r="AQ1143" s="8">
        <f>COUNTIF($E$1143:$AI$1143,"EL")</f>
        <v>0</v>
      </c>
      <c r="AR1143" s="8">
        <f>COUNTIF($E$1143:$AI$1143,"H")</f>
        <v>0</v>
      </c>
      <c r="AS1143" s="8"/>
      <c r="AT1143" s="11" t="s">
        <v>249</v>
      </c>
    </row>
    <row r="1144" spans="1:46" ht="15.1" customHeight="1">
      <c r="A1144" s="8"/>
      <c r="B1144" s="9"/>
      <c r="C1144" s="8"/>
      <c r="D1144" s="9"/>
      <c r="E1144" s="8">
        <v>2</v>
      </c>
      <c r="F1144" s="8">
        <v>2</v>
      </c>
      <c r="G1144" s="8">
        <v>0</v>
      </c>
      <c r="H1144" s="8">
        <v>2</v>
      </c>
      <c r="I1144" s="8">
        <v>2</v>
      </c>
      <c r="J1144" s="8">
        <v>2</v>
      </c>
      <c r="K1144" s="8">
        <v>0</v>
      </c>
      <c r="L1144" s="8">
        <v>2</v>
      </c>
      <c r="M1144" s="8">
        <v>2</v>
      </c>
      <c r="N1144" s="8">
        <v>0</v>
      </c>
      <c r="O1144" s="8">
        <v>2</v>
      </c>
      <c r="P1144" s="8">
        <v>2</v>
      </c>
      <c r="Q1144" s="8">
        <v>2</v>
      </c>
      <c r="R1144" s="8">
        <v>2</v>
      </c>
      <c r="S1144" s="8">
        <v>2</v>
      </c>
      <c r="T1144" s="8">
        <v>2</v>
      </c>
      <c r="U1144" s="8">
        <v>0</v>
      </c>
      <c r="V1144" s="8">
        <v>0</v>
      </c>
      <c r="W1144" s="8">
        <v>2</v>
      </c>
      <c r="X1144" s="8">
        <v>2</v>
      </c>
      <c r="Y1144" s="8">
        <v>2</v>
      </c>
      <c r="Z1144" s="8">
        <v>2</v>
      </c>
      <c r="AA1144" s="8">
        <v>2</v>
      </c>
      <c r="AB1144" s="8">
        <v>0</v>
      </c>
      <c r="AC1144" s="8">
        <v>2</v>
      </c>
      <c r="AD1144" s="8">
        <v>2</v>
      </c>
      <c r="AE1144" s="8">
        <v>2</v>
      </c>
      <c r="AF1144" s="8">
        <v>0</v>
      </c>
      <c r="AG1144" s="8">
        <v>2</v>
      </c>
      <c r="AH1144" s="8">
        <v>2</v>
      </c>
      <c r="AI1144" s="8">
        <v>0</v>
      </c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11" t="s">
        <v>249</v>
      </c>
    </row>
    <row r="1145" spans="1:46" ht="15.1" customHeight="1">
      <c r="A1145" s="8"/>
      <c r="B1145" s="9"/>
      <c r="C1145" s="8"/>
      <c r="D1145" s="9"/>
      <c r="E1145" s="8">
        <v>1</v>
      </c>
      <c r="F1145" s="8">
        <v>1</v>
      </c>
      <c r="G1145" s="8">
        <v>0</v>
      </c>
      <c r="H1145" s="8">
        <v>1</v>
      </c>
      <c r="I1145" s="8">
        <v>1</v>
      </c>
      <c r="J1145" s="8">
        <v>1</v>
      </c>
      <c r="K1145" s="8">
        <v>0</v>
      </c>
      <c r="L1145" s="8">
        <v>1</v>
      </c>
      <c r="M1145" s="8">
        <v>1</v>
      </c>
      <c r="N1145" s="8">
        <v>0</v>
      </c>
      <c r="O1145" s="8">
        <v>1</v>
      </c>
      <c r="P1145" s="8">
        <v>1</v>
      </c>
      <c r="Q1145" s="8">
        <v>1</v>
      </c>
      <c r="R1145" s="8">
        <v>1</v>
      </c>
      <c r="S1145" s="8">
        <v>1</v>
      </c>
      <c r="T1145" s="8">
        <v>1</v>
      </c>
      <c r="U1145" s="8">
        <v>0</v>
      </c>
      <c r="V1145" s="8">
        <v>0</v>
      </c>
      <c r="W1145" s="8">
        <v>1</v>
      </c>
      <c r="X1145" s="8">
        <v>1</v>
      </c>
      <c r="Y1145" s="8">
        <v>1</v>
      </c>
      <c r="Z1145" s="8">
        <v>1</v>
      </c>
      <c r="AA1145" s="8">
        <v>1</v>
      </c>
      <c r="AB1145" s="8">
        <v>0</v>
      </c>
      <c r="AC1145" s="8">
        <v>1</v>
      </c>
      <c r="AD1145" s="8">
        <v>1</v>
      </c>
      <c r="AE1145" s="8">
        <v>1</v>
      </c>
      <c r="AF1145" s="8">
        <v>0</v>
      </c>
      <c r="AG1145" s="8">
        <v>1</v>
      </c>
      <c r="AH1145" s="8">
        <v>1</v>
      </c>
      <c r="AI1145" s="8">
        <v>0</v>
      </c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11" t="s">
        <v>249</v>
      </c>
    </row>
    <row r="1146" spans="1:46" ht="15.1" customHeight="1">
      <c r="A1146" s="8">
        <v>381</v>
      </c>
      <c r="B1146" s="9" t="s">
        <v>1021</v>
      </c>
      <c r="C1146" s="8" t="s">
        <v>1022</v>
      </c>
      <c r="D1146" s="9" t="s">
        <v>451</v>
      </c>
      <c r="E1146" s="8" t="s">
        <v>54</v>
      </c>
      <c r="F1146" s="8" t="s">
        <v>54</v>
      </c>
      <c r="G1146" s="10" t="s">
        <v>67</v>
      </c>
      <c r="H1146" s="8" t="s">
        <v>54</v>
      </c>
      <c r="I1146" s="8" t="s">
        <v>54</v>
      </c>
      <c r="J1146" s="8" t="s">
        <v>54</v>
      </c>
      <c r="K1146" s="8" t="s">
        <v>54</v>
      </c>
      <c r="L1146" s="8" t="s">
        <v>54</v>
      </c>
      <c r="M1146" s="8" t="s">
        <v>54</v>
      </c>
      <c r="N1146" s="10" t="s">
        <v>67</v>
      </c>
      <c r="O1146" s="8" t="s">
        <v>54</v>
      </c>
      <c r="P1146" s="8" t="s">
        <v>54</v>
      </c>
      <c r="Q1146" s="8" t="s">
        <v>54</v>
      </c>
      <c r="R1146" s="8" t="s">
        <v>54</v>
      </c>
      <c r="S1146" s="8" t="s">
        <v>54</v>
      </c>
      <c r="T1146" s="8" t="s">
        <v>54</v>
      </c>
      <c r="U1146" s="10" t="s">
        <v>67</v>
      </c>
      <c r="V1146" s="8" t="s">
        <v>54</v>
      </c>
      <c r="W1146" s="8" t="s">
        <v>54</v>
      </c>
      <c r="X1146" s="8" t="s">
        <v>54</v>
      </c>
      <c r="Y1146" s="8" t="s">
        <v>54</v>
      </c>
      <c r="Z1146" s="8" t="s">
        <v>54</v>
      </c>
      <c r="AA1146" s="8" t="s">
        <v>54</v>
      </c>
      <c r="AB1146" s="10" t="s">
        <v>67</v>
      </c>
      <c r="AC1146" s="8" t="s">
        <v>54</v>
      </c>
      <c r="AD1146" s="8" t="s">
        <v>54</v>
      </c>
      <c r="AE1146" s="8" t="s">
        <v>54</v>
      </c>
      <c r="AF1146" s="8" t="s">
        <v>54</v>
      </c>
      <c r="AG1146" s="8" t="s">
        <v>54</v>
      </c>
      <c r="AH1146" s="8" t="s">
        <v>54</v>
      </c>
      <c r="AI1146" s="10" t="s">
        <v>67</v>
      </c>
      <c r="AJ1146" s="8">
        <f>COUNTIF($E$1146:$AI$1146,"P")</f>
        <v>26</v>
      </c>
      <c r="AK1146" s="8">
        <f>COUNTIF($E$1146:$AI$1146,"A")</f>
        <v>0</v>
      </c>
      <c r="AL1146" s="8">
        <f>SUM($E$1147:$AI$1147)</f>
        <v>46</v>
      </c>
      <c r="AM1146" s="8">
        <f>SUM($E$1148:$AI$1148)</f>
        <v>34</v>
      </c>
      <c r="AN1146" s="8">
        <f>AL1146+AM1146</f>
        <v>80</v>
      </c>
      <c r="AO1146" s="8">
        <f>COUNTIF($E$1146:$AI$1146,"CL")</f>
        <v>0</v>
      </c>
      <c r="AP1146" s="8">
        <f>COUNTIF($E$1146:$AI$1146,"SL")</f>
        <v>0</v>
      </c>
      <c r="AQ1146" s="8">
        <f>COUNTIF($E$1146:$AI$1146,"EL")</f>
        <v>0</v>
      </c>
      <c r="AR1146" s="8">
        <f>COUNTIF($E$1146:$AI$1146,"H")</f>
        <v>0</v>
      </c>
      <c r="AS1146" s="8"/>
      <c r="AT1146" s="11" t="s">
        <v>249</v>
      </c>
    </row>
    <row r="1147" spans="1:46" ht="15.1" customHeight="1">
      <c r="A1147" s="8"/>
      <c r="B1147" s="9"/>
      <c r="C1147" s="8"/>
      <c r="D1147" s="9"/>
      <c r="E1147" s="8">
        <v>0</v>
      </c>
      <c r="F1147" s="8">
        <v>0</v>
      </c>
      <c r="G1147" s="8">
        <v>0</v>
      </c>
      <c r="H1147" s="8">
        <v>0</v>
      </c>
      <c r="I1147" s="8">
        <v>2</v>
      </c>
      <c r="J1147" s="8">
        <v>2</v>
      </c>
      <c r="K1147" s="8">
        <v>2</v>
      </c>
      <c r="L1147" s="8">
        <v>2</v>
      </c>
      <c r="M1147" s="8">
        <v>2</v>
      </c>
      <c r="N1147" s="8">
        <v>0</v>
      </c>
      <c r="O1147" s="8">
        <v>2</v>
      </c>
      <c r="P1147" s="8">
        <v>2</v>
      </c>
      <c r="Q1147" s="8">
        <v>2</v>
      </c>
      <c r="R1147" s="8">
        <v>2</v>
      </c>
      <c r="S1147" s="8">
        <v>2</v>
      </c>
      <c r="T1147" s="8">
        <v>2</v>
      </c>
      <c r="U1147" s="8">
        <v>0</v>
      </c>
      <c r="V1147" s="8">
        <v>2</v>
      </c>
      <c r="W1147" s="8">
        <v>2</v>
      </c>
      <c r="X1147" s="8">
        <v>2</v>
      </c>
      <c r="Y1147" s="8">
        <v>2</v>
      </c>
      <c r="Z1147" s="8">
        <v>2</v>
      </c>
      <c r="AA1147" s="8">
        <v>2</v>
      </c>
      <c r="AB1147" s="8">
        <v>0</v>
      </c>
      <c r="AC1147" s="8">
        <v>2</v>
      </c>
      <c r="AD1147" s="8">
        <v>2</v>
      </c>
      <c r="AE1147" s="8">
        <v>2</v>
      </c>
      <c r="AF1147" s="8">
        <v>2</v>
      </c>
      <c r="AG1147" s="8">
        <v>2</v>
      </c>
      <c r="AH1147" s="8">
        <v>2</v>
      </c>
      <c r="AI1147" s="8">
        <v>0</v>
      </c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11" t="s">
        <v>249</v>
      </c>
    </row>
    <row r="1148" spans="1:46" ht="15.1" customHeight="1">
      <c r="A1148" s="8"/>
      <c r="B1148" s="9"/>
      <c r="C1148" s="8"/>
      <c r="D1148" s="9"/>
      <c r="E1148" s="8">
        <v>0</v>
      </c>
      <c r="F1148" s="8">
        <v>0</v>
      </c>
      <c r="G1148" s="8">
        <v>0</v>
      </c>
      <c r="H1148" s="8">
        <v>0</v>
      </c>
      <c r="I1148" s="8">
        <v>1</v>
      </c>
      <c r="J1148" s="8">
        <v>1</v>
      </c>
      <c r="K1148" s="8">
        <v>1</v>
      </c>
      <c r="L1148" s="8">
        <v>1</v>
      </c>
      <c r="M1148" s="8">
        <v>1</v>
      </c>
      <c r="N1148" s="8">
        <v>11</v>
      </c>
      <c r="O1148" s="8">
        <v>1</v>
      </c>
      <c r="P1148" s="8">
        <v>1</v>
      </c>
      <c r="Q1148" s="8">
        <v>1</v>
      </c>
      <c r="R1148" s="8">
        <v>1</v>
      </c>
      <c r="S1148" s="8">
        <v>1</v>
      </c>
      <c r="T1148" s="8">
        <v>1</v>
      </c>
      <c r="U1148" s="8">
        <v>0</v>
      </c>
      <c r="V1148" s="8">
        <v>1</v>
      </c>
      <c r="W1148" s="8">
        <v>1</v>
      </c>
      <c r="X1148" s="8">
        <v>1</v>
      </c>
      <c r="Y1148" s="8">
        <v>1</v>
      </c>
      <c r="Z1148" s="8">
        <v>1</v>
      </c>
      <c r="AA1148" s="8">
        <v>1</v>
      </c>
      <c r="AB1148" s="8">
        <v>0</v>
      </c>
      <c r="AC1148" s="8">
        <v>1</v>
      </c>
      <c r="AD1148" s="8">
        <v>1</v>
      </c>
      <c r="AE1148" s="8">
        <v>1</v>
      </c>
      <c r="AF1148" s="8">
        <v>1</v>
      </c>
      <c r="AG1148" s="8">
        <v>1</v>
      </c>
      <c r="AH1148" s="8">
        <v>1</v>
      </c>
      <c r="AI1148" s="8">
        <v>0</v>
      </c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11" t="s">
        <v>249</v>
      </c>
    </row>
    <row r="1149" spans="1:46" ht="15.1" customHeight="1">
      <c r="A1149" s="8">
        <v>382</v>
      </c>
      <c r="B1149" s="9" t="s">
        <v>1023</v>
      </c>
      <c r="C1149" s="8" t="s">
        <v>1024</v>
      </c>
      <c r="D1149" s="9" t="s">
        <v>451</v>
      </c>
      <c r="E1149" s="8" t="s">
        <v>54</v>
      </c>
      <c r="F1149" s="8" t="s">
        <v>54</v>
      </c>
      <c r="G1149" s="10" t="s">
        <v>67</v>
      </c>
      <c r="H1149" s="8" t="s">
        <v>54</v>
      </c>
      <c r="I1149" s="8" t="s">
        <v>54</v>
      </c>
      <c r="J1149" s="8" t="s">
        <v>54</v>
      </c>
      <c r="K1149" s="8" t="s">
        <v>54</v>
      </c>
      <c r="L1149" s="8" t="s">
        <v>54</v>
      </c>
      <c r="M1149" s="8" t="s">
        <v>54</v>
      </c>
      <c r="N1149" s="10" t="s">
        <v>67</v>
      </c>
      <c r="O1149" s="12" t="s">
        <v>55</v>
      </c>
      <c r="P1149" s="8" t="s">
        <v>54</v>
      </c>
      <c r="Q1149" s="8" t="s">
        <v>54</v>
      </c>
      <c r="R1149" s="8" t="s">
        <v>54</v>
      </c>
      <c r="S1149" s="8" t="s">
        <v>54</v>
      </c>
      <c r="T1149" s="8" t="s">
        <v>54</v>
      </c>
      <c r="U1149" s="10" t="s">
        <v>67</v>
      </c>
      <c r="V1149" s="8" t="s">
        <v>54</v>
      </c>
      <c r="W1149" s="8" t="s">
        <v>54</v>
      </c>
      <c r="X1149" s="8" t="s">
        <v>54</v>
      </c>
      <c r="Y1149" s="8" t="s">
        <v>54</v>
      </c>
      <c r="Z1149" s="8" t="s">
        <v>54</v>
      </c>
      <c r="AA1149" s="8" t="s">
        <v>54</v>
      </c>
      <c r="AB1149" s="10" t="s">
        <v>67</v>
      </c>
      <c r="AC1149" s="8" t="s">
        <v>54</v>
      </c>
      <c r="AD1149" s="12" t="s">
        <v>55</v>
      </c>
      <c r="AE1149" s="8" t="s">
        <v>54</v>
      </c>
      <c r="AF1149" s="8" t="s">
        <v>54</v>
      </c>
      <c r="AG1149" s="8" t="s">
        <v>54</v>
      </c>
      <c r="AH1149" s="8" t="s">
        <v>54</v>
      </c>
      <c r="AI1149" s="10" t="s">
        <v>67</v>
      </c>
      <c r="AJ1149" s="8">
        <f>COUNTIF($E$1149:$AI$1149,"P")</f>
        <v>24</v>
      </c>
      <c r="AK1149" s="8">
        <f>COUNTIF($E$1149:$AI$1149,"A")</f>
        <v>2</v>
      </c>
      <c r="AL1149" s="8">
        <f>SUM($E$1150:$AI$1150)</f>
        <v>44</v>
      </c>
      <c r="AM1149" s="8">
        <f>SUM($E$1151:$AI$1151)</f>
        <v>22</v>
      </c>
      <c r="AN1149" s="8">
        <f>AL1149+AM1149</f>
        <v>66</v>
      </c>
      <c r="AO1149" s="8">
        <f>COUNTIF($E$1149:$AI$1149,"CL")</f>
        <v>0</v>
      </c>
      <c r="AP1149" s="8">
        <f>COUNTIF($E$1149:$AI$1149,"SL")</f>
        <v>0</v>
      </c>
      <c r="AQ1149" s="8">
        <f>COUNTIF($E$1149:$AI$1149,"EL")</f>
        <v>0</v>
      </c>
      <c r="AR1149" s="8">
        <f>COUNTIF($E$1149:$AI$1149,"H")</f>
        <v>0</v>
      </c>
      <c r="AS1149" s="8"/>
      <c r="AT1149" s="11" t="s">
        <v>249</v>
      </c>
    </row>
    <row r="1150" spans="1:46" ht="15.1" customHeight="1">
      <c r="A1150" s="8"/>
      <c r="B1150" s="9"/>
      <c r="C1150" s="8"/>
      <c r="D1150" s="9"/>
      <c r="E1150" s="8">
        <v>0</v>
      </c>
      <c r="F1150" s="8">
        <v>2</v>
      </c>
      <c r="G1150" s="8">
        <v>0</v>
      </c>
      <c r="H1150" s="8">
        <v>2</v>
      </c>
      <c r="I1150" s="8">
        <v>2</v>
      </c>
      <c r="J1150" s="8">
        <v>2</v>
      </c>
      <c r="K1150" s="8">
        <v>2</v>
      </c>
      <c r="L1150" s="8">
        <v>2</v>
      </c>
      <c r="M1150" s="8">
        <v>2</v>
      </c>
      <c r="N1150" s="8">
        <v>0</v>
      </c>
      <c r="O1150" s="8">
        <v>0</v>
      </c>
      <c r="P1150" s="8">
        <v>2</v>
      </c>
      <c r="Q1150" s="8">
        <v>2</v>
      </c>
      <c r="R1150" s="8">
        <v>2</v>
      </c>
      <c r="S1150" s="8">
        <v>2</v>
      </c>
      <c r="T1150" s="8">
        <v>2</v>
      </c>
      <c r="U1150" s="8">
        <v>0</v>
      </c>
      <c r="V1150" s="8">
        <v>2</v>
      </c>
      <c r="W1150" s="8">
        <v>2</v>
      </c>
      <c r="X1150" s="8">
        <v>2</v>
      </c>
      <c r="Y1150" s="8">
        <v>2</v>
      </c>
      <c r="Z1150" s="8">
        <v>0</v>
      </c>
      <c r="AA1150" s="8">
        <v>2</v>
      </c>
      <c r="AB1150" s="8">
        <v>0</v>
      </c>
      <c r="AC1150" s="8">
        <v>2</v>
      </c>
      <c r="AD1150" s="8">
        <v>0</v>
      </c>
      <c r="AE1150" s="8">
        <v>2</v>
      </c>
      <c r="AF1150" s="8">
        <v>2</v>
      </c>
      <c r="AG1150" s="8">
        <v>2</v>
      </c>
      <c r="AH1150" s="8">
        <v>2</v>
      </c>
      <c r="AI1150" s="8">
        <v>0</v>
      </c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11" t="s">
        <v>249</v>
      </c>
    </row>
    <row r="1151" spans="1:46" ht="15.1" customHeight="1">
      <c r="A1151" s="8"/>
      <c r="B1151" s="9"/>
      <c r="C1151" s="8"/>
      <c r="D1151" s="9"/>
      <c r="E1151" s="8">
        <v>0</v>
      </c>
      <c r="F1151" s="8">
        <v>1</v>
      </c>
      <c r="G1151" s="8">
        <v>0</v>
      </c>
      <c r="H1151" s="8">
        <v>1</v>
      </c>
      <c r="I1151" s="8">
        <v>1</v>
      </c>
      <c r="J1151" s="8">
        <v>1</v>
      </c>
      <c r="K1151" s="8">
        <v>1</v>
      </c>
      <c r="L1151" s="8">
        <v>1</v>
      </c>
      <c r="M1151" s="8">
        <v>1</v>
      </c>
      <c r="N1151" s="8">
        <v>0</v>
      </c>
      <c r="O1151" s="8">
        <v>0</v>
      </c>
      <c r="P1151" s="8">
        <v>1</v>
      </c>
      <c r="Q1151" s="8">
        <v>1</v>
      </c>
      <c r="R1151" s="8">
        <v>1</v>
      </c>
      <c r="S1151" s="8">
        <v>1</v>
      </c>
      <c r="T1151" s="8">
        <v>1</v>
      </c>
      <c r="U1151" s="8">
        <v>0</v>
      </c>
      <c r="V1151" s="8">
        <v>1</v>
      </c>
      <c r="W1151" s="8">
        <v>1</v>
      </c>
      <c r="X1151" s="8">
        <v>1</v>
      </c>
      <c r="Y1151" s="8">
        <v>1</v>
      </c>
      <c r="Z1151" s="8">
        <v>0</v>
      </c>
      <c r="AA1151" s="8">
        <v>1</v>
      </c>
      <c r="AB1151" s="8">
        <v>0</v>
      </c>
      <c r="AC1151" s="8">
        <v>1</v>
      </c>
      <c r="AD1151" s="8">
        <v>0</v>
      </c>
      <c r="AE1151" s="8">
        <v>1</v>
      </c>
      <c r="AF1151" s="8">
        <v>1</v>
      </c>
      <c r="AG1151" s="8">
        <v>1</v>
      </c>
      <c r="AH1151" s="8">
        <v>1</v>
      </c>
      <c r="AI1151" s="8">
        <v>0</v>
      </c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11" t="s">
        <v>249</v>
      </c>
    </row>
    <row r="1152" spans="1:46" ht="15.1" customHeight="1">
      <c r="A1152" s="8">
        <v>383</v>
      </c>
      <c r="B1152" s="9" t="s">
        <v>1025</v>
      </c>
      <c r="C1152" s="8" t="s">
        <v>1026</v>
      </c>
      <c r="D1152" s="9" t="s">
        <v>451</v>
      </c>
      <c r="E1152" s="8" t="s">
        <v>54</v>
      </c>
      <c r="F1152" s="8" t="s">
        <v>54</v>
      </c>
      <c r="G1152" s="10" t="s">
        <v>67</v>
      </c>
      <c r="H1152" s="12" t="s">
        <v>55</v>
      </c>
      <c r="I1152" s="8" t="s">
        <v>54</v>
      </c>
      <c r="J1152" s="8" t="s">
        <v>54</v>
      </c>
      <c r="K1152" s="8" t="s">
        <v>54</v>
      </c>
      <c r="L1152" s="8" t="s">
        <v>54</v>
      </c>
      <c r="M1152" s="8" t="s">
        <v>54</v>
      </c>
      <c r="N1152" s="10" t="s">
        <v>67</v>
      </c>
      <c r="O1152" s="8" t="s">
        <v>54</v>
      </c>
      <c r="P1152" s="8" t="s">
        <v>54</v>
      </c>
      <c r="Q1152" s="8" t="s">
        <v>54</v>
      </c>
      <c r="R1152" s="8" t="s">
        <v>54</v>
      </c>
      <c r="S1152" s="8" t="s">
        <v>54</v>
      </c>
      <c r="T1152" s="8" t="s">
        <v>54</v>
      </c>
      <c r="U1152" s="10" t="s">
        <v>67</v>
      </c>
      <c r="V1152" s="8" t="s">
        <v>54</v>
      </c>
      <c r="W1152" s="8" t="s">
        <v>54</v>
      </c>
      <c r="X1152" s="8" t="s">
        <v>54</v>
      </c>
      <c r="Y1152" s="8" t="s">
        <v>54</v>
      </c>
      <c r="Z1152" s="8" t="s">
        <v>54</v>
      </c>
      <c r="AA1152" s="8" t="s">
        <v>54</v>
      </c>
      <c r="AB1152" s="10" t="s">
        <v>67</v>
      </c>
      <c r="AC1152" s="8" t="s">
        <v>54</v>
      </c>
      <c r="AD1152" s="8" t="s">
        <v>54</v>
      </c>
      <c r="AE1152" s="8" t="s">
        <v>54</v>
      </c>
      <c r="AF1152" s="8" t="s">
        <v>54</v>
      </c>
      <c r="AG1152" s="8" t="s">
        <v>54</v>
      </c>
      <c r="AH1152" s="8" t="s">
        <v>54</v>
      </c>
      <c r="AI1152" s="10" t="s">
        <v>67</v>
      </c>
      <c r="AJ1152" s="8">
        <f>COUNTIF($E$1152:$AI$1152,"P")</f>
        <v>25</v>
      </c>
      <c r="AK1152" s="8">
        <f>COUNTIF($E$1152:$AI$1152,"A")</f>
        <v>1</v>
      </c>
      <c r="AL1152" s="8">
        <f>SUM($E$1153:$AI$1153)</f>
        <v>50</v>
      </c>
      <c r="AM1152" s="8">
        <f>SUM($E$1154:$AI$1154)</f>
        <v>44</v>
      </c>
      <c r="AN1152" s="8">
        <f>AL1152+AM1152</f>
        <v>94</v>
      </c>
      <c r="AO1152" s="8">
        <f>COUNTIF($E$1152:$AI$1152,"CL")</f>
        <v>0</v>
      </c>
      <c r="AP1152" s="8">
        <f>COUNTIF($E$1152:$AI$1152,"SL")</f>
        <v>0</v>
      </c>
      <c r="AQ1152" s="8">
        <f>COUNTIF($E$1152:$AI$1152,"EL")</f>
        <v>0</v>
      </c>
      <c r="AR1152" s="8">
        <f>COUNTIF($E$1152:$AI$1152,"H")</f>
        <v>0</v>
      </c>
      <c r="AS1152" s="8"/>
      <c r="AT1152" s="11" t="s">
        <v>249</v>
      </c>
    </row>
    <row r="1153" spans="1:46" ht="15.1" customHeight="1">
      <c r="A1153" s="8"/>
      <c r="B1153" s="9"/>
      <c r="C1153" s="8"/>
      <c r="D1153" s="9"/>
      <c r="E1153" s="8">
        <v>2</v>
      </c>
      <c r="F1153" s="8">
        <v>2</v>
      </c>
      <c r="G1153" s="8">
        <v>0</v>
      </c>
      <c r="H1153" s="8">
        <v>0</v>
      </c>
      <c r="I1153" s="8">
        <v>2</v>
      </c>
      <c r="J1153" s="8">
        <v>2</v>
      </c>
      <c r="K1153" s="8">
        <v>2</v>
      </c>
      <c r="L1153" s="8">
        <v>2</v>
      </c>
      <c r="M1153" s="8">
        <v>2</v>
      </c>
      <c r="N1153" s="8">
        <v>0</v>
      </c>
      <c r="O1153" s="8">
        <v>2</v>
      </c>
      <c r="P1153" s="8">
        <v>2</v>
      </c>
      <c r="Q1153" s="8">
        <v>2</v>
      </c>
      <c r="R1153" s="8">
        <v>2</v>
      </c>
      <c r="S1153" s="8">
        <v>2</v>
      </c>
      <c r="T1153" s="8">
        <v>2</v>
      </c>
      <c r="U1153" s="8">
        <v>0</v>
      </c>
      <c r="V1153" s="8">
        <v>2</v>
      </c>
      <c r="W1153" s="8">
        <v>2</v>
      </c>
      <c r="X1153" s="8">
        <v>2</v>
      </c>
      <c r="Y1153" s="8">
        <v>2</v>
      </c>
      <c r="Z1153" s="8">
        <v>2</v>
      </c>
      <c r="AA1153" s="8">
        <v>2</v>
      </c>
      <c r="AB1153" s="8">
        <v>0</v>
      </c>
      <c r="AC1153" s="8">
        <v>2</v>
      </c>
      <c r="AD1153" s="8">
        <v>2</v>
      </c>
      <c r="AE1153" s="8">
        <v>2</v>
      </c>
      <c r="AF1153" s="8">
        <v>2</v>
      </c>
      <c r="AG1153" s="8">
        <v>2</v>
      </c>
      <c r="AH1153" s="8">
        <v>2</v>
      </c>
      <c r="AI1153" s="8">
        <v>0</v>
      </c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11" t="s">
        <v>249</v>
      </c>
    </row>
    <row r="1154" spans="1:46" ht="15.1" customHeight="1">
      <c r="A1154" s="8"/>
      <c r="B1154" s="9"/>
      <c r="C1154" s="8"/>
      <c r="D1154" s="9"/>
      <c r="E1154" s="8">
        <v>1</v>
      </c>
      <c r="F1154" s="8">
        <v>1</v>
      </c>
      <c r="G1154" s="8">
        <v>9</v>
      </c>
      <c r="H1154" s="8">
        <v>0</v>
      </c>
      <c r="I1154" s="8">
        <v>1</v>
      </c>
      <c r="J1154" s="8">
        <v>1</v>
      </c>
      <c r="K1154" s="8">
        <v>1</v>
      </c>
      <c r="L1154" s="8">
        <v>1</v>
      </c>
      <c r="M1154" s="8">
        <v>1</v>
      </c>
      <c r="N1154" s="8">
        <v>10</v>
      </c>
      <c r="O1154" s="8">
        <v>1</v>
      </c>
      <c r="P1154" s="8">
        <v>1</v>
      </c>
      <c r="Q1154" s="8">
        <v>1</v>
      </c>
      <c r="R1154" s="8">
        <v>1</v>
      </c>
      <c r="S1154" s="8">
        <v>1</v>
      </c>
      <c r="T1154" s="8">
        <v>1</v>
      </c>
      <c r="U1154" s="8">
        <v>0</v>
      </c>
      <c r="V1154" s="8">
        <v>1</v>
      </c>
      <c r="W1154" s="8">
        <v>1</v>
      </c>
      <c r="X1154" s="8">
        <v>1</v>
      </c>
      <c r="Y1154" s="8">
        <v>1</v>
      </c>
      <c r="Z1154" s="8">
        <v>1</v>
      </c>
      <c r="AA1154" s="8">
        <v>1</v>
      </c>
      <c r="AB1154" s="8">
        <v>0</v>
      </c>
      <c r="AC1154" s="8">
        <v>1</v>
      </c>
      <c r="AD1154" s="8">
        <v>1</v>
      </c>
      <c r="AE1154" s="8">
        <v>1</v>
      </c>
      <c r="AF1154" s="8">
        <v>1</v>
      </c>
      <c r="AG1154" s="8">
        <v>1</v>
      </c>
      <c r="AH1154" s="8">
        <v>1</v>
      </c>
      <c r="AI1154" s="8">
        <v>0</v>
      </c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11" t="s">
        <v>249</v>
      </c>
    </row>
    <row r="1155" spans="1:46" ht="15.1" customHeight="1">
      <c r="A1155" s="8">
        <v>384</v>
      </c>
      <c r="B1155" s="9" t="s">
        <v>1027</v>
      </c>
      <c r="C1155" s="8" t="s">
        <v>1028</v>
      </c>
      <c r="D1155" s="9" t="s">
        <v>451</v>
      </c>
      <c r="E1155" s="8" t="s">
        <v>54</v>
      </c>
      <c r="F1155" s="8" t="s">
        <v>54</v>
      </c>
      <c r="G1155" s="10" t="s">
        <v>67</v>
      </c>
      <c r="H1155" s="8" t="s">
        <v>54</v>
      </c>
      <c r="I1155" s="8" t="s">
        <v>54</v>
      </c>
      <c r="J1155" s="8" t="s">
        <v>54</v>
      </c>
      <c r="K1155" s="8" t="s">
        <v>54</v>
      </c>
      <c r="L1155" s="8" t="s">
        <v>54</v>
      </c>
      <c r="M1155" s="8" t="s">
        <v>54</v>
      </c>
      <c r="N1155" s="10" t="s">
        <v>67</v>
      </c>
      <c r="O1155" s="8" t="s">
        <v>54</v>
      </c>
      <c r="P1155" s="8" t="s">
        <v>54</v>
      </c>
      <c r="Q1155" s="8" t="s">
        <v>54</v>
      </c>
      <c r="R1155" s="8" t="s">
        <v>54</v>
      </c>
      <c r="S1155" s="8" t="s">
        <v>54</v>
      </c>
      <c r="T1155" s="8" t="s">
        <v>54</v>
      </c>
      <c r="U1155" s="10" t="s">
        <v>67</v>
      </c>
      <c r="V1155" s="8" t="s">
        <v>54</v>
      </c>
      <c r="W1155" s="8" t="s">
        <v>54</v>
      </c>
      <c r="X1155" s="8" t="s">
        <v>54</v>
      </c>
      <c r="Y1155" s="8" t="s">
        <v>54</v>
      </c>
      <c r="Z1155" s="8" t="s">
        <v>54</v>
      </c>
      <c r="AA1155" s="8" t="s">
        <v>54</v>
      </c>
      <c r="AB1155" s="10" t="s">
        <v>67</v>
      </c>
      <c r="AC1155" s="8" t="s">
        <v>54</v>
      </c>
      <c r="AD1155" s="8" t="s">
        <v>54</v>
      </c>
      <c r="AE1155" s="8" t="s">
        <v>54</v>
      </c>
      <c r="AF1155" s="8" t="s">
        <v>54</v>
      </c>
      <c r="AG1155" s="8" t="s">
        <v>54</v>
      </c>
      <c r="AH1155" s="8" t="s">
        <v>54</v>
      </c>
      <c r="AI1155" s="10" t="s">
        <v>67</v>
      </c>
      <c r="AJ1155" s="8">
        <f>COUNTIF($E$1155:$AI$1155,"P")</f>
        <v>26</v>
      </c>
      <c r="AK1155" s="8">
        <f>COUNTIF($E$1155:$AI$1155,"A")</f>
        <v>0</v>
      </c>
      <c r="AL1155" s="8">
        <f>SUM($E$1156:$AI$1156)</f>
        <v>48</v>
      </c>
      <c r="AM1155" s="8">
        <f>SUM($E$1157:$AI$1157)</f>
        <v>24</v>
      </c>
      <c r="AN1155" s="8">
        <f>AL1155+AM1155</f>
        <v>72</v>
      </c>
      <c r="AO1155" s="8">
        <f>COUNTIF($E$1155:$AI$1155,"CL")</f>
        <v>0</v>
      </c>
      <c r="AP1155" s="8">
        <f>COUNTIF($E$1155:$AI$1155,"SL")</f>
        <v>0</v>
      </c>
      <c r="AQ1155" s="8">
        <f>COUNTIF($E$1155:$AI$1155,"EL")</f>
        <v>0</v>
      </c>
      <c r="AR1155" s="8">
        <f>COUNTIF($E$1155:$AI$1155,"H")</f>
        <v>0</v>
      </c>
      <c r="AS1155" s="8"/>
      <c r="AT1155" s="11" t="s">
        <v>250</v>
      </c>
    </row>
    <row r="1156" spans="1:46" ht="15.1" customHeight="1">
      <c r="A1156" s="8"/>
      <c r="B1156" s="9"/>
      <c r="C1156" s="8"/>
      <c r="D1156" s="9"/>
      <c r="E1156" s="8">
        <v>0</v>
      </c>
      <c r="F1156" s="8">
        <v>2</v>
      </c>
      <c r="G1156" s="8">
        <v>0</v>
      </c>
      <c r="H1156" s="8">
        <v>2</v>
      </c>
      <c r="I1156" s="8">
        <v>2</v>
      </c>
      <c r="J1156" s="8">
        <v>2</v>
      </c>
      <c r="K1156" s="8">
        <v>2</v>
      </c>
      <c r="L1156" s="8">
        <v>2</v>
      </c>
      <c r="M1156" s="8">
        <v>2</v>
      </c>
      <c r="N1156" s="8">
        <v>0</v>
      </c>
      <c r="O1156" s="8">
        <v>2</v>
      </c>
      <c r="P1156" s="8">
        <v>2</v>
      </c>
      <c r="Q1156" s="8">
        <v>2</v>
      </c>
      <c r="R1156" s="8">
        <v>2</v>
      </c>
      <c r="S1156" s="8">
        <v>2</v>
      </c>
      <c r="T1156" s="8">
        <v>2</v>
      </c>
      <c r="U1156" s="8">
        <v>0</v>
      </c>
      <c r="V1156" s="8">
        <v>2</v>
      </c>
      <c r="W1156" s="8">
        <v>2</v>
      </c>
      <c r="X1156" s="8">
        <v>2</v>
      </c>
      <c r="Y1156" s="8">
        <v>2</v>
      </c>
      <c r="Z1156" s="8">
        <v>0</v>
      </c>
      <c r="AA1156" s="8">
        <v>2</v>
      </c>
      <c r="AB1156" s="8">
        <v>0</v>
      </c>
      <c r="AC1156" s="8">
        <v>2</v>
      </c>
      <c r="AD1156" s="8">
        <v>2</v>
      </c>
      <c r="AE1156" s="8">
        <v>2</v>
      </c>
      <c r="AF1156" s="8">
        <v>2</v>
      </c>
      <c r="AG1156" s="8">
        <v>2</v>
      </c>
      <c r="AH1156" s="8">
        <v>2</v>
      </c>
      <c r="AI1156" s="8">
        <v>0</v>
      </c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11" t="s">
        <v>250</v>
      </c>
    </row>
    <row r="1157" spans="1:46" ht="15.1" customHeight="1">
      <c r="A1157" s="8"/>
      <c r="B1157" s="9"/>
      <c r="C1157" s="8"/>
      <c r="D1157" s="9"/>
      <c r="E1157" s="8">
        <v>0</v>
      </c>
      <c r="F1157" s="8">
        <v>1</v>
      </c>
      <c r="G1157" s="8">
        <v>0</v>
      </c>
      <c r="H1157" s="8">
        <v>1</v>
      </c>
      <c r="I1157" s="8">
        <v>1</v>
      </c>
      <c r="J1157" s="8">
        <v>1</v>
      </c>
      <c r="K1157" s="8">
        <v>1</v>
      </c>
      <c r="L1157" s="8">
        <v>1</v>
      </c>
      <c r="M1157" s="8">
        <v>1</v>
      </c>
      <c r="N1157" s="8">
        <v>0</v>
      </c>
      <c r="O1157" s="8">
        <v>1</v>
      </c>
      <c r="P1157" s="8">
        <v>1</v>
      </c>
      <c r="Q1157" s="8">
        <v>1</v>
      </c>
      <c r="R1157" s="8">
        <v>1</v>
      </c>
      <c r="S1157" s="8">
        <v>1</v>
      </c>
      <c r="T1157" s="8">
        <v>1</v>
      </c>
      <c r="U1157" s="8">
        <v>0</v>
      </c>
      <c r="V1157" s="8">
        <v>1</v>
      </c>
      <c r="W1157" s="8">
        <v>1</v>
      </c>
      <c r="X1157" s="8">
        <v>1</v>
      </c>
      <c r="Y1157" s="8">
        <v>1</v>
      </c>
      <c r="Z1157" s="8">
        <v>0</v>
      </c>
      <c r="AA1157" s="8">
        <v>1</v>
      </c>
      <c r="AB1157" s="8">
        <v>0</v>
      </c>
      <c r="AC1157" s="8">
        <v>1</v>
      </c>
      <c r="AD1157" s="8">
        <v>1</v>
      </c>
      <c r="AE1157" s="8">
        <v>1</v>
      </c>
      <c r="AF1157" s="8">
        <v>1</v>
      </c>
      <c r="AG1157" s="8">
        <v>1</v>
      </c>
      <c r="AH1157" s="8">
        <v>1</v>
      </c>
      <c r="AI1157" s="8">
        <v>0</v>
      </c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11" t="s">
        <v>250</v>
      </c>
    </row>
    <row r="1158" spans="1:46" ht="15.1" customHeight="1">
      <c r="A1158" s="8">
        <v>385</v>
      </c>
      <c r="B1158" s="9" t="s">
        <v>1029</v>
      </c>
      <c r="C1158" s="8" t="s">
        <v>1030</v>
      </c>
      <c r="D1158" s="9" t="s">
        <v>451</v>
      </c>
      <c r="E1158" s="8" t="s">
        <v>54</v>
      </c>
      <c r="F1158" s="8" t="s">
        <v>54</v>
      </c>
      <c r="G1158" s="10" t="s">
        <v>67</v>
      </c>
      <c r="H1158" s="8" t="s">
        <v>54</v>
      </c>
      <c r="I1158" s="8" t="s">
        <v>54</v>
      </c>
      <c r="J1158" s="8" t="s">
        <v>54</v>
      </c>
      <c r="K1158" s="8" t="s">
        <v>54</v>
      </c>
      <c r="L1158" s="8" t="s">
        <v>54</v>
      </c>
      <c r="M1158" s="8" t="s">
        <v>54</v>
      </c>
      <c r="N1158" s="10" t="s">
        <v>67</v>
      </c>
      <c r="O1158" s="8" t="s">
        <v>54</v>
      </c>
      <c r="P1158" s="8" t="s">
        <v>54</v>
      </c>
      <c r="Q1158" s="8" t="s">
        <v>54</v>
      </c>
      <c r="R1158" s="8" t="s">
        <v>54</v>
      </c>
      <c r="S1158" s="8" t="s">
        <v>54</v>
      </c>
      <c r="T1158" s="8" t="s">
        <v>54</v>
      </c>
      <c r="U1158" s="10" t="s">
        <v>67</v>
      </c>
      <c r="V1158" s="8" t="s">
        <v>54</v>
      </c>
      <c r="W1158" s="8" t="s">
        <v>54</v>
      </c>
      <c r="X1158" s="8" t="s">
        <v>54</v>
      </c>
      <c r="Y1158" s="8" t="s">
        <v>54</v>
      </c>
      <c r="Z1158" s="8" t="s">
        <v>54</v>
      </c>
      <c r="AA1158" s="8" t="s">
        <v>54</v>
      </c>
      <c r="AB1158" s="10" t="s">
        <v>67</v>
      </c>
      <c r="AC1158" s="8" t="s">
        <v>54</v>
      </c>
      <c r="AD1158" s="8" t="s">
        <v>54</v>
      </c>
      <c r="AE1158" s="8" t="s">
        <v>54</v>
      </c>
      <c r="AF1158" s="8" t="s">
        <v>54</v>
      </c>
      <c r="AG1158" s="8" t="s">
        <v>54</v>
      </c>
      <c r="AH1158" s="8" t="s">
        <v>54</v>
      </c>
      <c r="AI1158" s="10" t="s">
        <v>67</v>
      </c>
      <c r="AJ1158" s="8">
        <f>COUNTIF($E$1158:$AI$1158,"P")</f>
        <v>26</v>
      </c>
      <c r="AK1158" s="8">
        <f>COUNTIF($E$1158:$AI$1158,"A")</f>
        <v>0</v>
      </c>
      <c r="AL1158" s="8">
        <f>SUM($E$1159:$AI$1159)</f>
        <v>46</v>
      </c>
      <c r="AM1158" s="8">
        <f>SUM($E$1160:$AI$1160)</f>
        <v>23</v>
      </c>
      <c r="AN1158" s="8">
        <f>AL1158+AM1158</f>
        <v>69</v>
      </c>
      <c r="AO1158" s="8">
        <f>COUNTIF($E$1158:$AI$1158,"CL")</f>
        <v>0</v>
      </c>
      <c r="AP1158" s="8">
        <f>COUNTIF($E$1158:$AI$1158,"SL")</f>
        <v>0</v>
      </c>
      <c r="AQ1158" s="8">
        <f>COUNTIF($E$1158:$AI$1158,"EL")</f>
        <v>0</v>
      </c>
      <c r="AR1158" s="8">
        <f>COUNTIF($E$1158:$AI$1158,"H")</f>
        <v>0</v>
      </c>
      <c r="AS1158" s="8"/>
      <c r="AT1158" s="11" t="s">
        <v>250</v>
      </c>
    </row>
    <row r="1159" spans="1:46" ht="15.1" customHeight="1">
      <c r="A1159" s="8"/>
      <c r="B1159" s="9"/>
      <c r="C1159" s="8"/>
      <c r="D1159" s="9"/>
      <c r="E1159" s="8">
        <v>0</v>
      </c>
      <c r="F1159" s="8">
        <v>2</v>
      </c>
      <c r="G1159" s="8">
        <v>0</v>
      </c>
      <c r="H1159" s="8">
        <v>0</v>
      </c>
      <c r="I1159" s="8">
        <v>2</v>
      </c>
      <c r="J1159" s="8">
        <v>2</v>
      </c>
      <c r="K1159" s="8">
        <v>2</v>
      </c>
      <c r="L1159" s="8">
        <v>2</v>
      </c>
      <c r="M1159" s="8">
        <v>2</v>
      </c>
      <c r="N1159" s="8">
        <v>0</v>
      </c>
      <c r="O1159" s="8">
        <v>2</v>
      </c>
      <c r="P1159" s="8">
        <v>2</v>
      </c>
      <c r="Q1159" s="8">
        <v>2</v>
      </c>
      <c r="R1159" s="8">
        <v>2</v>
      </c>
      <c r="S1159" s="8">
        <v>2</v>
      </c>
      <c r="T1159" s="8">
        <v>2</v>
      </c>
      <c r="U1159" s="8">
        <v>0</v>
      </c>
      <c r="V1159" s="8">
        <v>2</v>
      </c>
      <c r="W1159" s="8">
        <v>2</v>
      </c>
      <c r="X1159" s="8">
        <v>2</v>
      </c>
      <c r="Y1159" s="8">
        <v>2</v>
      </c>
      <c r="Z1159" s="8">
        <v>0</v>
      </c>
      <c r="AA1159" s="8">
        <v>2</v>
      </c>
      <c r="AB1159" s="8">
        <v>0</v>
      </c>
      <c r="AC1159" s="8">
        <v>2</v>
      </c>
      <c r="AD1159" s="8">
        <v>2</v>
      </c>
      <c r="AE1159" s="8">
        <v>2</v>
      </c>
      <c r="AF1159" s="8">
        <v>2</v>
      </c>
      <c r="AG1159" s="8">
        <v>2</v>
      </c>
      <c r="AH1159" s="8">
        <v>2</v>
      </c>
      <c r="AI1159" s="8">
        <v>0</v>
      </c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11" t="s">
        <v>250</v>
      </c>
    </row>
    <row r="1160" spans="1:46" ht="15.1" customHeight="1">
      <c r="A1160" s="8"/>
      <c r="B1160" s="9"/>
      <c r="C1160" s="8"/>
      <c r="D1160" s="9"/>
      <c r="E1160" s="8">
        <v>0</v>
      </c>
      <c r="F1160" s="8">
        <v>1</v>
      </c>
      <c r="G1160" s="8">
        <v>0</v>
      </c>
      <c r="H1160" s="8">
        <v>0</v>
      </c>
      <c r="I1160" s="8">
        <v>1</v>
      </c>
      <c r="J1160" s="8">
        <v>1</v>
      </c>
      <c r="K1160" s="8">
        <v>1</v>
      </c>
      <c r="L1160" s="8">
        <v>1</v>
      </c>
      <c r="M1160" s="8">
        <v>1</v>
      </c>
      <c r="N1160" s="8">
        <v>0</v>
      </c>
      <c r="O1160" s="8">
        <v>1</v>
      </c>
      <c r="P1160" s="8">
        <v>1</v>
      </c>
      <c r="Q1160" s="8">
        <v>1</v>
      </c>
      <c r="R1160" s="8">
        <v>1</v>
      </c>
      <c r="S1160" s="8">
        <v>1</v>
      </c>
      <c r="T1160" s="8">
        <v>1</v>
      </c>
      <c r="U1160" s="8">
        <v>0</v>
      </c>
      <c r="V1160" s="8">
        <v>1</v>
      </c>
      <c r="W1160" s="8">
        <v>1</v>
      </c>
      <c r="X1160" s="8">
        <v>1</v>
      </c>
      <c r="Y1160" s="8">
        <v>1</v>
      </c>
      <c r="Z1160" s="8">
        <v>0</v>
      </c>
      <c r="AA1160" s="8">
        <v>1</v>
      </c>
      <c r="AB1160" s="8">
        <v>0</v>
      </c>
      <c r="AC1160" s="8">
        <v>1</v>
      </c>
      <c r="AD1160" s="8">
        <v>1</v>
      </c>
      <c r="AE1160" s="8">
        <v>1</v>
      </c>
      <c r="AF1160" s="8">
        <v>1</v>
      </c>
      <c r="AG1160" s="8">
        <v>1</v>
      </c>
      <c r="AH1160" s="8">
        <v>1</v>
      </c>
      <c r="AI1160" s="8">
        <v>0</v>
      </c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11" t="s">
        <v>250</v>
      </c>
    </row>
    <row r="1161" spans="1:46" ht="15.1" customHeight="1">
      <c r="A1161" s="8">
        <v>386</v>
      </c>
      <c r="B1161" s="9" t="s">
        <v>1031</v>
      </c>
      <c r="C1161" s="8" t="s">
        <v>1032</v>
      </c>
      <c r="D1161" s="9" t="s">
        <v>451</v>
      </c>
      <c r="E1161" s="8" t="s">
        <v>54</v>
      </c>
      <c r="F1161" s="8" t="s">
        <v>54</v>
      </c>
      <c r="G1161" s="10" t="s">
        <v>67</v>
      </c>
      <c r="H1161" s="8" t="s">
        <v>54</v>
      </c>
      <c r="I1161" s="8" t="s">
        <v>54</v>
      </c>
      <c r="J1161" s="8" t="s">
        <v>54</v>
      </c>
      <c r="K1161" s="8" t="s">
        <v>54</v>
      </c>
      <c r="L1161" s="8" t="s">
        <v>54</v>
      </c>
      <c r="M1161" s="8" t="s">
        <v>54</v>
      </c>
      <c r="N1161" s="10" t="s">
        <v>67</v>
      </c>
      <c r="O1161" s="8" t="s">
        <v>54</v>
      </c>
      <c r="P1161" s="8" t="s">
        <v>54</v>
      </c>
      <c r="Q1161" s="8" t="s">
        <v>54</v>
      </c>
      <c r="R1161" s="8" t="s">
        <v>54</v>
      </c>
      <c r="S1161" s="8" t="s">
        <v>54</v>
      </c>
      <c r="T1161" s="8" t="s">
        <v>54</v>
      </c>
      <c r="U1161" s="10" t="s">
        <v>67</v>
      </c>
      <c r="V1161" s="8" t="s">
        <v>54</v>
      </c>
      <c r="W1161" s="8" t="s">
        <v>54</v>
      </c>
      <c r="X1161" s="8" t="s">
        <v>54</v>
      </c>
      <c r="Y1161" s="8" t="s">
        <v>54</v>
      </c>
      <c r="Z1161" s="8" t="s">
        <v>54</v>
      </c>
      <c r="AA1161" s="8" t="s">
        <v>54</v>
      </c>
      <c r="AB1161" s="10" t="s">
        <v>67</v>
      </c>
      <c r="AC1161" s="8" t="s">
        <v>54</v>
      </c>
      <c r="AD1161" s="8" t="s">
        <v>54</v>
      </c>
      <c r="AE1161" s="8" t="s">
        <v>54</v>
      </c>
      <c r="AF1161" s="8" t="s">
        <v>54</v>
      </c>
      <c r="AG1161" s="8" t="s">
        <v>54</v>
      </c>
      <c r="AH1161" s="8" t="s">
        <v>54</v>
      </c>
      <c r="AI1161" s="10" t="s">
        <v>67</v>
      </c>
      <c r="AJ1161" s="8">
        <f>COUNTIF($E$1161:$AI$1161,"P")</f>
        <v>26</v>
      </c>
      <c r="AK1161" s="8">
        <f>COUNTIF($E$1161:$AI$1161,"A")</f>
        <v>0</v>
      </c>
      <c r="AL1161" s="8">
        <f>SUM($E$1162:$AI$1162)</f>
        <v>46</v>
      </c>
      <c r="AM1161" s="8">
        <f>SUM($E$1163:$AI$1163)</f>
        <v>23</v>
      </c>
      <c r="AN1161" s="8">
        <f>AL1161+AM1161</f>
        <v>69</v>
      </c>
      <c r="AO1161" s="8">
        <f>COUNTIF($E$1161:$AI$1161,"CL")</f>
        <v>0</v>
      </c>
      <c r="AP1161" s="8">
        <f>COUNTIF($E$1161:$AI$1161,"SL")</f>
        <v>0</v>
      </c>
      <c r="AQ1161" s="8">
        <f>COUNTIF($E$1161:$AI$1161,"EL")</f>
        <v>0</v>
      </c>
      <c r="AR1161" s="8">
        <f>COUNTIF($E$1161:$AI$1161,"H")</f>
        <v>0</v>
      </c>
      <c r="AS1161" s="8"/>
      <c r="AT1161" s="11" t="s">
        <v>250</v>
      </c>
    </row>
    <row r="1162" spans="1:46" ht="15.1" customHeight="1">
      <c r="A1162" s="8"/>
      <c r="B1162" s="9"/>
      <c r="C1162" s="8"/>
      <c r="D1162" s="9"/>
      <c r="E1162" s="8">
        <v>0</v>
      </c>
      <c r="F1162" s="8">
        <v>0</v>
      </c>
      <c r="G1162" s="8">
        <v>0</v>
      </c>
      <c r="H1162" s="8">
        <v>0</v>
      </c>
      <c r="I1162" s="8">
        <v>2</v>
      </c>
      <c r="J1162" s="8">
        <v>2</v>
      </c>
      <c r="K1162" s="8">
        <v>2</v>
      </c>
      <c r="L1162" s="8">
        <v>2</v>
      </c>
      <c r="M1162" s="8">
        <v>2</v>
      </c>
      <c r="N1162" s="8">
        <v>0</v>
      </c>
      <c r="O1162" s="8">
        <v>2</v>
      </c>
      <c r="P1162" s="8">
        <v>2</v>
      </c>
      <c r="Q1162" s="8">
        <v>2</v>
      </c>
      <c r="R1162" s="8">
        <v>2</v>
      </c>
      <c r="S1162" s="8">
        <v>2</v>
      </c>
      <c r="T1162" s="8">
        <v>2</v>
      </c>
      <c r="U1162" s="8">
        <v>0</v>
      </c>
      <c r="V1162" s="8">
        <v>2</v>
      </c>
      <c r="W1162" s="8">
        <v>2</v>
      </c>
      <c r="X1162" s="8">
        <v>2</v>
      </c>
      <c r="Y1162" s="8">
        <v>2</v>
      </c>
      <c r="Z1162" s="8">
        <v>2</v>
      </c>
      <c r="AA1162" s="8">
        <v>2</v>
      </c>
      <c r="AB1162" s="8">
        <v>0</v>
      </c>
      <c r="AC1162" s="8">
        <v>2</v>
      </c>
      <c r="AD1162" s="8">
        <v>2</v>
      </c>
      <c r="AE1162" s="8">
        <v>2</v>
      </c>
      <c r="AF1162" s="8">
        <v>2</v>
      </c>
      <c r="AG1162" s="8">
        <v>2</v>
      </c>
      <c r="AH1162" s="8">
        <v>2</v>
      </c>
      <c r="AI1162" s="8">
        <v>0</v>
      </c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11" t="s">
        <v>250</v>
      </c>
    </row>
    <row r="1163" spans="1:46" ht="15.1" customHeight="1">
      <c r="A1163" s="8"/>
      <c r="B1163" s="9"/>
      <c r="C1163" s="8"/>
      <c r="D1163" s="9"/>
      <c r="E1163" s="8">
        <v>0</v>
      </c>
      <c r="F1163" s="8">
        <v>0</v>
      </c>
      <c r="G1163" s="8">
        <v>0</v>
      </c>
      <c r="H1163" s="8">
        <v>0</v>
      </c>
      <c r="I1163" s="8">
        <v>1</v>
      </c>
      <c r="J1163" s="8">
        <v>1</v>
      </c>
      <c r="K1163" s="8">
        <v>1</v>
      </c>
      <c r="L1163" s="8">
        <v>1</v>
      </c>
      <c r="M1163" s="8">
        <v>1</v>
      </c>
      <c r="N1163" s="8">
        <v>0</v>
      </c>
      <c r="O1163" s="8">
        <v>1</v>
      </c>
      <c r="P1163" s="8">
        <v>1</v>
      </c>
      <c r="Q1163" s="8">
        <v>1</v>
      </c>
      <c r="R1163" s="8">
        <v>1</v>
      </c>
      <c r="S1163" s="8">
        <v>1</v>
      </c>
      <c r="T1163" s="8">
        <v>1</v>
      </c>
      <c r="U1163" s="8">
        <v>0</v>
      </c>
      <c r="V1163" s="8">
        <v>1</v>
      </c>
      <c r="W1163" s="8">
        <v>1</v>
      </c>
      <c r="X1163" s="8">
        <v>1</v>
      </c>
      <c r="Y1163" s="8">
        <v>1</v>
      </c>
      <c r="Z1163" s="8">
        <v>1</v>
      </c>
      <c r="AA1163" s="8">
        <v>1</v>
      </c>
      <c r="AB1163" s="8">
        <v>0</v>
      </c>
      <c r="AC1163" s="8">
        <v>1</v>
      </c>
      <c r="AD1163" s="8">
        <v>1</v>
      </c>
      <c r="AE1163" s="8">
        <v>1</v>
      </c>
      <c r="AF1163" s="8">
        <v>1</v>
      </c>
      <c r="AG1163" s="8">
        <v>1</v>
      </c>
      <c r="AH1163" s="8">
        <v>1</v>
      </c>
      <c r="AI1163" s="8">
        <v>0</v>
      </c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11" t="s">
        <v>250</v>
      </c>
    </row>
    <row r="1164" spans="1:46" ht="15.1" customHeight="1">
      <c r="A1164" s="8">
        <v>387</v>
      </c>
      <c r="B1164" s="9" t="s">
        <v>152</v>
      </c>
      <c r="C1164" s="8" t="s">
        <v>1033</v>
      </c>
      <c r="D1164" s="9" t="s">
        <v>451</v>
      </c>
      <c r="E1164" s="12" t="s">
        <v>55</v>
      </c>
      <c r="F1164" s="8" t="s">
        <v>54</v>
      </c>
      <c r="G1164" s="10" t="s">
        <v>67</v>
      </c>
      <c r="H1164" s="12" t="s">
        <v>55</v>
      </c>
      <c r="I1164" s="8" t="s">
        <v>54</v>
      </c>
      <c r="J1164" s="8" t="s">
        <v>54</v>
      </c>
      <c r="K1164" s="8" t="s">
        <v>54</v>
      </c>
      <c r="L1164" s="8" t="s">
        <v>54</v>
      </c>
      <c r="M1164" s="8" t="s">
        <v>54</v>
      </c>
      <c r="N1164" s="10" t="s">
        <v>67</v>
      </c>
      <c r="O1164" s="8" t="s">
        <v>54</v>
      </c>
      <c r="P1164" s="8" t="s">
        <v>54</v>
      </c>
      <c r="Q1164" s="8" t="s">
        <v>54</v>
      </c>
      <c r="R1164" s="8" t="s">
        <v>54</v>
      </c>
      <c r="S1164" s="8" t="s">
        <v>54</v>
      </c>
      <c r="T1164" s="8" t="s">
        <v>54</v>
      </c>
      <c r="U1164" s="10" t="s">
        <v>67</v>
      </c>
      <c r="V1164" s="8" t="s">
        <v>54</v>
      </c>
      <c r="W1164" s="8" t="s">
        <v>54</v>
      </c>
      <c r="X1164" s="8" t="s">
        <v>54</v>
      </c>
      <c r="Y1164" s="8" t="s">
        <v>54</v>
      </c>
      <c r="Z1164" s="8" t="s">
        <v>54</v>
      </c>
      <c r="AA1164" s="8" t="s">
        <v>54</v>
      </c>
      <c r="AB1164" s="10" t="s">
        <v>67</v>
      </c>
      <c r="AC1164" s="8" t="s">
        <v>54</v>
      </c>
      <c r="AD1164" s="8" t="s">
        <v>54</v>
      </c>
      <c r="AE1164" s="12" t="s">
        <v>55</v>
      </c>
      <c r="AF1164" s="12" t="s">
        <v>55</v>
      </c>
      <c r="AG1164" s="8" t="s">
        <v>54</v>
      </c>
      <c r="AH1164" s="8" t="s">
        <v>54</v>
      </c>
      <c r="AI1164" s="10" t="s">
        <v>67</v>
      </c>
      <c r="AJ1164" s="8">
        <f>COUNTIF($E$1164:$AI$1164,"P")</f>
        <v>22</v>
      </c>
      <c r="AK1164" s="8">
        <f>COUNTIF($E$1164:$AI$1164,"A")</f>
        <v>4</v>
      </c>
      <c r="AL1164" s="8">
        <f>SUM($E$1165:$AI$1165)</f>
        <v>42</v>
      </c>
      <c r="AM1164" s="8">
        <f>SUM($E$1166:$AI$1166)</f>
        <v>30</v>
      </c>
      <c r="AN1164" s="8">
        <f>AL1164+AM1164</f>
        <v>72</v>
      </c>
      <c r="AO1164" s="8">
        <f>COUNTIF($E$1164:$AI$1164,"CL")</f>
        <v>0</v>
      </c>
      <c r="AP1164" s="8">
        <f>COUNTIF($E$1164:$AI$1164,"SL")</f>
        <v>0</v>
      </c>
      <c r="AQ1164" s="8">
        <f>COUNTIF($E$1164:$AI$1164,"EL")</f>
        <v>0</v>
      </c>
      <c r="AR1164" s="8">
        <f>COUNTIF($E$1164:$AI$1164,"H")</f>
        <v>0</v>
      </c>
      <c r="AS1164" s="8"/>
      <c r="AT1164" s="11" t="s">
        <v>250</v>
      </c>
    </row>
    <row r="1165" spans="1:46" ht="15.1" customHeight="1">
      <c r="A1165" s="8"/>
      <c r="B1165" s="9"/>
      <c r="C1165" s="8"/>
      <c r="D1165" s="9"/>
      <c r="E1165" s="8">
        <v>0</v>
      </c>
      <c r="F1165" s="8">
        <v>0</v>
      </c>
      <c r="G1165" s="8">
        <v>0</v>
      </c>
      <c r="H1165" s="8">
        <v>0</v>
      </c>
      <c r="I1165" s="8">
        <v>2</v>
      </c>
      <c r="J1165" s="8">
        <v>2</v>
      </c>
      <c r="K1165" s="8">
        <v>2</v>
      </c>
      <c r="L1165" s="8">
        <v>2</v>
      </c>
      <c r="M1165" s="8">
        <v>2</v>
      </c>
      <c r="N1165" s="8">
        <v>0</v>
      </c>
      <c r="O1165" s="8">
        <v>2</v>
      </c>
      <c r="P1165" s="8">
        <v>2</v>
      </c>
      <c r="Q1165" s="8">
        <v>2</v>
      </c>
      <c r="R1165" s="8">
        <v>2</v>
      </c>
      <c r="S1165" s="8">
        <v>2</v>
      </c>
      <c r="T1165" s="8">
        <v>2</v>
      </c>
      <c r="U1165" s="8">
        <v>0</v>
      </c>
      <c r="V1165" s="8">
        <v>2</v>
      </c>
      <c r="W1165" s="8">
        <v>2</v>
      </c>
      <c r="X1165" s="8">
        <v>2</v>
      </c>
      <c r="Y1165" s="8">
        <v>2</v>
      </c>
      <c r="Z1165" s="8">
        <v>2</v>
      </c>
      <c r="AA1165" s="8">
        <v>2</v>
      </c>
      <c r="AB1165" s="8">
        <v>0</v>
      </c>
      <c r="AC1165" s="8">
        <v>2</v>
      </c>
      <c r="AD1165" s="8">
        <v>2</v>
      </c>
      <c r="AE1165" s="8">
        <v>0</v>
      </c>
      <c r="AF1165" s="8">
        <v>0</v>
      </c>
      <c r="AG1165" s="8">
        <v>2</v>
      </c>
      <c r="AH1165" s="8">
        <v>2</v>
      </c>
      <c r="AI1165" s="8">
        <v>0</v>
      </c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11" t="s">
        <v>250</v>
      </c>
    </row>
    <row r="1166" spans="1:46" ht="15.1" customHeight="1">
      <c r="A1166" s="8"/>
      <c r="B1166" s="9"/>
      <c r="C1166" s="8"/>
      <c r="D1166" s="9"/>
      <c r="E1166" s="8">
        <v>0</v>
      </c>
      <c r="F1166" s="8">
        <v>0</v>
      </c>
      <c r="G1166" s="8">
        <v>9</v>
      </c>
      <c r="H1166" s="8">
        <v>0</v>
      </c>
      <c r="I1166" s="8">
        <v>1</v>
      </c>
      <c r="J1166" s="8">
        <v>1</v>
      </c>
      <c r="K1166" s="8">
        <v>1</v>
      </c>
      <c r="L1166" s="8">
        <v>1</v>
      </c>
      <c r="M1166" s="8">
        <v>1</v>
      </c>
      <c r="N1166" s="8">
        <v>0</v>
      </c>
      <c r="O1166" s="8">
        <v>1</v>
      </c>
      <c r="P1166" s="8">
        <v>1</v>
      </c>
      <c r="Q1166" s="8">
        <v>1</v>
      </c>
      <c r="R1166" s="8">
        <v>1</v>
      </c>
      <c r="S1166" s="8">
        <v>1</v>
      </c>
      <c r="T1166" s="8">
        <v>1</v>
      </c>
      <c r="U1166" s="8">
        <v>0</v>
      </c>
      <c r="V1166" s="8">
        <v>1</v>
      </c>
      <c r="W1166" s="8">
        <v>1</v>
      </c>
      <c r="X1166" s="8">
        <v>1</v>
      </c>
      <c r="Y1166" s="8">
        <v>1</v>
      </c>
      <c r="Z1166" s="8">
        <v>1</v>
      </c>
      <c r="AA1166" s="8">
        <v>1</v>
      </c>
      <c r="AB1166" s="8">
        <v>0</v>
      </c>
      <c r="AC1166" s="8">
        <v>1</v>
      </c>
      <c r="AD1166" s="8">
        <v>1</v>
      </c>
      <c r="AE1166" s="8">
        <v>0</v>
      </c>
      <c r="AF1166" s="8">
        <v>0</v>
      </c>
      <c r="AG1166" s="8">
        <v>1</v>
      </c>
      <c r="AH1166" s="8">
        <v>1</v>
      </c>
      <c r="AI1166" s="8">
        <v>0</v>
      </c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11" t="s">
        <v>250</v>
      </c>
    </row>
    <row r="1167" spans="1:46" ht="15.1" customHeight="1">
      <c r="A1167" s="8">
        <v>388</v>
      </c>
      <c r="B1167" s="9" t="s">
        <v>1034</v>
      </c>
      <c r="C1167" s="8" t="s">
        <v>1035</v>
      </c>
      <c r="D1167" s="9" t="s">
        <v>451</v>
      </c>
      <c r="E1167" s="8" t="s">
        <v>54</v>
      </c>
      <c r="F1167" s="8" t="s">
        <v>54</v>
      </c>
      <c r="G1167" s="10" t="s">
        <v>67</v>
      </c>
      <c r="H1167" s="12" t="s">
        <v>55</v>
      </c>
      <c r="I1167" s="8" t="s">
        <v>54</v>
      </c>
      <c r="J1167" s="8" t="s">
        <v>54</v>
      </c>
      <c r="K1167" s="8" t="s">
        <v>54</v>
      </c>
      <c r="L1167" s="8" t="s">
        <v>54</v>
      </c>
      <c r="M1167" s="8" t="s">
        <v>54</v>
      </c>
      <c r="N1167" s="10" t="s">
        <v>67</v>
      </c>
      <c r="O1167" s="8" t="s">
        <v>54</v>
      </c>
      <c r="P1167" s="8" t="s">
        <v>54</v>
      </c>
      <c r="Q1167" s="8" t="s">
        <v>54</v>
      </c>
      <c r="R1167" s="8" t="s">
        <v>54</v>
      </c>
      <c r="S1167" s="8" t="s">
        <v>54</v>
      </c>
      <c r="T1167" s="8" t="s">
        <v>54</v>
      </c>
      <c r="U1167" s="10" t="s">
        <v>67</v>
      </c>
      <c r="V1167" s="8" t="s">
        <v>54</v>
      </c>
      <c r="W1167" s="8" t="s">
        <v>54</v>
      </c>
      <c r="X1167" s="8" t="s">
        <v>54</v>
      </c>
      <c r="Y1167" s="8" t="s">
        <v>54</v>
      </c>
      <c r="Z1167" s="8" t="s">
        <v>54</v>
      </c>
      <c r="AA1167" s="8" t="s">
        <v>54</v>
      </c>
      <c r="AB1167" s="10" t="s">
        <v>67</v>
      </c>
      <c r="AC1167" s="8" t="s">
        <v>54</v>
      </c>
      <c r="AD1167" s="8" t="s">
        <v>54</v>
      </c>
      <c r="AE1167" s="8" t="s">
        <v>54</v>
      </c>
      <c r="AF1167" s="8" t="s">
        <v>54</v>
      </c>
      <c r="AG1167" s="8" t="s">
        <v>54</v>
      </c>
      <c r="AH1167" s="8" t="s">
        <v>54</v>
      </c>
      <c r="AI1167" s="10" t="s">
        <v>67</v>
      </c>
      <c r="AJ1167" s="8">
        <f>COUNTIF($E$1167:$AI$1167,"P")</f>
        <v>25</v>
      </c>
      <c r="AK1167" s="8">
        <f>COUNTIF($E$1167:$AI$1167,"A")</f>
        <v>1</v>
      </c>
      <c r="AL1167" s="8">
        <f>SUM($E$1168:$AI$1168)</f>
        <v>46</v>
      </c>
      <c r="AM1167" s="8">
        <f>SUM($E$1169:$AI$1169)</f>
        <v>32</v>
      </c>
      <c r="AN1167" s="8">
        <f>AL1167+AM1167</f>
        <v>78</v>
      </c>
      <c r="AO1167" s="8">
        <f>COUNTIF($E$1167:$AI$1167,"CL")</f>
        <v>0</v>
      </c>
      <c r="AP1167" s="8">
        <f>COUNTIF($E$1167:$AI$1167,"SL")</f>
        <v>0</v>
      </c>
      <c r="AQ1167" s="8">
        <f>COUNTIF($E$1167:$AI$1167,"EL")</f>
        <v>0</v>
      </c>
      <c r="AR1167" s="8">
        <f>COUNTIF($E$1167:$AI$1167,"H")</f>
        <v>0</v>
      </c>
      <c r="AS1167" s="8"/>
      <c r="AT1167" s="11" t="s">
        <v>250</v>
      </c>
    </row>
    <row r="1168" spans="1:46" ht="15.1" customHeight="1">
      <c r="A1168" s="8"/>
      <c r="B1168" s="9"/>
      <c r="C1168" s="8"/>
      <c r="D1168" s="9"/>
      <c r="E1168" s="8">
        <v>0</v>
      </c>
      <c r="F1168" s="8">
        <v>0</v>
      </c>
      <c r="G1168" s="8">
        <v>0</v>
      </c>
      <c r="H1168" s="8">
        <v>0</v>
      </c>
      <c r="I1168" s="8">
        <v>2</v>
      </c>
      <c r="J1168" s="8">
        <v>2</v>
      </c>
      <c r="K1168" s="8">
        <v>2</v>
      </c>
      <c r="L1168" s="8">
        <v>2</v>
      </c>
      <c r="M1168" s="8">
        <v>2</v>
      </c>
      <c r="N1168" s="8">
        <v>0</v>
      </c>
      <c r="O1168" s="8">
        <v>2</v>
      </c>
      <c r="P1168" s="8">
        <v>2</v>
      </c>
      <c r="Q1168" s="8">
        <v>2</v>
      </c>
      <c r="R1168" s="8">
        <v>2</v>
      </c>
      <c r="S1168" s="8">
        <v>2</v>
      </c>
      <c r="T1168" s="8">
        <v>2</v>
      </c>
      <c r="U1168" s="8">
        <v>0</v>
      </c>
      <c r="V1168" s="8">
        <v>2</v>
      </c>
      <c r="W1168" s="8">
        <v>2</v>
      </c>
      <c r="X1168" s="8">
        <v>2</v>
      </c>
      <c r="Y1168" s="8">
        <v>2</v>
      </c>
      <c r="Z1168" s="8">
        <v>2</v>
      </c>
      <c r="AA1168" s="8">
        <v>2</v>
      </c>
      <c r="AB1168" s="8">
        <v>0</v>
      </c>
      <c r="AC1168" s="8">
        <v>2</v>
      </c>
      <c r="AD1168" s="8">
        <v>2</v>
      </c>
      <c r="AE1168" s="8">
        <v>2</v>
      </c>
      <c r="AF1168" s="8">
        <v>2</v>
      </c>
      <c r="AG1168" s="8">
        <v>2</v>
      </c>
      <c r="AH1168" s="8">
        <v>2</v>
      </c>
      <c r="AI1168" s="8">
        <v>0</v>
      </c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11" t="s">
        <v>250</v>
      </c>
    </row>
    <row r="1169" spans="1:46" ht="15.1" customHeight="1">
      <c r="A1169" s="8"/>
      <c r="B1169" s="9"/>
      <c r="C1169" s="8"/>
      <c r="D1169" s="9"/>
      <c r="E1169" s="8">
        <v>0</v>
      </c>
      <c r="F1169" s="8">
        <v>0</v>
      </c>
      <c r="G1169" s="8">
        <v>9</v>
      </c>
      <c r="H1169" s="8">
        <v>0</v>
      </c>
      <c r="I1169" s="8">
        <v>1</v>
      </c>
      <c r="J1169" s="8">
        <v>1</v>
      </c>
      <c r="K1169" s="8">
        <v>1</v>
      </c>
      <c r="L1169" s="8">
        <v>1</v>
      </c>
      <c r="M1169" s="8">
        <v>1</v>
      </c>
      <c r="N1169" s="8">
        <v>0</v>
      </c>
      <c r="O1169" s="8">
        <v>1</v>
      </c>
      <c r="P1169" s="8">
        <v>1</v>
      </c>
      <c r="Q1169" s="8">
        <v>1</v>
      </c>
      <c r="R1169" s="8">
        <v>1</v>
      </c>
      <c r="S1169" s="8">
        <v>1</v>
      </c>
      <c r="T1169" s="8">
        <v>1</v>
      </c>
      <c r="U1169" s="8">
        <v>0</v>
      </c>
      <c r="V1169" s="8">
        <v>1</v>
      </c>
      <c r="W1169" s="8">
        <v>1</v>
      </c>
      <c r="X1169" s="8">
        <v>1</v>
      </c>
      <c r="Y1169" s="8">
        <v>1</v>
      </c>
      <c r="Z1169" s="8">
        <v>1</v>
      </c>
      <c r="AA1169" s="8">
        <v>1</v>
      </c>
      <c r="AB1169" s="8">
        <v>0</v>
      </c>
      <c r="AC1169" s="8">
        <v>1</v>
      </c>
      <c r="AD1169" s="8">
        <v>1</v>
      </c>
      <c r="AE1169" s="8">
        <v>1</v>
      </c>
      <c r="AF1169" s="8">
        <v>1</v>
      </c>
      <c r="AG1169" s="8">
        <v>1</v>
      </c>
      <c r="AH1169" s="8">
        <v>1</v>
      </c>
      <c r="AI1169" s="8">
        <v>0</v>
      </c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11" t="s">
        <v>250</v>
      </c>
    </row>
    <row r="1170" spans="1:46" ht="15.1" customHeight="1">
      <c r="A1170" s="8">
        <v>389</v>
      </c>
      <c r="B1170" s="9" t="s">
        <v>1036</v>
      </c>
      <c r="C1170" s="8" t="s">
        <v>1037</v>
      </c>
      <c r="D1170" s="9" t="s">
        <v>451</v>
      </c>
      <c r="E1170" s="8" t="s">
        <v>54</v>
      </c>
      <c r="F1170" s="8" t="s">
        <v>54</v>
      </c>
      <c r="G1170" s="10" t="s">
        <v>67</v>
      </c>
      <c r="H1170" s="8" t="s">
        <v>54</v>
      </c>
      <c r="I1170" s="8" t="s">
        <v>54</v>
      </c>
      <c r="J1170" s="8" t="s">
        <v>54</v>
      </c>
      <c r="K1170" s="8" t="s">
        <v>54</v>
      </c>
      <c r="L1170" s="8" t="s">
        <v>54</v>
      </c>
      <c r="M1170" s="8" t="s">
        <v>54</v>
      </c>
      <c r="N1170" s="10" t="s">
        <v>67</v>
      </c>
      <c r="O1170" s="8" t="s">
        <v>54</v>
      </c>
      <c r="P1170" s="8" t="s">
        <v>54</v>
      </c>
      <c r="Q1170" s="8" t="s">
        <v>54</v>
      </c>
      <c r="R1170" s="8" t="s">
        <v>54</v>
      </c>
      <c r="S1170" s="8" t="s">
        <v>54</v>
      </c>
      <c r="T1170" s="8" t="s">
        <v>54</v>
      </c>
      <c r="U1170" s="10" t="s">
        <v>67</v>
      </c>
      <c r="V1170" s="8" t="s">
        <v>54</v>
      </c>
      <c r="W1170" s="8" t="s">
        <v>54</v>
      </c>
      <c r="X1170" s="8" t="s">
        <v>54</v>
      </c>
      <c r="Y1170" s="8" t="s">
        <v>54</v>
      </c>
      <c r="Z1170" s="8" t="s">
        <v>54</v>
      </c>
      <c r="AA1170" s="8" t="s">
        <v>54</v>
      </c>
      <c r="AB1170" s="10" t="s">
        <v>67</v>
      </c>
      <c r="AC1170" s="8" t="s">
        <v>54</v>
      </c>
      <c r="AD1170" s="8" t="s">
        <v>54</v>
      </c>
      <c r="AE1170" s="8" t="s">
        <v>54</v>
      </c>
      <c r="AF1170" s="8" t="s">
        <v>54</v>
      </c>
      <c r="AG1170" s="8" t="s">
        <v>54</v>
      </c>
      <c r="AH1170" s="8" t="s">
        <v>54</v>
      </c>
      <c r="AI1170" s="10" t="s">
        <v>67</v>
      </c>
      <c r="AJ1170" s="8">
        <f>COUNTIF($E$1170:$AI$1170,"P")</f>
        <v>26</v>
      </c>
      <c r="AK1170" s="8">
        <f>COUNTIF($E$1170:$AI$1170,"A")</f>
        <v>0</v>
      </c>
      <c r="AL1170" s="8">
        <f>SUM($E$1171:$AI$1171)</f>
        <v>46</v>
      </c>
      <c r="AM1170" s="8">
        <f>SUM($E$1172:$AI$1172)</f>
        <v>32</v>
      </c>
      <c r="AN1170" s="8">
        <f>AL1170+AM1170</f>
        <v>78</v>
      </c>
      <c r="AO1170" s="8">
        <f>COUNTIF($E$1170:$AI$1170,"CL")</f>
        <v>0</v>
      </c>
      <c r="AP1170" s="8">
        <f>COUNTIF($E$1170:$AI$1170,"SL")</f>
        <v>0</v>
      </c>
      <c r="AQ1170" s="8">
        <f>COUNTIF($E$1170:$AI$1170,"EL")</f>
        <v>0</v>
      </c>
      <c r="AR1170" s="8">
        <f>COUNTIF($E$1170:$AI$1170,"H")</f>
        <v>0</v>
      </c>
      <c r="AS1170" s="8"/>
      <c r="AT1170" s="11" t="s">
        <v>250</v>
      </c>
    </row>
    <row r="1171" spans="1:46" ht="15.1" customHeight="1">
      <c r="A1171" s="8"/>
      <c r="B1171" s="9"/>
      <c r="C1171" s="8"/>
      <c r="D1171" s="9"/>
      <c r="E1171" s="8">
        <v>0</v>
      </c>
      <c r="F1171" s="8">
        <v>0</v>
      </c>
      <c r="G1171" s="8">
        <v>0</v>
      </c>
      <c r="H1171" s="8">
        <v>0</v>
      </c>
      <c r="I1171" s="8">
        <v>2</v>
      </c>
      <c r="J1171" s="8">
        <v>2</v>
      </c>
      <c r="K1171" s="8">
        <v>2</v>
      </c>
      <c r="L1171" s="8">
        <v>2</v>
      </c>
      <c r="M1171" s="8">
        <v>2</v>
      </c>
      <c r="N1171" s="8">
        <v>0</v>
      </c>
      <c r="O1171" s="8">
        <v>2</v>
      </c>
      <c r="P1171" s="8">
        <v>2</v>
      </c>
      <c r="Q1171" s="8">
        <v>2</v>
      </c>
      <c r="R1171" s="8">
        <v>2</v>
      </c>
      <c r="S1171" s="8">
        <v>2</v>
      </c>
      <c r="T1171" s="8">
        <v>2</v>
      </c>
      <c r="U1171" s="8">
        <v>0</v>
      </c>
      <c r="V1171" s="8">
        <v>2</v>
      </c>
      <c r="W1171" s="8">
        <v>2</v>
      </c>
      <c r="X1171" s="8">
        <v>2</v>
      </c>
      <c r="Y1171" s="8">
        <v>2</v>
      </c>
      <c r="Z1171" s="8">
        <v>2</v>
      </c>
      <c r="AA1171" s="8">
        <v>2</v>
      </c>
      <c r="AB1171" s="8">
        <v>0</v>
      </c>
      <c r="AC1171" s="8">
        <v>2</v>
      </c>
      <c r="AD1171" s="8">
        <v>2</v>
      </c>
      <c r="AE1171" s="8">
        <v>2</v>
      </c>
      <c r="AF1171" s="8">
        <v>2</v>
      </c>
      <c r="AG1171" s="8">
        <v>2</v>
      </c>
      <c r="AH1171" s="8">
        <v>2</v>
      </c>
      <c r="AI1171" s="8">
        <v>0</v>
      </c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11" t="s">
        <v>250</v>
      </c>
    </row>
    <row r="1172" spans="1:46" ht="15.1" customHeight="1">
      <c r="A1172" s="8"/>
      <c r="B1172" s="9"/>
      <c r="C1172" s="8"/>
      <c r="D1172" s="9"/>
      <c r="E1172" s="8">
        <v>0</v>
      </c>
      <c r="F1172" s="8">
        <v>0</v>
      </c>
      <c r="G1172" s="8">
        <v>0</v>
      </c>
      <c r="H1172" s="8">
        <v>0</v>
      </c>
      <c r="I1172" s="8">
        <v>1</v>
      </c>
      <c r="J1172" s="8">
        <v>1</v>
      </c>
      <c r="K1172" s="8">
        <v>1</v>
      </c>
      <c r="L1172" s="8">
        <v>1</v>
      </c>
      <c r="M1172" s="8">
        <v>1</v>
      </c>
      <c r="N1172" s="8">
        <v>0</v>
      </c>
      <c r="O1172" s="8">
        <v>10</v>
      </c>
      <c r="P1172" s="8">
        <v>1</v>
      </c>
      <c r="Q1172" s="8">
        <v>1</v>
      </c>
      <c r="R1172" s="8">
        <v>1</v>
      </c>
      <c r="S1172" s="8">
        <v>1</v>
      </c>
      <c r="T1172" s="8">
        <v>1</v>
      </c>
      <c r="U1172" s="8">
        <v>0</v>
      </c>
      <c r="V1172" s="8">
        <v>1</v>
      </c>
      <c r="W1172" s="8">
        <v>1</v>
      </c>
      <c r="X1172" s="8">
        <v>1</v>
      </c>
      <c r="Y1172" s="8">
        <v>1</v>
      </c>
      <c r="Z1172" s="8">
        <v>1</v>
      </c>
      <c r="AA1172" s="8">
        <v>1</v>
      </c>
      <c r="AB1172" s="8">
        <v>0</v>
      </c>
      <c r="AC1172" s="8">
        <v>1</v>
      </c>
      <c r="AD1172" s="8">
        <v>1</v>
      </c>
      <c r="AE1172" s="8">
        <v>1</v>
      </c>
      <c r="AF1172" s="8">
        <v>1</v>
      </c>
      <c r="AG1172" s="8">
        <v>1</v>
      </c>
      <c r="AH1172" s="8">
        <v>1</v>
      </c>
      <c r="AI1172" s="8">
        <v>0</v>
      </c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11" t="s">
        <v>250</v>
      </c>
    </row>
    <row r="1173" spans="1:46" ht="15.1" customHeight="1">
      <c r="A1173" s="8">
        <v>390</v>
      </c>
      <c r="B1173" s="9" t="s">
        <v>1038</v>
      </c>
      <c r="C1173" s="8" t="s">
        <v>1039</v>
      </c>
      <c r="D1173" s="9" t="s">
        <v>451</v>
      </c>
      <c r="E1173" s="8" t="s">
        <v>54</v>
      </c>
      <c r="F1173" s="8" t="s">
        <v>54</v>
      </c>
      <c r="G1173" s="10" t="s">
        <v>67</v>
      </c>
      <c r="H1173" s="12" t="s">
        <v>55</v>
      </c>
      <c r="I1173" s="8" t="s">
        <v>54</v>
      </c>
      <c r="J1173" s="8" t="s">
        <v>54</v>
      </c>
      <c r="K1173" s="8" t="s">
        <v>54</v>
      </c>
      <c r="L1173" s="8" t="s">
        <v>54</v>
      </c>
      <c r="M1173" s="8" t="s">
        <v>54</v>
      </c>
      <c r="N1173" s="10" t="s">
        <v>67</v>
      </c>
      <c r="O1173" s="8" t="s">
        <v>54</v>
      </c>
      <c r="P1173" s="8" t="s">
        <v>54</v>
      </c>
      <c r="Q1173" s="8" t="s">
        <v>54</v>
      </c>
      <c r="R1173" s="8" t="s">
        <v>54</v>
      </c>
      <c r="S1173" s="8" t="s">
        <v>54</v>
      </c>
      <c r="T1173" s="8" t="s">
        <v>54</v>
      </c>
      <c r="U1173" s="10" t="s">
        <v>67</v>
      </c>
      <c r="V1173" s="8" t="s">
        <v>54</v>
      </c>
      <c r="W1173" s="8" t="s">
        <v>54</v>
      </c>
      <c r="X1173" s="8" t="s">
        <v>54</v>
      </c>
      <c r="Y1173" s="8" t="s">
        <v>54</v>
      </c>
      <c r="Z1173" s="8" t="s">
        <v>54</v>
      </c>
      <c r="AA1173" s="8" t="s">
        <v>54</v>
      </c>
      <c r="AB1173" s="10" t="s">
        <v>67</v>
      </c>
      <c r="AC1173" s="8" t="s">
        <v>54</v>
      </c>
      <c r="AD1173" s="8" t="s">
        <v>54</v>
      </c>
      <c r="AE1173" s="8" t="s">
        <v>54</v>
      </c>
      <c r="AF1173" s="8" t="s">
        <v>54</v>
      </c>
      <c r="AG1173" s="8" t="s">
        <v>54</v>
      </c>
      <c r="AH1173" s="8" t="s">
        <v>54</v>
      </c>
      <c r="AI1173" s="10" t="s">
        <v>67</v>
      </c>
      <c r="AJ1173" s="8">
        <f>COUNTIF($E$1173:$AI$1173,"P")</f>
        <v>25</v>
      </c>
      <c r="AK1173" s="8">
        <f>COUNTIF($E$1173:$AI$1173,"A")</f>
        <v>1</v>
      </c>
      <c r="AL1173" s="8">
        <f>SUM($E$1174:$AI$1174)</f>
        <v>48</v>
      </c>
      <c r="AM1173" s="8">
        <f>SUM($E$1175:$AI$1175)</f>
        <v>44</v>
      </c>
      <c r="AN1173" s="8">
        <f>AL1173+AM1173</f>
        <v>92</v>
      </c>
      <c r="AO1173" s="8">
        <f>COUNTIF($E$1173:$AI$1173,"CL")</f>
        <v>0</v>
      </c>
      <c r="AP1173" s="8">
        <f>COUNTIF($E$1173:$AI$1173,"SL")</f>
        <v>0</v>
      </c>
      <c r="AQ1173" s="8">
        <f>COUNTIF($E$1173:$AI$1173,"EL")</f>
        <v>0</v>
      </c>
      <c r="AR1173" s="8">
        <f>COUNTIF($E$1173:$AI$1173,"H")</f>
        <v>0</v>
      </c>
      <c r="AS1173" s="8"/>
      <c r="AT1173" s="11" t="s">
        <v>250</v>
      </c>
    </row>
    <row r="1174" spans="1:46" ht="15.1" customHeight="1">
      <c r="A1174" s="8"/>
      <c r="B1174" s="9"/>
      <c r="C1174" s="8"/>
      <c r="D1174" s="9"/>
      <c r="E1174" s="8">
        <v>0</v>
      </c>
      <c r="F1174" s="8">
        <v>2</v>
      </c>
      <c r="G1174" s="8">
        <v>0</v>
      </c>
      <c r="H1174" s="8">
        <v>0</v>
      </c>
      <c r="I1174" s="8">
        <v>2</v>
      </c>
      <c r="J1174" s="8">
        <v>2</v>
      </c>
      <c r="K1174" s="8">
        <v>2</v>
      </c>
      <c r="L1174" s="8">
        <v>2</v>
      </c>
      <c r="M1174" s="8">
        <v>2</v>
      </c>
      <c r="N1174" s="8">
        <v>0</v>
      </c>
      <c r="O1174" s="8">
        <v>2</v>
      </c>
      <c r="P1174" s="8">
        <v>2</v>
      </c>
      <c r="Q1174" s="8">
        <v>2</v>
      </c>
      <c r="R1174" s="8">
        <v>2</v>
      </c>
      <c r="S1174" s="8">
        <v>2</v>
      </c>
      <c r="T1174" s="8">
        <v>2</v>
      </c>
      <c r="U1174" s="8">
        <v>0</v>
      </c>
      <c r="V1174" s="8">
        <v>2</v>
      </c>
      <c r="W1174" s="8">
        <v>2</v>
      </c>
      <c r="X1174" s="8">
        <v>2</v>
      </c>
      <c r="Y1174" s="8">
        <v>2</v>
      </c>
      <c r="Z1174" s="8">
        <v>2</v>
      </c>
      <c r="AA1174" s="8">
        <v>2</v>
      </c>
      <c r="AB1174" s="8">
        <v>0</v>
      </c>
      <c r="AC1174" s="8">
        <v>2</v>
      </c>
      <c r="AD1174" s="8">
        <v>2</v>
      </c>
      <c r="AE1174" s="8">
        <v>2</v>
      </c>
      <c r="AF1174" s="8">
        <v>2</v>
      </c>
      <c r="AG1174" s="8">
        <v>2</v>
      </c>
      <c r="AH1174" s="8">
        <v>2</v>
      </c>
      <c r="AI1174" s="8">
        <v>0</v>
      </c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11" t="s">
        <v>250</v>
      </c>
    </row>
    <row r="1175" spans="1:46" ht="15.1" customHeight="1">
      <c r="A1175" s="8"/>
      <c r="B1175" s="9"/>
      <c r="C1175" s="8"/>
      <c r="D1175" s="9"/>
      <c r="E1175" s="8">
        <v>0</v>
      </c>
      <c r="F1175" s="8">
        <v>1</v>
      </c>
      <c r="G1175" s="8">
        <v>9</v>
      </c>
      <c r="H1175" s="8">
        <v>0</v>
      </c>
      <c r="I1175" s="8">
        <v>1</v>
      </c>
      <c r="J1175" s="8">
        <v>1</v>
      </c>
      <c r="K1175" s="8">
        <v>1</v>
      </c>
      <c r="L1175" s="8">
        <v>1</v>
      </c>
      <c r="M1175" s="8">
        <v>1</v>
      </c>
      <c r="N1175" s="8">
        <v>11</v>
      </c>
      <c r="O1175" s="8">
        <v>1</v>
      </c>
      <c r="P1175" s="8">
        <v>1</v>
      </c>
      <c r="Q1175" s="8">
        <v>1</v>
      </c>
      <c r="R1175" s="8">
        <v>1</v>
      </c>
      <c r="S1175" s="8">
        <v>1</v>
      </c>
      <c r="T1175" s="8">
        <v>1</v>
      </c>
      <c r="U1175" s="8">
        <v>0</v>
      </c>
      <c r="V1175" s="8">
        <v>1</v>
      </c>
      <c r="W1175" s="8">
        <v>1</v>
      </c>
      <c r="X1175" s="8">
        <v>1</v>
      </c>
      <c r="Y1175" s="8">
        <v>1</v>
      </c>
      <c r="Z1175" s="8">
        <v>1</v>
      </c>
      <c r="AA1175" s="8">
        <v>1</v>
      </c>
      <c r="AB1175" s="8">
        <v>0</v>
      </c>
      <c r="AC1175" s="8">
        <v>1</v>
      </c>
      <c r="AD1175" s="8">
        <v>1</v>
      </c>
      <c r="AE1175" s="8">
        <v>1</v>
      </c>
      <c r="AF1175" s="8">
        <v>1</v>
      </c>
      <c r="AG1175" s="8">
        <v>1</v>
      </c>
      <c r="AH1175" s="8">
        <v>1</v>
      </c>
      <c r="AI1175" s="8">
        <v>0</v>
      </c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11" t="s">
        <v>250</v>
      </c>
    </row>
    <row r="1176" spans="1:46" ht="15.1" customHeight="1">
      <c r="A1176" s="8">
        <v>391</v>
      </c>
      <c r="B1176" s="9" t="s">
        <v>1040</v>
      </c>
      <c r="C1176" s="8" t="s">
        <v>1041</v>
      </c>
      <c r="D1176" s="9" t="s">
        <v>451</v>
      </c>
      <c r="E1176" s="8" t="s">
        <v>54</v>
      </c>
      <c r="F1176" s="8" t="s">
        <v>54</v>
      </c>
      <c r="G1176" s="10" t="s">
        <v>67</v>
      </c>
      <c r="H1176" s="8" t="s">
        <v>54</v>
      </c>
      <c r="I1176" s="8" t="s">
        <v>54</v>
      </c>
      <c r="J1176" s="8" t="s">
        <v>54</v>
      </c>
      <c r="K1176" s="8" t="s">
        <v>54</v>
      </c>
      <c r="L1176" s="8" t="s">
        <v>54</v>
      </c>
      <c r="M1176" s="8" t="s">
        <v>54</v>
      </c>
      <c r="N1176" s="10" t="s">
        <v>67</v>
      </c>
      <c r="O1176" s="8" t="s">
        <v>54</v>
      </c>
      <c r="P1176" s="8" t="s">
        <v>54</v>
      </c>
      <c r="Q1176" s="8" t="s">
        <v>54</v>
      </c>
      <c r="R1176" s="8" t="s">
        <v>54</v>
      </c>
      <c r="S1176" s="8" t="s">
        <v>54</v>
      </c>
      <c r="T1176" s="8" t="s">
        <v>54</v>
      </c>
      <c r="U1176" s="10" t="s">
        <v>67</v>
      </c>
      <c r="V1176" s="12" t="s">
        <v>55</v>
      </c>
      <c r="W1176" s="8" t="s">
        <v>54</v>
      </c>
      <c r="X1176" s="8" t="s">
        <v>54</v>
      </c>
      <c r="Y1176" s="8" t="s">
        <v>54</v>
      </c>
      <c r="Z1176" s="8" t="s">
        <v>54</v>
      </c>
      <c r="AA1176" s="8" t="s">
        <v>54</v>
      </c>
      <c r="AB1176" s="10" t="s">
        <v>67</v>
      </c>
      <c r="AC1176" s="8" t="s">
        <v>54</v>
      </c>
      <c r="AD1176" s="8" t="s">
        <v>54</v>
      </c>
      <c r="AE1176" s="8" t="s">
        <v>54</v>
      </c>
      <c r="AF1176" s="8" t="s">
        <v>54</v>
      </c>
      <c r="AG1176" s="8" t="s">
        <v>54</v>
      </c>
      <c r="AH1176" s="8" t="s">
        <v>54</v>
      </c>
      <c r="AI1176" s="10" t="s">
        <v>67</v>
      </c>
      <c r="AJ1176" s="8">
        <f>COUNTIF($E$1176:$AI$1176,"P")</f>
        <v>25</v>
      </c>
      <c r="AK1176" s="8">
        <f>COUNTIF($E$1176:$AI$1176,"A")</f>
        <v>1</v>
      </c>
      <c r="AL1176" s="8">
        <f>SUM($E$1177:$AI$1177)</f>
        <v>46</v>
      </c>
      <c r="AM1176" s="8">
        <f>SUM($E$1178:$AI$1178)</f>
        <v>35</v>
      </c>
      <c r="AN1176" s="8">
        <f>AL1176+AM1176</f>
        <v>81</v>
      </c>
      <c r="AO1176" s="8">
        <f>COUNTIF($E$1176:$AI$1176,"CL")</f>
        <v>0</v>
      </c>
      <c r="AP1176" s="8">
        <f>COUNTIF($E$1176:$AI$1176,"SL")</f>
        <v>0</v>
      </c>
      <c r="AQ1176" s="8">
        <f>COUNTIF($E$1176:$AI$1176,"EL")</f>
        <v>0</v>
      </c>
      <c r="AR1176" s="8">
        <f>COUNTIF($E$1176:$AI$1176,"H")</f>
        <v>0</v>
      </c>
      <c r="AS1176" s="8"/>
      <c r="AT1176" s="11" t="s">
        <v>250</v>
      </c>
    </row>
    <row r="1177" spans="1:46" ht="15.1" customHeight="1">
      <c r="A1177" s="8"/>
      <c r="B1177" s="9"/>
      <c r="C1177" s="8"/>
      <c r="D1177" s="9"/>
      <c r="E1177" s="8">
        <v>0</v>
      </c>
      <c r="F1177" s="8">
        <v>2</v>
      </c>
      <c r="G1177" s="8">
        <v>0</v>
      </c>
      <c r="H1177" s="8">
        <v>2</v>
      </c>
      <c r="I1177" s="8">
        <v>2</v>
      </c>
      <c r="J1177" s="8">
        <v>2</v>
      </c>
      <c r="K1177" s="8">
        <v>2</v>
      </c>
      <c r="L1177" s="8">
        <v>2</v>
      </c>
      <c r="M1177" s="8">
        <v>2</v>
      </c>
      <c r="N1177" s="8">
        <v>0</v>
      </c>
      <c r="O1177" s="8">
        <v>2</v>
      </c>
      <c r="P1177" s="8">
        <v>2</v>
      </c>
      <c r="Q1177" s="8">
        <v>2</v>
      </c>
      <c r="R1177" s="8">
        <v>2</v>
      </c>
      <c r="S1177" s="8">
        <v>2</v>
      </c>
      <c r="T1177" s="8">
        <v>2</v>
      </c>
      <c r="U1177" s="8">
        <v>0</v>
      </c>
      <c r="V1177" s="8">
        <v>0</v>
      </c>
      <c r="W1177" s="8">
        <v>2</v>
      </c>
      <c r="X1177" s="8">
        <v>2</v>
      </c>
      <c r="Y1177" s="8">
        <v>2</v>
      </c>
      <c r="Z1177" s="8">
        <v>0</v>
      </c>
      <c r="AA1177" s="8">
        <v>2</v>
      </c>
      <c r="AB1177" s="8">
        <v>0</v>
      </c>
      <c r="AC1177" s="8">
        <v>2</v>
      </c>
      <c r="AD1177" s="8">
        <v>2</v>
      </c>
      <c r="AE1177" s="8">
        <v>2</v>
      </c>
      <c r="AF1177" s="8">
        <v>2</v>
      </c>
      <c r="AG1177" s="8">
        <v>2</v>
      </c>
      <c r="AH1177" s="8">
        <v>2</v>
      </c>
      <c r="AI1177" s="8">
        <v>0</v>
      </c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11" t="s">
        <v>250</v>
      </c>
    </row>
    <row r="1178" spans="1:46" ht="15.1" customHeight="1">
      <c r="A1178" s="8"/>
      <c r="B1178" s="9"/>
      <c r="C1178" s="8"/>
      <c r="D1178" s="9"/>
      <c r="E1178" s="8">
        <v>0</v>
      </c>
      <c r="F1178" s="8">
        <v>1</v>
      </c>
      <c r="G1178" s="8">
        <v>0</v>
      </c>
      <c r="H1178" s="8">
        <v>1</v>
      </c>
      <c r="I1178" s="8">
        <v>1</v>
      </c>
      <c r="J1178" s="8">
        <v>1</v>
      </c>
      <c r="K1178" s="8">
        <v>1</v>
      </c>
      <c r="L1178" s="8">
        <v>1</v>
      </c>
      <c r="M1178" s="8">
        <v>1</v>
      </c>
      <c r="N1178" s="8">
        <v>12</v>
      </c>
      <c r="O1178" s="8">
        <v>1</v>
      </c>
      <c r="P1178" s="8">
        <v>1</v>
      </c>
      <c r="Q1178" s="8">
        <v>1</v>
      </c>
      <c r="R1178" s="8">
        <v>1</v>
      </c>
      <c r="S1178" s="8">
        <v>1</v>
      </c>
      <c r="T1178" s="8">
        <v>1</v>
      </c>
      <c r="U1178" s="8">
        <v>0</v>
      </c>
      <c r="V1178" s="8">
        <v>0</v>
      </c>
      <c r="W1178" s="8">
        <v>1</v>
      </c>
      <c r="X1178" s="8">
        <v>1</v>
      </c>
      <c r="Y1178" s="8">
        <v>1</v>
      </c>
      <c r="Z1178" s="8">
        <v>0</v>
      </c>
      <c r="AA1178" s="8">
        <v>1</v>
      </c>
      <c r="AB1178" s="8">
        <v>0</v>
      </c>
      <c r="AC1178" s="8">
        <v>1</v>
      </c>
      <c r="AD1178" s="8">
        <v>1</v>
      </c>
      <c r="AE1178" s="8">
        <v>1</v>
      </c>
      <c r="AF1178" s="8">
        <v>1</v>
      </c>
      <c r="AG1178" s="8">
        <v>1</v>
      </c>
      <c r="AH1178" s="8">
        <v>1</v>
      </c>
      <c r="AI1178" s="8">
        <v>0</v>
      </c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11" t="s">
        <v>250</v>
      </c>
    </row>
    <row r="1179" spans="1:46" ht="15.1" customHeight="1">
      <c r="A1179" s="8">
        <v>392</v>
      </c>
      <c r="B1179" s="9" t="s">
        <v>1042</v>
      </c>
      <c r="C1179" s="8" t="s">
        <v>1043</v>
      </c>
      <c r="D1179" s="9" t="s">
        <v>451</v>
      </c>
      <c r="E1179" s="8" t="s">
        <v>54</v>
      </c>
      <c r="F1179" s="8" t="s">
        <v>54</v>
      </c>
      <c r="G1179" s="10" t="s">
        <v>67</v>
      </c>
      <c r="H1179" s="8" t="s">
        <v>54</v>
      </c>
      <c r="I1179" s="8" t="s">
        <v>54</v>
      </c>
      <c r="J1179" s="8" t="s">
        <v>54</v>
      </c>
      <c r="K1179" s="8" t="s">
        <v>54</v>
      </c>
      <c r="L1179" s="8" t="s">
        <v>54</v>
      </c>
      <c r="M1179" s="8" t="s">
        <v>54</v>
      </c>
      <c r="N1179" s="10" t="s">
        <v>67</v>
      </c>
      <c r="O1179" s="8" t="s">
        <v>54</v>
      </c>
      <c r="P1179" s="8" t="s">
        <v>54</v>
      </c>
      <c r="Q1179" s="8" t="s">
        <v>54</v>
      </c>
      <c r="R1179" s="8" t="s">
        <v>54</v>
      </c>
      <c r="S1179" s="8" t="s">
        <v>54</v>
      </c>
      <c r="T1179" s="8" t="s">
        <v>54</v>
      </c>
      <c r="U1179" s="10" t="s">
        <v>67</v>
      </c>
      <c r="V1179" s="8" t="s">
        <v>54</v>
      </c>
      <c r="W1179" s="8" t="s">
        <v>54</v>
      </c>
      <c r="X1179" s="8" t="s">
        <v>54</v>
      </c>
      <c r="Y1179" s="8" t="s">
        <v>54</v>
      </c>
      <c r="Z1179" s="8" t="s">
        <v>54</v>
      </c>
      <c r="AA1179" s="8" t="s">
        <v>54</v>
      </c>
      <c r="AB1179" s="10" t="s">
        <v>67</v>
      </c>
      <c r="AC1179" s="8" t="s">
        <v>54</v>
      </c>
      <c r="AD1179" s="8" t="s">
        <v>54</v>
      </c>
      <c r="AE1179" s="8" t="s">
        <v>54</v>
      </c>
      <c r="AF1179" s="8" t="s">
        <v>54</v>
      </c>
      <c r="AG1179" s="8" t="s">
        <v>54</v>
      </c>
      <c r="AH1179" s="8" t="s">
        <v>54</v>
      </c>
      <c r="AI1179" s="10" t="s">
        <v>67</v>
      </c>
      <c r="AJ1179" s="8">
        <f>COUNTIF($E$1179:$AI$1179,"P")</f>
        <v>26</v>
      </c>
      <c r="AK1179" s="8">
        <f>COUNTIF($E$1179:$AI$1179,"A")</f>
        <v>0</v>
      </c>
      <c r="AL1179" s="8">
        <f>SUM($E$1180:$AI$1180)</f>
        <v>46</v>
      </c>
      <c r="AM1179" s="8">
        <f>SUM($E$1181:$AI$1181)</f>
        <v>23</v>
      </c>
      <c r="AN1179" s="8">
        <f>AL1179+AM1179</f>
        <v>69</v>
      </c>
      <c r="AO1179" s="8">
        <f>COUNTIF($E$1179:$AI$1179,"CL")</f>
        <v>0</v>
      </c>
      <c r="AP1179" s="8">
        <f>COUNTIF($E$1179:$AI$1179,"SL")</f>
        <v>0</v>
      </c>
      <c r="AQ1179" s="8">
        <f>COUNTIF($E$1179:$AI$1179,"EL")</f>
        <v>0</v>
      </c>
      <c r="AR1179" s="8">
        <f>COUNTIF($E$1179:$AI$1179,"H")</f>
        <v>0</v>
      </c>
      <c r="AS1179" s="8"/>
      <c r="AT1179" s="11" t="s">
        <v>250</v>
      </c>
    </row>
    <row r="1180" spans="1:46" ht="15.1" customHeight="1">
      <c r="A1180" s="8"/>
      <c r="B1180" s="9"/>
      <c r="C1180" s="8"/>
      <c r="D1180" s="9"/>
      <c r="E1180" s="8">
        <v>0</v>
      </c>
      <c r="F1180" s="8">
        <v>0</v>
      </c>
      <c r="G1180" s="8">
        <v>0</v>
      </c>
      <c r="H1180" s="8">
        <v>0</v>
      </c>
      <c r="I1180" s="8">
        <v>2</v>
      </c>
      <c r="J1180" s="8">
        <v>2</v>
      </c>
      <c r="K1180" s="8">
        <v>2</v>
      </c>
      <c r="L1180" s="8">
        <v>2</v>
      </c>
      <c r="M1180" s="8">
        <v>2</v>
      </c>
      <c r="N1180" s="8">
        <v>0</v>
      </c>
      <c r="O1180" s="8">
        <v>2</v>
      </c>
      <c r="P1180" s="8">
        <v>2</v>
      </c>
      <c r="Q1180" s="8">
        <v>2</v>
      </c>
      <c r="R1180" s="8">
        <v>2</v>
      </c>
      <c r="S1180" s="8">
        <v>2</v>
      </c>
      <c r="T1180" s="8">
        <v>2</v>
      </c>
      <c r="U1180" s="8">
        <v>0</v>
      </c>
      <c r="V1180" s="8">
        <v>2</v>
      </c>
      <c r="W1180" s="8">
        <v>2</v>
      </c>
      <c r="X1180" s="8">
        <v>2</v>
      </c>
      <c r="Y1180" s="8">
        <v>2</v>
      </c>
      <c r="Z1180" s="8">
        <v>2</v>
      </c>
      <c r="AA1180" s="8">
        <v>2</v>
      </c>
      <c r="AB1180" s="8">
        <v>0</v>
      </c>
      <c r="AC1180" s="8">
        <v>2</v>
      </c>
      <c r="AD1180" s="8">
        <v>2</v>
      </c>
      <c r="AE1180" s="8">
        <v>2</v>
      </c>
      <c r="AF1180" s="8">
        <v>2</v>
      </c>
      <c r="AG1180" s="8">
        <v>2</v>
      </c>
      <c r="AH1180" s="8">
        <v>2</v>
      </c>
      <c r="AI1180" s="8">
        <v>0</v>
      </c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11" t="s">
        <v>250</v>
      </c>
    </row>
    <row r="1181" spans="1:46" ht="15.1" customHeight="1">
      <c r="A1181" s="8"/>
      <c r="B1181" s="9"/>
      <c r="C1181" s="8"/>
      <c r="D1181" s="9"/>
      <c r="E1181" s="8">
        <v>0</v>
      </c>
      <c r="F1181" s="8">
        <v>0</v>
      </c>
      <c r="G1181" s="8">
        <v>0</v>
      </c>
      <c r="H1181" s="8">
        <v>0</v>
      </c>
      <c r="I1181" s="8">
        <v>1</v>
      </c>
      <c r="J1181" s="8">
        <v>1</v>
      </c>
      <c r="K1181" s="8">
        <v>1</v>
      </c>
      <c r="L1181" s="8">
        <v>1</v>
      </c>
      <c r="M1181" s="8">
        <v>1</v>
      </c>
      <c r="N1181" s="8">
        <v>0</v>
      </c>
      <c r="O1181" s="8">
        <v>1</v>
      </c>
      <c r="P1181" s="8">
        <v>1</v>
      </c>
      <c r="Q1181" s="8">
        <v>1</v>
      </c>
      <c r="R1181" s="8">
        <v>1</v>
      </c>
      <c r="S1181" s="8">
        <v>1</v>
      </c>
      <c r="T1181" s="8">
        <v>1</v>
      </c>
      <c r="U1181" s="8">
        <v>0</v>
      </c>
      <c r="V1181" s="8">
        <v>1</v>
      </c>
      <c r="W1181" s="8">
        <v>1</v>
      </c>
      <c r="X1181" s="8">
        <v>1</v>
      </c>
      <c r="Y1181" s="8">
        <v>1</v>
      </c>
      <c r="Z1181" s="8">
        <v>1</v>
      </c>
      <c r="AA1181" s="8">
        <v>1</v>
      </c>
      <c r="AB1181" s="8">
        <v>0</v>
      </c>
      <c r="AC1181" s="8">
        <v>1</v>
      </c>
      <c r="AD1181" s="8">
        <v>1</v>
      </c>
      <c r="AE1181" s="8">
        <v>1</v>
      </c>
      <c r="AF1181" s="8">
        <v>1</v>
      </c>
      <c r="AG1181" s="8">
        <v>1</v>
      </c>
      <c r="AH1181" s="8">
        <v>1</v>
      </c>
      <c r="AI1181" s="8">
        <v>0</v>
      </c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11" t="s">
        <v>250</v>
      </c>
    </row>
    <row r="1182" spans="1:46" ht="15.1" customHeight="1">
      <c r="A1182" s="8">
        <v>393</v>
      </c>
      <c r="B1182" s="9" t="s">
        <v>1044</v>
      </c>
      <c r="C1182" s="8" t="s">
        <v>1045</v>
      </c>
      <c r="D1182" s="9" t="s">
        <v>451</v>
      </c>
      <c r="E1182" s="8" t="s">
        <v>54</v>
      </c>
      <c r="F1182" s="8" t="s">
        <v>54</v>
      </c>
      <c r="G1182" s="10" t="s">
        <v>67</v>
      </c>
      <c r="H1182" s="8" t="s">
        <v>54</v>
      </c>
      <c r="I1182" s="8" t="s">
        <v>54</v>
      </c>
      <c r="J1182" s="8" t="s">
        <v>54</v>
      </c>
      <c r="K1182" s="8" t="s">
        <v>54</v>
      </c>
      <c r="L1182" s="8" t="s">
        <v>54</v>
      </c>
      <c r="M1182" s="8" t="s">
        <v>54</v>
      </c>
      <c r="N1182" s="10" t="s">
        <v>67</v>
      </c>
      <c r="O1182" s="8" t="s">
        <v>54</v>
      </c>
      <c r="P1182" s="8" t="s">
        <v>54</v>
      </c>
      <c r="Q1182" s="8" t="s">
        <v>54</v>
      </c>
      <c r="R1182" s="8" t="s">
        <v>54</v>
      </c>
      <c r="S1182" s="8" t="s">
        <v>54</v>
      </c>
      <c r="T1182" s="8" t="s">
        <v>54</v>
      </c>
      <c r="U1182" s="10" t="s">
        <v>67</v>
      </c>
      <c r="V1182" s="8" t="s">
        <v>54</v>
      </c>
      <c r="W1182" s="8" t="s">
        <v>54</v>
      </c>
      <c r="X1182" s="8" t="s">
        <v>54</v>
      </c>
      <c r="Y1182" s="8" t="s">
        <v>54</v>
      </c>
      <c r="Z1182" s="8" t="s">
        <v>54</v>
      </c>
      <c r="AA1182" s="8" t="s">
        <v>54</v>
      </c>
      <c r="AB1182" s="10" t="s">
        <v>67</v>
      </c>
      <c r="AC1182" s="8" t="s">
        <v>54</v>
      </c>
      <c r="AD1182" s="8" t="s">
        <v>54</v>
      </c>
      <c r="AE1182" s="8" t="s">
        <v>54</v>
      </c>
      <c r="AF1182" s="8" t="s">
        <v>54</v>
      </c>
      <c r="AG1182" s="8" t="s">
        <v>54</v>
      </c>
      <c r="AH1182" s="8" t="s">
        <v>54</v>
      </c>
      <c r="AI1182" s="10" t="s">
        <v>67</v>
      </c>
      <c r="AJ1182" s="8">
        <f>COUNTIF($E$1182:$AI$1182,"P")</f>
        <v>26</v>
      </c>
      <c r="AK1182" s="8">
        <f>COUNTIF($E$1182:$AI$1182,"A")</f>
        <v>0</v>
      </c>
      <c r="AL1182" s="8">
        <f>SUM($E$1183:$AI$1183)</f>
        <v>42</v>
      </c>
      <c r="AM1182" s="8">
        <f>SUM($E$1184:$AI$1184)</f>
        <v>33</v>
      </c>
      <c r="AN1182" s="8">
        <f>AL1182+AM1182</f>
        <v>75</v>
      </c>
      <c r="AO1182" s="8">
        <f>COUNTIF($E$1182:$AI$1182,"CL")</f>
        <v>0</v>
      </c>
      <c r="AP1182" s="8">
        <f>COUNTIF($E$1182:$AI$1182,"SL")</f>
        <v>0</v>
      </c>
      <c r="AQ1182" s="8">
        <f>COUNTIF($E$1182:$AI$1182,"EL")</f>
        <v>0</v>
      </c>
      <c r="AR1182" s="8">
        <f>COUNTIF($E$1182:$AI$1182,"H")</f>
        <v>0</v>
      </c>
      <c r="AS1182" s="8"/>
      <c r="AT1182" s="11" t="s">
        <v>250</v>
      </c>
    </row>
    <row r="1183" spans="1:46" ht="15.1" customHeight="1">
      <c r="A1183" s="8"/>
      <c r="B1183" s="9"/>
      <c r="C1183" s="8"/>
      <c r="D1183" s="9"/>
      <c r="E1183" s="8">
        <v>0</v>
      </c>
      <c r="F1183" s="8">
        <v>0</v>
      </c>
      <c r="G1183" s="8">
        <v>0</v>
      </c>
      <c r="H1183" s="8">
        <v>0</v>
      </c>
      <c r="I1183" s="8">
        <v>2</v>
      </c>
      <c r="J1183" s="8">
        <v>0</v>
      </c>
      <c r="K1183" s="8">
        <v>2</v>
      </c>
      <c r="L1183" s="8">
        <v>2</v>
      </c>
      <c r="M1183" s="8">
        <v>2</v>
      </c>
      <c r="N1183" s="8">
        <v>0</v>
      </c>
      <c r="O1183" s="8">
        <v>2</v>
      </c>
      <c r="P1183" s="8">
        <v>2</v>
      </c>
      <c r="Q1183" s="8">
        <v>2</v>
      </c>
      <c r="R1183" s="8">
        <v>2</v>
      </c>
      <c r="S1183" s="8">
        <v>2</v>
      </c>
      <c r="T1183" s="8">
        <v>2</v>
      </c>
      <c r="U1183" s="8">
        <v>0</v>
      </c>
      <c r="V1183" s="8">
        <v>2</v>
      </c>
      <c r="W1183" s="8">
        <v>2</v>
      </c>
      <c r="X1183" s="8">
        <v>2</v>
      </c>
      <c r="Y1183" s="8">
        <v>2</v>
      </c>
      <c r="Z1183" s="8">
        <v>0</v>
      </c>
      <c r="AA1183" s="8">
        <v>2</v>
      </c>
      <c r="AB1183" s="8">
        <v>0</v>
      </c>
      <c r="AC1183" s="8">
        <v>2</v>
      </c>
      <c r="AD1183" s="8">
        <v>2</v>
      </c>
      <c r="AE1183" s="8">
        <v>2</v>
      </c>
      <c r="AF1183" s="8">
        <v>2</v>
      </c>
      <c r="AG1183" s="8">
        <v>2</v>
      </c>
      <c r="AH1183" s="8">
        <v>2</v>
      </c>
      <c r="AI1183" s="8">
        <v>0</v>
      </c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11" t="s">
        <v>250</v>
      </c>
    </row>
    <row r="1184" spans="1:46" ht="15.1" customHeight="1">
      <c r="A1184" s="8"/>
      <c r="B1184" s="9"/>
      <c r="C1184" s="8"/>
      <c r="D1184" s="9"/>
      <c r="E1184" s="8">
        <v>0</v>
      </c>
      <c r="F1184" s="8">
        <v>0</v>
      </c>
      <c r="G1184" s="8">
        <v>0</v>
      </c>
      <c r="H1184" s="8">
        <v>0</v>
      </c>
      <c r="I1184" s="8">
        <v>1</v>
      </c>
      <c r="J1184" s="8">
        <v>0</v>
      </c>
      <c r="K1184" s="8">
        <v>1</v>
      </c>
      <c r="L1184" s="8">
        <v>1</v>
      </c>
      <c r="M1184" s="8">
        <v>1</v>
      </c>
      <c r="N1184" s="8">
        <v>12</v>
      </c>
      <c r="O1184" s="8">
        <v>1</v>
      </c>
      <c r="P1184" s="8">
        <v>1</v>
      </c>
      <c r="Q1184" s="8">
        <v>1</v>
      </c>
      <c r="R1184" s="8">
        <v>1</v>
      </c>
      <c r="S1184" s="8">
        <v>1</v>
      </c>
      <c r="T1184" s="8">
        <v>1</v>
      </c>
      <c r="U1184" s="8">
        <v>0</v>
      </c>
      <c r="V1184" s="8">
        <v>1</v>
      </c>
      <c r="W1184" s="8">
        <v>1</v>
      </c>
      <c r="X1184" s="8">
        <v>1</v>
      </c>
      <c r="Y1184" s="8">
        <v>1</v>
      </c>
      <c r="Z1184" s="8">
        <v>0</v>
      </c>
      <c r="AA1184" s="8">
        <v>1</v>
      </c>
      <c r="AB1184" s="8">
        <v>0</v>
      </c>
      <c r="AC1184" s="8">
        <v>1</v>
      </c>
      <c r="AD1184" s="8">
        <v>1</v>
      </c>
      <c r="AE1184" s="8">
        <v>1</v>
      </c>
      <c r="AF1184" s="8">
        <v>1</v>
      </c>
      <c r="AG1184" s="8">
        <v>1</v>
      </c>
      <c r="AH1184" s="8">
        <v>1</v>
      </c>
      <c r="AI1184" s="8">
        <v>0</v>
      </c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11" t="s">
        <v>250</v>
      </c>
    </row>
    <row r="1185" spans="1:46" ht="15.1" customHeight="1">
      <c r="A1185" s="8">
        <v>394</v>
      </c>
      <c r="B1185" s="9" t="s">
        <v>1046</v>
      </c>
      <c r="C1185" s="8" t="s">
        <v>1047</v>
      </c>
      <c r="D1185" s="9" t="s">
        <v>451</v>
      </c>
      <c r="E1185" s="12" t="s">
        <v>55</v>
      </c>
      <c r="F1185" s="12" t="s">
        <v>55</v>
      </c>
      <c r="G1185" s="10" t="s">
        <v>67</v>
      </c>
      <c r="H1185" s="12" t="s">
        <v>55</v>
      </c>
      <c r="I1185" s="8" t="s">
        <v>54</v>
      </c>
      <c r="J1185" s="8" t="s">
        <v>54</v>
      </c>
      <c r="K1185" s="8" t="s">
        <v>54</v>
      </c>
      <c r="L1185" s="8" t="s">
        <v>54</v>
      </c>
      <c r="M1185" s="8" t="s">
        <v>54</v>
      </c>
      <c r="N1185" s="10" t="s">
        <v>67</v>
      </c>
      <c r="O1185" s="8" t="s">
        <v>54</v>
      </c>
      <c r="P1185" s="8" t="s">
        <v>54</v>
      </c>
      <c r="Q1185" s="8" t="s">
        <v>54</v>
      </c>
      <c r="R1185" s="8" t="s">
        <v>54</v>
      </c>
      <c r="S1185" s="8" t="s">
        <v>54</v>
      </c>
      <c r="T1185" s="8" t="s">
        <v>54</v>
      </c>
      <c r="U1185" s="10" t="s">
        <v>67</v>
      </c>
      <c r="V1185" s="8" t="s">
        <v>54</v>
      </c>
      <c r="W1185" s="8" t="s">
        <v>54</v>
      </c>
      <c r="X1185" s="8" t="s">
        <v>54</v>
      </c>
      <c r="Y1185" s="8" t="s">
        <v>54</v>
      </c>
      <c r="Z1185" s="8" t="s">
        <v>54</v>
      </c>
      <c r="AA1185" s="8" t="s">
        <v>54</v>
      </c>
      <c r="AB1185" s="10" t="s">
        <v>67</v>
      </c>
      <c r="AC1185" s="12" t="s">
        <v>55</v>
      </c>
      <c r="AD1185" s="12" t="s">
        <v>55</v>
      </c>
      <c r="AE1185" s="12" t="s">
        <v>55</v>
      </c>
      <c r="AF1185" s="12" t="s">
        <v>55</v>
      </c>
      <c r="AG1185" s="8" t="s">
        <v>54</v>
      </c>
      <c r="AH1185" s="8" t="s">
        <v>54</v>
      </c>
      <c r="AI1185" s="10" t="s">
        <v>67</v>
      </c>
      <c r="AJ1185" s="8">
        <f>COUNTIF($E$1185:$AI$1185,"P")</f>
        <v>19</v>
      </c>
      <c r="AK1185" s="8">
        <f>COUNTIF($E$1185:$AI$1185,"A")</f>
        <v>7</v>
      </c>
      <c r="AL1185" s="8">
        <f>SUM($E$1186:$AI$1186)</f>
        <v>34</v>
      </c>
      <c r="AM1185" s="8">
        <f>SUM($E$1187:$AI$1187)</f>
        <v>38</v>
      </c>
      <c r="AN1185" s="8">
        <f>AL1185+AM1185</f>
        <v>72</v>
      </c>
      <c r="AO1185" s="8">
        <f>COUNTIF($E$1185:$AI$1185,"CL")</f>
        <v>0</v>
      </c>
      <c r="AP1185" s="8">
        <f>COUNTIF($E$1185:$AI$1185,"SL")</f>
        <v>0</v>
      </c>
      <c r="AQ1185" s="8">
        <f>COUNTIF($E$1185:$AI$1185,"EL")</f>
        <v>0</v>
      </c>
      <c r="AR1185" s="8">
        <f>COUNTIF($E$1185:$AI$1185,"H")</f>
        <v>0</v>
      </c>
      <c r="AS1185" s="8"/>
      <c r="AT1185" s="11" t="s">
        <v>250</v>
      </c>
    </row>
    <row r="1186" spans="1:46" ht="15.1" customHeight="1">
      <c r="A1186" s="8"/>
      <c r="B1186" s="9"/>
      <c r="C1186" s="8"/>
      <c r="D1186" s="9"/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2</v>
      </c>
      <c r="K1186" s="8">
        <v>2</v>
      </c>
      <c r="L1186" s="8">
        <v>2</v>
      </c>
      <c r="M1186" s="8">
        <v>2</v>
      </c>
      <c r="N1186" s="8">
        <v>0</v>
      </c>
      <c r="O1186" s="8">
        <v>2</v>
      </c>
      <c r="P1186" s="8">
        <v>2</v>
      </c>
      <c r="Q1186" s="8">
        <v>2</v>
      </c>
      <c r="R1186" s="8">
        <v>2</v>
      </c>
      <c r="S1186" s="8">
        <v>2</v>
      </c>
      <c r="T1186" s="8">
        <v>2</v>
      </c>
      <c r="U1186" s="8">
        <v>0</v>
      </c>
      <c r="V1186" s="8">
        <v>2</v>
      </c>
      <c r="W1186" s="8">
        <v>2</v>
      </c>
      <c r="X1186" s="8">
        <v>2</v>
      </c>
      <c r="Y1186" s="8">
        <v>2</v>
      </c>
      <c r="Z1186" s="8">
        <v>0</v>
      </c>
      <c r="AA1186" s="8">
        <v>2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2</v>
      </c>
      <c r="AH1186" s="8">
        <v>2</v>
      </c>
      <c r="AI1186" s="8">
        <v>0</v>
      </c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11" t="s">
        <v>250</v>
      </c>
    </row>
    <row r="1187" spans="1:46" ht="15.1" customHeight="1">
      <c r="A1187" s="8"/>
      <c r="B1187" s="9"/>
      <c r="C1187" s="8"/>
      <c r="D1187" s="9"/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1</v>
      </c>
      <c r="K1187" s="8">
        <v>1</v>
      </c>
      <c r="L1187" s="8">
        <v>1</v>
      </c>
      <c r="M1187" s="8">
        <v>1</v>
      </c>
      <c r="N1187" s="8">
        <v>12</v>
      </c>
      <c r="O1187" s="8">
        <v>1</v>
      </c>
      <c r="P1187" s="8">
        <v>1</v>
      </c>
      <c r="Q1187" s="8">
        <v>1</v>
      </c>
      <c r="R1187" s="8">
        <v>1</v>
      </c>
      <c r="S1187" s="8">
        <v>1</v>
      </c>
      <c r="T1187" s="8">
        <v>1</v>
      </c>
      <c r="U1187" s="8">
        <v>0</v>
      </c>
      <c r="V1187" s="8">
        <v>1</v>
      </c>
      <c r="W1187" s="8">
        <v>1</v>
      </c>
      <c r="X1187" s="8">
        <v>1</v>
      </c>
      <c r="Y1187" s="8">
        <v>1</v>
      </c>
      <c r="Z1187" s="8">
        <v>0</v>
      </c>
      <c r="AA1187" s="8">
        <v>10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1</v>
      </c>
      <c r="AH1187" s="8">
        <v>1</v>
      </c>
      <c r="AI1187" s="8">
        <v>0</v>
      </c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11" t="s">
        <v>250</v>
      </c>
    </row>
    <row r="1188" spans="1:46" ht="15.1" customHeight="1">
      <c r="A1188" s="8">
        <v>395</v>
      </c>
      <c r="B1188" s="9" t="s">
        <v>741</v>
      </c>
      <c r="C1188" s="8" t="s">
        <v>1048</v>
      </c>
      <c r="D1188" s="9" t="s">
        <v>451</v>
      </c>
      <c r="E1188" s="8" t="s">
        <v>54</v>
      </c>
      <c r="F1188" s="8" t="s">
        <v>54</v>
      </c>
      <c r="G1188" s="10" t="s">
        <v>67</v>
      </c>
      <c r="H1188" s="8" t="s">
        <v>54</v>
      </c>
      <c r="I1188" s="8" t="s">
        <v>54</v>
      </c>
      <c r="J1188" s="8" t="s">
        <v>54</v>
      </c>
      <c r="K1188" s="8" t="s">
        <v>54</v>
      </c>
      <c r="L1188" s="8" t="s">
        <v>54</v>
      </c>
      <c r="M1188" s="8" t="s">
        <v>54</v>
      </c>
      <c r="N1188" s="10" t="s">
        <v>67</v>
      </c>
      <c r="O1188" s="8" t="s">
        <v>54</v>
      </c>
      <c r="P1188" s="8" t="s">
        <v>54</v>
      </c>
      <c r="Q1188" s="8" t="s">
        <v>54</v>
      </c>
      <c r="R1188" s="8" t="s">
        <v>54</v>
      </c>
      <c r="S1188" s="8" t="s">
        <v>54</v>
      </c>
      <c r="T1188" s="8" t="s">
        <v>54</v>
      </c>
      <c r="U1188" s="10" t="s">
        <v>67</v>
      </c>
      <c r="V1188" s="8" t="s">
        <v>54</v>
      </c>
      <c r="W1188" s="8" t="s">
        <v>54</v>
      </c>
      <c r="X1188" s="8" t="s">
        <v>54</v>
      </c>
      <c r="Y1188" s="8" t="s">
        <v>54</v>
      </c>
      <c r="Z1188" s="8" t="s">
        <v>54</v>
      </c>
      <c r="AA1188" s="8" t="s">
        <v>54</v>
      </c>
      <c r="AB1188" s="10" t="s">
        <v>67</v>
      </c>
      <c r="AC1188" s="8" t="s">
        <v>54</v>
      </c>
      <c r="AD1188" s="8" t="s">
        <v>54</v>
      </c>
      <c r="AE1188" s="8" t="s">
        <v>54</v>
      </c>
      <c r="AF1188" s="8" t="s">
        <v>54</v>
      </c>
      <c r="AG1188" s="8" t="s">
        <v>54</v>
      </c>
      <c r="AH1188" s="8" t="s">
        <v>54</v>
      </c>
      <c r="AI1188" s="10" t="s">
        <v>67</v>
      </c>
      <c r="AJ1188" s="8">
        <f>COUNTIF($E$1188:$AI$1188,"P")</f>
        <v>26</v>
      </c>
      <c r="AK1188" s="8">
        <f>COUNTIF($E$1188:$AI$1188,"A")</f>
        <v>0</v>
      </c>
      <c r="AL1188" s="8">
        <f>SUM($E$1189:$AI$1189)</f>
        <v>52</v>
      </c>
      <c r="AM1188" s="8">
        <f>SUM($E$1190:$AI$1190)</f>
        <v>26</v>
      </c>
      <c r="AN1188" s="8">
        <f>AL1188+AM1188</f>
        <v>78</v>
      </c>
      <c r="AO1188" s="8">
        <f>COUNTIF($E$1188:$AI$1188,"CL")</f>
        <v>0</v>
      </c>
      <c r="AP1188" s="8">
        <f>COUNTIF($E$1188:$AI$1188,"SL")</f>
        <v>0</v>
      </c>
      <c r="AQ1188" s="8">
        <f>COUNTIF($E$1188:$AI$1188,"EL")</f>
        <v>0</v>
      </c>
      <c r="AR1188" s="8">
        <f>COUNTIF($E$1188:$AI$1188,"H")</f>
        <v>0</v>
      </c>
      <c r="AS1188" s="8"/>
      <c r="AT1188" s="11" t="s">
        <v>250</v>
      </c>
    </row>
    <row r="1189" spans="1:46" ht="15.1" customHeight="1">
      <c r="A1189" s="8"/>
      <c r="B1189" s="9"/>
      <c r="C1189" s="8"/>
      <c r="D1189" s="9"/>
      <c r="E1189" s="8">
        <v>2</v>
      </c>
      <c r="F1189" s="8">
        <v>2</v>
      </c>
      <c r="G1189" s="8">
        <v>0</v>
      </c>
      <c r="H1189" s="8">
        <v>2</v>
      </c>
      <c r="I1189" s="8">
        <v>2</v>
      </c>
      <c r="J1189" s="8">
        <v>2</v>
      </c>
      <c r="K1189" s="8">
        <v>2</v>
      </c>
      <c r="L1189" s="8">
        <v>2</v>
      </c>
      <c r="M1189" s="8">
        <v>2</v>
      </c>
      <c r="N1189" s="8">
        <v>0</v>
      </c>
      <c r="O1189" s="8">
        <v>2</v>
      </c>
      <c r="P1189" s="8">
        <v>2</v>
      </c>
      <c r="Q1189" s="8">
        <v>2</v>
      </c>
      <c r="R1189" s="8">
        <v>2</v>
      </c>
      <c r="S1189" s="8">
        <v>2</v>
      </c>
      <c r="T1189" s="8">
        <v>2</v>
      </c>
      <c r="U1189" s="8">
        <v>0</v>
      </c>
      <c r="V1189" s="8">
        <v>2</v>
      </c>
      <c r="W1189" s="8">
        <v>2</v>
      </c>
      <c r="X1189" s="8">
        <v>2</v>
      </c>
      <c r="Y1189" s="8">
        <v>2</v>
      </c>
      <c r="Z1189" s="8">
        <v>2</v>
      </c>
      <c r="AA1189" s="8">
        <v>2</v>
      </c>
      <c r="AB1189" s="8">
        <v>0</v>
      </c>
      <c r="AC1189" s="8">
        <v>2</v>
      </c>
      <c r="AD1189" s="8">
        <v>2</v>
      </c>
      <c r="AE1189" s="8">
        <v>2</v>
      </c>
      <c r="AF1189" s="8">
        <v>2</v>
      </c>
      <c r="AG1189" s="8">
        <v>2</v>
      </c>
      <c r="AH1189" s="8">
        <v>2</v>
      </c>
      <c r="AI1189" s="8">
        <v>0</v>
      </c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11" t="s">
        <v>250</v>
      </c>
    </row>
    <row r="1190" spans="1:46" ht="15.1" customHeight="1">
      <c r="A1190" s="8"/>
      <c r="B1190" s="9"/>
      <c r="C1190" s="8"/>
      <c r="D1190" s="9"/>
      <c r="E1190" s="8">
        <v>1</v>
      </c>
      <c r="F1190" s="8">
        <v>1</v>
      </c>
      <c r="G1190" s="8">
        <v>0</v>
      </c>
      <c r="H1190" s="8">
        <v>1</v>
      </c>
      <c r="I1190" s="8">
        <v>1</v>
      </c>
      <c r="J1190" s="8">
        <v>1</v>
      </c>
      <c r="K1190" s="8">
        <v>1</v>
      </c>
      <c r="L1190" s="8">
        <v>1</v>
      </c>
      <c r="M1190" s="8">
        <v>1</v>
      </c>
      <c r="N1190" s="8">
        <v>0</v>
      </c>
      <c r="O1190" s="8">
        <v>1</v>
      </c>
      <c r="P1190" s="8">
        <v>1</v>
      </c>
      <c r="Q1190" s="8">
        <v>1</v>
      </c>
      <c r="R1190" s="8">
        <v>1</v>
      </c>
      <c r="S1190" s="8">
        <v>1</v>
      </c>
      <c r="T1190" s="8">
        <v>1</v>
      </c>
      <c r="U1190" s="8">
        <v>0</v>
      </c>
      <c r="V1190" s="8">
        <v>1</v>
      </c>
      <c r="W1190" s="8">
        <v>1</v>
      </c>
      <c r="X1190" s="8">
        <v>1</v>
      </c>
      <c r="Y1190" s="8">
        <v>1</v>
      </c>
      <c r="Z1190" s="8">
        <v>1</v>
      </c>
      <c r="AA1190" s="8">
        <v>1</v>
      </c>
      <c r="AB1190" s="8">
        <v>0</v>
      </c>
      <c r="AC1190" s="8">
        <v>1</v>
      </c>
      <c r="AD1190" s="8">
        <v>1</v>
      </c>
      <c r="AE1190" s="8">
        <v>1</v>
      </c>
      <c r="AF1190" s="8">
        <v>1</v>
      </c>
      <c r="AG1190" s="8">
        <v>1</v>
      </c>
      <c r="AH1190" s="8">
        <v>1</v>
      </c>
      <c r="AI1190" s="8">
        <v>0</v>
      </c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11" t="s">
        <v>250</v>
      </c>
    </row>
    <row r="1191" spans="1:46" ht="15.1" customHeight="1">
      <c r="A1191" s="8">
        <v>396</v>
      </c>
      <c r="B1191" s="9" t="s">
        <v>1049</v>
      </c>
      <c r="C1191" s="8" t="s">
        <v>1050</v>
      </c>
      <c r="D1191" s="9" t="s">
        <v>451</v>
      </c>
      <c r="E1191" s="8" t="s">
        <v>54</v>
      </c>
      <c r="F1191" s="8" t="s">
        <v>54</v>
      </c>
      <c r="G1191" s="10" t="s">
        <v>67</v>
      </c>
      <c r="H1191" s="8" t="s">
        <v>54</v>
      </c>
      <c r="I1191" s="8" t="s">
        <v>54</v>
      </c>
      <c r="J1191" s="8" t="s">
        <v>54</v>
      </c>
      <c r="K1191" s="8" t="s">
        <v>54</v>
      </c>
      <c r="L1191" s="8" t="s">
        <v>54</v>
      </c>
      <c r="M1191" s="8" t="s">
        <v>54</v>
      </c>
      <c r="N1191" s="10" t="s">
        <v>67</v>
      </c>
      <c r="O1191" s="8" t="s">
        <v>54</v>
      </c>
      <c r="P1191" s="8" t="s">
        <v>54</v>
      </c>
      <c r="Q1191" s="8" t="s">
        <v>54</v>
      </c>
      <c r="R1191" s="8" t="s">
        <v>54</v>
      </c>
      <c r="S1191" s="8" t="s">
        <v>54</v>
      </c>
      <c r="T1191" s="8" t="s">
        <v>54</v>
      </c>
      <c r="U1191" s="10" t="s">
        <v>67</v>
      </c>
      <c r="V1191" s="8" t="s">
        <v>54</v>
      </c>
      <c r="W1191" s="8" t="s">
        <v>54</v>
      </c>
      <c r="X1191" s="8" t="s">
        <v>54</v>
      </c>
      <c r="Y1191" s="8" t="s">
        <v>54</v>
      </c>
      <c r="Z1191" s="8" t="s">
        <v>54</v>
      </c>
      <c r="AA1191" s="8" t="s">
        <v>54</v>
      </c>
      <c r="AB1191" s="10" t="s">
        <v>67</v>
      </c>
      <c r="AC1191" s="8" t="s">
        <v>54</v>
      </c>
      <c r="AD1191" s="8" t="s">
        <v>54</v>
      </c>
      <c r="AE1191" s="8" t="s">
        <v>54</v>
      </c>
      <c r="AF1191" s="8" t="s">
        <v>54</v>
      </c>
      <c r="AG1191" s="8" t="s">
        <v>54</v>
      </c>
      <c r="AH1191" s="8" t="s">
        <v>54</v>
      </c>
      <c r="AI1191" s="10" t="s">
        <v>67</v>
      </c>
      <c r="AJ1191" s="8">
        <f>COUNTIF($E$1191:$AI$1191,"P")</f>
        <v>26</v>
      </c>
      <c r="AK1191" s="8">
        <f>COUNTIF($E$1191:$AI$1191,"A")</f>
        <v>0</v>
      </c>
      <c r="AL1191" s="8">
        <f>SUM($E$1192:$AI$1192)</f>
        <v>42</v>
      </c>
      <c r="AM1191" s="8">
        <f>SUM($E$1193:$AI$1193)</f>
        <v>21</v>
      </c>
      <c r="AN1191" s="8">
        <f>AL1191+AM1191</f>
        <v>63</v>
      </c>
      <c r="AO1191" s="8">
        <f>COUNTIF($E$1191:$AI$1191,"CL")</f>
        <v>0</v>
      </c>
      <c r="AP1191" s="8">
        <f>COUNTIF($E$1191:$AI$1191,"SL")</f>
        <v>0</v>
      </c>
      <c r="AQ1191" s="8">
        <f>COUNTIF($E$1191:$AI$1191,"EL")</f>
        <v>0</v>
      </c>
      <c r="AR1191" s="8">
        <f>COUNTIF($E$1191:$AI$1191,"H")</f>
        <v>0</v>
      </c>
      <c r="AS1191" s="8"/>
      <c r="AT1191" s="11" t="s">
        <v>250</v>
      </c>
    </row>
    <row r="1192" spans="1:46" ht="15.1" customHeight="1">
      <c r="A1192" s="8"/>
      <c r="B1192" s="9"/>
      <c r="C1192" s="8"/>
      <c r="D1192" s="9"/>
      <c r="E1192" s="8">
        <v>0</v>
      </c>
      <c r="F1192" s="8">
        <v>0</v>
      </c>
      <c r="G1192" s="8">
        <v>0</v>
      </c>
      <c r="H1192" s="8">
        <v>2</v>
      </c>
      <c r="I1192" s="8">
        <v>2</v>
      </c>
      <c r="J1192" s="8">
        <v>0</v>
      </c>
      <c r="K1192" s="8">
        <v>2</v>
      </c>
      <c r="L1192" s="8">
        <v>0</v>
      </c>
      <c r="M1192" s="8">
        <v>2</v>
      </c>
      <c r="N1192" s="8">
        <v>0</v>
      </c>
      <c r="O1192" s="8">
        <v>2</v>
      </c>
      <c r="P1192" s="8">
        <v>2</v>
      </c>
      <c r="Q1192" s="8">
        <v>2</v>
      </c>
      <c r="R1192" s="8">
        <v>2</v>
      </c>
      <c r="S1192" s="8">
        <v>2</v>
      </c>
      <c r="T1192" s="8">
        <v>2</v>
      </c>
      <c r="U1192" s="8">
        <v>0</v>
      </c>
      <c r="V1192" s="8">
        <v>2</v>
      </c>
      <c r="W1192" s="8">
        <v>2</v>
      </c>
      <c r="X1192" s="8">
        <v>2</v>
      </c>
      <c r="Y1192" s="8">
        <v>2</v>
      </c>
      <c r="Z1192" s="8">
        <v>0</v>
      </c>
      <c r="AA1192" s="8">
        <v>2</v>
      </c>
      <c r="AB1192" s="8">
        <v>0</v>
      </c>
      <c r="AC1192" s="8">
        <v>2</v>
      </c>
      <c r="AD1192" s="8">
        <v>2</v>
      </c>
      <c r="AE1192" s="8">
        <v>2</v>
      </c>
      <c r="AF1192" s="8">
        <v>2</v>
      </c>
      <c r="AG1192" s="8">
        <v>2</v>
      </c>
      <c r="AH1192" s="8">
        <v>2</v>
      </c>
      <c r="AI1192" s="8">
        <v>0</v>
      </c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11" t="s">
        <v>250</v>
      </c>
    </row>
    <row r="1193" spans="1:46" ht="15.1" customHeight="1">
      <c r="A1193" s="8"/>
      <c r="B1193" s="9"/>
      <c r="C1193" s="8"/>
      <c r="D1193" s="9"/>
      <c r="E1193" s="8">
        <v>0</v>
      </c>
      <c r="F1193" s="8">
        <v>0</v>
      </c>
      <c r="G1193" s="8">
        <v>0</v>
      </c>
      <c r="H1193" s="8">
        <v>1</v>
      </c>
      <c r="I1193" s="8">
        <v>1</v>
      </c>
      <c r="J1193" s="8">
        <v>0</v>
      </c>
      <c r="K1193" s="8">
        <v>1</v>
      </c>
      <c r="L1193" s="8">
        <v>0</v>
      </c>
      <c r="M1193" s="8">
        <v>1</v>
      </c>
      <c r="N1193" s="8">
        <v>0</v>
      </c>
      <c r="O1193" s="8">
        <v>1</v>
      </c>
      <c r="P1193" s="8">
        <v>1</v>
      </c>
      <c r="Q1193" s="8">
        <v>1</v>
      </c>
      <c r="R1193" s="8">
        <v>1</v>
      </c>
      <c r="S1193" s="8">
        <v>1</v>
      </c>
      <c r="T1193" s="8">
        <v>1</v>
      </c>
      <c r="U1193" s="8">
        <v>0</v>
      </c>
      <c r="V1193" s="8">
        <v>1</v>
      </c>
      <c r="W1193" s="8">
        <v>1</v>
      </c>
      <c r="X1193" s="8">
        <v>1</v>
      </c>
      <c r="Y1193" s="8">
        <v>1</v>
      </c>
      <c r="Z1193" s="8">
        <v>0</v>
      </c>
      <c r="AA1193" s="8">
        <v>1</v>
      </c>
      <c r="AB1193" s="8">
        <v>0</v>
      </c>
      <c r="AC1193" s="8">
        <v>1</v>
      </c>
      <c r="AD1193" s="8">
        <v>1</v>
      </c>
      <c r="AE1193" s="8">
        <v>1</v>
      </c>
      <c r="AF1193" s="8">
        <v>1</v>
      </c>
      <c r="AG1193" s="8">
        <v>1</v>
      </c>
      <c r="AH1193" s="8">
        <v>1</v>
      </c>
      <c r="AI1193" s="8">
        <v>0</v>
      </c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11" t="s">
        <v>250</v>
      </c>
    </row>
    <row r="1194" spans="1:46" ht="15.1" customHeight="1">
      <c r="A1194" s="8">
        <v>397</v>
      </c>
      <c r="B1194" s="9" t="s">
        <v>1051</v>
      </c>
      <c r="C1194" s="8" t="s">
        <v>1052</v>
      </c>
      <c r="D1194" s="9" t="s">
        <v>451</v>
      </c>
      <c r="E1194" s="8" t="s">
        <v>54</v>
      </c>
      <c r="F1194" s="8" t="s">
        <v>54</v>
      </c>
      <c r="G1194" s="10" t="s">
        <v>67</v>
      </c>
      <c r="H1194" s="12" t="s">
        <v>55</v>
      </c>
      <c r="I1194" s="8" t="s">
        <v>54</v>
      </c>
      <c r="J1194" s="8" t="s">
        <v>54</v>
      </c>
      <c r="K1194" s="8" t="s">
        <v>54</v>
      </c>
      <c r="L1194" s="8" t="s">
        <v>54</v>
      </c>
      <c r="M1194" s="8" t="s">
        <v>54</v>
      </c>
      <c r="N1194" s="10" t="s">
        <v>67</v>
      </c>
      <c r="O1194" s="8" t="s">
        <v>54</v>
      </c>
      <c r="P1194" s="8" t="s">
        <v>54</v>
      </c>
      <c r="Q1194" s="8" t="s">
        <v>54</v>
      </c>
      <c r="R1194" s="8" t="s">
        <v>54</v>
      </c>
      <c r="S1194" s="8" t="s">
        <v>54</v>
      </c>
      <c r="T1194" s="8" t="s">
        <v>54</v>
      </c>
      <c r="U1194" s="10" t="s">
        <v>67</v>
      </c>
      <c r="V1194" s="12" t="s">
        <v>55</v>
      </c>
      <c r="W1194" s="12" t="s">
        <v>55</v>
      </c>
      <c r="X1194" s="12" t="s">
        <v>55</v>
      </c>
      <c r="Y1194" s="8" t="s">
        <v>54</v>
      </c>
      <c r="Z1194" s="8" t="s">
        <v>54</v>
      </c>
      <c r="AA1194" s="8" t="s">
        <v>54</v>
      </c>
      <c r="AB1194" s="10" t="s">
        <v>67</v>
      </c>
      <c r="AC1194" s="8" t="s">
        <v>54</v>
      </c>
      <c r="AD1194" s="8" t="s">
        <v>54</v>
      </c>
      <c r="AE1194" s="8" t="s">
        <v>54</v>
      </c>
      <c r="AF1194" s="8" t="s">
        <v>54</v>
      </c>
      <c r="AG1194" s="8" t="s">
        <v>54</v>
      </c>
      <c r="AH1194" s="8" t="s">
        <v>54</v>
      </c>
      <c r="AI1194" s="10" t="s">
        <v>67</v>
      </c>
      <c r="AJ1194" s="8">
        <f>COUNTIF($E$1194:$AI$1194,"P")</f>
        <v>22</v>
      </c>
      <c r="AK1194" s="8">
        <f>COUNTIF($E$1194:$AI$1194,"A")</f>
        <v>4</v>
      </c>
      <c r="AL1194" s="8">
        <f>SUM($E$1195:$AI$1195)</f>
        <v>38</v>
      </c>
      <c r="AM1194" s="8">
        <f>SUM($E$1196:$AI$1196)</f>
        <v>37</v>
      </c>
      <c r="AN1194" s="8">
        <f>AL1194+AM1194</f>
        <v>75</v>
      </c>
      <c r="AO1194" s="8">
        <f>COUNTIF($E$1194:$AI$1194,"CL")</f>
        <v>0</v>
      </c>
      <c r="AP1194" s="8">
        <f>COUNTIF($E$1194:$AI$1194,"SL")</f>
        <v>0</v>
      </c>
      <c r="AQ1194" s="8">
        <f>COUNTIF($E$1194:$AI$1194,"EL")</f>
        <v>0</v>
      </c>
      <c r="AR1194" s="8">
        <f>COUNTIF($E$1194:$AI$1194,"H")</f>
        <v>0</v>
      </c>
      <c r="AS1194" s="8"/>
      <c r="AT1194" s="11" t="s">
        <v>250</v>
      </c>
    </row>
    <row r="1195" spans="1:46" ht="15.1" customHeight="1">
      <c r="A1195" s="8"/>
      <c r="B1195" s="9"/>
      <c r="C1195" s="8"/>
      <c r="D1195" s="9"/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2</v>
      </c>
      <c r="K1195" s="8">
        <v>2</v>
      </c>
      <c r="L1195" s="8">
        <v>2</v>
      </c>
      <c r="M1195" s="8">
        <v>2</v>
      </c>
      <c r="N1195" s="8">
        <v>0</v>
      </c>
      <c r="O1195" s="8">
        <v>2</v>
      </c>
      <c r="P1195" s="8">
        <v>2</v>
      </c>
      <c r="Q1195" s="8">
        <v>2</v>
      </c>
      <c r="R1195" s="8">
        <v>2</v>
      </c>
      <c r="S1195" s="8">
        <v>2</v>
      </c>
      <c r="T1195" s="8">
        <v>2</v>
      </c>
      <c r="U1195" s="8">
        <v>0</v>
      </c>
      <c r="V1195" s="8">
        <v>0</v>
      </c>
      <c r="W1195" s="8">
        <v>0</v>
      </c>
      <c r="X1195" s="8">
        <v>0</v>
      </c>
      <c r="Y1195" s="8">
        <v>2</v>
      </c>
      <c r="Z1195" s="8">
        <v>2</v>
      </c>
      <c r="AA1195" s="8">
        <v>2</v>
      </c>
      <c r="AB1195" s="8">
        <v>0</v>
      </c>
      <c r="AC1195" s="8">
        <v>2</v>
      </c>
      <c r="AD1195" s="8">
        <v>2</v>
      </c>
      <c r="AE1195" s="8">
        <v>2</v>
      </c>
      <c r="AF1195" s="8">
        <v>2</v>
      </c>
      <c r="AG1195" s="8">
        <v>2</v>
      </c>
      <c r="AH1195" s="8">
        <v>2</v>
      </c>
      <c r="AI1195" s="8">
        <v>0</v>
      </c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11" t="s">
        <v>250</v>
      </c>
    </row>
    <row r="1196" spans="1:46" ht="15.1" customHeight="1">
      <c r="A1196" s="8"/>
      <c r="B1196" s="9"/>
      <c r="C1196" s="8"/>
      <c r="D1196" s="9"/>
      <c r="E1196" s="8">
        <v>0</v>
      </c>
      <c r="F1196" s="8">
        <v>0</v>
      </c>
      <c r="G1196" s="8">
        <v>9</v>
      </c>
      <c r="H1196" s="8">
        <v>0</v>
      </c>
      <c r="I1196" s="8">
        <v>0</v>
      </c>
      <c r="J1196" s="8">
        <v>1</v>
      </c>
      <c r="K1196" s="8">
        <v>1</v>
      </c>
      <c r="L1196" s="8">
        <v>1</v>
      </c>
      <c r="M1196" s="8">
        <v>1</v>
      </c>
      <c r="N1196" s="8">
        <v>0</v>
      </c>
      <c r="O1196" s="8">
        <v>1</v>
      </c>
      <c r="P1196" s="8">
        <v>1</v>
      </c>
      <c r="Q1196" s="8">
        <v>1</v>
      </c>
      <c r="R1196" s="8">
        <v>1</v>
      </c>
      <c r="S1196" s="8">
        <v>1</v>
      </c>
      <c r="T1196" s="8">
        <v>10</v>
      </c>
      <c r="U1196" s="8">
        <v>0</v>
      </c>
      <c r="V1196" s="8">
        <v>0</v>
      </c>
      <c r="W1196" s="8">
        <v>0</v>
      </c>
      <c r="X1196" s="8">
        <v>0</v>
      </c>
      <c r="Y1196" s="8">
        <v>1</v>
      </c>
      <c r="Z1196" s="8">
        <v>1</v>
      </c>
      <c r="AA1196" s="8">
        <v>1</v>
      </c>
      <c r="AB1196" s="8">
        <v>0</v>
      </c>
      <c r="AC1196" s="8">
        <v>1</v>
      </c>
      <c r="AD1196" s="8">
        <v>1</v>
      </c>
      <c r="AE1196" s="8">
        <v>1</v>
      </c>
      <c r="AF1196" s="8">
        <v>1</v>
      </c>
      <c r="AG1196" s="8">
        <v>1</v>
      </c>
      <c r="AH1196" s="8">
        <v>1</v>
      </c>
      <c r="AI1196" s="8">
        <v>0</v>
      </c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11" t="s">
        <v>250</v>
      </c>
    </row>
    <row r="1197" spans="1:46" ht="15.1" customHeight="1">
      <c r="A1197" s="8">
        <v>398</v>
      </c>
      <c r="B1197" s="9" t="s">
        <v>1053</v>
      </c>
      <c r="C1197" s="8" t="s">
        <v>1054</v>
      </c>
      <c r="D1197" s="9" t="s">
        <v>451</v>
      </c>
      <c r="E1197" s="8" t="s">
        <v>54</v>
      </c>
      <c r="F1197" s="8" t="s">
        <v>54</v>
      </c>
      <c r="G1197" s="10" t="s">
        <v>67</v>
      </c>
      <c r="H1197" s="8" t="s">
        <v>54</v>
      </c>
      <c r="I1197" s="8" t="s">
        <v>54</v>
      </c>
      <c r="J1197" s="8" t="s">
        <v>54</v>
      </c>
      <c r="K1197" s="8" t="s">
        <v>54</v>
      </c>
      <c r="L1197" s="8" t="s">
        <v>54</v>
      </c>
      <c r="M1197" s="8" t="s">
        <v>54</v>
      </c>
      <c r="N1197" s="10" t="s">
        <v>67</v>
      </c>
      <c r="O1197" s="8" t="s">
        <v>54</v>
      </c>
      <c r="P1197" s="8" t="s">
        <v>54</v>
      </c>
      <c r="Q1197" s="8" t="s">
        <v>54</v>
      </c>
      <c r="R1197" s="8" t="s">
        <v>54</v>
      </c>
      <c r="S1197" s="8" t="s">
        <v>54</v>
      </c>
      <c r="T1197" s="8" t="s">
        <v>54</v>
      </c>
      <c r="U1197" s="10" t="s">
        <v>67</v>
      </c>
      <c r="V1197" s="8" t="s">
        <v>54</v>
      </c>
      <c r="W1197" s="8" t="s">
        <v>54</v>
      </c>
      <c r="X1197" s="8" t="s">
        <v>54</v>
      </c>
      <c r="Y1197" s="8" t="s">
        <v>54</v>
      </c>
      <c r="Z1197" s="12" t="s">
        <v>55</v>
      </c>
      <c r="AA1197" s="12" t="s">
        <v>55</v>
      </c>
      <c r="AB1197" s="10" t="s">
        <v>67</v>
      </c>
      <c r="AC1197" s="8" t="s">
        <v>54</v>
      </c>
      <c r="AD1197" s="8" t="s">
        <v>54</v>
      </c>
      <c r="AE1197" s="8" t="s">
        <v>54</v>
      </c>
      <c r="AF1197" s="8" t="s">
        <v>54</v>
      </c>
      <c r="AG1197" s="8" t="s">
        <v>54</v>
      </c>
      <c r="AH1197" s="8" t="s">
        <v>54</v>
      </c>
      <c r="AI1197" s="10" t="s">
        <v>67</v>
      </c>
      <c r="AJ1197" s="8">
        <f>COUNTIF($E$1197:$AI$1197,"P")</f>
        <v>24</v>
      </c>
      <c r="AK1197" s="8">
        <f>COUNTIF($E$1197:$AI$1197,"A")</f>
        <v>2</v>
      </c>
      <c r="AL1197" s="8">
        <f>SUM($E$1198:$AI$1198)</f>
        <v>42</v>
      </c>
      <c r="AM1197" s="8">
        <f>SUM($E$1199:$AI$1199)</f>
        <v>21</v>
      </c>
      <c r="AN1197" s="8">
        <f>AL1197+AM1197</f>
        <v>63</v>
      </c>
      <c r="AO1197" s="8">
        <f>COUNTIF($E$1197:$AI$1197,"CL")</f>
        <v>0</v>
      </c>
      <c r="AP1197" s="8">
        <f>COUNTIF($E$1197:$AI$1197,"SL")</f>
        <v>0</v>
      </c>
      <c r="AQ1197" s="8">
        <f>COUNTIF($E$1197:$AI$1197,"EL")</f>
        <v>0</v>
      </c>
      <c r="AR1197" s="8">
        <f>COUNTIF($E$1197:$AI$1197,"H")</f>
        <v>0</v>
      </c>
      <c r="AS1197" s="8"/>
      <c r="AT1197" s="11" t="s">
        <v>250</v>
      </c>
    </row>
    <row r="1198" spans="1:46" ht="15.1" customHeight="1">
      <c r="A1198" s="8"/>
      <c r="B1198" s="9"/>
      <c r="C1198" s="8"/>
      <c r="D1198" s="9"/>
      <c r="E1198" s="8">
        <v>0</v>
      </c>
      <c r="F1198" s="8">
        <v>0</v>
      </c>
      <c r="G1198" s="8">
        <v>0</v>
      </c>
      <c r="H1198" s="8">
        <v>0</v>
      </c>
      <c r="I1198" s="8">
        <v>2</v>
      </c>
      <c r="J1198" s="8">
        <v>2</v>
      </c>
      <c r="K1198" s="8">
        <v>2</v>
      </c>
      <c r="L1198" s="8">
        <v>2</v>
      </c>
      <c r="M1198" s="8">
        <v>2</v>
      </c>
      <c r="N1198" s="8">
        <v>0</v>
      </c>
      <c r="O1198" s="8">
        <v>2</v>
      </c>
      <c r="P1198" s="8">
        <v>2</v>
      </c>
      <c r="Q1198" s="8">
        <v>2</v>
      </c>
      <c r="R1198" s="8">
        <v>2</v>
      </c>
      <c r="S1198" s="8">
        <v>2</v>
      </c>
      <c r="T1198" s="8">
        <v>2</v>
      </c>
      <c r="U1198" s="8">
        <v>0</v>
      </c>
      <c r="V1198" s="8">
        <v>2</v>
      </c>
      <c r="W1198" s="8">
        <v>2</v>
      </c>
      <c r="X1198" s="8">
        <v>2</v>
      </c>
      <c r="Y1198" s="8">
        <v>2</v>
      </c>
      <c r="Z1198" s="8">
        <v>0</v>
      </c>
      <c r="AA1198" s="8">
        <v>0</v>
      </c>
      <c r="AB1198" s="8">
        <v>0</v>
      </c>
      <c r="AC1198" s="8">
        <v>2</v>
      </c>
      <c r="AD1198" s="8">
        <v>2</v>
      </c>
      <c r="AE1198" s="8">
        <v>2</v>
      </c>
      <c r="AF1198" s="8">
        <v>2</v>
      </c>
      <c r="AG1198" s="8">
        <v>2</v>
      </c>
      <c r="AH1198" s="8">
        <v>2</v>
      </c>
      <c r="AI1198" s="8">
        <v>0</v>
      </c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11" t="s">
        <v>250</v>
      </c>
    </row>
    <row r="1199" spans="1:46" ht="15.1" customHeight="1">
      <c r="A1199" s="8"/>
      <c r="B1199" s="9"/>
      <c r="C1199" s="8"/>
      <c r="D1199" s="9"/>
      <c r="E1199" s="8">
        <v>0</v>
      </c>
      <c r="F1199" s="8">
        <v>0</v>
      </c>
      <c r="G1199" s="8">
        <v>0</v>
      </c>
      <c r="H1199" s="8">
        <v>0</v>
      </c>
      <c r="I1199" s="8">
        <v>1</v>
      </c>
      <c r="J1199" s="8">
        <v>1</v>
      </c>
      <c r="K1199" s="8">
        <v>1</v>
      </c>
      <c r="L1199" s="8">
        <v>1</v>
      </c>
      <c r="M1199" s="8">
        <v>1</v>
      </c>
      <c r="N1199" s="8">
        <v>0</v>
      </c>
      <c r="O1199" s="8">
        <v>1</v>
      </c>
      <c r="P1199" s="8">
        <v>1</v>
      </c>
      <c r="Q1199" s="8">
        <v>1</v>
      </c>
      <c r="R1199" s="8">
        <v>1</v>
      </c>
      <c r="S1199" s="8">
        <v>1</v>
      </c>
      <c r="T1199" s="8">
        <v>1</v>
      </c>
      <c r="U1199" s="8">
        <v>0</v>
      </c>
      <c r="V1199" s="8">
        <v>1</v>
      </c>
      <c r="W1199" s="8">
        <v>1</v>
      </c>
      <c r="X1199" s="8">
        <v>1</v>
      </c>
      <c r="Y1199" s="8">
        <v>1</v>
      </c>
      <c r="Z1199" s="8">
        <v>0</v>
      </c>
      <c r="AA1199" s="8">
        <v>0</v>
      </c>
      <c r="AB1199" s="8">
        <v>0</v>
      </c>
      <c r="AC1199" s="8">
        <v>1</v>
      </c>
      <c r="AD1199" s="8">
        <v>1</v>
      </c>
      <c r="AE1199" s="8">
        <v>1</v>
      </c>
      <c r="AF1199" s="8">
        <v>1</v>
      </c>
      <c r="AG1199" s="8">
        <v>1</v>
      </c>
      <c r="AH1199" s="8">
        <v>1</v>
      </c>
      <c r="AI1199" s="8">
        <v>0</v>
      </c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11" t="s">
        <v>250</v>
      </c>
    </row>
    <row r="1200" spans="1:46" ht="15.1" customHeight="1">
      <c r="A1200" s="8">
        <v>399</v>
      </c>
      <c r="B1200" s="9" t="s">
        <v>1055</v>
      </c>
      <c r="C1200" s="8" t="s">
        <v>1056</v>
      </c>
      <c r="D1200" s="9" t="s">
        <v>451</v>
      </c>
      <c r="E1200" s="8" t="s">
        <v>54</v>
      </c>
      <c r="F1200" s="8" t="s">
        <v>54</v>
      </c>
      <c r="G1200" s="10" t="s">
        <v>67</v>
      </c>
      <c r="H1200" s="8" t="s">
        <v>54</v>
      </c>
      <c r="I1200" s="8" t="s">
        <v>54</v>
      </c>
      <c r="J1200" s="8" t="s">
        <v>54</v>
      </c>
      <c r="K1200" s="8" t="s">
        <v>54</v>
      </c>
      <c r="L1200" s="8" t="s">
        <v>54</v>
      </c>
      <c r="M1200" s="8" t="s">
        <v>54</v>
      </c>
      <c r="N1200" s="10" t="s">
        <v>67</v>
      </c>
      <c r="O1200" s="8" t="s">
        <v>54</v>
      </c>
      <c r="P1200" s="8" t="s">
        <v>54</v>
      </c>
      <c r="Q1200" s="8" t="s">
        <v>54</v>
      </c>
      <c r="R1200" s="8" t="s">
        <v>54</v>
      </c>
      <c r="S1200" s="8" t="s">
        <v>54</v>
      </c>
      <c r="T1200" s="8" t="s">
        <v>54</v>
      </c>
      <c r="U1200" s="10" t="s">
        <v>67</v>
      </c>
      <c r="V1200" s="8" t="s">
        <v>54</v>
      </c>
      <c r="W1200" s="8" t="s">
        <v>54</v>
      </c>
      <c r="X1200" s="8" t="s">
        <v>54</v>
      </c>
      <c r="Y1200" s="8" t="s">
        <v>54</v>
      </c>
      <c r="Z1200" s="8" t="s">
        <v>54</v>
      </c>
      <c r="AA1200" s="8" t="s">
        <v>54</v>
      </c>
      <c r="AB1200" s="10" t="s">
        <v>67</v>
      </c>
      <c r="AC1200" s="8" t="s">
        <v>54</v>
      </c>
      <c r="AD1200" s="8" t="s">
        <v>54</v>
      </c>
      <c r="AE1200" s="8" t="s">
        <v>54</v>
      </c>
      <c r="AF1200" s="8" t="s">
        <v>54</v>
      </c>
      <c r="AG1200" s="8" t="s">
        <v>54</v>
      </c>
      <c r="AH1200" s="8" t="s">
        <v>54</v>
      </c>
      <c r="AI1200" s="10" t="s">
        <v>67</v>
      </c>
      <c r="AJ1200" s="8">
        <f>COUNTIF($E$1200:$AI$1200,"P")</f>
        <v>26</v>
      </c>
      <c r="AK1200" s="8">
        <f>COUNTIF($E$1200:$AI$1200,"A")</f>
        <v>0</v>
      </c>
      <c r="AL1200" s="8">
        <f>SUM($E$1201:$AI$1201)</f>
        <v>46</v>
      </c>
      <c r="AM1200" s="8">
        <f>SUM($E$1202:$AI$1202)</f>
        <v>23</v>
      </c>
      <c r="AN1200" s="8">
        <f>AL1200+AM1200</f>
        <v>69</v>
      </c>
      <c r="AO1200" s="8">
        <f>COUNTIF($E$1200:$AI$1200,"CL")</f>
        <v>0</v>
      </c>
      <c r="AP1200" s="8">
        <f>COUNTIF($E$1200:$AI$1200,"SL")</f>
        <v>0</v>
      </c>
      <c r="AQ1200" s="8">
        <f>COUNTIF($E$1200:$AI$1200,"EL")</f>
        <v>0</v>
      </c>
      <c r="AR1200" s="8">
        <f>COUNTIF($E$1200:$AI$1200,"H")</f>
        <v>0</v>
      </c>
      <c r="AS1200" s="8"/>
      <c r="AT1200" s="11" t="s">
        <v>250</v>
      </c>
    </row>
    <row r="1201" spans="1:46" ht="15.1" customHeight="1">
      <c r="A1201" s="8"/>
      <c r="B1201" s="9"/>
      <c r="C1201" s="8"/>
      <c r="D1201" s="9"/>
      <c r="E1201" s="8">
        <v>0</v>
      </c>
      <c r="F1201" s="8">
        <v>0</v>
      </c>
      <c r="G1201" s="8">
        <v>0</v>
      </c>
      <c r="H1201" s="8">
        <v>0</v>
      </c>
      <c r="I1201" s="8">
        <v>2</v>
      </c>
      <c r="J1201" s="8">
        <v>2</v>
      </c>
      <c r="K1201" s="8">
        <v>2</v>
      </c>
      <c r="L1201" s="8">
        <v>2</v>
      </c>
      <c r="M1201" s="8">
        <v>2</v>
      </c>
      <c r="N1201" s="8">
        <v>0</v>
      </c>
      <c r="O1201" s="8">
        <v>2</v>
      </c>
      <c r="P1201" s="8">
        <v>2</v>
      </c>
      <c r="Q1201" s="8">
        <v>2</v>
      </c>
      <c r="R1201" s="8">
        <v>2</v>
      </c>
      <c r="S1201" s="8">
        <v>2</v>
      </c>
      <c r="T1201" s="8">
        <v>2</v>
      </c>
      <c r="U1201" s="8">
        <v>0</v>
      </c>
      <c r="V1201" s="8">
        <v>2</v>
      </c>
      <c r="W1201" s="8">
        <v>2</v>
      </c>
      <c r="X1201" s="8">
        <v>2</v>
      </c>
      <c r="Y1201" s="8">
        <v>2</v>
      </c>
      <c r="Z1201" s="8">
        <v>2</v>
      </c>
      <c r="AA1201" s="8">
        <v>2</v>
      </c>
      <c r="AB1201" s="8">
        <v>0</v>
      </c>
      <c r="AC1201" s="8">
        <v>2</v>
      </c>
      <c r="AD1201" s="8">
        <v>2</v>
      </c>
      <c r="AE1201" s="8">
        <v>2</v>
      </c>
      <c r="AF1201" s="8">
        <v>2</v>
      </c>
      <c r="AG1201" s="8">
        <v>2</v>
      </c>
      <c r="AH1201" s="8">
        <v>2</v>
      </c>
      <c r="AI1201" s="8">
        <v>0</v>
      </c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11" t="s">
        <v>250</v>
      </c>
    </row>
    <row r="1202" spans="1:46" ht="15.1" customHeight="1">
      <c r="A1202" s="8"/>
      <c r="B1202" s="9"/>
      <c r="C1202" s="8"/>
      <c r="D1202" s="9"/>
      <c r="E1202" s="8">
        <v>0</v>
      </c>
      <c r="F1202" s="8">
        <v>0</v>
      </c>
      <c r="G1202" s="8">
        <v>0</v>
      </c>
      <c r="H1202" s="8">
        <v>0</v>
      </c>
      <c r="I1202" s="8">
        <v>1</v>
      </c>
      <c r="J1202" s="8">
        <v>1</v>
      </c>
      <c r="K1202" s="8">
        <v>1</v>
      </c>
      <c r="L1202" s="8">
        <v>1</v>
      </c>
      <c r="M1202" s="8">
        <v>1</v>
      </c>
      <c r="N1202" s="8">
        <v>0</v>
      </c>
      <c r="O1202" s="8">
        <v>1</v>
      </c>
      <c r="P1202" s="8">
        <v>1</v>
      </c>
      <c r="Q1202" s="8">
        <v>1</v>
      </c>
      <c r="R1202" s="8">
        <v>1</v>
      </c>
      <c r="S1202" s="8">
        <v>1</v>
      </c>
      <c r="T1202" s="8">
        <v>1</v>
      </c>
      <c r="U1202" s="8">
        <v>0</v>
      </c>
      <c r="V1202" s="8">
        <v>1</v>
      </c>
      <c r="W1202" s="8">
        <v>1</v>
      </c>
      <c r="X1202" s="8">
        <v>1</v>
      </c>
      <c r="Y1202" s="8">
        <v>1</v>
      </c>
      <c r="Z1202" s="8">
        <v>1</v>
      </c>
      <c r="AA1202" s="8">
        <v>1</v>
      </c>
      <c r="AB1202" s="8">
        <v>0</v>
      </c>
      <c r="AC1202" s="8">
        <v>1</v>
      </c>
      <c r="AD1202" s="8">
        <v>1</v>
      </c>
      <c r="AE1202" s="8">
        <v>1</v>
      </c>
      <c r="AF1202" s="8">
        <v>1</v>
      </c>
      <c r="AG1202" s="8">
        <v>1</v>
      </c>
      <c r="AH1202" s="8">
        <v>1</v>
      </c>
      <c r="AI1202" s="8">
        <v>0</v>
      </c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11" t="s">
        <v>250</v>
      </c>
    </row>
    <row r="1203" spans="1:46" ht="15.1" customHeight="1">
      <c r="A1203" s="8">
        <v>400</v>
      </c>
      <c r="B1203" s="9" t="s">
        <v>1057</v>
      </c>
      <c r="C1203" s="8" t="s">
        <v>1058</v>
      </c>
      <c r="D1203" s="9" t="s">
        <v>451</v>
      </c>
      <c r="E1203" s="8" t="s">
        <v>54</v>
      </c>
      <c r="F1203" s="8" t="s">
        <v>54</v>
      </c>
      <c r="G1203" s="10" t="s">
        <v>67</v>
      </c>
      <c r="H1203" s="8" t="s">
        <v>54</v>
      </c>
      <c r="I1203" s="8" t="s">
        <v>54</v>
      </c>
      <c r="J1203" s="8" t="s">
        <v>54</v>
      </c>
      <c r="K1203" s="8" t="s">
        <v>54</v>
      </c>
      <c r="L1203" s="8" t="s">
        <v>54</v>
      </c>
      <c r="M1203" s="8" t="s">
        <v>54</v>
      </c>
      <c r="N1203" s="10" t="s">
        <v>67</v>
      </c>
      <c r="O1203" s="8" t="s">
        <v>54</v>
      </c>
      <c r="P1203" s="8" t="s">
        <v>54</v>
      </c>
      <c r="Q1203" s="8" t="s">
        <v>54</v>
      </c>
      <c r="R1203" s="8" t="s">
        <v>54</v>
      </c>
      <c r="S1203" s="8" t="s">
        <v>54</v>
      </c>
      <c r="T1203" s="8" t="s">
        <v>54</v>
      </c>
      <c r="U1203" s="10" t="s">
        <v>67</v>
      </c>
      <c r="V1203" s="8" t="s">
        <v>54</v>
      </c>
      <c r="W1203" s="8" t="s">
        <v>54</v>
      </c>
      <c r="X1203" s="8" t="s">
        <v>54</v>
      </c>
      <c r="Y1203" s="8" t="s">
        <v>54</v>
      </c>
      <c r="Z1203" s="8" t="s">
        <v>54</v>
      </c>
      <c r="AA1203" s="8" t="s">
        <v>54</v>
      </c>
      <c r="AB1203" s="10" t="s">
        <v>67</v>
      </c>
      <c r="AC1203" s="8" t="s">
        <v>54</v>
      </c>
      <c r="AD1203" s="8" t="s">
        <v>54</v>
      </c>
      <c r="AE1203" s="8" t="s">
        <v>54</v>
      </c>
      <c r="AF1203" s="8" t="s">
        <v>54</v>
      </c>
      <c r="AG1203" s="8" t="s">
        <v>54</v>
      </c>
      <c r="AH1203" s="8" t="s">
        <v>54</v>
      </c>
      <c r="AI1203" s="10" t="s">
        <v>67</v>
      </c>
      <c r="AJ1203" s="8">
        <f>COUNTIF($E$1203:$AI$1203,"P")</f>
        <v>26</v>
      </c>
      <c r="AK1203" s="8">
        <f>COUNTIF($E$1203:$AI$1203,"A")</f>
        <v>0</v>
      </c>
      <c r="AL1203" s="8">
        <f>SUM($E$1204:$AI$1204)</f>
        <v>46</v>
      </c>
      <c r="AM1203" s="8">
        <f>SUM($E$1205:$AI$1205)</f>
        <v>23</v>
      </c>
      <c r="AN1203" s="8">
        <f>AL1203+AM1203</f>
        <v>69</v>
      </c>
      <c r="AO1203" s="8">
        <f>COUNTIF($E$1203:$AI$1203,"CL")</f>
        <v>0</v>
      </c>
      <c r="AP1203" s="8">
        <f>COUNTIF($E$1203:$AI$1203,"SL")</f>
        <v>0</v>
      </c>
      <c r="AQ1203" s="8">
        <f>COUNTIF($E$1203:$AI$1203,"EL")</f>
        <v>0</v>
      </c>
      <c r="AR1203" s="8">
        <f>COUNTIF($E$1203:$AI$1203,"H")</f>
        <v>0</v>
      </c>
      <c r="AS1203" s="8"/>
      <c r="AT1203" s="11" t="s">
        <v>250</v>
      </c>
    </row>
    <row r="1204" spans="1:46" ht="15.1" customHeight="1">
      <c r="A1204" s="8"/>
      <c r="B1204" s="9"/>
      <c r="C1204" s="8"/>
      <c r="D1204" s="9"/>
      <c r="E1204" s="8">
        <v>0</v>
      </c>
      <c r="F1204" s="8">
        <v>0</v>
      </c>
      <c r="G1204" s="8">
        <v>0</v>
      </c>
      <c r="H1204" s="8">
        <v>0</v>
      </c>
      <c r="I1204" s="8">
        <v>2</v>
      </c>
      <c r="J1204" s="8">
        <v>2</v>
      </c>
      <c r="K1204" s="8">
        <v>2</v>
      </c>
      <c r="L1204" s="8">
        <v>2</v>
      </c>
      <c r="M1204" s="8">
        <v>2</v>
      </c>
      <c r="N1204" s="8">
        <v>0</v>
      </c>
      <c r="O1204" s="8">
        <v>2</v>
      </c>
      <c r="P1204" s="8">
        <v>2</v>
      </c>
      <c r="Q1204" s="8">
        <v>2</v>
      </c>
      <c r="R1204" s="8">
        <v>2</v>
      </c>
      <c r="S1204" s="8">
        <v>2</v>
      </c>
      <c r="T1204" s="8">
        <v>2</v>
      </c>
      <c r="U1204" s="8">
        <v>0</v>
      </c>
      <c r="V1204" s="8">
        <v>2</v>
      </c>
      <c r="W1204" s="8">
        <v>2</v>
      </c>
      <c r="X1204" s="8">
        <v>2</v>
      </c>
      <c r="Y1204" s="8">
        <v>2</v>
      </c>
      <c r="Z1204" s="8">
        <v>2</v>
      </c>
      <c r="AA1204" s="8">
        <v>2</v>
      </c>
      <c r="AB1204" s="8">
        <v>0</v>
      </c>
      <c r="AC1204" s="8">
        <v>2</v>
      </c>
      <c r="AD1204" s="8">
        <v>2</v>
      </c>
      <c r="AE1204" s="8">
        <v>2</v>
      </c>
      <c r="AF1204" s="8">
        <v>2</v>
      </c>
      <c r="AG1204" s="8">
        <v>2</v>
      </c>
      <c r="AH1204" s="8">
        <v>2</v>
      </c>
      <c r="AI1204" s="8">
        <v>0</v>
      </c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11" t="s">
        <v>250</v>
      </c>
    </row>
    <row r="1205" spans="1:46" ht="15.1" customHeight="1">
      <c r="A1205" s="8"/>
      <c r="B1205" s="9"/>
      <c r="C1205" s="8"/>
      <c r="D1205" s="9"/>
      <c r="E1205" s="8">
        <v>0</v>
      </c>
      <c r="F1205" s="8">
        <v>0</v>
      </c>
      <c r="G1205" s="8">
        <v>0</v>
      </c>
      <c r="H1205" s="8">
        <v>0</v>
      </c>
      <c r="I1205" s="8">
        <v>1</v>
      </c>
      <c r="J1205" s="8">
        <v>1</v>
      </c>
      <c r="K1205" s="8">
        <v>1</v>
      </c>
      <c r="L1205" s="8">
        <v>1</v>
      </c>
      <c r="M1205" s="8">
        <v>1</v>
      </c>
      <c r="N1205" s="8">
        <v>0</v>
      </c>
      <c r="O1205" s="8">
        <v>1</v>
      </c>
      <c r="P1205" s="8">
        <v>1</v>
      </c>
      <c r="Q1205" s="8">
        <v>1</v>
      </c>
      <c r="R1205" s="8">
        <v>1</v>
      </c>
      <c r="S1205" s="8">
        <v>1</v>
      </c>
      <c r="T1205" s="8">
        <v>1</v>
      </c>
      <c r="U1205" s="8">
        <v>0</v>
      </c>
      <c r="V1205" s="8">
        <v>1</v>
      </c>
      <c r="W1205" s="8">
        <v>1</v>
      </c>
      <c r="X1205" s="8">
        <v>1</v>
      </c>
      <c r="Y1205" s="8">
        <v>1</v>
      </c>
      <c r="Z1205" s="8">
        <v>1</v>
      </c>
      <c r="AA1205" s="8">
        <v>1</v>
      </c>
      <c r="AB1205" s="8">
        <v>0</v>
      </c>
      <c r="AC1205" s="8">
        <v>1</v>
      </c>
      <c r="AD1205" s="8">
        <v>1</v>
      </c>
      <c r="AE1205" s="8">
        <v>1</v>
      </c>
      <c r="AF1205" s="8">
        <v>1</v>
      </c>
      <c r="AG1205" s="8">
        <v>1</v>
      </c>
      <c r="AH1205" s="8">
        <v>1</v>
      </c>
      <c r="AI1205" s="8">
        <v>0</v>
      </c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11" t="s">
        <v>250</v>
      </c>
    </row>
    <row r="1206" spans="1:46" ht="15.1" customHeight="1">
      <c r="A1206" s="8">
        <v>401</v>
      </c>
      <c r="B1206" s="9" t="s">
        <v>1059</v>
      </c>
      <c r="C1206" s="8" t="s">
        <v>1060</v>
      </c>
      <c r="D1206" s="9" t="s">
        <v>451</v>
      </c>
      <c r="E1206" s="8" t="s">
        <v>54</v>
      </c>
      <c r="F1206" s="8" t="s">
        <v>54</v>
      </c>
      <c r="G1206" s="10" t="s">
        <v>67</v>
      </c>
      <c r="H1206" s="8" t="s">
        <v>54</v>
      </c>
      <c r="I1206" s="8" t="s">
        <v>54</v>
      </c>
      <c r="J1206" s="8" t="s">
        <v>54</v>
      </c>
      <c r="K1206" s="8" t="s">
        <v>54</v>
      </c>
      <c r="L1206" s="8" t="s">
        <v>54</v>
      </c>
      <c r="M1206" s="8" t="s">
        <v>54</v>
      </c>
      <c r="N1206" s="10" t="s">
        <v>67</v>
      </c>
      <c r="O1206" s="8" t="s">
        <v>54</v>
      </c>
      <c r="P1206" s="8" t="s">
        <v>54</v>
      </c>
      <c r="Q1206" s="8" t="s">
        <v>54</v>
      </c>
      <c r="R1206" s="8" t="s">
        <v>54</v>
      </c>
      <c r="S1206" s="8" t="s">
        <v>54</v>
      </c>
      <c r="T1206" s="8" t="s">
        <v>54</v>
      </c>
      <c r="U1206" s="10" t="s">
        <v>67</v>
      </c>
      <c r="V1206" s="8" t="s">
        <v>54</v>
      </c>
      <c r="W1206" s="8" t="s">
        <v>54</v>
      </c>
      <c r="X1206" s="8" t="s">
        <v>54</v>
      </c>
      <c r="Y1206" s="8" t="s">
        <v>54</v>
      </c>
      <c r="Z1206" s="8" t="s">
        <v>54</v>
      </c>
      <c r="AA1206" s="8" t="s">
        <v>54</v>
      </c>
      <c r="AB1206" s="10" t="s">
        <v>67</v>
      </c>
      <c r="AC1206" s="8" t="s">
        <v>54</v>
      </c>
      <c r="AD1206" s="8" t="s">
        <v>54</v>
      </c>
      <c r="AE1206" s="8" t="s">
        <v>54</v>
      </c>
      <c r="AF1206" s="8" t="s">
        <v>54</v>
      </c>
      <c r="AG1206" s="8" t="s">
        <v>54</v>
      </c>
      <c r="AH1206" s="8" t="s">
        <v>54</v>
      </c>
      <c r="AI1206" s="10" t="s">
        <v>67</v>
      </c>
      <c r="AJ1206" s="8">
        <f>COUNTIF($E$1206:$AI$1206,"P")</f>
        <v>26</v>
      </c>
      <c r="AK1206" s="8">
        <f>COUNTIF($E$1206:$AI$1206,"A")</f>
        <v>0</v>
      </c>
      <c r="AL1206" s="8">
        <f>SUM($E$1207:$AI$1207)</f>
        <v>50</v>
      </c>
      <c r="AM1206" s="8">
        <f>SUM($E$1208:$AI$1208)</f>
        <v>36</v>
      </c>
      <c r="AN1206" s="8">
        <f>AL1206+AM1206</f>
        <v>86</v>
      </c>
      <c r="AO1206" s="8">
        <f>COUNTIF($E$1206:$AI$1206,"CL")</f>
        <v>0</v>
      </c>
      <c r="AP1206" s="8">
        <f>COUNTIF($E$1206:$AI$1206,"SL")</f>
        <v>0</v>
      </c>
      <c r="AQ1206" s="8">
        <f>COUNTIF($E$1206:$AI$1206,"EL")</f>
        <v>0</v>
      </c>
      <c r="AR1206" s="8">
        <f>COUNTIF($E$1206:$AI$1206,"H")</f>
        <v>0</v>
      </c>
      <c r="AS1206" s="8"/>
      <c r="AT1206" s="11" t="s">
        <v>250</v>
      </c>
    </row>
    <row r="1207" spans="1:46" ht="15.1" customHeight="1">
      <c r="A1207" s="8"/>
      <c r="B1207" s="9"/>
      <c r="C1207" s="8"/>
      <c r="D1207" s="9"/>
      <c r="E1207" s="8">
        <v>2</v>
      </c>
      <c r="F1207" s="8">
        <v>2</v>
      </c>
      <c r="G1207" s="8">
        <v>0</v>
      </c>
      <c r="H1207" s="8">
        <v>2</v>
      </c>
      <c r="I1207" s="8">
        <v>2</v>
      </c>
      <c r="J1207" s="8">
        <v>2</v>
      </c>
      <c r="K1207" s="8">
        <v>2</v>
      </c>
      <c r="L1207" s="8">
        <v>2</v>
      </c>
      <c r="M1207" s="8">
        <v>2</v>
      </c>
      <c r="N1207" s="8">
        <v>0</v>
      </c>
      <c r="O1207" s="8">
        <v>2</v>
      </c>
      <c r="P1207" s="8">
        <v>2</v>
      </c>
      <c r="Q1207" s="8">
        <v>2</v>
      </c>
      <c r="R1207" s="8">
        <v>2</v>
      </c>
      <c r="S1207" s="8">
        <v>2</v>
      </c>
      <c r="T1207" s="8">
        <v>2</v>
      </c>
      <c r="U1207" s="8">
        <v>0</v>
      </c>
      <c r="V1207" s="8">
        <v>2</v>
      </c>
      <c r="W1207" s="8">
        <v>2</v>
      </c>
      <c r="X1207" s="8">
        <v>2</v>
      </c>
      <c r="Y1207" s="8">
        <v>2</v>
      </c>
      <c r="Z1207" s="8">
        <v>0</v>
      </c>
      <c r="AA1207" s="8">
        <v>2</v>
      </c>
      <c r="AB1207" s="8">
        <v>0</v>
      </c>
      <c r="AC1207" s="8">
        <v>2</v>
      </c>
      <c r="AD1207" s="8">
        <v>2</v>
      </c>
      <c r="AE1207" s="8">
        <v>2</v>
      </c>
      <c r="AF1207" s="8">
        <v>2</v>
      </c>
      <c r="AG1207" s="8">
        <v>2</v>
      </c>
      <c r="AH1207" s="8">
        <v>2</v>
      </c>
      <c r="AI1207" s="8">
        <v>0</v>
      </c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11" t="s">
        <v>250</v>
      </c>
    </row>
    <row r="1208" spans="1:46" ht="15.1" customHeight="1">
      <c r="A1208" s="8"/>
      <c r="B1208" s="9"/>
      <c r="C1208" s="8"/>
      <c r="D1208" s="9"/>
      <c r="E1208" s="8">
        <v>1</v>
      </c>
      <c r="F1208" s="8">
        <v>0</v>
      </c>
      <c r="G1208" s="8">
        <v>0</v>
      </c>
      <c r="H1208" s="8">
        <v>1</v>
      </c>
      <c r="I1208" s="8">
        <v>1</v>
      </c>
      <c r="J1208" s="8">
        <v>1</v>
      </c>
      <c r="K1208" s="8">
        <v>1</v>
      </c>
      <c r="L1208" s="8">
        <v>1</v>
      </c>
      <c r="M1208" s="8">
        <v>1</v>
      </c>
      <c r="N1208" s="8">
        <v>12</v>
      </c>
      <c r="O1208" s="8">
        <v>1</v>
      </c>
      <c r="P1208" s="8">
        <v>1</v>
      </c>
      <c r="Q1208" s="8">
        <v>1</v>
      </c>
      <c r="R1208" s="8">
        <v>1</v>
      </c>
      <c r="S1208" s="8">
        <v>1</v>
      </c>
      <c r="T1208" s="8">
        <v>1</v>
      </c>
      <c r="U1208" s="8">
        <v>0</v>
      </c>
      <c r="V1208" s="8">
        <v>1</v>
      </c>
      <c r="W1208" s="8">
        <v>1</v>
      </c>
      <c r="X1208" s="8">
        <v>1</v>
      </c>
      <c r="Y1208" s="8">
        <v>1</v>
      </c>
      <c r="Z1208" s="8">
        <v>0</v>
      </c>
      <c r="AA1208" s="8">
        <v>1</v>
      </c>
      <c r="AB1208" s="8">
        <v>0</v>
      </c>
      <c r="AC1208" s="8">
        <v>1</v>
      </c>
      <c r="AD1208" s="8">
        <v>1</v>
      </c>
      <c r="AE1208" s="8">
        <v>1</v>
      </c>
      <c r="AF1208" s="8">
        <v>1</v>
      </c>
      <c r="AG1208" s="8">
        <v>1</v>
      </c>
      <c r="AH1208" s="8">
        <v>1</v>
      </c>
      <c r="AI1208" s="8">
        <v>0</v>
      </c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11" t="s">
        <v>250</v>
      </c>
    </row>
    <row r="1209" spans="1:46" ht="15.1" customHeight="1">
      <c r="A1209" s="8">
        <v>402</v>
      </c>
      <c r="B1209" s="9" t="s">
        <v>1061</v>
      </c>
      <c r="C1209" s="8" t="s">
        <v>1062</v>
      </c>
      <c r="D1209" s="9" t="s">
        <v>451</v>
      </c>
      <c r="E1209" s="8" t="s">
        <v>54</v>
      </c>
      <c r="F1209" s="8" t="s">
        <v>54</v>
      </c>
      <c r="G1209" s="10" t="s">
        <v>67</v>
      </c>
      <c r="H1209" s="8" t="s">
        <v>54</v>
      </c>
      <c r="I1209" s="8" t="s">
        <v>54</v>
      </c>
      <c r="J1209" s="8" t="s">
        <v>54</v>
      </c>
      <c r="K1209" s="8" t="s">
        <v>54</v>
      </c>
      <c r="L1209" s="8" t="s">
        <v>54</v>
      </c>
      <c r="M1209" s="8" t="s">
        <v>54</v>
      </c>
      <c r="N1209" s="10" t="s">
        <v>67</v>
      </c>
      <c r="O1209" s="8" t="s">
        <v>54</v>
      </c>
      <c r="P1209" s="8" t="s">
        <v>54</v>
      </c>
      <c r="Q1209" s="8" t="s">
        <v>54</v>
      </c>
      <c r="R1209" s="8" t="s">
        <v>54</v>
      </c>
      <c r="S1209" s="8" t="s">
        <v>54</v>
      </c>
      <c r="T1209" s="8" t="s">
        <v>54</v>
      </c>
      <c r="U1209" s="10" t="s">
        <v>67</v>
      </c>
      <c r="V1209" s="8" t="s">
        <v>54</v>
      </c>
      <c r="W1209" s="8" t="s">
        <v>54</v>
      </c>
      <c r="X1209" s="8" t="s">
        <v>54</v>
      </c>
      <c r="Y1209" s="8" t="s">
        <v>54</v>
      </c>
      <c r="Z1209" s="8" t="s">
        <v>54</v>
      </c>
      <c r="AA1209" s="8" t="s">
        <v>54</v>
      </c>
      <c r="AB1209" s="10" t="s">
        <v>67</v>
      </c>
      <c r="AC1209" s="8" t="s">
        <v>54</v>
      </c>
      <c r="AD1209" s="8" t="s">
        <v>54</v>
      </c>
      <c r="AE1209" s="8" t="s">
        <v>54</v>
      </c>
      <c r="AF1209" s="8" t="s">
        <v>54</v>
      </c>
      <c r="AG1209" s="8" t="s">
        <v>54</v>
      </c>
      <c r="AH1209" s="8" t="s">
        <v>54</v>
      </c>
      <c r="AI1209" s="10" t="s">
        <v>67</v>
      </c>
      <c r="AJ1209" s="8">
        <f>COUNTIF($E$1209:$AI$1209,"P")</f>
        <v>26</v>
      </c>
      <c r="AK1209" s="8">
        <f>COUNTIF($E$1209:$AI$1209,"A")</f>
        <v>0</v>
      </c>
      <c r="AL1209" s="8">
        <f>SUM($E$1210:$AI$1210)</f>
        <v>48</v>
      </c>
      <c r="AM1209" s="8">
        <f>SUM($E$1211:$AI$1211)</f>
        <v>24</v>
      </c>
      <c r="AN1209" s="8">
        <f>AL1209+AM1209</f>
        <v>72</v>
      </c>
      <c r="AO1209" s="8">
        <f>COUNTIF($E$1209:$AI$1209,"CL")</f>
        <v>0</v>
      </c>
      <c r="AP1209" s="8">
        <f>COUNTIF($E$1209:$AI$1209,"SL")</f>
        <v>0</v>
      </c>
      <c r="AQ1209" s="8">
        <f>COUNTIF($E$1209:$AI$1209,"EL")</f>
        <v>0</v>
      </c>
      <c r="AR1209" s="8">
        <f>COUNTIF($E$1209:$AI$1209,"H")</f>
        <v>0</v>
      </c>
      <c r="AS1209" s="8"/>
      <c r="AT1209" s="11" t="s">
        <v>250</v>
      </c>
    </row>
    <row r="1210" spans="1:46" ht="15.1" customHeight="1">
      <c r="A1210" s="8"/>
      <c r="B1210" s="9"/>
      <c r="C1210" s="8"/>
      <c r="D1210" s="9"/>
      <c r="E1210" s="8">
        <v>0</v>
      </c>
      <c r="F1210" s="8">
        <v>2</v>
      </c>
      <c r="G1210" s="8">
        <v>0</v>
      </c>
      <c r="H1210" s="8">
        <v>2</v>
      </c>
      <c r="I1210" s="8">
        <v>2</v>
      </c>
      <c r="J1210" s="8">
        <v>2</v>
      </c>
      <c r="K1210" s="8">
        <v>2</v>
      </c>
      <c r="L1210" s="8">
        <v>2</v>
      </c>
      <c r="M1210" s="8">
        <v>2</v>
      </c>
      <c r="N1210" s="8">
        <v>0</v>
      </c>
      <c r="O1210" s="8">
        <v>2</v>
      </c>
      <c r="P1210" s="8">
        <v>2</v>
      </c>
      <c r="Q1210" s="8">
        <v>2</v>
      </c>
      <c r="R1210" s="8">
        <v>2</v>
      </c>
      <c r="S1210" s="8">
        <v>2</v>
      </c>
      <c r="T1210" s="8">
        <v>2</v>
      </c>
      <c r="U1210" s="8">
        <v>0</v>
      </c>
      <c r="V1210" s="8">
        <v>2</v>
      </c>
      <c r="W1210" s="8">
        <v>2</v>
      </c>
      <c r="X1210" s="8">
        <v>2</v>
      </c>
      <c r="Y1210" s="8">
        <v>2</v>
      </c>
      <c r="Z1210" s="8">
        <v>0</v>
      </c>
      <c r="AA1210" s="8">
        <v>2</v>
      </c>
      <c r="AB1210" s="8">
        <v>0</v>
      </c>
      <c r="AC1210" s="8">
        <v>2</v>
      </c>
      <c r="AD1210" s="8">
        <v>2</v>
      </c>
      <c r="AE1210" s="8">
        <v>2</v>
      </c>
      <c r="AF1210" s="8">
        <v>2</v>
      </c>
      <c r="AG1210" s="8">
        <v>2</v>
      </c>
      <c r="AH1210" s="8">
        <v>2</v>
      </c>
      <c r="AI1210" s="8">
        <v>0</v>
      </c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11" t="s">
        <v>250</v>
      </c>
    </row>
    <row r="1211" spans="1:46" ht="15.1" customHeight="1">
      <c r="A1211" s="8"/>
      <c r="B1211" s="9"/>
      <c r="C1211" s="8"/>
      <c r="D1211" s="9"/>
      <c r="E1211" s="8">
        <v>0</v>
      </c>
      <c r="F1211" s="8">
        <v>1</v>
      </c>
      <c r="G1211" s="8">
        <v>0</v>
      </c>
      <c r="H1211" s="8">
        <v>1</v>
      </c>
      <c r="I1211" s="8">
        <v>1</v>
      </c>
      <c r="J1211" s="8">
        <v>1</v>
      </c>
      <c r="K1211" s="8">
        <v>1</v>
      </c>
      <c r="L1211" s="8">
        <v>1</v>
      </c>
      <c r="M1211" s="8">
        <v>1</v>
      </c>
      <c r="N1211" s="8">
        <v>0</v>
      </c>
      <c r="O1211" s="8">
        <v>1</v>
      </c>
      <c r="P1211" s="8">
        <v>1</v>
      </c>
      <c r="Q1211" s="8">
        <v>1</v>
      </c>
      <c r="R1211" s="8">
        <v>1</v>
      </c>
      <c r="S1211" s="8">
        <v>1</v>
      </c>
      <c r="T1211" s="8">
        <v>1</v>
      </c>
      <c r="U1211" s="8">
        <v>0</v>
      </c>
      <c r="V1211" s="8">
        <v>1</v>
      </c>
      <c r="W1211" s="8">
        <v>1</v>
      </c>
      <c r="X1211" s="8">
        <v>1</v>
      </c>
      <c r="Y1211" s="8">
        <v>1</v>
      </c>
      <c r="Z1211" s="8">
        <v>0</v>
      </c>
      <c r="AA1211" s="8">
        <v>1</v>
      </c>
      <c r="AB1211" s="8">
        <v>0</v>
      </c>
      <c r="AC1211" s="8">
        <v>1</v>
      </c>
      <c r="AD1211" s="8">
        <v>1</v>
      </c>
      <c r="AE1211" s="8">
        <v>1</v>
      </c>
      <c r="AF1211" s="8">
        <v>1</v>
      </c>
      <c r="AG1211" s="8">
        <v>1</v>
      </c>
      <c r="AH1211" s="8">
        <v>1</v>
      </c>
      <c r="AI1211" s="8">
        <v>0</v>
      </c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11" t="s">
        <v>250</v>
      </c>
    </row>
    <row r="1212" spans="1:46" ht="15.1" customHeight="1">
      <c r="A1212" s="8">
        <v>403</v>
      </c>
      <c r="B1212" s="9" t="s">
        <v>1063</v>
      </c>
      <c r="C1212" s="8" t="s">
        <v>1064</v>
      </c>
      <c r="D1212" s="9" t="s">
        <v>451</v>
      </c>
      <c r="E1212" s="8" t="s">
        <v>54</v>
      </c>
      <c r="F1212" s="8" t="s">
        <v>54</v>
      </c>
      <c r="G1212" s="10" t="s">
        <v>67</v>
      </c>
      <c r="H1212" s="8" t="s">
        <v>54</v>
      </c>
      <c r="I1212" s="8" t="s">
        <v>54</v>
      </c>
      <c r="J1212" s="8" t="s">
        <v>54</v>
      </c>
      <c r="K1212" s="8" t="s">
        <v>54</v>
      </c>
      <c r="L1212" s="8" t="s">
        <v>54</v>
      </c>
      <c r="M1212" s="8" t="s">
        <v>54</v>
      </c>
      <c r="N1212" s="10" t="s">
        <v>67</v>
      </c>
      <c r="O1212" s="8" t="s">
        <v>54</v>
      </c>
      <c r="P1212" s="8" t="s">
        <v>54</v>
      </c>
      <c r="Q1212" s="8" t="s">
        <v>54</v>
      </c>
      <c r="R1212" s="8" t="s">
        <v>54</v>
      </c>
      <c r="S1212" s="8" t="s">
        <v>54</v>
      </c>
      <c r="T1212" s="8" t="s">
        <v>54</v>
      </c>
      <c r="U1212" s="10" t="s">
        <v>67</v>
      </c>
      <c r="V1212" s="8" t="s">
        <v>54</v>
      </c>
      <c r="W1212" s="8" t="s">
        <v>54</v>
      </c>
      <c r="X1212" s="8" t="s">
        <v>54</v>
      </c>
      <c r="Y1212" s="8" t="s">
        <v>54</v>
      </c>
      <c r="Z1212" s="8" t="s">
        <v>54</v>
      </c>
      <c r="AA1212" s="8" t="s">
        <v>54</v>
      </c>
      <c r="AB1212" s="10" t="s">
        <v>67</v>
      </c>
      <c r="AC1212" s="8" t="s">
        <v>54</v>
      </c>
      <c r="AD1212" s="8" t="s">
        <v>54</v>
      </c>
      <c r="AE1212" s="8" t="s">
        <v>54</v>
      </c>
      <c r="AF1212" s="8" t="s">
        <v>54</v>
      </c>
      <c r="AG1212" s="8" t="s">
        <v>54</v>
      </c>
      <c r="AH1212" s="8" t="s">
        <v>54</v>
      </c>
      <c r="AI1212" s="10" t="s">
        <v>67</v>
      </c>
      <c r="AJ1212" s="8">
        <f>COUNTIF($E$1212:$AI$1212,"P")</f>
        <v>26</v>
      </c>
      <c r="AK1212" s="8">
        <f>COUNTIF($E$1212:$AI$1212,"A")</f>
        <v>0</v>
      </c>
      <c r="AL1212" s="8">
        <f>SUM($E$1213:$AI$1213)</f>
        <v>42</v>
      </c>
      <c r="AM1212" s="8">
        <f>SUM($E$1214:$AI$1214)</f>
        <v>21</v>
      </c>
      <c r="AN1212" s="8">
        <f>AL1212+AM1212</f>
        <v>63</v>
      </c>
      <c r="AO1212" s="8">
        <f>COUNTIF($E$1212:$AI$1212,"CL")</f>
        <v>0</v>
      </c>
      <c r="AP1212" s="8">
        <f>COUNTIF($E$1212:$AI$1212,"SL")</f>
        <v>0</v>
      </c>
      <c r="AQ1212" s="8">
        <f>COUNTIF($E$1212:$AI$1212,"EL")</f>
        <v>0</v>
      </c>
      <c r="AR1212" s="8">
        <f>COUNTIF($E$1212:$AI$1212,"H")</f>
        <v>0</v>
      </c>
      <c r="AS1212" s="8"/>
      <c r="AT1212" s="11" t="s">
        <v>250</v>
      </c>
    </row>
    <row r="1213" spans="1:46" ht="15.1" customHeight="1">
      <c r="A1213" s="8"/>
      <c r="B1213" s="9"/>
      <c r="C1213" s="8"/>
      <c r="D1213" s="9"/>
      <c r="E1213" s="8">
        <v>0</v>
      </c>
      <c r="F1213" s="8">
        <v>0</v>
      </c>
      <c r="G1213" s="8">
        <v>0</v>
      </c>
      <c r="H1213" s="8">
        <v>0</v>
      </c>
      <c r="I1213" s="8">
        <v>2</v>
      </c>
      <c r="J1213" s="8">
        <v>0</v>
      </c>
      <c r="K1213" s="8">
        <v>2</v>
      </c>
      <c r="L1213" s="8">
        <v>2</v>
      </c>
      <c r="M1213" s="8">
        <v>2</v>
      </c>
      <c r="N1213" s="8">
        <v>0</v>
      </c>
      <c r="O1213" s="8">
        <v>2</v>
      </c>
      <c r="P1213" s="8">
        <v>2</v>
      </c>
      <c r="Q1213" s="8">
        <v>2</v>
      </c>
      <c r="R1213" s="8">
        <v>2</v>
      </c>
      <c r="S1213" s="8">
        <v>2</v>
      </c>
      <c r="T1213" s="8">
        <v>2</v>
      </c>
      <c r="U1213" s="8">
        <v>0</v>
      </c>
      <c r="V1213" s="8">
        <v>2</v>
      </c>
      <c r="W1213" s="8">
        <v>2</v>
      </c>
      <c r="X1213" s="8">
        <v>2</v>
      </c>
      <c r="Y1213" s="8">
        <v>2</v>
      </c>
      <c r="Z1213" s="8">
        <v>0</v>
      </c>
      <c r="AA1213" s="8">
        <v>2</v>
      </c>
      <c r="AB1213" s="8">
        <v>0</v>
      </c>
      <c r="AC1213" s="8">
        <v>2</v>
      </c>
      <c r="AD1213" s="8">
        <v>2</v>
      </c>
      <c r="AE1213" s="8">
        <v>2</v>
      </c>
      <c r="AF1213" s="8">
        <v>2</v>
      </c>
      <c r="AG1213" s="8">
        <v>2</v>
      </c>
      <c r="AH1213" s="8">
        <v>2</v>
      </c>
      <c r="AI1213" s="8">
        <v>0</v>
      </c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11" t="s">
        <v>250</v>
      </c>
    </row>
    <row r="1214" spans="1:46" ht="15.1" customHeight="1">
      <c r="A1214" s="8"/>
      <c r="B1214" s="9"/>
      <c r="C1214" s="8"/>
      <c r="D1214" s="9"/>
      <c r="E1214" s="8">
        <v>0</v>
      </c>
      <c r="F1214" s="8">
        <v>0</v>
      </c>
      <c r="G1214" s="8">
        <v>0</v>
      </c>
      <c r="H1214" s="8">
        <v>0</v>
      </c>
      <c r="I1214" s="8">
        <v>1</v>
      </c>
      <c r="J1214" s="8">
        <v>0</v>
      </c>
      <c r="K1214" s="8">
        <v>1</v>
      </c>
      <c r="L1214" s="8">
        <v>1</v>
      </c>
      <c r="M1214" s="8">
        <v>1</v>
      </c>
      <c r="N1214" s="8">
        <v>0</v>
      </c>
      <c r="O1214" s="8">
        <v>1</v>
      </c>
      <c r="P1214" s="8">
        <v>1</v>
      </c>
      <c r="Q1214" s="8">
        <v>1</v>
      </c>
      <c r="R1214" s="8">
        <v>1</v>
      </c>
      <c r="S1214" s="8">
        <v>1</v>
      </c>
      <c r="T1214" s="8">
        <v>1</v>
      </c>
      <c r="U1214" s="8">
        <v>0</v>
      </c>
      <c r="V1214" s="8">
        <v>1</v>
      </c>
      <c r="W1214" s="8">
        <v>1</v>
      </c>
      <c r="X1214" s="8">
        <v>1</v>
      </c>
      <c r="Y1214" s="8">
        <v>1</v>
      </c>
      <c r="Z1214" s="8">
        <v>0</v>
      </c>
      <c r="AA1214" s="8">
        <v>1</v>
      </c>
      <c r="AB1214" s="8">
        <v>0</v>
      </c>
      <c r="AC1214" s="8">
        <v>1</v>
      </c>
      <c r="AD1214" s="8">
        <v>1</v>
      </c>
      <c r="AE1214" s="8">
        <v>1</v>
      </c>
      <c r="AF1214" s="8">
        <v>1</v>
      </c>
      <c r="AG1214" s="8">
        <v>1</v>
      </c>
      <c r="AH1214" s="8">
        <v>1</v>
      </c>
      <c r="AI1214" s="8">
        <v>0</v>
      </c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11" t="s">
        <v>250</v>
      </c>
    </row>
    <row r="1215" spans="1:46" ht="15.1" customHeight="1">
      <c r="A1215" s="8">
        <v>404</v>
      </c>
      <c r="B1215" s="9" t="s">
        <v>1065</v>
      </c>
      <c r="C1215" s="8" t="s">
        <v>1066</v>
      </c>
      <c r="D1215" s="9" t="s">
        <v>451</v>
      </c>
      <c r="E1215" s="8" t="s">
        <v>54</v>
      </c>
      <c r="F1215" s="8" t="s">
        <v>54</v>
      </c>
      <c r="G1215" s="10" t="s">
        <v>67</v>
      </c>
      <c r="H1215" s="8" t="s">
        <v>54</v>
      </c>
      <c r="I1215" s="8" t="s">
        <v>54</v>
      </c>
      <c r="J1215" s="8" t="s">
        <v>54</v>
      </c>
      <c r="K1215" s="8" t="s">
        <v>54</v>
      </c>
      <c r="L1215" s="8" t="s">
        <v>54</v>
      </c>
      <c r="M1215" s="8" t="s">
        <v>54</v>
      </c>
      <c r="N1215" s="10" t="s">
        <v>67</v>
      </c>
      <c r="O1215" s="8" t="s">
        <v>54</v>
      </c>
      <c r="P1215" s="8" t="s">
        <v>54</v>
      </c>
      <c r="Q1215" s="8" t="s">
        <v>54</v>
      </c>
      <c r="R1215" s="8" t="s">
        <v>54</v>
      </c>
      <c r="S1215" s="8" t="s">
        <v>54</v>
      </c>
      <c r="T1215" s="8" t="s">
        <v>54</v>
      </c>
      <c r="U1215" s="10" t="s">
        <v>67</v>
      </c>
      <c r="V1215" s="8" t="s">
        <v>54</v>
      </c>
      <c r="W1215" s="8" t="s">
        <v>54</v>
      </c>
      <c r="X1215" s="8" t="s">
        <v>54</v>
      </c>
      <c r="Y1215" s="8" t="s">
        <v>54</v>
      </c>
      <c r="Z1215" s="8" t="s">
        <v>54</v>
      </c>
      <c r="AA1215" s="8" t="s">
        <v>54</v>
      </c>
      <c r="AB1215" s="10" t="s">
        <v>67</v>
      </c>
      <c r="AC1215" s="8" t="s">
        <v>54</v>
      </c>
      <c r="AD1215" s="8" t="s">
        <v>54</v>
      </c>
      <c r="AE1215" s="8" t="s">
        <v>54</v>
      </c>
      <c r="AF1215" s="8" t="s">
        <v>54</v>
      </c>
      <c r="AG1215" s="8" t="s">
        <v>54</v>
      </c>
      <c r="AH1215" s="8" t="s">
        <v>54</v>
      </c>
      <c r="AI1215" s="10" t="s">
        <v>67</v>
      </c>
      <c r="AJ1215" s="8">
        <f>COUNTIF($E$1215:$AI$1215,"P")</f>
        <v>26</v>
      </c>
      <c r="AK1215" s="8">
        <f>COUNTIF($E$1215:$AI$1215,"A")</f>
        <v>0</v>
      </c>
      <c r="AL1215" s="8">
        <f>SUM($E$1216:$AI$1216)</f>
        <v>50</v>
      </c>
      <c r="AM1215" s="8">
        <f>SUM($E$1217:$AI$1217)</f>
        <v>36</v>
      </c>
      <c r="AN1215" s="8">
        <f>AL1215+AM1215</f>
        <v>86</v>
      </c>
      <c r="AO1215" s="8">
        <f>COUNTIF($E$1215:$AI$1215,"CL")</f>
        <v>0</v>
      </c>
      <c r="AP1215" s="8">
        <f>COUNTIF($E$1215:$AI$1215,"SL")</f>
        <v>0</v>
      </c>
      <c r="AQ1215" s="8">
        <f>COUNTIF($E$1215:$AI$1215,"EL")</f>
        <v>0</v>
      </c>
      <c r="AR1215" s="8">
        <f>COUNTIF($E$1215:$AI$1215,"H")</f>
        <v>0</v>
      </c>
      <c r="AS1215" s="8"/>
      <c r="AT1215" s="11" t="s">
        <v>250</v>
      </c>
    </row>
    <row r="1216" spans="1:46" ht="15.1" customHeight="1">
      <c r="A1216" s="8"/>
      <c r="B1216" s="9"/>
      <c r="C1216" s="8"/>
      <c r="D1216" s="9"/>
      <c r="E1216" s="8">
        <v>0</v>
      </c>
      <c r="F1216" s="8">
        <v>2</v>
      </c>
      <c r="G1216" s="8">
        <v>0</v>
      </c>
      <c r="H1216" s="8">
        <v>2</v>
      </c>
      <c r="I1216" s="8">
        <v>2</v>
      </c>
      <c r="J1216" s="8">
        <v>2</v>
      </c>
      <c r="K1216" s="8">
        <v>2</v>
      </c>
      <c r="L1216" s="8">
        <v>2</v>
      </c>
      <c r="M1216" s="8">
        <v>2</v>
      </c>
      <c r="N1216" s="8">
        <v>0</v>
      </c>
      <c r="O1216" s="8">
        <v>2</v>
      </c>
      <c r="P1216" s="8">
        <v>2</v>
      </c>
      <c r="Q1216" s="8">
        <v>2</v>
      </c>
      <c r="R1216" s="8">
        <v>2</v>
      </c>
      <c r="S1216" s="8">
        <v>2</v>
      </c>
      <c r="T1216" s="8">
        <v>2</v>
      </c>
      <c r="U1216" s="8">
        <v>0</v>
      </c>
      <c r="V1216" s="8">
        <v>2</v>
      </c>
      <c r="W1216" s="8">
        <v>2</v>
      </c>
      <c r="X1216" s="8">
        <v>2</v>
      </c>
      <c r="Y1216" s="8">
        <v>2</v>
      </c>
      <c r="Z1216" s="8">
        <v>2</v>
      </c>
      <c r="AA1216" s="8">
        <v>2</v>
      </c>
      <c r="AB1216" s="8">
        <v>0</v>
      </c>
      <c r="AC1216" s="8">
        <v>2</v>
      </c>
      <c r="AD1216" s="8">
        <v>2</v>
      </c>
      <c r="AE1216" s="8">
        <v>2</v>
      </c>
      <c r="AF1216" s="8">
        <v>2</v>
      </c>
      <c r="AG1216" s="8">
        <v>2</v>
      </c>
      <c r="AH1216" s="8">
        <v>2</v>
      </c>
      <c r="AI1216" s="8">
        <v>0</v>
      </c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11" t="s">
        <v>250</v>
      </c>
    </row>
    <row r="1217" spans="1:46" ht="15.1" customHeight="1">
      <c r="A1217" s="8"/>
      <c r="B1217" s="9"/>
      <c r="C1217" s="8"/>
      <c r="D1217" s="9"/>
      <c r="E1217" s="8">
        <v>0</v>
      </c>
      <c r="F1217" s="8">
        <v>1</v>
      </c>
      <c r="G1217" s="8">
        <v>0</v>
      </c>
      <c r="H1217" s="8">
        <v>1</v>
      </c>
      <c r="I1217" s="8">
        <v>1</v>
      </c>
      <c r="J1217" s="8">
        <v>1</v>
      </c>
      <c r="K1217" s="8">
        <v>1</v>
      </c>
      <c r="L1217" s="8">
        <v>1</v>
      </c>
      <c r="M1217" s="8">
        <v>1</v>
      </c>
      <c r="N1217" s="8">
        <v>11</v>
      </c>
      <c r="O1217" s="8">
        <v>1</v>
      </c>
      <c r="P1217" s="8">
        <v>1</v>
      </c>
      <c r="Q1217" s="8">
        <v>1</v>
      </c>
      <c r="R1217" s="8">
        <v>1</v>
      </c>
      <c r="S1217" s="8">
        <v>1</v>
      </c>
      <c r="T1217" s="8">
        <v>1</v>
      </c>
      <c r="U1217" s="8">
        <v>0</v>
      </c>
      <c r="V1217" s="8">
        <v>1</v>
      </c>
      <c r="W1217" s="8">
        <v>1</v>
      </c>
      <c r="X1217" s="8">
        <v>1</v>
      </c>
      <c r="Y1217" s="8">
        <v>1</v>
      </c>
      <c r="Z1217" s="8">
        <v>1</v>
      </c>
      <c r="AA1217" s="8">
        <v>1</v>
      </c>
      <c r="AB1217" s="8">
        <v>0</v>
      </c>
      <c r="AC1217" s="8">
        <v>1</v>
      </c>
      <c r="AD1217" s="8">
        <v>1</v>
      </c>
      <c r="AE1217" s="8">
        <v>1</v>
      </c>
      <c r="AF1217" s="8">
        <v>1</v>
      </c>
      <c r="AG1217" s="8">
        <v>1</v>
      </c>
      <c r="AH1217" s="8">
        <v>1</v>
      </c>
      <c r="AI1217" s="8">
        <v>0</v>
      </c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11" t="s">
        <v>250</v>
      </c>
    </row>
    <row r="1218" spans="1:46" ht="15.1" customHeight="1">
      <c r="A1218" s="8">
        <v>405</v>
      </c>
      <c r="B1218" s="9" t="s">
        <v>96</v>
      </c>
      <c r="C1218" s="8" t="s">
        <v>1067</v>
      </c>
      <c r="D1218" s="9" t="s">
        <v>451</v>
      </c>
      <c r="E1218" s="8" t="s">
        <v>54</v>
      </c>
      <c r="F1218" s="8" t="s">
        <v>54</v>
      </c>
      <c r="G1218" s="10" t="s">
        <v>67</v>
      </c>
      <c r="H1218" s="12" t="s">
        <v>55</v>
      </c>
      <c r="I1218" s="8" t="s">
        <v>54</v>
      </c>
      <c r="J1218" s="8" t="s">
        <v>54</v>
      </c>
      <c r="K1218" s="8" t="s">
        <v>54</v>
      </c>
      <c r="L1218" s="8" t="s">
        <v>54</v>
      </c>
      <c r="M1218" s="8" t="s">
        <v>54</v>
      </c>
      <c r="N1218" s="10" t="s">
        <v>67</v>
      </c>
      <c r="O1218" s="8" t="s">
        <v>54</v>
      </c>
      <c r="P1218" s="8" t="s">
        <v>54</v>
      </c>
      <c r="Q1218" s="8" t="s">
        <v>54</v>
      </c>
      <c r="R1218" s="8" t="s">
        <v>54</v>
      </c>
      <c r="S1218" s="8" t="s">
        <v>54</v>
      </c>
      <c r="T1218" s="8" t="s">
        <v>54</v>
      </c>
      <c r="U1218" s="10" t="s">
        <v>67</v>
      </c>
      <c r="V1218" s="12" t="s">
        <v>55</v>
      </c>
      <c r="W1218" s="8" t="s">
        <v>54</v>
      </c>
      <c r="X1218" s="8" t="s">
        <v>54</v>
      </c>
      <c r="Y1218" s="8" t="s">
        <v>54</v>
      </c>
      <c r="Z1218" s="8" t="s">
        <v>54</v>
      </c>
      <c r="AA1218" s="8" t="s">
        <v>54</v>
      </c>
      <c r="AB1218" s="10" t="s">
        <v>67</v>
      </c>
      <c r="AC1218" s="8" t="s">
        <v>54</v>
      </c>
      <c r="AD1218" s="8" t="s">
        <v>54</v>
      </c>
      <c r="AE1218" s="8" t="s">
        <v>54</v>
      </c>
      <c r="AF1218" s="8" t="s">
        <v>54</v>
      </c>
      <c r="AG1218" s="8" t="s">
        <v>54</v>
      </c>
      <c r="AH1218" s="8" t="s">
        <v>54</v>
      </c>
      <c r="AI1218" s="10" t="s">
        <v>67</v>
      </c>
      <c r="AJ1218" s="8">
        <f>COUNTIF($E$1218:$AI$1218,"P")</f>
        <v>24</v>
      </c>
      <c r="AK1218" s="8">
        <f>COUNTIF($E$1218:$AI$1218,"A")</f>
        <v>2</v>
      </c>
      <c r="AL1218" s="8">
        <f>SUM($E$1219:$AI$1219)</f>
        <v>43</v>
      </c>
      <c r="AM1218" s="8">
        <f>SUM($E$1220:$AI$1220)</f>
        <v>20</v>
      </c>
      <c r="AN1218" s="8">
        <f>AL1218+AM1218</f>
        <v>63</v>
      </c>
      <c r="AO1218" s="8">
        <f>COUNTIF($E$1218:$AI$1218,"CL")</f>
        <v>0</v>
      </c>
      <c r="AP1218" s="8">
        <f>COUNTIF($E$1218:$AI$1218,"SL")</f>
        <v>0</v>
      </c>
      <c r="AQ1218" s="8">
        <f>COUNTIF($E$1218:$AI$1218,"EL")</f>
        <v>0</v>
      </c>
      <c r="AR1218" s="8">
        <f>COUNTIF($E$1218:$AI$1218,"H")</f>
        <v>0</v>
      </c>
      <c r="AS1218" s="8"/>
      <c r="AT1218" s="11" t="s">
        <v>250</v>
      </c>
    </row>
    <row r="1219" spans="1:46" ht="15.1" customHeight="1">
      <c r="A1219" s="8"/>
      <c r="B1219" s="9"/>
      <c r="C1219" s="8"/>
      <c r="D1219" s="9"/>
      <c r="E1219" s="8">
        <v>0</v>
      </c>
      <c r="F1219" s="8">
        <v>2</v>
      </c>
      <c r="G1219" s="8">
        <v>0</v>
      </c>
      <c r="H1219" s="8">
        <v>0</v>
      </c>
      <c r="I1219" s="8">
        <v>2</v>
      </c>
      <c r="J1219" s="8">
        <v>2</v>
      </c>
      <c r="K1219" s="8">
        <v>2</v>
      </c>
      <c r="L1219" s="8">
        <v>2</v>
      </c>
      <c r="M1219" s="8">
        <v>2</v>
      </c>
      <c r="N1219" s="8">
        <v>0</v>
      </c>
      <c r="O1219" s="8">
        <v>2</v>
      </c>
      <c r="P1219" s="8">
        <v>2</v>
      </c>
      <c r="Q1219" s="8">
        <v>2</v>
      </c>
      <c r="R1219" s="8">
        <v>2</v>
      </c>
      <c r="S1219" s="8">
        <v>2</v>
      </c>
      <c r="T1219" s="8">
        <v>2</v>
      </c>
      <c r="U1219" s="8">
        <v>0</v>
      </c>
      <c r="V1219" s="8">
        <v>0</v>
      </c>
      <c r="W1219" s="8">
        <v>1</v>
      </c>
      <c r="X1219" s="8">
        <v>2</v>
      </c>
      <c r="Y1219" s="8">
        <v>2</v>
      </c>
      <c r="Z1219" s="8">
        <v>0</v>
      </c>
      <c r="AA1219" s="8">
        <v>2</v>
      </c>
      <c r="AB1219" s="8">
        <v>0</v>
      </c>
      <c r="AC1219" s="8">
        <v>2</v>
      </c>
      <c r="AD1219" s="8">
        <v>2</v>
      </c>
      <c r="AE1219" s="8">
        <v>2</v>
      </c>
      <c r="AF1219" s="8">
        <v>2</v>
      </c>
      <c r="AG1219" s="8">
        <v>2</v>
      </c>
      <c r="AH1219" s="8">
        <v>2</v>
      </c>
      <c r="AI1219" s="8">
        <v>0</v>
      </c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11" t="s">
        <v>250</v>
      </c>
    </row>
    <row r="1220" spans="1:46" ht="15.1" customHeight="1">
      <c r="A1220" s="8"/>
      <c r="B1220" s="9"/>
      <c r="C1220" s="8"/>
      <c r="D1220" s="9"/>
      <c r="E1220" s="8">
        <v>0</v>
      </c>
      <c r="F1220" s="8">
        <v>0</v>
      </c>
      <c r="G1220" s="8">
        <v>0</v>
      </c>
      <c r="H1220" s="8">
        <v>0</v>
      </c>
      <c r="I1220" s="8">
        <v>1</v>
      </c>
      <c r="J1220" s="8">
        <v>1</v>
      </c>
      <c r="K1220" s="8">
        <v>1</v>
      </c>
      <c r="L1220" s="8">
        <v>1</v>
      </c>
      <c r="M1220" s="8">
        <v>1</v>
      </c>
      <c r="N1220" s="8">
        <v>0</v>
      </c>
      <c r="O1220" s="8">
        <v>1</v>
      </c>
      <c r="P1220" s="8">
        <v>1</v>
      </c>
      <c r="Q1220" s="8">
        <v>1</v>
      </c>
      <c r="R1220" s="8">
        <v>1</v>
      </c>
      <c r="S1220" s="8">
        <v>1</v>
      </c>
      <c r="T1220" s="8">
        <v>1</v>
      </c>
      <c r="U1220" s="8">
        <v>0</v>
      </c>
      <c r="V1220" s="8">
        <v>0</v>
      </c>
      <c r="W1220" s="8">
        <v>0</v>
      </c>
      <c r="X1220" s="8">
        <v>1</v>
      </c>
      <c r="Y1220" s="8">
        <v>1</v>
      </c>
      <c r="Z1220" s="8">
        <v>0</v>
      </c>
      <c r="AA1220" s="8">
        <v>1</v>
      </c>
      <c r="AB1220" s="8">
        <v>0</v>
      </c>
      <c r="AC1220" s="8">
        <v>1</v>
      </c>
      <c r="AD1220" s="8">
        <v>1</v>
      </c>
      <c r="AE1220" s="8">
        <v>1</v>
      </c>
      <c r="AF1220" s="8">
        <v>1</v>
      </c>
      <c r="AG1220" s="8">
        <v>1</v>
      </c>
      <c r="AH1220" s="8">
        <v>1</v>
      </c>
      <c r="AI1220" s="8">
        <v>0</v>
      </c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11" t="s">
        <v>250</v>
      </c>
    </row>
    <row r="1221" spans="1:46" ht="15.1" customHeight="1">
      <c r="A1221" s="8">
        <v>406</v>
      </c>
      <c r="B1221" s="9" t="s">
        <v>1068</v>
      </c>
      <c r="C1221" s="8" t="s">
        <v>1069</v>
      </c>
      <c r="D1221" s="9" t="s">
        <v>451</v>
      </c>
      <c r="E1221" s="8" t="s">
        <v>54</v>
      </c>
      <c r="F1221" s="8" t="s">
        <v>54</v>
      </c>
      <c r="G1221" s="10" t="s">
        <v>67</v>
      </c>
      <c r="H1221" s="8" t="s">
        <v>54</v>
      </c>
      <c r="I1221" s="8" t="s">
        <v>54</v>
      </c>
      <c r="J1221" s="8" t="s">
        <v>54</v>
      </c>
      <c r="K1221" s="8" t="s">
        <v>54</v>
      </c>
      <c r="L1221" s="8" t="s">
        <v>54</v>
      </c>
      <c r="M1221" s="8" t="s">
        <v>54</v>
      </c>
      <c r="N1221" s="10" t="s">
        <v>67</v>
      </c>
      <c r="O1221" s="8" t="s">
        <v>54</v>
      </c>
      <c r="P1221" s="8" t="s">
        <v>54</v>
      </c>
      <c r="Q1221" s="8" t="s">
        <v>54</v>
      </c>
      <c r="R1221" s="8" t="s">
        <v>54</v>
      </c>
      <c r="S1221" s="8" t="s">
        <v>54</v>
      </c>
      <c r="T1221" s="8" t="s">
        <v>54</v>
      </c>
      <c r="U1221" s="10" t="s">
        <v>67</v>
      </c>
      <c r="V1221" s="8" t="s">
        <v>54</v>
      </c>
      <c r="W1221" s="8" t="s">
        <v>54</v>
      </c>
      <c r="X1221" s="8" t="s">
        <v>54</v>
      </c>
      <c r="Y1221" s="8" t="s">
        <v>54</v>
      </c>
      <c r="Z1221" s="8" t="s">
        <v>54</v>
      </c>
      <c r="AA1221" s="8" t="s">
        <v>54</v>
      </c>
      <c r="AB1221" s="10" t="s">
        <v>67</v>
      </c>
      <c r="AC1221" s="8" t="s">
        <v>54</v>
      </c>
      <c r="AD1221" s="8" t="s">
        <v>54</v>
      </c>
      <c r="AE1221" s="8" t="s">
        <v>54</v>
      </c>
      <c r="AF1221" s="8" t="s">
        <v>54</v>
      </c>
      <c r="AG1221" s="8" t="s">
        <v>54</v>
      </c>
      <c r="AH1221" s="8" t="s">
        <v>54</v>
      </c>
      <c r="AI1221" s="10" t="s">
        <v>67</v>
      </c>
      <c r="AJ1221" s="8">
        <f>COUNTIF($E$1221:$AI$1221,"P")</f>
        <v>26</v>
      </c>
      <c r="AK1221" s="8">
        <f>COUNTIF($E$1221:$AI$1221,"A")</f>
        <v>0</v>
      </c>
      <c r="AL1221" s="8">
        <f>SUM($E$1222:$AI$1222)</f>
        <v>48</v>
      </c>
      <c r="AM1221" s="8">
        <f>SUM($E$1223:$AI$1223)</f>
        <v>24</v>
      </c>
      <c r="AN1221" s="8">
        <f>AL1221+AM1221</f>
        <v>72</v>
      </c>
      <c r="AO1221" s="8">
        <f>COUNTIF($E$1221:$AI$1221,"CL")</f>
        <v>0</v>
      </c>
      <c r="AP1221" s="8">
        <f>COUNTIF($E$1221:$AI$1221,"SL")</f>
        <v>0</v>
      </c>
      <c r="AQ1221" s="8">
        <f>COUNTIF($E$1221:$AI$1221,"EL")</f>
        <v>0</v>
      </c>
      <c r="AR1221" s="8">
        <f>COUNTIF($E$1221:$AI$1221,"H")</f>
        <v>0</v>
      </c>
      <c r="AS1221" s="8"/>
      <c r="AT1221" s="11" t="s">
        <v>250</v>
      </c>
    </row>
    <row r="1222" spans="1:46" ht="15.1" customHeight="1">
      <c r="A1222" s="8"/>
      <c r="B1222" s="9"/>
      <c r="C1222" s="8"/>
      <c r="D1222" s="9"/>
      <c r="E1222" s="8">
        <v>2</v>
      </c>
      <c r="F1222" s="8">
        <v>2</v>
      </c>
      <c r="G1222" s="8">
        <v>0</v>
      </c>
      <c r="H1222" s="8">
        <v>0</v>
      </c>
      <c r="I1222" s="8">
        <v>2</v>
      </c>
      <c r="J1222" s="8">
        <v>2</v>
      </c>
      <c r="K1222" s="8">
        <v>2</v>
      </c>
      <c r="L1222" s="8">
        <v>2</v>
      </c>
      <c r="M1222" s="8">
        <v>2</v>
      </c>
      <c r="N1222" s="8">
        <v>0</v>
      </c>
      <c r="O1222" s="8">
        <v>2</v>
      </c>
      <c r="P1222" s="8">
        <v>2</v>
      </c>
      <c r="Q1222" s="8">
        <v>2</v>
      </c>
      <c r="R1222" s="8">
        <v>2</v>
      </c>
      <c r="S1222" s="8">
        <v>2</v>
      </c>
      <c r="T1222" s="8">
        <v>2</v>
      </c>
      <c r="U1222" s="8">
        <v>0</v>
      </c>
      <c r="V1222" s="8">
        <v>2</v>
      </c>
      <c r="W1222" s="8">
        <v>2</v>
      </c>
      <c r="X1222" s="8">
        <v>2</v>
      </c>
      <c r="Y1222" s="8">
        <v>2</v>
      </c>
      <c r="Z1222" s="8">
        <v>0</v>
      </c>
      <c r="AA1222" s="8">
        <v>2</v>
      </c>
      <c r="AB1222" s="8">
        <v>0</v>
      </c>
      <c r="AC1222" s="8">
        <v>2</v>
      </c>
      <c r="AD1222" s="8">
        <v>2</v>
      </c>
      <c r="AE1222" s="8">
        <v>2</v>
      </c>
      <c r="AF1222" s="8">
        <v>2</v>
      </c>
      <c r="AG1222" s="8">
        <v>2</v>
      </c>
      <c r="AH1222" s="8">
        <v>2</v>
      </c>
      <c r="AI1222" s="8">
        <v>0</v>
      </c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11" t="s">
        <v>250</v>
      </c>
    </row>
    <row r="1223" spans="1:46" ht="15.1" customHeight="1">
      <c r="A1223" s="8"/>
      <c r="B1223" s="9"/>
      <c r="C1223" s="8"/>
      <c r="D1223" s="9"/>
      <c r="E1223" s="8">
        <v>1</v>
      </c>
      <c r="F1223" s="8">
        <v>1</v>
      </c>
      <c r="G1223" s="8">
        <v>0</v>
      </c>
      <c r="H1223" s="8">
        <v>0</v>
      </c>
      <c r="I1223" s="8">
        <v>1</v>
      </c>
      <c r="J1223" s="8">
        <v>1</v>
      </c>
      <c r="K1223" s="8">
        <v>1</v>
      </c>
      <c r="L1223" s="8">
        <v>1</v>
      </c>
      <c r="M1223" s="8">
        <v>1</v>
      </c>
      <c r="N1223" s="8">
        <v>0</v>
      </c>
      <c r="O1223" s="8">
        <v>1</v>
      </c>
      <c r="P1223" s="8">
        <v>1</v>
      </c>
      <c r="Q1223" s="8">
        <v>1</v>
      </c>
      <c r="R1223" s="8">
        <v>1</v>
      </c>
      <c r="S1223" s="8">
        <v>1</v>
      </c>
      <c r="T1223" s="8">
        <v>1</v>
      </c>
      <c r="U1223" s="8">
        <v>0</v>
      </c>
      <c r="V1223" s="8">
        <v>1</v>
      </c>
      <c r="W1223" s="8">
        <v>1</v>
      </c>
      <c r="X1223" s="8">
        <v>1</v>
      </c>
      <c r="Y1223" s="8">
        <v>1</v>
      </c>
      <c r="Z1223" s="8">
        <v>0</v>
      </c>
      <c r="AA1223" s="8">
        <v>1</v>
      </c>
      <c r="AB1223" s="8">
        <v>0</v>
      </c>
      <c r="AC1223" s="8">
        <v>1</v>
      </c>
      <c r="AD1223" s="8">
        <v>1</v>
      </c>
      <c r="AE1223" s="8">
        <v>1</v>
      </c>
      <c r="AF1223" s="8">
        <v>1</v>
      </c>
      <c r="AG1223" s="8">
        <v>1</v>
      </c>
      <c r="AH1223" s="8">
        <v>1</v>
      </c>
      <c r="AI1223" s="8">
        <v>0</v>
      </c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11" t="s">
        <v>250</v>
      </c>
    </row>
    <row r="1224" spans="1:46" ht="15.1" customHeight="1">
      <c r="A1224" s="8">
        <v>407</v>
      </c>
      <c r="B1224" s="9" t="s">
        <v>1070</v>
      </c>
      <c r="C1224" s="8" t="s">
        <v>1071</v>
      </c>
      <c r="D1224" s="9" t="s">
        <v>451</v>
      </c>
      <c r="E1224" s="8" t="s">
        <v>54</v>
      </c>
      <c r="F1224" s="8" t="s">
        <v>54</v>
      </c>
      <c r="G1224" s="10" t="s">
        <v>67</v>
      </c>
      <c r="H1224" s="12" t="s">
        <v>55</v>
      </c>
      <c r="I1224" s="8" t="s">
        <v>54</v>
      </c>
      <c r="J1224" s="8" t="s">
        <v>54</v>
      </c>
      <c r="K1224" s="8" t="s">
        <v>54</v>
      </c>
      <c r="L1224" s="8" t="s">
        <v>54</v>
      </c>
      <c r="M1224" s="8" t="s">
        <v>54</v>
      </c>
      <c r="N1224" s="10" t="s">
        <v>67</v>
      </c>
      <c r="O1224" s="8" t="s">
        <v>54</v>
      </c>
      <c r="P1224" s="8" t="s">
        <v>54</v>
      </c>
      <c r="Q1224" s="8" t="s">
        <v>54</v>
      </c>
      <c r="R1224" s="8" t="s">
        <v>54</v>
      </c>
      <c r="S1224" s="8" t="s">
        <v>54</v>
      </c>
      <c r="T1224" s="8" t="s">
        <v>54</v>
      </c>
      <c r="U1224" s="10" t="s">
        <v>67</v>
      </c>
      <c r="V1224" s="8" t="s">
        <v>54</v>
      </c>
      <c r="W1224" s="8" t="s">
        <v>54</v>
      </c>
      <c r="X1224" s="8" t="s">
        <v>54</v>
      </c>
      <c r="Y1224" s="8" t="s">
        <v>54</v>
      </c>
      <c r="Z1224" s="8" t="s">
        <v>54</v>
      </c>
      <c r="AA1224" s="8" t="s">
        <v>54</v>
      </c>
      <c r="AB1224" s="10" t="s">
        <v>67</v>
      </c>
      <c r="AC1224" s="8" t="s">
        <v>54</v>
      </c>
      <c r="AD1224" s="8" t="s">
        <v>54</v>
      </c>
      <c r="AE1224" s="8" t="s">
        <v>54</v>
      </c>
      <c r="AF1224" s="8" t="s">
        <v>54</v>
      </c>
      <c r="AG1224" s="8" t="s">
        <v>54</v>
      </c>
      <c r="AH1224" s="8" t="s">
        <v>54</v>
      </c>
      <c r="AI1224" s="10" t="s">
        <v>67</v>
      </c>
      <c r="AJ1224" s="8">
        <f>COUNTIF($E$1224:$AI$1224,"P")</f>
        <v>25</v>
      </c>
      <c r="AK1224" s="8">
        <f>COUNTIF($E$1224:$AI$1224,"A")</f>
        <v>1</v>
      </c>
      <c r="AL1224" s="8">
        <f>SUM($E$1225:$AI$1225)</f>
        <v>46</v>
      </c>
      <c r="AM1224" s="8">
        <f>SUM($E$1226:$AI$1226)</f>
        <v>43</v>
      </c>
      <c r="AN1224" s="8">
        <f>AL1224+AM1224</f>
        <v>89</v>
      </c>
      <c r="AO1224" s="8">
        <f>COUNTIF($E$1224:$AI$1224,"CL")</f>
        <v>0</v>
      </c>
      <c r="AP1224" s="8">
        <f>COUNTIF($E$1224:$AI$1224,"SL")</f>
        <v>0</v>
      </c>
      <c r="AQ1224" s="8">
        <f>COUNTIF($E$1224:$AI$1224,"EL")</f>
        <v>0</v>
      </c>
      <c r="AR1224" s="8">
        <f>COUNTIF($E$1224:$AI$1224,"H")</f>
        <v>0</v>
      </c>
      <c r="AS1224" s="8"/>
      <c r="AT1224" s="11" t="s">
        <v>250</v>
      </c>
    </row>
    <row r="1225" spans="1:46" ht="15.1" customHeight="1">
      <c r="A1225" s="8"/>
      <c r="B1225" s="9"/>
      <c r="C1225" s="8"/>
      <c r="D1225" s="9"/>
      <c r="E1225" s="8">
        <v>0</v>
      </c>
      <c r="F1225" s="8">
        <v>0</v>
      </c>
      <c r="G1225" s="8">
        <v>0</v>
      </c>
      <c r="H1225" s="8">
        <v>0</v>
      </c>
      <c r="I1225" s="8">
        <v>2</v>
      </c>
      <c r="J1225" s="8">
        <v>2</v>
      </c>
      <c r="K1225" s="8">
        <v>2</v>
      </c>
      <c r="L1225" s="8">
        <v>2</v>
      </c>
      <c r="M1225" s="8">
        <v>2</v>
      </c>
      <c r="N1225" s="8">
        <v>0</v>
      </c>
      <c r="O1225" s="8">
        <v>2</v>
      </c>
      <c r="P1225" s="8">
        <v>2</v>
      </c>
      <c r="Q1225" s="8">
        <v>2</v>
      </c>
      <c r="R1225" s="8">
        <v>2</v>
      </c>
      <c r="S1225" s="8">
        <v>2</v>
      </c>
      <c r="T1225" s="8">
        <v>2</v>
      </c>
      <c r="U1225" s="8">
        <v>0</v>
      </c>
      <c r="V1225" s="8">
        <v>2</v>
      </c>
      <c r="W1225" s="8">
        <v>2</v>
      </c>
      <c r="X1225" s="8">
        <v>2</v>
      </c>
      <c r="Y1225" s="8">
        <v>2</v>
      </c>
      <c r="Z1225" s="8">
        <v>2</v>
      </c>
      <c r="AA1225" s="8">
        <v>2</v>
      </c>
      <c r="AB1225" s="8">
        <v>0</v>
      </c>
      <c r="AC1225" s="8">
        <v>2</v>
      </c>
      <c r="AD1225" s="8">
        <v>2</v>
      </c>
      <c r="AE1225" s="8">
        <v>2</v>
      </c>
      <c r="AF1225" s="8">
        <v>2</v>
      </c>
      <c r="AG1225" s="8">
        <v>2</v>
      </c>
      <c r="AH1225" s="8">
        <v>2</v>
      </c>
      <c r="AI1225" s="8">
        <v>0</v>
      </c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11" t="s">
        <v>250</v>
      </c>
    </row>
    <row r="1226" spans="1:46" ht="15.1" customHeight="1">
      <c r="A1226" s="8"/>
      <c r="B1226" s="9"/>
      <c r="C1226" s="8"/>
      <c r="D1226" s="9"/>
      <c r="E1226" s="8">
        <v>0</v>
      </c>
      <c r="F1226" s="8">
        <v>0</v>
      </c>
      <c r="G1226" s="8">
        <v>9</v>
      </c>
      <c r="H1226" s="8">
        <v>0</v>
      </c>
      <c r="I1226" s="8">
        <v>1</v>
      </c>
      <c r="J1226" s="8">
        <v>1</v>
      </c>
      <c r="K1226" s="8">
        <v>1</v>
      </c>
      <c r="L1226" s="8">
        <v>1</v>
      </c>
      <c r="M1226" s="8">
        <v>1</v>
      </c>
      <c r="N1226" s="8">
        <v>11</v>
      </c>
      <c r="O1226" s="8">
        <v>1</v>
      </c>
      <c r="P1226" s="8">
        <v>1</v>
      </c>
      <c r="Q1226" s="8">
        <v>1</v>
      </c>
      <c r="R1226" s="8">
        <v>1</v>
      </c>
      <c r="S1226" s="8">
        <v>1</v>
      </c>
      <c r="T1226" s="8">
        <v>1</v>
      </c>
      <c r="U1226" s="8">
        <v>0</v>
      </c>
      <c r="V1226" s="8">
        <v>1</v>
      </c>
      <c r="W1226" s="8">
        <v>1</v>
      </c>
      <c r="X1226" s="8">
        <v>1</v>
      </c>
      <c r="Y1226" s="8">
        <v>1</v>
      </c>
      <c r="Z1226" s="8">
        <v>1</v>
      </c>
      <c r="AA1226" s="8">
        <v>1</v>
      </c>
      <c r="AB1226" s="8">
        <v>0</v>
      </c>
      <c r="AC1226" s="8">
        <v>1</v>
      </c>
      <c r="AD1226" s="8">
        <v>1</v>
      </c>
      <c r="AE1226" s="8">
        <v>1</v>
      </c>
      <c r="AF1226" s="8">
        <v>1</v>
      </c>
      <c r="AG1226" s="8">
        <v>1</v>
      </c>
      <c r="AH1226" s="8">
        <v>1</v>
      </c>
      <c r="AI1226" s="8">
        <v>0</v>
      </c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11" t="s">
        <v>250</v>
      </c>
    </row>
    <row r="1227" spans="1:46" ht="15.1" customHeight="1">
      <c r="A1227" s="8">
        <v>408</v>
      </c>
      <c r="B1227" s="9" t="s">
        <v>1072</v>
      </c>
      <c r="C1227" s="8" t="s">
        <v>1073</v>
      </c>
      <c r="D1227" s="9" t="s">
        <v>451</v>
      </c>
      <c r="E1227" s="8" t="s">
        <v>54</v>
      </c>
      <c r="F1227" s="8" t="s">
        <v>54</v>
      </c>
      <c r="G1227" s="10" t="s">
        <v>67</v>
      </c>
      <c r="H1227" s="8" t="s">
        <v>54</v>
      </c>
      <c r="I1227" s="8" t="s">
        <v>54</v>
      </c>
      <c r="J1227" s="8" t="s">
        <v>54</v>
      </c>
      <c r="K1227" s="8" t="s">
        <v>54</v>
      </c>
      <c r="L1227" s="8" t="s">
        <v>54</v>
      </c>
      <c r="M1227" s="8" t="s">
        <v>54</v>
      </c>
      <c r="N1227" s="10" t="s">
        <v>67</v>
      </c>
      <c r="O1227" s="8" t="s">
        <v>54</v>
      </c>
      <c r="P1227" s="8" t="s">
        <v>54</v>
      </c>
      <c r="Q1227" s="8" t="s">
        <v>54</v>
      </c>
      <c r="R1227" s="8" t="s">
        <v>54</v>
      </c>
      <c r="S1227" s="8" t="s">
        <v>54</v>
      </c>
      <c r="T1227" s="8" t="s">
        <v>54</v>
      </c>
      <c r="U1227" s="10" t="s">
        <v>67</v>
      </c>
      <c r="V1227" s="8" t="s">
        <v>54</v>
      </c>
      <c r="W1227" s="8" t="s">
        <v>54</v>
      </c>
      <c r="X1227" s="8" t="s">
        <v>54</v>
      </c>
      <c r="Y1227" s="8" t="s">
        <v>54</v>
      </c>
      <c r="Z1227" s="8" t="s">
        <v>54</v>
      </c>
      <c r="AA1227" s="8" t="s">
        <v>54</v>
      </c>
      <c r="AB1227" s="10" t="s">
        <v>67</v>
      </c>
      <c r="AC1227" s="8" t="s">
        <v>54</v>
      </c>
      <c r="AD1227" s="8" t="s">
        <v>54</v>
      </c>
      <c r="AE1227" s="8" t="s">
        <v>54</v>
      </c>
      <c r="AF1227" s="8" t="s">
        <v>54</v>
      </c>
      <c r="AG1227" s="8" t="s">
        <v>54</v>
      </c>
      <c r="AH1227" s="8" t="s">
        <v>54</v>
      </c>
      <c r="AI1227" s="10" t="s">
        <v>67</v>
      </c>
      <c r="AJ1227" s="8">
        <f>COUNTIF($E$1227:$AI$1227,"P")</f>
        <v>26</v>
      </c>
      <c r="AK1227" s="8">
        <f>COUNTIF($E$1227:$AI$1227,"A")</f>
        <v>0</v>
      </c>
      <c r="AL1227" s="8">
        <f>SUM($E$1228:$AI$1228)</f>
        <v>46</v>
      </c>
      <c r="AM1227" s="8">
        <f>SUM($E$1229:$AI$1229)</f>
        <v>23</v>
      </c>
      <c r="AN1227" s="8">
        <f>AL1227+AM1227</f>
        <v>69</v>
      </c>
      <c r="AO1227" s="8">
        <f>COUNTIF($E$1227:$AI$1227,"CL")</f>
        <v>0</v>
      </c>
      <c r="AP1227" s="8">
        <f>COUNTIF($E$1227:$AI$1227,"SL")</f>
        <v>0</v>
      </c>
      <c r="AQ1227" s="8">
        <f>COUNTIF($E$1227:$AI$1227,"EL")</f>
        <v>0</v>
      </c>
      <c r="AR1227" s="8">
        <f>COUNTIF($E$1227:$AI$1227,"H")</f>
        <v>0</v>
      </c>
      <c r="AS1227" s="8"/>
      <c r="AT1227" s="11" t="s">
        <v>250</v>
      </c>
    </row>
    <row r="1228" spans="1:46" ht="15.1" customHeight="1">
      <c r="A1228" s="8"/>
      <c r="B1228" s="9"/>
      <c r="C1228" s="8"/>
      <c r="D1228" s="9"/>
      <c r="E1228" s="8">
        <v>0</v>
      </c>
      <c r="F1228" s="8">
        <v>0</v>
      </c>
      <c r="G1228" s="8">
        <v>0</v>
      </c>
      <c r="H1228" s="8">
        <v>0</v>
      </c>
      <c r="I1228" s="8">
        <v>2</v>
      </c>
      <c r="J1228" s="8">
        <v>2</v>
      </c>
      <c r="K1228" s="8">
        <v>2</v>
      </c>
      <c r="L1228" s="8">
        <v>2</v>
      </c>
      <c r="M1228" s="8">
        <v>2</v>
      </c>
      <c r="N1228" s="8">
        <v>0</v>
      </c>
      <c r="O1228" s="8">
        <v>2</v>
      </c>
      <c r="P1228" s="8">
        <v>2</v>
      </c>
      <c r="Q1228" s="8">
        <v>2</v>
      </c>
      <c r="R1228" s="8">
        <v>2</v>
      </c>
      <c r="S1228" s="8">
        <v>2</v>
      </c>
      <c r="T1228" s="8">
        <v>2</v>
      </c>
      <c r="U1228" s="8">
        <v>0</v>
      </c>
      <c r="V1228" s="8">
        <v>2</v>
      </c>
      <c r="W1228" s="8">
        <v>2</v>
      </c>
      <c r="X1228" s="8">
        <v>2</v>
      </c>
      <c r="Y1228" s="8">
        <v>2</v>
      </c>
      <c r="Z1228" s="8">
        <v>2</v>
      </c>
      <c r="AA1228" s="8">
        <v>2</v>
      </c>
      <c r="AB1228" s="8">
        <v>0</v>
      </c>
      <c r="AC1228" s="8">
        <v>2</v>
      </c>
      <c r="AD1228" s="8">
        <v>2</v>
      </c>
      <c r="AE1228" s="8">
        <v>2</v>
      </c>
      <c r="AF1228" s="8">
        <v>2</v>
      </c>
      <c r="AG1228" s="8">
        <v>2</v>
      </c>
      <c r="AH1228" s="8">
        <v>2</v>
      </c>
      <c r="AI1228" s="8">
        <v>0</v>
      </c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11" t="s">
        <v>250</v>
      </c>
    </row>
    <row r="1229" spans="1:46" ht="15.1" customHeight="1">
      <c r="A1229" s="8"/>
      <c r="B1229" s="9"/>
      <c r="C1229" s="8"/>
      <c r="D1229" s="9"/>
      <c r="E1229" s="8">
        <v>0</v>
      </c>
      <c r="F1229" s="8">
        <v>0</v>
      </c>
      <c r="G1229" s="8">
        <v>0</v>
      </c>
      <c r="H1229" s="8">
        <v>0</v>
      </c>
      <c r="I1229" s="8">
        <v>1</v>
      </c>
      <c r="J1229" s="8">
        <v>1</v>
      </c>
      <c r="K1229" s="8">
        <v>1</v>
      </c>
      <c r="L1229" s="8">
        <v>1</v>
      </c>
      <c r="M1229" s="8">
        <v>1</v>
      </c>
      <c r="N1229" s="8">
        <v>0</v>
      </c>
      <c r="O1229" s="8">
        <v>1</v>
      </c>
      <c r="P1229" s="8">
        <v>1</v>
      </c>
      <c r="Q1229" s="8">
        <v>1</v>
      </c>
      <c r="R1229" s="8">
        <v>1</v>
      </c>
      <c r="S1229" s="8">
        <v>1</v>
      </c>
      <c r="T1229" s="8">
        <v>1</v>
      </c>
      <c r="U1229" s="8">
        <v>0</v>
      </c>
      <c r="V1229" s="8">
        <v>1</v>
      </c>
      <c r="W1229" s="8">
        <v>1</v>
      </c>
      <c r="X1229" s="8">
        <v>1</v>
      </c>
      <c r="Y1229" s="8">
        <v>1</v>
      </c>
      <c r="Z1229" s="8">
        <v>1</v>
      </c>
      <c r="AA1229" s="8">
        <v>1</v>
      </c>
      <c r="AB1229" s="8">
        <v>0</v>
      </c>
      <c r="AC1229" s="8">
        <v>1</v>
      </c>
      <c r="AD1229" s="8">
        <v>1</v>
      </c>
      <c r="AE1229" s="8">
        <v>1</v>
      </c>
      <c r="AF1229" s="8">
        <v>1</v>
      </c>
      <c r="AG1229" s="8">
        <v>1</v>
      </c>
      <c r="AH1229" s="8">
        <v>1</v>
      </c>
      <c r="AI1229" s="8">
        <v>0</v>
      </c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11" t="s">
        <v>250</v>
      </c>
    </row>
    <row r="1230" spans="1:46" ht="15.1" customHeight="1">
      <c r="A1230" s="8">
        <v>409</v>
      </c>
      <c r="B1230" s="9" t="s">
        <v>1074</v>
      </c>
      <c r="C1230" s="8" t="s">
        <v>1075</v>
      </c>
      <c r="D1230" s="9" t="s">
        <v>451</v>
      </c>
      <c r="E1230" s="8" t="s">
        <v>54</v>
      </c>
      <c r="F1230" s="8" t="s">
        <v>54</v>
      </c>
      <c r="G1230" s="10" t="s">
        <v>67</v>
      </c>
      <c r="H1230" s="8" t="s">
        <v>54</v>
      </c>
      <c r="I1230" s="8" t="s">
        <v>54</v>
      </c>
      <c r="J1230" s="8" t="s">
        <v>54</v>
      </c>
      <c r="K1230" s="8" t="s">
        <v>54</v>
      </c>
      <c r="L1230" s="8" t="s">
        <v>54</v>
      </c>
      <c r="M1230" s="8" t="s">
        <v>54</v>
      </c>
      <c r="N1230" s="10" t="s">
        <v>67</v>
      </c>
      <c r="O1230" s="8" t="s">
        <v>54</v>
      </c>
      <c r="P1230" s="8" t="s">
        <v>54</v>
      </c>
      <c r="Q1230" s="8" t="s">
        <v>54</v>
      </c>
      <c r="R1230" s="8" t="s">
        <v>54</v>
      </c>
      <c r="S1230" s="8" t="s">
        <v>54</v>
      </c>
      <c r="T1230" s="8" t="s">
        <v>54</v>
      </c>
      <c r="U1230" s="10" t="s">
        <v>67</v>
      </c>
      <c r="V1230" s="8" t="s">
        <v>54</v>
      </c>
      <c r="W1230" s="8" t="s">
        <v>54</v>
      </c>
      <c r="X1230" s="8" t="s">
        <v>54</v>
      </c>
      <c r="Y1230" s="8" t="s">
        <v>54</v>
      </c>
      <c r="Z1230" s="8" t="s">
        <v>54</v>
      </c>
      <c r="AA1230" s="8" t="s">
        <v>54</v>
      </c>
      <c r="AB1230" s="10" t="s">
        <v>67</v>
      </c>
      <c r="AC1230" s="8" t="s">
        <v>54</v>
      </c>
      <c r="AD1230" s="8" t="s">
        <v>54</v>
      </c>
      <c r="AE1230" s="8" t="s">
        <v>54</v>
      </c>
      <c r="AF1230" s="8" t="s">
        <v>54</v>
      </c>
      <c r="AG1230" s="8" t="s">
        <v>54</v>
      </c>
      <c r="AH1230" s="8" t="s">
        <v>54</v>
      </c>
      <c r="AI1230" s="10" t="s">
        <v>67</v>
      </c>
      <c r="AJ1230" s="8">
        <f>COUNTIF($E$1230:$AI$1230,"P")</f>
        <v>26</v>
      </c>
      <c r="AK1230" s="8">
        <f>COUNTIF($E$1230:$AI$1230,"A")</f>
        <v>0</v>
      </c>
      <c r="AL1230" s="8">
        <f>SUM($E$1231:$AI$1231)</f>
        <v>46</v>
      </c>
      <c r="AM1230" s="8">
        <f>SUM($E$1232:$AI$1232)</f>
        <v>23</v>
      </c>
      <c r="AN1230" s="8">
        <f>AL1230+AM1230</f>
        <v>69</v>
      </c>
      <c r="AO1230" s="8">
        <f>COUNTIF($E$1230:$AI$1230,"CL")</f>
        <v>0</v>
      </c>
      <c r="AP1230" s="8">
        <f>COUNTIF($E$1230:$AI$1230,"SL")</f>
        <v>0</v>
      </c>
      <c r="AQ1230" s="8">
        <f>COUNTIF($E$1230:$AI$1230,"EL")</f>
        <v>0</v>
      </c>
      <c r="AR1230" s="8">
        <f>COUNTIF($E$1230:$AI$1230,"H")</f>
        <v>0</v>
      </c>
      <c r="AS1230" s="8"/>
      <c r="AT1230" s="11" t="s">
        <v>250</v>
      </c>
    </row>
    <row r="1231" spans="1:46" ht="15.1" customHeight="1">
      <c r="A1231" s="8"/>
      <c r="B1231" s="9"/>
      <c r="C1231" s="8"/>
      <c r="D1231" s="9"/>
      <c r="E1231" s="8">
        <v>0</v>
      </c>
      <c r="F1231" s="8">
        <v>0</v>
      </c>
      <c r="G1231" s="8">
        <v>0</v>
      </c>
      <c r="H1231" s="8">
        <v>2</v>
      </c>
      <c r="I1231" s="8">
        <v>2</v>
      </c>
      <c r="J1231" s="8">
        <v>2</v>
      </c>
      <c r="K1231" s="8">
        <v>2</v>
      </c>
      <c r="L1231" s="8">
        <v>2</v>
      </c>
      <c r="M1231" s="8">
        <v>2</v>
      </c>
      <c r="N1231" s="8">
        <v>0</v>
      </c>
      <c r="O1231" s="8">
        <v>2</v>
      </c>
      <c r="P1231" s="8">
        <v>2</v>
      </c>
      <c r="Q1231" s="8">
        <v>2</v>
      </c>
      <c r="R1231" s="8">
        <v>2</v>
      </c>
      <c r="S1231" s="8">
        <v>2</v>
      </c>
      <c r="T1231" s="8">
        <v>2</v>
      </c>
      <c r="U1231" s="8">
        <v>0</v>
      </c>
      <c r="V1231" s="8">
        <v>2</v>
      </c>
      <c r="W1231" s="8">
        <v>2</v>
      </c>
      <c r="X1231" s="8">
        <v>2</v>
      </c>
      <c r="Y1231" s="8">
        <v>2</v>
      </c>
      <c r="Z1231" s="8">
        <v>0</v>
      </c>
      <c r="AA1231" s="8">
        <v>2</v>
      </c>
      <c r="AB1231" s="8">
        <v>0</v>
      </c>
      <c r="AC1231" s="8">
        <v>2</v>
      </c>
      <c r="AD1231" s="8">
        <v>2</v>
      </c>
      <c r="AE1231" s="8">
        <v>2</v>
      </c>
      <c r="AF1231" s="8">
        <v>2</v>
      </c>
      <c r="AG1231" s="8">
        <v>2</v>
      </c>
      <c r="AH1231" s="8">
        <v>2</v>
      </c>
      <c r="AI1231" s="8">
        <v>0</v>
      </c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11" t="s">
        <v>250</v>
      </c>
    </row>
    <row r="1232" spans="1:46" ht="15.1" customHeight="1">
      <c r="A1232" s="8"/>
      <c r="B1232" s="9"/>
      <c r="C1232" s="8"/>
      <c r="D1232" s="9"/>
      <c r="E1232" s="8">
        <v>0</v>
      </c>
      <c r="F1232" s="8">
        <v>0</v>
      </c>
      <c r="G1232" s="8">
        <v>0</v>
      </c>
      <c r="H1232" s="8">
        <v>1</v>
      </c>
      <c r="I1232" s="8">
        <v>1</v>
      </c>
      <c r="J1232" s="8">
        <v>1</v>
      </c>
      <c r="K1232" s="8">
        <v>1</v>
      </c>
      <c r="L1232" s="8">
        <v>1</v>
      </c>
      <c r="M1232" s="8">
        <v>1</v>
      </c>
      <c r="N1232" s="8">
        <v>0</v>
      </c>
      <c r="O1232" s="8">
        <v>1</v>
      </c>
      <c r="P1232" s="8">
        <v>1</v>
      </c>
      <c r="Q1232" s="8">
        <v>1</v>
      </c>
      <c r="R1232" s="8">
        <v>1</v>
      </c>
      <c r="S1232" s="8">
        <v>1</v>
      </c>
      <c r="T1232" s="8">
        <v>1</v>
      </c>
      <c r="U1232" s="8">
        <v>0</v>
      </c>
      <c r="V1232" s="8">
        <v>1</v>
      </c>
      <c r="W1232" s="8">
        <v>1</v>
      </c>
      <c r="X1232" s="8">
        <v>1</v>
      </c>
      <c r="Y1232" s="8">
        <v>1</v>
      </c>
      <c r="Z1232" s="8">
        <v>0</v>
      </c>
      <c r="AA1232" s="8">
        <v>1</v>
      </c>
      <c r="AB1232" s="8">
        <v>0</v>
      </c>
      <c r="AC1232" s="8">
        <v>1</v>
      </c>
      <c r="AD1232" s="8">
        <v>1</v>
      </c>
      <c r="AE1232" s="8">
        <v>1</v>
      </c>
      <c r="AF1232" s="8">
        <v>1</v>
      </c>
      <c r="AG1232" s="8">
        <v>1</v>
      </c>
      <c r="AH1232" s="8">
        <v>1</v>
      </c>
      <c r="AI1232" s="8">
        <v>0</v>
      </c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11" t="s">
        <v>250</v>
      </c>
    </row>
    <row r="1233" spans="1:46" ht="15.1" customHeight="1">
      <c r="A1233" s="8">
        <v>410</v>
      </c>
      <c r="B1233" s="9" t="s">
        <v>1076</v>
      </c>
      <c r="C1233" s="8" t="s">
        <v>1077</v>
      </c>
      <c r="D1233" s="9" t="s">
        <v>451</v>
      </c>
      <c r="E1233" s="8" t="s">
        <v>54</v>
      </c>
      <c r="F1233" s="8" t="s">
        <v>54</v>
      </c>
      <c r="G1233" s="10" t="s">
        <v>67</v>
      </c>
      <c r="H1233" s="8" t="s">
        <v>54</v>
      </c>
      <c r="I1233" s="8" t="s">
        <v>54</v>
      </c>
      <c r="J1233" s="8" t="s">
        <v>54</v>
      </c>
      <c r="K1233" s="8" t="s">
        <v>54</v>
      </c>
      <c r="L1233" s="8" t="s">
        <v>54</v>
      </c>
      <c r="M1233" s="8" t="s">
        <v>54</v>
      </c>
      <c r="N1233" s="10" t="s">
        <v>67</v>
      </c>
      <c r="O1233" s="8" t="s">
        <v>54</v>
      </c>
      <c r="P1233" s="8" t="s">
        <v>54</v>
      </c>
      <c r="Q1233" s="8" t="s">
        <v>54</v>
      </c>
      <c r="R1233" s="8" t="s">
        <v>54</v>
      </c>
      <c r="S1233" s="8" t="s">
        <v>54</v>
      </c>
      <c r="T1233" s="8" t="s">
        <v>54</v>
      </c>
      <c r="U1233" s="10" t="s">
        <v>67</v>
      </c>
      <c r="V1233" s="8" t="s">
        <v>54</v>
      </c>
      <c r="W1233" s="8" t="s">
        <v>54</v>
      </c>
      <c r="X1233" s="8" t="s">
        <v>54</v>
      </c>
      <c r="Y1233" s="8" t="s">
        <v>54</v>
      </c>
      <c r="Z1233" s="8" t="s">
        <v>54</v>
      </c>
      <c r="AA1233" s="8" t="s">
        <v>54</v>
      </c>
      <c r="AB1233" s="10" t="s">
        <v>67</v>
      </c>
      <c r="AC1233" s="8" t="s">
        <v>54</v>
      </c>
      <c r="AD1233" s="8" t="s">
        <v>54</v>
      </c>
      <c r="AE1233" s="8" t="s">
        <v>54</v>
      </c>
      <c r="AF1233" s="8" t="s">
        <v>54</v>
      </c>
      <c r="AG1233" s="8" t="s">
        <v>54</v>
      </c>
      <c r="AH1233" s="8" t="s">
        <v>54</v>
      </c>
      <c r="AI1233" s="10" t="s">
        <v>67</v>
      </c>
      <c r="AJ1233" s="8">
        <f>COUNTIF($E$1233:$AI$1233,"P")</f>
        <v>26</v>
      </c>
      <c r="AK1233" s="8">
        <f>COUNTIF($E$1233:$AI$1233,"A")</f>
        <v>0</v>
      </c>
      <c r="AL1233" s="8">
        <f>SUM($E$1234:$AI$1234)</f>
        <v>44</v>
      </c>
      <c r="AM1233" s="8">
        <f>SUM($E$1235:$AI$1235)</f>
        <v>22</v>
      </c>
      <c r="AN1233" s="8">
        <f>AL1233+AM1233</f>
        <v>66</v>
      </c>
      <c r="AO1233" s="8">
        <f>COUNTIF($E$1233:$AI$1233,"CL")</f>
        <v>0</v>
      </c>
      <c r="AP1233" s="8">
        <f>COUNTIF($E$1233:$AI$1233,"SL")</f>
        <v>0</v>
      </c>
      <c r="AQ1233" s="8">
        <f>COUNTIF($E$1233:$AI$1233,"EL")</f>
        <v>0</v>
      </c>
      <c r="AR1233" s="8">
        <f>COUNTIF($E$1233:$AI$1233,"H")</f>
        <v>0</v>
      </c>
      <c r="AS1233" s="8"/>
      <c r="AT1233" s="11" t="s">
        <v>250</v>
      </c>
    </row>
    <row r="1234" spans="1:46" ht="15.1" customHeight="1">
      <c r="A1234" s="8"/>
      <c r="B1234" s="9"/>
      <c r="C1234" s="8"/>
      <c r="D1234" s="9"/>
      <c r="E1234" s="8">
        <v>0</v>
      </c>
      <c r="F1234" s="8">
        <v>0</v>
      </c>
      <c r="G1234" s="8">
        <v>0</v>
      </c>
      <c r="H1234" s="8">
        <v>2</v>
      </c>
      <c r="I1234" s="8">
        <v>2</v>
      </c>
      <c r="J1234" s="8">
        <v>0</v>
      </c>
      <c r="K1234" s="8">
        <v>2</v>
      </c>
      <c r="L1234" s="8">
        <v>2</v>
      </c>
      <c r="M1234" s="8">
        <v>2</v>
      </c>
      <c r="N1234" s="8">
        <v>0</v>
      </c>
      <c r="O1234" s="8">
        <v>2</v>
      </c>
      <c r="P1234" s="8">
        <v>2</v>
      </c>
      <c r="Q1234" s="8">
        <v>2</v>
      </c>
      <c r="R1234" s="8">
        <v>2</v>
      </c>
      <c r="S1234" s="8">
        <v>2</v>
      </c>
      <c r="T1234" s="8">
        <v>2</v>
      </c>
      <c r="U1234" s="8">
        <v>0</v>
      </c>
      <c r="V1234" s="8">
        <v>2</v>
      </c>
      <c r="W1234" s="8">
        <v>2</v>
      </c>
      <c r="X1234" s="8">
        <v>2</v>
      </c>
      <c r="Y1234" s="8">
        <v>2</v>
      </c>
      <c r="Z1234" s="8">
        <v>0</v>
      </c>
      <c r="AA1234" s="8">
        <v>2</v>
      </c>
      <c r="AB1234" s="8">
        <v>0</v>
      </c>
      <c r="AC1234" s="8">
        <v>2</v>
      </c>
      <c r="AD1234" s="8">
        <v>2</v>
      </c>
      <c r="AE1234" s="8">
        <v>2</v>
      </c>
      <c r="AF1234" s="8">
        <v>2</v>
      </c>
      <c r="AG1234" s="8">
        <v>2</v>
      </c>
      <c r="AH1234" s="8">
        <v>2</v>
      </c>
      <c r="AI1234" s="8">
        <v>0</v>
      </c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11" t="s">
        <v>250</v>
      </c>
    </row>
    <row r="1235" spans="1:46" ht="15.1" customHeight="1">
      <c r="A1235" s="8"/>
      <c r="B1235" s="9"/>
      <c r="C1235" s="8"/>
      <c r="D1235" s="9"/>
      <c r="E1235" s="8">
        <v>0</v>
      </c>
      <c r="F1235" s="8">
        <v>0</v>
      </c>
      <c r="G1235" s="8">
        <v>0</v>
      </c>
      <c r="H1235" s="8">
        <v>1</v>
      </c>
      <c r="I1235" s="8">
        <v>1</v>
      </c>
      <c r="J1235" s="8">
        <v>0</v>
      </c>
      <c r="K1235" s="8">
        <v>1</v>
      </c>
      <c r="L1235" s="8">
        <v>1</v>
      </c>
      <c r="M1235" s="8">
        <v>1</v>
      </c>
      <c r="N1235" s="8">
        <v>0</v>
      </c>
      <c r="O1235" s="8">
        <v>1</v>
      </c>
      <c r="P1235" s="8">
        <v>1</v>
      </c>
      <c r="Q1235" s="8">
        <v>1</v>
      </c>
      <c r="R1235" s="8">
        <v>1</v>
      </c>
      <c r="S1235" s="8">
        <v>1</v>
      </c>
      <c r="T1235" s="8">
        <v>1</v>
      </c>
      <c r="U1235" s="8">
        <v>0</v>
      </c>
      <c r="V1235" s="8">
        <v>1</v>
      </c>
      <c r="W1235" s="8">
        <v>1</v>
      </c>
      <c r="X1235" s="8">
        <v>1</v>
      </c>
      <c r="Y1235" s="8">
        <v>1</v>
      </c>
      <c r="Z1235" s="8">
        <v>0</v>
      </c>
      <c r="AA1235" s="8">
        <v>1</v>
      </c>
      <c r="AB1235" s="8">
        <v>0</v>
      </c>
      <c r="AC1235" s="8">
        <v>1</v>
      </c>
      <c r="AD1235" s="8">
        <v>1</v>
      </c>
      <c r="AE1235" s="8">
        <v>1</v>
      </c>
      <c r="AF1235" s="8">
        <v>1</v>
      </c>
      <c r="AG1235" s="8">
        <v>1</v>
      </c>
      <c r="AH1235" s="8">
        <v>1</v>
      </c>
      <c r="AI1235" s="8">
        <v>0</v>
      </c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11" t="s">
        <v>250</v>
      </c>
    </row>
    <row r="1236" spans="1:46" ht="15.1" customHeight="1">
      <c r="A1236" s="8">
        <v>411</v>
      </c>
      <c r="B1236" s="9" t="s">
        <v>1078</v>
      </c>
      <c r="C1236" s="8" t="s">
        <v>1079</v>
      </c>
      <c r="D1236" s="9" t="s">
        <v>451</v>
      </c>
      <c r="E1236" s="8" t="s">
        <v>54</v>
      </c>
      <c r="F1236" s="8" t="s">
        <v>54</v>
      </c>
      <c r="G1236" s="10" t="s">
        <v>67</v>
      </c>
      <c r="H1236" s="8" t="s">
        <v>54</v>
      </c>
      <c r="I1236" s="8" t="s">
        <v>54</v>
      </c>
      <c r="J1236" s="8" t="s">
        <v>54</v>
      </c>
      <c r="K1236" s="8" t="s">
        <v>54</v>
      </c>
      <c r="L1236" s="8" t="s">
        <v>54</v>
      </c>
      <c r="M1236" s="8" t="s">
        <v>54</v>
      </c>
      <c r="N1236" s="10" t="s">
        <v>67</v>
      </c>
      <c r="O1236" s="8" t="s">
        <v>54</v>
      </c>
      <c r="P1236" s="8" t="s">
        <v>54</v>
      </c>
      <c r="Q1236" s="8" t="s">
        <v>54</v>
      </c>
      <c r="R1236" s="8" t="s">
        <v>54</v>
      </c>
      <c r="S1236" s="8" t="s">
        <v>54</v>
      </c>
      <c r="T1236" s="8" t="s">
        <v>54</v>
      </c>
      <c r="U1236" s="10" t="s">
        <v>67</v>
      </c>
      <c r="V1236" s="8" t="s">
        <v>54</v>
      </c>
      <c r="W1236" s="8" t="s">
        <v>54</v>
      </c>
      <c r="X1236" s="8" t="s">
        <v>54</v>
      </c>
      <c r="Y1236" s="8" t="s">
        <v>54</v>
      </c>
      <c r="Z1236" s="8" t="s">
        <v>54</v>
      </c>
      <c r="AA1236" s="8" t="s">
        <v>54</v>
      </c>
      <c r="AB1236" s="10" t="s">
        <v>67</v>
      </c>
      <c r="AC1236" s="8" t="s">
        <v>54</v>
      </c>
      <c r="AD1236" s="8" t="s">
        <v>54</v>
      </c>
      <c r="AE1236" s="8" t="s">
        <v>54</v>
      </c>
      <c r="AF1236" s="8" t="s">
        <v>54</v>
      </c>
      <c r="AG1236" s="8" t="s">
        <v>54</v>
      </c>
      <c r="AH1236" s="8" t="s">
        <v>54</v>
      </c>
      <c r="AI1236" s="10" t="s">
        <v>67</v>
      </c>
      <c r="AJ1236" s="8">
        <f>COUNTIF($E$1236:$AI$1236,"P")</f>
        <v>26</v>
      </c>
      <c r="AK1236" s="8">
        <f>COUNTIF($E$1236:$AI$1236,"A")</f>
        <v>0</v>
      </c>
      <c r="AL1236" s="8">
        <f>SUM($E$1237:$AI$1237)</f>
        <v>44</v>
      </c>
      <c r="AM1236" s="8">
        <f>SUM($E$1238:$AI$1238)</f>
        <v>21</v>
      </c>
      <c r="AN1236" s="8">
        <f>AL1236+AM1236</f>
        <v>65</v>
      </c>
      <c r="AO1236" s="8">
        <f>COUNTIF($E$1236:$AI$1236,"CL")</f>
        <v>0</v>
      </c>
      <c r="AP1236" s="8">
        <f>COUNTIF($E$1236:$AI$1236,"SL")</f>
        <v>0</v>
      </c>
      <c r="AQ1236" s="8">
        <f>COUNTIF($E$1236:$AI$1236,"EL")</f>
        <v>0</v>
      </c>
      <c r="AR1236" s="8">
        <f>COUNTIF($E$1236:$AI$1236,"H")</f>
        <v>0</v>
      </c>
      <c r="AS1236" s="8"/>
      <c r="AT1236" s="11" t="s">
        <v>250</v>
      </c>
    </row>
    <row r="1237" spans="1:46" ht="15.1" customHeight="1">
      <c r="A1237" s="8"/>
      <c r="B1237" s="9"/>
      <c r="C1237" s="8"/>
      <c r="D1237" s="9"/>
      <c r="E1237" s="8">
        <v>0</v>
      </c>
      <c r="F1237" s="8">
        <v>2</v>
      </c>
      <c r="G1237" s="8">
        <v>0</v>
      </c>
      <c r="H1237" s="8">
        <v>2</v>
      </c>
      <c r="I1237" s="8">
        <v>0</v>
      </c>
      <c r="J1237" s="8">
        <v>0</v>
      </c>
      <c r="K1237" s="8">
        <v>2</v>
      </c>
      <c r="L1237" s="8">
        <v>2</v>
      </c>
      <c r="M1237" s="8">
        <v>2</v>
      </c>
      <c r="N1237" s="8">
        <v>0</v>
      </c>
      <c r="O1237" s="8">
        <v>2</v>
      </c>
      <c r="P1237" s="8">
        <v>2</v>
      </c>
      <c r="Q1237" s="8">
        <v>2</v>
      </c>
      <c r="R1237" s="8">
        <v>2</v>
      </c>
      <c r="S1237" s="8">
        <v>2</v>
      </c>
      <c r="T1237" s="8">
        <v>2</v>
      </c>
      <c r="U1237" s="8">
        <v>0</v>
      </c>
      <c r="V1237" s="8">
        <v>2</v>
      </c>
      <c r="W1237" s="8">
        <v>2</v>
      </c>
      <c r="X1237" s="8">
        <v>2</v>
      </c>
      <c r="Y1237" s="8">
        <v>2</v>
      </c>
      <c r="Z1237" s="8">
        <v>0</v>
      </c>
      <c r="AA1237" s="8">
        <v>2</v>
      </c>
      <c r="AB1237" s="8">
        <v>0</v>
      </c>
      <c r="AC1237" s="8">
        <v>2</v>
      </c>
      <c r="AD1237" s="8">
        <v>2</v>
      </c>
      <c r="AE1237" s="8">
        <v>2</v>
      </c>
      <c r="AF1237" s="8">
        <v>2</v>
      </c>
      <c r="AG1237" s="8">
        <v>2</v>
      </c>
      <c r="AH1237" s="8">
        <v>2</v>
      </c>
      <c r="AI1237" s="8">
        <v>0</v>
      </c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11" t="s">
        <v>250</v>
      </c>
    </row>
    <row r="1238" spans="1:46" ht="15.1" customHeight="1">
      <c r="A1238" s="8"/>
      <c r="B1238" s="9"/>
      <c r="C1238" s="8"/>
      <c r="D1238" s="9"/>
      <c r="E1238" s="8">
        <v>0</v>
      </c>
      <c r="F1238" s="8">
        <v>0</v>
      </c>
      <c r="G1238" s="8">
        <v>0</v>
      </c>
      <c r="H1238" s="8">
        <v>1</v>
      </c>
      <c r="I1238" s="8">
        <v>0</v>
      </c>
      <c r="J1238" s="8">
        <v>0</v>
      </c>
      <c r="K1238" s="8">
        <v>1</v>
      </c>
      <c r="L1238" s="8">
        <v>1</v>
      </c>
      <c r="M1238" s="8">
        <v>1</v>
      </c>
      <c r="N1238" s="8">
        <v>0</v>
      </c>
      <c r="O1238" s="8">
        <v>1</v>
      </c>
      <c r="P1238" s="8">
        <v>1</v>
      </c>
      <c r="Q1238" s="8">
        <v>1</v>
      </c>
      <c r="R1238" s="8">
        <v>1</v>
      </c>
      <c r="S1238" s="8">
        <v>1</v>
      </c>
      <c r="T1238" s="8">
        <v>1</v>
      </c>
      <c r="U1238" s="8">
        <v>0</v>
      </c>
      <c r="V1238" s="8">
        <v>1</v>
      </c>
      <c r="W1238" s="8">
        <v>1</v>
      </c>
      <c r="X1238" s="8">
        <v>1</v>
      </c>
      <c r="Y1238" s="8">
        <v>1</v>
      </c>
      <c r="Z1238" s="8">
        <v>0</v>
      </c>
      <c r="AA1238" s="8">
        <v>1</v>
      </c>
      <c r="AB1238" s="8">
        <v>0</v>
      </c>
      <c r="AC1238" s="8">
        <v>1</v>
      </c>
      <c r="AD1238" s="8">
        <v>1</v>
      </c>
      <c r="AE1238" s="8">
        <v>1</v>
      </c>
      <c r="AF1238" s="8">
        <v>1</v>
      </c>
      <c r="AG1238" s="8">
        <v>1</v>
      </c>
      <c r="AH1238" s="8">
        <v>1</v>
      </c>
      <c r="AI1238" s="8">
        <v>0</v>
      </c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11" t="s">
        <v>250</v>
      </c>
    </row>
    <row r="1239" spans="1:46" ht="15.1" customHeight="1">
      <c r="A1239" s="8">
        <v>412</v>
      </c>
      <c r="B1239" s="9" t="s">
        <v>1080</v>
      </c>
      <c r="C1239" s="8" t="s">
        <v>1081</v>
      </c>
      <c r="D1239" s="9" t="s">
        <v>451</v>
      </c>
      <c r="E1239" s="8" t="s">
        <v>54</v>
      </c>
      <c r="F1239" s="8" t="s">
        <v>54</v>
      </c>
      <c r="G1239" s="10" t="s">
        <v>67</v>
      </c>
      <c r="H1239" s="8" t="s">
        <v>54</v>
      </c>
      <c r="I1239" s="8" t="s">
        <v>54</v>
      </c>
      <c r="J1239" s="8" t="s">
        <v>54</v>
      </c>
      <c r="K1239" s="8" t="s">
        <v>54</v>
      </c>
      <c r="L1239" s="8" t="s">
        <v>54</v>
      </c>
      <c r="M1239" s="8" t="s">
        <v>54</v>
      </c>
      <c r="N1239" s="10" t="s">
        <v>67</v>
      </c>
      <c r="O1239" s="8" t="s">
        <v>54</v>
      </c>
      <c r="P1239" s="8" t="s">
        <v>54</v>
      </c>
      <c r="Q1239" s="8" t="s">
        <v>54</v>
      </c>
      <c r="R1239" s="8" t="s">
        <v>54</v>
      </c>
      <c r="S1239" s="8" t="s">
        <v>54</v>
      </c>
      <c r="T1239" s="8" t="s">
        <v>54</v>
      </c>
      <c r="U1239" s="10" t="s">
        <v>67</v>
      </c>
      <c r="V1239" s="8" t="s">
        <v>54</v>
      </c>
      <c r="W1239" s="8" t="s">
        <v>54</v>
      </c>
      <c r="X1239" s="8" t="s">
        <v>54</v>
      </c>
      <c r="Y1239" s="8" t="s">
        <v>54</v>
      </c>
      <c r="Z1239" s="8" t="s">
        <v>54</v>
      </c>
      <c r="AA1239" s="8" t="s">
        <v>54</v>
      </c>
      <c r="AB1239" s="10" t="s">
        <v>67</v>
      </c>
      <c r="AC1239" s="8" t="s">
        <v>54</v>
      </c>
      <c r="AD1239" s="8" t="s">
        <v>54</v>
      </c>
      <c r="AE1239" s="8" t="s">
        <v>54</v>
      </c>
      <c r="AF1239" s="8" t="s">
        <v>54</v>
      </c>
      <c r="AG1239" s="8" t="s">
        <v>54</v>
      </c>
      <c r="AH1239" s="8" t="s">
        <v>54</v>
      </c>
      <c r="AI1239" s="10" t="s">
        <v>67</v>
      </c>
      <c r="AJ1239" s="8">
        <f>COUNTIF($E$1239:$AI$1239,"P")</f>
        <v>26</v>
      </c>
      <c r="AK1239" s="8">
        <f>COUNTIF($E$1239:$AI$1239,"A")</f>
        <v>0</v>
      </c>
      <c r="AL1239" s="8">
        <f>SUM($E$1240:$AI$1240)</f>
        <v>46</v>
      </c>
      <c r="AM1239" s="8">
        <f>SUM($E$1241:$AI$1241)</f>
        <v>23</v>
      </c>
      <c r="AN1239" s="8">
        <f>AL1239+AM1239</f>
        <v>69</v>
      </c>
      <c r="AO1239" s="8">
        <f>COUNTIF($E$1239:$AI$1239,"CL")</f>
        <v>0</v>
      </c>
      <c r="AP1239" s="8">
        <f>COUNTIF($E$1239:$AI$1239,"SL")</f>
        <v>0</v>
      </c>
      <c r="AQ1239" s="8">
        <f>COUNTIF($E$1239:$AI$1239,"EL")</f>
        <v>0</v>
      </c>
      <c r="AR1239" s="8">
        <f>COUNTIF($E$1239:$AI$1239,"H")</f>
        <v>0</v>
      </c>
      <c r="AS1239" s="8"/>
      <c r="AT1239" s="11" t="s">
        <v>250</v>
      </c>
    </row>
    <row r="1240" spans="1:46" ht="15.1" customHeight="1">
      <c r="A1240" s="8"/>
      <c r="B1240" s="9"/>
      <c r="C1240" s="8"/>
      <c r="D1240" s="9"/>
      <c r="E1240" s="8">
        <v>0</v>
      </c>
      <c r="F1240" s="8">
        <v>0</v>
      </c>
      <c r="G1240" s="8">
        <v>0</v>
      </c>
      <c r="H1240" s="8">
        <v>0</v>
      </c>
      <c r="I1240" s="8">
        <v>2</v>
      </c>
      <c r="J1240" s="8">
        <v>2</v>
      </c>
      <c r="K1240" s="8">
        <v>2</v>
      </c>
      <c r="L1240" s="8">
        <v>2</v>
      </c>
      <c r="M1240" s="8">
        <v>2</v>
      </c>
      <c r="N1240" s="8">
        <v>0</v>
      </c>
      <c r="O1240" s="8">
        <v>2</v>
      </c>
      <c r="P1240" s="8">
        <v>2</v>
      </c>
      <c r="Q1240" s="8">
        <v>2</v>
      </c>
      <c r="R1240" s="8">
        <v>2</v>
      </c>
      <c r="S1240" s="8">
        <v>2</v>
      </c>
      <c r="T1240" s="8">
        <v>2</v>
      </c>
      <c r="U1240" s="8">
        <v>0</v>
      </c>
      <c r="V1240" s="8">
        <v>2</v>
      </c>
      <c r="W1240" s="8">
        <v>2</v>
      </c>
      <c r="X1240" s="8">
        <v>2</v>
      </c>
      <c r="Y1240" s="8">
        <v>2</v>
      </c>
      <c r="Z1240" s="8">
        <v>2</v>
      </c>
      <c r="AA1240" s="8">
        <v>2</v>
      </c>
      <c r="AB1240" s="8">
        <v>0</v>
      </c>
      <c r="AC1240" s="8">
        <v>2</v>
      </c>
      <c r="AD1240" s="8">
        <v>2</v>
      </c>
      <c r="AE1240" s="8">
        <v>2</v>
      </c>
      <c r="AF1240" s="8">
        <v>2</v>
      </c>
      <c r="AG1240" s="8">
        <v>2</v>
      </c>
      <c r="AH1240" s="8">
        <v>2</v>
      </c>
      <c r="AI1240" s="8">
        <v>0</v>
      </c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11" t="s">
        <v>250</v>
      </c>
    </row>
    <row r="1241" spans="1:46" ht="15.1" customHeight="1">
      <c r="A1241" s="8"/>
      <c r="B1241" s="9"/>
      <c r="C1241" s="8"/>
      <c r="D1241" s="9"/>
      <c r="E1241" s="8">
        <v>0</v>
      </c>
      <c r="F1241" s="8">
        <v>0</v>
      </c>
      <c r="G1241" s="8">
        <v>0</v>
      </c>
      <c r="H1241" s="8">
        <v>0</v>
      </c>
      <c r="I1241" s="8">
        <v>1</v>
      </c>
      <c r="J1241" s="8">
        <v>1</v>
      </c>
      <c r="K1241" s="8">
        <v>1</v>
      </c>
      <c r="L1241" s="8">
        <v>1</v>
      </c>
      <c r="M1241" s="8">
        <v>1</v>
      </c>
      <c r="N1241" s="8">
        <v>0</v>
      </c>
      <c r="O1241" s="8">
        <v>1</v>
      </c>
      <c r="P1241" s="8">
        <v>1</v>
      </c>
      <c r="Q1241" s="8">
        <v>1</v>
      </c>
      <c r="R1241" s="8">
        <v>1</v>
      </c>
      <c r="S1241" s="8">
        <v>1</v>
      </c>
      <c r="T1241" s="8">
        <v>1</v>
      </c>
      <c r="U1241" s="8">
        <v>0</v>
      </c>
      <c r="V1241" s="8">
        <v>1</v>
      </c>
      <c r="W1241" s="8">
        <v>1</v>
      </c>
      <c r="X1241" s="8">
        <v>1</v>
      </c>
      <c r="Y1241" s="8">
        <v>1</v>
      </c>
      <c r="Z1241" s="8">
        <v>1</v>
      </c>
      <c r="AA1241" s="8">
        <v>1</v>
      </c>
      <c r="AB1241" s="8">
        <v>0</v>
      </c>
      <c r="AC1241" s="8">
        <v>1</v>
      </c>
      <c r="AD1241" s="8">
        <v>1</v>
      </c>
      <c r="AE1241" s="8">
        <v>1</v>
      </c>
      <c r="AF1241" s="8">
        <v>1</v>
      </c>
      <c r="AG1241" s="8">
        <v>1</v>
      </c>
      <c r="AH1241" s="8">
        <v>1</v>
      </c>
      <c r="AI1241" s="8">
        <v>0</v>
      </c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11" t="s">
        <v>250</v>
      </c>
    </row>
    <row r="1242" spans="1:46" ht="15.1" customHeight="1">
      <c r="A1242" s="8">
        <v>413</v>
      </c>
      <c r="B1242" s="9" t="s">
        <v>1082</v>
      </c>
      <c r="C1242" s="8" t="s">
        <v>1083</v>
      </c>
      <c r="D1242" s="9" t="s">
        <v>451</v>
      </c>
      <c r="E1242" s="8" t="s">
        <v>54</v>
      </c>
      <c r="F1242" s="8" t="s">
        <v>54</v>
      </c>
      <c r="G1242" s="10" t="s">
        <v>67</v>
      </c>
      <c r="H1242" s="8" t="s">
        <v>54</v>
      </c>
      <c r="I1242" s="8" t="s">
        <v>54</v>
      </c>
      <c r="J1242" s="8" t="s">
        <v>54</v>
      </c>
      <c r="K1242" s="8" t="s">
        <v>54</v>
      </c>
      <c r="L1242" s="8" t="s">
        <v>54</v>
      </c>
      <c r="M1242" s="8" t="s">
        <v>54</v>
      </c>
      <c r="N1242" s="10" t="s">
        <v>67</v>
      </c>
      <c r="O1242" s="12" t="s">
        <v>55</v>
      </c>
      <c r="P1242" s="12" t="s">
        <v>55</v>
      </c>
      <c r="Q1242" s="12" t="s">
        <v>55</v>
      </c>
      <c r="R1242" s="8" t="s">
        <v>54</v>
      </c>
      <c r="S1242" s="8" t="s">
        <v>54</v>
      </c>
      <c r="T1242" s="8" t="s">
        <v>54</v>
      </c>
      <c r="U1242" s="10" t="s">
        <v>67</v>
      </c>
      <c r="V1242" s="8" t="s">
        <v>54</v>
      </c>
      <c r="W1242" s="8" t="s">
        <v>54</v>
      </c>
      <c r="X1242" s="8" t="s">
        <v>54</v>
      </c>
      <c r="Y1242" s="8" t="s">
        <v>54</v>
      </c>
      <c r="Z1242" s="8" t="s">
        <v>54</v>
      </c>
      <c r="AA1242" s="8" t="s">
        <v>54</v>
      </c>
      <c r="AB1242" s="10" t="s">
        <v>67</v>
      </c>
      <c r="AC1242" s="8" t="s">
        <v>54</v>
      </c>
      <c r="AD1242" s="8" t="s">
        <v>54</v>
      </c>
      <c r="AE1242" s="8" t="s">
        <v>54</v>
      </c>
      <c r="AF1242" s="8" t="s">
        <v>54</v>
      </c>
      <c r="AG1242" s="8" t="s">
        <v>54</v>
      </c>
      <c r="AH1242" s="8" t="s">
        <v>54</v>
      </c>
      <c r="AI1242" s="10" t="s">
        <v>67</v>
      </c>
      <c r="AJ1242" s="8">
        <f>COUNTIF($E$1242:$AI$1242,"P")</f>
        <v>23</v>
      </c>
      <c r="AK1242" s="8">
        <f>COUNTIF($E$1242:$AI$1242,"A")</f>
        <v>3</v>
      </c>
      <c r="AL1242" s="8">
        <f>SUM($E$1243:$AI$1243)</f>
        <v>32</v>
      </c>
      <c r="AM1242" s="8">
        <f>SUM($E$1244:$AI$1244)</f>
        <v>16</v>
      </c>
      <c r="AN1242" s="8">
        <f>AL1242+AM1242</f>
        <v>48</v>
      </c>
      <c r="AO1242" s="8">
        <f>COUNTIF($E$1242:$AI$1242,"CL")</f>
        <v>0</v>
      </c>
      <c r="AP1242" s="8">
        <f>COUNTIF($E$1242:$AI$1242,"SL")</f>
        <v>0</v>
      </c>
      <c r="AQ1242" s="8">
        <f>COUNTIF($E$1242:$AI$1242,"EL")</f>
        <v>0</v>
      </c>
      <c r="AR1242" s="8">
        <f>COUNTIF($E$1242:$AI$1242,"H")</f>
        <v>0</v>
      </c>
      <c r="AS1242" s="8"/>
      <c r="AT1242" s="11" t="s">
        <v>250</v>
      </c>
    </row>
    <row r="1243" spans="1:46" ht="15.1" customHeight="1">
      <c r="A1243" s="8"/>
      <c r="B1243" s="9"/>
      <c r="C1243" s="8"/>
      <c r="D1243" s="9"/>
      <c r="E1243" s="8">
        <v>0</v>
      </c>
      <c r="F1243" s="8">
        <v>0</v>
      </c>
      <c r="G1243" s="8">
        <v>0</v>
      </c>
      <c r="H1243" s="8">
        <v>2</v>
      </c>
      <c r="I1243" s="8">
        <v>0</v>
      </c>
      <c r="J1243" s="8">
        <v>0</v>
      </c>
      <c r="K1243" s="8">
        <v>0</v>
      </c>
      <c r="L1243" s="8">
        <v>2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2</v>
      </c>
      <c r="S1243" s="8">
        <v>2</v>
      </c>
      <c r="T1243" s="8">
        <v>2</v>
      </c>
      <c r="U1243" s="8">
        <v>0</v>
      </c>
      <c r="V1243" s="8">
        <v>2</v>
      </c>
      <c r="W1243" s="8">
        <v>2</v>
      </c>
      <c r="X1243" s="8">
        <v>2</v>
      </c>
      <c r="Y1243" s="8">
        <v>2</v>
      </c>
      <c r="Z1243" s="8">
        <v>0</v>
      </c>
      <c r="AA1243" s="8">
        <v>2</v>
      </c>
      <c r="AB1243" s="8">
        <v>0</v>
      </c>
      <c r="AC1243" s="8">
        <v>2</v>
      </c>
      <c r="AD1243" s="8">
        <v>2</v>
      </c>
      <c r="AE1243" s="8">
        <v>2</v>
      </c>
      <c r="AF1243" s="8">
        <v>2</v>
      </c>
      <c r="AG1243" s="8">
        <v>2</v>
      </c>
      <c r="AH1243" s="8">
        <v>2</v>
      </c>
      <c r="AI1243" s="8">
        <v>0</v>
      </c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11" t="s">
        <v>250</v>
      </c>
    </row>
    <row r="1244" spans="1:46" ht="15.1" customHeight="1">
      <c r="A1244" s="8"/>
      <c r="B1244" s="9"/>
      <c r="C1244" s="8"/>
      <c r="D1244" s="9"/>
      <c r="E1244" s="8">
        <v>0</v>
      </c>
      <c r="F1244" s="8">
        <v>0</v>
      </c>
      <c r="G1244" s="8">
        <v>0</v>
      </c>
      <c r="H1244" s="8">
        <v>1</v>
      </c>
      <c r="I1244" s="8">
        <v>0</v>
      </c>
      <c r="J1244" s="8">
        <v>0</v>
      </c>
      <c r="K1244" s="8">
        <v>0</v>
      </c>
      <c r="L1244" s="8">
        <v>1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1</v>
      </c>
      <c r="S1244" s="8">
        <v>1</v>
      </c>
      <c r="T1244" s="8">
        <v>1</v>
      </c>
      <c r="U1244" s="8">
        <v>0</v>
      </c>
      <c r="V1244" s="8">
        <v>1</v>
      </c>
      <c r="W1244" s="8">
        <v>1</v>
      </c>
      <c r="X1244" s="8">
        <v>1</v>
      </c>
      <c r="Y1244" s="8">
        <v>1</v>
      </c>
      <c r="Z1244" s="8">
        <v>0</v>
      </c>
      <c r="AA1244" s="8">
        <v>1</v>
      </c>
      <c r="AB1244" s="8">
        <v>0</v>
      </c>
      <c r="AC1244" s="8">
        <v>1</v>
      </c>
      <c r="AD1244" s="8">
        <v>1</v>
      </c>
      <c r="AE1244" s="8">
        <v>1</v>
      </c>
      <c r="AF1244" s="8">
        <v>1</v>
      </c>
      <c r="AG1244" s="8">
        <v>1</v>
      </c>
      <c r="AH1244" s="8">
        <v>1</v>
      </c>
      <c r="AI1244" s="8">
        <v>0</v>
      </c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11" t="s">
        <v>250</v>
      </c>
    </row>
    <row r="1245" spans="1:46" ht="15.1" customHeight="1">
      <c r="A1245" s="8">
        <v>414</v>
      </c>
      <c r="B1245" s="9" t="s">
        <v>1084</v>
      </c>
      <c r="C1245" s="8" t="s">
        <v>1085</v>
      </c>
      <c r="D1245" s="9" t="s">
        <v>451</v>
      </c>
      <c r="E1245" s="8" t="s">
        <v>54</v>
      </c>
      <c r="F1245" s="8" t="s">
        <v>54</v>
      </c>
      <c r="G1245" s="10" t="s">
        <v>67</v>
      </c>
      <c r="H1245" s="8" t="s">
        <v>54</v>
      </c>
      <c r="I1245" s="8" t="s">
        <v>54</v>
      </c>
      <c r="J1245" s="8" t="s">
        <v>54</v>
      </c>
      <c r="K1245" s="8" t="s">
        <v>54</v>
      </c>
      <c r="L1245" s="8" t="s">
        <v>54</v>
      </c>
      <c r="M1245" s="8" t="s">
        <v>54</v>
      </c>
      <c r="N1245" s="10" t="s">
        <v>67</v>
      </c>
      <c r="O1245" s="8" t="s">
        <v>54</v>
      </c>
      <c r="P1245" s="8" t="s">
        <v>54</v>
      </c>
      <c r="Q1245" s="8" t="s">
        <v>54</v>
      </c>
      <c r="R1245" s="8" t="s">
        <v>54</v>
      </c>
      <c r="S1245" s="8" t="s">
        <v>54</v>
      </c>
      <c r="T1245" s="8" t="s">
        <v>54</v>
      </c>
      <c r="U1245" s="10" t="s">
        <v>67</v>
      </c>
      <c r="V1245" s="8" t="s">
        <v>54</v>
      </c>
      <c r="W1245" s="8" t="s">
        <v>54</v>
      </c>
      <c r="X1245" s="8" t="s">
        <v>54</v>
      </c>
      <c r="Y1245" s="8" t="s">
        <v>54</v>
      </c>
      <c r="Z1245" s="8" t="s">
        <v>54</v>
      </c>
      <c r="AA1245" s="8" t="s">
        <v>54</v>
      </c>
      <c r="AB1245" s="10" t="s">
        <v>67</v>
      </c>
      <c r="AC1245" s="8" t="s">
        <v>54</v>
      </c>
      <c r="AD1245" s="8" t="s">
        <v>54</v>
      </c>
      <c r="AE1245" s="8" t="s">
        <v>54</v>
      </c>
      <c r="AF1245" s="8" t="s">
        <v>54</v>
      </c>
      <c r="AG1245" s="8" t="s">
        <v>54</v>
      </c>
      <c r="AH1245" s="8" t="s">
        <v>54</v>
      </c>
      <c r="AI1245" s="10" t="s">
        <v>67</v>
      </c>
      <c r="AJ1245" s="8">
        <f>COUNTIF($E$1245:$AI$1245,"P")</f>
        <v>26</v>
      </c>
      <c r="AK1245" s="8">
        <f>COUNTIF($E$1245:$AI$1245,"A")</f>
        <v>0</v>
      </c>
      <c r="AL1245" s="8">
        <f>SUM($E$1246:$AI$1246)</f>
        <v>42</v>
      </c>
      <c r="AM1245" s="8">
        <f>SUM($E$1247:$AI$1247)</f>
        <v>33</v>
      </c>
      <c r="AN1245" s="8">
        <f>AL1245+AM1245</f>
        <v>75</v>
      </c>
      <c r="AO1245" s="8">
        <f>COUNTIF($E$1245:$AI$1245,"CL")</f>
        <v>0</v>
      </c>
      <c r="AP1245" s="8">
        <f>COUNTIF($E$1245:$AI$1245,"SL")</f>
        <v>0</v>
      </c>
      <c r="AQ1245" s="8">
        <f>COUNTIF($E$1245:$AI$1245,"EL")</f>
        <v>0</v>
      </c>
      <c r="AR1245" s="8">
        <f>COUNTIF($E$1245:$AI$1245,"H")</f>
        <v>0</v>
      </c>
      <c r="AS1245" s="8"/>
      <c r="AT1245" s="11" t="s">
        <v>250</v>
      </c>
    </row>
    <row r="1246" spans="1:46" ht="15.1" customHeight="1">
      <c r="A1246" s="8"/>
      <c r="B1246" s="9"/>
      <c r="C1246" s="8"/>
      <c r="D1246" s="9"/>
      <c r="E1246" s="8">
        <v>0</v>
      </c>
      <c r="F1246" s="8">
        <v>0</v>
      </c>
      <c r="G1246" s="8">
        <v>0</v>
      </c>
      <c r="H1246" s="8">
        <v>0</v>
      </c>
      <c r="I1246" s="8">
        <v>2</v>
      </c>
      <c r="J1246" s="8">
        <v>0</v>
      </c>
      <c r="K1246" s="8">
        <v>2</v>
      </c>
      <c r="L1246" s="8">
        <v>2</v>
      </c>
      <c r="M1246" s="8">
        <v>2</v>
      </c>
      <c r="N1246" s="8">
        <v>0</v>
      </c>
      <c r="O1246" s="8">
        <v>2</v>
      </c>
      <c r="P1246" s="8">
        <v>2</v>
      </c>
      <c r="Q1246" s="8">
        <v>2</v>
      </c>
      <c r="R1246" s="8">
        <v>2</v>
      </c>
      <c r="S1246" s="8">
        <v>2</v>
      </c>
      <c r="T1246" s="8">
        <v>2</v>
      </c>
      <c r="U1246" s="8">
        <v>0</v>
      </c>
      <c r="V1246" s="8">
        <v>2</v>
      </c>
      <c r="W1246" s="8">
        <v>2</v>
      </c>
      <c r="X1246" s="8">
        <v>2</v>
      </c>
      <c r="Y1246" s="8">
        <v>2</v>
      </c>
      <c r="Z1246" s="8">
        <v>0</v>
      </c>
      <c r="AA1246" s="8">
        <v>2</v>
      </c>
      <c r="AB1246" s="8">
        <v>0</v>
      </c>
      <c r="AC1246" s="8">
        <v>2</v>
      </c>
      <c r="AD1246" s="8">
        <v>2</v>
      </c>
      <c r="AE1246" s="8">
        <v>2</v>
      </c>
      <c r="AF1246" s="8">
        <v>2</v>
      </c>
      <c r="AG1246" s="8">
        <v>2</v>
      </c>
      <c r="AH1246" s="8">
        <v>2</v>
      </c>
      <c r="AI1246" s="8">
        <v>0</v>
      </c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11" t="s">
        <v>250</v>
      </c>
    </row>
    <row r="1247" spans="1:46" ht="15.1" customHeight="1">
      <c r="A1247" s="8"/>
      <c r="B1247" s="9"/>
      <c r="C1247" s="8"/>
      <c r="D1247" s="9"/>
      <c r="E1247" s="8">
        <v>0</v>
      </c>
      <c r="F1247" s="8">
        <v>0</v>
      </c>
      <c r="G1247" s="8">
        <v>0</v>
      </c>
      <c r="H1247" s="8">
        <v>0</v>
      </c>
      <c r="I1247" s="8">
        <v>1</v>
      </c>
      <c r="J1247" s="8">
        <v>0</v>
      </c>
      <c r="K1247" s="8">
        <v>1</v>
      </c>
      <c r="L1247" s="8">
        <v>1</v>
      </c>
      <c r="M1247" s="8">
        <v>1</v>
      </c>
      <c r="N1247" s="8">
        <v>12</v>
      </c>
      <c r="O1247" s="8">
        <v>1</v>
      </c>
      <c r="P1247" s="8">
        <v>1</v>
      </c>
      <c r="Q1247" s="8">
        <v>1</v>
      </c>
      <c r="R1247" s="8">
        <v>1</v>
      </c>
      <c r="S1247" s="8">
        <v>1</v>
      </c>
      <c r="T1247" s="8">
        <v>1</v>
      </c>
      <c r="U1247" s="8">
        <v>0</v>
      </c>
      <c r="V1247" s="8">
        <v>1</v>
      </c>
      <c r="W1247" s="8">
        <v>1</v>
      </c>
      <c r="X1247" s="8">
        <v>1</v>
      </c>
      <c r="Y1247" s="8">
        <v>1</v>
      </c>
      <c r="Z1247" s="8">
        <v>0</v>
      </c>
      <c r="AA1247" s="8">
        <v>1</v>
      </c>
      <c r="AB1247" s="8">
        <v>0</v>
      </c>
      <c r="AC1247" s="8">
        <v>1</v>
      </c>
      <c r="AD1247" s="8">
        <v>1</v>
      </c>
      <c r="AE1247" s="8">
        <v>1</v>
      </c>
      <c r="AF1247" s="8">
        <v>1</v>
      </c>
      <c r="AG1247" s="8">
        <v>1</v>
      </c>
      <c r="AH1247" s="8">
        <v>1</v>
      </c>
      <c r="AI1247" s="8">
        <v>0</v>
      </c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11" t="s">
        <v>250</v>
      </c>
    </row>
    <row r="1248" spans="1:46" ht="15.1" customHeight="1">
      <c r="A1248" s="8">
        <v>415</v>
      </c>
      <c r="B1248" s="9" t="s">
        <v>1086</v>
      </c>
      <c r="C1248" s="8" t="s">
        <v>1087</v>
      </c>
      <c r="D1248" s="9" t="s">
        <v>451</v>
      </c>
      <c r="E1248" s="8" t="s">
        <v>54</v>
      </c>
      <c r="F1248" s="8" t="s">
        <v>54</v>
      </c>
      <c r="G1248" s="10" t="s">
        <v>67</v>
      </c>
      <c r="H1248" s="8" t="s">
        <v>54</v>
      </c>
      <c r="I1248" s="8" t="s">
        <v>54</v>
      </c>
      <c r="J1248" s="8" t="s">
        <v>54</v>
      </c>
      <c r="K1248" s="8" t="s">
        <v>54</v>
      </c>
      <c r="L1248" s="8" t="s">
        <v>54</v>
      </c>
      <c r="M1248" s="8" t="s">
        <v>54</v>
      </c>
      <c r="N1248" s="10" t="s">
        <v>67</v>
      </c>
      <c r="O1248" s="8" t="s">
        <v>54</v>
      </c>
      <c r="P1248" s="8" t="s">
        <v>54</v>
      </c>
      <c r="Q1248" s="8" t="s">
        <v>54</v>
      </c>
      <c r="R1248" s="8" t="s">
        <v>54</v>
      </c>
      <c r="S1248" s="8" t="s">
        <v>54</v>
      </c>
      <c r="T1248" s="8" t="s">
        <v>54</v>
      </c>
      <c r="U1248" s="10" t="s">
        <v>67</v>
      </c>
      <c r="V1248" s="8" t="s">
        <v>54</v>
      </c>
      <c r="W1248" s="8" t="s">
        <v>54</v>
      </c>
      <c r="X1248" s="8" t="s">
        <v>54</v>
      </c>
      <c r="Y1248" s="8" t="s">
        <v>54</v>
      </c>
      <c r="Z1248" s="8" t="s">
        <v>54</v>
      </c>
      <c r="AA1248" s="8" t="s">
        <v>54</v>
      </c>
      <c r="AB1248" s="10" t="s">
        <v>67</v>
      </c>
      <c r="AC1248" s="8" t="s">
        <v>54</v>
      </c>
      <c r="AD1248" s="8" t="s">
        <v>54</v>
      </c>
      <c r="AE1248" s="8" t="s">
        <v>54</v>
      </c>
      <c r="AF1248" s="8" t="s">
        <v>54</v>
      </c>
      <c r="AG1248" s="8" t="s">
        <v>54</v>
      </c>
      <c r="AH1248" s="8" t="s">
        <v>54</v>
      </c>
      <c r="AI1248" s="10" t="s">
        <v>67</v>
      </c>
      <c r="AJ1248" s="8">
        <f>COUNTIF($E$1248:$AI$1248,"P")</f>
        <v>26</v>
      </c>
      <c r="AK1248" s="8">
        <f>COUNTIF($E$1248:$AI$1248,"A")</f>
        <v>0</v>
      </c>
      <c r="AL1248" s="8">
        <f>SUM($E$1249:$AI$1249)</f>
        <v>46</v>
      </c>
      <c r="AM1248" s="8">
        <f>SUM($E$1250:$AI$1250)</f>
        <v>34</v>
      </c>
      <c r="AN1248" s="8">
        <f>AL1248+AM1248</f>
        <v>80</v>
      </c>
      <c r="AO1248" s="8">
        <f>COUNTIF($E$1248:$AI$1248,"CL")</f>
        <v>0</v>
      </c>
      <c r="AP1248" s="8">
        <f>COUNTIF($E$1248:$AI$1248,"SL")</f>
        <v>0</v>
      </c>
      <c r="AQ1248" s="8">
        <f>COUNTIF($E$1248:$AI$1248,"EL")</f>
        <v>0</v>
      </c>
      <c r="AR1248" s="8">
        <f>COUNTIF($E$1248:$AI$1248,"H")</f>
        <v>0</v>
      </c>
      <c r="AS1248" s="8"/>
      <c r="AT1248" s="11" t="s">
        <v>250</v>
      </c>
    </row>
    <row r="1249" spans="1:46" ht="15.1" customHeight="1">
      <c r="A1249" s="8"/>
      <c r="B1249" s="9"/>
      <c r="C1249" s="8"/>
      <c r="D1249" s="9"/>
      <c r="E1249" s="8">
        <v>0</v>
      </c>
      <c r="F1249" s="8">
        <v>0</v>
      </c>
      <c r="G1249" s="8">
        <v>0</v>
      </c>
      <c r="H1249" s="8">
        <v>0</v>
      </c>
      <c r="I1249" s="8">
        <v>2</v>
      </c>
      <c r="J1249" s="8">
        <v>2</v>
      </c>
      <c r="K1249" s="8">
        <v>2</v>
      </c>
      <c r="L1249" s="8">
        <v>2</v>
      </c>
      <c r="M1249" s="8">
        <v>2</v>
      </c>
      <c r="N1249" s="8">
        <v>0</v>
      </c>
      <c r="O1249" s="8">
        <v>2</v>
      </c>
      <c r="P1249" s="8">
        <v>2</v>
      </c>
      <c r="Q1249" s="8">
        <v>2</v>
      </c>
      <c r="R1249" s="8">
        <v>2</v>
      </c>
      <c r="S1249" s="8">
        <v>2</v>
      </c>
      <c r="T1249" s="8">
        <v>2</v>
      </c>
      <c r="U1249" s="8">
        <v>0</v>
      </c>
      <c r="V1249" s="8">
        <v>2</v>
      </c>
      <c r="W1249" s="8">
        <v>2</v>
      </c>
      <c r="X1249" s="8">
        <v>2</v>
      </c>
      <c r="Y1249" s="8">
        <v>2</v>
      </c>
      <c r="Z1249" s="8">
        <v>2</v>
      </c>
      <c r="AA1249" s="8">
        <v>2</v>
      </c>
      <c r="AB1249" s="8">
        <v>0</v>
      </c>
      <c r="AC1249" s="8">
        <v>2</v>
      </c>
      <c r="AD1249" s="8">
        <v>2</v>
      </c>
      <c r="AE1249" s="8">
        <v>2</v>
      </c>
      <c r="AF1249" s="8">
        <v>2</v>
      </c>
      <c r="AG1249" s="8">
        <v>2</v>
      </c>
      <c r="AH1249" s="8">
        <v>2</v>
      </c>
      <c r="AI1249" s="8">
        <v>0</v>
      </c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11" t="s">
        <v>250</v>
      </c>
    </row>
    <row r="1250" spans="1:46" ht="15.1" customHeight="1">
      <c r="A1250" s="8"/>
      <c r="B1250" s="9"/>
      <c r="C1250" s="8"/>
      <c r="D1250" s="9"/>
      <c r="E1250" s="8">
        <v>0</v>
      </c>
      <c r="F1250" s="8">
        <v>0</v>
      </c>
      <c r="G1250" s="8">
        <v>0</v>
      </c>
      <c r="H1250" s="8">
        <v>0</v>
      </c>
      <c r="I1250" s="8">
        <v>1</v>
      </c>
      <c r="J1250" s="8">
        <v>1</v>
      </c>
      <c r="K1250" s="8">
        <v>1</v>
      </c>
      <c r="L1250" s="8">
        <v>1</v>
      </c>
      <c r="M1250" s="8">
        <v>1</v>
      </c>
      <c r="N1250" s="8">
        <v>11</v>
      </c>
      <c r="O1250" s="8">
        <v>1</v>
      </c>
      <c r="P1250" s="8">
        <v>1</v>
      </c>
      <c r="Q1250" s="8">
        <v>1</v>
      </c>
      <c r="R1250" s="8">
        <v>1</v>
      </c>
      <c r="S1250" s="8">
        <v>1</v>
      </c>
      <c r="T1250" s="8">
        <v>1</v>
      </c>
      <c r="U1250" s="8">
        <v>0</v>
      </c>
      <c r="V1250" s="8">
        <v>1</v>
      </c>
      <c r="W1250" s="8">
        <v>1</v>
      </c>
      <c r="X1250" s="8">
        <v>1</v>
      </c>
      <c r="Y1250" s="8">
        <v>1</v>
      </c>
      <c r="Z1250" s="8">
        <v>1</v>
      </c>
      <c r="AA1250" s="8">
        <v>1</v>
      </c>
      <c r="AB1250" s="8">
        <v>0</v>
      </c>
      <c r="AC1250" s="8">
        <v>1</v>
      </c>
      <c r="AD1250" s="8">
        <v>1</v>
      </c>
      <c r="AE1250" s="8">
        <v>1</v>
      </c>
      <c r="AF1250" s="8">
        <v>1</v>
      </c>
      <c r="AG1250" s="8">
        <v>1</v>
      </c>
      <c r="AH1250" s="8">
        <v>1</v>
      </c>
      <c r="AI1250" s="8">
        <v>0</v>
      </c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11" t="s">
        <v>250</v>
      </c>
    </row>
    <row r="1251" spans="1:46" ht="15.1" customHeight="1">
      <c r="A1251" s="8">
        <v>416</v>
      </c>
      <c r="B1251" s="9" t="s">
        <v>1088</v>
      </c>
      <c r="C1251" s="8" t="s">
        <v>1089</v>
      </c>
      <c r="D1251" s="9" t="s">
        <v>451</v>
      </c>
      <c r="E1251" s="8" t="s">
        <v>54</v>
      </c>
      <c r="F1251" s="8" t="s">
        <v>54</v>
      </c>
      <c r="G1251" s="10" t="s">
        <v>67</v>
      </c>
      <c r="H1251" s="12" t="s">
        <v>55</v>
      </c>
      <c r="I1251" s="8" t="s">
        <v>54</v>
      </c>
      <c r="J1251" s="8" t="s">
        <v>54</v>
      </c>
      <c r="K1251" s="8" t="s">
        <v>54</v>
      </c>
      <c r="L1251" s="8" t="s">
        <v>54</v>
      </c>
      <c r="M1251" s="8" t="s">
        <v>54</v>
      </c>
      <c r="N1251" s="10" t="s">
        <v>67</v>
      </c>
      <c r="O1251" s="8" t="s">
        <v>54</v>
      </c>
      <c r="P1251" s="8" t="s">
        <v>54</v>
      </c>
      <c r="Q1251" s="8" t="s">
        <v>54</v>
      </c>
      <c r="R1251" s="8" t="s">
        <v>54</v>
      </c>
      <c r="S1251" s="8" t="s">
        <v>54</v>
      </c>
      <c r="T1251" s="8" t="s">
        <v>54</v>
      </c>
      <c r="U1251" s="10" t="s">
        <v>67</v>
      </c>
      <c r="V1251" s="8" t="s">
        <v>54</v>
      </c>
      <c r="W1251" s="8" t="s">
        <v>54</v>
      </c>
      <c r="X1251" s="8" t="s">
        <v>54</v>
      </c>
      <c r="Y1251" s="8" t="s">
        <v>54</v>
      </c>
      <c r="Z1251" s="8" t="s">
        <v>54</v>
      </c>
      <c r="AA1251" s="8" t="s">
        <v>54</v>
      </c>
      <c r="AB1251" s="10" t="s">
        <v>67</v>
      </c>
      <c r="AC1251" s="8" t="s">
        <v>54</v>
      </c>
      <c r="AD1251" s="8" t="s">
        <v>54</v>
      </c>
      <c r="AE1251" s="8" t="s">
        <v>54</v>
      </c>
      <c r="AF1251" s="8" t="s">
        <v>54</v>
      </c>
      <c r="AG1251" s="8" t="s">
        <v>54</v>
      </c>
      <c r="AH1251" s="8" t="s">
        <v>54</v>
      </c>
      <c r="AI1251" s="10" t="s">
        <v>67</v>
      </c>
      <c r="AJ1251" s="8">
        <f>COUNTIF($E$1251:$AI$1251,"P")</f>
        <v>25</v>
      </c>
      <c r="AK1251" s="8">
        <f>COUNTIF($E$1251:$AI$1251,"A")</f>
        <v>1</v>
      </c>
      <c r="AL1251" s="8">
        <f>SUM($E$1252:$AI$1252)</f>
        <v>46</v>
      </c>
      <c r="AM1251" s="8">
        <f>SUM($E$1253:$AI$1253)</f>
        <v>43</v>
      </c>
      <c r="AN1251" s="8">
        <f>AL1251+AM1251</f>
        <v>89</v>
      </c>
      <c r="AO1251" s="8">
        <f>COUNTIF($E$1251:$AI$1251,"CL")</f>
        <v>0</v>
      </c>
      <c r="AP1251" s="8">
        <f>COUNTIF($E$1251:$AI$1251,"SL")</f>
        <v>0</v>
      </c>
      <c r="AQ1251" s="8">
        <f>COUNTIF($E$1251:$AI$1251,"EL")</f>
        <v>0</v>
      </c>
      <c r="AR1251" s="8">
        <f>COUNTIF($E$1251:$AI$1251,"H")</f>
        <v>0</v>
      </c>
      <c r="AS1251" s="8"/>
      <c r="AT1251" s="11" t="s">
        <v>250</v>
      </c>
    </row>
    <row r="1252" spans="1:46" ht="15.1" customHeight="1">
      <c r="A1252" s="8"/>
      <c r="B1252" s="9"/>
      <c r="C1252" s="8"/>
      <c r="D1252" s="9"/>
      <c r="E1252" s="8">
        <v>0</v>
      </c>
      <c r="F1252" s="8">
        <v>0</v>
      </c>
      <c r="G1252" s="8">
        <v>0</v>
      </c>
      <c r="H1252" s="8">
        <v>0</v>
      </c>
      <c r="I1252" s="8">
        <v>2</v>
      </c>
      <c r="J1252" s="8">
        <v>2</v>
      </c>
      <c r="K1252" s="8">
        <v>2</v>
      </c>
      <c r="L1252" s="8">
        <v>2</v>
      </c>
      <c r="M1252" s="8">
        <v>2</v>
      </c>
      <c r="N1252" s="8">
        <v>0</v>
      </c>
      <c r="O1252" s="8">
        <v>2</v>
      </c>
      <c r="P1252" s="8">
        <v>2</v>
      </c>
      <c r="Q1252" s="8">
        <v>2</v>
      </c>
      <c r="R1252" s="8">
        <v>2</v>
      </c>
      <c r="S1252" s="8">
        <v>2</v>
      </c>
      <c r="T1252" s="8">
        <v>2</v>
      </c>
      <c r="U1252" s="8">
        <v>0</v>
      </c>
      <c r="V1252" s="8">
        <v>2</v>
      </c>
      <c r="W1252" s="8">
        <v>2</v>
      </c>
      <c r="X1252" s="8">
        <v>2</v>
      </c>
      <c r="Y1252" s="8">
        <v>2</v>
      </c>
      <c r="Z1252" s="8">
        <v>2</v>
      </c>
      <c r="AA1252" s="8">
        <v>2</v>
      </c>
      <c r="AB1252" s="8">
        <v>0</v>
      </c>
      <c r="AC1252" s="8">
        <v>2</v>
      </c>
      <c r="AD1252" s="8">
        <v>2</v>
      </c>
      <c r="AE1252" s="8">
        <v>2</v>
      </c>
      <c r="AF1252" s="8">
        <v>2</v>
      </c>
      <c r="AG1252" s="8">
        <v>2</v>
      </c>
      <c r="AH1252" s="8">
        <v>2</v>
      </c>
      <c r="AI1252" s="8">
        <v>0</v>
      </c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11" t="s">
        <v>250</v>
      </c>
    </row>
    <row r="1253" spans="1:46" ht="15.1" customHeight="1">
      <c r="A1253" s="8"/>
      <c r="B1253" s="9"/>
      <c r="C1253" s="8"/>
      <c r="D1253" s="9"/>
      <c r="E1253" s="8">
        <v>0</v>
      </c>
      <c r="F1253" s="8">
        <v>0</v>
      </c>
      <c r="G1253" s="8">
        <v>9</v>
      </c>
      <c r="H1253" s="8">
        <v>0</v>
      </c>
      <c r="I1253" s="8">
        <v>1</v>
      </c>
      <c r="J1253" s="8">
        <v>1</v>
      </c>
      <c r="K1253" s="8">
        <v>1</v>
      </c>
      <c r="L1253" s="8">
        <v>1</v>
      </c>
      <c r="M1253" s="8">
        <v>1</v>
      </c>
      <c r="N1253" s="8">
        <v>11</v>
      </c>
      <c r="O1253" s="8">
        <v>1</v>
      </c>
      <c r="P1253" s="8">
        <v>1</v>
      </c>
      <c r="Q1253" s="8">
        <v>1</v>
      </c>
      <c r="R1253" s="8">
        <v>1</v>
      </c>
      <c r="S1253" s="8">
        <v>1</v>
      </c>
      <c r="T1253" s="8">
        <v>1</v>
      </c>
      <c r="U1253" s="8">
        <v>0</v>
      </c>
      <c r="V1253" s="8">
        <v>1</v>
      </c>
      <c r="W1253" s="8">
        <v>1</v>
      </c>
      <c r="X1253" s="8">
        <v>1</v>
      </c>
      <c r="Y1253" s="8">
        <v>1</v>
      </c>
      <c r="Z1253" s="8">
        <v>1</v>
      </c>
      <c r="AA1253" s="8">
        <v>1</v>
      </c>
      <c r="AB1253" s="8">
        <v>0</v>
      </c>
      <c r="AC1253" s="8">
        <v>1</v>
      </c>
      <c r="AD1253" s="8">
        <v>1</v>
      </c>
      <c r="AE1253" s="8">
        <v>1</v>
      </c>
      <c r="AF1253" s="8">
        <v>1</v>
      </c>
      <c r="AG1253" s="8">
        <v>1</v>
      </c>
      <c r="AH1253" s="8">
        <v>1</v>
      </c>
      <c r="AI1253" s="8">
        <v>0</v>
      </c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11" t="s">
        <v>250</v>
      </c>
    </row>
    <row r="1254" spans="1:46" ht="15.1" customHeight="1">
      <c r="A1254" s="8">
        <v>417</v>
      </c>
      <c r="B1254" s="9" t="s">
        <v>1090</v>
      </c>
      <c r="C1254" s="8" t="s">
        <v>1091</v>
      </c>
      <c r="D1254" s="9" t="s">
        <v>451</v>
      </c>
      <c r="E1254" s="8" t="s">
        <v>54</v>
      </c>
      <c r="F1254" s="8" t="s">
        <v>54</v>
      </c>
      <c r="G1254" s="10" t="s">
        <v>67</v>
      </c>
      <c r="H1254" s="12" t="s">
        <v>55</v>
      </c>
      <c r="I1254" s="12" t="s">
        <v>55</v>
      </c>
      <c r="J1254" s="12" t="s">
        <v>55</v>
      </c>
      <c r="K1254" s="8" t="s">
        <v>54</v>
      </c>
      <c r="L1254" s="8" t="s">
        <v>54</v>
      </c>
      <c r="M1254" s="8" t="s">
        <v>54</v>
      </c>
      <c r="N1254" s="10" t="s">
        <v>67</v>
      </c>
      <c r="O1254" s="8" t="s">
        <v>54</v>
      </c>
      <c r="P1254" s="8" t="s">
        <v>54</v>
      </c>
      <c r="Q1254" s="8" t="s">
        <v>54</v>
      </c>
      <c r="R1254" s="8" t="s">
        <v>54</v>
      </c>
      <c r="S1254" s="8" t="s">
        <v>54</v>
      </c>
      <c r="T1254" s="8" t="s">
        <v>54</v>
      </c>
      <c r="U1254" s="10" t="s">
        <v>67</v>
      </c>
      <c r="V1254" s="8" t="s">
        <v>54</v>
      </c>
      <c r="W1254" s="8" t="s">
        <v>54</v>
      </c>
      <c r="X1254" s="8" t="s">
        <v>54</v>
      </c>
      <c r="Y1254" s="8" t="s">
        <v>54</v>
      </c>
      <c r="Z1254" s="8" t="s">
        <v>54</v>
      </c>
      <c r="AA1254" s="8" t="s">
        <v>54</v>
      </c>
      <c r="AB1254" s="10" t="s">
        <v>67</v>
      </c>
      <c r="AC1254" s="8" t="s">
        <v>54</v>
      </c>
      <c r="AD1254" s="8" t="s">
        <v>54</v>
      </c>
      <c r="AE1254" s="8" t="s">
        <v>54</v>
      </c>
      <c r="AF1254" s="8" t="s">
        <v>54</v>
      </c>
      <c r="AG1254" s="8" t="s">
        <v>54</v>
      </c>
      <c r="AH1254" s="8" t="s">
        <v>54</v>
      </c>
      <c r="AI1254" s="10" t="s">
        <v>67</v>
      </c>
      <c r="AJ1254" s="8">
        <f>COUNTIF($E$1254:$AI$1254,"P")</f>
        <v>23</v>
      </c>
      <c r="AK1254" s="8">
        <f>COUNTIF($E$1254:$AI$1254,"A")</f>
        <v>3</v>
      </c>
      <c r="AL1254" s="8">
        <f>SUM($E$1255:$AI$1255)</f>
        <v>38</v>
      </c>
      <c r="AM1254" s="8">
        <f>SUM($E$1256:$AI$1256)</f>
        <v>19</v>
      </c>
      <c r="AN1254" s="8">
        <f>AL1254+AM1254</f>
        <v>57</v>
      </c>
      <c r="AO1254" s="8">
        <f>COUNTIF($E$1254:$AI$1254,"CL")</f>
        <v>0</v>
      </c>
      <c r="AP1254" s="8">
        <f>COUNTIF($E$1254:$AI$1254,"SL")</f>
        <v>0</v>
      </c>
      <c r="AQ1254" s="8">
        <f>COUNTIF($E$1254:$AI$1254,"EL")</f>
        <v>0</v>
      </c>
      <c r="AR1254" s="8">
        <f>COUNTIF($E$1254:$AI$1254,"H")</f>
        <v>0</v>
      </c>
      <c r="AS1254" s="8"/>
      <c r="AT1254" s="11" t="s">
        <v>250</v>
      </c>
    </row>
    <row r="1255" spans="1:46" ht="15.1" customHeight="1">
      <c r="A1255" s="8"/>
      <c r="B1255" s="9"/>
      <c r="C1255" s="8"/>
      <c r="D1255" s="9"/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2</v>
      </c>
      <c r="L1255" s="8">
        <v>2</v>
      </c>
      <c r="M1255" s="8">
        <v>2</v>
      </c>
      <c r="N1255" s="8">
        <v>0</v>
      </c>
      <c r="O1255" s="8">
        <v>2</v>
      </c>
      <c r="P1255" s="8">
        <v>2</v>
      </c>
      <c r="Q1255" s="8">
        <v>0</v>
      </c>
      <c r="R1255" s="8">
        <v>2</v>
      </c>
      <c r="S1255" s="8">
        <v>2</v>
      </c>
      <c r="T1255" s="8">
        <v>2</v>
      </c>
      <c r="U1255" s="8">
        <v>0</v>
      </c>
      <c r="V1255" s="8">
        <v>2</v>
      </c>
      <c r="W1255" s="8">
        <v>2</v>
      </c>
      <c r="X1255" s="8">
        <v>2</v>
      </c>
      <c r="Y1255" s="8">
        <v>2</v>
      </c>
      <c r="Z1255" s="8">
        <v>0</v>
      </c>
      <c r="AA1255" s="8">
        <v>2</v>
      </c>
      <c r="AB1255" s="8">
        <v>0</v>
      </c>
      <c r="AC1255" s="8">
        <v>2</v>
      </c>
      <c r="AD1255" s="8">
        <v>2</v>
      </c>
      <c r="AE1255" s="8">
        <v>2</v>
      </c>
      <c r="AF1255" s="8">
        <v>2</v>
      </c>
      <c r="AG1255" s="8">
        <v>2</v>
      </c>
      <c r="AH1255" s="8">
        <v>2</v>
      </c>
      <c r="AI1255" s="8">
        <v>0</v>
      </c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11" t="s">
        <v>250</v>
      </c>
    </row>
    <row r="1256" spans="1:46" ht="15.1" customHeight="1">
      <c r="A1256" s="8"/>
      <c r="B1256" s="9"/>
      <c r="C1256" s="8"/>
      <c r="D1256" s="9"/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1</v>
      </c>
      <c r="L1256" s="8">
        <v>1</v>
      </c>
      <c r="M1256" s="8">
        <v>1</v>
      </c>
      <c r="N1256" s="8">
        <v>0</v>
      </c>
      <c r="O1256" s="8">
        <v>1</v>
      </c>
      <c r="P1256" s="8">
        <v>1</v>
      </c>
      <c r="Q1256" s="8">
        <v>0</v>
      </c>
      <c r="R1256" s="8">
        <v>1</v>
      </c>
      <c r="S1256" s="8">
        <v>1</v>
      </c>
      <c r="T1256" s="8">
        <v>1</v>
      </c>
      <c r="U1256" s="8">
        <v>0</v>
      </c>
      <c r="V1256" s="8">
        <v>1</v>
      </c>
      <c r="W1256" s="8">
        <v>1</v>
      </c>
      <c r="X1256" s="8">
        <v>1</v>
      </c>
      <c r="Y1256" s="8">
        <v>1</v>
      </c>
      <c r="Z1256" s="8">
        <v>0</v>
      </c>
      <c r="AA1256" s="8">
        <v>1</v>
      </c>
      <c r="AB1256" s="8">
        <v>0</v>
      </c>
      <c r="AC1256" s="8">
        <v>1</v>
      </c>
      <c r="AD1256" s="8">
        <v>1</v>
      </c>
      <c r="AE1256" s="8">
        <v>1</v>
      </c>
      <c r="AF1256" s="8">
        <v>1</v>
      </c>
      <c r="AG1256" s="8">
        <v>1</v>
      </c>
      <c r="AH1256" s="8">
        <v>1</v>
      </c>
      <c r="AI1256" s="8">
        <v>0</v>
      </c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11" t="s">
        <v>250</v>
      </c>
    </row>
    <row r="1257" spans="1:46" ht="15.1" customHeight="1">
      <c r="A1257" s="8">
        <v>418</v>
      </c>
      <c r="B1257" s="9" t="s">
        <v>1092</v>
      </c>
      <c r="C1257" s="8" t="s">
        <v>1093</v>
      </c>
      <c r="D1257" s="9" t="s">
        <v>451</v>
      </c>
      <c r="E1257" s="8" t="s">
        <v>54</v>
      </c>
      <c r="F1257" s="8" t="s">
        <v>54</v>
      </c>
      <c r="G1257" s="10" t="s">
        <v>67</v>
      </c>
      <c r="H1257" s="8" t="s">
        <v>54</v>
      </c>
      <c r="I1257" s="8" t="s">
        <v>54</v>
      </c>
      <c r="J1257" s="8" t="s">
        <v>54</v>
      </c>
      <c r="K1257" s="8" t="s">
        <v>54</v>
      </c>
      <c r="L1257" s="8" t="s">
        <v>54</v>
      </c>
      <c r="M1257" s="8" t="s">
        <v>54</v>
      </c>
      <c r="N1257" s="10" t="s">
        <v>67</v>
      </c>
      <c r="O1257" s="8" t="s">
        <v>54</v>
      </c>
      <c r="P1257" s="8" t="s">
        <v>54</v>
      </c>
      <c r="Q1257" s="8" t="s">
        <v>54</v>
      </c>
      <c r="R1257" s="8" t="s">
        <v>54</v>
      </c>
      <c r="S1257" s="8" t="s">
        <v>54</v>
      </c>
      <c r="T1257" s="8" t="s">
        <v>54</v>
      </c>
      <c r="U1257" s="10" t="s">
        <v>67</v>
      </c>
      <c r="V1257" s="8" t="s">
        <v>54</v>
      </c>
      <c r="W1257" s="8" t="s">
        <v>54</v>
      </c>
      <c r="X1257" s="8" t="s">
        <v>54</v>
      </c>
      <c r="Y1257" s="8" t="s">
        <v>54</v>
      </c>
      <c r="Z1257" s="8" t="s">
        <v>54</v>
      </c>
      <c r="AA1257" s="8" t="s">
        <v>54</v>
      </c>
      <c r="AB1257" s="10" t="s">
        <v>67</v>
      </c>
      <c r="AC1257" s="8" t="s">
        <v>54</v>
      </c>
      <c r="AD1257" s="8" t="s">
        <v>54</v>
      </c>
      <c r="AE1257" s="8" t="s">
        <v>54</v>
      </c>
      <c r="AF1257" s="8" t="s">
        <v>54</v>
      </c>
      <c r="AG1257" s="8" t="s">
        <v>54</v>
      </c>
      <c r="AH1257" s="8" t="s">
        <v>54</v>
      </c>
      <c r="AI1257" s="10" t="s">
        <v>67</v>
      </c>
      <c r="AJ1257" s="8">
        <f>COUNTIF($E$1257:$AI$1257,"P")</f>
        <v>26</v>
      </c>
      <c r="AK1257" s="8">
        <f>COUNTIF($E$1257:$AI$1257,"A")</f>
        <v>0</v>
      </c>
      <c r="AL1257" s="8">
        <f>SUM($E$1258:$AI$1258)</f>
        <v>46</v>
      </c>
      <c r="AM1257" s="8">
        <f>SUM($E$1259:$AI$1259)</f>
        <v>34</v>
      </c>
      <c r="AN1257" s="8">
        <f>AL1257+AM1257</f>
        <v>80</v>
      </c>
      <c r="AO1257" s="8">
        <f>COUNTIF($E$1257:$AI$1257,"CL")</f>
        <v>0</v>
      </c>
      <c r="AP1257" s="8">
        <f>COUNTIF($E$1257:$AI$1257,"SL")</f>
        <v>0</v>
      </c>
      <c r="AQ1257" s="8">
        <f>COUNTIF($E$1257:$AI$1257,"EL")</f>
        <v>0</v>
      </c>
      <c r="AR1257" s="8">
        <f>COUNTIF($E$1257:$AI$1257,"H")</f>
        <v>0</v>
      </c>
      <c r="AS1257" s="8"/>
      <c r="AT1257" s="11" t="s">
        <v>250</v>
      </c>
    </row>
    <row r="1258" spans="1:46" ht="15.1" customHeight="1">
      <c r="A1258" s="8"/>
      <c r="B1258" s="9"/>
      <c r="C1258" s="8"/>
      <c r="D1258" s="9"/>
      <c r="E1258" s="8">
        <v>0</v>
      </c>
      <c r="F1258" s="8">
        <v>0</v>
      </c>
      <c r="G1258" s="8">
        <v>0</v>
      </c>
      <c r="H1258" s="8">
        <v>0</v>
      </c>
      <c r="I1258" s="8">
        <v>2</v>
      </c>
      <c r="J1258" s="8">
        <v>2</v>
      </c>
      <c r="K1258" s="8">
        <v>2</v>
      </c>
      <c r="L1258" s="8">
        <v>2</v>
      </c>
      <c r="M1258" s="8">
        <v>2</v>
      </c>
      <c r="N1258" s="8">
        <v>0</v>
      </c>
      <c r="O1258" s="8">
        <v>2</v>
      </c>
      <c r="P1258" s="8">
        <v>2</v>
      </c>
      <c r="Q1258" s="8">
        <v>2</v>
      </c>
      <c r="R1258" s="8">
        <v>2</v>
      </c>
      <c r="S1258" s="8">
        <v>2</v>
      </c>
      <c r="T1258" s="8">
        <v>2</v>
      </c>
      <c r="U1258" s="8">
        <v>0</v>
      </c>
      <c r="V1258" s="8">
        <v>2</v>
      </c>
      <c r="W1258" s="8">
        <v>2</v>
      </c>
      <c r="X1258" s="8">
        <v>2</v>
      </c>
      <c r="Y1258" s="8">
        <v>2</v>
      </c>
      <c r="Z1258" s="8">
        <v>2</v>
      </c>
      <c r="AA1258" s="8">
        <v>2</v>
      </c>
      <c r="AB1258" s="8">
        <v>0</v>
      </c>
      <c r="AC1258" s="8">
        <v>2</v>
      </c>
      <c r="AD1258" s="8">
        <v>2</v>
      </c>
      <c r="AE1258" s="8">
        <v>2</v>
      </c>
      <c r="AF1258" s="8">
        <v>2</v>
      </c>
      <c r="AG1258" s="8">
        <v>2</v>
      </c>
      <c r="AH1258" s="8">
        <v>2</v>
      </c>
      <c r="AI1258" s="8">
        <v>0</v>
      </c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11" t="s">
        <v>250</v>
      </c>
    </row>
    <row r="1259" spans="1:46" ht="15.1" customHeight="1">
      <c r="A1259" s="8"/>
      <c r="B1259" s="9"/>
      <c r="C1259" s="8"/>
      <c r="D1259" s="9"/>
      <c r="E1259" s="8">
        <v>0</v>
      </c>
      <c r="F1259" s="8">
        <v>0</v>
      </c>
      <c r="G1259" s="8">
        <v>0</v>
      </c>
      <c r="H1259" s="8">
        <v>0</v>
      </c>
      <c r="I1259" s="8">
        <v>1</v>
      </c>
      <c r="J1259" s="8">
        <v>1</v>
      </c>
      <c r="K1259" s="8">
        <v>1</v>
      </c>
      <c r="L1259" s="8">
        <v>1</v>
      </c>
      <c r="M1259" s="8">
        <v>1</v>
      </c>
      <c r="N1259" s="8">
        <v>11</v>
      </c>
      <c r="O1259" s="8">
        <v>1</v>
      </c>
      <c r="P1259" s="8">
        <v>1</v>
      </c>
      <c r="Q1259" s="8">
        <v>1</v>
      </c>
      <c r="R1259" s="8">
        <v>1</v>
      </c>
      <c r="S1259" s="8">
        <v>1</v>
      </c>
      <c r="T1259" s="8">
        <v>1</v>
      </c>
      <c r="U1259" s="8">
        <v>0</v>
      </c>
      <c r="V1259" s="8">
        <v>1</v>
      </c>
      <c r="W1259" s="8">
        <v>1</v>
      </c>
      <c r="X1259" s="8">
        <v>1</v>
      </c>
      <c r="Y1259" s="8">
        <v>1</v>
      </c>
      <c r="Z1259" s="8">
        <v>1</v>
      </c>
      <c r="AA1259" s="8">
        <v>1</v>
      </c>
      <c r="AB1259" s="8">
        <v>0</v>
      </c>
      <c r="AC1259" s="8">
        <v>1</v>
      </c>
      <c r="AD1259" s="8">
        <v>1</v>
      </c>
      <c r="AE1259" s="8">
        <v>1</v>
      </c>
      <c r="AF1259" s="8">
        <v>1</v>
      </c>
      <c r="AG1259" s="8">
        <v>1</v>
      </c>
      <c r="AH1259" s="8">
        <v>1</v>
      </c>
      <c r="AI1259" s="8">
        <v>0</v>
      </c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11" t="s">
        <v>250</v>
      </c>
    </row>
    <row r="1260" spans="1:46" ht="15.1" customHeight="1">
      <c r="A1260" s="8">
        <v>419</v>
      </c>
      <c r="B1260" s="9" t="s">
        <v>1094</v>
      </c>
      <c r="C1260" s="8" t="s">
        <v>1095</v>
      </c>
      <c r="D1260" s="9" t="s">
        <v>451</v>
      </c>
      <c r="E1260" s="8" t="s">
        <v>54</v>
      </c>
      <c r="F1260" s="8" t="s">
        <v>54</v>
      </c>
      <c r="G1260" s="10" t="s">
        <v>67</v>
      </c>
      <c r="H1260" s="8" t="s">
        <v>54</v>
      </c>
      <c r="I1260" s="8" t="s">
        <v>54</v>
      </c>
      <c r="J1260" s="8" t="s">
        <v>54</v>
      </c>
      <c r="K1260" s="8" t="s">
        <v>54</v>
      </c>
      <c r="L1260" s="8" t="s">
        <v>54</v>
      </c>
      <c r="M1260" s="8" t="s">
        <v>54</v>
      </c>
      <c r="N1260" s="10" t="s">
        <v>67</v>
      </c>
      <c r="O1260" s="8" t="s">
        <v>54</v>
      </c>
      <c r="P1260" s="8" t="s">
        <v>54</v>
      </c>
      <c r="Q1260" s="8" t="s">
        <v>54</v>
      </c>
      <c r="R1260" s="8" t="s">
        <v>54</v>
      </c>
      <c r="S1260" s="8" t="s">
        <v>54</v>
      </c>
      <c r="T1260" s="8" t="s">
        <v>54</v>
      </c>
      <c r="U1260" s="10" t="s">
        <v>67</v>
      </c>
      <c r="V1260" s="8" t="s">
        <v>54</v>
      </c>
      <c r="W1260" s="8" t="s">
        <v>54</v>
      </c>
      <c r="X1260" s="8" t="s">
        <v>54</v>
      </c>
      <c r="Y1260" s="8" t="s">
        <v>54</v>
      </c>
      <c r="Z1260" s="8" t="s">
        <v>54</v>
      </c>
      <c r="AA1260" s="8" t="s">
        <v>54</v>
      </c>
      <c r="AB1260" s="10" t="s">
        <v>67</v>
      </c>
      <c r="AC1260" s="8" t="s">
        <v>54</v>
      </c>
      <c r="AD1260" s="8" t="s">
        <v>54</v>
      </c>
      <c r="AE1260" s="8" t="s">
        <v>54</v>
      </c>
      <c r="AF1260" s="8" t="s">
        <v>54</v>
      </c>
      <c r="AG1260" s="8" t="s">
        <v>54</v>
      </c>
      <c r="AH1260" s="8" t="s">
        <v>54</v>
      </c>
      <c r="AI1260" s="10" t="s">
        <v>67</v>
      </c>
      <c r="AJ1260" s="8">
        <f>COUNTIF($E$1260:$AI$1260,"P")</f>
        <v>26</v>
      </c>
      <c r="AK1260" s="8">
        <f>COUNTIF($E$1260:$AI$1260,"A")</f>
        <v>0</v>
      </c>
      <c r="AL1260" s="8">
        <f>SUM($E$1261:$AI$1261)</f>
        <v>40</v>
      </c>
      <c r="AM1260" s="8">
        <f>SUM($E$1262:$AI$1262)</f>
        <v>32</v>
      </c>
      <c r="AN1260" s="8">
        <f>AL1260+AM1260</f>
        <v>72</v>
      </c>
      <c r="AO1260" s="8">
        <f>COUNTIF($E$1260:$AI$1260,"CL")</f>
        <v>0</v>
      </c>
      <c r="AP1260" s="8">
        <f>COUNTIF($E$1260:$AI$1260,"SL")</f>
        <v>0</v>
      </c>
      <c r="AQ1260" s="8">
        <f>COUNTIF($E$1260:$AI$1260,"EL")</f>
        <v>0</v>
      </c>
      <c r="AR1260" s="8">
        <f>COUNTIF($E$1260:$AI$1260,"H")</f>
        <v>0</v>
      </c>
      <c r="AS1260" s="8"/>
      <c r="AT1260" s="11" t="s">
        <v>250</v>
      </c>
    </row>
    <row r="1261" spans="1:46" ht="15.1" customHeight="1">
      <c r="A1261" s="8"/>
      <c r="B1261" s="9"/>
      <c r="C1261" s="8"/>
      <c r="D1261" s="9"/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2</v>
      </c>
      <c r="L1261" s="8">
        <v>2</v>
      </c>
      <c r="M1261" s="8">
        <v>2</v>
      </c>
      <c r="N1261" s="8">
        <v>0</v>
      </c>
      <c r="O1261" s="8">
        <v>2</v>
      </c>
      <c r="P1261" s="8">
        <v>2</v>
      </c>
      <c r="Q1261" s="8">
        <v>2</v>
      </c>
      <c r="R1261" s="8">
        <v>2</v>
      </c>
      <c r="S1261" s="8">
        <v>2</v>
      </c>
      <c r="T1261" s="8">
        <v>2</v>
      </c>
      <c r="U1261" s="8">
        <v>0</v>
      </c>
      <c r="V1261" s="8">
        <v>2</v>
      </c>
      <c r="W1261" s="8">
        <v>2</v>
      </c>
      <c r="X1261" s="8">
        <v>2</v>
      </c>
      <c r="Y1261" s="8">
        <v>2</v>
      </c>
      <c r="Z1261" s="8">
        <v>0</v>
      </c>
      <c r="AA1261" s="8">
        <v>2</v>
      </c>
      <c r="AB1261" s="8">
        <v>0</v>
      </c>
      <c r="AC1261" s="8">
        <v>2</v>
      </c>
      <c r="AD1261" s="8">
        <v>2</v>
      </c>
      <c r="AE1261" s="8">
        <v>2</v>
      </c>
      <c r="AF1261" s="8">
        <v>2</v>
      </c>
      <c r="AG1261" s="8">
        <v>2</v>
      </c>
      <c r="AH1261" s="8">
        <v>2</v>
      </c>
      <c r="AI1261" s="8">
        <v>0</v>
      </c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11" t="s">
        <v>250</v>
      </c>
    </row>
    <row r="1262" spans="1:46" ht="15.1" customHeight="1">
      <c r="A1262" s="8"/>
      <c r="B1262" s="9"/>
      <c r="C1262" s="8"/>
      <c r="D1262" s="9"/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1</v>
      </c>
      <c r="L1262" s="8">
        <v>1</v>
      </c>
      <c r="M1262" s="8">
        <v>1</v>
      </c>
      <c r="N1262" s="8">
        <v>12</v>
      </c>
      <c r="O1262" s="8">
        <v>1</v>
      </c>
      <c r="P1262" s="8">
        <v>1</v>
      </c>
      <c r="Q1262" s="8">
        <v>1</v>
      </c>
      <c r="R1262" s="8">
        <v>1</v>
      </c>
      <c r="S1262" s="8">
        <v>1</v>
      </c>
      <c r="T1262" s="8">
        <v>1</v>
      </c>
      <c r="U1262" s="8">
        <v>0</v>
      </c>
      <c r="V1262" s="8">
        <v>1</v>
      </c>
      <c r="W1262" s="8">
        <v>1</v>
      </c>
      <c r="X1262" s="8">
        <v>1</v>
      </c>
      <c r="Y1262" s="8">
        <v>1</v>
      </c>
      <c r="Z1262" s="8">
        <v>0</v>
      </c>
      <c r="AA1262" s="8">
        <v>1</v>
      </c>
      <c r="AB1262" s="8">
        <v>0</v>
      </c>
      <c r="AC1262" s="8">
        <v>1</v>
      </c>
      <c r="AD1262" s="8">
        <v>1</v>
      </c>
      <c r="AE1262" s="8">
        <v>1</v>
      </c>
      <c r="AF1262" s="8">
        <v>1</v>
      </c>
      <c r="AG1262" s="8">
        <v>1</v>
      </c>
      <c r="AH1262" s="8">
        <v>1</v>
      </c>
      <c r="AI1262" s="8">
        <v>0</v>
      </c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11" t="s">
        <v>250</v>
      </c>
    </row>
    <row r="1263" spans="1:46" ht="15.1" customHeight="1">
      <c r="A1263" s="8">
        <v>420</v>
      </c>
      <c r="B1263" s="9" t="s">
        <v>1096</v>
      </c>
      <c r="C1263" s="8" t="s">
        <v>1097</v>
      </c>
      <c r="D1263" s="9" t="s">
        <v>451</v>
      </c>
      <c r="E1263" s="8" t="s">
        <v>54</v>
      </c>
      <c r="F1263" s="8" t="s">
        <v>54</v>
      </c>
      <c r="G1263" s="10" t="s">
        <v>67</v>
      </c>
      <c r="H1263" s="8" t="s">
        <v>54</v>
      </c>
      <c r="I1263" s="8" t="s">
        <v>54</v>
      </c>
      <c r="J1263" s="8" t="s">
        <v>54</v>
      </c>
      <c r="K1263" s="8" t="s">
        <v>54</v>
      </c>
      <c r="L1263" s="8" t="s">
        <v>54</v>
      </c>
      <c r="M1263" s="8" t="s">
        <v>54</v>
      </c>
      <c r="N1263" s="10" t="s">
        <v>67</v>
      </c>
      <c r="O1263" s="8" t="s">
        <v>54</v>
      </c>
      <c r="P1263" s="8" t="s">
        <v>54</v>
      </c>
      <c r="Q1263" s="8" t="s">
        <v>54</v>
      </c>
      <c r="R1263" s="8" t="s">
        <v>54</v>
      </c>
      <c r="S1263" s="8" t="s">
        <v>54</v>
      </c>
      <c r="T1263" s="8" t="s">
        <v>54</v>
      </c>
      <c r="U1263" s="10" t="s">
        <v>67</v>
      </c>
      <c r="V1263" s="8" t="s">
        <v>54</v>
      </c>
      <c r="W1263" s="8" t="s">
        <v>54</v>
      </c>
      <c r="X1263" s="8" t="s">
        <v>54</v>
      </c>
      <c r="Y1263" s="8" t="s">
        <v>54</v>
      </c>
      <c r="Z1263" s="8" t="s">
        <v>54</v>
      </c>
      <c r="AA1263" s="8" t="s">
        <v>54</v>
      </c>
      <c r="AB1263" s="10" t="s">
        <v>67</v>
      </c>
      <c r="AC1263" s="8" t="s">
        <v>54</v>
      </c>
      <c r="AD1263" s="8" t="s">
        <v>54</v>
      </c>
      <c r="AE1263" s="8" t="s">
        <v>54</v>
      </c>
      <c r="AF1263" s="8" t="s">
        <v>54</v>
      </c>
      <c r="AG1263" s="8" t="s">
        <v>54</v>
      </c>
      <c r="AH1263" s="8" t="s">
        <v>54</v>
      </c>
      <c r="AI1263" s="10" t="s">
        <v>67</v>
      </c>
      <c r="AJ1263" s="8">
        <f>COUNTIF($E$1263:$AI$1263,"P")</f>
        <v>26</v>
      </c>
      <c r="AK1263" s="8">
        <f>COUNTIF($E$1263:$AI$1263,"A")</f>
        <v>0</v>
      </c>
      <c r="AL1263" s="8">
        <f>SUM($E$1264:$AI$1264)</f>
        <v>48</v>
      </c>
      <c r="AM1263" s="8">
        <f>SUM($E$1265:$AI$1265)</f>
        <v>24</v>
      </c>
      <c r="AN1263" s="8">
        <f>AL1263+AM1263</f>
        <v>72</v>
      </c>
      <c r="AO1263" s="8">
        <f>COUNTIF($E$1263:$AI$1263,"CL")</f>
        <v>0</v>
      </c>
      <c r="AP1263" s="8">
        <f>COUNTIF($E$1263:$AI$1263,"SL")</f>
        <v>0</v>
      </c>
      <c r="AQ1263" s="8">
        <f>COUNTIF($E$1263:$AI$1263,"EL")</f>
        <v>0</v>
      </c>
      <c r="AR1263" s="8">
        <f>COUNTIF($E$1263:$AI$1263,"H")</f>
        <v>0</v>
      </c>
      <c r="AS1263" s="8"/>
      <c r="AT1263" s="11" t="s">
        <v>250</v>
      </c>
    </row>
    <row r="1264" spans="1:46" ht="15.1" customHeight="1">
      <c r="A1264" s="8"/>
      <c r="B1264" s="9"/>
      <c r="C1264" s="8"/>
      <c r="D1264" s="9"/>
      <c r="E1264" s="8">
        <v>0</v>
      </c>
      <c r="F1264" s="8">
        <v>2</v>
      </c>
      <c r="G1264" s="8">
        <v>0</v>
      </c>
      <c r="H1264" s="8">
        <v>2</v>
      </c>
      <c r="I1264" s="8">
        <v>2</v>
      </c>
      <c r="J1264" s="8">
        <v>2</v>
      </c>
      <c r="K1264" s="8">
        <v>2</v>
      </c>
      <c r="L1264" s="8">
        <v>2</v>
      </c>
      <c r="M1264" s="8">
        <v>2</v>
      </c>
      <c r="N1264" s="8">
        <v>0</v>
      </c>
      <c r="O1264" s="8">
        <v>2</v>
      </c>
      <c r="P1264" s="8">
        <v>2</v>
      </c>
      <c r="Q1264" s="8">
        <v>2</v>
      </c>
      <c r="R1264" s="8">
        <v>2</v>
      </c>
      <c r="S1264" s="8">
        <v>2</v>
      </c>
      <c r="T1264" s="8">
        <v>2</v>
      </c>
      <c r="U1264" s="8">
        <v>0</v>
      </c>
      <c r="V1264" s="8">
        <v>2</v>
      </c>
      <c r="W1264" s="8">
        <v>2</v>
      </c>
      <c r="X1264" s="8">
        <v>2</v>
      </c>
      <c r="Y1264" s="8">
        <v>2</v>
      </c>
      <c r="Z1264" s="8">
        <v>0</v>
      </c>
      <c r="AA1264" s="8">
        <v>2</v>
      </c>
      <c r="AB1264" s="8">
        <v>0</v>
      </c>
      <c r="AC1264" s="8">
        <v>2</v>
      </c>
      <c r="AD1264" s="8">
        <v>2</v>
      </c>
      <c r="AE1264" s="8">
        <v>2</v>
      </c>
      <c r="AF1264" s="8">
        <v>2</v>
      </c>
      <c r="AG1264" s="8">
        <v>2</v>
      </c>
      <c r="AH1264" s="8">
        <v>2</v>
      </c>
      <c r="AI1264" s="8">
        <v>0</v>
      </c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11" t="s">
        <v>250</v>
      </c>
    </row>
    <row r="1265" spans="1:46" ht="15.1" customHeight="1">
      <c r="A1265" s="8"/>
      <c r="B1265" s="9"/>
      <c r="C1265" s="8"/>
      <c r="D1265" s="9"/>
      <c r="E1265" s="8">
        <v>0</v>
      </c>
      <c r="F1265" s="8">
        <v>1</v>
      </c>
      <c r="G1265" s="8">
        <v>0</v>
      </c>
      <c r="H1265" s="8">
        <v>1</v>
      </c>
      <c r="I1265" s="8">
        <v>1</v>
      </c>
      <c r="J1265" s="8">
        <v>1</v>
      </c>
      <c r="K1265" s="8">
        <v>1</v>
      </c>
      <c r="L1265" s="8">
        <v>1</v>
      </c>
      <c r="M1265" s="8">
        <v>1</v>
      </c>
      <c r="N1265" s="8">
        <v>0</v>
      </c>
      <c r="O1265" s="8">
        <v>1</v>
      </c>
      <c r="P1265" s="8">
        <v>1</v>
      </c>
      <c r="Q1265" s="8">
        <v>1</v>
      </c>
      <c r="R1265" s="8">
        <v>1</v>
      </c>
      <c r="S1265" s="8">
        <v>1</v>
      </c>
      <c r="T1265" s="8">
        <v>1</v>
      </c>
      <c r="U1265" s="8">
        <v>0</v>
      </c>
      <c r="V1265" s="8">
        <v>1</v>
      </c>
      <c r="W1265" s="8">
        <v>1</v>
      </c>
      <c r="X1265" s="8">
        <v>1</v>
      </c>
      <c r="Y1265" s="8">
        <v>1</v>
      </c>
      <c r="Z1265" s="8">
        <v>0</v>
      </c>
      <c r="AA1265" s="8">
        <v>1</v>
      </c>
      <c r="AB1265" s="8">
        <v>0</v>
      </c>
      <c r="AC1265" s="8">
        <v>1</v>
      </c>
      <c r="AD1265" s="8">
        <v>1</v>
      </c>
      <c r="AE1265" s="8">
        <v>1</v>
      </c>
      <c r="AF1265" s="8">
        <v>1</v>
      </c>
      <c r="AG1265" s="8">
        <v>1</v>
      </c>
      <c r="AH1265" s="8">
        <v>1</v>
      </c>
      <c r="AI1265" s="8">
        <v>0</v>
      </c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11" t="s">
        <v>250</v>
      </c>
    </row>
    <row r="1266" spans="1:46" ht="15.1" customHeight="1">
      <c r="A1266" s="8">
        <v>421</v>
      </c>
      <c r="B1266" s="9" t="s">
        <v>1098</v>
      </c>
      <c r="C1266" s="8" t="s">
        <v>1099</v>
      </c>
      <c r="D1266" s="9" t="s">
        <v>451</v>
      </c>
      <c r="E1266" s="8" t="s">
        <v>54</v>
      </c>
      <c r="F1266" s="8" t="s">
        <v>54</v>
      </c>
      <c r="G1266" s="10" t="s">
        <v>67</v>
      </c>
      <c r="H1266" s="8" t="s">
        <v>54</v>
      </c>
      <c r="I1266" s="8" t="s">
        <v>54</v>
      </c>
      <c r="J1266" s="8" t="s">
        <v>54</v>
      </c>
      <c r="K1266" s="8" t="s">
        <v>54</v>
      </c>
      <c r="L1266" s="8" t="s">
        <v>54</v>
      </c>
      <c r="M1266" s="8" t="s">
        <v>54</v>
      </c>
      <c r="N1266" s="10" t="s">
        <v>67</v>
      </c>
      <c r="O1266" s="8" t="s">
        <v>54</v>
      </c>
      <c r="P1266" s="8" t="s">
        <v>54</v>
      </c>
      <c r="Q1266" s="8" t="s">
        <v>54</v>
      </c>
      <c r="R1266" s="8" t="s">
        <v>54</v>
      </c>
      <c r="S1266" s="8" t="s">
        <v>54</v>
      </c>
      <c r="T1266" s="8" t="s">
        <v>54</v>
      </c>
      <c r="U1266" s="10" t="s">
        <v>67</v>
      </c>
      <c r="V1266" s="8" t="s">
        <v>54</v>
      </c>
      <c r="W1266" s="8" t="s">
        <v>54</v>
      </c>
      <c r="X1266" s="8" t="s">
        <v>54</v>
      </c>
      <c r="Y1266" s="8" t="s">
        <v>54</v>
      </c>
      <c r="Z1266" s="8" t="s">
        <v>54</v>
      </c>
      <c r="AA1266" s="8" t="s">
        <v>54</v>
      </c>
      <c r="AB1266" s="10" t="s">
        <v>67</v>
      </c>
      <c r="AC1266" s="8" t="s">
        <v>54</v>
      </c>
      <c r="AD1266" s="8" t="s">
        <v>54</v>
      </c>
      <c r="AE1266" s="8" t="s">
        <v>54</v>
      </c>
      <c r="AF1266" s="8" t="s">
        <v>54</v>
      </c>
      <c r="AG1266" s="8" t="s">
        <v>54</v>
      </c>
      <c r="AH1266" s="8" t="s">
        <v>54</v>
      </c>
      <c r="AI1266" s="10" t="s">
        <v>67</v>
      </c>
      <c r="AJ1266" s="8">
        <f>COUNTIF($E$1266:$AI$1266,"P")</f>
        <v>26</v>
      </c>
      <c r="AK1266" s="8">
        <f>COUNTIF($E$1266:$AI$1266,"A")</f>
        <v>0</v>
      </c>
      <c r="AL1266" s="8">
        <f>SUM($E$1267:$AI$1267)</f>
        <v>44</v>
      </c>
      <c r="AM1266" s="8">
        <f>SUM($E$1268:$AI$1268)</f>
        <v>22</v>
      </c>
      <c r="AN1266" s="8">
        <f>AL1266+AM1266</f>
        <v>66</v>
      </c>
      <c r="AO1266" s="8">
        <f>COUNTIF($E$1266:$AI$1266,"CL")</f>
        <v>0</v>
      </c>
      <c r="AP1266" s="8">
        <f>COUNTIF($E$1266:$AI$1266,"SL")</f>
        <v>0</v>
      </c>
      <c r="AQ1266" s="8">
        <f>COUNTIF($E$1266:$AI$1266,"EL")</f>
        <v>0</v>
      </c>
      <c r="AR1266" s="8">
        <f>COUNTIF($E$1266:$AI$1266,"H")</f>
        <v>0</v>
      </c>
      <c r="AS1266" s="8"/>
      <c r="AT1266" s="11" t="s">
        <v>250</v>
      </c>
    </row>
    <row r="1267" spans="1:46" ht="15.1" customHeight="1">
      <c r="A1267" s="8"/>
      <c r="B1267" s="9"/>
      <c r="C1267" s="8"/>
      <c r="D1267" s="9"/>
      <c r="E1267" s="8">
        <v>0</v>
      </c>
      <c r="F1267" s="8">
        <v>0</v>
      </c>
      <c r="G1267" s="8">
        <v>0</v>
      </c>
      <c r="H1267" s="8">
        <v>0</v>
      </c>
      <c r="I1267" s="8">
        <v>2</v>
      </c>
      <c r="J1267" s="8">
        <v>2</v>
      </c>
      <c r="K1267" s="8">
        <v>2</v>
      </c>
      <c r="L1267" s="8">
        <v>2</v>
      </c>
      <c r="M1267" s="8">
        <v>2</v>
      </c>
      <c r="N1267" s="8">
        <v>0</v>
      </c>
      <c r="O1267" s="8">
        <v>2</v>
      </c>
      <c r="P1267" s="8">
        <v>2</v>
      </c>
      <c r="Q1267" s="8">
        <v>2</v>
      </c>
      <c r="R1267" s="8">
        <v>2</v>
      </c>
      <c r="S1267" s="8">
        <v>2</v>
      </c>
      <c r="T1267" s="8">
        <v>2</v>
      </c>
      <c r="U1267" s="8">
        <v>0</v>
      </c>
      <c r="V1267" s="8">
        <v>0</v>
      </c>
      <c r="W1267" s="8">
        <v>2</v>
      </c>
      <c r="X1267" s="8">
        <v>2</v>
      </c>
      <c r="Y1267" s="8">
        <v>2</v>
      </c>
      <c r="Z1267" s="8">
        <v>2</v>
      </c>
      <c r="AA1267" s="8">
        <v>2</v>
      </c>
      <c r="AB1267" s="8">
        <v>0</v>
      </c>
      <c r="AC1267" s="8">
        <v>2</v>
      </c>
      <c r="AD1267" s="8">
        <v>2</v>
      </c>
      <c r="AE1267" s="8">
        <v>2</v>
      </c>
      <c r="AF1267" s="8">
        <v>2</v>
      </c>
      <c r="AG1267" s="8">
        <v>2</v>
      </c>
      <c r="AH1267" s="8">
        <v>2</v>
      </c>
      <c r="AI1267" s="8">
        <v>0</v>
      </c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11" t="s">
        <v>250</v>
      </c>
    </row>
    <row r="1268" spans="1:46" ht="15.1" customHeight="1">
      <c r="A1268" s="8"/>
      <c r="B1268" s="9"/>
      <c r="C1268" s="8"/>
      <c r="D1268" s="9"/>
      <c r="E1268" s="8">
        <v>0</v>
      </c>
      <c r="F1268" s="8">
        <v>0</v>
      </c>
      <c r="G1268" s="8">
        <v>0</v>
      </c>
      <c r="H1268" s="8">
        <v>0</v>
      </c>
      <c r="I1268" s="8">
        <v>1</v>
      </c>
      <c r="J1268" s="8">
        <v>1</v>
      </c>
      <c r="K1268" s="8">
        <v>1</v>
      </c>
      <c r="L1268" s="8">
        <v>1</v>
      </c>
      <c r="M1268" s="8">
        <v>1</v>
      </c>
      <c r="N1268" s="8">
        <v>0</v>
      </c>
      <c r="O1268" s="8">
        <v>1</v>
      </c>
      <c r="P1268" s="8">
        <v>1</v>
      </c>
      <c r="Q1268" s="8">
        <v>1</v>
      </c>
      <c r="R1268" s="8">
        <v>1</v>
      </c>
      <c r="S1268" s="8">
        <v>1</v>
      </c>
      <c r="T1268" s="8">
        <v>1</v>
      </c>
      <c r="U1268" s="8">
        <v>0</v>
      </c>
      <c r="V1268" s="8">
        <v>0</v>
      </c>
      <c r="W1268" s="8">
        <v>1</v>
      </c>
      <c r="X1268" s="8">
        <v>1</v>
      </c>
      <c r="Y1268" s="8">
        <v>1</v>
      </c>
      <c r="Z1268" s="8">
        <v>1</v>
      </c>
      <c r="AA1268" s="8">
        <v>1</v>
      </c>
      <c r="AB1268" s="8">
        <v>0</v>
      </c>
      <c r="AC1268" s="8">
        <v>1</v>
      </c>
      <c r="AD1268" s="8">
        <v>1</v>
      </c>
      <c r="AE1268" s="8">
        <v>1</v>
      </c>
      <c r="AF1268" s="8">
        <v>1</v>
      </c>
      <c r="AG1268" s="8">
        <v>1</v>
      </c>
      <c r="AH1268" s="8">
        <v>1</v>
      </c>
      <c r="AI1268" s="8">
        <v>0</v>
      </c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11" t="s">
        <v>250</v>
      </c>
    </row>
    <row r="1269" spans="1:46" ht="15.1" customHeight="1">
      <c r="A1269" s="8">
        <v>422</v>
      </c>
      <c r="B1269" s="9" t="s">
        <v>1100</v>
      </c>
      <c r="C1269" s="8" t="s">
        <v>1101</v>
      </c>
      <c r="D1269" s="9" t="s">
        <v>451</v>
      </c>
      <c r="E1269" s="8" t="s">
        <v>54</v>
      </c>
      <c r="F1269" s="8" t="s">
        <v>54</v>
      </c>
      <c r="G1269" s="10" t="s">
        <v>67</v>
      </c>
      <c r="H1269" s="8" t="s">
        <v>54</v>
      </c>
      <c r="I1269" s="8" t="s">
        <v>54</v>
      </c>
      <c r="J1269" s="8" t="s">
        <v>54</v>
      </c>
      <c r="K1269" s="8" t="s">
        <v>54</v>
      </c>
      <c r="L1269" s="8" t="s">
        <v>54</v>
      </c>
      <c r="M1269" s="8" t="s">
        <v>54</v>
      </c>
      <c r="N1269" s="10" t="s">
        <v>67</v>
      </c>
      <c r="O1269" s="8" t="s">
        <v>54</v>
      </c>
      <c r="P1269" s="8" t="s">
        <v>54</v>
      </c>
      <c r="Q1269" s="8" t="s">
        <v>54</v>
      </c>
      <c r="R1269" s="8" t="s">
        <v>54</v>
      </c>
      <c r="S1269" s="8" t="s">
        <v>54</v>
      </c>
      <c r="T1269" s="8" t="s">
        <v>54</v>
      </c>
      <c r="U1269" s="10" t="s">
        <v>67</v>
      </c>
      <c r="V1269" s="8" t="s">
        <v>54</v>
      </c>
      <c r="W1269" s="8" t="s">
        <v>54</v>
      </c>
      <c r="X1269" s="8" t="s">
        <v>54</v>
      </c>
      <c r="Y1269" s="8" t="s">
        <v>54</v>
      </c>
      <c r="Z1269" s="8" t="s">
        <v>54</v>
      </c>
      <c r="AA1269" s="8" t="s">
        <v>54</v>
      </c>
      <c r="AB1269" s="10" t="s">
        <v>67</v>
      </c>
      <c r="AC1269" s="8" t="s">
        <v>54</v>
      </c>
      <c r="AD1269" s="8" t="s">
        <v>54</v>
      </c>
      <c r="AE1269" s="8" t="s">
        <v>54</v>
      </c>
      <c r="AF1269" s="8" t="s">
        <v>54</v>
      </c>
      <c r="AG1269" s="8" t="s">
        <v>54</v>
      </c>
      <c r="AH1269" s="8" t="s">
        <v>54</v>
      </c>
      <c r="AI1269" s="10" t="s">
        <v>67</v>
      </c>
      <c r="AJ1269" s="8">
        <f>COUNTIF($E$1269:$AI$1269,"P")</f>
        <v>26</v>
      </c>
      <c r="AK1269" s="8">
        <f>COUNTIF($E$1269:$AI$1269,"A")</f>
        <v>0</v>
      </c>
      <c r="AL1269" s="8">
        <f>SUM($E$1270:$AI$1270)</f>
        <v>44</v>
      </c>
      <c r="AM1269" s="8">
        <f>SUM($E$1271:$AI$1271)</f>
        <v>22</v>
      </c>
      <c r="AN1269" s="8">
        <f>AL1269+AM1269</f>
        <v>66</v>
      </c>
      <c r="AO1269" s="8">
        <f>COUNTIF($E$1269:$AI$1269,"CL")</f>
        <v>0</v>
      </c>
      <c r="AP1269" s="8">
        <f>COUNTIF($E$1269:$AI$1269,"SL")</f>
        <v>0</v>
      </c>
      <c r="AQ1269" s="8">
        <f>COUNTIF($E$1269:$AI$1269,"EL")</f>
        <v>0</v>
      </c>
      <c r="AR1269" s="8">
        <f>COUNTIF($E$1269:$AI$1269,"H")</f>
        <v>0</v>
      </c>
      <c r="AS1269" s="8"/>
      <c r="AT1269" s="11" t="s">
        <v>250</v>
      </c>
    </row>
    <row r="1270" spans="1:46" ht="15.1" customHeight="1">
      <c r="A1270" s="8"/>
      <c r="B1270" s="9"/>
      <c r="C1270" s="8"/>
      <c r="D1270" s="9"/>
      <c r="E1270" s="8">
        <v>0</v>
      </c>
      <c r="F1270" s="8">
        <v>0</v>
      </c>
      <c r="G1270" s="8">
        <v>0</v>
      </c>
      <c r="H1270" s="8">
        <v>0</v>
      </c>
      <c r="I1270" s="8">
        <v>2</v>
      </c>
      <c r="J1270" s="8">
        <v>2</v>
      </c>
      <c r="K1270" s="8">
        <v>2</v>
      </c>
      <c r="L1270" s="8">
        <v>2</v>
      </c>
      <c r="M1270" s="8">
        <v>2</v>
      </c>
      <c r="N1270" s="8">
        <v>0</v>
      </c>
      <c r="O1270" s="8">
        <v>2</v>
      </c>
      <c r="P1270" s="8">
        <v>2</v>
      </c>
      <c r="Q1270" s="8">
        <v>2</v>
      </c>
      <c r="R1270" s="8">
        <v>2</v>
      </c>
      <c r="S1270" s="8">
        <v>2</v>
      </c>
      <c r="T1270" s="8">
        <v>2</v>
      </c>
      <c r="U1270" s="8">
        <v>0</v>
      </c>
      <c r="V1270" s="8">
        <v>2</v>
      </c>
      <c r="W1270" s="8">
        <v>2</v>
      </c>
      <c r="X1270" s="8">
        <v>2</v>
      </c>
      <c r="Y1270" s="8">
        <v>2</v>
      </c>
      <c r="Z1270" s="8">
        <v>0</v>
      </c>
      <c r="AA1270" s="8">
        <v>2</v>
      </c>
      <c r="AB1270" s="8">
        <v>0</v>
      </c>
      <c r="AC1270" s="8">
        <v>2</v>
      </c>
      <c r="AD1270" s="8">
        <v>2</v>
      </c>
      <c r="AE1270" s="8">
        <v>2</v>
      </c>
      <c r="AF1270" s="8">
        <v>2</v>
      </c>
      <c r="AG1270" s="8">
        <v>2</v>
      </c>
      <c r="AH1270" s="8">
        <v>2</v>
      </c>
      <c r="AI1270" s="8">
        <v>0</v>
      </c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11" t="s">
        <v>250</v>
      </c>
    </row>
    <row r="1271" spans="1:46" ht="15.1" customHeight="1">
      <c r="A1271" s="8"/>
      <c r="B1271" s="9"/>
      <c r="C1271" s="8"/>
      <c r="D1271" s="9"/>
      <c r="E1271" s="8">
        <v>0</v>
      </c>
      <c r="F1271" s="8">
        <v>0</v>
      </c>
      <c r="G1271" s="8">
        <v>0</v>
      </c>
      <c r="H1271" s="8">
        <v>0</v>
      </c>
      <c r="I1271" s="8">
        <v>1</v>
      </c>
      <c r="J1271" s="8">
        <v>1</v>
      </c>
      <c r="K1271" s="8">
        <v>1</v>
      </c>
      <c r="L1271" s="8">
        <v>1</v>
      </c>
      <c r="M1271" s="8">
        <v>1</v>
      </c>
      <c r="N1271" s="8">
        <v>0</v>
      </c>
      <c r="O1271" s="8">
        <v>1</v>
      </c>
      <c r="P1271" s="8">
        <v>1</v>
      </c>
      <c r="Q1271" s="8">
        <v>1</v>
      </c>
      <c r="R1271" s="8">
        <v>1</v>
      </c>
      <c r="S1271" s="8">
        <v>1</v>
      </c>
      <c r="T1271" s="8">
        <v>1</v>
      </c>
      <c r="U1271" s="8">
        <v>0</v>
      </c>
      <c r="V1271" s="8">
        <v>1</v>
      </c>
      <c r="W1271" s="8">
        <v>1</v>
      </c>
      <c r="X1271" s="8">
        <v>1</v>
      </c>
      <c r="Y1271" s="8">
        <v>1</v>
      </c>
      <c r="Z1271" s="8">
        <v>0</v>
      </c>
      <c r="AA1271" s="8">
        <v>1</v>
      </c>
      <c r="AB1271" s="8">
        <v>0</v>
      </c>
      <c r="AC1271" s="8">
        <v>1</v>
      </c>
      <c r="AD1271" s="8">
        <v>1</v>
      </c>
      <c r="AE1271" s="8">
        <v>1</v>
      </c>
      <c r="AF1271" s="8">
        <v>1</v>
      </c>
      <c r="AG1271" s="8">
        <v>1</v>
      </c>
      <c r="AH1271" s="8">
        <v>1</v>
      </c>
      <c r="AI1271" s="8">
        <v>0</v>
      </c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11" t="s">
        <v>250</v>
      </c>
    </row>
    <row r="1272" spans="1:46" ht="15.1" customHeight="1">
      <c r="A1272" s="8">
        <v>423</v>
      </c>
      <c r="B1272" s="9" t="s">
        <v>1102</v>
      </c>
      <c r="C1272" s="8" t="s">
        <v>1103</v>
      </c>
      <c r="D1272" s="9" t="s">
        <v>451</v>
      </c>
      <c r="E1272" s="8" t="s">
        <v>54</v>
      </c>
      <c r="F1272" s="8" t="s">
        <v>54</v>
      </c>
      <c r="G1272" s="10" t="s">
        <v>67</v>
      </c>
      <c r="H1272" s="8" t="s">
        <v>54</v>
      </c>
      <c r="I1272" s="8" t="s">
        <v>54</v>
      </c>
      <c r="J1272" s="8" t="s">
        <v>54</v>
      </c>
      <c r="K1272" s="8" t="s">
        <v>54</v>
      </c>
      <c r="L1272" s="8" t="s">
        <v>54</v>
      </c>
      <c r="M1272" s="8" t="s">
        <v>54</v>
      </c>
      <c r="N1272" s="10" t="s">
        <v>67</v>
      </c>
      <c r="O1272" s="8" t="s">
        <v>54</v>
      </c>
      <c r="P1272" s="8" t="s">
        <v>54</v>
      </c>
      <c r="Q1272" s="8" t="s">
        <v>54</v>
      </c>
      <c r="R1272" s="8" t="s">
        <v>54</v>
      </c>
      <c r="S1272" s="8" t="s">
        <v>54</v>
      </c>
      <c r="T1272" s="8" t="s">
        <v>54</v>
      </c>
      <c r="U1272" s="10" t="s">
        <v>67</v>
      </c>
      <c r="V1272" s="8" t="s">
        <v>54</v>
      </c>
      <c r="W1272" s="8" t="s">
        <v>54</v>
      </c>
      <c r="X1272" s="8" t="s">
        <v>54</v>
      </c>
      <c r="Y1272" s="8" t="s">
        <v>54</v>
      </c>
      <c r="Z1272" s="8" t="s">
        <v>54</v>
      </c>
      <c r="AA1272" s="8" t="s">
        <v>54</v>
      </c>
      <c r="AB1272" s="10" t="s">
        <v>67</v>
      </c>
      <c r="AC1272" s="8" t="s">
        <v>54</v>
      </c>
      <c r="AD1272" s="8" t="s">
        <v>54</v>
      </c>
      <c r="AE1272" s="8" t="s">
        <v>54</v>
      </c>
      <c r="AF1272" s="8" t="s">
        <v>54</v>
      </c>
      <c r="AG1272" s="8" t="s">
        <v>54</v>
      </c>
      <c r="AH1272" s="8" t="s">
        <v>54</v>
      </c>
      <c r="AI1272" s="10" t="s">
        <v>67</v>
      </c>
      <c r="AJ1272" s="8">
        <f>COUNTIF($E$1272:$AI$1272,"P")</f>
        <v>26</v>
      </c>
      <c r="AK1272" s="8">
        <f>COUNTIF($E$1272:$AI$1272,"A")</f>
        <v>0</v>
      </c>
      <c r="AL1272" s="8">
        <f>SUM($E$1273:$AI$1273)</f>
        <v>48</v>
      </c>
      <c r="AM1272" s="8">
        <f>SUM($E$1274:$AI$1274)</f>
        <v>35</v>
      </c>
      <c r="AN1272" s="8">
        <f>AL1272+AM1272</f>
        <v>83</v>
      </c>
      <c r="AO1272" s="8">
        <f>COUNTIF($E$1272:$AI$1272,"CL")</f>
        <v>0</v>
      </c>
      <c r="AP1272" s="8">
        <f>COUNTIF($E$1272:$AI$1272,"SL")</f>
        <v>0</v>
      </c>
      <c r="AQ1272" s="8">
        <f>COUNTIF($E$1272:$AI$1272,"EL")</f>
        <v>0</v>
      </c>
      <c r="AR1272" s="8">
        <f>COUNTIF($E$1272:$AI$1272,"H")</f>
        <v>0</v>
      </c>
      <c r="AS1272" s="8"/>
      <c r="AT1272" s="11" t="s">
        <v>250</v>
      </c>
    </row>
    <row r="1273" spans="1:46" ht="15.1" customHeight="1">
      <c r="A1273" s="8"/>
      <c r="B1273" s="9"/>
      <c r="C1273" s="8"/>
      <c r="D1273" s="9"/>
      <c r="E1273" s="8">
        <v>0</v>
      </c>
      <c r="F1273" s="8">
        <v>2</v>
      </c>
      <c r="G1273" s="8">
        <v>0</v>
      </c>
      <c r="H1273" s="8">
        <v>2</v>
      </c>
      <c r="I1273" s="8">
        <v>2</v>
      </c>
      <c r="J1273" s="8">
        <v>2</v>
      </c>
      <c r="K1273" s="8">
        <v>2</v>
      </c>
      <c r="L1273" s="8">
        <v>2</v>
      </c>
      <c r="M1273" s="8">
        <v>2</v>
      </c>
      <c r="N1273" s="8">
        <v>0</v>
      </c>
      <c r="O1273" s="8">
        <v>2</v>
      </c>
      <c r="P1273" s="8">
        <v>2</v>
      </c>
      <c r="Q1273" s="8">
        <v>2</v>
      </c>
      <c r="R1273" s="8">
        <v>2</v>
      </c>
      <c r="S1273" s="8">
        <v>2</v>
      </c>
      <c r="T1273" s="8">
        <v>2</v>
      </c>
      <c r="U1273" s="8">
        <v>0</v>
      </c>
      <c r="V1273" s="8">
        <v>2</v>
      </c>
      <c r="W1273" s="8">
        <v>2</v>
      </c>
      <c r="X1273" s="8">
        <v>2</v>
      </c>
      <c r="Y1273" s="8">
        <v>2</v>
      </c>
      <c r="Z1273" s="8">
        <v>0</v>
      </c>
      <c r="AA1273" s="8">
        <v>2</v>
      </c>
      <c r="AB1273" s="8">
        <v>0</v>
      </c>
      <c r="AC1273" s="8">
        <v>2</v>
      </c>
      <c r="AD1273" s="8">
        <v>2</v>
      </c>
      <c r="AE1273" s="8">
        <v>2</v>
      </c>
      <c r="AF1273" s="8">
        <v>2</v>
      </c>
      <c r="AG1273" s="8">
        <v>2</v>
      </c>
      <c r="AH1273" s="8">
        <v>2</v>
      </c>
      <c r="AI1273" s="8">
        <v>0</v>
      </c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11" t="s">
        <v>250</v>
      </c>
    </row>
    <row r="1274" spans="1:46" ht="15.1" customHeight="1">
      <c r="A1274" s="8"/>
      <c r="B1274" s="9"/>
      <c r="C1274" s="8"/>
      <c r="D1274" s="9"/>
      <c r="E1274" s="8">
        <v>0</v>
      </c>
      <c r="F1274" s="8">
        <v>0</v>
      </c>
      <c r="G1274" s="8">
        <v>0</v>
      </c>
      <c r="H1274" s="8">
        <v>1</v>
      </c>
      <c r="I1274" s="8">
        <v>1</v>
      </c>
      <c r="J1274" s="8">
        <v>1</v>
      </c>
      <c r="K1274" s="8">
        <v>1</v>
      </c>
      <c r="L1274" s="8">
        <v>1</v>
      </c>
      <c r="M1274" s="8">
        <v>1</v>
      </c>
      <c r="N1274" s="8">
        <v>12</v>
      </c>
      <c r="O1274" s="8">
        <v>1</v>
      </c>
      <c r="P1274" s="8">
        <v>1</v>
      </c>
      <c r="Q1274" s="8">
        <v>1</v>
      </c>
      <c r="R1274" s="8">
        <v>1</v>
      </c>
      <c r="S1274" s="8">
        <v>1</v>
      </c>
      <c r="T1274" s="8">
        <v>1</v>
      </c>
      <c r="U1274" s="8">
        <v>0</v>
      </c>
      <c r="V1274" s="8">
        <v>1</v>
      </c>
      <c r="W1274" s="8">
        <v>1</v>
      </c>
      <c r="X1274" s="8">
        <v>1</v>
      </c>
      <c r="Y1274" s="8">
        <v>1</v>
      </c>
      <c r="Z1274" s="8">
        <v>0</v>
      </c>
      <c r="AA1274" s="8">
        <v>1</v>
      </c>
      <c r="AB1274" s="8">
        <v>0</v>
      </c>
      <c r="AC1274" s="8">
        <v>1</v>
      </c>
      <c r="AD1274" s="8">
        <v>1</v>
      </c>
      <c r="AE1274" s="8">
        <v>1</v>
      </c>
      <c r="AF1274" s="8">
        <v>1</v>
      </c>
      <c r="AG1274" s="8">
        <v>1</v>
      </c>
      <c r="AH1274" s="8">
        <v>1</v>
      </c>
      <c r="AI1274" s="8">
        <v>0</v>
      </c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11" t="s">
        <v>250</v>
      </c>
    </row>
    <row r="1275" spans="1:46" ht="15.1" customHeight="1">
      <c r="A1275" s="8">
        <v>424</v>
      </c>
      <c r="B1275" s="9" t="s">
        <v>1104</v>
      </c>
      <c r="C1275" s="8" t="s">
        <v>1105</v>
      </c>
      <c r="D1275" s="9" t="s">
        <v>451</v>
      </c>
      <c r="E1275" s="8" t="s">
        <v>54</v>
      </c>
      <c r="F1275" s="8" t="s">
        <v>54</v>
      </c>
      <c r="G1275" s="10" t="s">
        <v>67</v>
      </c>
      <c r="H1275" s="8" t="s">
        <v>54</v>
      </c>
      <c r="I1275" s="8" t="s">
        <v>54</v>
      </c>
      <c r="J1275" s="8" t="s">
        <v>54</v>
      </c>
      <c r="K1275" s="8" t="s">
        <v>54</v>
      </c>
      <c r="L1275" s="12" t="s">
        <v>55</v>
      </c>
      <c r="M1275" s="8" t="s">
        <v>54</v>
      </c>
      <c r="N1275" s="10" t="s">
        <v>67</v>
      </c>
      <c r="O1275" s="8" t="s">
        <v>54</v>
      </c>
      <c r="P1275" s="8" t="s">
        <v>54</v>
      </c>
      <c r="Q1275" s="8" t="s">
        <v>54</v>
      </c>
      <c r="R1275" s="12" t="s">
        <v>55</v>
      </c>
      <c r="S1275" s="12" t="s">
        <v>55</v>
      </c>
      <c r="T1275" s="8" t="s">
        <v>54</v>
      </c>
      <c r="U1275" s="10" t="s">
        <v>67</v>
      </c>
      <c r="V1275" s="8" t="s">
        <v>54</v>
      </c>
      <c r="W1275" s="8" t="s">
        <v>54</v>
      </c>
      <c r="X1275" s="8" t="s">
        <v>54</v>
      </c>
      <c r="Y1275" s="8" t="s">
        <v>54</v>
      </c>
      <c r="Z1275" s="8" t="s">
        <v>54</v>
      </c>
      <c r="AA1275" s="12" t="s">
        <v>55</v>
      </c>
      <c r="AB1275" s="10" t="s">
        <v>67</v>
      </c>
      <c r="AC1275" s="8" t="s">
        <v>54</v>
      </c>
      <c r="AD1275" s="12" t="s">
        <v>55</v>
      </c>
      <c r="AE1275" s="8" t="s">
        <v>54</v>
      </c>
      <c r="AF1275" s="8" t="s">
        <v>54</v>
      </c>
      <c r="AG1275" s="12" t="s">
        <v>55</v>
      </c>
      <c r="AH1275" s="8" t="s">
        <v>54</v>
      </c>
      <c r="AI1275" s="10" t="s">
        <v>67</v>
      </c>
      <c r="AJ1275" s="8">
        <f>COUNTIF($E$1275:$AI$1275,"P")</f>
        <v>20</v>
      </c>
      <c r="AK1275" s="8">
        <f>COUNTIF($E$1275:$AI$1275,"A")</f>
        <v>6</v>
      </c>
      <c r="AL1275" s="8">
        <f>SUM($E$1276:$AI$1276)</f>
        <v>24</v>
      </c>
      <c r="AM1275" s="8">
        <f>SUM($E$1277:$AI$1277)</f>
        <v>12</v>
      </c>
      <c r="AN1275" s="8">
        <f>AL1275+AM1275</f>
        <v>36</v>
      </c>
      <c r="AO1275" s="8">
        <f>COUNTIF($E$1275:$AI$1275,"CL")</f>
        <v>0</v>
      </c>
      <c r="AP1275" s="8">
        <f>COUNTIF($E$1275:$AI$1275,"SL")</f>
        <v>0</v>
      </c>
      <c r="AQ1275" s="8">
        <f>COUNTIF($E$1275:$AI$1275,"EL")</f>
        <v>0</v>
      </c>
      <c r="AR1275" s="8">
        <f>COUNTIF($E$1275:$AI$1275,"H")</f>
        <v>0</v>
      </c>
      <c r="AS1275" s="8"/>
      <c r="AT1275" s="11" t="s">
        <v>250</v>
      </c>
    </row>
    <row r="1276" spans="1:46" ht="15.1" customHeight="1">
      <c r="A1276" s="8"/>
      <c r="B1276" s="9"/>
      <c r="C1276" s="8"/>
      <c r="D1276" s="9"/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2</v>
      </c>
      <c r="P1276" s="8">
        <v>2</v>
      </c>
      <c r="Q1276" s="8">
        <v>2</v>
      </c>
      <c r="R1276" s="8">
        <v>0</v>
      </c>
      <c r="S1276" s="8">
        <v>0</v>
      </c>
      <c r="T1276" s="8">
        <v>2</v>
      </c>
      <c r="U1276" s="8">
        <v>0</v>
      </c>
      <c r="V1276" s="8">
        <v>2</v>
      </c>
      <c r="W1276" s="8">
        <v>2</v>
      </c>
      <c r="X1276" s="8">
        <v>2</v>
      </c>
      <c r="Y1276" s="8">
        <v>2</v>
      </c>
      <c r="Z1276" s="8">
        <v>0</v>
      </c>
      <c r="AA1276" s="8">
        <v>0</v>
      </c>
      <c r="AB1276" s="8">
        <v>0</v>
      </c>
      <c r="AC1276" s="8">
        <v>2</v>
      </c>
      <c r="AD1276" s="8">
        <v>0</v>
      </c>
      <c r="AE1276" s="8">
        <v>2</v>
      </c>
      <c r="AF1276" s="8">
        <v>2</v>
      </c>
      <c r="AG1276" s="8">
        <v>0</v>
      </c>
      <c r="AH1276" s="8">
        <v>2</v>
      </c>
      <c r="AI1276" s="8">
        <v>0</v>
      </c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11" t="s">
        <v>250</v>
      </c>
    </row>
    <row r="1277" spans="1:46" ht="15.1" customHeight="1">
      <c r="A1277" s="8"/>
      <c r="B1277" s="9"/>
      <c r="C1277" s="8"/>
      <c r="D1277" s="9"/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1</v>
      </c>
      <c r="P1277" s="8">
        <v>1</v>
      </c>
      <c r="Q1277" s="8">
        <v>1</v>
      </c>
      <c r="R1277" s="8">
        <v>0</v>
      </c>
      <c r="S1277" s="8">
        <v>0</v>
      </c>
      <c r="T1277" s="8">
        <v>1</v>
      </c>
      <c r="U1277" s="8">
        <v>0</v>
      </c>
      <c r="V1277" s="8">
        <v>1</v>
      </c>
      <c r="W1277" s="8">
        <v>1</v>
      </c>
      <c r="X1277" s="8">
        <v>1</v>
      </c>
      <c r="Y1277" s="8">
        <v>1</v>
      </c>
      <c r="Z1277" s="8">
        <v>0</v>
      </c>
      <c r="AA1277" s="8">
        <v>0</v>
      </c>
      <c r="AB1277" s="8">
        <v>0</v>
      </c>
      <c r="AC1277" s="8">
        <v>1</v>
      </c>
      <c r="AD1277" s="8">
        <v>0</v>
      </c>
      <c r="AE1277" s="8">
        <v>1</v>
      </c>
      <c r="AF1277" s="8">
        <v>1</v>
      </c>
      <c r="AG1277" s="8">
        <v>0</v>
      </c>
      <c r="AH1277" s="8">
        <v>1</v>
      </c>
      <c r="AI1277" s="8">
        <v>0</v>
      </c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11" t="s">
        <v>250</v>
      </c>
    </row>
    <row r="1278" spans="1:46" ht="15.1" customHeight="1">
      <c r="A1278" s="8">
        <v>425</v>
      </c>
      <c r="B1278" s="9" t="s">
        <v>1106</v>
      </c>
      <c r="C1278" s="8" t="s">
        <v>1107</v>
      </c>
      <c r="D1278" s="9" t="s">
        <v>451</v>
      </c>
      <c r="E1278" s="8" t="s">
        <v>54</v>
      </c>
      <c r="F1278" s="8" t="s">
        <v>54</v>
      </c>
      <c r="G1278" s="10" t="s">
        <v>67</v>
      </c>
      <c r="H1278" s="12" t="s">
        <v>55</v>
      </c>
      <c r="I1278" s="8" t="s">
        <v>54</v>
      </c>
      <c r="J1278" s="8" t="s">
        <v>54</v>
      </c>
      <c r="K1278" s="8" t="s">
        <v>54</v>
      </c>
      <c r="L1278" s="8" t="s">
        <v>54</v>
      </c>
      <c r="M1278" s="8" t="s">
        <v>54</v>
      </c>
      <c r="N1278" s="10" t="s">
        <v>67</v>
      </c>
      <c r="O1278" s="12" t="s">
        <v>55</v>
      </c>
      <c r="P1278" s="12" t="s">
        <v>55</v>
      </c>
      <c r="Q1278" s="12" t="s">
        <v>55</v>
      </c>
      <c r="R1278" s="12" t="s">
        <v>55</v>
      </c>
      <c r="S1278" s="8" t="s">
        <v>54</v>
      </c>
      <c r="T1278" s="8" t="s">
        <v>54</v>
      </c>
      <c r="U1278" s="10" t="s">
        <v>67</v>
      </c>
      <c r="V1278" s="8" t="s">
        <v>54</v>
      </c>
      <c r="W1278" s="8" t="s">
        <v>54</v>
      </c>
      <c r="X1278" s="8" t="s">
        <v>54</v>
      </c>
      <c r="Y1278" s="8" t="s">
        <v>54</v>
      </c>
      <c r="Z1278" s="8" t="s">
        <v>54</v>
      </c>
      <c r="AA1278" s="8" t="s">
        <v>54</v>
      </c>
      <c r="AB1278" s="10" t="s">
        <v>67</v>
      </c>
      <c r="AC1278" s="8" t="s">
        <v>54</v>
      </c>
      <c r="AD1278" s="8" t="s">
        <v>54</v>
      </c>
      <c r="AE1278" s="8" t="s">
        <v>54</v>
      </c>
      <c r="AF1278" s="8" t="s">
        <v>54</v>
      </c>
      <c r="AG1278" s="8" t="s">
        <v>54</v>
      </c>
      <c r="AH1278" s="8" t="s">
        <v>54</v>
      </c>
      <c r="AI1278" s="10" t="s">
        <v>67</v>
      </c>
      <c r="AJ1278" s="8">
        <f>COUNTIF($E$1278:$AI$1278,"P")</f>
        <v>21</v>
      </c>
      <c r="AK1278" s="8">
        <f>COUNTIF($E$1278:$AI$1278,"A")</f>
        <v>5</v>
      </c>
      <c r="AL1278" s="8">
        <f>SUM($E$1279:$AI$1279)</f>
        <v>38</v>
      </c>
      <c r="AM1278" s="8">
        <f>SUM($E$1280:$AI$1280)</f>
        <v>27</v>
      </c>
      <c r="AN1278" s="8">
        <f>AL1278+AM1278</f>
        <v>65</v>
      </c>
      <c r="AO1278" s="8">
        <f>COUNTIF($E$1278:$AI$1278,"CL")</f>
        <v>0</v>
      </c>
      <c r="AP1278" s="8">
        <f>COUNTIF($E$1278:$AI$1278,"SL")</f>
        <v>0</v>
      </c>
      <c r="AQ1278" s="8">
        <f>COUNTIF($E$1278:$AI$1278,"EL")</f>
        <v>0</v>
      </c>
      <c r="AR1278" s="8">
        <f>COUNTIF($E$1278:$AI$1278,"H")</f>
        <v>0</v>
      </c>
      <c r="AS1278" s="8"/>
      <c r="AT1278" s="11" t="s">
        <v>250</v>
      </c>
    </row>
    <row r="1279" spans="1:46" ht="15.1" customHeight="1">
      <c r="A1279" s="8"/>
      <c r="B1279" s="9"/>
      <c r="C1279" s="8"/>
      <c r="D1279" s="9"/>
      <c r="E1279" s="8">
        <v>0</v>
      </c>
      <c r="F1279" s="8">
        <v>0</v>
      </c>
      <c r="G1279" s="8">
        <v>0</v>
      </c>
      <c r="H1279" s="8">
        <v>0</v>
      </c>
      <c r="I1279" s="8">
        <v>2</v>
      </c>
      <c r="J1279" s="8">
        <v>2</v>
      </c>
      <c r="K1279" s="8">
        <v>2</v>
      </c>
      <c r="L1279" s="8">
        <v>2</v>
      </c>
      <c r="M1279" s="8">
        <v>2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2</v>
      </c>
      <c r="T1279" s="8">
        <v>2</v>
      </c>
      <c r="U1279" s="8">
        <v>0</v>
      </c>
      <c r="V1279" s="8">
        <v>2</v>
      </c>
      <c r="W1279" s="8">
        <v>2</v>
      </c>
      <c r="X1279" s="8">
        <v>2</v>
      </c>
      <c r="Y1279" s="8">
        <v>2</v>
      </c>
      <c r="Z1279" s="8">
        <v>2</v>
      </c>
      <c r="AA1279" s="8">
        <v>2</v>
      </c>
      <c r="AB1279" s="8">
        <v>0</v>
      </c>
      <c r="AC1279" s="8">
        <v>2</v>
      </c>
      <c r="AD1279" s="8">
        <v>2</v>
      </c>
      <c r="AE1279" s="8">
        <v>2</v>
      </c>
      <c r="AF1279" s="8">
        <v>2</v>
      </c>
      <c r="AG1279" s="8">
        <v>2</v>
      </c>
      <c r="AH1279" s="8">
        <v>2</v>
      </c>
      <c r="AI1279" s="8">
        <v>0</v>
      </c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11" t="s">
        <v>250</v>
      </c>
    </row>
    <row r="1280" spans="1:46" ht="15.1" customHeight="1">
      <c r="A1280" s="8"/>
      <c r="B1280" s="9"/>
      <c r="C1280" s="8"/>
      <c r="D1280" s="9"/>
      <c r="E1280" s="8">
        <v>0</v>
      </c>
      <c r="F1280" s="8">
        <v>0</v>
      </c>
      <c r="G1280" s="8">
        <v>9</v>
      </c>
      <c r="H1280" s="8">
        <v>0</v>
      </c>
      <c r="I1280" s="8">
        <v>1</v>
      </c>
      <c r="J1280" s="8">
        <v>1</v>
      </c>
      <c r="K1280" s="8">
        <v>1</v>
      </c>
      <c r="L1280" s="8">
        <v>1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1</v>
      </c>
      <c r="T1280" s="8">
        <v>1</v>
      </c>
      <c r="U1280" s="8">
        <v>0</v>
      </c>
      <c r="V1280" s="8">
        <v>1</v>
      </c>
      <c r="W1280" s="8">
        <v>1</v>
      </c>
      <c r="X1280" s="8">
        <v>1</v>
      </c>
      <c r="Y1280" s="8">
        <v>1</v>
      </c>
      <c r="Z1280" s="8">
        <v>1</v>
      </c>
      <c r="AA1280" s="8">
        <v>1</v>
      </c>
      <c r="AB1280" s="8">
        <v>0</v>
      </c>
      <c r="AC1280" s="8">
        <v>1</v>
      </c>
      <c r="AD1280" s="8">
        <v>1</v>
      </c>
      <c r="AE1280" s="8">
        <v>1</v>
      </c>
      <c r="AF1280" s="8">
        <v>1</v>
      </c>
      <c r="AG1280" s="8">
        <v>1</v>
      </c>
      <c r="AH1280" s="8">
        <v>1</v>
      </c>
      <c r="AI1280" s="8">
        <v>0</v>
      </c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11" t="s">
        <v>250</v>
      </c>
    </row>
    <row r="1281" spans="1:46" ht="15.1" customHeight="1">
      <c r="A1281" s="8">
        <v>426</v>
      </c>
      <c r="B1281" s="9" t="s">
        <v>1108</v>
      </c>
      <c r="C1281" s="8" t="s">
        <v>1109</v>
      </c>
      <c r="D1281" s="9" t="s">
        <v>451</v>
      </c>
      <c r="E1281" s="8" t="s">
        <v>54</v>
      </c>
      <c r="F1281" s="8" t="s">
        <v>54</v>
      </c>
      <c r="G1281" s="10" t="s">
        <v>67</v>
      </c>
      <c r="H1281" s="8" t="s">
        <v>54</v>
      </c>
      <c r="I1281" s="8" t="s">
        <v>54</v>
      </c>
      <c r="J1281" s="8" t="s">
        <v>54</v>
      </c>
      <c r="K1281" s="8" t="s">
        <v>54</v>
      </c>
      <c r="L1281" s="8" t="s">
        <v>54</v>
      </c>
      <c r="M1281" s="8" t="s">
        <v>54</v>
      </c>
      <c r="N1281" s="10" t="s">
        <v>67</v>
      </c>
      <c r="O1281" s="8" t="s">
        <v>54</v>
      </c>
      <c r="P1281" s="8" t="s">
        <v>54</v>
      </c>
      <c r="Q1281" s="8" t="s">
        <v>54</v>
      </c>
      <c r="R1281" s="8" t="s">
        <v>54</v>
      </c>
      <c r="S1281" s="8" t="s">
        <v>54</v>
      </c>
      <c r="T1281" s="8" t="s">
        <v>54</v>
      </c>
      <c r="U1281" s="10" t="s">
        <v>67</v>
      </c>
      <c r="V1281" s="8" t="s">
        <v>54</v>
      </c>
      <c r="W1281" s="8" t="s">
        <v>54</v>
      </c>
      <c r="X1281" s="8" t="s">
        <v>54</v>
      </c>
      <c r="Y1281" s="8" t="s">
        <v>54</v>
      </c>
      <c r="Z1281" s="8" t="s">
        <v>54</v>
      </c>
      <c r="AA1281" s="8" t="s">
        <v>54</v>
      </c>
      <c r="AB1281" s="10" t="s">
        <v>67</v>
      </c>
      <c r="AC1281" s="8" t="s">
        <v>54</v>
      </c>
      <c r="AD1281" s="8" t="s">
        <v>54</v>
      </c>
      <c r="AE1281" s="8" t="s">
        <v>54</v>
      </c>
      <c r="AF1281" s="8" t="s">
        <v>54</v>
      </c>
      <c r="AG1281" s="8" t="s">
        <v>54</v>
      </c>
      <c r="AH1281" s="8" t="s">
        <v>54</v>
      </c>
      <c r="AI1281" s="10" t="s">
        <v>67</v>
      </c>
      <c r="AJ1281" s="8">
        <f>COUNTIF($E$1281:$AI$1281,"P")</f>
        <v>26</v>
      </c>
      <c r="AK1281" s="8">
        <f>COUNTIF($E$1281:$AI$1281,"A")</f>
        <v>0</v>
      </c>
      <c r="AL1281" s="8">
        <f>SUM($E$1282:$AI$1282)</f>
        <v>44</v>
      </c>
      <c r="AM1281" s="8">
        <f>SUM($E$1283:$AI$1283)</f>
        <v>22</v>
      </c>
      <c r="AN1281" s="8">
        <f>AL1281+AM1281</f>
        <v>66</v>
      </c>
      <c r="AO1281" s="8">
        <f>COUNTIF($E$1281:$AI$1281,"CL")</f>
        <v>0</v>
      </c>
      <c r="AP1281" s="8">
        <f>COUNTIF($E$1281:$AI$1281,"SL")</f>
        <v>0</v>
      </c>
      <c r="AQ1281" s="8">
        <f>COUNTIF($E$1281:$AI$1281,"EL")</f>
        <v>0</v>
      </c>
      <c r="AR1281" s="8">
        <f>COUNTIF($E$1281:$AI$1281,"H")</f>
        <v>0</v>
      </c>
      <c r="AS1281" s="8"/>
      <c r="AT1281" s="11" t="s">
        <v>250</v>
      </c>
    </row>
    <row r="1282" spans="1:46" ht="15.1" customHeight="1">
      <c r="A1282" s="8"/>
      <c r="B1282" s="9"/>
      <c r="C1282" s="8"/>
      <c r="D1282" s="9"/>
      <c r="E1282" s="8">
        <v>0</v>
      </c>
      <c r="F1282" s="8">
        <v>0</v>
      </c>
      <c r="G1282" s="8">
        <v>0</v>
      </c>
      <c r="H1282" s="8">
        <v>2</v>
      </c>
      <c r="I1282" s="8">
        <v>2</v>
      </c>
      <c r="J1282" s="8">
        <v>0</v>
      </c>
      <c r="K1282" s="8">
        <v>2</v>
      </c>
      <c r="L1282" s="8">
        <v>2</v>
      </c>
      <c r="M1282" s="8">
        <v>2</v>
      </c>
      <c r="N1282" s="8">
        <v>0</v>
      </c>
      <c r="O1282" s="8">
        <v>2</v>
      </c>
      <c r="P1282" s="8">
        <v>2</v>
      </c>
      <c r="Q1282" s="8">
        <v>2</v>
      </c>
      <c r="R1282" s="8">
        <v>2</v>
      </c>
      <c r="S1282" s="8">
        <v>2</v>
      </c>
      <c r="T1282" s="8">
        <v>2</v>
      </c>
      <c r="U1282" s="8">
        <v>0</v>
      </c>
      <c r="V1282" s="8">
        <v>2</v>
      </c>
      <c r="W1282" s="8">
        <v>2</v>
      </c>
      <c r="X1282" s="8">
        <v>2</v>
      </c>
      <c r="Y1282" s="8">
        <v>2</v>
      </c>
      <c r="Z1282" s="8">
        <v>0</v>
      </c>
      <c r="AA1282" s="8">
        <v>2</v>
      </c>
      <c r="AB1282" s="8">
        <v>0</v>
      </c>
      <c r="AC1282" s="8">
        <v>2</v>
      </c>
      <c r="AD1282" s="8">
        <v>2</v>
      </c>
      <c r="AE1282" s="8">
        <v>2</v>
      </c>
      <c r="AF1282" s="8">
        <v>2</v>
      </c>
      <c r="AG1282" s="8">
        <v>2</v>
      </c>
      <c r="AH1282" s="8">
        <v>2</v>
      </c>
      <c r="AI1282" s="8">
        <v>0</v>
      </c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11" t="s">
        <v>250</v>
      </c>
    </row>
    <row r="1283" spans="1:46" ht="15.1" customHeight="1">
      <c r="A1283" s="8"/>
      <c r="B1283" s="9"/>
      <c r="C1283" s="8"/>
      <c r="D1283" s="9"/>
      <c r="E1283" s="8">
        <v>0</v>
      </c>
      <c r="F1283" s="8">
        <v>0</v>
      </c>
      <c r="G1283" s="8">
        <v>0</v>
      </c>
      <c r="H1283" s="8">
        <v>1</v>
      </c>
      <c r="I1283" s="8">
        <v>1</v>
      </c>
      <c r="J1283" s="8">
        <v>0</v>
      </c>
      <c r="K1283" s="8">
        <v>1</v>
      </c>
      <c r="L1283" s="8">
        <v>1</v>
      </c>
      <c r="M1283" s="8">
        <v>1</v>
      </c>
      <c r="N1283" s="8">
        <v>0</v>
      </c>
      <c r="O1283" s="8">
        <v>1</v>
      </c>
      <c r="P1283" s="8">
        <v>1</v>
      </c>
      <c r="Q1283" s="8">
        <v>1</v>
      </c>
      <c r="R1283" s="8">
        <v>1</v>
      </c>
      <c r="S1283" s="8">
        <v>1</v>
      </c>
      <c r="T1283" s="8">
        <v>1</v>
      </c>
      <c r="U1283" s="8">
        <v>0</v>
      </c>
      <c r="V1283" s="8">
        <v>1</v>
      </c>
      <c r="W1283" s="8">
        <v>1</v>
      </c>
      <c r="X1283" s="8">
        <v>1</v>
      </c>
      <c r="Y1283" s="8">
        <v>1</v>
      </c>
      <c r="Z1283" s="8">
        <v>0</v>
      </c>
      <c r="AA1283" s="8">
        <v>1</v>
      </c>
      <c r="AB1283" s="8">
        <v>0</v>
      </c>
      <c r="AC1283" s="8">
        <v>1</v>
      </c>
      <c r="AD1283" s="8">
        <v>1</v>
      </c>
      <c r="AE1283" s="8">
        <v>1</v>
      </c>
      <c r="AF1283" s="8">
        <v>1</v>
      </c>
      <c r="AG1283" s="8">
        <v>1</v>
      </c>
      <c r="AH1283" s="8">
        <v>1</v>
      </c>
      <c r="AI1283" s="8">
        <v>0</v>
      </c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11" t="s">
        <v>250</v>
      </c>
    </row>
    <row r="1284" spans="1:46" ht="15.1" customHeight="1">
      <c r="A1284" s="8">
        <v>427</v>
      </c>
      <c r="B1284" s="9" t="s">
        <v>1110</v>
      </c>
      <c r="C1284" s="8" t="s">
        <v>1111</v>
      </c>
      <c r="D1284" s="9" t="s">
        <v>451</v>
      </c>
      <c r="E1284" s="8" t="s">
        <v>54</v>
      </c>
      <c r="F1284" s="8" t="s">
        <v>54</v>
      </c>
      <c r="G1284" s="10" t="s">
        <v>67</v>
      </c>
      <c r="H1284" s="8" t="s">
        <v>54</v>
      </c>
      <c r="I1284" s="8" t="s">
        <v>54</v>
      </c>
      <c r="J1284" s="8" t="s">
        <v>54</v>
      </c>
      <c r="K1284" s="8" t="s">
        <v>54</v>
      </c>
      <c r="L1284" s="8" t="s">
        <v>54</v>
      </c>
      <c r="M1284" s="8" t="s">
        <v>54</v>
      </c>
      <c r="N1284" s="10" t="s">
        <v>67</v>
      </c>
      <c r="O1284" s="8" t="s">
        <v>54</v>
      </c>
      <c r="P1284" s="8" t="s">
        <v>54</v>
      </c>
      <c r="Q1284" s="8" t="s">
        <v>54</v>
      </c>
      <c r="R1284" s="8" t="s">
        <v>54</v>
      </c>
      <c r="S1284" s="8" t="s">
        <v>54</v>
      </c>
      <c r="T1284" s="8" t="s">
        <v>54</v>
      </c>
      <c r="U1284" s="10" t="s">
        <v>67</v>
      </c>
      <c r="V1284" s="8" t="s">
        <v>54</v>
      </c>
      <c r="W1284" s="8" t="s">
        <v>54</v>
      </c>
      <c r="X1284" s="8" t="s">
        <v>54</v>
      </c>
      <c r="Y1284" s="8" t="s">
        <v>54</v>
      </c>
      <c r="Z1284" s="8" t="s">
        <v>54</v>
      </c>
      <c r="AA1284" s="8" t="s">
        <v>54</v>
      </c>
      <c r="AB1284" s="10" t="s">
        <v>67</v>
      </c>
      <c r="AC1284" s="8" t="s">
        <v>54</v>
      </c>
      <c r="AD1284" s="8" t="s">
        <v>54</v>
      </c>
      <c r="AE1284" s="8" t="s">
        <v>54</v>
      </c>
      <c r="AF1284" s="8" t="s">
        <v>54</v>
      </c>
      <c r="AG1284" s="8" t="s">
        <v>54</v>
      </c>
      <c r="AH1284" s="8" t="s">
        <v>54</v>
      </c>
      <c r="AI1284" s="10" t="s">
        <v>67</v>
      </c>
      <c r="AJ1284" s="8">
        <f>COUNTIF($E$1284:$AI$1284,"P")</f>
        <v>26</v>
      </c>
      <c r="AK1284" s="8">
        <f>COUNTIF($E$1284:$AI$1284,"A")</f>
        <v>0</v>
      </c>
      <c r="AL1284" s="8">
        <f>SUM($E$1285:$AI$1285)</f>
        <v>46</v>
      </c>
      <c r="AM1284" s="8">
        <f>SUM($E$1286:$AI$1286)</f>
        <v>23</v>
      </c>
      <c r="AN1284" s="8">
        <f>AL1284+AM1284</f>
        <v>69</v>
      </c>
      <c r="AO1284" s="8">
        <f>COUNTIF($E$1284:$AI$1284,"CL")</f>
        <v>0</v>
      </c>
      <c r="AP1284" s="8">
        <f>COUNTIF($E$1284:$AI$1284,"SL")</f>
        <v>0</v>
      </c>
      <c r="AQ1284" s="8">
        <f>COUNTIF($E$1284:$AI$1284,"EL")</f>
        <v>0</v>
      </c>
      <c r="AR1284" s="8">
        <f>COUNTIF($E$1284:$AI$1284,"H")</f>
        <v>0</v>
      </c>
      <c r="AS1284" s="8"/>
      <c r="AT1284" s="11" t="s">
        <v>250</v>
      </c>
    </row>
    <row r="1285" spans="1:46" ht="15.1" customHeight="1">
      <c r="A1285" s="8"/>
      <c r="B1285" s="9"/>
      <c r="C1285" s="8"/>
      <c r="D1285" s="9"/>
      <c r="E1285" s="8">
        <v>0</v>
      </c>
      <c r="F1285" s="8">
        <v>0</v>
      </c>
      <c r="G1285" s="8">
        <v>0</v>
      </c>
      <c r="H1285" s="8">
        <v>0</v>
      </c>
      <c r="I1285" s="8">
        <v>2</v>
      </c>
      <c r="J1285" s="8">
        <v>2</v>
      </c>
      <c r="K1285" s="8">
        <v>2</v>
      </c>
      <c r="L1285" s="8">
        <v>2</v>
      </c>
      <c r="M1285" s="8">
        <v>2</v>
      </c>
      <c r="N1285" s="8">
        <v>0</v>
      </c>
      <c r="O1285" s="8">
        <v>2</v>
      </c>
      <c r="P1285" s="8">
        <v>2</v>
      </c>
      <c r="Q1285" s="8">
        <v>2</v>
      </c>
      <c r="R1285" s="8">
        <v>2</v>
      </c>
      <c r="S1285" s="8">
        <v>2</v>
      </c>
      <c r="T1285" s="8">
        <v>2</v>
      </c>
      <c r="U1285" s="8">
        <v>0</v>
      </c>
      <c r="V1285" s="8">
        <v>2</v>
      </c>
      <c r="W1285" s="8">
        <v>2</v>
      </c>
      <c r="X1285" s="8">
        <v>2</v>
      </c>
      <c r="Y1285" s="8">
        <v>2</v>
      </c>
      <c r="Z1285" s="8">
        <v>2</v>
      </c>
      <c r="AA1285" s="8">
        <v>2</v>
      </c>
      <c r="AB1285" s="8">
        <v>0</v>
      </c>
      <c r="AC1285" s="8">
        <v>2</v>
      </c>
      <c r="AD1285" s="8">
        <v>2</v>
      </c>
      <c r="AE1285" s="8">
        <v>2</v>
      </c>
      <c r="AF1285" s="8">
        <v>2</v>
      </c>
      <c r="AG1285" s="8">
        <v>2</v>
      </c>
      <c r="AH1285" s="8">
        <v>2</v>
      </c>
      <c r="AI1285" s="8">
        <v>0</v>
      </c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11" t="s">
        <v>250</v>
      </c>
    </row>
    <row r="1286" spans="1:46" ht="15.1" customHeight="1">
      <c r="A1286" s="8"/>
      <c r="B1286" s="9"/>
      <c r="C1286" s="8"/>
      <c r="D1286" s="9"/>
      <c r="E1286" s="8">
        <v>0</v>
      </c>
      <c r="F1286" s="8">
        <v>0</v>
      </c>
      <c r="G1286" s="8">
        <v>0</v>
      </c>
      <c r="H1286" s="8">
        <v>0</v>
      </c>
      <c r="I1286" s="8">
        <v>1</v>
      </c>
      <c r="J1286" s="8">
        <v>1</v>
      </c>
      <c r="K1286" s="8">
        <v>1</v>
      </c>
      <c r="L1286" s="8">
        <v>1</v>
      </c>
      <c r="M1286" s="8">
        <v>1</v>
      </c>
      <c r="N1286" s="8">
        <v>0</v>
      </c>
      <c r="O1286" s="8">
        <v>1</v>
      </c>
      <c r="P1286" s="8">
        <v>1</v>
      </c>
      <c r="Q1286" s="8">
        <v>1</v>
      </c>
      <c r="R1286" s="8">
        <v>1</v>
      </c>
      <c r="S1286" s="8">
        <v>1</v>
      </c>
      <c r="T1286" s="8">
        <v>1</v>
      </c>
      <c r="U1286" s="8">
        <v>0</v>
      </c>
      <c r="V1286" s="8">
        <v>1</v>
      </c>
      <c r="W1286" s="8">
        <v>1</v>
      </c>
      <c r="X1286" s="8">
        <v>1</v>
      </c>
      <c r="Y1286" s="8">
        <v>1</v>
      </c>
      <c r="Z1286" s="8">
        <v>1</v>
      </c>
      <c r="AA1286" s="8">
        <v>1</v>
      </c>
      <c r="AB1286" s="8">
        <v>0</v>
      </c>
      <c r="AC1286" s="8">
        <v>1</v>
      </c>
      <c r="AD1286" s="8">
        <v>1</v>
      </c>
      <c r="AE1286" s="8">
        <v>1</v>
      </c>
      <c r="AF1286" s="8">
        <v>1</v>
      </c>
      <c r="AG1286" s="8">
        <v>1</v>
      </c>
      <c r="AH1286" s="8">
        <v>1</v>
      </c>
      <c r="AI1286" s="8">
        <v>0</v>
      </c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11" t="s">
        <v>250</v>
      </c>
    </row>
    <row r="1287" spans="1:46" ht="15.1" customHeight="1">
      <c r="A1287" s="8">
        <v>428</v>
      </c>
      <c r="B1287" s="9" t="s">
        <v>1112</v>
      </c>
      <c r="C1287" s="8" t="s">
        <v>1113</v>
      </c>
      <c r="D1287" s="9" t="s">
        <v>451</v>
      </c>
      <c r="E1287" s="8" t="s">
        <v>54</v>
      </c>
      <c r="F1287" s="8" t="s">
        <v>54</v>
      </c>
      <c r="G1287" s="10" t="s">
        <v>67</v>
      </c>
      <c r="H1287" s="8" t="s">
        <v>54</v>
      </c>
      <c r="I1287" s="8" t="s">
        <v>54</v>
      </c>
      <c r="J1287" s="8" t="s">
        <v>54</v>
      </c>
      <c r="K1287" s="8" t="s">
        <v>54</v>
      </c>
      <c r="L1287" s="8" t="s">
        <v>54</v>
      </c>
      <c r="M1287" s="8" t="s">
        <v>54</v>
      </c>
      <c r="N1287" s="10" t="s">
        <v>67</v>
      </c>
      <c r="O1287" s="8" t="s">
        <v>54</v>
      </c>
      <c r="P1287" s="8" t="s">
        <v>54</v>
      </c>
      <c r="Q1287" s="8" t="s">
        <v>54</v>
      </c>
      <c r="R1287" s="8" t="s">
        <v>54</v>
      </c>
      <c r="S1287" s="8" t="s">
        <v>54</v>
      </c>
      <c r="T1287" s="8" t="s">
        <v>54</v>
      </c>
      <c r="U1287" s="10" t="s">
        <v>67</v>
      </c>
      <c r="V1287" s="12" t="s">
        <v>55</v>
      </c>
      <c r="W1287" s="12" t="s">
        <v>55</v>
      </c>
      <c r="X1287" s="12" t="s">
        <v>55</v>
      </c>
      <c r="Y1287" s="8" t="s">
        <v>54</v>
      </c>
      <c r="Z1287" s="8" t="s">
        <v>54</v>
      </c>
      <c r="AA1287" s="8" t="s">
        <v>54</v>
      </c>
      <c r="AB1287" s="10" t="s">
        <v>67</v>
      </c>
      <c r="AC1287" s="8" t="s">
        <v>54</v>
      </c>
      <c r="AD1287" s="8" t="s">
        <v>54</v>
      </c>
      <c r="AE1287" s="8" t="s">
        <v>54</v>
      </c>
      <c r="AF1287" s="8" t="s">
        <v>54</v>
      </c>
      <c r="AG1287" s="8" t="s">
        <v>54</v>
      </c>
      <c r="AH1287" s="8" t="s">
        <v>54</v>
      </c>
      <c r="AI1287" s="10" t="s">
        <v>67</v>
      </c>
      <c r="AJ1287" s="8">
        <f>COUNTIF($E$1287:$AI$1287,"P")</f>
        <v>23</v>
      </c>
      <c r="AK1287" s="8">
        <f>COUNTIF($E$1287:$AI$1287,"A")</f>
        <v>3</v>
      </c>
      <c r="AL1287" s="8">
        <f>SUM($E$1288:$AI$1288)</f>
        <v>40</v>
      </c>
      <c r="AM1287" s="8">
        <f>SUM($E$1289:$AI$1289)</f>
        <v>20</v>
      </c>
      <c r="AN1287" s="8">
        <f>AL1287+AM1287</f>
        <v>60</v>
      </c>
      <c r="AO1287" s="8">
        <f>COUNTIF($E$1287:$AI$1287,"CL")</f>
        <v>0</v>
      </c>
      <c r="AP1287" s="8">
        <f>COUNTIF($E$1287:$AI$1287,"SL")</f>
        <v>0</v>
      </c>
      <c r="AQ1287" s="8">
        <f>COUNTIF($E$1287:$AI$1287,"EL")</f>
        <v>0</v>
      </c>
      <c r="AR1287" s="8">
        <f>COUNTIF($E$1287:$AI$1287,"H")</f>
        <v>0</v>
      </c>
      <c r="AS1287" s="8"/>
      <c r="AT1287" s="11" t="s">
        <v>250</v>
      </c>
    </row>
    <row r="1288" spans="1:46" ht="15.1" customHeight="1">
      <c r="A1288" s="8"/>
      <c r="B1288" s="9"/>
      <c r="C1288" s="8"/>
      <c r="D1288" s="9"/>
      <c r="E1288" s="8">
        <v>0</v>
      </c>
      <c r="F1288" s="8">
        <v>0</v>
      </c>
      <c r="G1288" s="8">
        <v>0</v>
      </c>
      <c r="H1288" s="8">
        <v>0</v>
      </c>
      <c r="I1288" s="8">
        <v>2</v>
      </c>
      <c r="J1288" s="8">
        <v>2</v>
      </c>
      <c r="K1288" s="8">
        <v>2</v>
      </c>
      <c r="L1288" s="8">
        <v>2</v>
      </c>
      <c r="M1288" s="8">
        <v>2</v>
      </c>
      <c r="N1288" s="8">
        <v>0</v>
      </c>
      <c r="O1288" s="8">
        <v>2</v>
      </c>
      <c r="P1288" s="8">
        <v>2</v>
      </c>
      <c r="Q1288" s="8">
        <v>2</v>
      </c>
      <c r="R1288" s="8">
        <v>2</v>
      </c>
      <c r="S1288" s="8">
        <v>2</v>
      </c>
      <c r="T1288" s="8">
        <v>2</v>
      </c>
      <c r="U1288" s="8">
        <v>0</v>
      </c>
      <c r="V1288" s="8">
        <v>0</v>
      </c>
      <c r="W1288" s="8">
        <v>0</v>
      </c>
      <c r="X1288" s="8">
        <v>0</v>
      </c>
      <c r="Y1288" s="8">
        <v>2</v>
      </c>
      <c r="Z1288" s="8">
        <v>2</v>
      </c>
      <c r="AA1288" s="8">
        <v>2</v>
      </c>
      <c r="AB1288" s="8">
        <v>0</v>
      </c>
      <c r="AC1288" s="8">
        <v>2</v>
      </c>
      <c r="AD1288" s="8">
        <v>2</v>
      </c>
      <c r="AE1288" s="8">
        <v>2</v>
      </c>
      <c r="AF1288" s="8">
        <v>2</v>
      </c>
      <c r="AG1288" s="8">
        <v>2</v>
      </c>
      <c r="AH1288" s="8">
        <v>2</v>
      </c>
      <c r="AI1288" s="8">
        <v>0</v>
      </c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11" t="s">
        <v>250</v>
      </c>
    </row>
    <row r="1289" spans="1:46" ht="15.1" customHeight="1">
      <c r="A1289" s="8"/>
      <c r="B1289" s="9"/>
      <c r="C1289" s="8"/>
      <c r="D1289" s="9"/>
      <c r="E1289" s="8">
        <v>0</v>
      </c>
      <c r="F1289" s="8">
        <v>0</v>
      </c>
      <c r="G1289" s="8">
        <v>0</v>
      </c>
      <c r="H1289" s="8">
        <v>0</v>
      </c>
      <c r="I1289" s="8">
        <v>1</v>
      </c>
      <c r="J1289" s="8">
        <v>1</v>
      </c>
      <c r="K1289" s="8">
        <v>1</v>
      </c>
      <c r="L1289" s="8">
        <v>1</v>
      </c>
      <c r="M1289" s="8">
        <v>1</v>
      </c>
      <c r="N1289" s="8">
        <v>0</v>
      </c>
      <c r="O1289" s="8">
        <v>1</v>
      </c>
      <c r="P1289" s="8">
        <v>1</v>
      </c>
      <c r="Q1289" s="8">
        <v>1</v>
      </c>
      <c r="R1289" s="8">
        <v>1</v>
      </c>
      <c r="S1289" s="8">
        <v>1</v>
      </c>
      <c r="T1289" s="8">
        <v>1</v>
      </c>
      <c r="U1289" s="8">
        <v>0</v>
      </c>
      <c r="V1289" s="8">
        <v>0</v>
      </c>
      <c r="W1289" s="8">
        <v>0</v>
      </c>
      <c r="X1289" s="8">
        <v>0</v>
      </c>
      <c r="Y1289" s="8">
        <v>1</v>
      </c>
      <c r="Z1289" s="8">
        <v>1</v>
      </c>
      <c r="AA1289" s="8">
        <v>1</v>
      </c>
      <c r="AB1289" s="8">
        <v>0</v>
      </c>
      <c r="AC1289" s="8">
        <v>1</v>
      </c>
      <c r="AD1289" s="8">
        <v>1</v>
      </c>
      <c r="AE1289" s="8">
        <v>1</v>
      </c>
      <c r="AF1289" s="8">
        <v>1</v>
      </c>
      <c r="AG1289" s="8">
        <v>1</v>
      </c>
      <c r="AH1289" s="8">
        <v>1</v>
      </c>
      <c r="AI1289" s="8">
        <v>0</v>
      </c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11" t="s">
        <v>250</v>
      </c>
    </row>
    <row r="1290" spans="1:46" ht="15.1" customHeight="1">
      <c r="A1290" s="8">
        <v>429</v>
      </c>
      <c r="B1290" s="9" t="s">
        <v>1114</v>
      </c>
      <c r="C1290" s="8" t="s">
        <v>1115</v>
      </c>
      <c r="D1290" s="9" t="s">
        <v>451</v>
      </c>
      <c r="E1290" s="8" t="s">
        <v>54</v>
      </c>
      <c r="F1290" s="8" t="s">
        <v>54</v>
      </c>
      <c r="G1290" s="10" t="s">
        <v>67</v>
      </c>
      <c r="H1290" s="12" t="s">
        <v>55</v>
      </c>
      <c r="I1290" s="8" t="s">
        <v>54</v>
      </c>
      <c r="J1290" s="8" t="s">
        <v>54</v>
      </c>
      <c r="K1290" s="8" t="s">
        <v>54</v>
      </c>
      <c r="L1290" s="8" t="s">
        <v>54</v>
      </c>
      <c r="M1290" s="8" t="s">
        <v>54</v>
      </c>
      <c r="N1290" s="10" t="s">
        <v>67</v>
      </c>
      <c r="O1290" s="8" t="s">
        <v>54</v>
      </c>
      <c r="P1290" s="8" t="s">
        <v>54</v>
      </c>
      <c r="Q1290" s="8" t="s">
        <v>54</v>
      </c>
      <c r="R1290" s="8" t="s">
        <v>54</v>
      </c>
      <c r="S1290" s="8" t="s">
        <v>54</v>
      </c>
      <c r="T1290" s="8" t="s">
        <v>54</v>
      </c>
      <c r="U1290" s="10" t="s">
        <v>67</v>
      </c>
      <c r="V1290" s="8" t="s">
        <v>54</v>
      </c>
      <c r="W1290" s="8" t="s">
        <v>54</v>
      </c>
      <c r="X1290" s="8" t="s">
        <v>54</v>
      </c>
      <c r="Y1290" s="8" t="s">
        <v>54</v>
      </c>
      <c r="Z1290" s="8" t="s">
        <v>54</v>
      </c>
      <c r="AA1290" s="8" t="s">
        <v>54</v>
      </c>
      <c r="AB1290" s="10" t="s">
        <v>67</v>
      </c>
      <c r="AC1290" s="8" t="s">
        <v>54</v>
      </c>
      <c r="AD1290" s="8" t="s">
        <v>54</v>
      </c>
      <c r="AE1290" s="8" t="s">
        <v>54</v>
      </c>
      <c r="AF1290" s="8" t="s">
        <v>54</v>
      </c>
      <c r="AG1290" s="8" t="s">
        <v>54</v>
      </c>
      <c r="AH1290" s="8" t="s">
        <v>54</v>
      </c>
      <c r="AI1290" s="10" t="s">
        <v>67</v>
      </c>
      <c r="AJ1290" s="8">
        <f>COUNTIF($E$1290:$AI$1290,"P")</f>
        <v>25</v>
      </c>
      <c r="AK1290" s="8">
        <f>COUNTIF($E$1290:$AI$1290,"A")</f>
        <v>1</v>
      </c>
      <c r="AL1290" s="8">
        <f>SUM($E$1291:$AI$1291)</f>
        <v>44</v>
      </c>
      <c r="AM1290" s="8">
        <f>SUM($E$1292:$AI$1292)</f>
        <v>42</v>
      </c>
      <c r="AN1290" s="8">
        <f>AL1290+AM1290</f>
        <v>86</v>
      </c>
      <c r="AO1290" s="8">
        <f>COUNTIF($E$1290:$AI$1290,"CL")</f>
        <v>0</v>
      </c>
      <c r="AP1290" s="8">
        <f>COUNTIF($E$1290:$AI$1290,"SL")</f>
        <v>0</v>
      </c>
      <c r="AQ1290" s="8">
        <f>COUNTIF($E$1290:$AI$1290,"EL")</f>
        <v>0</v>
      </c>
      <c r="AR1290" s="8">
        <f>COUNTIF($E$1290:$AI$1290,"H")</f>
        <v>0</v>
      </c>
      <c r="AS1290" s="8"/>
      <c r="AT1290" s="11" t="s">
        <v>250</v>
      </c>
    </row>
    <row r="1291" spans="1:46" ht="15.1" customHeight="1">
      <c r="A1291" s="8"/>
      <c r="B1291" s="9"/>
      <c r="C1291" s="8"/>
      <c r="D1291" s="9"/>
      <c r="E1291" s="8">
        <v>0</v>
      </c>
      <c r="F1291" s="8">
        <v>0</v>
      </c>
      <c r="G1291" s="8">
        <v>0</v>
      </c>
      <c r="H1291" s="8">
        <v>0</v>
      </c>
      <c r="I1291" s="8">
        <v>2</v>
      </c>
      <c r="J1291" s="8">
        <v>2</v>
      </c>
      <c r="K1291" s="8">
        <v>2</v>
      </c>
      <c r="L1291" s="8">
        <v>2</v>
      </c>
      <c r="M1291" s="8">
        <v>2</v>
      </c>
      <c r="N1291" s="8">
        <v>0</v>
      </c>
      <c r="O1291" s="8">
        <v>2</v>
      </c>
      <c r="P1291" s="8">
        <v>2</v>
      </c>
      <c r="Q1291" s="8">
        <v>2</v>
      </c>
      <c r="R1291" s="8">
        <v>2</v>
      </c>
      <c r="S1291" s="8">
        <v>2</v>
      </c>
      <c r="T1291" s="8">
        <v>2</v>
      </c>
      <c r="U1291" s="8">
        <v>0</v>
      </c>
      <c r="V1291" s="8">
        <v>2</v>
      </c>
      <c r="W1291" s="8">
        <v>0</v>
      </c>
      <c r="X1291" s="8">
        <v>2</v>
      </c>
      <c r="Y1291" s="8">
        <v>2</v>
      </c>
      <c r="Z1291" s="8">
        <v>2</v>
      </c>
      <c r="AA1291" s="8">
        <v>2</v>
      </c>
      <c r="AB1291" s="8">
        <v>0</v>
      </c>
      <c r="AC1291" s="8">
        <v>2</v>
      </c>
      <c r="AD1291" s="8">
        <v>2</v>
      </c>
      <c r="AE1291" s="8">
        <v>2</v>
      </c>
      <c r="AF1291" s="8">
        <v>2</v>
      </c>
      <c r="AG1291" s="8">
        <v>2</v>
      </c>
      <c r="AH1291" s="8">
        <v>2</v>
      </c>
      <c r="AI1291" s="8">
        <v>0</v>
      </c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11" t="s">
        <v>250</v>
      </c>
    </row>
    <row r="1292" spans="1:46" ht="15.1" customHeight="1">
      <c r="A1292" s="8"/>
      <c r="B1292" s="9"/>
      <c r="C1292" s="8"/>
      <c r="D1292" s="9"/>
      <c r="E1292" s="8">
        <v>0</v>
      </c>
      <c r="F1292" s="8">
        <v>0</v>
      </c>
      <c r="G1292" s="8">
        <v>9</v>
      </c>
      <c r="H1292" s="8">
        <v>0</v>
      </c>
      <c r="I1292" s="8">
        <v>1</v>
      </c>
      <c r="J1292" s="8">
        <v>1</v>
      </c>
      <c r="K1292" s="8">
        <v>1</v>
      </c>
      <c r="L1292" s="8">
        <v>1</v>
      </c>
      <c r="M1292" s="8">
        <v>1</v>
      </c>
      <c r="N1292" s="8">
        <v>11</v>
      </c>
      <c r="O1292" s="8">
        <v>1</v>
      </c>
      <c r="P1292" s="8">
        <v>1</v>
      </c>
      <c r="Q1292" s="8">
        <v>1</v>
      </c>
      <c r="R1292" s="8">
        <v>1</v>
      </c>
      <c r="S1292" s="8">
        <v>1</v>
      </c>
      <c r="T1292" s="8">
        <v>1</v>
      </c>
      <c r="U1292" s="8">
        <v>0</v>
      </c>
      <c r="V1292" s="8">
        <v>1</v>
      </c>
      <c r="W1292" s="8">
        <v>0</v>
      </c>
      <c r="X1292" s="8">
        <v>1</v>
      </c>
      <c r="Y1292" s="8">
        <v>1</v>
      </c>
      <c r="Z1292" s="8">
        <v>1</v>
      </c>
      <c r="AA1292" s="8">
        <v>1</v>
      </c>
      <c r="AB1292" s="8">
        <v>0</v>
      </c>
      <c r="AC1292" s="8">
        <v>1</v>
      </c>
      <c r="AD1292" s="8">
        <v>1</v>
      </c>
      <c r="AE1292" s="8">
        <v>1</v>
      </c>
      <c r="AF1292" s="8">
        <v>1</v>
      </c>
      <c r="AG1292" s="8">
        <v>1</v>
      </c>
      <c r="AH1292" s="8">
        <v>1</v>
      </c>
      <c r="AI1292" s="8">
        <v>0</v>
      </c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11" t="s">
        <v>250</v>
      </c>
    </row>
    <row r="1293" spans="1:46" ht="15.1" customHeight="1">
      <c r="A1293" s="8">
        <v>430</v>
      </c>
      <c r="B1293" s="9" t="s">
        <v>1116</v>
      </c>
      <c r="C1293" s="8" t="s">
        <v>1117</v>
      </c>
      <c r="D1293" s="9" t="s">
        <v>451</v>
      </c>
      <c r="E1293" s="8" t="s">
        <v>54</v>
      </c>
      <c r="F1293" s="8" t="s">
        <v>54</v>
      </c>
      <c r="G1293" s="10" t="s">
        <v>67</v>
      </c>
      <c r="H1293" s="8" t="s">
        <v>54</v>
      </c>
      <c r="I1293" s="8" t="s">
        <v>54</v>
      </c>
      <c r="J1293" s="8" t="s">
        <v>54</v>
      </c>
      <c r="K1293" s="8" t="s">
        <v>54</v>
      </c>
      <c r="L1293" s="8" t="s">
        <v>54</v>
      </c>
      <c r="M1293" s="8" t="s">
        <v>54</v>
      </c>
      <c r="N1293" s="10" t="s">
        <v>67</v>
      </c>
      <c r="O1293" s="8" t="s">
        <v>54</v>
      </c>
      <c r="P1293" s="8" t="s">
        <v>54</v>
      </c>
      <c r="Q1293" s="8" t="s">
        <v>54</v>
      </c>
      <c r="R1293" s="12" t="s">
        <v>55</v>
      </c>
      <c r="S1293" s="8" t="s">
        <v>54</v>
      </c>
      <c r="T1293" s="8" t="s">
        <v>54</v>
      </c>
      <c r="U1293" s="10" t="s">
        <v>67</v>
      </c>
      <c r="V1293" s="8" t="s">
        <v>54</v>
      </c>
      <c r="W1293" s="8" t="s">
        <v>54</v>
      </c>
      <c r="X1293" s="8" t="s">
        <v>54</v>
      </c>
      <c r="Y1293" s="8" t="s">
        <v>54</v>
      </c>
      <c r="Z1293" s="8" t="s">
        <v>54</v>
      </c>
      <c r="AA1293" s="8" t="s">
        <v>54</v>
      </c>
      <c r="AB1293" s="10" t="s">
        <v>67</v>
      </c>
      <c r="AC1293" s="8" t="s">
        <v>54</v>
      </c>
      <c r="AD1293" s="8" t="s">
        <v>54</v>
      </c>
      <c r="AE1293" s="8" t="s">
        <v>54</v>
      </c>
      <c r="AF1293" s="8" t="s">
        <v>54</v>
      </c>
      <c r="AG1293" s="8" t="s">
        <v>54</v>
      </c>
      <c r="AH1293" s="8" t="s">
        <v>54</v>
      </c>
      <c r="AI1293" s="10" t="s">
        <v>67</v>
      </c>
      <c r="AJ1293" s="8">
        <f>COUNTIF($E$1293:$AI$1293,"P")</f>
        <v>25</v>
      </c>
      <c r="AK1293" s="8">
        <f>COUNTIF($E$1293:$AI$1293,"A")</f>
        <v>1</v>
      </c>
      <c r="AL1293" s="8">
        <f>SUM($E$1294:$AI$1294)</f>
        <v>34</v>
      </c>
      <c r="AM1293" s="8">
        <f>SUM($E$1295:$AI$1295)</f>
        <v>17</v>
      </c>
      <c r="AN1293" s="8">
        <f>AL1293+AM1293</f>
        <v>51</v>
      </c>
      <c r="AO1293" s="8">
        <f>COUNTIF($E$1293:$AI$1293,"CL")</f>
        <v>0</v>
      </c>
      <c r="AP1293" s="8">
        <f>COUNTIF($E$1293:$AI$1293,"SL")</f>
        <v>0</v>
      </c>
      <c r="AQ1293" s="8">
        <f>COUNTIF($E$1293:$AI$1293,"EL")</f>
        <v>0</v>
      </c>
      <c r="AR1293" s="8">
        <f>COUNTIF($E$1293:$AI$1293,"H")</f>
        <v>0</v>
      </c>
      <c r="AS1293" s="8"/>
      <c r="AT1293" s="11" t="s">
        <v>250</v>
      </c>
    </row>
    <row r="1294" spans="1:46" ht="15.1" customHeight="1">
      <c r="A1294" s="8"/>
      <c r="B1294" s="9"/>
      <c r="C1294" s="8"/>
      <c r="D1294" s="9"/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2</v>
      </c>
      <c r="M1294" s="8">
        <v>2</v>
      </c>
      <c r="N1294" s="8">
        <v>0</v>
      </c>
      <c r="O1294" s="8">
        <v>2</v>
      </c>
      <c r="P1294" s="8">
        <v>2</v>
      </c>
      <c r="Q1294" s="8">
        <v>2</v>
      </c>
      <c r="R1294" s="8">
        <v>0</v>
      </c>
      <c r="S1294" s="8">
        <v>2</v>
      </c>
      <c r="T1294" s="8">
        <v>2</v>
      </c>
      <c r="U1294" s="8">
        <v>0</v>
      </c>
      <c r="V1294" s="8">
        <v>2</v>
      </c>
      <c r="W1294" s="8">
        <v>0</v>
      </c>
      <c r="X1294" s="8">
        <v>2</v>
      </c>
      <c r="Y1294" s="8">
        <v>2</v>
      </c>
      <c r="Z1294" s="8">
        <v>0</v>
      </c>
      <c r="AA1294" s="8">
        <v>2</v>
      </c>
      <c r="AB1294" s="8">
        <v>0</v>
      </c>
      <c r="AC1294" s="8">
        <v>2</v>
      </c>
      <c r="AD1294" s="8">
        <v>2</v>
      </c>
      <c r="AE1294" s="8">
        <v>2</v>
      </c>
      <c r="AF1294" s="8">
        <v>2</v>
      </c>
      <c r="AG1294" s="8">
        <v>2</v>
      </c>
      <c r="AH1294" s="8">
        <v>2</v>
      </c>
      <c r="AI1294" s="8">
        <v>0</v>
      </c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11" t="s">
        <v>250</v>
      </c>
    </row>
    <row r="1295" spans="1:46" ht="15.1" customHeight="1">
      <c r="A1295" s="8"/>
      <c r="B1295" s="9"/>
      <c r="C1295" s="8"/>
      <c r="D1295" s="9"/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1</v>
      </c>
      <c r="M1295" s="8">
        <v>1</v>
      </c>
      <c r="N1295" s="8">
        <v>0</v>
      </c>
      <c r="O1295" s="8">
        <v>1</v>
      </c>
      <c r="P1295" s="8">
        <v>1</v>
      </c>
      <c r="Q1295" s="8">
        <v>1</v>
      </c>
      <c r="R1295" s="8">
        <v>0</v>
      </c>
      <c r="S1295" s="8">
        <v>1</v>
      </c>
      <c r="T1295" s="8">
        <v>1</v>
      </c>
      <c r="U1295" s="8">
        <v>0</v>
      </c>
      <c r="V1295" s="8">
        <v>1</v>
      </c>
      <c r="W1295" s="8">
        <v>0</v>
      </c>
      <c r="X1295" s="8">
        <v>1</v>
      </c>
      <c r="Y1295" s="8">
        <v>1</v>
      </c>
      <c r="Z1295" s="8">
        <v>0</v>
      </c>
      <c r="AA1295" s="8">
        <v>1</v>
      </c>
      <c r="AB1295" s="8">
        <v>0</v>
      </c>
      <c r="AC1295" s="8">
        <v>1</v>
      </c>
      <c r="AD1295" s="8">
        <v>1</v>
      </c>
      <c r="AE1295" s="8">
        <v>1</v>
      </c>
      <c r="AF1295" s="8">
        <v>1</v>
      </c>
      <c r="AG1295" s="8">
        <v>1</v>
      </c>
      <c r="AH1295" s="8">
        <v>1</v>
      </c>
      <c r="AI1295" s="8">
        <v>0</v>
      </c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11" t="s">
        <v>250</v>
      </c>
    </row>
    <row r="1296" spans="1:46" ht="15.1" customHeight="1">
      <c r="A1296" s="8">
        <v>431</v>
      </c>
      <c r="B1296" s="9" t="s">
        <v>1118</v>
      </c>
      <c r="C1296" s="8" t="s">
        <v>1119</v>
      </c>
      <c r="D1296" s="9" t="s">
        <v>451</v>
      </c>
      <c r="E1296" s="8" t="s">
        <v>54</v>
      </c>
      <c r="F1296" s="8" t="s">
        <v>54</v>
      </c>
      <c r="G1296" s="10" t="s">
        <v>67</v>
      </c>
      <c r="H1296" s="12" t="s">
        <v>55</v>
      </c>
      <c r="I1296" s="8" t="s">
        <v>54</v>
      </c>
      <c r="J1296" s="8" t="s">
        <v>54</v>
      </c>
      <c r="K1296" s="8" t="s">
        <v>54</v>
      </c>
      <c r="L1296" s="8" t="s">
        <v>54</v>
      </c>
      <c r="M1296" s="8" t="s">
        <v>54</v>
      </c>
      <c r="N1296" s="10" t="s">
        <v>67</v>
      </c>
      <c r="O1296" s="8" t="s">
        <v>54</v>
      </c>
      <c r="P1296" s="8" t="s">
        <v>54</v>
      </c>
      <c r="Q1296" s="8" t="s">
        <v>54</v>
      </c>
      <c r="R1296" s="8" t="s">
        <v>54</v>
      </c>
      <c r="S1296" s="8" t="s">
        <v>54</v>
      </c>
      <c r="T1296" s="8" t="s">
        <v>54</v>
      </c>
      <c r="U1296" s="10" t="s">
        <v>67</v>
      </c>
      <c r="V1296" s="8" t="s">
        <v>54</v>
      </c>
      <c r="W1296" s="8" t="s">
        <v>54</v>
      </c>
      <c r="X1296" s="8" t="s">
        <v>54</v>
      </c>
      <c r="Y1296" s="8" t="s">
        <v>54</v>
      </c>
      <c r="Z1296" s="8" t="s">
        <v>54</v>
      </c>
      <c r="AA1296" s="8" t="s">
        <v>54</v>
      </c>
      <c r="AB1296" s="10" t="s">
        <v>67</v>
      </c>
      <c r="AC1296" s="8" t="s">
        <v>54</v>
      </c>
      <c r="AD1296" s="8" t="s">
        <v>54</v>
      </c>
      <c r="AE1296" s="8" t="s">
        <v>54</v>
      </c>
      <c r="AF1296" s="8" t="s">
        <v>54</v>
      </c>
      <c r="AG1296" s="8" t="s">
        <v>54</v>
      </c>
      <c r="AH1296" s="8" t="s">
        <v>54</v>
      </c>
      <c r="AI1296" s="10" t="s">
        <v>67</v>
      </c>
      <c r="AJ1296" s="8">
        <f>COUNTIF($E$1296:$AI$1296,"P")</f>
        <v>25</v>
      </c>
      <c r="AK1296" s="8">
        <f>COUNTIF($E$1296:$AI$1296,"A")</f>
        <v>1</v>
      </c>
      <c r="AL1296" s="8">
        <f>SUM($E$1297:$AI$1297)</f>
        <v>46</v>
      </c>
      <c r="AM1296" s="8">
        <f>SUM($E$1298:$AI$1298)</f>
        <v>32</v>
      </c>
      <c r="AN1296" s="8">
        <f>AL1296+AM1296</f>
        <v>78</v>
      </c>
      <c r="AO1296" s="8">
        <f>COUNTIF($E$1296:$AI$1296,"CL")</f>
        <v>0</v>
      </c>
      <c r="AP1296" s="8">
        <f>COUNTIF($E$1296:$AI$1296,"SL")</f>
        <v>0</v>
      </c>
      <c r="AQ1296" s="8">
        <f>COUNTIF($E$1296:$AI$1296,"EL")</f>
        <v>0</v>
      </c>
      <c r="AR1296" s="8">
        <f>COUNTIF($E$1296:$AI$1296,"H")</f>
        <v>0</v>
      </c>
      <c r="AS1296" s="8"/>
      <c r="AT1296" s="11" t="s">
        <v>250</v>
      </c>
    </row>
    <row r="1297" spans="1:46" ht="15.1" customHeight="1">
      <c r="A1297" s="8"/>
      <c r="B1297" s="9"/>
      <c r="C1297" s="8"/>
      <c r="D1297" s="9"/>
      <c r="E1297" s="8">
        <v>0</v>
      </c>
      <c r="F1297" s="8">
        <v>0</v>
      </c>
      <c r="G1297" s="8">
        <v>0</v>
      </c>
      <c r="H1297" s="8">
        <v>0</v>
      </c>
      <c r="I1297" s="8">
        <v>2</v>
      </c>
      <c r="J1297" s="8">
        <v>2</v>
      </c>
      <c r="K1297" s="8">
        <v>2</v>
      </c>
      <c r="L1297" s="8">
        <v>2</v>
      </c>
      <c r="M1297" s="8">
        <v>2</v>
      </c>
      <c r="N1297" s="8">
        <v>0</v>
      </c>
      <c r="O1297" s="8">
        <v>2</v>
      </c>
      <c r="P1297" s="8">
        <v>2</v>
      </c>
      <c r="Q1297" s="8">
        <v>2</v>
      </c>
      <c r="R1297" s="8">
        <v>2</v>
      </c>
      <c r="S1297" s="8">
        <v>2</v>
      </c>
      <c r="T1297" s="8">
        <v>2</v>
      </c>
      <c r="U1297" s="8">
        <v>0</v>
      </c>
      <c r="V1297" s="8">
        <v>2</v>
      </c>
      <c r="W1297" s="8">
        <v>2</v>
      </c>
      <c r="X1297" s="8">
        <v>2</v>
      </c>
      <c r="Y1297" s="8">
        <v>2</v>
      </c>
      <c r="Z1297" s="8">
        <v>2</v>
      </c>
      <c r="AA1297" s="8">
        <v>2</v>
      </c>
      <c r="AB1297" s="8">
        <v>0</v>
      </c>
      <c r="AC1297" s="8">
        <v>2</v>
      </c>
      <c r="AD1297" s="8">
        <v>2</v>
      </c>
      <c r="AE1297" s="8">
        <v>2</v>
      </c>
      <c r="AF1297" s="8">
        <v>2</v>
      </c>
      <c r="AG1297" s="8">
        <v>2</v>
      </c>
      <c r="AH1297" s="8">
        <v>2</v>
      </c>
      <c r="AI1297" s="8">
        <v>0</v>
      </c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11" t="s">
        <v>250</v>
      </c>
    </row>
    <row r="1298" spans="1:46" ht="15.1" customHeight="1">
      <c r="A1298" s="8"/>
      <c r="B1298" s="9"/>
      <c r="C1298" s="8"/>
      <c r="D1298" s="9"/>
      <c r="E1298" s="8">
        <v>0</v>
      </c>
      <c r="F1298" s="8">
        <v>0</v>
      </c>
      <c r="G1298" s="8">
        <v>9</v>
      </c>
      <c r="H1298" s="8">
        <v>0</v>
      </c>
      <c r="I1298" s="8">
        <v>1</v>
      </c>
      <c r="J1298" s="8">
        <v>1</v>
      </c>
      <c r="K1298" s="8">
        <v>1</v>
      </c>
      <c r="L1298" s="8">
        <v>1</v>
      </c>
      <c r="M1298" s="8">
        <v>1</v>
      </c>
      <c r="N1298" s="8">
        <v>0</v>
      </c>
      <c r="O1298" s="8">
        <v>1</v>
      </c>
      <c r="P1298" s="8">
        <v>1</v>
      </c>
      <c r="Q1298" s="8">
        <v>1</v>
      </c>
      <c r="R1298" s="8">
        <v>1</v>
      </c>
      <c r="S1298" s="8">
        <v>1</v>
      </c>
      <c r="T1298" s="8">
        <v>1</v>
      </c>
      <c r="U1298" s="8">
        <v>0</v>
      </c>
      <c r="V1298" s="8">
        <v>1</v>
      </c>
      <c r="W1298" s="8">
        <v>1</v>
      </c>
      <c r="X1298" s="8">
        <v>1</v>
      </c>
      <c r="Y1298" s="8">
        <v>1</v>
      </c>
      <c r="Z1298" s="8">
        <v>1</v>
      </c>
      <c r="AA1298" s="8">
        <v>1</v>
      </c>
      <c r="AB1298" s="8">
        <v>0</v>
      </c>
      <c r="AC1298" s="8">
        <v>1</v>
      </c>
      <c r="AD1298" s="8">
        <v>1</v>
      </c>
      <c r="AE1298" s="8">
        <v>1</v>
      </c>
      <c r="AF1298" s="8">
        <v>1</v>
      </c>
      <c r="AG1298" s="8">
        <v>1</v>
      </c>
      <c r="AH1298" s="8">
        <v>1</v>
      </c>
      <c r="AI1298" s="8">
        <v>0</v>
      </c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11" t="s">
        <v>250</v>
      </c>
    </row>
    <row r="1299" spans="1:46" ht="15.1" customHeight="1">
      <c r="A1299" s="8">
        <v>432</v>
      </c>
      <c r="B1299" s="9" t="s">
        <v>436</v>
      </c>
      <c r="C1299" s="8" t="s">
        <v>1120</v>
      </c>
      <c r="D1299" s="9" t="s">
        <v>451</v>
      </c>
      <c r="E1299" s="8" t="s">
        <v>54</v>
      </c>
      <c r="F1299" s="8" t="s">
        <v>54</v>
      </c>
      <c r="G1299" s="10" t="s">
        <v>67</v>
      </c>
      <c r="H1299" s="8" t="s">
        <v>54</v>
      </c>
      <c r="I1299" s="8" t="s">
        <v>54</v>
      </c>
      <c r="J1299" s="8" t="s">
        <v>54</v>
      </c>
      <c r="K1299" s="8" t="s">
        <v>54</v>
      </c>
      <c r="L1299" s="8" t="s">
        <v>54</v>
      </c>
      <c r="M1299" s="8" t="s">
        <v>54</v>
      </c>
      <c r="N1299" s="10" t="s">
        <v>67</v>
      </c>
      <c r="O1299" s="8" t="s">
        <v>54</v>
      </c>
      <c r="P1299" s="8" t="s">
        <v>54</v>
      </c>
      <c r="Q1299" s="8" t="s">
        <v>54</v>
      </c>
      <c r="R1299" s="8" t="s">
        <v>54</v>
      </c>
      <c r="S1299" s="8" t="s">
        <v>54</v>
      </c>
      <c r="T1299" s="8" t="s">
        <v>54</v>
      </c>
      <c r="U1299" s="10" t="s">
        <v>67</v>
      </c>
      <c r="V1299" s="8" t="s">
        <v>54</v>
      </c>
      <c r="W1299" s="8" t="s">
        <v>54</v>
      </c>
      <c r="X1299" s="8" t="s">
        <v>54</v>
      </c>
      <c r="Y1299" s="8" t="s">
        <v>54</v>
      </c>
      <c r="Z1299" s="8" t="s">
        <v>54</v>
      </c>
      <c r="AA1299" s="8" t="s">
        <v>54</v>
      </c>
      <c r="AB1299" s="10" t="s">
        <v>67</v>
      </c>
      <c r="AC1299" s="8" t="s">
        <v>54</v>
      </c>
      <c r="AD1299" s="8" t="s">
        <v>54</v>
      </c>
      <c r="AE1299" s="8" t="s">
        <v>54</v>
      </c>
      <c r="AF1299" s="8" t="s">
        <v>54</v>
      </c>
      <c r="AG1299" s="8" t="s">
        <v>54</v>
      </c>
      <c r="AH1299" s="8" t="s">
        <v>54</v>
      </c>
      <c r="AI1299" s="10" t="s">
        <v>67</v>
      </c>
      <c r="AJ1299" s="8">
        <f>COUNTIF($E$1299:$AI$1299,"P")</f>
        <v>26</v>
      </c>
      <c r="AK1299" s="8">
        <f>COUNTIF($E$1299:$AI$1299,"A")</f>
        <v>0</v>
      </c>
      <c r="AL1299" s="8">
        <f>SUM($E$1300:$AI$1300)</f>
        <v>46</v>
      </c>
      <c r="AM1299" s="8">
        <f>SUM($E$1301:$AI$1301)</f>
        <v>34</v>
      </c>
      <c r="AN1299" s="8">
        <f>AL1299+AM1299</f>
        <v>80</v>
      </c>
      <c r="AO1299" s="8">
        <f>COUNTIF($E$1299:$AI$1299,"CL")</f>
        <v>0</v>
      </c>
      <c r="AP1299" s="8">
        <f>COUNTIF($E$1299:$AI$1299,"SL")</f>
        <v>0</v>
      </c>
      <c r="AQ1299" s="8">
        <f>COUNTIF($E$1299:$AI$1299,"EL")</f>
        <v>0</v>
      </c>
      <c r="AR1299" s="8">
        <f>COUNTIF($E$1299:$AI$1299,"H")</f>
        <v>0</v>
      </c>
      <c r="AS1299" s="8"/>
      <c r="AT1299" s="11" t="s">
        <v>250</v>
      </c>
    </row>
    <row r="1300" spans="1:46" ht="15.1" customHeight="1">
      <c r="A1300" s="8"/>
      <c r="B1300" s="9"/>
      <c r="C1300" s="8"/>
      <c r="D1300" s="9"/>
      <c r="E1300" s="8">
        <v>0</v>
      </c>
      <c r="F1300" s="8">
        <v>0</v>
      </c>
      <c r="G1300" s="8">
        <v>0</v>
      </c>
      <c r="H1300" s="8">
        <v>0</v>
      </c>
      <c r="I1300" s="8">
        <v>2</v>
      </c>
      <c r="J1300" s="8">
        <v>2</v>
      </c>
      <c r="K1300" s="8">
        <v>2</v>
      </c>
      <c r="L1300" s="8">
        <v>2</v>
      </c>
      <c r="M1300" s="8">
        <v>2</v>
      </c>
      <c r="N1300" s="8">
        <v>0</v>
      </c>
      <c r="O1300" s="8">
        <v>2</v>
      </c>
      <c r="P1300" s="8">
        <v>2</v>
      </c>
      <c r="Q1300" s="8">
        <v>2</v>
      </c>
      <c r="R1300" s="8">
        <v>2</v>
      </c>
      <c r="S1300" s="8">
        <v>2</v>
      </c>
      <c r="T1300" s="8">
        <v>2</v>
      </c>
      <c r="U1300" s="8">
        <v>0</v>
      </c>
      <c r="V1300" s="8">
        <v>2</v>
      </c>
      <c r="W1300" s="8">
        <v>2</v>
      </c>
      <c r="X1300" s="8">
        <v>2</v>
      </c>
      <c r="Y1300" s="8">
        <v>2</v>
      </c>
      <c r="Z1300" s="8">
        <v>2</v>
      </c>
      <c r="AA1300" s="8">
        <v>2</v>
      </c>
      <c r="AB1300" s="8">
        <v>0</v>
      </c>
      <c r="AC1300" s="8">
        <v>2</v>
      </c>
      <c r="AD1300" s="8">
        <v>2</v>
      </c>
      <c r="AE1300" s="8">
        <v>2</v>
      </c>
      <c r="AF1300" s="8">
        <v>2</v>
      </c>
      <c r="AG1300" s="8">
        <v>2</v>
      </c>
      <c r="AH1300" s="8">
        <v>2</v>
      </c>
      <c r="AI1300" s="8">
        <v>0</v>
      </c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11" t="s">
        <v>250</v>
      </c>
    </row>
    <row r="1301" spans="1:46" ht="15.1" customHeight="1">
      <c r="A1301" s="8"/>
      <c r="B1301" s="9"/>
      <c r="C1301" s="8"/>
      <c r="D1301" s="9"/>
      <c r="E1301" s="8">
        <v>0</v>
      </c>
      <c r="F1301" s="8">
        <v>0</v>
      </c>
      <c r="G1301" s="8">
        <v>0</v>
      </c>
      <c r="H1301" s="8">
        <v>0</v>
      </c>
      <c r="I1301" s="8">
        <v>1</v>
      </c>
      <c r="J1301" s="8">
        <v>1</v>
      </c>
      <c r="K1301" s="8">
        <v>1</v>
      </c>
      <c r="L1301" s="8">
        <v>1</v>
      </c>
      <c r="M1301" s="8">
        <v>1</v>
      </c>
      <c r="N1301" s="8">
        <v>11</v>
      </c>
      <c r="O1301" s="8">
        <v>1</v>
      </c>
      <c r="P1301" s="8">
        <v>1</v>
      </c>
      <c r="Q1301" s="8">
        <v>1</v>
      </c>
      <c r="R1301" s="8">
        <v>1</v>
      </c>
      <c r="S1301" s="8">
        <v>1</v>
      </c>
      <c r="T1301" s="8">
        <v>1</v>
      </c>
      <c r="U1301" s="8">
        <v>0</v>
      </c>
      <c r="V1301" s="8">
        <v>1</v>
      </c>
      <c r="W1301" s="8">
        <v>1</v>
      </c>
      <c r="X1301" s="8">
        <v>1</v>
      </c>
      <c r="Y1301" s="8">
        <v>1</v>
      </c>
      <c r="Z1301" s="8">
        <v>1</v>
      </c>
      <c r="AA1301" s="8">
        <v>1</v>
      </c>
      <c r="AB1301" s="8">
        <v>0</v>
      </c>
      <c r="AC1301" s="8">
        <v>1</v>
      </c>
      <c r="AD1301" s="8">
        <v>1</v>
      </c>
      <c r="AE1301" s="8">
        <v>1</v>
      </c>
      <c r="AF1301" s="8">
        <v>1</v>
      </c>
      <c r="AG1301" s="8">
        <v>1</v>
      </c>
      <c r="AH1301" s="8">
        <v>1</v>
      </c>
      <c r="AI1301" s="8">
        <v>0</v>
      </c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11" t="s">
        <v>250</v>
      </c>
    </row>
    <row r="1302" spans="1:46" ht="15.1" customHeight="1">
      <c r="A1302" s="8">
        <v>433</v>
      </c>
      <c r="B1302" s="9" t="s">
        <v>1121</v>
      </c>
      <c r="C1302" s="8" t="s">
        <v>1122</v>
      </c>
      <c r="D1302" s="9" t="s">
        <v>451</v>
      </c>
      <c r="E1302" s="8" t="s">
        <v>54</v>
      </c>
      <c r="F1302" s="8" t="s">
        <v>54</v>
      </c>
      <c r="G1302" s="10" t="s">
        <v>67</v>
      </c>
      <c r="H1302" s="8" t="s">
        <v>54</v>
      </c>
      <c r="I1302" s="8" t="s">
        <v>54</v>
      </c>
      <c r="J1302" s="8" t="s">
        <v>54</v>
      </c>
      <c r="K1302" s="8" t="s">
        <v>54</v>
      </c>
      <c r="L1302" s="8" t="s">
        <v>54</v>
      </c>
      <c r="M1302" s="8" t="s">
        <v>54</v>
      </c>
      <c r="N1302" s="10" t="s">
        <v>67</v>
      </c>
      <c r="O1302" s="8" t="s">
        <v>54</v>
      </c>
      <c r="P1302" s="8" t="s">
        <v>54</v>
      </c>
      <c r="Q1302" s="8" t="s">
        <v>54</v>
      </c>
      <c r="R1302" s="8" t="s">
        <v>54</v>
      </c>
      <c r="S1302" s="8" t="s">
        <v>54</v>
      </c>
      <c r="T1302" s="8" t="s">
        <v>54</v>
      </c>
      <c r="U1302" s="10" t="s">
        <v>67</v>
      </c>
      <c r="V1302" s="8" t="s">
        <v>54</v>
      </c>
      <c r="W1302" s="8" t="s">
        <v>54</v>
      </c>
      <c r="X1302" s="8" t="s">
        <v>54</v>
      </c>
      <c r="Y1302" s="8" t="s">
        <v>54</v>
      </c>
      <c r="Z1302" s="8" t="s">
        <v>54</v>
      </c>
      <c r="AA1302" s="8" t="s">
        <v>54</v>
      </c>
      <c r="AB1302" s="10" t="s">
        <v>67</v>
      </c>
      <c r="AC1302" s="8" t="s">
        <v>54</v>
      </c>
      <c r="AD1302" s="8" t="s">
        <v>54</v>
      </c>
      <c r="AE1302" s="8" t="s">
        <v>54</v>
      </c>
      <c r="AF1302" s="8" t="s">
        <v>54</v>
      </c>
      <c r="AG1302" s="8" t="s">
        <v>54</v>
      </c>
      <c r="AH1302" s="8" t="s">
        <v>54</v>
      </c>
      <c r="AI1302" s="10" t="s">
        <v>67</v>
      </c>
      <c r="AJ1302" s="8">
        <f>COUNTIF($E$1302:$AI$1302,"P")</f>
        <v>26</v>
      </c>
      <c r="AK1302" s="8">
        <f>COUNTIF($E$1302:$AI$1302,"A")</f>
        <v>0</v>
      </c>
      <c r="AL1302" s="8">
        <f>SUM($E$1303:$AI$1303)</f>
        <v>44</v>
      </c>
      <c r="AM1302" s="8">
        <f>SUM($E$1304:$AI$1304)</f>
        <v>22</v>
      </c>
      <c r="AN1302" s="8">
        <f>AL1302+AM1302</f>
        <v>66</v>
      </c>
      <c r="AO1302" s="8">
        <f>COUNTIF($E$1302:$AI$1302,"CL")</f>
        <v>0</v>
      </c>
      <c r="AP1302" s="8">
        <f>COUNTIF($E$1302:$AI$1302,"SL")</f>
        <v>0</v>
      </c>
      <c r="AQ1302" s="8">
        <f>COUNTIF($E$1302:$AI$1302,"EL")</f>
        <v>0</v>
      </c>
      <c r="AR1302" s="8">
        <f>COUNTIF($E$1302:$AI$1302,"H")</f>
        <v>0</v>
      </c>
      <c r="AS1302" s="8"/>
      <c r="AT1302" s="11" t="s">
        <v>250</v>
      </c>
    </row>
    <row r="1303" spans="1:46" ht="15.1" customHeight="1">
      <c r="A1303" s="8"/>
      <c r="B1303" s="9"/>
      <c r="C1303" s="8"/>
      <c r="D1303" s="9"/>
      <c r="E1303" s="8">
        <v>0</v>
      </c>
      <c r="F1303" s="8">
        <v>0</v>
      </c>
      <c r="G1303" s="8">
        <v>0</v>
      </c>
      <c r="H1303" s="8">
        <v>2</v>
      </c>
      <c r="I1303" s="8">
        <v>2</v>
      </c>
      <c r="J1303" s="8">
        <v>0</v>
      </c>
      <c r="K1303" s="8">
        <v>2</v>
      </c>
      <c r="L1303" s="8">
        <v>2</v>
      </c>
      <c r="M1303" s="8">
        <v>2</v>
      </c>
      <c r="N1303" s="8">
        <v>0</v>
      </c>
      <c r="O1303" s="8">
        <v>2</v>
      </c>
      <c r="P1303" s="8">
        <v>2</v>
      </c>
      <c r="Q1303" s="8">
        <v>2</v>
      </c>
      <c r="R1303" s="8">
        <v>2</v>
      </c>
      <c r="S1303" s="8">
        <v>2</v>
      </c>
      <c r="T1303" s="8">
        <v>2</v>
      </c>
      <c r="U1303" s="8">
        <v>0</v>
      </c>
      <c r="V1303" s="8">
        <v>2</v>
      </c>
      <c r="W1303" s="8">
        <v>2</v>
      </c>
      <c r="X1303" s="8">
        <v>2</v>
      </c>
      <c r="Y1303" s="8">
        <v>2</v>
      </c>
      <c r="Z1303" s="8">
        <v>0</v>
      </c>
      <c r="AA1303" s="8">
        <v>2</v>
      </c>
      <c r="AB1303" s="8">
        <v>0</v>
      </c>
      <c r="AC1303" s="8">
        <v>2</v>
      </c>
      <c r="AD1303" s="8">
        <v>2</v>
      </c>
      <c r="AE1303" s="8">
        <v>2</v>
      </c>
      <c r="AF1303" s="8">
        <v>2</v>
      </c>
      <c r="AG1303" s="8">
        <v>2</v>
      </c>
      <c r="AH1303" s="8">
        <v>2</v>
      </c>
      <c r="AI1303" s="8">
        <v>0</v>
      </c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11" t="s">
        <v>250</v>
      </c>
    </row>
    <row r="1304" spans="1:46" ht="15.1" customHeight="1">
      <c r="A1304" s="8"/>
      <c r="B1304" s="9"/>
      <c r="C1304" s="8"/>
      <c r="D1304" s="9"/>
      <c r="E1304" s="8">
        <v>0</v>
      </c>
      <c r="F1304" s="8">
        <v>0</v>
      </c>
      <c r="G1304" s="8">
        <v>0</v>
      </c>
      <c r="H1304" s="8">
        <v>1</v>
      </c>
      <c r="I1304" s="8">
        <v>1</v>
      </c>
      <c r="J1304" s="8">
        <v>0</v>
      </c>
      <c r="K1304" s="8">
        <v>1</v>
      </c>
      <c r="L1304" s="8">
        <v>1</v>
      </c>
      <c r="M1304" s="8">
        <v>1</v>
      </c>
      <c r="N1304" s="8">
        <v>0</v>
      </c>
      <c r="O1304" s="8">
        <v>1</v>
      </c>
      <c r="P1304" s="8">
        <v>1</v>
      </c>
      <c r="Q1304" s="8">
        <v>1</v>
      </c>
      <c r="R1304" s="8">
        <v>1</v>
      </c>
      <c r="S1304" s="8">
        <v>1</v>
      </c>
      <c r="T1304" s="8">
        <v>1</v>
      </c>
      <c r="U1304" s="8">
        <v>0</v>
      </c>
      <c r="V1304" s="8">
        <v>1</v>
      </c>
      <c r="W1304" s="8">
        <v>1</v>
      </c>
      <c r="X1304" s="8">
        <v>1</v>
      </c>
      <c r="Y1304" s="8">
        <v>1</v>
      </c>
      <c r="Z1304" s="8">
        <v>0</v>
      </c>
      <c r="AA1304" s="8">
        <v>1</v>
      </c>
      <c r="AB1304" s="8">
        <v>0</v>
      </c>
      <c r="AC1304" s="8">
        <v>1</v>
      </c>
      <c r="AD1304" s="8">
        <v>1</v>
      </c>
      <c r="AE1304" s="8">
        <v>1</v>
      </c>
      <c r="AF1304" s="8">
        <v>1</v>
      </c>
      <c r="AG1304" s="8">
        <v>1</v>
      </c>
      <c r="AH1304" s="8">
        <v>1</v>
      </c>
      <c r="AI1304" s="8">
        <v>0</v>
      </c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11" t="s">
        <v>250</v>
      </c>
    </row>
    <row r="1305" spans="1:46" ht="15.1" customHeight="1">
      <c r="A1305" s="8">
        <v>434</v>
      </c>
      <c r="B1305" s="9" t="s">
        <v>1123</v>
      </c>
      <c r="C1305" s="8" t="s">
        <v>1124</v>
      </c>
      <c r="D1305" s="9" t="s">
        <v>451</v>
      </c>
      <c r="E1305" s="12" t="s">
        <v>55</v>
      </c>
      <c r="F1305" s="12" t="s">
        <v>55</v>
      </c>
      <c r="G1305" s="10" t="s">
        <v>67</v>
      </c>
      <c r="H1305" s="8" t="s">
        <v>54</v>
      </c>
      <c r="I1305" s="8" t="s">
        <v>54</v>
      </c>
      <c r="J1305" s="8" t="s">
        <v>54</v>
      </c>
      <c r="K1305" s="8" t="s">
        <v>54</v>
      </c>
      <c r="L1305" s="8" t="s">
        <v>54</v>
      </c>
      <c r="M1305" s="8" t="s">
        <v>54</v>
      </c>
      <c r="N1305" s="10" t="s">
        <v>67</v>
      </c>
      <c r="O1305" s="8" t="s">
        <v>54</v>
      </c>
      <c r="P1305" s="8" t="s">
        <v>54</v>
      </c>
      <c r="Q1305" s="8" t="s">
        <v>54</v>
      </c>
      <c r="R1305" s="8" t="s">
        <v>54</v>
      </c>
      <c r="S1305" s="8" t="s">
        <v>54</v>
      </c>
      <c r="T1305" s="8" t="s">
        <v>54</v>
      </c>
      <c r="U1305" s="10" t="s">
        <v>67</v>
      </c>
      <c r="V1305" s="8" t="s">
        <v>54</v>
      </c>
      <c r="W1305" s="8" t="s">
        <v>54</v>
      </c>
      <c r="X1305" s="8" t="s">
        <v>54</v>
      </c>
      <c r="Y1305" s="8" t="s">
        <v>54</v>
      </c>
      <c r="Z1305" s="8" t="s">
        <v>54</v>
      </c>
      <c r="AA1305" s="8" t="s">
        <v>54</v>
      </c>
      <c r="AB1305" s="10" t="s">
        <v>67</v>
      </c>
      <c r="AC1305" s="8" t="s">
        <v>54</v>
      </c>
      <c r="AD1305" s="8" t="s">
        <v>54</v>
      </c>
      <c r="AE1305" s="8" t="s">
        <v>54</v>
      </c>
      <c r="AF1305" s="8" t="s">
        <v>54</v>
      </c>
      <c r="AG1305" s="8" t="s">
        <v>54</v>
      </c>
      <c r="AH1305" s="8" t="s">
        <v>54</v>
      </c>
      <c r="AI1305" s="10" t="s">
        <v>67</v>
      </c>
      <c r="AJ1305" s="8">
        <f>COUNTIF($E$1305:$AI$1305,"P")</f>
        <v>24</v>
      </c>
      <c r="AK1305" s="8">
        <f>COUNTIF($E$1305:$AI$1305,"A")</f>
        <v>2</v>
      </c>
      <c r="AL1305" s="8">
        <f>SUM($E$1306:$AI$1306)</f>
        <v>46</v>
      </c>
      <c r="AM1305" s="8">
        <f>SUM($E$1307:$AI$1307)</f>
        <v>34</v>
      </c>
      <c r="AN1305" s="8">
        <f>AL1305+AM1305</f>
        <v>80</v>
      </c>
      <c r="AO1305" s="8">
        <f>COUNTIF($E$1305:$AI$1305,"CL")</f>
        <v>0</v>
      </c>
      <c r="AP1305" s="8">
        <f>COUNTIF($E$1305:$AI$1305,"SL")</f>
        <v>0</v>
      </c>
      <c r="AQ1305" s="8">
        <f>COUNTIF($E$1305:$AI$1305,"EL")</f>
        <v>0</v>
      </c>
      <c r="AR1305" s="8">
        <f>COUNTIF($E$1305:$AI$1305,"H")</f>
        <v>0</v>
      </c>
      <c r="AS1305" s="8"/>
      <c r="AT1305" s="11" t="s">
        <v>250</v>
      </c>
    </row>
    <row r="1306" spans="1:46" ht="15.1" customHeight="1">
      <c r="A1306" s="8"/>
      <c r="B1306" s="9"/>
      <c r="C1306" s="8"/>
      <c r="D1306" s="9"/>
      <c r="E1306" s="8">
        <v>0</v>
      </c>
      <c r="F1306" s="8">
        <v>0</v>
      </c>
      <c r="G1306" s="8">
        <v>0</v>
      </c>
      <c r="H1306" s="8">
        <v>0</v>
      </c>
      <c r="I1306" s="8">
        <v>2</v>
      </c>
      <c r="J1306" s="8">
        <v>2</v>
      </c>
      <c r="K1306" s="8">
        <v>2</v>
      </c>
      <c r="L1306" s="8">
        <v>2</v>
      </c>
      <c r="M1306" s="8">
        <v>2</v>
      </c>
      <c r="N1306" s="8">
        <v>0</v>
      </c>
      <c r="O1306" s="8">
        <v>2</v>
      </c>
      <c r="P1306" s="8">
        <v>2</v>
      </c>
      <c r="Q1306" s="8">
        <v>2</v>
      </c>
      <c r="R1306" s="8">
        <v>2</v>
      </c>
      <c r="S1306" s="8">
        <v>2</v>
      </c>
      <c r="T1306" s="8">
        <v>2</v>
      </c>
      <c r="U1306" s="8">
        <v>0</v>
      </c>
      <c r="V1306" s="8">
        <v>2</v>
      </c>
      <c r="W1306" s="8">
        <v>2</v>
      </c>
      <c r="X1306" s="8">
        <v>2</v>
      </c>
      <c r="Y1306" s="8">
        <v>2</v>
      </c>
      <c r="Z1306" s="8">
        <v>2</v>
      </c>
      <c r="AA1306" s="8">
        <v>2</v>
      </c>
      <c r="AB1306" s="8">
        <v>0</v>
      </c>
      <c r="AC1306" s="8">
        <v>2</v>
      </c>
      <c r="AD1306" s="8">
        <v>2</v>
      </c>
      <c r="AE1306" s="8">
        <v>2</v>
      </c>
      <c r="AF1306" s="8">
        <v>2</v>
      </c>
      <c r="AG1306" s="8">
        <v>2</v>
      </c>
      <c r="AH1306" s="8">
        <v>2</v>
      </c>
      <c r="AI1306" s="8">
        <v>0</v>
      </c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11" t="s">
        <v>250</v>
      </c>
    </row>
    <row r="1307" spans="1:46" ht="15.1" customHeight="1">
      <c r="A1307" s="8"/>
      <c r="B1307" s="9"/>
      <c r="C1307" s="8"/>
      <c r="D1307" s="9"/>
      <c r="E1307" s="8">
        <v>0</v>
      </c>
      <c r="F1307" s="8">
        <v>0</v>
      </c>
      <c r="G1307" s="8">
        <v>0</v>
      </c>
      <c r="H1307" s="8">
        <v>0</v>
      </c>
      <c r="I1307" s="8">
        <v>1</v>
      </c>
      <c r="J1307" s="8">
        <v>1</v>
      </c>
      <c r="K1307" s="8">
        <v>1</v>
      </c>
      <c r="L1307" s="8">
        <v>1</v>
      </c>
      <c r="M1307" s="8">
        <v>1</v>
      </c>
      <c r="N1307" s="8">
        <v>11</v>
      </c>
      <c r="O1307" s="8">
        <v>1</v>
      </c>
      <c r="P1307" s="8">
        <v>1</v>
      </c>
      <c r="Q1307" s="8">
        <v>1</v>
      </c>
      <c r="R1307" s="8">
        <v>1</v>
      </c>
      <c r="S1307" s="8">
        <v>1</v>
      </c>
      <c r="T1307" s="8">
        <v>1</v>
      </c>
      <c r="U1307" s="8">
        <v>0</v>
      </c>
      <c r="V1307" s="8">
        <v>1</v>
      </c>
      <c r="W1307" s="8">
        <v>1</v>
      </c>
      <c r="X1307" s="8">
        <v>1</v>
      </c>
      <c r="Y1307" s="8">
        <v>1</v>
      </c>
      <c r="Z1307" s="8">
        <v>1</v>
      </c>
      <c r="AA1307" s="8">
        <v>1</v>
      </c>
      <c r="AB1307" s="8">
        <v>0</v>
      </c>
      <c r="AC1307" s="8">
        <v>1</v>
      </c>
      <c r="AD1307" s="8">
        <v>1</v>
      </c>
      <c r="AE1307" s="8">
        <v>1</v>
      </c>
      <c r="AF1307" s="8">
        <v>1</v>
      </c>
      <c r="AG1307" s="8">
        <v>1</v>
      </c>
      <c r="AH1307" s="8">
        <v>1</v>
      </c>
      <c r="AI1307" s="8">
        <v>0</v>
      </c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11" t="s">
        <v>250</v>
      </c>
    </row>
    <row r="1308" spans="1:46" ht="15.1" customHeight="1">
      <c r="A1308" s="8">
        <v>435</v>
      </c>
      <c r="B1308" s="9" t="s">
        <v>1125</v>
      </c>
      <c r="C1308" s="8" t="s">
        <v>1126</v>
      </c>
      <c r="D1308" s="9" t="s">
        <v>451</v>
      </c>
      <c r="E1308" s="8" t="s">
        <v>54</v>
      </c>
      <c r="F1308" s="8" t="s">
        <v>54</v>
      </c>
      <c r="G1308" s="10" t="s">
        <v>67</v>
      </c>
      <c r="H1308" s="12" t="s">
        <v>55</v>
      </c>
      <c r="I1308" s="8" t="s">
        <v>54</v>
      </c>
      <c r="J1308" s="8" t="s">
        <v>54</v>
      </c>
      <c r="K1308" s="8" t="s">
        <v>54</v>
      </c>
      <c r="L1308" s="8" t="s">
        <v>54</v>
      </c>
      <c r="M1308" s="8" t="s">
        <v>54</v>
      </c>
      <c r="N1308" s="10" t="s">
        <v>67</v>
      </c>
      <c r="O1308" s="8" t="s">
        <v>54</v>
      </c>
      <c r="P1308" s="8" t="s">
        <v>54</v>
      </c>
      <c r="Q1308" s="8" t="s">
        <v>54</v>
      </c>
      <c r="R1308" s="8" t="s">
        <v>54</v>
      </c>
      <c r="S1308" s="8" t="s">
        <v>54</v>
      </c>
      <c r="T1308" s="8" t="s">
        <v>54</v>
      </c>
      <c r="U1308" s="10" t="s">
        <v>67</v>
      </c>
      <c r="V1308" s="8" t="s">
        <v>54</v>
      </c>
      <c r="W1308" s="8" t="s">
        <v>54</v>
      </c>
      <c r="X1308" s="8" t="s">
        <v>54</v>
      </c>
      <c r="Y1308" s="8" t="s">
        <v>54</v>
      </c>
      <c r="Z1308" s="8" t="s">
        <v>54</v>
      </c>
      <c r="AA1308" s="8" t="s">
        <v>54</v>
      </c>
      <c r="AB1308" s="10" t="s">
        <v>67</v>
      </c>
      <c r="AC1308" s="8" t="s">
        <v>54</v>
      </c>
      <c r="AD1308" s="8" t="s">
        <v>54</v>
      </c>
      <c r="AE1308" s="8" t="s">
        <v>54</v>
      </c>
      <c r="AF1308" s="8" t="s">
        <v>54</v>
      </c>
      <c r="AG1308" s="8" t="s">
        <v>54</v>
      </c>
      <c r="AH1308" s="8" t="s">
        <v>54</v>
      </c>
      <c r="AI1308" s="10" t="s">
        <v>67</v>
      </c>
      <c r="AJ1308" s="8">
        <f>COUNTIF($E$1308:$AI$1308,"P")</f>
        <v>25</v>
      </c>
      <c r="AK1308" s="8">
        <f>COUNTIF($E$1308:$AI$1308,"A")</f>
        <v>1</v>
      </c>
      <c r="AL1308" s="8">
        <f>SUM($E$1309:$AI$1309)</f>
        <v>46</v>
      </c>
      <c r="AM1308" s="8">
        <f>SUM($E$1310:$AI$1310)</f>
        <v>43</v>
      </c>
      <c r="AN1308" s="8">
        <f>AL1308+AM1308</f>
        <v>89</v>
      </c>
      <c r="AO1308" s="8">
        <f>COUNTIF($E$1308:$AI$1308,"CL")</f>
        <v>0</v>
      </c>
      <c r="AP1308" s="8">
        <f>COUNTIF($E$1308:$AI$1308,"SL")</f>
        <v>0</v>
      </c>
      <c r="AQ1308" s="8">
        <f>COUNTIF($E$1308:$AI$1308,"EL")</f>
        <v>0</v>
      </c>
      <c r="AR1308" s="8">
        <f>COUNTIF($E$1308:$AI$1308,"H")</f>
        <v>0</v>
      </c>
      <c r="AS1308" s="8"/>
      <c r="AT1308" s="11" t="s">
        <v>250</v>
      </c>
    </row>
    <row r="1309" spans="1:46" ht="15.1" customHeight="1">
      <c r="A1309" s="8"/>
      <c r="B1309" s="9"/>
      <c r="C1309" s="8"/>
      <c r="D1309" s="9"/>
      <c r="E1309" s="8">
        <v>0</v>
      </c>
      <c r="F1309" s="8">
        <v>0</v>
      </c>
      <c r="G1309" s="8">
        <v>0</v>
      </c>
      <c r="H1309" s="8">
        <v>0</v>
      </c>
      <c r="I1309" s="8">
        <v>2</v>
      </c>
      <c r="J1309" s="8">
        <v>2</v>
      </c>
      <c r="K1309" s="8">
        <v>2</v>
      </c>
      <c r="L1309" s="8">
        <v>2</v>
      </c>
      <c r="M1309" s="8">
        <v>2</v>
      </c>
      <c r="N1309" s="8">
        <v>0</v>
      </c>
      <c r="O1309" s="8">
        <v>2</v>
      </c>
      <c r="P1309" s="8">
        <v>2</v>
      </c>
      <c r="Q1309" s="8">
        <v>2</v>
      </c>
      <c r="R1309" s="8">
        <v>2</v>
      </c>
      <c r="S1309" s="8">
        <v>2</v>
      </c>
      <c r="T1309" s="8">
        <v>2</v>
      </c>
      <c r="U1309" s="8">
        <v>0</v>
      </c>
      <c r="V1309" s="8">
        <v>2</v>
      </c>
      <c r="W1309" s="8">
        <v>2</v>
      </c>
      <c r="X1309" s="8">
        <v>2</v>
      </c>
      <c r="Y1309" s="8">
        <v>2</v>
      </c>
      <c r="Z1309" s="8">
        <v>2</v>
      </c>
      <c r="AA1309" s="8">
        <v>2</v>
      </c>
      <c r="AB1309" s="8">
        <v>0</v>
      </c>
      <c r="AC1309" s="8">
        <v>2</v>
      </c>
      <c r="AD1309" s="8">
        <v>2</v>
      </c>
      <c r="AE1309" s="8">
        <v>2</v>
      </c>
      <c r="AF1309" s="8">
        <v>2</v>
      </c>
      <c r="AG1309" s="8">
        <v>2</v>
      </c>
      <c r="AH1309" s="8">
        <v>2</v>
      </c>
      <c r="AI1309" s="8">
        <v>0</v>
      </c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11" t="s">
        <v>250</v>
      </c>
    </row>
    <row r="1310" spans="1:46" ht="15.1" customHeight="1">
      <c r="A1310" s="8"/>
      <c r="B1310" s="9"/>
      <c r="C1310" s="8"/>
      <c r="D1310" s="9"/>
      <c r="E1310" s="8">
        <v>0</v>
      </c>
      <c r="F1310" s="8">
        <v>0</v>
      </c>
      <c r="G1310" s="8">
        <v>9</v>
      </c>
      <c r="H1310" s="8">
        <v>0</v>
      </c>
      <c r="I1310" s="8">
        <v>1</v>
      </c>
      <c r="J1310" s="8">
        <v>1</v>
      </c>
      <c r="K1310" s="8">
        <v>1</v>
      </c>
      <c r="L1310" s="8">
        <v>1</v>
      </c>
      <c r="M1310" s="8">
        <v>1</v>
      </c>
      <c r="N1310" s="8">
        <v>11</v>
      </c>
      <c r="O1310" s="8">
        <v>1</v>
      </c>
      <c r="P1310" s="8">
        <v>1</v>
      </c>
      <c r="Q1310" s="8">
        <v>1</v>
      </c>
      <c r="R1310" s="8">
        <v>1</v>
      </c>
      <c r="S1310" s="8">
        <v>1</v>
      </c>
      <c r="T1310" s="8">
        <v>1</v>
      </c>
      <c r="U1310" s="8">
        <v>0</v>
      </c>
      <c r="V1310" s="8">
        <v>1</v>
      </c>
      <c r="W1310" s="8">
        <v>1</v>
      </c>
      <c r="X1310" s="8">
        <v>1</v>
      </c>
      <c r="Y1310" s="8">
        <v>1</v>
      </c>
      <c r="Z1310" s="8">
        <v>1</v>
      </c>
      <c r="AA1310" s="8">
        <v>1</v>
      </c>
      <c r="AB1310" s="8">
        <v>0</v>
      </c>
      <c r="AC1310" s="8">
        <v>1</v>
      </c>
      <c r="AD1310" s="8">
        <v>1</v>
      </c>
      <c r="AE1310" s="8">
        <v>1</v>
      </c>
      <c r="AF1310" s="8">
        <v>1</v>
      </c>
      <c r="AG1310" s="8">
        <v>1</v>
      </c>
      <c r="AH1310" s="8">
        <v>1</v>
      </c>
      <c r="AI1310" s="8">
        <v>0</v>
      </c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11" t="s">
        <v>250</v>
      </c>
    </row>
    <row r="1311" spans="1:46" ht="15.1" customHeight="1">
      <c r="A1311" s="8">
        <v>436</v>
      </c>
      <c r="B1311" s="9" t="s">
        <v>354</v>
      </c>
      <c r="C1311" s="8" t="s">
        <v>1127</v>
      </c>
      <c r="D1311" s="9" t="s">
        <v>451</v>
      </c>
      <c r="E1311" s="8" t="s">
        <v>54</v>
      </c>
      <c r="F1311" s="8" t="s">
        <v>54</v>
      </c>
      <c r="G1311" s="10" t="s">
        <v>67</v>
      </c>
      <c r="H1311" s="8" t="s">
        <v>54</v>
      </c>
      <c r="I1311" s="8" t="s">
        <v>54</v>
      </c>
      <c r="J1311" s="8" t="s">
        <v>54</v>
      </c>
      <c r="K1311" s="8" t="s">
        <v>54</v>
      </c>
      <c r="L1311" s="8" t="s">
        <v>54</v>
      </c>
      <c r="M1311" s="8" t="s">
        <v>54</v>
      </c>
      <c r="N1311" s="10" t="s">
        <v>67</v>
      </c>
      <c r="O1311" s="8" t="s">
        <v>54</v>
      </c>
      <c r="P1311" s="8" t="s">
        <v>54</v>
      </c>
      <c r="Q1311" s="8" t="s">
        <v>54</v>
      </c>
      <c r="R1311" s="8" t="s">
        <v>54</v>
      </c>
      <c r="S1311" s="8" t="s">
        <v>54</v>
      </c>
      <c r="T1311" s="8" t="s">
        <v>54</v>
      </c>
      <c r="U1311" s="10" t="s">
        <v>67</v>
      </c>
      <c r="V1311" s="8" t="s">
        <v>54</v>
      </c>
      <c r="W1311" s="8" t="s">
        <v>54</v>
      </c>
      <c r="X1311" s="8" t="s">
        <v>54</v>
      </c>
      <c r="Y1311" s="8" t="s">
        <v>54</v>
      </c>
      <c r="Z1311" s="8" t="s">
        <v>54</v>
      </c>
      <c r="AA1311" s="8" t="s">
        <v>54</v>
      </c>
      <c r="AB1311" s="10" t="s">
        <v>67</v>
      </c>
      <c r="AC1311" s="8" t="s">
        <v>54</v>
      </c>
      <c r="AD1311" s="8" t="s">
        <v>54</v>
      </c>
      <c r="AE1311" s="8" t="s">
        <v>54</v>
      </c>
      <c r="AF1311" s="8" t="s">
        <v>54</v>
      </c>
      <c r="AG1311" s="8" t="s">
        <v>54</v>
      </c>
      <c r="AH1311" s="8" t="s">
        <v>54</v>
      </c>
      <c r="AI1311" s="10" t="s">
        <v>67</v>
      </c>
      <c r="AJ1311" s="8">
        <f>COUNTIF($E$1311:$AI$1311,"P")</f>
        <v>26</v>
      </c>
      <c r="AK1311" s="8">
        <f>COUNTIF($E$1311:$AI$1311,"A")</f>
        <v>0</v>
      </c>
      <c r="AL1311" s="8">
        <f>SUM($E$1312:$AI$1312)</f>
        <v>46</v>
      </c>
      <c r="AM1311" s="8">
        <f>SUM($E$1313:$AI$1313)</f>
        <v>23</v>
      </c>
      <c r="AN1311" s="8">
        <f>AL1311+AM1311</f>
        <v>69</v>
      </c>
      <c r="AO1311" s="8">
        <f>COUNTIF($E$1311:$AI$1311,"CL")</f>
        <v>0</v>
      </c>
      <c r="AP1311" s="8">
        <f>COUNTIF($E$1311:$AI$1311,"SL")</f>
        <v>0</v>
      </c>
      <c r="AQ1311" s="8">
        <f>COUNTIF($E$1311:$AI$1311,"EL")</f>
        <v>0</v>
      </c>
      <c r="AR1311" s="8">
        <f>COUNTIF($E$1311:$AI$1311,"H")</f>
        <v>0</v>
      </c>
      <c r="AS1311" s="8"/>
      <c r="AT1311" s="11" t="s">
        <v>250</v>
      </c>
    </row>
    <row r="1312" spans="1:46" ht="15.1" customHeight="1">
      <c r="A1312" s="8"/>
      <c r="B1312" s="9"/>
      <c r="C1312" s="8"/>
      <c r="D1312" s="9"/>
      <c r="E1312" s="8">
        <v>0</v>
      </c>
      <c r="F1312" s="8">
        <v>0</v>
      </c>
      <c r="G1312" s="8">
        <v>0</v>
      </c>
      <c r="H1312" s="8">
        <v>2</v>
      </c>
      <c r="I1312" s="8">
        <v>2</v>
      </c>
      <c r="J1312" s="8">
        <v>2</v>
      </c>
      <c r="K1312" s="8">
        <v>2</v>
      </c>
      <c r="L1312" s="8">
        <v>2</v>
      </c>
      <c r="M1312" s="8">
        <v>2</v>
      </c>
      <c r="N1312" s="8">
        <v>0</v>
      </c>
      <c r="O1312" s="8">
        <v>2</v>
      </c>
      <c r="P1312" s="8">
        <v>2</v>
      </c>
      <c r="Q1312" s="8">
        <v>2</v>
      </c>
      <c r="R1312" s="8">
        <v>2</v>
      </c>
      <c r="S1312" s="8">
        <v>2</v>
      </c>
      <c r="T1312" s="8">
        <v>2</v>
      </c>
      <c r="U1312" s="8">
        <v>0</v>
      </c>
      <c r="V1312" s="8">
        <v>2</v>
      </c>
      <c r="W1312" s="8">
        <v>2</v>
      </c>
      <c r="X1312" s="8">
        <v>2</v>
      </c>
      <c r="Y1312" s="8">
        <v>2</v>
      </c>
      <c r="Z1312" s="8">
        <v>0</v>
      </c>
      <c r="AA1312" s="8">
        <v>2</v>
      </c>
      <c r="AB1312" s="8">
        <v>0</v>
      </c>
      <c r="AC1312" s="8">
        <v>2</v>
      </c>
      <c r="AD1312" s="8">
        <v>2</v>
      </c>
      <c r="AE1312" s="8">
        <v>2</v>
      </c>
      <c r="AF1312" s="8">
        <v>2</v>
      </c>
      <c r="AG1312" s="8">
        <v>2</v>
      </c>
      <c r="AH1312" s="8">
        <v>2</v>
      </c>
      <c r="AI1312" s="8">
        <v>0</v>
      </c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11" t="s">
        <v>250</v>
      </c>
    </row>
    <row r="1313" spans="1:46" ht="15.1" customHeight="1">
      <c r="A1313" s="8"/>
      <c r="B1313" s="9"/>
      <c r="C1313" s="8"/>
      <c r="D1313" s="9"/>
      <c r="E1313" s="8">
        <v>0</v>
      </c>
      <c r="F1313" s="8">
        <v>0</v>
      </c>
      <c r="G1313" s="8">
        <v>0</v>
      </c>
      <c r="H1313" s="8">
        <v>1</v>
      </c>
      <c r="I1313" s="8">
        <v>1</v>
      </c>
      <c r="J1313" s="8">
        <v>1</v>
      </c>
      <c r="K1313" s="8">
        <v>1</v>
      </c>
      <c r="L1313" s="8">
        <v>1</v>
      </c>
      <c r="M1313" s="8">
        <v>1</v>
      </c>
      <c r="N1313" s="8">
        <v>0</v>
      </c>
      <c r="O1313" s="8">
        <v>1</v>
      </c>
      <c r="P1313" s="8">
        <v>1</v>
      </c>
      <c r="Q1313" s="8">
        <v>1</v>
      </c>
      <c r="R1313" s="8">
        <v>1</v>
      </c>
      <c r="S1313" s="8">
        <v>1</v>
      </c>
      <c r="T1313" s="8">
        <v>1</v>
      </c>
      <c r="U1313" s="8">
        <v>0</v>
      </c>
      <c r="V1313" s="8">
        <v>1</v>
      </c>
      <c r="W1313" s="8">
        <v>1</v>
      </c>
      <c r="X1313" s="8">
        <v>1</v>
      </c>
      <c r="Y1313" s="8">
        <v>1</v>
      </c>
      <c r="Z1313" s="8">
        <v>0</v>
      </c>
      <c r="AA1313" s="8">
        <v>1</v>
      </c>
      <c r="AB1313" s="8">
        <v>0</v>
      </c>
      <c r="AC1313" s="8">
        <v>1</v>
      </c>
      <c r="AD1313" s="8">
        <v>1</v>
      </c>
      <c r="AE1313" s="8">
        <v>1</v>
      </c>
      <c r="AF1313" s="8">
        <v>1</v>
      </c>
      <c r="AG1313" s="8">
        <v>1</v>
      </c>
      <c r="AH1313" s="8">
        <v>1</v>
      </c>
      <c r="AI1313" s="8">
        <v>0</v>
      </c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11" t="s">
        <v>250</v>
      </c>
    </row>
    <row r="1314" spans="1:46" ht="15.1" customHeight="1">
      <c r="A1314" s="8">
        <v>437</v>
      </c>
      <c r="B1314" s="9" t="s">
        <v>1128</v>
      </c>
      <c r="C1314" s="8" t="s">
        <v>1129</v>
      </c>
      <c r="D1314" s="9" t="s">
        <v>451</v>
      </c>
      <c r="E1314" s="8" t="s">
        <v>54</v>
      </c>
      <c r="F1314" s="8" t="s">
        <v>54</v>
      </c>
      <c r="G1314" s="10" t="s">
        <v>67</v>
      </c>
      <c r="H1314" s="12" t="s">
        <v>55</v>
      </c>
      <c r="I1314" s="8" t="s">
        <v>54</v>
      </c>
      <c r="J1314" s="8" t="s">
        <v>54</v>
      </c>
      <c r="K1314" s="8" t="s">
        <v>54</v>
      </c>
      <c r="L1314" s="8" t="s">
        <v>54</v>
      </c>
      <c r="M1314" s="8" t="s">
        <v>54</v>
      </c>
      <c r="N1314" s="10" t="s">
        <v>67</v>
      </c>
      <c r="O1314" s="8" t="s">
        <v>54</v>
      </c>
      <c r="P1314" s="8" t="s">
        <v>54</v>
      </c>
      <c r="Q1314" s="8" t="s">
        <v>54</v>
      </c>
      <c r="R1314" s="8" t="s">
        <v>54</v>
      </c>
      <c r="S1314" s="8" t="s">
        <v>54</v>
      </c>
      <c r="T1314" s="8" t="s">
        <v>54</v>
      </c>
      <c r="U1314" s="10" t="s">
        <v>67</v>
      </c>
      <c r="V1314" s="8" t="s">
        <v>54</v>
      </c>
      <c r="W1314" s="8" t="s">
        <v>54</v>
      </c>
      <c r="X1314" s="8" t="s">
        <v>54</v>
      </c>
      <c r="Y1314" s="8" t="s">
        <v>54</v>
      </c>
      <c r="Z1314" s="8" t="s">
        <v>54</v>
      </c>
      <c r="AA1314" s="8" t="s">
        <v>54</v>
      </c>
      <c r="AB1314" s="10" t="s">
        <v>67</v>
      </c>
      <c r="AC1314" s="8" t="s">
        <v>54</v>
      </c>
      <c r="AD1314" s="8" t="s">
        <v>54</v>
      </c>
      <c r="AE1314" s="8" t="s">
        <v>54</v>
      </c>
      <c r="AF1314" s="8" t="s">
        <v>54</v>
      </c>
      <c r="AG1314" s="8" t="s">
        <v>54</v>
      </c>
      <c r="AH1314" s="8" t="s">
        <v>54</v>
      </c>
      <c r="AI1314" s="10" t="s">
        <v>67</v>
      </c>
      <c r="AJ1314" s="8">
        <f>COUNTIF($E$1314:$AI$1314,"P")</f>
        <v>25</v>
      </c>
      <c r="AK1314" s="8">
        <f>COUNTIF($E$1314:$AI$1314,"A")</f>
        <v>1</v>
      </c>
      <c r="AL1314" s="8">
        <f>SUM($E$1315:$AI$1315)</f>
        <v>46</v>
      </c>
      <c r="AM1314" s="8">
        <f>SUM($E$1316:$AI$1316)</f>
        <v>32</v>
      </c>
      <c r="AN1314" s="8">
        <f>AL1314+AM1314</f>
        <v>78</v>
      </c>
      <c r="AO1314" s="8">
        <f>COUNTIF($E$1314:$AI$1314,"CL")</f>
        <v>0</v>
      </c>
      <c r="AP1314" s="8">
        <f>COUNTIF($E$1314:$AI$1314,"SL")</f>
        <v>0</v>
      </c>
      <c r="AQ1314" s="8">
        <f>COUNTIF($E$1314:$AI$1314,"EL")</f>
        <v>0</v>
      </c>
      <c r="AR1314" s="8">
        <f>COUNTIF($E$1314:$AI$1314,"H")</f>
        <v>0</v>
      </c>
      <c r="AS1314" s="8"/>
      <c r="AT1314" s="11" t="s">
        <v>250</v>
      </c>
    </row>
    <row r="1315" spans="1:46" ht="15.1" customHeight="1">
      <c r="A1315" s="8"/>
      <c r="B1315" s="9"/>
      <c r="C1315" s="8"/>
      <c r="D1315" s="9"/>
      <c r="E1315" s="8">
        <v>0</v>
      </c>
      <c r="F1315" s="8">
        <v>0</v>
      </c>
      <c r="G1315" s="8">
        <v>0</v>
      </c>
      <c r="H1315" s="8">
        <v>0</v>
      </c>
      <c r="I1315" s="8">
        <v>2</v>
      </c>
      <c r="J1315" s="8">
        <v>2</v>
      </c>
      <c r="K1315" s="8">
        <v>2</v>
      </c>
      <c r="L1315" s="8">
        <v>2</v>
      </c>
      <c r="M1315" s="8">
        <v>2</v>
      </c>
      <c r="N1315" s="8">
        <v>0</v>
      </c>
      <c r="O1315" s="8">
        <v>2</v>
      </c>
      <c r="P1315" s="8">
        <v>2</v>
      </c>
      <c r="Q1315" s="8">
        <v>2</v>
      </c>
      <c r="R1315" s="8">
        <v>2</v>
      </c>
      <c r="S1315" s="8">
        <v>2</v>
      </c>
      <c r="T1315" s="8">
        <v>2</v>
      </c>
      <c r="U1315" s="8">
        <v>0</v>
      </c>
      <c r="V1315" s="8">
        <v>2</v>
      </c>
      <c r="W1315" s="8">
        <v>2</v>
      </c>
      <c r="X1315" s="8">
        <v>2</v>
      </c>
      <c r="Y1315" s="8">
        <v>2</v>
      </c>
      <c r="Z1315" s="8">
        <v>2</v>
      </c>
      <c r="AA1315" s="8">
        <v>2</v>
      </c>
      <c r="AB1315" s="8">
        <v>0</v>
      </c>
      <c r="AC1315" s="8">
        <v>2</v>
      </c>
      <c r="AD1315" s="8">
        <v>2</v>
      </c>
      <c r="AE1315" s="8">
        <v>2</v>
      </c>
      <c r="AF1315" s="8">
        <v>2</v>
      </c>
      <c r="AG1315" s="8">
        <v>2</v>
      </c>
      <c r="AH1315" s="8">
        <v>2</v>
      </c>
      <c r="AI1315" s="8">
        <v>0</v>
      </c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11" t="s">
        <v>250</v>
      </c>
    </row>
    <row r="1316" spans="1:46" ht="15.1" customHeight="1">
      <c r="A1316" s="8"/>
      <c r="B1316" s="9"/>
      <c r="C1316" s="8"/>
      <c r="D1316" s="9"/>
      <c r="E1316" s="8">
        <v>0</v>
      </c>
      <c r="F1316" s="8">
        <v>0</v>
      </c>
      <c r="G1316" s="8">
        <v>9</v>
      </c>
      <c r="H1316" s="8">
        <v>0</v>
      </c>
      <c r="I1316" s="8">
        <v>1</v>
      </c>
      <c r="J1316" s="8">
        <v>1</v>
      </c>
      <c r="K1316" s="8">
        <v>1</v>
      </c>
      <c r="L1316" s="8">
        <v>1</v>
      </c>
      <c r="M1316" s="8">
        <v>1</v>
      </c>
      <c r="N1316" s="8">
        <v>0</v>
      </c>
      <c r="O1316" s="8">
        <v>1</v>
      </c>
      <c r="P1316" s="8">
        <v>1</v>
      </c>
      <c r="Q1316" s="8">
        <v>1</v>
      </c>
      <c r="R1316" s="8">
        <v>1</v>
      </c>
      <c r="S1316" s="8">
        <v>1</v>
      </c>
      <c r="T1316" s="8">
        <v>1</v>
      </c>
      <c r="U1316" s="8">
        <v>0</v>
      </c>
      <c r="V1316" s="8">
        <v>1</v>
      </c>
      <c r="W1316" s="8">
        <v>1</v>
      </c>
      <c r="X1316" s="8">
        <v>1</v>
      </c>
      <c r="Y1316" s="8">
        <v>1</v>
      </c>
      <c r="Z1316" s="8">
        <v>1</v>
      </c>
      <c r="AA1316" s="8">
        <v>1</v>
      </c>
      <c r="AB1316" s="8">
        <v>0</v>
      </c>
      <c r="AC1316" s="8">
        <v>1</v>
      </c>
      <c r="AD1316" s="8">
        <v>1</v>
      </c>
      <c r="AE1316" s="8">
        <v>1</v>
      </c>
      <c r="AF1316" s="8">
        <v>1</v>
      </c>
      <c r="AG1316" s="8">
        <v>1</v>
      </c>
      <c r="AH1316" s="8">
        <v>1</v>
      </c>
      <c r="AI1316" s="8">
        <v>0</v>
      </c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11" t="s">
        <v>250</v>
      </c>
    </row>
    <row r="1317" spans="1:46" ht="15.1" customHeight="1">
      <c r="A1317" s="8">
        <v>438</v>
      </c>
      <c r="B1317" s="9" t="s">
        <v>1130</v>
      </c>
      <c r="C1317" s="8" t="s">
        <v>1131</v>
      </c>
      <c r="D1317" s="9" t="s">
        <v>451</v>
      </c>
      <c r="E1317" s="8" t="s">
        <v>54</v>
      </c>
      <c r="F1317" s="8" t="s">
        <v>54</v>
      </c>
      <c r="G1317" s="10" t="s">
        <v>67</v>
      </c>
      <c r="H1317" s="12" t="s">
        <v>55</v>
      </c>
      <c r="I1317" s="8" t="s">
        <v>54</v>
      </c>
      <c r="J1317" s="8" t="s">
        <v>54</v>
      </c>
      <c r="K1317" s="8" t="s">
        <v>54</v>
      </c>
      <c r="L1317" s="8" t="s">
        <v>54</v>
      </c>
      <c r="M1317" s="8" t="s">
        <v>54</v>
      </c>
      <c r="N1317" s="10" t="s">
        <v>67</v>
      </c>
      <c r="O1317" s="8" t="s">
        <v>54</v>
      </c>
      <c r="P1317" s="8" t="s">
        <v>54</v>
      </c>
      <c r="Q1317" s="8" t="s">
        <v>54</v>
      </c>
      <c r="R1317" s="8" t="s">
        <v>54</v>
      </c>
      <c r="S1317" s="8" t="s">
        <v>54</v>
      </c>
      <c r="T1317" s="8" t="s">
        <v>54</v>
      </c>
      <c r="U1317" s="10" t="s">
        <v>67</v>
      </c>
      <c r="V1317" s="8" t="s">
        <v>54</v>
      </c>
      <c r="W1317" s="8" t="s">
        <v>54</v>
      </c>
      <c r="X1317" s="8" t="s">
        <v>54</v>
      </c>
      <c r="Y1317" s="8" t="s">
        <v>54</v>
      </c>
      <c r="Z1317" s="8" t="s">
        <v>54</v>
      </c>
      <c r="AA1317" s="8" t="s">
        <v>54</v>
      </c>
      <c r="AB1317" s="10" t="s">
        <v>67</v>
      </c>
      <c r="AC1317" s="12" t="s">
        <v>55</v>
      </c>
      <c r="AD1317" s="12" t="s">
        <v>55</v>
      </c>
      <c r="AE1317" s="8" t="s">
        <v>54</v>
      </c>
      <c r="AF1317" s="8" t="s">
        <v>54</v>
      </c>
      <c r="AG1317" s="8" t="s">
        <v>54</v>
      </c>
      <c r="AH1317" s="8" t="s">
        <v>54</v>
      </c>
      <c r="AI1317" s="10" t="s">
        <v>67</v>
      </c>
      <c r="AJ1317" s="8">
        <f>COUNTIF($E$1317:$AI$1317,"P")</f>
        <v>23</v>
      </c>
      <c r="AK1317" s="8">
        <f>COUNTIF($E$1317:$AI$1317,"A")</f>
        <v>3</v>
      </c>
      <c r="AL1317" s="8">
        <f>SUM($E$1318:$AI$1318)</f>
        <v>42</v>
      </c>
      <c r="AM1317" s="8">
        <f>SUM($E$1319:$AI$1319)</f>
        <v>30.5</v>
      </c>
      <c r="AN1317" s="8">
        <f>AL1317+AM1317</f>
        <v>72.5</v>
      </c>
      <c r="AO1317" s="8">
        <f>COUNTIF($E$1317:$AI$1317,"CL")</f>
        <v>0</v>
      </c>
      <c r="AP1317" s="8">
        <f>COUNTIF($E$1317:$AI$1317,"SL")</f>
        <v>0</v>
      </c>
      <c r="AQ1317" s="8">
        <f>COUNTIF($E$1317:$AI$1317,"EL")</f>
        <v>0</v>
      </c>
      <c r="AR1317" s="8">
        <f>COUNTIF($E$1317:$AI$1317,"H")</f>
        <v>0</v>
      </c>
      <c r="AS1317" s="8"/>
      <c r="AT1317" s="11" t="s">
        <v>250</v>
      </c>
    </row>
    <row r="1318" spans="1:46" ht="15.1" customHeight="1">
      <c r="A1318" s="8"/>
      <c r="B1318" s="9"/>
      <c r="C1318" s="8"/>
      <c r="D1318" s="9"/>
      <c r="E1318" s="8">
        <v>0</v>
      </c>
      <c r="F1318" s="8">
        <v>0</v>
      </c>
      <c r="G1318" s="8">
        <v>0</v>
      </c>
      <c r="H1318" s="8">
        <v>0</v>
      </c>
      <c r="I1318" s="8">
        <v>2</v>
      </c>
      <c r="J1318" s="8">
        <v>2</v>
      </c>
      <c r="K1318" s="8">
        <v>2</v>
      </c>
      <c r="L1318" s="8">
        <v>2</v>
      </c>
      <c r="M1318" s="8">
        <v>2</v>
      </c>
      <c r="N1318" s="8">
        <v>0</v>
      </c>
      <c r="O1318" s="8">
        <v>2</v>
      </c>
      <c r="P1318" s="8">
        <v>2</v>
      </c>
      <c r="Q1318" s="8">
        <v>2</v>
      </c>
      <c r="R1318" s="8">
        <v>2</v>
      </c>
      <c r="S1318" s="8">
        <v>2</v>
      </c>
      <c r="T1318" s="8">
        <v>2</v>
      </c>
      <c r="U1318" s="8">
        <v>0</v>
      </c>
      <c r="V1318" s="8">
        <v>2</v>
      </c>
      <c r="W1318" s="8">
        <v>2</v>
      </c>
      <c r="X1318" s="8">
        <v>2</v>
      </c>
      <c r="Y1318" s="8">
        <v>2</v>
      </c>
      <c r="Z1318" s="8">
        <v>2</v>
      </c>
      <c r="AA1318" s="8">
        <v>2</v>
      </c>
      <c r="AB1318" s="8">
        <v>0</v>
      </c>
      <c r="AC1318" s="8">
        <v>0</v>
      </c>
      <c r="AD1318" s="8">
        <v>0</v>
      </c>
      <c r="AE1318" s="8">
        <v>2</v>
      </c>
      <c r="AF1318" s="8">
        <v>2</v>
      </c>
      <c r="AG1318" s="8">
        <v>2</v>
      </c>
      <c r="AH1318" s="8">
        <v>2</v>
      </c>
      <c r="AI1318" s="8">
        <v>0</v>
      </c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11" t="s">
        <v>250</v>
      </c>
    </row>
    <row r="1319" spans="1:46" ht="15.1" customHeight="1">
      <c r="A1319" s="8"/>
      <c r="B1319" s="9"/>
      <c r="C1319" s="8"/>
      <c r="D1319" s="9"/>
      <c r="E1319" s="8">
        <v>0</v>
      </c>
      <c r="F1319" s="8">
        <v>0</v>
      </c>
      <c r="G1319" s="8">
        <v>9</v>
      </c>
      <c r="H1319" s="8">
        <v>0</v>
      </c>
      <c r="I1319" s="8">
        <v>1</v>
      </c>
      <c r="J1319" s="8">
        <v>1</v>
      </c>
      <c r="K1319" s="8">
        <v>1</v>
      </c>
      <c r="L1319" s="8">
        <v>1</v>
      </c>
      <c r="M1319" s="8">
        <v>1</v>
      </c>
      <c r="N1319" s="8">
        <v>0</v>
      </c>
      <c r="O1319" s="8">
        <v>1</v>
      </c>
      <c r="P1319" s="8">
        <v>1</v>
      </c>
      <c r="Q1319" s="8">
        <v>1</v>
      </c>
      <c r="R1319" s="8">
        <v>1</v>
      </c>
      <c r="S1319" s="8">
        <v>1</v>
      </c>
      <c r="T1319" s="8">
        <v>1</v>
      </c>
      <c r="U1319" s="8">
        <v>0</v>
      </c>
      <c r="V1319" s="8">
        <v>1</v>
      </c>
      <c r="W1319" s="8">
        <v>1</v>
      </c>
      <c r="X1319" s="8">
        <v>1</v>
      </c>
      <c r="Y1319" s="8">
        <v>1</v>
      </c>
      <c r="Z1319" s="8">
        <v>1</v>
      </c>
      <c r="AA1319" s="8">
        <v>1</v>
      </c>
      <c r="AB1319" s="8">
        <v>0</v>
      </c>
      <c r="AC1319" s="8">
        <v>0</v>
      </c>
      <c r="AD1319" s="8">
        <v>0</v>
      </c>
      <c r="AE1319" s="8">
        <v>1</v>
      </c>
      <c r="AF1319" s="8">
        <v>1.5</v>
      </c>
      <c r="AG1319" s="8">
        <v>1</v>
      </c>
      <c r="AH1319" s="8">
        <v>1</v>
      </c>
      <c r="AI1319" s="8">
        <v>0</v>
      </c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11" t="s">
        <v>250</v>
      </c>
    </row>
    <row r="1320" spans="1:46" ht="15.1" customHeight="1">
      <c r="A1320" s="8">
        <v>439</v>
      </c>
      <c r="B1320" s="9" t="s">
        <v>1132</v>
      </c>
      <c r="C1320" s="8" t="s">
        <v>1133</v>
      </c>
      <c r="D1320" s="9" t="s">
        <v>451</v>
      </c>
      <c r="E1320" s="8" t="s">
        <v>54</v>
      </c>
      <c r="F1320" s="8" t="s">
        <v>54</v>
      </c>
      <c r="G1320" s="10" t="s">
        <v>67</v>
      </c>
      <c r="H1320" s="12" t="s">
        <v>55</v>
      </c>
      <c r="I1320" s="8" t="s">
        <v>54</v>
      </c>
      <c r="J1320" s="8" t="s">
        <v>54</v>
      </c>
      <c r="K1320" s="8" t="s">
        <v>54</v>
      </c>
      <c r="L1320" s="8" t="s">
        <v>54</v>
      </c>
      <c r="M1320" s="8" t="s">
        <v>54</v>
      </c>
      <c r="N1320" s="10" t="s">
        <v>67</v>
      </c>
      <c r="O1320" s="8" t="s">
        <v>54</v>
      </c>
      <c r="P1320" s="8" t="s">
        <v>54</v>
      </c>
      <c r="Q1320" s="8" t="s">
        <v>54</v>
      </c>
      <c r="R1320" s="8" t="s">
        <v>54</v>
      </c>
      <c r="S1320" s="8" t="s">
        <v>54</v>
      </c>
      <c r="T1320" s="8" t="s">
        <v>54</v>
      </c>
      <c r="U1320" s="10" t="s">
        <v>67</v>
      </c>
      <c r="V1320" s="8" t="s">
        <v>54</v>
      </c>
      <c r="W1320" s="8" t="s">
        <v>54</v>
      </c>
      <c r="X1320" s="8" t="s">
        <v>54</v>
      </c>
      <c r="Y1320" s="8" t="s">
        <v>54</v>
      </c>
      <c r="Z1320" s="8" t="s">
        <v>54</v>
      </c>
      <c r="AA1320" s="8" t="s">
        <v>54</v>
      </c>
      <c r="AB1320" s="10" t="s">
        <v>67</v>
      </c>
      <c r="AC1320" s="8" t="s">
        <v>54</v>
      </c>
      <c r="AD1320" s="8" t="s">
        <v>54</v>
      </c>
      <c r="AE1320" s="8" t="s">
        <v>54</v>
      </c>
      <c r="AF1320" s="8" t="s">
        <v>54</v>
      </c>
      <c r="AG1320" s="8" t="s">
        <v>54</v>
      </c>
      <c r="AH1320" s="8" t="s">
        <v>54</v>
      </c>
      <c r="AI1320" s="10" t="s">
        <v>67</v>
      </c>
      <c r="AJ1320" s="8">
        <f>COUNTIF($E$1320:$AI$1320,"P")</f>
        <v>25</v>
      </c>
      <c r="AK1320" s="8">
        <f>COUNTIF($E$1320:$AI$1320,"A")</f>
        <v>1</v>
      </c>
      <c r="AL1320" s="8">
        <f>SUM($E$1321:$AI$1321)</f>
        <v>44</v>
      </c>
      <c r="AM1320" s="8">
        <f>SUM($E$1322:$AI$1322)</f>
        <v>31</v>
      </c>
      <c r="AN1320" s="8">
        <f>AL1320+AM1320</f>
        <v>75</v>
      </c>
      <c r="AO1320" s="8">
        <f>COUNTIF($E$1320:$AI$1320,"CL")</f>
        <v>0</v>
      </c>
      <c r="AP1320" s="8">
        <f>COUNTIF($E$1320:$AI$1320,"SL")</f>
        <v>0</v>
      </c>
      <c r="AQ1320" s="8">
        <f>COUNTIF($E$1320:$AI$1320,"EL")</f>
        <v>0</v>
      </c>
      <c r="AR1320" s="8">
        <f>COUNTIF($E$1320:$AI$1320,"H")</f>
        <v>0</v>
      </c>
      <c r="AS1320" s="8"/>
      <c r="AT1320" s="11" t="s">
        <v>250</v>
      </c>
    </row>
    <row r="1321" spans="1:46" ht="15.1" customHeight="1">
      <c r="A1321" s="8"/>
      <c r="B1321" s="9"/>
      <c r="C1321" s="8"/>
      <c r="D1321" s="9"/>
      <c r="E1321" s="8">
        <v>0</v>
      </c>
      <c r="F1321" s="8">
        <v>0</v>
      </c>
      <c r="G1321" s="8">
        <v>0</v>
      </c>
      <c r="H1321" s="8">
        <v>0</v>
      </c>
      <c r="I1321" s="8">
        <v>2</v>
      </c>
      <c r="J1321" s="8">
        <v>2</v>
      </c>
      <c r="K1321" s="8">
        <v>2</v>
      </c>
      <c r="L1321" s="8">
        <v>2</v>
      </c>
      <c r="M1321" s="8">
        <v>2</v>
      </c>
      <c r="N1321" s="8">
        <v>0</v>
      </c>
      <c r="O1321" s="8">
        <v>2</v>
      </c>
      <c r="P1321" s="8">
        <v>2</v>
      </c>
      <c r="Q1321" s="8">
        <v>2</v>
      </c>
      <c r="R1321" s="8">
        <v>2</v>
      </c>
      <c r="S1321" s="8">
        <v>2</v>
      </c>
      <c r="T1321" s="8">
        <v>2</v>
      </c>
      <c r="U1321" s="8">
        <v>0</v>
      </c>
      <c r="V1321" s="8">
        <v>2</v>
      </c>
      <c r="W1321" s="8">
        <v>2</v>
      </c>
      <c r="X1321" s="8">
        <v>2</v>
      </c>
      <c r="Y1321" s="8">
        <v>2</v>
      </c>
      <c r="Z1321" s="8">
        <v>2</v>
      </c>
      <c r="AA1321" s="8">
        <v>0</v>
      </c>
      <c r="AB1321" s="8">
        <v>0</v>
      </c>
      <c r="AC1321" s="8">
        <v>2</v>
      </c>
      <c r="AD1321" s="8">
        <v>2</v>
      </c>
      <c r="AE1321" s="8">
        <v>2</v>
      </c>
      <c r="AF1321" s="8">
        <v>2</v>
      </c>
      <c r="AG1321" s="8">
        <v>2</v>
      </c>
      <c r="AH1321" s="8">
        <v>2</v>
      </c>
      <c r="AI1321" s="8">
        <v>0</v>
      </c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11" t="s">
        <v>250</v>
      </c>
    </row>
    <row r="1322" spans="1:46" ht="15.1" customHeight="1">
      <c r="A1322" s="8"/>
      <c r="B1322" s="9"/>
      <c r="C1322" s="8"/>
      <c r="D1322" s="9"/>
      <c r="E1322" s="8">
        <v>0</v>
      </c>
      <c r="F1322" s="8">
        <v>0</v>
      </c>
      <c r="G1322" s="8">
        <v>9</v>
      </c>
      <c r="H1322" s="8">
        <v>0</v>
      </c>
      <c r="I1322" s="8">
        <v>1</v>
      </c>
      <c r="J1322" s="8">
        <v>1</v>
      </c>
      <c r="K1322" s="8">
        <v>1</v>
      </c>
      <c r="L1322" s="8">
        <v>1</v>
      </c>
      <c r="M1322" s="8">
        <v>1</v>
      </c>
      <c r="N1322" s="8">
        <v>0</v>
      </c>
      <c r="O1322" s="8">
        <v>1</v>
      </c>
      <c r="P1322" s="8">
        <v>1</v>
      </c>
      <c r="Q1322" s="8">
        <v>1</v>
      </c>
      <c r="R1322" s="8">
        <v>1</v>
      </c>
      <c r="S1322" s="8">
        <v>1</v>
      </c>
      <c r="T1322" s="8">
        <v>1</v>
      </c>
      <c r="U1322" s="8">
        <v>0</v>
      </c>
      <c r="V1322" s="8">
        <v>1</v>
      </c>
      <c r="W1322" s="8">
        <v>1</v>
      </c>
      <c r="X1322" s="8">
        <v>1</v>
      </c>
      <c r="Y1322" s="8">
        <v>1</v>
      </c>
      <c r="Z1322" s="8">
        <v>1</v>
      </c>
      <c r="AA1322" s="8">
        <v>0</v>
      </c>
      <c r="AB1322" s="8">
        <v>0</v>
      </c>
      <c r="AC1322" s="8">
        <v>1</v>
      </c>
      <c r="AD1322" s="8">
        <v>1</v>
      </c>
      <c r="AE1322" s="8">
        <v>1</v>
      </c>
      <c r="AF1322" s="8">
        <v>1</v>
      </c>
      <c r="AG1322" s="8">
        <v>1</v>
      </c>
      <c r="AH1322" s="8">
        <v>1</v>
      </c>
      <c r="AI1322" s="8">
        <v>0</v>
      </c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11" t="s">
        <v>250</v>
      </c>
    </row>
    <row r="1323" spans="1:46" ht="15.1" customHeight="1">
      <c r="A1323" s="8">
        <v>440</v>
      </c>
      <c r="B1323" s="9" t="s">
        <v>1134</v>
      </c>
      <c r="C1323" s="8" t="s">
        <v>1135</v>
      </c>
      <c r="D1323" s="9" t="s">
        <v>451</v>
      </c>
      <c r="E1323" s="8" t="s">
        <v>54</v>
      </c>
      <c r="F1323" s="8" t="s">
        <v>54</v>
      </c>
      <c r="G1323" s="10" t="s">
        <v>67</v>
      </c>
      <c r="H1323" s="12" t="s">
        <v>55</v>
      </c>
      <c r="I1323" s="8" t="s">
        <v>54</v>
      </c>
      <c r="J1323" s="8" t="s">
        <v>54</v>
      </c>
      <c r="K1323" s="8" t="s">
        <v>54</v>
      </c>
      <c r="L1323" s="8" t="s">
        <v>54</v>
      </c>
      <c r="M1323" s="8" t="s">
        <v>54</v>
      </c>
      <c r="N1323" s="10" t="s">
        <v>67</v>
      </c>
      <c r="O1323" s="8" t="s">
        <v>54</v>
      </c>
      <c r="P1323" s="8" t="s">
        <v>54</v>
      </c>
      <c r="Q1323" s="8" t="s">
        <v>54</v>
      </c>
      <c r="R1323" s="8" t="s">
        <v>54</v>
      </c>
      <c r="S1323" s="8" t="s">
        <v>54</v>
      </c>
      <c r="T1323" s="8" t="s">
        <v>54</v>
      </c>
      <c r="U1323" s="10" t="s">
        <v>67</v>
      </c>
      <c r="V1323" s="8" t="s">
        <v>54</v>
      </c>
      <c r="W1323" s="8" t="s">
        <v>54</v>
      </c>
      <c r="X1323" s="8" t="s">
        <v>54</v>
      </c>
      <c r="Y1323" s="8" t="s">
        <v>54</v>
      </c>
      <c r="Z1323" s="8" t="s">
        <v>54</v>
      </c>
      <c r="AA1323" s="8" t="s">
        <v>54</v>
      </c>
      <c r="AB1323" s="10" t="s">
        <v>67</v>
      </c>
      <c r="AC1323" s="8" t="s">
        <v>54</v>
      </c>
      <c r="AD1323" s="8" t="s">
        <v>54</v>
      </c>
      <c r="AE1323" s="8" t="s">
        <v>54</v>
      </c>
      <c r="AF1323" s="8" t="s">
        <v>54</v>
      </c>
      <c r="AG1323" s="8" t="s">
        <v>54</v>
      </c>
      <c r="AH1323" s="8" t="s">
        <v>54</v>
      </c>
      <c r="AI1323" s="10" t="s">
        <v>67</v>
      </c>
      <c r="AJ1323" s="8">
        <f>COUNTIF($E$1323:$AI$1323,"P")</f>
        <v>25</v>
      </c>
      <c r="AK1323" s="8">
        <f>COUNTIF($E$1323:$AI$1323,"A")</f>
        <v>1</v>
      </c>
      <c r="AL1323" s="8">
        <f>SUM($E$1324:$AI$1324)</f>
        <v>44</v>
      </c>
      <c r="AM1323" s="8">
        <f>SUM($E$1325:$AI$1325)</f>
        <v>31</v>
      </c>
      <c r="AN1323" s="8">
        <f>AL1323+AM1323</f>
        <v>75</v>
      </c>
      <c r="AO1323" s="8">
        <f>COUNTIF($E$1323:$AI$1323,"CL")</f>
        <v>0</v>
      </c>
      <c r="AP1323" s="8">
        <f>COUNTIF($E$1323:$AI$1323,"SL")</f>
        <v>0</v>
      </c>
      <c r="AQ1323" s="8">
        <f>COUNTIF($E$1323:$AI$1323,"EL")</f>
        <v>0</v>
      </c>
      <c r="AR1323" s="8">
        <f>COUNTIF($E$1323:$AI$1323,"H")</f>
        <v>0</v>
      </c>
      <c r="AS1323" s="8"/>
      <c r="AT1323" s="11" t="s">
        <v>250</v>
      </c>
    </row>
    <row r="1324" spans="1:46" ht="15.1" customHeight="1">
      <c r="A1324" s="8"/>
      <c r="B1324" s="9"/>
      <c r="C1324" s="8"/>
      <c r="D1324" s="9"/>
      <c r="E1324" s="8">
        <v>0</v>
      </c>
      <c r="F1324" s="8">
        <v>0</v>
      </c>
      <c r="G1324" s="8">
        <v>0</v>
      </c>
      <c r="H1324" s="8">
        <v>0</v>
      </c>
      <c r="I1324" s="8">
        <v>2</v>
      </c>
      <c r="J1324" s="8">
        <v>2</v>
      </c>
      <c r="K1324" s="8">
        <v>2</v>
      </c>
      <c r="L1324" s="8">
        <v>2</v>
      </c>
      <c r="M1324" s="8">
        <v>2</v>
      </c>
      <c r="N1324" s="8">
        <v>0</v>
      </c>
      <c r="O1324" s="8">
        <v>2</v>
      </c>
      <c r="P1324" s="8">
        <v>2</v>
      </c>
      <c r="Q1324" s="8">
        <v>2</v>
      </c>
      <c r="R1324" s="8">
        <v>2</v>
      </c>
      <c r="S1324" s="8">
        <v>2</v>
      </c>
      <c r="T1324" s="8">
        <v>2</v>
      </c>
      <c r="U1324" s="8">
        <v>0</v>
      </c>
      <c r="V1324" s="8">
        <v>2</v>
      </c>
      <c r="W1324" s="8">
        <v>2</v>
      </c>
      <c r="X1324" s="8">
        <v>2</v>
      </c>
      <c r="Y1324" s="8">
        <v>2</v>
      </c>
      <c r="Z1324" s="8">
        <v>0</v>
      </c>
      <c r="AA1324" s="8">
        <v>2</v>
      </c>
      <c r="AB1324" s="8">
        <v>0</v>
      </c>
      <c r="AC1324" s="8">
        <v>2</v>
      </c>
      <c r="AD1324" s="8">
        <v>2</v>
      </c>
      <c r="AE1324" s="8">
        <v>2</v>
      </c>
      <c r="AF1324" s="8">
        <v>2</v>
      </c>
      <c r="AG1324" s="8">
        <v>2</v>
      </c>
      <c r="AH1324" s="8">
        <v>2</v>
      </c>
      <c r="AI1324" s="8">
        <v>0</v>
      </c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11" t="s">
        <v>250</v>
      </c>
    </row>
    <row r="1325" spans="1:46" ht="15.1" customHeight="1">
      <c r="A1325" s="8"/>
      <c r="B1325" s="9"/>
      <c r="C1325" s="8"/>
      <c r="D1325" s="9"/>
      <c r="E1325" s="8">
        <v>0</v>
      </c>
      <c r="F1325" s="8">
        <v>0</v>
      </c>
      <c r="G1325" s="8">
        <v>9</v>
      </c>
      <c r="H1325" s="8">
        <v>0</v>
      </c>
      <c r="I1325" s="8">
        <v>1</v>
      </c>
      <c r="J1325" s="8">
        <v>1</v>
      </c>
      <c r="K1325" s="8">
        <v>1</v>
      </c>
      <c r="L1325" s="8">
        <v>1</v>
      </c>
      <c r="M1325" s="8">
        <v>1</v>
      </c>
      <c r="N1325" s="8">
        <v>0</v>
      </c>
      <c r="O1325" s="8">
        <v>1</v>
      </c>
      <c r="P1325" s="8">
        <v>1</v>
      </c>
      <c r="Q1325" s="8">
        <v>1</v>
      </c>
      <c r="R1325" s="8">
        <v>1</v>
      </c>
      <c r="S1325" s="8">
        <v>1</v>
      </c>
      <c r="T1325" s="8">
        <v>1</v>
      </c>
      <c r="U1325" s="8">
        <v>0</v>
      </c>
      <c r="V1325" s="8">
        <v>1</v>
      </c>
      <c r="W1325" s="8">
        <v>1</v>
      </c>
      <c r="X1325" s="8">
        <v>1</v>
      </c>
      <c r="Y1325" s="8">
        <v>1</v>
      </c>
      <c r="Z1325" s="8">
        <v>0</v>
      </c>
      <c r="AA1325" s="8">
        <v>1</v>
      </c>
      <c r="AB1325" s="8">
        <v>0</v>
      </c>
      <c r="AC1325" s="8">
        <v>1</v>
      </c>
      <c r="AD1325" s="8">
        <v>1</v>
      </c>
      <c r="AE1325" s="8">
        <v>1</v>
      </c>
      <c r="AF1325" s="8">
        <v>1</v>
      </c>
      <c r="AG1325" s="8">
        <v>1</v>
      </c>
      <c r="AH1325" s="8">
        <v>1</v>
      </c>
      <c r="AI1325" s="8">
        <v>0</v>
      </c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11" t="s">
        <v>250</v>
      </c>
    </row>
    <row r="1326" spans="1:46" ht="15.1" customHeight="1">
      <c r="A1326" s="8">
        <v>441</v>
      </c>
      <c r="B1326" s="9" t="s">
        <v>1136</v>
      </c>
      <c r="C1326" s="8" t="s">
        <v>1137</v>
      </c>
      <c r="D1326" s="9" t="s">
        <v>451</v>
      </c>
      <c r="E1326" s="8" t="s">
        <v>54</v>
      </c>
      <c r="F1326" s="8" t="s">
        <v>54</v>
      </c>
      <c r="G1326" s="10" t="s">
        <v>67</v>
      </c>
      <c r="H1326" s="12" t="s">
        <v>55</v>
      </c>
      <c r="I1326" s="8" t="s">
        <v>54</v>
      </c>
      <c r="J1326" s="8" t="s">
        <v>54</v>
      </c>
      <c r="K1326" s="8" t="s">
        <v>54</v>
      </c>
      <c r="L1326" s="8" t="s">
        <v>54</v>
      </c>
      <c r="M1326" s="8" t="s">
        <v>54</v>
      </c>
      <c r="N1326" s="10" t="s">
        <v>67</v>
      </c>
      <c r="O1326" s="8" t="s">
        <v>54</v>
      </c>
      <c r="P1326" s="8" t="s">
        <v>54</v>
      </c>
      <c r="Q1326" s="8" t="s">
        <v>54</v>
      </c>
      <c r="R1326" s="12" t="s">
        <v>55</v>
      </c>
      <c r="S1326" s="8" t="s">
        <v>54</v>
      </c>
      <c r="T1326" s="8" t="s">
        <v>54</v>
      </c>
      <c r="U1326" s="10" t="s">
        <v>67</v>
      </c>
      <c r="V1326" s="8" t="s">
        <v>54</v>
      </c>
      <c r="W1326" s="8" t="s">
        <v>54</v>
      </c>
      <c r="X1326" s="8" t="s">
        <v>54</v>
      </c>
      <c r="Y1326" s="8" t="s">
        <v>54</v>
      </c>
      <c r="Z1326" s="8" t="s">
        <v>54</v>
      </c>
      <c r="AA1326" s="8" t="s">
        <v>54</v>
      </c>
      <c r="AB1326" s="10" t="s">
        <v>67</v>
      </c>
      <c r="AC1326" s="8" t="s">
        <v>54</v>
      </c>
      <c r="AD1326" s="8" t="s">
        <v>54</v>
      </c>
      <c r="AE1326" s="8" t="s">
        <v>54</v>
      </c>
      <c r="AF1326" s="8" t="s">
        <v>54</v>
      </c>
      <c r="AG1326" s="8" t="s">
        <v>54</v>
      </c>
      <c r="AH1326" s="8" t="s">
        <v>54</v>
      </c>
      <c r="AI1326" s="10" t="s">
        <v>67</v>
      </c>
      <c r="AJ1326" s="8">
        <f>COUNTIF($E$1326:$AI$1326,"P")</f>
        <v>24</v>
      </c>
      <c r="AK1326" s="8">
        <f>COUNTIF($E$1326:$AI$1326,"A")</f>
        <v>2</v>
      </c>
      <c r="AL1326" s="8">
        <f>SUM($E$1327:$AI$1327)</f>
        <v>44</v>
      </c>
      <c r="AM1326" s="8">
        <f>SUM($E$1328:$AI$1328)</f>
        <v>31</v>
      </c>
      <c r="AN1326" s="8">
        <f>AL1326+AM1326</f>
        <v>75</v>
      </c>
      <c r="AO1326" s="8">
        <f>COUNTIF($E$1326:$AI$1326,"CL")</f>
        <v>0</v>
      </c>
      <c r="AP1326" s="8">
        <f>COUNTIF($E$1326:$AI$1326,"SL")</f>
        <v>0</v>
      </c>
      <c r="AQ1326" s="8">
        <f>COUNTIF($E$1326:$AI$1326,"EL")</f>
        <v>0</v>
      </c>
      <c r="AR1326" s="8">
        <f>COUNTIF($E$1326:$AI$1326,"H")</f>
        <v>0</v>
      </c>
      <c r="AS1326" s="8"/>
      <c r="AT1326" s="11" t="s">
        <v>250</v>
      </c>
    </row>
    <row r="1327" spans="1:46" ht="15.1" customHeight="1">
      <c r="A1327" s="8"/>
      <c r="B1327" s="9"/>
      <c r="C1327" s="8"/>
      <c r="D1327" s="9"/>
      <c r="E1327" s="8">
        <v>0</v>
      </c>
      <c r="F1327" s="8">
        <v>0</v>
      </c>
      <c r="G1327" s="8">
        <v>0</v>
      </c>
      <c r="H1327" s="8">
        <v>0</v>
      </c>
      <c r="I1327" s="8">
        <v>2</v>
      </c>
      <c r="J1327" s="8">
        <v>2</v>
      </c>
      <c r="K1327" s="8">
        <v>2</v>
      </c>
      <c r="L1327" s="8">
        <v>2</v>
      </c>
      <c r="M1327" s="8">
        <v>2</v>
      </c>
      <c r="N1327" s="8">
        <v>0</v>
      </c>
      <c r="O1327" s="8">
        <v>2</v>
      </c>
      <c r="P1327" s="8">
        <v>2</v>
      </c>
      <c r="Q1327" s="8">
        <v>2</v>
      </c>
      <c r="R1327" s="8">
        <v>0</v>
      </c>
      <c r="S1327" s="8">
        <v>2</v>
      </c>
      <c r="T1327" s="8">
        <v>2</v>
      </c>
      <c r="U1327" s="8">
        <v>0</v>
      </c>
      <c r="V1327" s="8">
        <v>2</v>
      </c>
      <c r="W1327" s="8">
        <v>2</v>
      </c>
      <c r="X1327" s="8">
        <v>2</v>
      </c>
      <c r="Y1327" s="8">
        <v>2</v>
      </c>
      <c r="Z1327" s="8">
        <v>2</v>
      </c>
      <c r="AA1327" s="8">
        <v>2</v>
      </c>
      <c r="AB1327" s="8">
        <v>0</v>
      </c>
      <c r="AC1327" s="8">
        <v>2</v>
      </c>
      <c r="AD1327" s="8">
        <v>2</v>
      </c>
      <c r="AE1327" s="8">
        <v>2</v>
      </c>
      <c r="AF1327" s="8">
        <v>2</v>
      </c>
      <c r="AG1327" s="8">
        <v>2</v>
      </c>
      <c r="AH1327" s="8">
        <v>2</v>
      </c>
      <c r="AI1327" s="8">
        <v>0</v>
      </c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11" t="s">
        <v>250</v>
      </c>
    </row>
    <row r="1328" spans="1:46" ht="15.1" customHeight="1">
      <c r="A1328" s="8"/>
      <c r="B1328" s="9"/>
      <c r="C1328" s="8"/>
      <c r="D1328" s="9"/>
      <c r="E1328" s="8">
        <v>0</v>
      </c>
      <c r="F1328" s="8">
        <v>0</v>
      </c>
      <c r="G1328" s="8">
        <v>9</v>
      </c>
      <c r="H1328" s="8">
        <v>0</v>
      </c>
      <c r="I1328" s="8">
        <v>1</v>
      </c>
      <c r="J1328" s="8">
        <v>1</v>
      </c>
      <c r="K1328" s="8">
        <v>1</v>
      </c>
      <c r="L1328" s="8">
        <v>1</v>
      </c>
      <c r="M1328" s="8">
        <v>1</v>
      </c>
      <c r="N1328" s="8">
        <v>0</v>
      </c>
      <c r="O1328" s="8">
        <v>1</v>
      </c>
      <c r="P1328" s="8">
        <v>1</v>
      </c>
      <c r="Q1328" s="8">
        <v>1</v>
      </c>
      <c r="R1328" s="8">
        <v>0</v>
      </c>
      <c r="S1328" s="8">
        <v>1</v>
      </c>
      <c r="T1328" s="8">
        <v>1</v>
      </c>
      <c r="U1328" s="8">
        <v>0</v>
      </c>
      <c r="V1328" s="8">
        <v>1</v>
      </c>
      <c r="W1328" s="8">
        <v>1</v>
      </c>
      <c r="X1328" s="8">
        <v>1</v>
      </c>
      <c r="Y1328" s="8">
        <v>1</v>
      </c>
      <c r="Z1328" s="8">
        <v>1</v>
      </c>
      <c r="AA1328" s="8">
        <v>1</v>
      </c>
      <c r="AB1328" s="8">
        <v>0</v>
      </c>
      <c r="AC1328" s="8">
        <v>1</v>
      </c>
      <c r="AD1328" s="8">
        <v>1</v>
      </c>
      <c r="AE1328" s="8">
        <v>1</v>
      </c>
      <c r="AF1328" s="8">
        <v>1</v>
      </c>
      <c r="AG1328" s="8">
        <v>1</v>
      </c>
      <c r="AH1328" s="8">
        <v>1</v>
      </c>
      <c r="AI1328" s="8">
        <v>0</v>
      </c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11" t="s">
        <v>250</v>
      </c>
    </row>
    <row r="1329" spans="1:46" ht="15.1" customHeight="1">
      <c r="A1329" s="8">
        <v>442</v>
      </c>
      <c r="B1329" s="9" t="s">
        <v>1029</v>
      </c>
      <c r="C1329" s="8" t="s">
        <v>1138</v>
      </c>
      <c r="D1329" s="9" t="s">
        <v>451</v>
      </c>
      <c r="E1329" s="8" t="s">
        <v>54</v>
      </c>
      <c r="F1329" s="8" t="s">
        <v>54</v>
      </c>
      <c r="G1329" s="10" t="s">
        <v>67</v>
      </c>
      <c r="H1329" s="8" t="s">
        <v>54</v>
      </c>
      <c r="I1329" s="8" t="s">
        <v>54</v>
      </c>
      <c r="J1329" s="8" t="s">
        <v>54</v>
      </c>
      <c r="K1329" s="8" t="s">
        <v>54</v>
      </c>
      <c r="L1329" s="8" t="s">
        <v>54</v>
      </c>
      <c r="M1329" s="8" t="s">
        <v>54</v>
      </c>
      <c r="N1329" s="10" t="s">
        <v>67</v>
      </c>
      <c r="O1329" s="8" t="s">
        <v>54</v>
      </c>
      <c r="P1329" s="8" t="s">
        <v>54</v>
      </c>
      <c r="Q1329" s="8" t="s">
        <v>54</v>
      </c>
      <c r="R1329" s="8" t="s">
        <v>54</v>
      </c>
      <c r="S1329" s="8" t="s">
        <v>54</v>
      </c>
      <c r="T1329" s="8" t="s">
        <v>54</v>
      </c>
      <c r="U1329" s="10" t="s">
        <v>67</v>
      </c>
      <c r="V1329" s="8" t="s">
        <v>54</v>
      </c>
      <c r="W1329" s="8" t="s">
        <v>54</v>
      </c>
      <c r="X1329" s="8" t="s">
        <v>54</v>
      </c>
      <c r="Y1329" s="8" t="s">
        <v>54</v>
      </c>
      <c r="Z1329" s="12" t="s">
        <v>55</v>
      </c>
      <c r="AA1329" s="12" t="s">
        <v>55</v>
      </c>
      <c r="AB1329" s="10" t="s">
        <v>67</v>
      </c>
      <c r="AC1329" s="8" t="s">
        <v>54</v>
      </c>
      <c r="AD1329" s="8" t="s">
        <v>54</v>
      </c>
      <c r="AE1329" s="8" t="s">
        <v>54</v>
      </c>
      <c r="AF1329" s="8" t="s">
        <v>54</v>
      </c>
      <c r="AG1329" s="8" t="s">
        <v>54</v>
      </c>
      <c r="AH1329" s="8" t="s">
        <v>54</v>
      </c>
      <c r="AI1329" s="10" t="s">
        <v>67</v>
      </c>
      <c r="AJ1329" s="8">
        <f>COUNTIF($E$1329:$AI$1329,"P")</f>
        <v>24</v>
      </c>
      <c r="AK1329" s="8">
        <f>COUNTIF($E$1329:$AI$1329,"A")</f>
        <v>2</v>
      </c>
      <c r="AL1329" s="8">
        <f>SUM($E$1330:$AI$1330)</f>
        <v>40</v>
      </c>
      <c r="AM1329" s="8">
        <f>SUM($E$1331:$AI$1331)</f>
        <v>20</v>
      </c>
      <c r="AN1329" s="8">
        <f>AL1329+AM1329</f>
        <v>60</v>
      </c>
      <c r="AO1329" s="8">
        <f>COUNTIF($E$1329:$AI$1329,"CL")</f>
        <v>0</v>
      </c>
      <c r="AP1329" s="8">
        <f>COUNTIF($E$1329:$AI$1329,"SL")</f>
        <v>0</v>
      </c>
      <c r="AQ1329" s="8">
        <f>COUNTIF($E$1329:$AI$1329,"EL")</f>
        <v>0</v>
      </c>
      <c r="AR1329" s="8">
        <f>COUNTIF($E$1329:$AI$1329,"H")</f>
        <v>0</v>
      </c>
      <c r="AS1329" s="8"/>
      <c r="AT1329" s="11" t="s">
        <v>250</v>
      </c>
    </row>
    <row r="1330" spans="1:46" ht="15.1" customHeight="1">
      <c r="A1330" s="8"/>
      <c r="B1330" s="9"/>
      <c r="C1330" s="8"/>
      <c r="D1330" s="9"/>
      <c r="E1330" s="8">
        <v>0</v>
      </c>
      <c r="F1330" s="8">
        <v>2</v>
      </c>
      <c r="G1330" s="8">
        <v>0</v>
      </c>
      <c r="H1330" s="8">
        <v>0</v>
      </c>
      <c r="I1330" s="8">
        <v>0</v>
      </c>
      <c r="J1330" s="8">
        <v>0</v>
      </c>
      <c r="K1330" s="8">
        <v>2</v>
      </c>
      <c r="L1330" s="8">
        <v>2</v>
      </c>
      <c r="M1330" s="8">
        <v>2</v>
      </c>
      <c r="N1330" s="8">
        <v>0</v>
      </c>
      <c r="O1330" s="8">
        <v>2</v>
      </c>
      <c r="P1330" s="8">
        <v>2</v>
      </c>
      <c r="Q1330" s="8">
        <v>2</v>
      </c>
      <c r="R1330" s="8">
        <v>2</v>
      </c>
      <c r="S1330" s="8">
        <v>2</v>
      </c>
      <c r="T1330" s="8">
        <v>2</v>
      </c>
      <c r="U1330" s="8">
        <v>0</v>
      </c>
      <c r="V1330" s="8">
        <v>2</v>
      </c>
      <c r="W1330" s="8">
        <v>2</v>
      </c>
      <c r="X1330" s="8">
        <v>2</v>
      </c>
      <c r="Y1330" s="8">
        <v>2</v>
      </c>
      <c r="Z1330" s="8">
        <v>0</v>
      </c>
      <c r="AA1330" s="8">
        <v>0</v>
      </c>
      <c r="AB1330" s="8">
        <v>0</v>
      </c>
      <c r="AC1330" s="8">
        <v>2</v>
      </c>
      <c r="AD1330" s="8">
        <v>2</v>
      </c>
      <c r="AE1330" s="8">
        <v>2</v>
      </c>
      <c r="AF1330" s="8">
        <v>2</v>
      </c>
      <c r="AG1330" s="8">
        <v>2</v>
      </c>
      <c r="AH1330" s="8">
        <v>2</v>
      </c>
      <c r="AI1330" s="8">
        <v>0</v>
      </c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11" t="s">
        <v>250</v>
      </c>
    </row>
    <row r="1331" spans="1:46" ht="15.1" customHeight="1">
      <c r="A1331" s="8"/>
      <c r="B1331" s="9"/>
      <c r="C1331" s="8"/>
      <c r="D1331" s="9"/>
      <c r="E1331" s="8">
        <v>0</v>
      </c>
      <c r="F1331" s="8">
        <v>1</v>
      </c>
      <c r="G1331" s="8">
        <v>0</v>
      </c>
      <c r="H1331" s="8">
        <v>0</v>
      </c>
      <c r="I1331" s="8">
        <v>0</v>
      </c>
      <c r="J1331" s="8">
        <v>0</v>
      </c>
      <c r="K1331" s="8">
        <v>1</v>
      </c>
      <c r="L1331" s="8">
        <v>1</v>
      </c>
      <c r="M1331" s="8">
        <v>1</v>
      </c>
      <c r="N1331" s="8">
        <v>0</v>
      </c>
      <c r="O1331" s="8">
        <v>1</v>
      </c>
      <c r="P1331" s="8">
        <v>1</v>
      </c>
      <c r="Q1331" s="8">
        <v>1</v>
      </c>
      <c r="R1331" s="8">
        <v>1</v>
      </c>
      <c r="S1331" s="8">
        <v>1</v>
      </c>
      <c r="T1331" s="8">
        <v>1</v>
      </c>
      <c r="U1331" s="8">
        <v>0</v>
      </c>
      <c r="V1331" s="8">
        <v>1</v>
      </c>
      <c r="W1331" s="8">
        <v>1</v>
      </c>
      <c r="X1331" s="8">
        <v>1</v>
      </c>
      <c r="Y1331" s="8">
        <v>1</v>
      </c>
      <c r="Z1331" s="8">
        <v>0</v>
      </c>
      <c r="AA1331" s="8">
        <v>0</v>
      </c>
      <c r="AB1331" s="8">
        <v>0</v>
      </c>
      <c r="AC1331" s="8">
        <v>1</v>
      </c>
      <c r="AD1331" s="8">
        <v>1</v>
      </c>
      <c r="AE1331" s="8">
        <v>1</v>
      </c>
      <c r="AF1331" s="8">
        <v>1</v>
      </c>
      <c r="AG1331" s="8">
        <v>1</v>
      </c>
      <c r="AH1331" s="8">
        <v>1</v>
      </c>
      <c r="AI1331" s="8">
        <v>0</v>
      </c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11" t="s">
        <v>250</v>
      </c>
    </row>
    <row r="1332" spans="1:46" ht="15.1" customHeight="1">
      <c r="A1332" s="8">
        <v>443</v>
      </c>
      <c r="B1332" s="9" t="s">
        <v>1139</v>
      </c>
      <c r="C1332" s="8" t="s">
        <v>1140</v>
      </c>
      <c r="D1332" s="9" t="s">
        <v>451</v>
      </c>
      <c r="E1332" s="8" t="s">
        <v>54</v>
      </c>
      <c r="F1332" s="8" t="s">
        <v>54</v>
      </c>
      <c r="G1332" s="10" t="s">
        <v>67</v>
      </c>
      <c r="H1332" s="8" t="s">
        <v>54</v>
      </c>
      <c r="I1332" s="8" t="s">
        <v>54</v>
      </c>
      <c r="J1332" s="8" t="s">
        <v>54</v>
      </c>
      <c r="K1332" s="8" t="s">
        <v>54</v>
      </c>
      <c r="L1332" s="8" t="s">
        <v>54</v>
      </c>
      <c r="M1332" s="8" t="s">
        <v>54</v>
      </c>
      <c r="N1332" s="10" t="s">
        <v>67</v>
      </c>
      <c r="O1332" s="8" t="s">
        <v>54</v>
      </c>
      <c r="P1332" s="8" t="s">
        <v>54</v>
      </c>
      <c r="Q1332" s="8" t="s">
        <v>54</v>
      </c>
      <c r="R1332" s="8" t="s">
        <v>54</v>
      </c>
      <c r="S1332" s="8" t="s">
        <v>54</v>
      </c>
      <c r="T1332" s="8" t="s">
        <v>54</v>
      </c>
      <c r="U1332" s="10" t="s">
        <v>67</v>
      </c>
      <c r="V1332" s="8" t="s">
        <v>54</v>
      </c>
      <c r="W1332" s="8" t="s">
        <v>54</v>
      </c>
      <c r="X1332" s="8" t="s">
        <v>54</v>
      </c>
      <c r="Y1332" s="8" t="s">
        <v>54</v>
      </c>
      <c r="Z1332" s="8" t="s">
        <v>54</v>
      </c>
      <c r="AA1332" s="8" t="s">
        <v>54</v>
      </c>
      <c r="AB1332" s="10" t="s">
        <v>67</v>
      </c>
      <c r="AC1332" s="8" t="s">
        <v>54</v>
      </c>
      <c r="AD1332" s="8" t="s">
        <v>54</v>
      </c>
      <c r="AE1332" s="8" t="s">
        <v>54</v>
      </c>
      <c r="AF1332" s="8" t="s">
        <v>54</v>
      </c>
      <c r="AG1332" s="8" t="s">
        <v>54</v>
      </c>
      <c r="AH1332" s="8" t="s">
        <v>54</v>
      </c>
      <c r="AI1332" s="10" t="s">
        <v>67</v>
      </c>
      <c r="AJ1332" s="8">
        <f>COUNTIF($E$1332:$AI$1332,"P")</f>
        <v>26</v>
      </c>
      <c r="AK1332" s="8">
        <f>COUNTIF($E$1332:$AI$1332,"A")</f>
        <v>0</v>
      </c>
      <c r="AL1332" s="8">
        <f>SUM($E$1333:$AI$1333)</f>
        <v>38</v>
      </c>
      <c r="AM1332" s="8">
        <f>SUM($E$1334:$AI$1334)</f>
        <v>31</v>
      </c>
      <c r="AN1332" s="8">
        <f>AL1332+AM1332</f>
        <v>69</v>
      </c>
      <c r="AO1332" s="8">
        <f>COUNTIF($E$1332:$AI$1332,"CL")</f>
        <v>0</v>
      </c>
      <c r="AP1332" s="8">
        <f>COUNTIF($E$1332:$AI$1332,"SL")</f>
        <v>0</v>
      </c>
      <c r="AQ1332" s="8">
        <f>COUNTIF($E$1332:$AI$1332,"EL")</f>
        <v>0</v>
      </c>
      <c r="AR1332" s="8">
        <f>COUNTIF($E$1332:$AI$1332,"H")</f>
        <v>0</v>
      </c>
      <c r="AS1332" s="8"/>
      <c r="AT1332" s="11" t="s">
        <v>250</v>
      </c>
    </row>
    <row r="1333" spans="1:46" ht="15.1" customHeight="1">
      <c r="A1333" s="8"/>
      <c r="B1333" s="9"/>
      <c r="C1333" s="8"/>
      <c r="D1333" s="9"/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2</v>
      </c>
      <c r="M1333" s="8">
        <v>2</v>
      </c>
      <c r="N1333" s="8">
        <v>0</v>
      </c>
      <c r="O1333" s="8">
        <v>2</v>
      </c>
      <c r="P1333" s="8">
        <v>2</v>
      </c>
      <c r="Q1333" s="8">
        <v>2</v>
      </c>
      <c r="R1333" s="8">
        <v>2</v>
      </c>
      <c r="S1333" s="8">
        <v>2</v>
      </c>
      <c r="T1333" s="8">
        <v>2</v>
      </c>
      <c r="U1333" s="8">
        <v>0</v>
      </c>
      <c r="V1333" s="8">
        <v>2</v>
      </c>
      <c r="W1333" s="8">
        <v>2</v>
      </c>
      <c r="X1333" s="8">
        <v>2</v>
      </c>
      <c r="Y1333" s="8">
        <v>2</v>
      </c>
      <c r="Z1333" s="8">
        <v>0</v>
      </c>
      <c r="AA1333" s="8">
        <v>2</v>
      </c>
      <c r="AB1333" s="8">
        <v>0</v>
      </c>
      <c r="AC1333" s="8">
        <v>2</v>
      </c>
      <c r="AD1333" s="8">
        <v>2</v>
      </c>
      <c r="AE1333" s="8">
        <v>2</v>
      </c>
      <c r="AF1333" s="8">
        <v>2</v>
      </c>
      <c r="AG1333" s="8">
        <v>2</v>
      </c>
      <c r="AH1333" s="8">
        <v>2</v>
      </c>
      <c r="AI1333" s="8">
        <v>0</v>
      </c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11" t="s">
        <v>250</v>
      </c>
    </row>
    <row r="1334" spans="1:46" ht="15.1" customHeight="1">
      <c r="A1334" s="8"/>
      <c r="B1334" s="9"/>
      <c r="C1334" s="8"/>
      <c r="D1334" s="9"/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1</v>
      </c>
      <c r="M1334" s="8">
        <v>1</v>
      </c>
      <c r="N1334" s="8">
        <v>12</v>
      </c>
      <c r="O1334" s="8">
        <v>1</v>
      </c>
      <c r="P1334" s="8">
        <v>1</v>
      </c>
      <c r="Q1334" s="8">
        <v>1</v>
      </c>
      <c r="R1334" s="8">
        <v>1</v>
      </c>
      <c r="S1334" s="8">
        <v>1</v>
      </c>
      <c r="T1334" s="8">
        <v>1</v>
      </c>
      <c r="U1334" s="8">
        <v>0</v>
      </c>
      <c r="V1334" s="8">
        <v>1</v>
      </c>
      <c r="W1334" s="8">
        <v>1</v>
      </c>
      <c r="X1334" s="8">
        <v>1</v>
      </c>
      <c r="Y1334" s="8">
        <v>1</v>
      </c>
      <c r="Z1334" s="8">
        <v>0</v>
      </c>
      <c r="AA1334" s="8">
        <v>1</v>
      </c>
      <c r="AB1334" s="8">
        <v>0</v>
      </c>
      <c r="AC1334" s="8">
        <v>1</v>
      </c>
      <c r="AD1334" s="8">
        <v>1</v>
      </c>
      <c r="AE1334" s="8">
        <v>1</v>
      </c>
      <c r="AF1334" s="8">
        <v>1</v>
      </c>
      <c r="AG1334" s="8">
        <v>1</v>
      </c>
      <c r="AH1334" s="8">
        <v>1</v>
      </c>
      <c r="AI1334" s="8">
        <v>0</v>
      </c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11" t="s">
        <v>250</v>
      </c>
    </row>
    <row r="1335" spans="1:46" ht="15.1" customHeight="1">
      <c r="A1335" s="8">
        <v>444</v>
      </c>
      <c r="B1335" s="9" t="s">
        <v>1036</v>
      </c>
      <c r="C1335" s="8" t="s">
        <v>1141</v>
      </c>
      <c r="D1335" s="9" t="s">
        <v>451</v>
      </c>
      <c r="E1335" s="8" t="s">
        <v>54</v>
      </c>
      <c r="F1335" s="8" t="s">
        <v>54</v>
      </c>
      <c r="G1335" s="10" t="s">
        <v>67</v>
      </c>
      <c r="H1335" s="12" t="s">
        <v>55</v>
      </c>
      <c r="I1335" s="8" t="s">
        <v>54</v>
      </c>
      <c r="J1335" s="8" t="s">
        <v>54</v>
      </c>
      <c r="K1335" s="8" t="s">
        <v>54</v>
      </c>
      <c r="L1335" s="8" t="s">
        <v>54</v>
      </c>
      <c r="M1335" s="8" t="s">
        <v>54</v>
      </c>
      <c r="N1335" s="10" t="s">
        <v>67</v>
      </c>
      <c r="O1335" s="8" t="s">
        <v>54</v>
      </c>
      <c r="P1335" s="8" t="s">
        <v>54</v>
      </c>
      <c r="Q1335" s="8" t="s">
        <v>54</v>
      </c>
      <c r="R1335" s="8" t="s">
        <v>54</v>
      </c>
      <c r="S1335" s="8" t="s">
        <v>54</v>
      </c>
      <c r="T1335" s="8" t="s">
        <v>54</v>
      </c>
      <c r="U1335" s="10" t="s">
        <v>67</v>
      </c>
      <c r="V1335" s="8" t="s">
        <v>54</v>
      </c>
      <c r="W1335" s="8" t="s">
        <v>54</v>
      </c>
      <c r="X1335" s="8" t="s">
        <v>54</v>
      </c>
      <c r="Y1335" s="8" t="s">
        <v>54</v>
      </c>
      <c r="Z1335" s="8" t="s">
        <v>54</v>
      </c>
      <c r="AA1335" s="8" t="s">
        <v>54</v>
      </c>
      <c r="AB1335" s="10" t="s">
        <v>67</v>
      </c>
      <c r="AC1335" s="8" t="s">
        <v>54</v>
      </c>
      <c r="AD1335" s="8" t="s">
        <v>54</v>
      </c>
      <c r="AE1335" s="8" t="s">
        <v>54</v>
      </c>
      <c r="AF1335" s="8" t="s">
        <v>54</v>
      </c>
      <c r="AG1335" s="8" t="s">
        <v>54</v>
      </c>
      <c r="AH1335" s="8" t="s">
        <v>54</v>
      </c>
      <c r="AI1335" s="10" t="s">
        <v>67</v>
      </c>
      <c r="AJ1335" s="8">
        <f>COUNTIF($E$1335:$AI$1335,"P")</f>
        <v>25</v>
      </c>
      <c r="AK1335" s="8">
        <f>COUNTIF($E$1335:$AI$1335,"A")</f>
        <v>1</v>
      </c>
      <c r="AL1335" s="8">
        <f>SUM($E$1336:$AI$1336)</f>
        <v>44</v>
      </c>
      <c r="AM1335" s="8">
        <f>SUM($E$1337:$AI$1337)</f>
        <v>30.5</v>
      </c>
      <c r="AN1335" s="8">
        <f>AL1335+AM1335</f>
        <v>74.5</v>
      </c>
      <c r="AO1335" s="8">
        <f>COUNTIF($E$1335:$AI$1335,"CL")</f>
        <v>0</v>
      </c>
      <c r="AP1335" s="8">
        <f>COUNTIF($E$1335:$AI$1335,"SL")</f>
        <v>0</v>
      </c>
      <c r="AQ1335" s="8">
        <f>COUNTIF($E$1335:$AI$1335,"EL")</f>
        <v>0</v>
      </c>
      <c r="AR1335" s="8">
        <f>COUNTIF($E$1335:$AI$1335,"H")</f>
        <v>0</v>
      </c>
      <c r="AS1335" s="8"/>
      <c r="AT1335" s="11" t="s">
        <v>250</v>
      </c>
    </row>
    <row r="1336" spans="1:46" ht="15.1" customHeight="1">
      <c r="A1336" s="8"/>
      <c r="B1336" s="9"/>
      <c r="C1336" s="8"/>
      <c r="D1336" s="9"/>
      <c r="E1336" s="8">
        <v>0</v>
      </c>
      <c r="F1336" s="8">
        <v>0</v>
      </c>
      <c r="G1336" s="8">
        <v>0</v>
      </c>
      <c r="H1336" s="8">
        <v>0</v>
      </c>
      <c r="I1336" s="8">
        <v>2</v>
      </c>
      <c r="J1336" s="8">
        <v>2</v>
      </c>
      <c r="K1336" s="8">
        <v>2</v>
      </c>
      <c r="L1336" s="8">
        <v>2</v>
      </c>
      <c r="M1336" s="8">
        <v>2</v>
      </c>
      <c r="N1336" s="8">
        <v>0</v>
      </c>
      <c r="O1336" s="8">
        <v>2</v>
      </c>
      <c r="P1336" s="8">
        <v>2</v>
      </c>
      <c r="Q1336" s="8">
        <v>2</v>
      </c>
      <c r="R1336" s="8">
        <v>2</v>
      </c>
      <c r="S1336" s="8">
        <v>2</v>
      </c>
      <c r="T1336" s="8">
        <v>2</v>
      </c>
      <c r="U1336" s="8">
        <v>0</v>
      </c>
      <c r="V1336" s="8">
        <v>2</v>
      </c>
      <c r="W1336" s="8">
        <v>2</v>
      </c>
      <c r="X1336" s="8">
        <v>0</v>
      </c>
      <c r="Y1336" s="8">
        <v>2</v>
      </c>
      <c r="Z1336" s="8">
        <v>2</v>
      </c>
      <c r="AA1336" s="8">
        <v>2</v>
      </c>
      <c r="AB1336" s="8">
        <v>0</v>
      </c>
      <c r="AC1336" s="8">
        <v>2</v>
      </c>
      <c r="AD1336" s="8">
        <v>2</v>
      </c>
      <c r="AE1336" s="8">
        <v>2</v>
      </c>
      <c r="AF1336" s="8">
        <v>2</v>
      </c>
      <c r="AG1336" s="8">
        <v>2</v>
      </c>
      <c r="AH1336" s="8">
        <v>2</v>
      </c>
      <c r="AI1336" s="8">
        <v>0</v>
      </c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11" t="s">
        <v>250</v>
      </c>
    </row>
    <row r="1337" spans="1:46" ht="15.1" customHeight="1">
      <c r="A1337" s="8"/>
      <c r="B1337" s="9"/>
      <c r="C1337" s="8"/>
      <c r="D1337" s="9"/>
      <c r="E1337" s="8">
        <v>0</v>
      </c>
      <c r="F1337" s="8">
        <v>0</v>
      </c>
      <c r="G1337" s="8">
        <v>9</v>
      </c>
      <c r="H1337" s="8">
        <v>0</v>
      </c>
      <c r="I1337" s="8">
        <v>1</v>
      </c>
      <c r="J1337" s="8">
        <v>1</v>
      </c>
      <c r="K1337" s="8">
        <v>1</v>
      </c>
      <c r="L1337" s="8">
        <v>1</v>
      </c>
      <c r="M1337" s="8">
        <v>1</v>
      </c>
      <c r="N1337" s="8">
        <v>0</v>
      </c>
      <c r="O1337" s="8">
        <v>1</v>
      </c>
      <c r="P1337" s="8">
        <v>1</v>
      </c>
      <c r="Q1337" s="8">
        <v>1</v>
      </c>
      <c r="R1337" s="8">
        <v>1</v>
      </c>
      <c r="S1337" s="8">
        <v>1</v>
      </c>
      <c r="T1337" s="8">
        <v>1</v>
      </c>
      <c r="U1337" s="8">
        <v>0</v>
      </c>
      <c r="V1337" s="8">
        <v>1</v>
      </c>
      <c r="W1337" s="8">
        <v>0.5</v>
      </c>
      <c r="X1337" s="8">
        <v>0</v>
      </c>
      <c r="Y1337" s="8">
        <v>1</v>
      </c>
      <c r="Z1337" s="8">
        <v>1</v>
      </c>
      <c r="AA1337" s="8">
        <v>1</v>
      </c>
      <c r="AB1337" s="8">
        <v>0</v>
      </c>
      <c r="AC1337" s="8">
        <v>1</v>
      </c>
      <c r="AD1337" s="8">
        <v>1</v>
      </c>
      <c r="AE1337" s="8">
        <v>1</v>
      </c>
      <c r="AF1337" s="8">
        <v>1</v>
      </c>
      <c r="AG1337" s="8">
        <v>1</v>
      </c>
      <c r="AH1337" s="8">
        <v>1</v>
      </c>
      <c r="AI1337" s="8">
        <v>0</v>
      </c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11" t="s">
        <v>250</v>
      </c>
    </row>
    <row r="1338" spans="1:46" ht="15.1" customHeight="1">
      <c r="A1338" s="8">
        <v>445</v>
      </c>
      <c r="B1338" s="9" t="s">
        <v>1142</v>
      </c>
      <c r="C1338" s="8" t="s">
        <v>1143</v>
      </c>
      <c r="D1338" s="9" t="s">
        <v>451</v>
      </c>
      <c r="E1338" s="8" t="s">
        <v>54</v>
      </c>
      <c r="F1338" s="8" t="s">
        <v>54</v>
      </c>
      <c r="G1338" s="10" t="s">
        <v>67</v>
      </c>
      <c r="H1338" s="8" t="s">
        <v>54</v>
      </c>
      <c r="I1338" s="8" t="s">
        <v>54</v>
      </c>
      <c r="J1338" s="8" t="s">
        <v>54</v>
      </c>
      <c r="K1338" s="8" t="s">
        <v>54</v>
      </c>
      <c r="L1338" s="8" t="s">
        <v>54</v>
      </c>
      <c r="M1338" s="8" t="s">
        <v>54</v>
      </c>
      <c r="N1338" s="10" t="s">
        <v>67</v>
      </c>
      <c r="O1338" s="8" t="s">
        <v>54</v>
      </c>
      <c r="P1338" s="8" t="s">
        <v>54</v>
      </c>
      <c r="Q1338" s="8" t="s">
        <v>54</v>
      </c>
      <c r="R1338" s="8" t="s">
        <v>54</v>
      </c>
      <c r="S1338" s="8" t="s">
        <v>54</v>
      </c>
      <c r="T1338" s="8" t="s">
        <v>54</v>
      </c>
      <c r="U1338" s="10" t="s">
        <v>67</v>
      </c>
      <c r="V1338" s="8" t="s">
        <v>54</v>
      </c>
      <c r="W1338" s="8" t="s">
        <v>54</v>
      </c>
      <c r="X1338" s="8" t="s">
        <v>54</v>
      </c>
      <c r="Y1338" s="8" t="s">
        <v>54</v>
      </c>
      <c r="Z1338" s="8" t="s">
        <v>54</v>
      </c>
      <c r="AA1338" s="8" t="s">
        <v>54</v>
      </c>
      <c r="AB1338" s="10" t="s">
        <v>67</v>
      </c>
      <c r="AC1338" s="8" t="s">
        <v>54</v>
      </c>
      <c r="AD1338" s="8" t="s">
        <v>54</v>
      </c>
      <c r="AE1338" s="8" t="s">
        <v>54</v>
      </c>
      <c r="AF1338" s="8" t="s">
        <v>54</v>
      </c>
      <c r="AG1338" s="8" t="s">
        <v>54</v>
      </c>
      <c r="AH1338" s="8" t="s">
        <v>54</v>
      </c>
      <c r="AI1338" s="10" t="s">
        <v>67</v>
      </c>
      <c r="AJ1338" s="8">
        <f>COUNTIF($E$1338:$AI$1338,"P")</f>
        <v>26</v>
      </c>
      <c r="AK1338" s="8">
        <f>COUNTIF($E$1338:$AI$1338,"A")</f>
        <v>0</v>
      </c>
      <c r="AL1338" s="8">
        <f>SUM($E$1339:$AI$1339)</f>
        <v>38</v>
      </c>
      <c r="AM1338" s="8">
        <f>SUM($E$1340:$AI$1340)</f>
        <v>18.5</v>
      </c>
      <c r="AN1338" s="8">
        <f>AL1338+AM1338</f>
        <v>56.5</v>
      </c>
      <c r="AO1338" s="8">
        <f>COUNTIF($E$1338:$AI$1338,"CL")</f>
        <v>0</v>
      </c>
      <c r="AP1338" s="8">
        <f>COUNTIF($E$1338:$AI$1338,"SL")</f>
        <v>0</v>
      </c>
      <c r="AQ1338" s="8">
        <f>COUNTIF($E$1338:$AI$1338,"EL")</f>
        <v>0</v>
      </c>
      <c r="AR1338" s="8">
        <f>COUNTIF($E$1338:$AI$1338,"H")</f>
        <v>0</v>
      </c>
      <c r="AS1338" s="8"/>
      <c r="AT1338" s="11" t="s">
        <v>250</v>
      </c>
    </row>
    <row r="1339" spans="1:46" ht="15.1" customHeight="1">
      <c r="A1339" s="8"/>
      <c r="B1339" s="9"/>
      <c r="C1339" s="8"/>
      <c r="D1339" s="9"/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2</v>
      </c>
      <c r="K1339" s="8">
        <v>2</v>
      </c>
      <c r="L1339" s="8">
        <v>2</v>
      </c>
      <c r="M1339" s="8">
        <v>0</v>
      </c>
      <c r="N1339" s="8">
        <v>0</v>
      </c>
      <c r="O1339" s="8">
        <v>2</v>
      </c>
      <c r="P1339" s="8">
        <v>2</v>
      </c>
      <c r="Q1339" s="8">
        <v>2</v>
      </c>
      <c r="R1339" s="8">
        <v>2</v>
      </c>
      <c r="S1339" s="8">
        <v>2</v>
      </c>
      <c r="T1339" s="8">
        <v>2</v>
      </c>
      <c r="U1339" s="8">
        <v>0</v>
      </c>
      <c r="V1339" s="8">
        <v>2</v>
      </c>
      <c r="W1339" s="8">
        <v>0</v>
      </c>
      <c r="X1339" s="8">
        <v>2</v>
      </c>
      <c r="Y1339" s="8">
        <v>2</v>
      </c>
      <c r="Z1339" s="8">
        <v>0</v>
      </c>
      <c r="AA1339" s="8">
        <v>2</v>
      </c>
      <c r="AB1339" s="8">
        <v>0</v>
      </c>
      <c r="AC1339" s="8">
        <v>2</v>
      </c>
      <c r="AD1339" s="8">
        <v>2</v>
      </c>
      <c r="AE1339" s="8">
        <v>2</v>
      </c>
      <c r="AF1339" s="8">
        <v>2</v>
      </c>
      <c r="AG1339" s="8">
        <v>2</v>
      </c>
      <c r="AH1339" s="8">
        <v>2</v>
      </c>
      <c r="AI1339" s="8">
        <v>0</v>
      </c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11" t="s">
        <v>250</v>
      </c>
    </row>
    <row r="1340" spans="1:46" ht="15.1" customHeight="1">
      <c r="A1340" s="8"/>
      <c r="B1340" s="9"/>
      <c r="C1340" s="8"/>
      <c r="D1340" s="9"/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1</v>
      </c>
      <c r="K1340" s="8">
        <v>0.5</v>
      </c>
      <c r="L1340" s="8">
        <v>1</v>
      </c>
      <c r="M1340" s="8">
        <v>0</v>
      </c>
      <c r="N1340" s="8">
        <v>0</v>
      </c>
      <c r="O1340" s="8">
        <v>1</v>
      </c>
      <c r="P1340" s="8">
        <v>1</v>
      </c>
      <c r="Q1340" s="8">
        <v>1</v>
      </c>
      <c r="R1340" s="8">
        <v>1</v>
      </c>
      <c r="S1340" s="8">
        <v>1</v>
      </c>
      <c r="T1340" s="8">
        <v>1</v>
      </c>
      <c r="U1340" s="8">
        <v>0</v>
      </c>
      <c r="V1340" s="8">
        <v>1</v>
      </c>
      <c r="W1340" s="8">
        <v>0</v>
      </c>
      <c r="X1340" s="8">
        <v>1</v>
      </c>
      <c r="Y1340" s="8">
        <v>1</v>
      </c>
      <c r="Z1340" s="8">
        <v>0</v>
      </c>
      <c r="AA1340" s="8">
        <v>1</v>
      </c>
      <c r="AB1340" s="8">
        <v>0</v>
      </c>
      <c r="AC1340" s="8">
        <v>1</v>
      </c>
      <c r="AD1340" s="8">
        <v>1</v>
      </c>
      <c r="AE1340" s="8">
        <v>1</v>
      </c>
      <c r="AF1340" s="8">
        <v>1</v>
      </c>
      <c r="AG1340" s="8">
        <v>1</v>
      </c>
      <c r="AH1340" s="8">
        <v>1</v>
      </c>
      <c r="AI1340" s="8">
        <v>0</v>
      </c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11" t="s">
        <v>250</v>
      </c>
    </row>
    <row r="1341" spans="1:46" ht="15.1" customHeight="1">
      <c r="A1341" s="8">
        <v>446</v>
      </c>
      <c r="B1341" s="9" t="s">
        <v>1144</v>
      </c>
      <c r="C1341" s="8" t="s">
        <v>1145</v>
      </c>
      <c r="D1341" s="9" t="s">
        <v>451</v>
      </c>
      <c r="E1341" s="8" t="s">
        <v>54</v>
      </c>
      <c r="F1341" s="8" t="s">
        <v>54</v>
      </c>
      <c r="G1341" s="10" t="s">
        <v>67</v>
      </c>
      <c r="H1341" s="8" t="s">
        <v>54</v>
      </c>
      <c r="I1341" s="8" t="s">
        <v>54</v>
      </c>
      <c r="J1341" s="8" t="s">
        <v>54</v>
      </c>
      <c r="K1341" s="8" t="s">
        <v>54</v>
      </c>
      <c r="L1341" s="8" t="s">
        <v>54</v>
      </c>
      <c r="M1341" s="8" t="s">
        <v>54</v>
      </c>
      <c r="N1341" s="10" t="s">
        <v>67</v>
      </c>
      <c r="O1341" s="8" t="s">
        <v>54</v>
      </c>
      <c r="P1341" s="12" t="s">
        <v>55</v>
      </c>
      <c r="Q1341" s="8" t="s">
        <v>54</v>
      </c>
      <c r="R1341" s="8" t="s">
        <v>54</v>
      </c>
      <c r="S1341" s="8" t="s">
        <v>54</v>
      </c>
      <c r="T1341" s="8" t="s">
        <v>54</v>
      </c>
      <c r="U1341" s="10" t="s">
        <v>67</v>
      </c>
      <c r="V1341" s="8" t="s">
        <v>54</v>
      </c>
      <c r="W1341" s="8" t="s">
        <v>54</v>
      </c>
      <c r="X1341" s="8" t="s">
        <v>54</v>
      </c>
      <c r="Y1341" s="8" t="s">
        <v>54</v>
      </c>
      <c r="Z1341" s="8" t="s">
        <v>54</v>
      </c>
      <c r="AA1341" s="8" t="s">
        <v>54</v>
      </c>
      <c r="AB1341" s="10" t="s">
        <v>67</v>
      </c>
      <c r="AC1341" s="8" t="s">
        <v>54</v>
      </c>
      <c r="AD1341" s="8" t="s">
        <v>54</v>
      </c>
      <c r="AE1341" s="8" t="s">
        <v>54</v>
      </c>
      <c r="AF1341" s="8" t="s">
        <v>54</v>
      </c>
      <c r="AG1341" s="8" t="s">
        <v>54</v>
      </c>
      <c r="AH1341" s="8" t="s">
        <v>54</v>
      </c>
      <c r="AI1341" s="10" t="s">
        <v>67</v>
      </c>
      <c r="AJ1341" s="8">
        <f>COUNTIF($E$1341:$AI$1341,"P")</f>
        <v>25</v>
      </c>
      <c r="AK1341" s="8">
        <f>COUNTIF($E$1341:$AI$1341,"A")</f>
        <v>1</v>
      </c>
      <c r="AL1341" s="8">
        <f>SUM($E$1342:$AI$1342)</f>
        <v>44</v>
      </c>
      <c r="AM1341" s="8">
        <f>SUM($E$1343:$AI$1343)</f>
        <v>22</v>
      </c>
      <c r="AN1341" s="8">
        <f>AL1341+AM1341</f>
        <v>66</v>
      </c>
      <c r="AO1341" s="8">
        <f>COUNTIF($E$1341:$AI$1341,"CL")</f>
        <v>0</v>
      </c>
      <c r="AP1341" s="8">
        <f>COUNTIF($E$1341:$AI$1341,"SL")</f>
        <v>0</v>
      </c>
      <c r="AQ1341" s="8">
        <f>COUNTIF($E$1341:$AI$1341,"EL")</f>
        <v>0</v>
      </c>
      <c r="AR1341" s="8">
        <f>COUNTIF($E$1341:$AI$1341,"H")</f>
        <v>0</v>
      </c>
      <c r="AS1341" s="8"/>
      <c r="AT1341" s="11" t="s">
        <v>250</v>
      </c>
    </row>
    <row r="1342" spans="1:46" ht="15.1" customHeight="1">
      <c r="A1342" s="8"/>
      <c r="B1342" s="9"/>
      <c r="C1342" s="8"/>
      <c r="D1342" s="9"/>
      <c r="E1342" s="8">
        <v>0</v>
      </c>
      <c r="F1342" s="8">
        <v>2</v>
      </c>
      <c r="G1342" s="8">
        <v>0</v>
      </c>
      <c r="H1342" s="8">
        <v>2</v>
      </c>
      <c r="I1342" s="8">
        <v>2</v>
      </c>
      <c r="J1342" s="8">
        <v>2</v>
      </c>
      <c r="K1342" s="8">
        <v>2</v>
      </c>
      <c r="L1342" s="8">
        <v>2</v>
      </c>
      <c r="M1342" s="8">
        <v>2</v>
      </c>
      <c r="N1342" s="8">
        <v>0</v>
      </c>
      <c r="O1342" s="8">
        <v>2</v>
      </c>
      <c r="P1342" s="8">
        <v>0</v>
      </c>
      <c r="Q1342" s="8">
        <v>0</v>
      </c>
      <c r="R1342" s="8">
        <v>2</v>
      </c>
      <c r="S1342" s="8">
        <v>2</v>
      </c>
      <c r="T1342" s="8">
        <v>2</v>
      </c>
      <c r="U1342" s="8">
        <v>0</v>
      </c>
      <c r="V1342" s="8">
        <v>2</v>
      </c>
      <c r="W1342" s="8">
        <v>2</v>
      </c>
      <c r="X1342" s="8">
        <v>2</v>
      </c>
      <c r="Y1342" s="8">
        <v>2</v>
      </c>
      <c r="Z1342" s="8">
        <v>0</v>
      </c>
      <c r="AA1342" s="8">
        <v>2</v>
      </c>
      <c r="AB1342" s="8">
        <v>0</v>
      </c>
      <c r="AC1342" s="8">
        <v>2</v>
      </c>
      <c r="AD1342" s="8">
        <v>2</v>
      </c>
      <c r="AE1342" s="8">
        <v>2</v>
      </c>
      <c r="AF1342" s="8">
        <v>2</v>
      </c>
      <c r="AG1342" s="8">
        <v>2</v>
      </c>
      <c r="AH1342" s="8">
        <v>2</v>
      </c>
      <c r="AI1342" s="8">
        <v>0</v>
      </c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11" t="s">
        <v>250</v>
      </c>
    </row>
    <row r="1343" spans="1:46" ht="15.1" customHeight="1">
      <c r="A1343" s="8"/>
      <c r="B1343" s="9"/>
      <c r="C1343" s="8"/>
      <c r="D1343" s="9"/>
      <c r="E1343" s="8">
        <v>0</v>
      </c>
      <c r="F1343" s="8">
        <v>1</v>
      </c>
      <c r="G1343" s="8">
        <v>0</v>
      </c>
      <c r="H1343" s="8">
        <v>1</v>
      </c>
      <c r="I1343" s="8">
        <v>1</v>
      </c>
      <c r="J1343" s="8">
        <v>1</v>
      </c>
      <c r="K1343" s="8">
        <v>1</v>
      </c>
      <c r="L1343" s="8">
        <v>1</v>
      </c>
      <c r="M1343" s="8">
        <v>1</v>
      </c>
      <c r="N1343" s="8">
        <v>0</v>
      </c>
      <c r="O1343" s="8">
        <v>1</v>
      </c>
      <c r="P1343" s="8">
        <v>0</v>
      </c>
      <c r="Q1343" s="8">
        <v>0</v>
      </c>
      <c r="R1343" s="8">
        <v>1</v>
      </c>
      <c r="S1343" s="8">
        <v>1</v>
      </c>
      <c r="T1343" s="8">
        <v>1</v>
      </c>
      <c r="U1343" s="8">
        <v>0</v>
      </c>
      <c r="V1343" s="8">
        <v>1</v>
      </c>
      <c r="W1343" s="8">
        <v>1</v>
      </c>
      <c r="X1343" s="8">
        <v>1</v>
      </c>
      <c r="Y1343" s="8">
        <v>1</v>
      </c>
      <c r="Z1343" s="8">
        <v>0</v>
      </c>
      <c r="AA1343" s="8">
        <v>1</v>
      </c>
      <c r="AB1343" s="8">
        <v>0</v>
      </c>
      <c r="AC1343" s="8">
        <v>1</v>
      </c>
      <c r="AD1343" s="8">
        <v>1</v>
      </c>
      <c r="AE1343" s="8">
        <v>1</v>
      </c>
      <c r="AF1343" s="8">
        <v>1</v>
      </c>
      <c r="AG1343" s="8">
        <v>1</v>
      </c>
      <c r="AH1343" s="8">
        <v>1</v>
      </c>
      <c r="AI1343" s="8">
        <v>0</v>
      </c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11" t="s">
        <v>250</v>
      </c>
    </row>
    <row r="1344" spans="1:46" ht="15.1" customHeight="1">
      <c r="A1344" s="8">
        <v>447</v>
      </c>
      <c r="B1344" s="9" t="s">
        <v>1146</v>
      </c>
      <c r="C1344" s="8" t="s">
        <v>1147</v>
      </c>
      <c r="D1344" s="9" t="s">
        <v>451</v>
      </c>
      <c r="E1344" s="8" t="s">
        <v>54</v>
      </c>
      <c r="F1344" s="8" t="s">
        <v>54</v>
      </c>
      <c r="G1344" s="10" t="s">
        <v>67</v>
      </c>
      <c r="H1344" s="8" t="s">
        <v>54</v>
      </c>
      <c r="I1344" s="8" t="s">
        <v>54</v>
      </c>
      <c r="J1344" s="8" t="s">
        <v>54</v>
      </c>
      <c r="K1344" s="8" t="s">
        <v>54</v>
      </c>
      <c r="L1344" s="8" t="s">
        <v>54</v>
      </c>
      <c r="M1344" s="8" t="s">
        <v>54</v>
      </c>
      <c r="N1344" s="10" t="s">
        <v>67</v>
      </c>
      <c r="O1344" s="8" t="s">
        <v>54</v>
      </c>
      <c r="P1344" s="8" t="s">
        <v>54</v>
      </c>
      <c r="Q1344" s="8" t="s">
        <v>54</v>
      </c>
      <c r="R1344" s="8" t="s">
        <v>54</v>
      </c>
      <c r="S1344" s="8" t="s">
        <v>54</v>
      </c>
      <c r="T1344" s="8" t="s">
        <v>54</v>
      </c>
      <c r="U1344" s="10" t="s">
        <v>67</v>
      </c>
      <c r="V1344" s="8" t="s">
        <v>54</v>
      </c>
      <c r="W1344" s="8" t="s">
        <v>54</v>
      </c>
      <c r="X1344" s="8" t="s">
        <v>54</v>
      </c>
      <c r="Y1344" s="8" t="s">
        <v>54</v>
      </c>
      <c r="Z1344" s="8" t="s">
        <v>54</v>
      </c>
      <c r="AA1344" s="8" t="s">
        <v>54</v>
      </c>
      <c r="AB1344" s="10" t="s">
        <v>67</v>
      </c>
      <c r="AC1344" s="8" t="s">
        <v>54</v>
      </c>
      <c r="AD1344" s="8" t="s">
        <v>54</v>
      </c>
      <c r="AE1344" s="8" t="s">
        <v>54</v>
      </c>
      <c r="AF1344" s="8" t="s">
        <v>54</v>
      </c>
      <c r="AG1344" s="8" t="s">
        <v>54</v>
      </c>
      <c r="AH1344" s="8" t="s">
        <v>54</v>
      </c>
      <c r="AI1344" s="10" t="s">
        <v>67</v>
      </c>
      <c r="AJ1344" s="8">
        <f>COUNTIF($E$1344:$AI$1344,"P")</f>
        <v>26</v>
      </c>
      <c r="AK1344" s="8">
        <f>COUNTIF($E$1344:$AI$1344,"A")</f>
        <v>0</v>
      </c>
      <c r="AL1344" s="8">
        <f>SUM($E$1345:$AI$1345)</f>
        <v>40</v>
      </c>
      <c r="AM1344" s="8">
        <f>SUM($E$1346:$AI$1346)</f>
        <v>20</v>
      </c>
      <c r="AN1344" s="8">
        <f>AL1344+AM1344</f>
        <v>60</v>
      </c>
      <c r="AO1344" s="8">
        <f>COUNTIF($E$1344:$AI$1344,"CL")</f>
        <v>0</v>
      </c>
      <c r="AP1344" s="8">
        <f>COUNTIF($E$1344:$AI$1344,"SL")</f>
        <v>0</v>
      </c>
      <c r="AQ1344" s="8">
        <f>COUNTIF($E$1344:$AI$1344,"EL")</f>
        <v>0</v>
      </c>
      <c r="AR1344" s="8">
        <f>COUNTIF($E$1344:$AI$1344,"H")</f>
        <v>0</v>
      </c>
      <c r="AS1344" s="8"/>
      <c r="AT1344" s="11" t="s">
        <v>250</v>
      </c>
    </row>
    <row r="1345" spans="1:46" ht="15.1" customHeight="1">
      <c r="A1345" s="8"/>
      <c r="B1345" s="9"/>
      <c r="C1345" s="8"/>
      <c r="D1345" s="9"/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2</v>
      </c>
      <c r="L1345" s="8">
        <v>2</v>
      </c>
      <c r="M1345" s="8">
        <v>2</v>
      </c>
      <c r="N1345" s="8">
        <v>0</v>
      </c>
      <c r="O1345" s="8">
        <v>2</v>
      </c>
      <c r="P1345" s="8">
        <v>2</v>
      </c>
      <c r="Q1345" s="8">
        <v>2</v>
      </c>
      <c r="R1345" s="8">
        <v>2</v>
      </c>
      <c r="S1345" s="8">
        <v>2</v>
      </c>
      <c r="T1345" s="8">
        <v>2</v>
      </c>
      <c r="U1345" s="8">
        <v>0</v>
      </c>
      <c r="V1345" s="8">
        <v>2</v>
      </c>
      <c r="W1345" s="8">
        <v>2</v>
      </c>
      <c r="X1345" s="8">
        <v>2</v>
      </c>
      <c r="Y1345" s="8">
        <v>2</v>
      </c>
      <c r="Z1345" s="8">
        <v>0</v>
      </c>
      <c r="AA1345" s="8">
        <v>2</v>
      </c>
      <c r="AB1345" s="8">
        <v>0</v>
      </c>
      <c r="AC1345" s="8">
        <v>2</v>
      </c>
      <c r="AD1345" s="8">
        <v>2</v>
      </c>
      <c r="AE1345" s="8">
        <v>2</v>
      </c>
      <c r="AF1345" s="8">
        <v>2</v>
      </c>
      <c r="AG1345" s="8">
        <v>2</v>
      </c>
      <c r="AH1345" s="8">
        <v>2</v>
      </c>
      <c r="AI1345" s="8">
        <v>0</v>
      </c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11" t="s">
        <v>250</v>
      </c>
    </row>
    <row r="1346" spans="1:46" ht="15.1" customHeight="1">
      <c r="A1346" s="8"/>
      <c r="B1346" s="9"/>
      <c r="C1346" s="8"/>
      <c r="D1346" s="9"/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1</v>
      </c>
      <c r="L1346" s="8">
        <v>1</v>
      </c>
      <c r="M1346" s="8">
        <v>1</v>
      </c>
      <c r="N1346" s="8">
        <v>0</v>
      </c>
      <c r="O1346" s="8">
        <v>1</v>
      </c>
      <c r="P1346" s="8">
        <v>1</v>
      </c>
      <c r="Q1346" s="8">
        <v>1</v>
      </c>
      <c r="R1346" s="8">
        <v>1</v>
      </c>
      <c r="S1346" s="8">
        <v>1</v>
      </c>
      <c r="T1346" s="8">
        <v>1</v>
      </c>
      <c r="U1346" s="8">
        <v>0</v>
      </c>
      <c r="V1346" s="8">
        <v>1</v>
      </c>
      <c r="W1346" s="8">
        <v>1</v>
      </c>
      <c r="X1346" s="8">
        <v>1</v>
      </c>
      <c r="Y1346" s="8">
        <v>1</v>
      </c>
      <c r="Z1346" s="8">
        <v>0</v>
      </c>
      <c r="AA1346" s="8">
        <v>1</v>
      </c>
      <c r="AB1346" s="8">
        <v>0</v>
      </c>
      <c r="AC1346" s="8">
        <v>1</v>
      </c>
      <c r="AD1346" s="8">
        <v>1</v>
      </c>
      <c r="AE1346" s="8">
        <v>1</v>
      </c>
      <c r="AF1346" s="8">
        <v>1</v>
      </c>
      <c r="AG1346" s="8">
        <v>1</v>
      </c>
      <c r="AH1346" s="8">
        <v>1</v>
      </c>
      <c r="AI1346" s="8">
        <v>0</v>
      </c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11" t="s">
        <v>250</v>
      </c>
    </row>
    <row r="1347" spans="1:46" ht="15.1" customHeight="1">
      <c r="A1347" s="8">
        <v>448</v>
      </c>
      <c r="B1347" s="9" t="s">
        <v>1148</v>
      </c>
      <c r="C1347" s="8" t="s">
        <v>1149</v>
      </c>
      <c r="D1347" s="9" t="s">
        <v>451</v>
      </c>
      <c r="E1347" s="8" t="s">
        <v>54</v>
      </c>
      <c r="F1347" s="8" t="s">
        <v>54</v>
      </c>
      <c r="G1347" s="10" t="s">
        <v>67</v>
      </c>
      <c r="H1347" s="8" t="s">
        <v>54</v>
      </c>
      <c r="I1347" s="8" t="s">
        <v>54</v>
      </c>
      <c r="J1347" s="8" t="s">
        <v>54</v>
      </c>
      <c r="K1347" s="8" t="s">
        <v>54</v>
      </c>
      <c r="L1347" s="8" t="s">
        <v>54</v>
      </c>
      <c r="M1347" s="8" t="s">
        <v>54</v>
      </c>
      <c r="N1347" s="10" t="s">
        <v>67</v>
      </c>
      <c r="O1347" s="8" t="s">
        <v>54</v>
      </c>
      <c r="P1347" s="8" t="s">
        <v>54</v>
      </c>
      <c r="Q1347" s="8" t="s">
        <v>54</v>
      </c>
      <c r="R1347" s="8" t="s">
        <v>54</v>
      </c>
      <c r="S1347" s="8" t="s">
        <v>54</v>
      </c>
      <c r="T1347" s="8" t="s">
        <v>54</v>
      </c>
      <c r="U1347" s="10" t="s">
        <v>67</v>
      </c>
      <c r="V1347" s="8" t="s">
        <v>54</v>
      </c>
      <c r="W1347" s="8" t="s">
        <v>54</v>
      </c>
      <c r="X1347" s="8" t="s">
        <v>54</v>
      </c>
      <c r="Y1347" s="8" t="s">
        <v>54</v>
      </c>
      <c r="Z1347" s="8" t="s">
        <v>54</v>
      </c>
      <c r="AA1347" s="8" t="s">
        <v>54</v>
      </c>
      <c r="AB1347" s="10" t="s">
        <v>67</v>
      </c>
      <c r="AC1347" s="8" t="s">
        <v>54</v>
      </c>
      <c r="AD1347" s="8" t="s">
        <v>54</v>
      </c>
      <c r="AE1347" s="8" t="s">
        <v>54</v>
      </c>
      <c r="AF1347" s="8" t="s">
        <v>54</v>
      </c>
      <c r="AG1347" s="8" t="s">
        <v>54</v>
      </c>
      <c r="AH1347" s="8" t="s">
        <v>54</v>
      </c>
      <c r="AI1347" s="10" t="s">
        <v>67</v>
      </c>
      <c r="AJ1347" s="8">
        <f>COUNTIF($E$1347:$AI$1347,"P")</f>
        <v>26</v>
      </c>
      <c r="AK1347" s="8">
        <f>COUNTIF($E$1347:$AI$1347,"A")</f>
        <v>0</v>
      </c>
      <c r="AL1347" s="8">
        <f>SUM($E$1348:$AI$1348)</f>
        <v>44</v>
      </c>
      <c r="AM1347" s="8">
        <f>SUM($E$1349:$AI$1349)</f>
        <v>22</v>
      </c>
      <c r="AN1347" s="8">
        <f>AL1347+AM1347</f>
        <v>66</v>
      </c>
      <c r="AO1347" s="8">
        <f>COUNTIF($E$1347:$AI$1347,"CL")</f>
        <v>0</v>
      </c>
      <c r="AP1347" s="8">
        <f>COUNTIF($E$1347:$AI$1347,"SL")</f>
        <v>0</v>
      </c>
      <c r="AQ1347" s="8">
        <f>COUNTIF($E$1347:$AI$1347,"EL")</f>
        <v>0</v>
      </c>
      <c r="AR1347" s="8">
        <f>COUNTIF($E$1347:$AI$1347,"H")</f>
        <v>0</v>
      </c>
      <c r="AS1347" s="8"/>
      <c r="AT1347" s="11" t="s">
        <v>250</v>
      </c>
    </row>
    <row r="1348" spans="1:46" ht="15.1" customHeight="1">
      <c r="A1348" s="8"/>
      <c r="B1348" s="9"/>
      <c r="C1348" s="8"/>
      <c r="D1348" s="9"/>
      <c r="E1348" s="8">
        <v>0</v>
      </c>
      <c r="F1348" s="8">
        <v>0</v>
      </c>
      <c r="G1348" s="8">
        <v>0</v>
      </c>
      <c r="H1348" s="8">
        <v>0</v>
      </c>
      <c r="I1348" s="8">
        <v>2</v>
      </c>
      <c r="J1348" s="8">
        <v>2</v>
      </c>
      <c r="K1348" s="8">
        <v>2</v>
      </c>
      <c r="L1348" s="8">
        <v>2</v>
      </c>
      <c r="M1348" s="8">
        <v>2</v>
      </c>
      <c r="N1348" s="8">
        <v>0</v>
      </c>
      <c r="O1348" s="8">
        <v>2</v>
      </c>
      <c r="P1348" s="8">
        <v>2</v>
      </c>
      <c r="Q1348" s="8">
        <v>2</v>
      </c>
      <c r="R1348" s="8">
        <v>2</v>
      </c>
      <c r="S1348" s="8">
        <v>2</v>
      </c>
      <c r="T1348" s="8">
        <v>2</v>
      </c>
      <c r="U1348" s="8">
        <v>0</v>
      </c>
      <c r="V1348" s="8">
        <v>2</v>
      </c>
      <c r="W1348" s="8">
        <v>2</v>
      </c>
      <c r="X1348" s="8">
        <v>2</v>
      </c>
      <c r="Y1348" s="8">
        <v>2</v>
      </c>
      <c r="Z1348" s="8">
        <v>0</v>
      </c>
      <c r="AA1348" s="8">
        <v>2</v>
      </c>
      <c r="AB1348" s="8">
        <v>0</v>
      </c>
      <c r="AC1348" s="8">
        <v>2</v>
      </c>
      <c r="AD1348" s="8">
        <v>2</v>
      </c>
      <c r="AE1348" s="8">
        <v>2</v>
      </c>
      <c r="AF1348" s="8">
        <v>2</v>
      </c>
      <c r="AG1348" s="8">
        <v>2</v>
      </c>
      <c r="AH1348" s="8">
        <v>2</v>
      </c>
      <c r="AI1348" s="8">
        <v>0</v>
      </c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11" t="s">
        <v>250</v>
      </c>
    </row>
    <row r="1349" spans="1:46" ht="15.1" customHeight="1">
      <c r="A1349" s="8"/>
      <c r="B1349" s="9"/>
      <c r="C1349" s="8"/>
      <c r="D1349" s="9"/>
      <c r="E1349" s="8">
        <v>0</v>
      </c>
      <c r="F1349" s="8">
        <v>0</v>
      </c>
      <c r="G1349" s="8">
        <v>0</v>
      </c>
      <c r="H1349" s="8">
        <v>0</v>
      </c>
      <c r="I1349" s="8">
        <v>1</v>
      </c>
      <c r="J1349" s="8">
        <v>1</v>
      </c>
      <c r="K1349" s="8">
        <v>1</v>
      </c>
      <c r="L1349" s="8">
        <v>1</v>
      </c>
      <c r="M1349" s="8">
        <v>1</v>
      </c>
      <c r="N1349" s="8">
        <v>0</v>
      </c>
      <c r="O1349" s="8">
        <v>1</v>
      </c>
      <c r="P1349" s="8">
        <v>1</v>
      </c>
      <c r="Q1349" s="8">
        <v>1</v>
      </c>
      <c r="R1349" s="8">
        <v>1</v>
      </c>
      <c r="S1349" s="8">
        <v>1</v>
      </c>
      <c r="T1349" s="8">
        <v>1</v>
      </c>
      <c r="U1349" s="8">
        <v>0</v>
      </c>
      <c r="V1349" s="8">
        <v>1</v>
      </c>
      <c r="W1349" s="8">
        <v>1</v>
      </c>
      <c r="X1349" s="8">
        <v>1</v>
      </c>
      <c r="Y1349" s="8">
        <v>1</v>
      </c>
      <c r="Z1349" s="8">
        <v>0</v>
      </c>
      <c r="AA1349" s="8">
        <v>1</v>
      </c>
      <c r="AB1349" s="8">
        <v>0</v>
      </c>
      <c r="AC1349" s="8">
        <v>1</v>
      </c>
      <c r="AD1349" s="8">
        <v>1</v>
      </c>
      <c r="AE1349" s="8">
        <v>1</v>
      </c>
      <c r="AF1349" s="8">
        <v>1</v>
      </c>
      <c r="AG1349" s="8">
        <v>1</v>
      </c>
      <c r="AH1349" s="8">
        <v>1</v>
      </c>
      <c r="AI1349" s="8">
        <v>0</v>
      </c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11" t="s">
        <v>250</v>
      </c>
    </row>
    <row r="1350" spans="1:46" ht="15.1" customHeight="1">
      <c r="A1350" s="8">
        <v>449</v>
      </c>
      <c r="B1350" s="9" t="s">
        <v>1150</v>
      </c>
      <c r="C1350" s="8" t="s">
        <v>1151</v>
      </c>
      <c r="D1350" s="9" t="s">
        <v>451</v>
      </c>
      <c r="E1350" s="8" t="s">
        <v>54</v>
      </c>
      <c r="F1350" s="12" t="s">
        <v>55</v>
      </c>
      <c r="G1350" s="10" t="s">
        <v>67</v>
      </c>
      <c r="H1350" s="8" t="s">
        <v>54</v>
      </c>
      <c r="I1350" s="8" t="s">
        <v>54</v>
      </c>
      <c r="J1350" s="8" t="s">
        <v>54</v>
      </c>
      <c r="K1350" s="8" t="s">
        <v>54</v>
      </c>
      <c r="L1350" s="8" t="s">
        <v>54</v>
      </c>
      <c r="M1350" s="8" t="s">
        <v>54</v>
      </c>
      <c r="N1350" s="10" t="s">
        <v>67</v>
      </c>
      <c r="O1350" s="8" t="s">
        <v>54</v>
      </c>
      <c r="P1350" s="8" t="s">
        <v>54</v>
      </c>
      <c r="Q1350" s="8" t="s">
        <v>54</v>
      </c>
      <c r="R1350" s="8" t="s">
        <v>54</v>
      </c>
      <c r="S1350" s="8" t="s">
        <v>54</v>
      </c>
      <c r="T1350" s="8" t="s">
        <v>54</v>
      </c>
      <c r="U1350" s="10" t="s">
        <v>67</v>
      </c>
      <c r="V1350" s="8" t="s">
        <v>54</v>
      </c>
      <c r="W1350" s="8" t="s">
        <v>54</v>
      </c>
      <c r="X1350" s="8" t="s">
        <v>54</v>
      </c>
      <c r="Y1350" s="8" t="s">
        <v>54</v>
      </c>
      <c r="Z1350" s="8" t="s">
        <v>54</v>
      </c>
      <c r="AA1350" s="8" t="s">
        <v>54</v>
      </c>
      <c r="AB1350" s="10" t="s">
        <v>67</v>
      </c>
      <c r="AC1350" s="8" t="s">
        <v>54</v>
      </c>
      <c r="AD1350" s="8" t="s">
        <v>54</v>
      </c>
      <c r="AE1350" s="8" t="s">
        <v>54</v>
      </c>
      <c r="AF1350" s="8" t="s">
        <v>54</v>
      </c>
      <c r="AG1350" s="8" t="s">
        <v>54</v>
      </c>
      <c r="AH1350" s="8" t="s">
        <v>54</v>
      </c>
      <c r="AI1350" s="10" t="s">
        <v>67</v>
      </c>
      <c r="AJ1350" s="8">
        <f>COUNTIF($E$1350:$AI$1350,"P")</f>
        <v>25</v>
      </c>
      <c r="AK1350" s="8">
        <f>COUNTIF($E$1350:$AI$1350,"A")</f>
        <v>1</v>
      </c>
      <c r="AL1350" s="8">
        <f>SUM($E$1351:$AI$1351)</f>
        <v>44</v>
      </c>
      <c r="AM1350" s="8">
        <f>SUM($E$1352:$AI$1352)</f>
        <v>34</v>
      </c>
      <c r="AN1350" s="8">
        <f>AL1350+AM1350</f>
        <v>78</v>
      </c>
      <c r="AO1350" s="8">
        <f>COUNTIF($E$1350:$AI$1350,"CL")</f>
        <v>0</v>
      </c>
      <c r="AP1350" s="8">
        <f>COUNTIF($E$1350:$AI$1350,"SL")</f>
        <v>0</v>
      </c>
      <c r="AQ1350" s="8">
        <f>COUNTIF($E$1350:$AI$1350,"EL")</f>
        <v>0</v>
      </c>
      <c r="AR1350" s="8">
        <f>COUNTIF($E$1350:$AI$1350,"H")</f>
        <v>0</v>
      </c>
      <c r="AS1350" s="8"/>
      <c r="AT1350" s="11" t="s">
        <v>250</v>
      </c>
    </row>
    <row r="1351" spans="1:46" ht="15.1" customHeight="1">
      <c r="A1351" s="8"/>
      <c r="B1351" s="9"/>
      <c r="C1351" s="8"/>
      <c r="D1351" s="9"/>
      <c r="E1351" s="8">
        <v>0</v>
      </c>
      <c r="F1351" s="8">
        <v>0</v>
      </c>
      <c r="G1351" s="8">
        <v>0</v>
      </c>
      <c r="H1351" s="8">
        <v>0</v>
      </c>
      <c r="I1351" s="8">
        <v>2</v>
      </c>
      <c r="J1351" s="8">
        <v>2</v>
      </c>
      <c r="K1351" s="8">
        <v>2</v>
      </c>
      <c r="L1351" s="8">
        <v>2</v>
      </c>
      <c r="M1351" s="8">
        <v>2</v>
      </c>
      <c r="N1351" s="8">
        <v>0</v>
      </c>
      <c r="O1351" s="8">
        <v>2</v>
      </c>
      <c r="P1351" s="8">
        <v>2</v>
      </c>
      <c r="Q1351" s="8">
        <v>2</v>
      </c>
      <c r="R1351" s="8">
        <v>2</v>
      </c>
      <c r="S1351" s="8">
        <v>2</v>
      </c>
      <c r="T1351" s="8">
        <v>2</v>
      </c>
      <c r="U1351" s="8">
        <v>0</v>
      </c>
      <c r="V1351" s="8">
        <v>2</v>
      </c>
      <c r="W1351" s="8">
        <v>2</v>
      </c>
      <c r="X1351" s="8">
        <v>2</v>
      </c>
      <c r="Y1351" s="8">
        <v>2</v>
      </c>
      <c r="Z1351" s="8">
        <v>0</v>
      </c>
      <c r="AA1351" s="8">
        <v>2</v>
      </c>
      <c r="AB1351" s="8">
        <v>0</v>
      </c>
      <c r="AC1351" s="8">
        <v>2</v>
      </c>
      <c r="AD1351" s="8">
        <v>2</v>
      </c>
      <c r="AE1351" s="8">
        <v>2</v>
      </c>
      <c r="AF1351" s="8">
        <v>2</v>
      </c>
      <c r="AG1351" s="8">
        <v>2</v>
      </c>
      <c r="AH1351" s="8">
        <v>2</v>
      </c>
      <c r="AI1351" s="8">
        <v>0</v>
      </c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11" t="s">
        <v>250</v>
      </c>
    </row>
    <row r="1352" spans="1:46" ht="15.1" customHeight="1">
      <c r="A1352" s="8"/>
      <c r="B1352" s="9"/>
      <c r="C1352" s="8"/>
      <c r="D1352" s="9"/>
      <c r="E1352" s="8">
        <v>0</v>
      </c>
      <c r="F1352" s="8">
        <v>0</v>
      </c>
      <c r="G1352" s="8">
        <v>0</v>
      </c>
      <c r="H1352" s="8">
        <v>0</v>
      </c>
      <c r="I1352" s="8">
        <v>1</v>
      </c>
      <c r="J1352" s="8">
        <v>1</v>
      </c>
      <c r="K1352" s="8">
        <v>1</v>
      </c>
      <c r="L1352" s="8">
        <v>1</v>
      </c>
      <c r="M1352" s="8">
        <v>1</v>
      </c>
      <c r="N1352" s="8">
        <v>12</v>
      </c>
      <c r="O1352" s="8">
        <v>1</v>
      </c>
      <c r="P1352" s="8">
        <v>1</v>
      </c>
      <c r="Q1352" s="8">
        <v>1</v>
      </c>
      <c r="R1352" s="8">
        <v>1</v>
      </c>
      <c r="S1352" s="8">
        <v>1</v>
      </c>
      <c r="T1352" s="8">
        <v>1</v>
      </c>
      <c r="U1352" s="8">
        <v>0</v>
      </c>
      <c r="V1352" s="8">
        <v>1</v>
      </c>
      <c r="W1352" s="8">
        <v>1</v>
      </c>
      <c r="X1352" s="8">
        <v>1</v>
      </c>
      <c r="Y1352" s="8">
        <v>1</v>
      </c>
      <c r="Z1352" s="8">
        <v>0</v>
      </c>
      <c r="AA1352" s="8">
        <v>1</v>
      </c>
      <c r="AB1352" s="8">
        <v>0</v>
      </c>
      <c r="AC1352" s="8">
        <v>1</v>
      </c>
      <c r="AD1352" s="8">
        <v>1</v>
      </c>
      <c r="AE1352" s="8">
        <v>1</v>
      </c>
      <c r="AF1352" s="8">
        <v>1</v>
      </c>
      <c r="AG1352" s="8">
        <v>1</v>
      </c>
      <c r="AH1352" s="8">
        <v>1</v>
      </c>
      <c r="AI1352" s="8">
        <v>0</v>
      </c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11" t="s">
        <v>250</v>
      </c>
    </row>
    <row r="1353" spans="1:46" ht="15.1" customHeight="1">
      <c r="A1353" s="8">
        <v>450</v>
      </c>
      <c r="B1353" s="9" t="s">
        <v>1152</v>
      </c>
      <c r="C1353" s="8" t="s">
        <v>1153</v>
      </c>
      <c r="D1353" s="9" t="s">
        <v>451</v>
      </c>
      <c r="E1353" s="8" t="s">
        <v>54</v>
      </c>
      <c r="F1353" s="8" t="s">
        <v>54</v>
      </c>
      <c r="G1353" s="10" t="s">
        <v>67</v>
      </c>
      <c r="H1353" s="12" t="s">
        <v>55</v>
      </c>
      <c r="I1353" s="8" t="s">
        <v>54</v>
      </c>
      <c r="J1353" s="8" t="s">
        <v>54</v>
      </c>
      <c r="K1353" s="8" t="s">
        <v>54</v>
      </c>
      <c r="L1353" s="12" t="s">
        <v>55</v>
      </c>
      <c r="M1353" s="12" t="s">
        <v>55</v>
      </c>
      <c r="N1353" s="10" t="s">
        <v>67</v>
      </c>
      <c r="O1353" s="8" t="s">
        <v>54</v>
      </c>
      <c r="P1353" s="8" t="s">
        <v>54</v>
      </c>
      <c r="Q1353" s="8" t="s">
        <v>54</v>
      </c>
      <c r="R1353" s="8" t="s">
        <v>54</v>
      </c>
      <c r="S1353" s="8" t="s">
        <v>54</v>
      </c>
      <c r="T1353" s="8" t="s">
        <v>54</v>
      </c>
      <c r="U1353" s="10" t="s">
        <v>67</v>
      </c>
      <c r="V1353" s="8" t="s">
        <v>54</v>
      </c>
      <c r="W1353" s="8" t="s">
        <v>54</v>
      </c>
      <c r="X1353" s="8" t="s">
        <v>54</v>
      </c>
      <c r="Y1353" s="8" t="s">
        <v>54</v>
      </c>
      <c r="Z1353" s="8" t="s">
        <v>54</v>
      </c>
      <c r="AA1353" s="8" t="s">
        <v>54</v>
      </c>
      <c r="AB1353" s="10" t="s">
        <v>67</v>
      </c>
      <c r="AC1353" s="8" t="s">
        <v>54</v>
      </c>
      <c r="AD1353" s="8" t="s">
        <v>54</v>
      </c>
      <c r="AE1353" s="8" t="s">
        <v>54</v>
      </c>
      <c r="AF1353" s="8" t="s">
        <v>54</v>
      </c>
      <c r="AG1353" s="8" t="s">
        <v>54</v>
      </c>
      <c r="AH1353" s="8" t="s">
        <v>54</v>
      </c>
      <c r="AI1353" s="10" t="s">
        <v>67</v>
      </c>
      <c r="AJ1353" s="8">
        <f>COUNTIF($E$1353:$AI$1353,"P")</f>
        <v>23</v>
      </c>
      <c r="AK1353" s="8">
        <f>COUNTIF($E$1353:$AI$1353,"A")</f>
        <v>3</v>
      </c>
      <c r="AL1353" s="8">
        <f>SUM($E$1354:$AI$1354)</f>
        <v>42</v>
      </c>
      <c r="AM1353" s="8">
        <f>SUM($E$1355:$AI$1355)</f>
        <v>30</v>
      </c>
      <c r="AN1353" s="8">
        <f>AL1353+AM1353</f>
        <v>72</v>
      </c>
      <c r="AO1353" s="8">
        <f>COUNTIF($E$1353:$AI$1353,"CL")</f>
        <v>0</v>
      </c>
      <c r="AP1353" s="8">
        <f>COUNTIF($E$1353:$AI$1353,"SL")</f>
        <v>0</v>
      </c>
      <c r="AQ1353" s="8">
        <f>COUNTIF($E$1353:$AI$1353,"EL")</f>
        <v>0</v>
      </c>
      <c r="AR1353" s="8">
        <f>COUNTIF($E$1353:$AI$1353,"H")</f>
        <v>0</v>
      </c>
      <c r="AS1353" s="8"/>
      <c r="AT1353" s="11" t="s">
        <v>250</v>
      </c>
    </row>
    <row r="1354" spans="1:46" ht="15.1" customHeight="1">
      <c r="A1354" s="8"/>
      <c r="B1354" s="9"/>
      <c r="C1354" s="8"/>
      <c r="D1354" s="9"/>
      <c r="E1354" s="8">
        <v>0</v>
      </c>
      <c r="F1354" s="8">
        <v>0</v>
      </c>
      <c r="G1354" s="8">
        <v>0</v>
      </c>
      <c r="H1354" s="8">
        <v>0</v>
      </c>
      <c r="I1354" s="8">
        <v>2</v>
      </c>
      <c r="J1354" s="8">
        <v>2</v>
      </c>
      <c r="K1354" s="8">
        <v>2</v>
      </c>
      <c r="L1354" s="8">
        <v>0</v>
      </c>
      <c r="M1354" s="8">
        <v>0</v>
      </c>
      <c r="N1354" s="8">
        <v>0</v>
      </c>
      <c r="O1354" s="8">
        <v>2</v>
      </c>
      <c r="P1354" s="8">
        <v>2</v>
      </c>
      <c r="Q1354" s="8">
        <v>2</v>
      </c>
      <c r="R1354" s="8">
        <v>2</v>
      </c>
      <c r="S1354" s="8">
        <v>2</v>
      </c>
      <c r="T1354" s="8">
        <v>2</v>
      </c>
      <c r="U1354" s="8">
        <v>0</v>
      </c>
      <c r="V1354" s="8">
        <v>2</v>
      </c>
      <c r="W1354" s="8">
        <v>2</v>
      </c>
      <c r="X1354" s="8">
        <v>2</v>
      </c>
      <c r="Y1354" s="8">
        <v>2</v>
      </c>
      <c r="Z1354" s="8">
        <v>2</v>
      </c>
      <c r="AA1354" s="8">
        <v>2</v>
      </c>
      <c r="AB1354" s="8">
        <v>0</v>
      </c>
      <c r="AC1354" s="8">
        <v>2</v>
      </c>
      <c r="AD1354" s="8">
        <v>2</v>
      </c>
      <c r="AE1354" s="8">
        <v>2</v>
      </c>
      <c r="AF1354" s="8">
        <v>2</v>
      </c>
      <c r="AG1354" s="8">
        <v>2</v>
      </c>
      <c r="AH1354" s="8">
        <v>2</v>
      </c>
      <c r="AI1354" s="8">
        <v>0</v>
      </c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11" t="s">
        <v>250</v>
      </c>
    </row>
    <row r="1355" spans="1:46" ht="15.1" customHeight="1">
      <c r="A1355" s="8"/>
      <c r="B1355" s="9"/>
      <c r="C1355" s="8"/>
      <c r="D1355" s="9"/>
      <c r="E1355" s="8">
        <v>0</v>
      </c>
      <c r="F1355" s="8">
        <v>0</v>
      </c>
      <c r="G1355" s="8">
        <v>9</v>
      </c>
      <c r="H1355" s="8">
        <v>0</v>
      </c>
      <c r="I1355" s="8">
        <v>1</v>
      </c>
      <c r="J1355" s="8">
        <v>1</v>
      </c>
      <c r="K1355" s="8">
        <v>1</v>
      </c>
      <c r="L1355" s="8">
        <v>0</v>
      </c>
      <c r="M1355" s="8">
        <v>0</v>
      </c>
      <c r="N1355" s="8">
        <v>0</v>
      </c>
      <c r="O1355" s="8">
        <v>1</v>
      </c>
      <c r="P1355" s="8">
        <v>1</v>
      </c>
      <c r="Q1355" s="8">
        <v>1</v>
      </c>
      <c r="R1355" s="8">
        <v>1</v>
      </c>
      <c r="S1355" s="8">
        <v>1</v>
      </c>
      <c r="T1355" s="8">
        <v>1</v>
      </c>
      <c r="U1355" s="8">
        <v>0</v>
      </c>
      <c r="V1355" s="8">
        <v>1</v>
      </c>
      <c r="W1355" s="8">
        <v>1</v>
      </c>
      <c r="X1355" s="8">
        <v>1</v>
      </c>
      <c r="Y1355" s="8">
        <v>1</v>
      </c>
      <c r="Z1355" s="8">
        <v>1</v>
      </c>
      <c r="AA1355" s="8">
        <v>1</v>
      </c>
      <c r="AB1355" s="8">
        <v>0</v>
      </c>
      <c r="AC1355" s="8">
        <v>1</v>
      </c>
      <c r="AD1355" s="8">
        <v>1</v>
      </c>
      <c r="AE1355" s="8">
        <v>1</v>
      </c>
      <c r="AF1355" s="8">
        <v>1</v>
      </c>
      <c r="AG1355" s="8">
        <v>1</v>
      </c>
      <c r="AH1355" s="8">
        <v>1</v>
      </c>
      <c r="AI1355" s="8">
        <v>0</v>
      </c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11" t="s">
        <v>250</v>
      </c>
    </row>
    <row r="1356" spans="1:46" ht="15.1" customHeight="1">
      <c r="A1356" s="8">
        <v>451</v>
      </c>
      <c r="B1356" s="9" t="s">
        <v>1154</v>
      </c>
      <c r="C1356" s="8" t="s">
        <v>1155</v>
      </c>
      <c r="D1356" s="9" t="s">
        <v>451</v>
      </c>
      <c r="E1356" s="8" t="s">
        <v>54</v>
      </c>
      <c r="F1356" s="8" t="s">
        <v>54</v>
      </c>
      <c r="G1356" s="10" t="s">
        <v>67</v>
      </c>
      <c r="H1356" s="8" t="s">
        <v>54</v>
      </c>
      <c r="I1356" s="8" t="s">
        <v>54</v>
      </c>
      <c r="J1356" s="8" t="s">
        <v>54</v>
      </c>
      <c r="K1356" s="8" t="s">
        <v>54</v>
      </c>
      <c r="L1356" s="8" t="s">
        <v>54</v>
      </c>
      <c r="M1356" s="8" t="s">
        <v>54</v>
      </c>
      <c r="N1356" s="10" t="s">
        <v>67</v>
      </c>
      <c r="O1356" s="8" t="s">
        <v>54</v>
      </c>
      <c r="P1356" s="8" t="s">
        <v>54</v>
      </c>
      <c r="Q1356" s="8" t="s">
        <v>54</v>
      </c>
      <c r="R1356" s="8" t="s">
        <v>54</v>
      </c>
      <c r="S1356" s="8" t="s">
        <v>54</v>
      </c>
      <c r="T1356" s="8" t="s">
        <v>54</v>
      </c>
      <c r="U1356" s="10" t="s">
        <v>67</v>
      </c>
      <c r="V1356" s="8" t="s">
        <v>54</v>
      </c>
      <c r="W1356" s="8" t="s">
        <v>54</v>
      </c>
      <c r="X1356" s="8" t="s">
        <v>54</v>
      </c>
      <c r="Y1356" s="8" t="s">
        <v>54</v>
      </c>
      <c r="Z1356" s="8" t="s">
        <v>54</v>
      </c>
      <c r="AA1356" s="8" t="s">
        <v>54</v>
      </c>
      <c r="AB1356" s="10" t="s">
        <v>67</v>
      </c>
      <c r="AC1356" s="8" t="s">
        <v>54</v>
      </c>
      <c r="AD1356" s="8" t="s">
        <v>54</v>
      </c>
      <c r="AE1356" s="8" t="s">
        <v>54</v>
      </c>
      <c r="AF1356" s="8" t="s">
        <v>54</v>
      </c>
      <c r="AG1356" s="8" t="s">
        <v>54</v>
      </c>
      <c r="AH1356" s="8" t="s">
        <v>54</v>
      </c>
      <c r="AI1356" s="10" t="s">
        <v>67</v>
      </c>
      <c r="AJ1356" s="8">
        <f>COUNTIF($E$1356:$AI$1356,"P")</f>
        <v>26</v>
      </c>
      <c r="AK1356" s="8">
        <f>COUNTIF($E$1356:$AI$1356,"A")</f>
        <v>0</v>
      </c>
      <c r="AL1356" s="8">
        <f>SUM($E$1357:$AI$1357)</f>
        <v>48</v>
      </c>
      <c r="AM1356" s="8">
        <f>SUM($E$1358:$AI$1358)</f>
        <v>24</v>
      </c>
      <c r="AN1356" s="8">
        <f>AL1356+AM1356</f>
        <v>72</v>
      </c>
      <c r="AO1356" s="8">
        <f>COUNTIF($E$1356:$AI$1356,"CL")</f>
        <v>0</v>
      </c>
      <c r="AP1356" s="8">
        <f>COUNTIF($E$1356:$AI$1356,"SL")</f>
        <v>0</v>
      </c>
      <c r="AQ1356" s="8">
        <f>COUNTIF($E$1356:$AI$1356,"EL")</f>
        <v>0</v>
      </c>
      <c r="AR1356" s="8">
        <f>COUNTIF($E$1356:$AI$1356,"H")</f>
        <v>0</v>
      </c>
      <c r="AS1356" s="8"/>
      <c r="AT1356" s="11" t="s">
        <v>250</v>
      </c>
    </row>
    <row r="1357" spans="1:46" ht="15.1" customHeight="1">
      <c r="A1357" s="8"/>
      <c r="B1357" s="9"/>
      <c r="C1357" s="8"/>
      <c r="D1357" s="9"/>
      <c r="E1357" s="8">
        <v>0</v>
      </c>
      <c r="F1357" s="8">
        <v>2</v>
      </c>
      <c r="G1357" s="8">
        <v>0</v>
      </c>
      <c r="H1357" s="8">
        <v>2</v>
      </c>
      <c r="I1357" s="8">
        <v>2</v>
      </c>
      <c r="J1357" s="8">
        <v>2</v>
      </c>
      <c r="K1357" s="8">
        <v>2</v>
      </c>
      <c r="L1357" s="8">
        <v>2</v>
      </c>
      <c r="M1357" s="8">
        <v>2</v>
      </c>
      <c r="N1357" s="8">
        <v>0</v>
      </c>
      <c r="O1357" s="8">
        <v>2</v>
      </c>
      <c r="P1357" s="8">
        <v>2</v>
      </c>
      <c r="Q1357" s="8">
        <v>2</v>
      </c>
      <c r="R1357" s="8">
        <v>2</v>
      </c>
      <c r="S1357" s="8">
        <v>2</v>
      </c>
      <c r="T1357" s="8">
        <v>2</v>
      </c>
      <c r="U1357" s="8">
        <v>0</v>
      </c>
      <c r="V1357" s="8">
        <v>2</v>
      </c>
      <c r="W1357" s="8">
        <v>2</v>
      </c>
      <c r="X1357" s="8">
        <v>2</v>
      </c>
      <c r="Y1357" s="8">
        <v>2</v>
      </c>
      <c r="Z1357" s="8">
        <v>0</v>
      </c>
      <c r="AA1357" s="8">
        <v>2</v>
      </c>
      <c r="AB1357" s="8">
        <v>0</v>
      </c>
      <c r="AC1357" s="8">
        <v>2</v>
      </c>
      <c r="AD1357" s="8">
        <v>2</v>
      </c>
      <c r="AE1357" s="8">
        <v>2</v>
      </c>
      <c r="AF1357" s="8">
        <v>2</v>
      </c>
      <c r="AG1357" s="8">
        <v>2</v>
      </c>
      <c r="AH1357" s="8">
        <v>2</v>
      </c>
      <c r="AI1357" s="8">
        <v>0</v>
      </c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11" t="s">
        <v>250</v>
      </c>
    </row>
    <row r="1358" spans="1:46" ht="15.1" customHeight="1">
      <c r="A1358" s="8"/>
      <c r="B1358" s="9"/>
      <c r="C1358" s="8"/>
      <c r="D1358" s="9"/>
      <c r="E1358" s="8">
        <v>0</v>
      </c>
      <c r="F1358" s="8">
        <v>1</v>
      </c>
      <c r="G1358" s="8">
        <v>0</v>
      </c>
      <c r="H1358" s="8">
        <v>1</v>
      </c>
      <c r="I1358" s="8">
        <v>1</v>
      </c>
      <c r="J1358" s="8">
        <v>1</v>
      </c>
      <c r="K1358" s="8">
        <v>1</v>
      </c>
      <c r="L1358" s="8">
        <v>1</v>
      </c>
      <c r="M1358" s="8">
        <v>1</v>
      </c>
      <c r="N1358" s="8">
        <v>0</v>
      </c>
      <c r="O1358" s="8">
        <v>1</v>
      </c>
      <c r="P1358" s="8">
        <v>1</v>
      </c>
      <c r="Q1358" s="8">
        <v>1</v>
      </c>
      <c r="R1358" s="8">
        <v>1</v>
      </c>
      <c r="S1358" s="8">
        <v>1</v>
      </c>
      <c r="T1358" s="8">
        <v>1</v>
      </c>
      <c r="U1358" s="8">
        <v>0</v>
      </c>
      <c r="V1358" s="8">
        <v>1</v>
      </c>
      <c r="W1358" s="8">
        <v>1</v>
      </c>
      <c r="X1358" s="8">
        <v>1</v>
      </c>
      <c r="Y1358" s="8">
        <v>1</v>
      </c>
      <c r="Z1358" s="8">
        <v>0</v>
      </c>
      <c r="AA1358" s="8">
        <v>1</v>
      </c>
      <c r="AB1358" s="8">
        <v>0</v>
      </c>
      <c r="AC1358" s="8">
        <v>1</v>
      </c>
      <c r="AD1358" s="8">
        <v>1</v>
      </c>
      <c r="AE1358" s="8">
        <v>1</v>
      </c>
      <c r="AF1358" s="8">
        <v>1</v>
      </c>
      <c r="AG1358" s="8">
        <v>1</v>
      </c>
      <c r="AH1358" s="8">
        <v>1</v>
      </c>
      <c r="AI1358" s="8">
        <v>0</v>
      </c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11" t="s">
        <v>250</v>
      </c>
    </row>
    <row r="1359" spans="1:46" ht="15.1" customHeight="1">
      <c r="A1359" s="8">
        <v>452</v>
      </c>
      <c r="B1359" s="9" t="s">
        <v>1156</v>
      </c>
      <c r="C1359" s="8" t="s">
        <v>1157</v>
      </c>
      <c r="D1359" s="9" t="s">
        <v>451</v>
      </c>
      <c r="E1359" s="8" t="s">
        <v>54</v>
      </c>
      <c r="F1359" s="8" t="s">
        <v>54</v>
      </c>
      <c r="G1359" s="10" t="s">
        <v>67</v>
      </c>
      <c r="H1359" s="8" t="s">
        <v>54</v>
      </c>
      <c r="I1359" s="8" t="s">
        <v>54</v>
      </c>
      <c r="J1359" s="8" t="s">
        <v>54</v>
      </c>
      <c r="K1359" s="8" t="s">
        <v>54</v>
      </c>
      <c r="L1359" s="8" t="s">
        <v>54</v>
      </c>
      <c r="M1359" s="8" t="s">
        <v>54</v>
      </c>
      <c r="N1359" s="10" t="s">
        <v>67</v>
      </c>
      <c r="O1359" s="8" t="s">
        <v>54</v>
      </c>
      <c r="P1359" s="8" t="s">
        <v>54</v>
      </c>
      <c r="Q1359" s="8" t="s">
        <v>54</v>
      </c>
      <c r="R1359" s="8" t="s">
        <v>54</v>
      </c>
      <c r="S1359" s="8" t="s">
        <v>54</v>
      </c>
      <c r="T1359" s="8" t="s">
        <v>54</v>
      </c>
      <c r="U1359" s="10" t="s">
        <v>67</v>
      </c>
      <c r="V1359" s="8" t="s">
        <v>54</v>
      </c>
      <c r="W1359" s="8" t="s">
        <v>54</v>
      </c>
      <c r="X1359" s="8" t="s">
        <v>54</v>
      </c>
      <c r="Y1359" s="8" t="s">
        <v>54</v>
      </c>
      <c r="Z1359" s="8" t="s">
        <v>54</v>
      </c>
      <c r="AA1359" s="8" t="s">
        <v>54</v>
      </c>
      <c r="AB1359" s="10" t="s">
        <v>67</v>
      </c>
      <c r="AC1359" s="8" t="s">
        <v>54</v>
      </c>
      <c r="AD1359" s="8" t="s">
        <v>54</v>
      </c>
      <c r="AE1359" s="8" t="s">
        <v>54</v>
      </c>
      <c r="AF1359" s="8" t="s">
        <v>54</v>
      </c>
      <c r="AG1359" s="8" t="s">
        <v>54</v>
      </c>
      <c r="AH1359" s="12" t="s">
        <v>55</v>
      </c>
      <c r="AI1359" s="10" t="s">
        <v>67</v>
      </c>
      <c r="AJ1359" s="8">
        <f>COUNTIF($E$1359:$AI$1359,"P")</f>
        <v>25</v>
      </c>
      <c r="AK1359" s="8">
        <f>COUNTIF($E$1359:$AI$1359,"A")</f>
        <v>1</v>
      </c>
      <c r="AL1359" s="8">
        <f>SUM($E$1360:$AI$1360)</f>
        <v>42</v>
      </c>
      <c r="AM1359" s="8">
        <f>SUM($E$1361:$AI$1361)</f>
        <v>32</v>
      </c>
      <c r="AN1359" s="8">
        <f>AL1359+AM1359</f>
        <v>74</v>
      </c>
      <c r="AO1359" s="8">
        <f>COUNTIF($E$1359:$AI$1359,"CL")</f>
        <v>0</v>
      </c>
      <c r="AP1359" s="8">
        <f>COUNTIF($E$1359:$AI$1359,"SL")</f>
        <v>0</v>
      </c>
      <c r="AQ1359" s="8">
        <f>COUNTIF($E$1359:$AI$1359,"EL")</f>
        <v>0</v>
      </c>
      <c r="AR1359" s="8">
        <f>COUNTIF($E$1359:$AI$1359,"H")</f>
        <v>0</v>
      </c>
      <c r="AS1359" s="8"/>
      <c r="AT1359" s="11" t="s">
        <v>250</v>
      </c>
    </row>
    <row r="1360" spans="1:46" ht="15.1" customHeight="1">
      <c r="A1360" s="8"/>
      <c r="B1360" s="9"/>
      <c r="C1360" s="8"/>
      <c r="D1360" s="9"/>
      <c r="E1360" s="8">
        <v>0</v>
      </c>
      <c r="F1360" s="8">
        <v>0</v>
      </c>
      <c r="G1360" s="8">
        <v>0</v>
      </c>
      <c r="H1360" s="8">
        <v>0</v>
      </c>
      <c r="I1360" s="8">
        <v>2</v>
      </c>
      <c r="J1360" s="8">
        <v>2</v>
      </c>
      <c r="K1360" s="8">
        <v>2</v>
      </c>
      <c r="L1360" s="8">
        <v>2</v>
      </c>
      <c r="M1360" s="8">
        <v>2</v>
      </c>
      <c r="N1360" s="8">
        <v>0</v>
      </c>
      <c r="O1360" s="8">
        <v>2</v>
      </c>
      <c r="P1360" s="8">
        <v>2</v>
      </c>
      <c r="Q1360" s="8">
        <v>2</v>
      </c>
      <c r="R1360" s="8">
        <v>2</v>
      </c>
      <c r="S1360" s="8">
        <v>2</v>
      </c>
      <c r="T1360" s="8">
        <v>2</v>
      </c>
      <c r="U1360" s="8">
        <v>0</v>
      </c>
      <c r="V1360" s="8">
        <v>2</v>
      </c>
      <c r="W1360" s="8">
        <v>2</v>
      </c>
      <c r="X1360" s="8">
        <v>2</v>
      </c>
      <c r="Y1360" s="8">
        <v>2</v>
      </c>
      <c r="Z1360" s="8">
        <v>2</v>
      </c>
      <c r="AA1360" s="8">
        <v>0</v>
      </c>
      <c r="AB1360" s="8">
        <v>0</v>
      </c>
      <c r="AC1360" s="8">
        <v>2</v>
      </c>
      <c r="AD1360" s="8">
        <v>2</v>
      </c>
      <c r="AE1360" s="8">
        <v>2</v>
      </c>
      <c r="AF1360" s="8">
        <v>2</v>
      </c>
      <c r="AG1360" s="8">
        <v>2</v>
      </c>
      <c r="AH1360" s="8">
        <v>0</v>
      </c>
      <c r="AI1360" s="8">
        <v>0</v>
      </c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11" t="s">
        <v>250</v>
      </c>
    </row>
    <row r="1361" spans="1:46" ht="15.1" customHeight="1">
      <c r="A1361" s="8"/>
      <c r="B1361" s="9"/>
      <c r="C1361" s="8"/>
      <c r="D1361" s="9"/>
      <c r="E1361" s="8">
        <v>0</v>
      </c>
      <c r="F1361" s="8">
        <v>0</v>
      </c>
      <c r="G1361" s="8">
        <v>0</v>
      </c>
      <c r="H1361" s="8">
        <v>0</v>
      </c>
      <c r="I1361" s="8">
        <v>1</v>
      </c>
      <c r="J1361" s="8">
        <v>1</v>
      </c>
      <c r="K1361" s="8">
        <v>1</v>
      </c>
      <c r="L1361" s="8">
        <v>1</v>
      </c>
      <c r="M1361" s="8">
        <v>1</v>
      </c>
      <c r="N1361" s="8">
        <v>11</v>
      </c>
      <c r="O1361" s="8">
        <v>1</v>
      </c>
      <c r="P1361" s="8">
        <v>1</v>
      </c>
      <c r="Q1361" s="8">
        <v>1</v>
      </c>
      <c r="R1361" s="8">
        <v>1</v>
      </c>
      <c r="S1361" s="8">
        <v>1</v>
      </c>
      <c r="T1361" s="8">
        <v>1</v>
      </c>
      <c r="U1361" s="8">
        <v>0</v>
      </c>
      <c r="V1361" s="8">
        <v>1</v>
      </c>
      <c r="W1361" s="8">
        <v>1</v>
      </c>
      <c r="X1361" s="8">
        <v>1</v>
      </c>
      <c r="Y1361" s="8">
        <v>1</v>
      </c>
      <c r="Z1361" s="8">
        <v>1</v>
      </c>
      <c r="AA1361" s="8">
        <v>0</v>
      </c>
      <c r="AB1361" s="8">
        <v>0</v>
      </c>
      <c r="AC1361" s="8">
        <v>1</v>
      </c>
      <c r="AD1361" s="8">
        <v>1</v>
      </c>
      <c r="AE1361" s="8">
        <v>1</v>
      </c>
      <c r="AF1361" s="8">
        <v>1</v>
      </c>
      <c r="AG1361" s="8">
        <v>1</v>
      </c>
      <c r="AH1361" s="8">
        <v>0</v>
      </c>
      <c r="AI1361" s="8">
        <v>0</v>
      </c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11" t="s">
        <v>250</v>
      </c>
    </row>
    <row r="1362" spans="1:46" ht="15.1" customHeight="1">
      <c r="A1362" s="8">
        <v>453</v>
      </c>
      <c r="B1362" s="9" t="s">
        <v>1158</v>
      </c>
      <c r="C1362" s="8" t="s">
        <v>1159</v>
      </c>
      <c r="D1362" s="9" t="s">
        <v>451</v>
      </c>
      <c r="E1362" s="8" t="s">
        <v>54</v>
      </c>
      <c r="F1362" s="8" t="s">
        <v>54</v>
      </c>
      <c r="G1362" s="10" t="s">
        <v>67</v>
      </c>
      <c r="H1362" s="8" t="s">
        <v>54</v>
      </c>
      <c r="I1362" s="8" t="s">
        <v>54</v>
      </c>
      <c r="J1362" s="8" t="s">
        <v>54</v>
      </c>
      <c r="K1362" s="8" t="s">
        <v>54</v>
      </c>
      <c r="L1362" s="8" t="s">
        <v>54</v>
      </c>
      <c r="M1362" s="8" t="s">
        <v>54</v>
      </c>
      <c r="N1362" s="10" t="s">
        <v>67</v>
      </c>
      <c r="O1362" s="8" t="s">
        <v>54</v>
      </c>
      <c r="P1362" s="8" t="s">
        <v>54</v>
      </c>
      <c r="Q1362" s="8" t="s">
        <v>54</v>
      </c>
      <c r="R1362" s="8" t="s">
        <v>54</v>
      </c>
      <c r="S1362" s="8" t="s">
        <v>54</v>
      </c>
      <c r="T1362" s="8" t="s">
        <v>54</v>
      </c>
      <c r="U1362" s="10" t="s">
        <v>67</v>
      </c>
      <c r="V1362" s="8" t="s">
        <v>54</v>
      </c>
      <c r="W1362" s="8" t="s">
        <v>54</v>
      </c>
      <c r="X1362" s="8" t="s">
        <v>54</v>
      </c>
      <c r="Y1362" s="8" t="s">
        <v>54</v>
      </c>
      <c r="Z1362" s="8" t="s">
        <v>54</v>
      </c>
      <c r="AA1362" s="8" t="s">
        <v>54</v>
      </c>
      <c r="AB1362" s="10" t="s">
        <v>67</v>
      </c>
      <c r="AC1362" s="8" t="s">
        <v>54</v>
      </c>
      <c r="AD1362" s="8" t="s">
        <v>54</v>
      </c>
      <c r="AE1362" s="8" t="s">
        <v>54</v>
      </c>
      <c r="AF1362" s="8" t="s">
        <v>54</v>
      </c>
      <c r="AG1362" s="8" t="s">
        <v>54</v>
      </c>
      <c r="AH1362" s="8" t="s">
        <v>54</v>
      </c>
      <c r="AI1362" s="10" t="s">
        <v>67</v>
      </c>
      <c r="AJ1362" s="8">
        <f>COUNTIF($E$1362:$AI$1362,"P")</f>
        <v>26</v>
      </c>
      <c r="AK1362" s="8">
        <f>COUNTIF($E$1362:$AI$1362,"A")</f>
        <v>0</v>
      </c>
      <c r="AL1362" s="8">
        <f>SUM($E$1363:$AI$1363)</f>
        <v>44</v>
      </c>
      <c r="AM1362" s="8">
        <f>SUM($E$1364:$AI$1364)</f>
        <v>34</v>
      </c>
      <c r="AN1362" s="8">
        <f>AL1362+AM1362</f>
        <v>78</v>
      </c>
      <c r="AO1362" s="8">
        <f>COUNTIF($E$1362:$AI$1362,"CL")</f>
        <v>0</v>
      </c>
      <c r="AP1362" s="8">
        <f>COUNTIF($E$1362:$AI$1362,"SL")</f>
        <v>0</v>
      </c>
      <c r="AQ1362" s="8">
        <f>COUNTIF($E$1362:$AI$1362,"EL")</f>
        <v>0</v>
      </c>
      <c r="AR1362" s="8">
        <f>COUNTIF($E$1362:$AI$1362,"H")</f>
        <v>0</v>
      </c>
      <c r="AS1362" s="8"/>
      <c r="AT1362" s="11" t="s">
        <v>250</v>
      </c>
    </row>
    <row r="1363" spans="1:46" ht="15.1" customHeight="1">
      <c r="A1363" s="8"/>
      <c r="B1363" s="9"/>
      <c r="C1363" s="8"/>
      <c r="D1363" s="9"/>
      <c r="E1363" s="8">
        <v>2</v>
      </c>
      <c r="F1363" s="8">
        <v>0</v>
      </c>
      <c r="G1363" s="8">
        <v>0</v>
      </c>
      <c r="H1363" s="8">
        <v>0</v>
      </c>
      <c r="I1363" s="8">
        <v>2</v>
      </c>
      <c r="J1363" s="8">
        <v>2</v>
      </c>
      <c r="K1363" s="8">
        <v>2</v>
      </c>
      <c r="L1363" s="8">
        <v>2</v>
      </c>
      <c r="M1363" s="8">
        <v>2</v>
      </c>
      <c r="N1363" s="8">
        <v>0</v>
      </c>
      <c r="O1363" s="8">
        <v>2</v>
      </c>
      <c r="P1363" s="8">
        <v>2</v>
      </c>
      <c r="Q1363" s="8">
        <v>2</v>
      </c>
      <c r="R1363" s="8">
        <v>2</v>
      </c>
      <c r="S1363" s="8">
        <v>2</v>
      </c>
      <c r="T1363" s="8">
        <v>2</v>
      </c>
      <c r="U1363" s="8">
        <v>0</v>
      </c>
      <c r="V1363" s="8">
        <v>2</v>
      </c>
      <c r="W1363" s="8">
        <v>2</v>
      </c>
      <c r="X1363" s="8">
        <v>2</v>
      </c>
      <c r="Y1363" s="8">
        <v>2</v>
      </c>
      <c r="Z1363" s="8">
        <v>0</v>
      </c>
      <c r="AA1363" s="8">
        <v>2</v>
      </c>
      <c r="AB1363" s="8">
        <v>0</v>
      </c>
      <c r="AC1363" s="8">
        <v>0</v>
      </c>
      <c r="AD1363" s="8">
        <v>2</v>
      </c>
      <c r="AE1363" s="8">
        <v>2</v>
      </c>
      <c r="AF1363" s="8">
        <v>2</v>
      </c>
      <c r="AG1363" s="8">
        <v>2</v>
      </c>
      <c r="AH1363" s="8">
        <v>2</v>
      </c>
      <c r="AI1363" s="8">
        <v>0</v>
      </c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11" t="s">
        <v>250</v>
      </c>
    </row>
    <row r="1364" spans="1:46" ht="15.1" customHeight="1">
      <c r="A1364" s="8"/>
      <c r="B1364" s="9"/>
      <c r="C1364" s="8"/>
      <c r="D1364" s="9"/>
      <c r="E1364" s="8">
        <v>1</v>
      </c>
      <c r="F1364" s="8">
        <v>0</v>
      </c>
      <c r="G1364" s="8">
        <v>0</v>
      </c>
      <c r="H1364" s="8">
        <v>0</v>
      </c>
      <c r="I1364" s="8">
        <v>1</v>
      </c>
      <c r="J1364" s="8">
        <v>1</v>
      </c>
      <c r="K1364" s="8">
        <v>1</v>
      </c>
      <c r="L1364" s="8">
        <v>1</v>
      </c>
      <c r="M1364" s="8">
        <v>1</v>
      </c>
      <c r="N1364" s="8">
        <v>12</v>
      </c>
      <c r="O1364" s="8">
        <v>1</v>
      </c>
      <c r="P1364" s="8">
        <v>1</v>
      </c>
      <c r="Q1364" s="8">
        <v>1</v>
      </c>
      <c r="R1364" s="8">
        <v>1</v>
      </c>
      <c r="S1364" s="8">
        <v>1</v>
      </c>
      <c r="T1364" s="8">
        <v>1</v>
      </c>
      <c r="U1364" s="8">
        <v>0</v>
      </c>
      <c r="V1364" s="8">
        <v>1</v>
      </c>
      <c r="W1364" s="8">
        <v>1</v>
      </c>
      <c r="X1364" s="8">
        <v>1</v>
      </c>
      <c r="Y1364" s="8">
        <v>1</v>
      </c>
      <c r="Z1364" s="8">
        <v>0</v>
      </c>
      <c r="AA1364" s="8">
        <v>1</v>
      </c>
      <c r="AB1364" s="8">
        <v>0</v>
      </c>
      <c r="AC1364" s="8">
        <v>0</v>
      </c>
      <c r="AD1364" s="8">
        <v>1</v>
      </c>
      <c r="AE1364" s="8">
        <v>1</v>
      </c>
      <c r="AF1364" s="8">
        <v>1</v>
      </c>
      <c r="AG1364" s="8">
        <v>1</v>
      </c>
      <c r="AH1364" s="8">
        <v>1</v>
      </c>
      <c r="AI1364" s="8">
        <v>0</v>
      </c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11" t="s">
        <v>250</v>
      </c>
    </row>
    <row r="1365" spans="1:46" ht="15.1" customHeight="1">
      <c r="A1365" s="8">
        <v>454</v>
      </c>
      <c r="B1365" s="9" t="s">
        <v>1160</v>
      </c>
      <c r="C1365" s="8" t="s">
        <v>1161</v>
      </c>
      <c r="D1365" s="9" t="s">
        <v>451</v>
      </c>
      <c r="E1365" s="8" t="s">
        <v>54</v>
      </c>
      <c r="F1365" s="8" t="s">
        <v>54</v>
      </c>
      <c r="G1365" s="10" t="s">
        <v>67</v>
      </c>
      <c r="H1365" s="8" t="s">
        <v>54</v>
      </c>
      <c r="I1365" s="8" t="s">
        <v>54</v>
      </c>
      <c r="J1365" s="8" t="s">
        <v>54</v>
      </c>
      <c r="K1365" s="8" t="s">
        <v>54</v>
      </c>
      <c r="L1365" s="8" t="s">
        <v>54</v>
      </c>
      <c r="M1365" s="8" t="s">
        <v>54</v>
      </c>
      <c r="N1365" s="10" t="s">
        <v>67</v>
      </c>
      <c r="O1365" s="12" t="s">
        <v>55</v>
      </c>
      <c r="P1365" s="12" t="s">
        <v>55</v>
      </c>
      <c r="Q1365" s="12" t="s">
        <v>55</v>
      </c>
      <c r="R1365" s="8" t="s">
        <v>54</v>
      </c>
      <c r="S1365" s="8" t="s">
        <v>54</v>
      </c>
      <c r="T1365" s="8" t="s">
        <v>54</v>
      </c>
      <c r="U1365" s="10" t="s">
        <v>67</v>
      </c>
      <c r="V1365" s="8" t="s">
        <v>54</v>
      </c>
      <c r="W1365" s="8" t="s">
        <v>54</v>
      </c>
      <c r="X1365" s="8" t="s">
        <v>54</v>
      </c>
      <c r="Y1365" s="8" t="s">
        <v>54</v>
      </c>
      <c r="Z1365" s="8" t="s">
        <v>54</v>
      </c>
      <c r="AA1365" s="8" t="s">
        <v>54</v>
      </c>
      <c r="AB1365" s="10" t="s">
        <v>67</v>
      </c>
      <c r="AC1365" s="8" t="s">
        <v>54</v>
      </c>
      <c r="AD1365" s="8" t="s">
        <v>54</v>
      </c>
      <c r="AE1365" s="8" t="s">
        <v>54</v>
      </c>
      <c r="AF1365" s="12" t="s">
        <v>55</v>
      </c>
      <c r="AG1365" s="8" t="s">
        <v>54</v>
      </c>
      <c r="AH1365" s="8"/>
      <c r="AI1365" s="10"/>
      <c r="AJ1365" s="8">
        <f>COUNTIF($E$1365:$AI$1365,"P")</f>
        <v>21</v>
      </c>
      <c r="AK1365" s="8">
        <f>COUNTIF($E$1365:$AI$1365,"A")</f>
        <v>4</v>
      </c>
      <c r="AL1365" s="8">
        <f>SUM($E$1366:$AI$1366)</f>
        <v>32</v>
      </c>
      <c r="AM1365" s="8">
        <f>SUM($E$1367:$AI$1367)</f>
        <v>16</v>
      </c>
      <c r="AN1365" s="8">
        <f>AL1365+AM1365</f>
        <v>48</v>
      </c>
      <c r="AO1365" s="8">
        <f>COUNTIF($E$1365:$AI$1365,"CL")</f>
        <v>0</v>
      </c>
      <c r="AP1365" s="8">
        <f>COUNTIF($E$1365:$AI$1365,"SL")</f>
        <v>0</v>
      </c>
      <c r="AQ1365" s="8">
        <f>COUNTIF($E$1365:$AI$1365,"EL")</f>
        <v>0</v>
      </c>
      <c r="AR1365" s="8">
        <f>COUNTIF($E$1365:$AI$1365,"H")</f>
        <v>0</v>
      </c>
      <c r="AS1365" s="8"/>
      <c r="AT1365" s="11" t="s">
        <v>250</v>
      </c>
    </row>
    <row r="1366" spans="1:46" ht="15.1" customHeight="1">
      <c r="A1366" s="8"/>
      <c r="B1366" s="9"/>
      <c r="C1366" s="8"/>
      <c r="D1366" s="9"/>
      <c r="E1366" s="8">
        <v>0</v>
      </c>
      <c r="F1366" s="8">
        <v>0</v>
      </c>
      <c r="G1366" s="8">
        <v>0</v>
      </c>
      <c r="H1366" s="8">
        <v>0</v>
      </c>
      <c r="I1366" s="8">
        <v>2</v>
      </c>
      <c r="J1366" s="8">
        <v>2</v>
      </c>
      <c r="K1366" s="8">
        <v>2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2</v>
      </c>
      <c r="S1366" s="8">
        <v>2</v>
      </c>
      <c r="T1366" s="8">
        <v>2</v>
      </c>
      <c r="U1366" s="8">
        <v>0</v>
      </c>
      <c r="V1366" s="8">
        <v>2</v>
      </c>
      <c r="W1366" s="8">
        <v>2</v>
      </c>
      <c r="X1366" s="8">
        <v>2</v>
      </c>
      <c r="Y1366" s="8">
        <v>2</v>
      </c>
      <c r="Z1366" s="8">
        <v>2</v>
      </c>
      <c r="AA1366" s="8">
        <v>2</v>
      </c>
      <c r="AB1366" s="8">
        <v>0</v>
      </c>
      <c r="AC1366" s="8">
        <v>2</v>
      </c>
      <c r="AD1366" s="8">
        <v>2</v>
      </c>
      <c r="AE1366" s="8">
        <v>2</v>
      </c>
      <c r="AF1366" s="8">
        <v>0</v>
      </c>
      <c r="AG1366" s="8">
        <v>2</v>
      </c>
      <c r="AH1366" s="8">
        <v>0</v>
      </c>
      <c r="AI1366" s="8">
        <v>0</v>
      </c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11" t="s">
        <v>250</v>
      </c>
    </row>
    <row r="1367" spans="1:46" ht="15.1" customHeight="1">
      <c r="A1367" s="8"/>
      <c r="B1367" s="9"/>
      <c r="C1367" s="8"/>
      <c r="D1367" s="9"/>
      <c r="E1367" s="8">
        <v>0</v>
      </c>
      <c r="F1367" s="8">
        <v>0</v>
      </c>
      <c r="G1367" s="8">
        <v>0</v>
      </c>
      <c r="H1367" s="8">
        <v>0</v>
      </c>
      <c r="I1367" s="8">
        <v>1</v>
      </c>
      <c r="J1367" s="8">
        <v>1</v>
      </c>
      <c r="K1367" s="8">
        <v>1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1</v>
      </c>
      <c r="S1367" s="8">
        <v>1</v>
      </c>
      <c r="T1367" s="8">
        <v>1</v>
      </c>
      <c r="U1367" s="8">
        <v>0</v>
      </c>
      <c r="V1367" s="8">
        <v>1</v>
      </c>
      <c r="W1367" s="8">
        <v>1</v>
      </c>
      <c r="X1367" s="8">
        <v>1</v>
      </c>
      <c r="Y1367" s="8">
        <v>1</v>
      </c>
      <c r="Z1367" s="8">
        <v>1</v>
      </c>
      <c r="AA1367" s="8">
        <v>1</v>
      </c>
      <c r="AB1367" s="8">
        <v>0</v>
      </c>
      <c r="AC1367" s="8">
        <v>1</v>
      </c>
      <c r="AD1367" s="8">
        <v>1</v>
      </c>
      <c r="AE1367" s="8">
        <v>1</v>
      </c>
      <c r="AF1367" s="8">
        <v>0</v>
      </c>
      <c r="AG1367" s="8">
        <v>1</v>
      </c>
      <c r="AH1367" s="8">
        <v>0</v>
      </c>
      <c r="AI1367" s="8">
        <v>0</v>
      </c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11" t="s">
        <v>250</v>
      </c>
    </row>
    <row r="1368" spans="1:46" ht="15.1" customHeight="1">
      <c r="A1368" s="8">
        <v>455</v>
      </c>
      <c r="B1368" s="9" t="s">
        <v>112</v>
      </c>
      <c r="C1368" s="8" t="s">
        <v>1162</v>
      </c>
      <c r="D1368" s="9" t="s">
        <v>451</v>
      </c>
      <c r="E1368" s="8" t="s">
        <v>54</v>
      </c>
      <c r="F1368" s="8" t="s">
        <v>54</v>
      </c>
      <c r="G1368" s="10" t="s">
        <v>67</v>
      </c>
      <c r="H1368" s="12" t="s">
        <v>55</v>
      </c>
      <c r="I1368" s="8" t="s">
        <v>54</v>
      </c>
      <c r="J1368" s="8" t="s">
        <v>54</v>
      </c>
      <c r="K1368" s="8" t="s">
        <v>54</v>
      </c>
      <c r="L1368" s="8" t="s">
        <v>54</v>
      </c>
      <c r="M1368" s="8" t="s">
        <v>54</v>
      </c>
      <c r="N1368" s="10" t="s">
        <v>67</v>
      </c>
      <c r="O1368" s="8" t="s">
        <v>54</v>
      </c>
      <c r="P1368" s="8" t="s">
        <v>54</v>
      </c>
      <c r="Q1368" s="8" t="s">
        <v>54</v>
      </c>
      <c r="R1368" s="8" t="s">
        <v>54</v>
      </c>
      <c r="S1368" s="8" t="s">
        <v>54</v>
      </c>
      <c r="T1368" s="8" t="s">
        <v>54</v>
      </c>
      <c r="U1368" s="10" t="s">
        <v>67</v>
      </c>
      <c r="V1368" s="8" t="s">
        <v>54</v>
      </c>
      <c r="W1368" s="8" t="s">
        <v>54</v>
      </c>
      <c r="X1368" s="8" t="s">
        <v>54</v>
      </c>
      <c r="Y1368" s="8" t="s">
        <v>54</v>
      </c>
      <c r="Z1368" s="8" t="s">
        <v>54</v>
      </c>
      <c r="AA1368" s="12" t="s">
        <v>55</v>
      </c>
      <c r="AB1368" s="10" t="s">
        <v>67</v>
      </c>
      <c r="AC1368" s="12" t="s">
        <v>55</v>
      </c>
      <c r="AD1368" s="12" t="s">
        <v>55</v>
      </c>
      <c r="AE1368" s="8" t="s">
        <v>54</v>
      </c>
      <c r="AF1368" s="8" t="s">
        <v>54</v>
      </c>
      <c r="AG1368" s="8" t="s">
        <v>54</v>
      </c>
      <c r="AH1368" s="8" t="s">
        <v>54</v>
      </c>
      <c r="AI1368" s="10" t="s">
        <v>67</v>
      </c>
      <c r="AJ1368" s="8">
        <f>COUNTIF($E$1368:$AI$1368,"P")</f>
        <v>22</v>
      </c>
      <c r="AK1368" s="8">
        <f>COUNTIF($E$1368:$AI$1368,"A")</f>
        <v>4</v>
      </c>
      <c r="AL1368" s="8">
        <f>SUM($E$1369:$AI$1369)</f>
        <v>38</v>
      </c>
      <c r="AM1368" s="8">
        <f>SUM($E$1370:$AI$1370)</f>
        <v>28</v>
      </c>
      <c r="AN1368" s="8">
        <f>AL1368+AM1368</f>
        <v>66</v>
      </c>
      <c r="AO1368" s="8">
        <f>COUNTIF($E$1368:$AI$1368,"CL")</f>
        <v>0</v>
      </c>
      <c r="AP1368" s="8">
        <f>COUNTIF($E$1368:$AI$1368,"SL")</f>
        <v>0</v>
      </c>
      <c r="AQ1368" s="8">
        <f>COUNTIF($E$1368:$AI$1368,"EL")</f>
        <v>0</v>
      </c>
      <c r="AR1368" s="8">
        <f>COUNTIF($E$1368:$AI$1368,"H")</f>
        <v>0</v>
      </c>
      <c r="AS1368" s="8"/>
      <c r="AT1368" s="11" t="s">
        <v>250</v>
      </c>
    </row>
    <row r="1369" spans="1:46" ht="15.1" customHeight="1">
      <c r="A1369" s="8"/>
      <c r="B1369" s="9"/>
      <c r="C1369" s="8"/>
      <c r="D1369" s="9"/>
      <c r="E1369" s="8">
        <v>0</v>
      </c>
      <c r="F1369" s="8">
        <v>0</v>
      </c>
      <c r="G1369" s="8">
        <v>0</v>
      </c>
      <c r="H1369" s="8">
        <v>0</v>
      </c>
      <c r="I1369" s="8">
        <v>2</v>
      </c>
      <c r="J1369" s="8">
        <v>2</v>
      </c>
      <c r="K1369" s="8">
        <v>2</v>
      </c>
      <c r="L1369" s="8">
        <v>2</v>
      </c>
      <c r="M1369" s="8">
        <v>2</v>
      </c>
      <c r="N1369" s="8">
        <v>0</v>
      </c>
      <c r="O1369" s="8">
        <v>2</v>
      </c>
      <c r="P1369" s="8">
        <v>2</v>
      </c>
      <c r="Q1369" s="8">
        <v>2</v>
      </c>
      <c r="R1369" s="8">
        <v>2</v>
      </c>
      <c r="S1369" s="8">
        <v>2</v>
      </c>
      <c r="T1369" s="8">
        <v>2</v>
      </c>
      <c r="U1369" s="8">
        <v>0</v>
      </c>
      <c r="V1369" s="8">
        <v>0</v>
      </c>
      <c r="W1369" s="8">
        <v>2</v>
      </c>
      <c r="X1369" s="8">
        <v>2</v>
      </c>
      <c r="Y1369" s="8">
        <v>2</v>
      </c>
      <c r="Z1369" s="8">
        <v>2</v>
      </c>
      <c r="AA1369" s="8">
        <v>0</v>
      </c>
      <c r="AB1369" s="8">
        <v>0</v>
      </c>
      <c r="AC1369" s="8">
        <v>0</v>
      </c>
      <c r="AD1369" s="8">
        <v>0</v>
      </c>
      <c r="AE1369" s="8">
        <v>2</v>
      </c>
      <c r="AF1369" s="8">
        <v>2</v>
      </c>
      <c r="AG1369" s="8">
        <v>2</v>
      </c>
      <c r="AH1369" s="8">
        <v>2</v>
      </c>
      <c r="AI1369" s="8">
        <v>0</v>
      </c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11" t="s">
        <v>250</v>
      </c>
    </row>
    <row r="1370" spans="1:46" ht="15.1" customHeight="1">
      <c r="A1370" s="8"/>
      <c r="B1370" s="9"/>
      <c r="C1370" s="8"/>
      <c r="D1370" s="9"/>
      <c r="E1370" s="8">
        <v>0</v>
      </c>
      <c r="F1370" s="8">
        <v>0</v>
      </c>
      <c r="G1370" s="8">
        <v>9</v>
      </c>
      <c r="H1370" s="8">
        <v>0</v>
      </c>
      <c r="I1370" s="8">
        <v>1</v>
      </c>
      <c r="J1370" s="8">
        <v>1</v>
      </c>
      <c r="K1370" s="8">
        <v>1</v>
      </c>
      <c r="L1370" s="8">
        <v>1</v>
      </c>
      <c r="M1370" s="8">
        <v>1</v>
      </c>
      <c r="N1370" s="8">
        <v>0</v>
      </c>
      <c r="O1370" s="8">
        <v>1</v>
      </c>
      <c r="P1370" s="8">
        <v>1</v>
      </c>
      <c r="Q1370" s="8">
        <v>1</v>
      </c>
      <c r="R1370" s="8">
        <v>1</v>
      </c>
      <c r="S1370" s="8">
        <v>1</v>
      </c>
      <c r="T1370" s="8">
        <v>1</v>
      </c>
      <c r="U1370" s="8">
        <v>0</v>
      </c>
      <c r="V1370" s="8">
        <v>0</v>
      </c>
      <c r="W1370" s="8">
        <v>1</v>
      </c>
      <c r="X1370" s="8">
        <v>1</v>
      </c>
      <c r="Y1370" s="8">
        <v>1</v>
      </c>
      <c r="Z1370" s="8">
        <v>1</v>
      </c>
      <c r="AA1370" s="8">
        <v>0</v>
      </c>
      <c r="AB1370" s="8">
        <v>0</v>
      </c>
      <c r="AC1370" s="8">
        <v>0</v>
      </c>
      <c r="AD1370" s="8">
        <v>0</v>
      </c>
      <c r="AE1370" s="8">
        <v>1</v>
      </c>
      <c r="AF1370" s="8">
        <v>1</v>
      </c>
      <c r="AG1370" s="8">
        <v>1</v>
      </c>
      <c r="AH1370" s="8">
        <v>1</v>
      </c>
      <c r="AI1370" s="8">
        <v>0</v>
      </c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11" t="s">
        <v>250</v>
      </c>
    </row>
    <row r="1371" spans="1:46" ht="15.1" customHeight="1">
      <c r="A1371" s="8">
        <v>456</v>
      </c>
      <c r="B1371" s="9" t="s">
        <v>1163</v>
      </c>
      <c r="C1371" s="8" t="s">
        <v>1164</v>
      </c>
      <c r="D1371" s="9" t="s">
        <v>451</v>
      </c>
      <c r="E1371" s="12" t="s">
        <v>55</v>
      </c>
      <c r="F1371" s="8" t="s">
        <v>54</v>
      </c>
      <c r="G1371" s="10" t="s">
        <v>67</v>
      </c>
      <c r="H1371" s="8" t="s">
        <v>54</v>
      </c>
      <c r="I1371" s="8" t="s">
        <v>54</v>
      </c>
      <c r="J1371" s="8" t="s">
        <v>54</v>
      </c>
      <c r="K1371" s="8" t="s">
        <v>54</v>
      </c>
      <c r="L1371" s="8" t="s">
        <v>54</v>
      </c>
      <c r="M1371" s="8" t="s">
        <v>54</v>
      </c>
      <c r="N1371" s="10" t="s">
        <v>67</v>
      </c>
      <c r="O1371" s="8" t="s">
        <v>54</v>
      </c>
      <c r="P1371" s="8" t="s">
        <v>54</v>
      </c>
      <c r="Q1371" s="8" t="s">
        <v>54</v>
      </c>
      <c r="R1371" s="8" t="s">
        <v>54</v>
      </c>
      <c r="S1371" s="8" t="s">
        <v>54</v>
      </c>
      <c r="T1371" s="8" t="s">
        <v>54</v>
      </c>
      <c r="U1371" s="10" t="s">
        <v>67</v>
      </c>
      <c r="V1371" s="8" t="s">
        <v>54</v>
      </c>
      <c r="W1371" s="8" t="s">
        <v>54</v>
      </c>
      <c r="X1371" s="8" t="s">
        <v>54</v>
      </c>
      <c r="Y1371" s="8" t="s">
        <v>54</v>
      </c>
      <c r="Z1371" s="8" t="s">
        <v>54</v>
      </c>
      <c r="AA1371" s="12" t="s">
        <v>55</v>
      </c>
      <c r="AB1371" s="10" t="s">
        <v>67</v>
      </c>
      <c r="AC1371" s="8" t="s">
        <v>54</v>
      </c>
      <c r="AD1371" s="8" t="s">
        <v>54</v>
      </c>
      <c r="AE1371" s="8" t="s">
        <v>54</v>
      </c>
      <c r="AF1371" s="8" t="s">
        <v>54</v>
      </c>
      <c r="AG1371" s="8" t="s">
        <v>54</v>
      </c>
      <c r="AH1371" s="8" t="s">
        <v>54</v>
      </c>
      <c r="AI1371" s="10" t="s">
        <v>67</v>
      </c>
      <c r="AJ1371" s="8">
        <f>COUNTIF($E$1371:$AI$1371,"P")</f>
        <v>24</v>
      </c>
      <c r="AK1371" s="8">
        <f>COUNTIF($E$1371:$AI$1371,"A")</f>
        <v>2</v>
      </c>
      <c r="AL1371" s="8">
        <f>SUM($E$1372:$AI$1372)</f>
        <v>36</v>
      </c>
      <c r="AM1371" s="8">
        <f>SUM($E$1373:$AI$1373)</f>
        <v>18</v>
      </c>
      <c r="AN1371" s="8">
        <f>AL1371+AM1371</f>
        <v>54</v>
      </c>
      <c r="AO1371" s="8">
        <f>COUNTIF($E$1371:$AI$1371,"CL")</f>
        <v>0</v>
      </c>
      <c r="AP1371" s="8">
        <f>COUNTIF($E$1371:$AI$1371,"SL")</f>
        <v>0</v>
      </c>
      <c r="AQ1371" s="8">
        <f>COUNTIF($E$1371:$AI$1371,"EL")</f>
        <v>0</v>
      </c>
      <c r="AR1371" s="8">
        <f>COUNTIF($E$1371:$AI$1371,"H")</f>
        <v>0</v>
      </c>
      <c r="AS1371" s="8"/>
      <c r="AT1371" s="11" t="s">
        <v>250</v>
      </c>
    </row>
    <row r="1372" spans="1:46" ht="15.1" customHeight="1">
      <c r="A1372" s="8"/>
      <c r="B1372" s="9"/>
      <c r="C1372" s="8"/>
      <c r="D1372" s="9"/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2</v>
      </c>
      <c r="M1372" s="8">
        <v>2</v>
      </c>
      <c r="N1372" s="8">
        <v>0</v>
      </c>
      <c r="O1372" s="8">
        <v>2</v>
      </c>
      <c r="P1372" s="8">
        <v>2</v>
      </c>
      <c r="Q1372" s="8">
        <v>2</v>
      </c>
      <c r="R1372" s="8">
        <v>2</v>
      </c>
      <c r="S1372" s="8">
        <v>2</v>
      </c>
      <c r="T1372" s="8">
        <v>2</v>
      </c>
      <c r="U1372" s="8">
        <v>0</v>
      </c>
      <c r="V1372" s="8">
        <v>2</v>
      </c>
      <c r="W1372" s="8">
        <v>2</v>
      </c>
      <c r="X1372" s="8">
        <v>2</v>
      </c>
      <c r="Y1372" s="8">
        <v>2</v>
      </c>
      <c r="Z1372" s="8">
        <v>0</v>
      </c>
      <c r="AA1372" s="8">
        <v>0</v>
      </c>
      <c r="AB1372" s="8">
        <v>0</v>
      </c>
      <c r="AC1372" s="8">
        <v>2</v>
      </c>
      <c r="AD1372" s="8">
        <v>2</v>
      </c>
      <c r="AE1372" s="8">
        <v>2</v>
      </c>
      <c r="AF1372" s="8">
        <v>2</v>
      </c>
      <c r="AG1372" s="8">
        <v>2</v>
      </c>
      <c r="AH1372" s="8">
        <v>2</v>
      </c>
      <c r="AI1372" s="8">
        <v>0</v>
      </c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11" t="s">
        <v>250</v>
      </c>
    </row>
    <row r="1373" spans="1:46" ht="15.1" customHeight="1">
      <c r="A1373" s="8"/>
      <c r="B1373" s="9"/>
      <c r="C1373" s="8"/>
      <c r="D1373" s="9"/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1</v>
      </c>
      <c r="M1373" s="8">
        <v>1</v>
      </c>
      <c r="N1373" s="8">
        <v>0</v>
      </c>
      <c r="O1373" s="8">
        <v>1</v>
      </c>
      <c r="P1373" s="8">
        <v>1</v>
      </c>
      <c r="Q1373" s="8">
        <v>1</v>
      </c>
      <c r="R1373" s="8">
        <v>1</v>
      </c>
      <c r="S1373" s="8">
        <v>1</v>
      </c>
      <c r="T1373" s="8">
        <v>1</v>
      </c>
      <c r="U1373" s="8">
        <v>0</v>
      </c>
      <c r="V1373" s="8">
        <v>1</v>
      </c>
      <c r="W1373" s="8">
        <v>1</v>
      </c>
      <c r="X1373" s="8">
        <v>1</v>
      </c>
      <c r="Y1373" s="8">
        <v>1</v>
      </c>
      <c r="Z1373" s="8">
        <v>0</v>
      </c>
      <c r="AA1373" s="8">
        <v>0</v>
      </c>
      <c r="AB1373" s="8">
        <v>0</v>
      </c>
      <c r="AC1373" s="8">
        <v>1</v>
      </c>
      <c r="AD1373" s="8">
        <v>1</v>
      </c>
      <c r="AE1373" s="8">
        <v>1</v>
      </c>
      <c r="AF1373" s="8">
        <v>1</v>
      </c>
      <c r="AG1373" s="8">
        <v>1</v>
      </c>
      <c r="AH1373" s="8">
        <v>1</v>
      </c>
      <c r="AI1373" s="8">
        <v>0</v>
      </c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11" t="s">
        <v>250</v>
      </c>
    </row>
    <row r="1374" spans="1:46" ht="15.1" customHeight="1">
      <c r="A1374" s="8">
        <v>457</v>
      </c>
      <c r="B1374" s="9" t="s">
        <v>1165</v>
      </c>
      <c r="C1374" s="8" t="s">
        <v>1166</v>
      </c>
      <c r="D1374" s="9" t="s">
        <v>451</v>
      </c>
      <c r="E1374" s="8" t="s">
        <v>54</v>
      </c>
      <c r="F1374" s="8" t="s">
        <v>54</v>
      </c>
      <c r="G1374" s="10" t="s">
        <v>67</v>
      </c>
      <c r="H1374" s="12" t="s">
        <v>55</v>
      </c>
      <c r="I1374" s="12" t="s">
        <v>55</v>
      </c>
      <c r="J1374" s="8" t="s">
        <v>54</v>
      </c>
      <c r="K1374" s="8" t="s">
        <v>54</v>
      </c>
      <c r="L1374" s="8" t="s">
        <v>54</v>
      </c>
      <c r="M1374" s="8" t="s">
        <v>54</v>
      </c>
      <c r="N1374" s="10" t="s">
        <v>67</v>
      </c>
      <c r="O1374" s="8" t="s">
        <v>54</v>
      </c>
      <c r="P1374" s="8" t="s">
        <v>54</v>
      </c>
      <c r="Q1374" s="8" t="s">
        <v>54</v>
      </c>
      <c r="R1374" s="8" t="s">
        <v>54</v>
      </c>
      <c r="S1374" s="8" t="s">
        <v>54</v>
      </c>
      <c r="T1374" s="8" t="s">
        <v>54</v>
      </c>
      <c r="U1374" s="10" t="s">
        <v>67</v>
      </c>
      <c r="V1374" s="8" t="s">
        <v>54</v>
      </c>
      <c r="W1374" s="8" t="s">
        <v>54</v>
      </c>
      <c r="X1374" s="8" t="s">
        <v>54</v>
      </c>
      <c r="Y1374" s="8" t="s">
        <v>54</v>
      </c>
      <c r="Z1374" s="8" t="s">
        <v>54</v>
      </c>
      <c r="AA1374" s="8" t="s">
        <v>54</v>
      </c>
      <c r="AB1374" s="10" t="s">
        <v>67</v>
      </c>
      <c r="AC1374" s="8" t="s">
        <v>54</v>
      </c>
      <c r="AD1374" s="8" t="s">
        <v>54</v>
      </c>
      <c r="AE1374" s="8" t="s">
        <v>54</v>
      </c>
      <c r="AF1374" s="8" t="s">
        <v>54</v>
      </c>
      <c r="AG1374" s="8" t="s">
        <v>54</v>
      </c>
      <c r="AH1374" s="8" t="s">
        <v>54</v>
      </c>
      <c r="AI1374" s="10" t="s">
        <v>67</v>
      </c>
      <c r="AJ1374" s="8">
        <f>COUNTIF($E$1374:$AI$1374,"P")</f>
        <v>24</v>
      </c>
      <c r="AK1374" s="8">
        <f>COUNTIF($E$1374:$AI$1374,"A")</f>
        <v>2</v>
      </c>
      <c r="AL1374" s="8">
        <f>SUM($E$1375:$AI$1375)</f>
        <v>40</v>
      </c>
      <c r="AM1374" s="8">
        <f>SUM($E$1376:$AI$1376)</f>
        <v>29</v>
      </c>
      <c r="AN1374" s="8">
        <f>AL1374+AM1374</f>
        <v>69</v>
      </c>
      <c r="AO1374" s="8">
        <f>COUNTIF($E$1374:$AI$1374,"CL")</f>
        <v>0</v>
      </c>
      <c r="AP1374" s="8">
        <f>COUNTIF($E$1374:$AI$1374,"SL")</f>
        <v>0</v>
      </c>
      <c r="AQ1374" s="8">
        <f>COUNTIF($E$1374:$AI$1374,"EL")</f>
        <v>0</v>
      </c>
      <c r="AR1374" s="8">
        <f>COUNTIF($E$1374:$AI$1374,"H")</f>
        <v>0</v>
      </c>
      <c r="AS1374" s="8"/>
      <c r="AT1374" s="11" t="s">
        <v>250</v>
      </c>
    </row>
    <row r="1375" spans="1:46" ht="15.1" customHeight="1">
      <c r="A1375" s="8"/>
      <c r="B1375" s="9"/>
      <c r="C1375" s="8"/>
      <c r="D1375" s="9"/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2</v>
      </c>
      <c r="K1375" s="8">
        <v>2</v>
      </c>
      <c r="L1375" s="8">
        <v>0</v>
      </c>
      <c r="M1375" s="8">
        <v>2</v>
      </c>
      <c r="N1375" s="8">
        <v>0</v>
      </c>
      <c r="O1375" s="8">
        <v>2</v>
      </c>
      <c r="P1375" s="8">
        <v>2</v>
      </c>
      <c r="Q1375" s="8">
        <v>2</v>
      </c>
      <c r="R1375" s="8">
        <v>2</v>
      </c>
      <c r="S1375" s="8">
        <v>2</v>
      </c>
      <c r="T1375" s="8">
        <v>2</v>
      </c>
      <c r="U1375" s="8">
        <v>0</v>
      </c>
      <c r="V1375" s="8">
        <v>2</v>
      </c>
      <c r="W1375" s="8">
        <v>2</v>
      </c>
      <c r="X1375" s="8">
        <v>2</v>
      </c>
      <c r="Y1375" s="8">
        <v>2</v>
      </c>
      <c r="Z1375" s="8">
        <v>2</v>
      </c>
      <c r="AA1375" s="8">
        <v>0</v>
      </c>
      <c r="AB1375" s="8">
        <v>0</v>
      </c>
      <c r="AC1375" s="8">
        <v>2</v>
      </c>
      <c r="AD1375" s="8">
        <v>2</v>
      </c>
      <c r="AE1375" s="8">
        <v>2</v>
      </c>
      <c r="AF1375" s="8">
        <v>2</v>
      </c>
      <c r="AG1375" s="8">
        <v>2</v>
      </c>
      <c r="AH1375" s="8">
        <v>2</v>
      </c>
      <c r="AI1375" s="8">
        <v>0</v>
      </c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11" t="s">
        <v>250</v>
      </c>
    </row>
    <row r="1376" spans="1:46" ht="15.1" customHeight="1">
      <c r="A1376" s="8"/>
      <c r="B1376" s="9"/>
      <c r="C1376" s="8"/>
      <c r="D1376" s="9"/>
      <c r="E1376" s="8">
        <v>0</v>
      </c>
      <c r="F1376" s="8">
        <v>0</v>
      </c>
      <c r="G1376" s="8">
        <v>9</v>
      </c>
      <c r="H1376" s="8">
        <v>0</v>
      </c>
      <c r="I1376" s="8">
        <v>0</v>
      </c>
      <c r="J1376" s="8">
        <v>1</v>
      </c>
      <c r="K1376" s="8">
        <v>1</v>
      </c>
      <c r="L1376" s="8">
        <v>0</v>
      </c>
      <c r="M1376" s="8">
        <v>1</v>
      </c>
      <c r="N1376" s="8">
        <v>0</v>
      </c>
      <c r="O1376" s="8">
        <v>1</v>
      </c>
      <c r="P1376" s="8">
        <v>1</v>
      </c>
      <c r="Q1376" s="8">
        <v>1</v>
      </c>
      <c r="R1376" s="8">
        <v>1</v>
      </c>
      <c r="S1376" s="8">
        <v>1</v>
      </c>
      <c r="T1376" s="8">
        <v>1</v>
      </c>
      <c r="U1376" s="8">
        <v>0</v>
      </c>
      <c r="V1376" s="8">
        <v>1</v>
      </c>
      <c r="W1376" s="8">
        <v>1</v>
      </c>
      <c r="X1376" s="8">
        <v>1</v>
      </c>
      <c r="Y1376" s="8">
        <v>1</v>
      </c>
      <c r="Z1376" s="8">
        <v>1</v>
      </c>
      <c r="AA1376" s="8">
        <v>0</v>
      </c>
      <c r="AB1376" s="8">
        <v>0</v>
      </c>
      <c r="AC1376" s="8">
        <v>1</v>
      </c>
      <c r="AD1376" s="8">
        <v>1</v>
      </c>
      <c r="AE1376" s="8">
        <v>1</v>
      </c>
      <c r="AF1376" s="8">
        <v>1</v>
      </c>
      <c r="AG1376" s="8">
        <v>1</v>
      </c>
      <c r="AH1376" s="8">
        <v>1</v>
      </c>
      <c r="AI1376" s="8">
        <v>0</v>
      </c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11" t="s">
        <v>250</v>
      </c>
    </row>
    <row r="1377" spans="1:46" ht="15.1" customHeight="1">
      <c r="A1377" s="8">
        <v>458</v>
      </c>
      <c r="B1377" s="9" t="s">
        <v>1167</v>
      </c>
      <c r="C1377" s="8" t="s">
        <v>1168</v>
      </c>
      <c r="D1377" s="9" t="s">
        <v>451</v>
      </c>
      <c r="E1377" s="8" t="s">
        <v>54</v>
      </c>
      <c r="F1377" s="8" t="s">
        <v>54</v>
      </c>
      <c r="G1377" s="10" t="s">
        <v>67</v>
      </c>
      <c r="H1377" s="8" t="s">
        <v>54</v>
      </c>
      <c r="I1377" s="8" t="s">
        <v>54</v>
      </c>
      <c r="J1377" s="8" t="s">
        <v>54</v>
      </c>
      <c r="K1377" s="8" t="s">
        <v>54</v>
      </c>
      <c r="L1377" s="8" t="s">
        <v>54</v>
      </c>
      <c r="M1377" s="12" t="s">
        <v>55</v>
      </c>
      <c r="N1377" s="10" t="s">
        <v>67</v>
      </c>
      <c r="O1377" s="8" t="s">
        <v>54</v>
      </c>
      <c r="P1377" s="8" t="s">
        <v>54</v>
      </c>
      <c r="Q1377" s="8" t="s">
        <v>54</v>
      </c>
      <c r="R1377" s="8" t="s">
        <v>54</v>
      </c>
      <c r="S1377" s="8" t="s">
        <v>54</v>
      </c>
      <c r="T1377" s="8" t="s">
        <v>54</v>
      </c>
      <c r="U1377" s="10" t="s">
        <v>67</v>
      </c>
      <c r="V1377" s="8" t="s">
        <v>54</v>
      </c>
      <c r="W1377" s="8" t="s">
        <v>54</v>
      </c>
      <c r="X1377" s="8" t="s">
        <v>54</v>
      </c>
      <c r="Y1377" s="8" t="s">
        <v>54</v>
      </c>
      <c r="Z1377" s="8" t="s">
        <v>54</v>
      </c>
      <c r="AA1377" s="8" t="s">
        <v>54</v>
      </c>
      <c r="AB1377" s="10" t="s">
        <v>67</v>
      </c>
      <c r="AC1377" s="8" t="s">
        <v>54</v>
      </c>
      <c r="AD1377" s="8" t="s">
        <v>54</v>
      </c>
      <c r="AE1377" s="8" t="s">
        <v>54</v>
      </c>
      <c r="AF1377" s="8" t="s">
        <v>54</v>
      </c>
      <c r="AG1377" s="8" t="s">
        <v>54</v>
      </c>
      <c r="AH1377" s="8" t="s">
        <v>54</v>
      </c>
      <c r="AI1377" s="10" t="s">
        <v>67</v>
      </c>
      <c r="AJ1377" s="8">
        <f>COUNTIF($E$1377:$AI$1377,"P")</f>
        <v>25</v>
      </c>
      <c r="AK1377" s="8">
        <f>COUNTIF($E$1377:$AI$1377,"A")</f>
        <v>1</v>
      </c>
      <c r="AL1377" s="8">
        <f>SUM($E$1378:$AI$1378)</f>
        <v>40</v>
      </c>
      <c r="AM1377" s="8">
        <f>SUM($E$1379:$AI$1379)</f>
        <v>20</v>
      </c>
      <c r="AN1377" s="8">
        <f>AL1377+AM1377</f>
        <v>60</v>
      </c>
      <c r="AO1377" s="8">
        <f>COUNTIF($E$1377:$AI$1377,"CL")</f>
        <v>0</v>
      </c>
      <c r="AP1377" s="8">
        <f>COUNTIF($E$1377:$AI$1377,"SL")</f>
        <v>0</v>
      </c>
      <c r="AQ1377" s="8">
        <f>COUNTIF($E$1377:$AI$1377,"EL")</f>
        <v>0</v>
      </c>
      <c r="AR1377" s="8">
        <f>COUNTIF($E$1377:$AI$1377,"H")</f>
        <v>0</v>
      </c>
      <c r="AS1377" s="8"/>
      <c r="AT1377" s="11" t="s">
        <v>250</v>
      </c>
    </row>
    <row r="1378" spans="1:46" ht="15.1" customHeight="1">
      <c r="A1378" s="8"/>
      <c r="B1378" s="9"/>
      <c r="C1378" s="8"/>
      <c r="D1378" s="9"/>
      <c r="E1378" s="8">
        <v>0</v>
      </c>
      <c r="F1378" s="8">
        <v>0</v>
      </c>
      <c r="G1378" s="8">
        <v>0</v>
      </c>
      <c r="H1378" s="8">
        <v>0</v>
      </c>
      <c r="I1378" s="8">
        <v>2</v>
      </c>
      <c r="J1378" s="8">
        <v>0</v>
      </c>
      <c r="K1378" s="8">
        <v>2</v>
      </c>
      <c r="L1378" s="8">
        <v>0</v>
      </c>
      <c r="M1378" s="8">
        <v>0</v>
      </c>
      <c r="N1378" s="8">
        <v>0</v>
      </c>
      <c r="O1378" s="8">
        <v>2</v>
      </c>
      <c r="P1378" s="8">
        <v>2</v>
      </c>
      <c r="Q1378" s="8">
        <v>2</v>
      </c>
      <c r="R1378" s="8">
        <v>2</v>
      </c>
      <c r="S1378" s="8">
        <v>2</v>
      </c>
      <c r="T1378" s="8">
        <v>2</v>
      </c>
      <c r="U1378" s="8">
        <v>0</v>
      </c>
      <c r="V1378" s="8">
        <v>2</v>
      </c>
      <c r="W1378" s="8">
        <v>2</v>
      </c>
      <c r="X1378" s="8">
        <v>2</v>
      </c>
      <c r="Y1378" s="8">
        <v>2</v>
      </c>
      <c r="Z1378" s="8">
        <v>2</v>
      </c>
      <c r="AA1378" s="8">
        <v>2</v>
      </c>
      <c r="AB1378" s="8">
        <v>0</v>
      </c>
      <c r="AC1378" s="8">
        <v>2</v>
      </c>
      <c r="AD1378" s="8">
        <v>2</v>
      </c>
      <c r="AE1378" s="8">
        <v>2</v>
      </c>
      <c r="AF1378" s="8">
        <v>2</v>
      </c>
      <c r="AG1378" s="8">
        <v>2</v>
      </c>
      <c r="AH1378" s="8">
        <v>2</v>
      </c>
      <c r="AI1378" s="8">
        <v>0</v>
      </c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11" t="s">
        <v>250</v>
      </c>
    </row>
    <row r="1379" spans="1:46" ht="15.1" customHeight="1">
      <c r="A1379" s="8"/>
      <c r="B1379" s="9"/>
      <c r="C1379" s="8"/>
      <c r="D1379" s="9"/>
      <c r="E1379" s="8">
        <v>0</v>
      </c>
      <c r="F1379" s="8">
        <v>0</v>
      </c>
      <c r="G1379" s="8">
        <v>0</v>
      </c>
      <c r="H1379" s="8">
        <v>0</v>
      </c>
      <c r="I1379" s="8">
        <v>1</v>
      </c>
      <c r="J1379" s="8">
        <v>0</v>
      </c>
      <c r="K1379" s="8">
        <v>1</v>
      </c>
      <c r="L1379" s="8">
        <v>0</v>
      </c>
      <c r="M1379" s="8">
        <v>0</v>
      </c>
      <c r="N1379" s="8">
        <v>0</v>
      </c>
      <c r="O1379" s="8">
        <v>1</v>
      </c>
      <c r="P1379" s="8">
        <v>1</v>
      </c>
      <c r="Q1379" s="8">
        <v>1</v>
      </c>
      <c r="R1379" s="8">
        <v>1</v>
      </c>
      <c r="S1379" s="8">
        <v>1</v>
      </c>
      <c r="T1379" s="8">
        <v>1</v>
      </c>
      <c r="U1379" s="8">
        <v>0</v>
      </c>
      <c r="V1379" s="8">
        <v>1</v>
      </c>
      <c r="W1379" s="8">
        <v>1</v>
      </c>
      <c r="X1379" s="8">
        <v>1</v>
      </c>
      <c r="Y1379" s="8">
        <v>1</v>
      </c>
      <c r="Z1379" s="8">
        <v>1</v>
      </c>
      <c r="AA1379" s="8">
        <v>1</v>
      </c>
      <c r="AB1379" s="8">
        <v>0</v>
      </c>
      <c r="AC1379" s="8">
        <v>1</v>
      </c>
      <c r="AD1379" s="8">
        <v>1</v>
      </c>
      <c r="AE1379" s="8">
        <v>1</v>
      </c>
      <c r="AF1379" s="8">
        <v>1</v>
      </c>
      <c r="AG1379" s="8">
        <v>1</v>
      </c>
      <c r="AH1379" s="8">
        <v>1</v>
      </c>
      <c r="AI1379" s="8">
        <v>0</v>
      </c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11" t="s">
        <v>250</v>
      </c>
    </row>
    <row r="1380" spans="1:46" ht="15.1" customHeight="1">
      <c r="A1380" s="8">
        <v>459</v>
      </c>
      <c r="B1380" s="9" t="s">
        <v>1169</v>
      </c>
      <c r="C1380" s="8" t="s">
        <v>1170</v>
      </c>
      <c r="D1380" s="9" t="s">
        <v>451</v>
      </c>
      <c r="E1380" s="8" t="s">
        <v>54</v>
      </c>
      <c r="F1380" s="8" t="s">
        <v>54</v>
      </c>
      <c r="G1380" s="10" t="s">
        <v>67</v>
      </c>
      <c r="H1380" s="8" t="s">
        <v>54</v>
      </c>
      <c r="I1380" s="8" t="s">
        <v>54</v>
      </c>
      <c r="J1380" s="8" t="s">
        <v>54</v>
      </c>
      <c r="K1380" s="8" t="s">
        <v>54</v>
      </c>
      <c r="L1380" s="8" t="s">
        <v>54</v>
      </c>
      <c r="M1380" s="8" t="s">
        <v>54</v>
      </c>
      <c r="N1380" s="10" t="s">
        <v>67</v>
      </c>
      <c r="O1380" s="8" t="s">
        <v>54</v>
      </c>
      <c r="P1380" s="8" t="s">
        <v>54</v>
      </c>
      <c r="Q1380" s="8" t="s">
        <v>54</v>
      </c>
      <c r="R1380" s="8" t="s">
        <v>54</v>
      </c>
      <c r="S1380" s="8" t="s">
        <v>54</v>
      </c>
      <c r="T1380" s="12" t="s">
        <v>55</v>
      </c>
      <c r="U1380" s="10" t="s">
        <v>67</v>
      </c>
      <c r="V1380" s="12" t="s">
        <v>55</v>
      </c>
      <c r="W1380" s="12" t="s">
        <v>55</v>
      </c>
      <c r="X1380" s="12" t="s">
        <v>55</v>
      </c>
      <c r="Y1380" s="8" t="s">
        <v>54</v>
      </c>
      <c r="Z1380" s="8" t="s">
        <v>54</v>
      </c>
      <c r="AA1380" s="8" t="s">
        <v>54</v>
      </c>
      <c r="AB1380" s="10" t="s">
        <v>67</v>
      </c>
      <c r="AC1380" s="8" t="s">
        <v>54</v>
      </c>
      <c r="AD1380" s="8" t="s">
        <v>54</v>
      </c>
      <c r="AE1380" s="8" t="s">
        <v>54</v>
      </c>
      <c r="AF1380" s="8" t="s">
        <v>54</v>
      </c>
      <c r="AG1380" s="8" t="s">
        <v>54</v>
      </c>
      <c r="AH1380" s="12" t="s">
        <v>55</v>
      </c>
      <c r="AI1380" s="10" t="s">
        <v>67</v>
      </c>
      <c r="AJ1380" s="8">
        <f>COUNTIF($E$1380:$AI$1380,"P")</f>
        <v>21</v>
      </c>
      <c r="AK1380" s="8">
        <f>COUNTIF($E$1380:$AI$1380,"A")</f>
        <v>5</v>
      </c>
      <c r="AL1380" s="8">
        <f>SUM($E$1381:$AI$1381)</f>
        <v>38</v>
      </c>
      <c r="AM1380" s="8">
        <f>SUM($E$1382:$AI$1382)</f>
        <v>29.5</v>
      </c>
      <c r="AN1380" s="8">
        <f>AL1380+AM1380</f>
        <v>67.5</v>
      </c>
      <c r="AO1380" s="8">
        <f>COUNTIF($E$1380:$AI$1380,"CL")</f>
        <v>0</v>
      </c>
      <c r="AP1380" s="8">
        <f>COUNTIF($E$1380:$AI$1380,"SL")</f>
        <v>0</v>
      </c>
      <c r="AQ1380" s="8">
        <f>COUNTIF($E$1380:$AI$1380,"EL")</f>
        <v>0</v>
      </c>
      <c r="AR1380" s="8">
        <f>COUNTIF($E$1380:$AI$1380,"H")</f>
        <v>0</v>
      </c>
      <c r="AS1380" s="8"/>
      <c r="AT1380" s="11" t="s">
        <v>250</v>
      </c>
    </row>
    <row r="1381" spans="1:46" ht="15.1" customHeight="1">
      <c r="A1381" s="8"/>
      <c r="B1381" s="9"/>
      <c r="C1381" s="8"/>
      <c r="D1381" s="9"/>
      <c r="E1381" s="8">
        <v>0</v>
      </c>
      <c r="F1381" s="8">
        <v>2</v>
      </c>
      <c r="G1381" s="8">
        <v>0</v>
      </c>
      <c r="H1381" s="8">
        <v>0</v>
      </c>
      <c r="I1381" s="8">
        <v>2</v>
      </c>
      <c r="J1381" s="8">
        <v>2</v>
      </c>
      <c r="K1381" s="8">
        <v>2</v>
      </c>
      <c r="L1381" s="8">
        <v>2</v>
      </c>
      <c r="M1381" s="8">
        <v>2</v>
      </c>
      <c r="N1381" s="8">
        <v>0</v>
      </c>
      <c r="O1381" s="8">
        <v>2</v>
      </c>
      <c r="P1381" s="8">
        <v>2</v>
      </c>
      <c r="Q1381" s="8">
        <v>2</v>
      </c>
      <c r="R1381" s="8">
        <v>2</v>
      </c>
      <c r="S1381" s="8">
        <v>2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2</v>
      </c>
      <c r="Z1381" s="8">
        <v>2</v>
      </c>
      <c r="AA1381" s="8">
        <v>2</v>
      </c>
      <c r="AB1381" s="8">
        <v>0</v>
      </c>
      <c r="AC1381" s="8">
        <v>2</v>
      </c>
      <c r="AD1381" s="8">
        <v>2</v>
      </c>
      <c r="AE1381" s="8">
        <v>2</v>
      </c>
      <c r="AF1381" s="8">
        <v>2</v>
      </c>
      <c r="AG1381" s="8">
        <v>2</v>
      </c>
      <c r="AH1381" s="8">
        <v>0</v>
      </c>
      <c r="AI1381" s="8">
        <v>0</v>
      </c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11" t="s">
        <v>250</v>
      </c>
    </row>
    <row r="1382" spans="1:46" ht="15.1" customHeight="1">
      <c r="A1382" s="8"/>
      <c r="B1382" s="9"/>
      <c r="C1382" s="8"/>
      <c r="D1382" s="9"/>
      <c r="E1382" s="8">
        <v>0</v>
      </c>
      <c r="F1382" s="8">
        <v>1</v>
      </c>
      <c r="G1382" s="8">
        <v>0</v>
      </c>
      <c r="H1382" s="8">
        <v>0</v>
      </c>
      <c r="I1382" s="8">
        <v>1</v>
      </c>
      <c r="J1382" s="8">
        <v>1</v>
      </c>
      <c r="K1382" s="8">
        <v>1</v>
      </c>
      <c r="L1382" s="8">
        <v>1</v>
      </c>
      <c r="M1382" s="8">
        <v>1</v>
      </c>
      <c r="N1382" s="8">
        <v>11</v>
      </c>
      <c r="O1382" s="8">
        <v>1</v>
      </c>
      <c r="P1382" s="8">
        <v>1</v>
      </c>
      <c r="Q1382" s="8">
        <v>1</v>
      </c>
      <c r="R1382" s="8">
        <v>1</v>
      </c>
      <c r="S1382" s="8">
        <v>1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0.5</v>
      </c>
      <c r="Z1382" s="8">
        <v>1</v>
      </c>
      <c r="AA1382" s="8">
        <v>1</v>
      </c>
      <c r="AB1382" s="8">
        <v>0</v>
      </c>
      <c r="AC1382" s="8">
        <v>1</v>
      </c>
      <c r="AD1382" s="8">
        <v>1</v>
      </c>
      <c r="AE1382" s="8">
        <v>1</v>
      </c>
      <c r="AF1382" s="8">
        <v>1</v>
      </c>
      <c r="AG1382" s="8">
        <v>1</v>
      </c>
      <c r="AH1382" s="8">
        <v>0</v>
      </c>
      <c r="AI1382" s="8">
        <v>0</v>
      </c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11" t="s">
        <v>250</v>
      </c>
    </row>
    <row r="1383" spans="1:46" ht="15.1" customHeight="1">
      <c r="A1383" s="8">
        <v>460</v>
      </c>
      <c r="B1383" s="9" t="s">
        <v>1171</v>
      </c>
      <c r="C1383" s="8" t="s">
        <v>1172</v>
      </c>
      <c r="D1383" s="9" t="s">
        <v>451</v>
      </c>
      <c r="E1383" s="8" t="s">
        <v>54</v>
      </c>
      <c r="F1383" s="8" t="s">
        <v>54</v>
      </c>
      <c r="G1383" s="10" t="s">
        <v>67</v>
      </c>
      <c r="H1383" s="12" t="s">
        <v>55</v>
      </c>
      <c r="I1383" s="8" t="s">
        <v>54</v>
      </c>
      <c r="J1383" s="8" t="s">
        <v>54</v>
      </c>
      <c r="K1383" s="8" t="s">
        <v>54</v>
      </c>
      <c r="L1383" s="8" t="s">
        <v>54</v>
      </c>
      <c r="M1383" s="8" t="s">
        <v>54</v>
      </c>
      <c r="N1383" s="10" t="s">
        <v>67</v>
      </c>
      <c r="O1383" s="8" t="s">
        <v>54</v>
      </c>
      <c r="P1383" s="8" t="s">
        <v>54</v>
      </c>
      <c r="Q1383" s="8" t="s">
        <v>54</v>
      </c>
      <c r="R1383" s="8" t="s">
        <v>54</v>
      </c>
      <c r="S1383" s="8" t="s">
        <v>54</v>
      </c>
      <c r="T1383" s="8" t="s">
        <v>54</v>
      </c>
      <c r="U1383" s="10" t="s">
        <v>67</v>
      </c>
      <c r="V1383" s="8" t="s">
        <v>54</v>
      </c>
      <c r="W1383" s="8" t="s">
        <v>54</v>
      </c>
      <c r="X1383" s="8" t="s">
        <v>54</v>
      </c>
      <c r="Y1383" s="8" t="s">
        <v>54</v>
      </c>
      <c r="Z1383" s="8" t="s">
        <v>54</v>
      </c>
      <c r="AA1383" s="8" t="s">
        <v>54</v>
      </c>
      <c r="AB1383" s="10" t="s">
        <v>67</v>
      </c>
      <c r="AC1383" s="8" t="s">
        <v>54</v>
      </c>
      <c r="AD1383" s="8" t="s">
        <v>54</v>
      </c>
      <c r="AE1383" s="8" t="s">
        <v>54</v>
      </c>
      <c r="AF1383" s="8" t="s">
        <v>54</v>
      </c>
      <c r="AG1383" s="8" t="s">
        <v>54</v>
      </c>
      <c r="AH1383" s="8" t="s">
        <v>54</v>
      </c>
      <c r="AI1383" s="10" t="s">
        <v>67</v>
      </c>
      <c r="AJ1383" s="8">
        <f>COUNTIF($E$1383:$AI$1383,"P")</f>
        <v>25</v>
      </c>
      <c r="AK1383" s="8">
        <f>COUNTIF($E$1383:$AI$1383,"A")</f>
        <v>1</v>
      </c>
      <c r="AL1383" s="8">
        <f>SUM($E$1384:$AI$1384)</f>
        <v>44</v>
      </c>
      <c r="AM1383" s="8">
        <f>SUM($E$1385:$AI$1385)</f>
        <v>31</v>
      </c>
      <c r="AN1383" s="8">
        <f>AL1383+AM1383</f>
        <v>75</v>
      </c>
      <c r="AO1383" s="8">
        <f>COUNTIF($E$1383:$AI$1383,"CL")</f>
        <v>0</v>
      </c>
      <c r="AP1383" s="8">
        <f>COUNTIF($E$1383:$AI$1383,"SL")</f>
        <v>0</v>
      </c>
      <c r="AQ1383" s="8">
        <f>COUNTIF($E$1383:$AI$1383,"EL")</f>
        <v>0</v>
      </c>
      <c r="AR1383" s="8">
        <f>COUNTIF($E$1383:$AI$1383,"H")</f>
        <v>0</v>
      </c>
      <c r="AS1383" s="8"/>
      <c r="AT1383" s="11" t="s">
        <v>250</v>
      </c>
    </row>
    <row r="1384" spans="1:46" ht="15.1" customHeight="1">
      <c r="A1384" s="8"/>
      <c r="B1384" s="9"/>
      <c r="C1384" s="8"/>
      <c r="D1384" s="9"/>
      <c r="E1384" s="8">
        <v>0</v>
      </c>
      <c r="F1384" s="8">
        <v>0</v>
      </c>
      <c r="G1384" s="8">
        <v>0</v>
      </c>
      <c r="H1384" s="8">
        <v>0</v>
      </c>
      <c r="I1384" s="8">
        <v>2</v>
      </c>
      <c r="J1384" s="8">
        <v>2</v>
      </c>
      <c r="K1384" s="8">
        <v>2</v>
      </c>
      <c r="L1384" s="8">
        <v>2</v>
      </c>
      <c r="M1384" s="8">
        <v>2</v>
      </c>
      <c r="N1384" s="8">
        <v>0</v>
      </c>
      <c r="O1384" s="8">
        <v>2</v>
      </c>
      <c r="P1384" s="8">
        <v>2</v>
      </c>
      <c r="Q1384" s="8">
        <v>2</v>
      </c>
      <c r="R1384" s="8">
        <v>2</v>
      </c>
      <c r="S1384" s="8">
        <v>2</v>
      </c>
      <c r="T1384" s="8">
        <v>2</v>
      </c>
      <c r="U1384" s="8">
        <v>0</v>
      </c>
      <c r="V1384" s="8">
        <v>2</v>
      </c>
      <c r="W1384" s="8">
        <v>2</v>
      </c>
      <c r="X1384" s="8">
        <v>2</v>
      </c>
      <c r="Y1384" s="8">
        <v>2</v>
      </c>
      <c r="Z1384" s="8">
        <v>2</v>
      </c>
      <c r="AA1384" s="8">
        <v>0</v>
      </c>
      <c r="AB1384" s="8">
        <v>0</v>
      </c>
      <c r="AC1384" s="8">
        <v>2</v>
      </c>
      <c r="AD1384" s="8">
        <v>2</v>
      </c>
      <c r="AE1384" s="8">
        <v>2</v>
      </c>
      <c r="AF1384" s="8">
        <v>2</v>
      </c>
      <c r="AG1384" s="8">
        <v>2</v>
      </c>
      <c r="AH1384" s="8">
        <v>2</v>
      </c>
      <c r="AI1384" s="8">
        <v>0</v>
      </c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11" t="s">
        <v>250</v>
      </c>
    </row>
    <row r="1385" spans="1:46" ht="15.1" customHeight="1">
      <c r="A1385" s="8"/>
      <c r="B1385" s="9"/>
      <c r="C1385" s="8"/>
      <c r="D1385" s="9"/>
      <c r="E1385" s="8">
        <v>0</v>
      </c>
      <c r="F1385" s="8">
        <v>0</v>
      </c>
      <c r="G1385" s="8">
        <v>9</v>
      </c>
      <c r="H1385" s="8">
        <v>0</v>
      </c>
      <c r="I1385" s="8">
        <v>1</v>
      </c>
      <c r="J1385" s="8">
        <v>1</v>
      </c>
      <c r="K1385" s="8">
        <v>1</v>
      </c>
      <c r="L1385" s="8">
        <v>1</v>
      </c>
      <c r="M1385" s="8">
        <v>1</v>
      </c>
      <c r="N1385" s="8">
        <v>0</v>
      </c>
      <c r="O1385" s="8">
        <v>1</v>
      </c>
      <c r="P1385" s="8">
        <v>1</v>
      </c>
      <c r="Q1385" s="8">
        <v>1</v>
      </c>
      <c r="R1385" s="8">
        <v>1</v>
      </c>
      <c r="S1385" s="8">
        <v>1</v>
      </c>
      <c r="T1385" s="8">
        <v>1</v>
      </c>
      <c r="U1385" s="8">
        <v>0</v>
      </c>
      <c r="V1385" s="8">
        <v>1</v>
      </c>
      <c r="W1385" s="8">
        <v>1</v>
      </c>
      <c r="X1385" s="8">
        <v>1</v>
      </c>
      <c r="Y1385" s="8">
        <v>1</v>
      </c>
      <c r="Z1385" s="8">
        <v>1</v>
      </c>
      <c r="AA1385" s="8">
        <v>0</v>
      </c>
      <c r="AB1385" s="8">
        <v>0</v>
      </c>
      <c r="AC1385" s="8">
        <v>1</v>
      </c>
      <c r="AD1385" s="8">
        <v>1</v>
      </c>
      <c r="AE1385" s="8">
        <v>1</v>
      </c>
      <c r="AF1385" s="8">
        <v>1</v>
      </c>
      <c r="AG1385" s="8">
        <v>1</v>
      </c>
      <c r="AH1385" s="8">
        <v>1</v>
      </c>
      <c r="AI1385" s="8">
        <v>0</v>
      </c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11" t="s">
        <v>250</v>
      </c>
    </row>
    <row r="1386" spans="1:46" ht="15.1" customHeight="1">
      <c r="A1386" s="8">
        <v>461</v>
      </c>
      <c r="B1386" s="9" t="s">
        <v>1173</v>
      </c>
      <c r="C1386" s="8" t="s">
        <v>1174</v>
      </c>
      <c r="D1386" s="9" t="s">
        <v>451</v>
      </c>
      <c r="E1386" s="8" t="s">
        <v>54</v>
      </c>
      <c r="F1386" s="8" t="s">
        <v>54</v>
      </c>
      <c r="G1386" s="10" t="s">
        <v>67</v>
      </c>
      <c r="H1386" s="8" t="s">
        <v>54</v>
      </c>
      <c r="I1386" s="12" t="s">
        <v>55</v>
      </c>
      <c r="J1386" s="8" t="s">
        <v>54</v>
      </c>
      <c r="K1386" s="8" t="s">
        <v>54</v>
      </c>
      <c r="L1386" s="8" t="s">
        <v>54</v>
      </c>
      <c r="M1386" s="8" t="s">
        <v>54</v>
      </c>
      <c r="N1386" s="10" t="s">
        <v>67</v>
      </c>
      <c r="O1386" s="8" t="s">
        <v>54</v>
      </c>
      <c r="P1386" s="8" t="s">
        <v>54</v>
      </c>
      <c r="Q1386" s="8" t="s">
        <v>54</v>
      </c>
      <c r="R1386" s="8" t="s">
        <v>54</v>
      </c>
      <c r="S1386" s="8" t="s">
        <v>54</v>
      </c>
      <c r="T1386" s="8" t="s">
        <v>54</v>
      </c>
      <c r="U1386" s="10" t="s">
        <v>67</v>
      </c>
      <c r="V1386" s="8" t="s">
        <v>54</v>
      </c>
      <c r="W1386" s="8" t="s">
        <v>54</v>
      </c>
      <c r="X1386" s="8" t="s">
        <v>54</v>
      </c>
      <c r="Y1386" s="8" t="s">
        <v>54</v>
      </c>
      <c r="Z1386" s="8" t="s">
        <v>54</v>
      </c>
      <c r="AA1386" s="8" t="s">
        <v>54</v>
      </c>
      <c r="AB1386" s="10" t="s">
        <v>67</v>
      </c>
      <c r="AC1386" s="8" t="s">
        <v>54</v>
      </c>
      <c r="AD1386" s="8" t="s">
        <v>54</v>
      </c>
      <c r="AE1386" s="8" t="s">
        <v>54</v>
      </c>
      <c r="AF1386" s="8" t="s">
        <v>54</v>
      </c>
      <c r="AG1386" s="8" t="s">
        <v>54</v>
      </c>
      <c r="AH1386" s="8" t="s">
        <v>54</v>
      </c>
      <c r="AI1386" s="10" t="s">
        <v>67</v>
      </c>
      <c r="AJ1386" s="8">
        <f>COUNTIF($E$1386:$AI$1386,"P")</f>
        <v>25</v>
      </c>
      <c r="AK1386" s="8">
        <f>COUNTIF($E$1386:$AI$1386,"A")</f>
        <v>1</v>
      </c>
      <c r="AL1386" s="8">
        <f>SUM($E$1387:$AI$1387)</f>
        <v>44</v>
      </c>
      <c r="AM1386" s="8">
        <f>SUM($E$1388:$AI$1388)</f>
        <v>22</v>
      </c>
      <c r="AN1386" s="8">
        <f>AL1386+AM1386</f>
        <v>66</v>
      </c>
      <c r="AO1386" s="8">
        <f>COUNTIF($E$1386:$AI$1386,"CL")</f>
        <v>0</v>
      </c>
      <c r="AP1386" s="8">
        <f>COUNTIF($E$1386:$AI$1386,"SL")</f>
        <v>0</v>
      </c>
      <c r="AQ1386" s="8">
        <f>COUNTIF($E$1386:$AI$1386,"EL")</f>
        <v>0</v>
      </c>
      <c r="AR1386" s="8">
        <f>COUNTIF($E$1386:$AI$1386,"H")</f>
        <v>0</v>
      </c>
      <c r="AS1386" s="8"/>
      <c r="AT1386" s="11" t="s">
        <v>250</v>
      </c>
    </row>
    <row r="1387" spans="1:46" ht="15.1" customHeight="1">
      <c r="A1387" s="8"/>
      <c r="B1387" s="9"/>
      <c r="C1387" s="8"/>
      <c r="D1387" s="9"/>
      <c r="E1387" s="8">
        <v>0</v>
      </c>
      <c r="F1387" s="8">
        <v>2</v>
      </c>
      <c r="G1387" s="8">
        <v>0</v>
      </c>
      <c r="H1387" s="8">
        <v>0</v>
      </c>
      <c r="I1387" s="8">
        <v>0</v>
      </c>
      <c r="J1387" s="8">
        <v>2</v>
      </c>
      <c r="K1387" s="8">
        <v>2</v>
      </c>
      <c r="L1387" s="8">
        <v>2</v>
      </c>
      <c r="M1387" s="8">
        <v>2</v>
      </c>
      <c r="N1387" s="8">
        <v>0</v>
      </c>
      <c r="O1387" s="8">
        <v>2</v>
      </c>
      <c r="P1387" s="8">
        <v>2</v>
      </c>
      <c r="Q1387" s="8">
        <v>2</v>
      </c>
      <c r="R1387" s="8">
        <v>2</v>
      </c>
      <c r="S1387" s="8">
        <v>2</v>
      </c>
      <c r="T1387" s="8">
        <v>2</v>
      </c>
      <c r="U1387" s="8">
        <v>0</v>
      </c>
      <c r="V1387" s="8">
        <v>2</v>
      </c>
      <c r="W1387" s="8">
        <v>2</v>
      </c>
      <c r="X1387" s="8">
        <v>2</v>
      </c>
      <c r="Y1387" s="8">
        <v>2</v>
      </c>
      <c r="Z1387" s="8">
        <v>0</v>
      </c>
      <c r="AA1387" s="8">
        <v>2</v>
      </c>
      <c r="AB1387" s="8">
        <v>0</v>
      </c>
      <c r="AC1387" s="8">
        <v>2</v>
      </c>
      <c r="AD1387" s="8">
        <v>2</v>
      </c>
      <c r="AE1387" s="8">
        <v>2</v>
      </c>
      <c r="AF1387" s="8">
        <v>2</v>
      </c>
      <c r="AG1387" s="8">
        <v>2</v>
      </c>
      <c r="AH1387" s="8">
        <v>2</v>
      </c>
      <c r="AI1387" s="8">
        <v>0</v>
      </c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11" t="s">
        <v>250</v>
      </c>
    </row>
    <row r="1388" spans="1:46" ht="15.1" customHeight="1">
      <c r="A1388" s="8"/>
      <c r="B1388" s="9"/>
      <c r="C1388" s="8"/>
      <c r="D1388" s="9"/>
      <c r="E1388" s="8">
        <v>0</v>
      </c>
      <c r="F1388" s="8">
        <v>1</v>
      </c>
      <c r="G1388" s="8">
        <v>0</v>
      </c>
      <c r="H1388" s="8">
        <v>0</v>
      </c>
      <c r="I1388" s="8">
        <v>0</v>
      </c>
      <c r="J1388" s="8">
        <v>1</v>
      </c>
      <c r="K1388" s="8">
        <v>1</v>
      </c>
      <c r="L1388" s="8">
        <v>1</v>
      </c>
      <c r="M1388" s="8">
        <v>1</v>
      </c>
      <c r="N1388" s="8">
        <v>0</v>
      </c>
      <c r="O1388" s="8">
        <v>1</v>
      </c>
      <c r="P1388" s="8">
        <v>1</v>
      </c>
      <c r="Q1388" s="8">
        <v>1</v>
      </c>
      <c r="R1388" s="8">
        <v>1</v>
      </c>
      <c r="S1388" s="8">
        <v>1</v>
      </c>
      <c r="T1388" s="8">
        <v>1</v>
      </c>
      <c r="U1388" s="8">
        <v>0</v>
      </c>
      <c r="V1388" s="8">
        <v>1</v>
      </c>
      <c r="W1388" s="8">
        <v>1</v>
      </c>
      <c r="X1388" s="8">
        <v>1</v>
      </c>
      <c r="Y1388" s="8">
        <v>1</v>
      </c>
      <c r="Z1388" s="8">
        <v>0</v>
      </c>
      <c r="AA1388" s="8">
        <v>1</v>
      </c>
      <c r="AB1388" s="8">
        <v>0</v>
      </c>
      <c r="AC1388" s="8">
        <v>1</v>
      </c>
      <c r="AD1388" s="8">
        <v>1</v>
      </c>
      <c r="AE1388" s="8">
        <v>1</v>
      </c>
      <c r="AF1388" s="8">
        <v>1</v>
      </c>
      <c r="AG1388" s="8">
        <v>1</v>
      </c>
      <c r="AH1388" s="8">
        <v>1</v>
      </c>
      <c r="AI1388" s="8">
        <v>0</v>
      </c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11" t="s">
        <v>250</v>
      </c>
    </row>
    <row r="1389" spans="1:46" ht="15.1" customHeight="1">
      <c r="A1389" s="8">
        <v>462</v>
      </c>
      <c r="B1389" s="9" t="s">
        <v>1175</v>
      </c>
      <c r="C1389" s="8" t="s">
        <v>1176</v>
      </c>
      <c r="D1389" s="9" t="s">
        <v>451</v>
      </c>
      <c r="E1389" s="8" t="s">
        <v>54</v>
      </c>
      <c r="F1389" s="8" t="s">
        <v>54</v>
      </c>
      <c r="G1389" s="10" t="s">
        <v>67</v>
      </c>
      <c r="H1389" s="8" t="s">
        <v>54</v>
      </c>
      <c r="I1389" s="8" t="s">
        <v>54</v>
      </c>
      <c r="J1389" s="8" t="s">
        <v>54</v>
      </c>
      <c r="K1389" s="8" t="s">
        <v>54</v>
      </c>
      <c r="L1389" s="8" t="s">
        <v>54</v>
      </c>
      <c r="M1389" s="8" t="s">
        <v>54</v>
      </c>
      <c r="N1389" s="10" t="s">
        <v>67</v>
      </c>
      <c r="O1389" s="8" t="s">
        <v>54</v>
      </c>
      <c r="P1389" s="8" t="s">
        <v>54</v>
      </c>
      <c r="Q1389" s="8" t="s">
        <v>54</v>
      </c>
      <c r="R1389" s="8" t="s">
        <v>54</v>
      </c>
      <c r="S1389" s="8" t="s">
        <v>54</v>
      </c>
      <c r="T1389" s="8" t="s">
        <v>54</v>
      </c>
      <c r="U1389" s="10" t="s">
        <v>67</v>
      </c>
      <c r="V1389" s="8" t="s">
        <v>54</v>
      </c>
      <c r="W1389" s="8" t="s">
        <v>54</v>
      </c>
      <c r="X1389" s="8" t="s">
        <v>54</v>
      </c>
      <c r="Y1389" s="8" t="s">
        <v>54</v>
      </c>
      <c r="Z1389" s="8" t="s">
        <v>54</v>
      </c>
      <c r="AA1389" s="8" t="s">
        <v>54</v>
      </c>
      <c r="AB1389" s="10" t="s">
        <v>67</v>
      </c>
      <c r="AC1389" s="8" t="s">
        <v>54</v>
      </c>
      <c r="AD1389" s="8" t="s">
        <v>54</v>
      </c>
      <c r="AE1389" s="8" t="s">
        <v>54</v>
      </c>
      <c r="AF1389" s="8" t="s">
        <v>54</v>
      </c>
      <c r="AG1389" s="8" t="s">
        <v>54</v>
      </c>
      <c r="AH1389" s="8" t="s">
        <v>54</v>
      </c>
      <c r="AI1389" s="10" t="s">
        <v>67</v>
      </c>
      <c r="AJ1389" s="8">
        <f>COUNTIF($E$1389:$AI$1389,"P")</f>
        <v>26</v>
      </c>
      <c r="AK1389" s="8">
        <f>COUNTIF($E$1389:$AI$1389,"A")</f>
        <v>0</v>
      </c>
      <c r="AL1389" s="8">
        <f>SUM($E$1390:$AI$1390)</f>
        <v>48</v>
      </c>
      <c r="AM1389" s="8">
        <f>SUM($E$1391:$AI$1391)</f>
        <v>24</v>
      </c>
      <c r="AN1389" s="8">
        <f>AL1389+AM1389</f>
        <v>72</v>
      </c>
      <c r="AO1389" s="8">
        <f>COUNTIF($E$1389:$AI$1389,"CL")</f>
        <v>0</v>
      </c>
      <c r="AP1389" s="8">
        <f>COUNTIF($E$1389:$AI$1389,"SL")</f>
        <v>0</v>
      </c>
      <c r="AQ1389" s="8">
        <f>COUNTIF($E$1389:$AI$1389,"EL")</f>
        <v>0</v>
      </c>
      <c r="AR1389" s="8">
        <f>COUNTIF($E$1389:$AI$1389,"H")</f>
        <v>0</v>
      </c>
      <c r="AS1389" s="8"/>
      <c r="AT1389" s="11" t="s">
        <v>250</v>
      </c>
    </row>
    <row r="1390" spans="1:46" ht="15.1" customHeight="1">
      <c r="A1390" s="8"/>
      <c r="B1390" s="9"/>
      <c r="C1390" s="8"/>
      <c r="D1390" s="9"/>
      <c r="E1390" s="8">
        <v>0</v>
      </c>
      <c r="F1390" s="8">
        <v>2</v>
      </c>
      <c r="G1390" s="8">
        <v>0</v>
      </c>
      <c r="H1390" s="8">
        <v>2</v>
      </c>
      <c r="I1390" s="8">
        <v>2</v>
      </c>
      <c r="J1390" s="8">
        <v>2</v>
      </c>
      <c r="K1390" s="8">
        <v>2</v>
      </c>
      <c r="L1390" s="8">
        <v>2</v>
      </c>
      <c r="M1390" s="8">
        <v>2</v>
      </c>
      <c r="N1390" s="8">
        <v>0</v>
      </c>
      <c r="O1390" s="8">
        <v>2</v>
      </c>
      <c r="P1390" s="8">
        <v>2</v>
      </c>
      <c r="Q1390" s="8">
        <v>2</v>
      </c>
      <c r="R1390" s="8">
        <v>2</v>
      </c>
      <c r="S1390" s="8">
        <v>2</v>
      </c>
      <c r="T1390" s="8">
        <v>2</v>
      </c>
      <c r="U1390" s="8">
        <v>0</v>
      </c>
      <c r="V1390" s="8">
        <v>2</v>
      </c>
      <c r="W1390" s="8">
        <v>2</v>
      </c>
      <c r="X1390" s="8">
        <v>2</v>
      </c>
      <c r="Y1390" s="8">
        <v>2</v>
      </c>
      <c r="Z1390" s="8">
        <v>0</v>
      </c>
      <c r="AA1390" s="8">
        <v>2</v>
      </c>
      <c r="AB1390" s="8">
        <v>0</v>
      </c>
      <c r="AC1390" s="8">
        <v>2</v>
      </c>
      <c r="AD1390" s="8">
        <v>2</v>
      </c>
      <c r="AE1390" s="8">
        <v>2</v>
      </c>
      <c r="AF1390" s="8">
        <v>2</v>
      </c>
      <c r="AG1390" s="8">
        <v>2</v>
      </c>
      <c r="AH1390" s="8">
        <v>2</v>
      </c>
      <c r="AI1390" s="8">
        <v>0</v>
      </c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11" t="s">
        <v>250</v>
      </c>
    </row>
    <row r="1391" spans="1:46" ht="15.1" customHeight="1">
      <c r="A1391" s="8"/>
      <c r="B1391" s="9"/>
      <c r="C1391" s="8"/>
      <c r="D1391" s="9"/>
      <c r="E1391" s="8">
        <v>0</v>
      </c>
      <c r="F1391" s="8">
        <v>1</v>
      </c>
      <c r="G1391" s="8">
        <v>0</v>
      </c>
      <c r="H1391" s="8">
        <v>1</v>
      </c>
      <c r="I1391" s="8">
        <v>1</v>
      </c>
      <c r="J1391" s="8">
        <v>1</v>
      </c>
      <c r="K1391" s="8">
        <v>1</v>
      </c>
      <c r="L1391" s="8">
        <v>1</v>
      </c>
      <c r="M1391" s="8">
        <v>1</v>
      </c>
      <c r="N1391" s="8">
        <v>0</v>
      </c>
      <c r="O1391" s="8">
        <v>1</v>
      </c>
      <c r="P1391" s="8">
        <v>1</v>
      </c>
      <c r="Q1391" s="8">
        <v>1</v>
      </c>
      <c r="R1391" s="8">
        <v>1</v>
      </c>
      <c r="S1391" s="8">
        <v>1</v>
      </c>
      <c r="T1391" s="8">
        <v>1</v>
      </c>
      <c r="U1391" s="8">
        <v>0</v>
      </c>
      <c r="V1391" s="8">
        <v>1</v>
      </c>
      <c r="W1391" s="8">
        <v>1</v>
      </c>
      <c r="X1391" s="8">
        <v>1</v>
      </c>
      <c r="Y1391" s="8">
        <v>1</v>
      </c>
      <c r="Z1391" s="8">
        <v>0</v>
      </c>
      <c r="AA1391" s="8">
        <v>1</v>
      </c>
      <c r="AB1391" s="8">
        <v>0</v>
      </c>
      <c r="AC1391" s="8">
        <v>1</v>
      </c>
      <c r="AD1391" s="8">
        <v>1</v>
      </c>
      <c r="AE1391" s="8">
        <v>1</v>
      </c>
      <c r="AF1391" s="8">
        <v>1</v>
      </c>
      <c r="AG1391" s="8">
        <v>1</v>
      </c>
      <c r="AH1391" s="8">
        <v>1</v>
      </c>
      <c r="AI1391" s="8">
        <v>0</v>
      </c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11" t="s">
        <v>250</v>
      </c>
    </row>
    <row r="1392" spans="1:46" ht="15.1" customHeight="1">
      <c r="A1392" s="8">
        <v>463</v>
      </c>
      <c r="B1392" s="9" t="s">
        <v>1177</v>
      </c>
      <c r="C1392" s="8" t="s">
        <v>1178</v>
      </c>
      <c r="D1392" s="9" t="s">
        <v>451</v>
      </c>
      <c r="E1392" s="8" t="s">
        <v>54</v>
      </c>
      <c r="F1392" s="8" t="s">
        <v>54</v>
      </c>
      <c r="G1392" s="10" t="s">
        <v>67</v>
      </c>
      <c r="H1392" s="8" t="s">
        <v>54</v>
      </c>
      <c r="I1392" s="8" t="s">
        <v>54</v>
      </c>
      <c r="J1392" s="12" t="s">
        <v>55</v>
      </c>
      <c r="K1392" s="8" t="s">
        <v>54</v>
      </c>
      <c r="L1392" s="8" t="s">
        <v>54</v>
      </c>
      <c r="M1392" s="8" t="s">
        <v>54</v>
      </c>
      <c r="N1392" s="10" t="s">
        <v>67</v>
      </c>
      <c r="O1392" s="8" t="s">
        <v>54</v>
      </c>
      <c r="P1392" s="8" t="s">
        <v>54</v>
      </c>
      <c r="Q1392" s="8" t="s">
        <v>54</v>
      </c>
      <c r="R1392" s="8" t="s">
        <v>54</v>
      </c>
      <c r="S1392" s="8" t="s">
        <v>54</v>
      </c>
      <c r="T1392" s="8" t="s">
        <v>54</v>
      </c>
      <c r="U1392" s="10" t="s">
        <v>67</v>
      </c>
      <c r="V1392" s="12" t="s">
        <v>55</v>
      </c>
      <c r="W1392" s="8" t="s">
        <v>54</v>
      </c>
      <c r="X1392" s="8" t="s">
        <v>54</v>
      </c>
      <c r="Y1392" s="8" t="s">
        <v>54</v>
      </c>
      <c r="Z1392" s="8" t="s">
        <v>54</v>
      </c>
      <c r="AA1392" s="8" t="s">
        <v>54</v>
      </c>
      <c r="AB1392" s="10" t="s">
        <v>67</v>
      </c>
      <c r="AC1392" s="8" t="s">
        <v>54</v>
      </c>
      <c r="AD1392" s="8" t="s">
        <v>54</v>
      </c>
      <c r="AE1392" s="8" t="s">
        <v>54</v>
      </c>
      <c r="AF1392" s="8" t="s">
        <v>54</v>
      </c>
      <c r="AG1392" s="8" t="s">
        <v>54</v>
      </c>
      <c r="AH1392" s="8" t="s">
        <v>54</v>
      </c>
      <c r="AI1392" s="10" t="s">
        <v>67</v>
      </c>
      <c r="AJ1392" s="8">
        <f>COUNTIF($E$1392:$AI$1392,"P")</f>
        <v>24</v>
      </c>
      <c r="AK1392" s="8">
        <f>COUNTIF($E$1392:$AI$1392,"A")</f>
        <v>2</v>
      </c>
      <c r="AL1392" s="8">
        <f>SUM($E$1393:$AI$1393)</f>
        <v>38</v>
      </c>
      <c r="AM1392" s="8">
        <f>SUM($E$1394:$AI$1394)</f>
        <v>31</v>
      </c>
      <c r="AN1392" s="8">
        <f>AL1392+AM1392</f>
        <v>69</v>
      </c>
      <c r="AO1392" s="8">
        <f>COUNTIF($E$1392:$AI$1392,"CL")</f>
        <v>0</v>
      </c>
      <c r="AP1392" s="8">
        <f>COUNTIF($E$1392:$AI$1392,"SL")</f>
        <v>0</v>
      </c>
      <c r="AQ1392" s="8">
        <f>COUNTIF($E$1392:$AI$1392,"EL")</f>
        <v>0</v>
      </c>
      <c r="AR1392" s="8">
        <f>COUNTIF($E$1392:$AI$1392,"H")</f>
        <v>0</v>
      </c>
      <c r="AS1392" s="8"/>
      <c r="AT1392" s="11" t="s">
        <v>250</v>
      </c>
    </row>
    <row r="1393" spans="1:46" ht="15.1" customHeight="1">
      <c r="A1393" s="8"/>
      <c r="B1393" s="9"/>
      <c r="C1393" s="8"/>
      <c r="D1393" s="9"/>
      <c r="E1393" s="8">
        <v>0</v>
      </c>
      <c r="F1393" s="8">
        <v>2</v>
      </c>
      <c r="G1393" s="8">
        <v>0</v>
      </c>
      <c r="H1393" s="8">
        <v>0</v>
      </c>
      <c r="I1393" s="8">
        <v>0</v>
      </c>
      <c r="J1393" s="8">
        <v>0</v>
      </c>
      <c r="K1393" s="8">
        <v>2</v>
      </c>
      <c r="L1393" s="8">
        <v>2</v>
      </c>
      <c r="M1393" s="8">
        <v>2</v>
      </c>
      <c r="N1393" s="8">
        <v>0</v>
      </c>
      <c r="O1393" s="8">
        <v>2</v>
      </c>
      <c r="P1393" s="8">
        <v>2</v>
      </c>
      <c r="Q1393" s="8">
        <v>2</v>
      </c>
      <c r="R1393" s="8">
        <v>2</v>
      </c>
      <c r="S1393" s="8">
        <v>2</v>
      </c>
      <c r="T1393" s="8">
        <v>2</v>
      </c>
      <c r="U1393" s="8">
        <v>0</v>
      </c>
      <c r="V1393" s="8">
        <v>0</v>
      </c>
      <c r="W1393" s="8">
        <v>2</v>
      </c>
      <c r="X1393" s="8">
        <v>2</v>
      </c>
      <c r="Y1393" s="8">
        <v>2</v>
      </c>
      <c r="Z1393" s="8">
        <v>0</v>
      </c>
      <c r="AA1393" s="8">
        <v>2</v>
      </c>
      <c r="AB1393" s="8">
        <v>0</v>
      </c>
      <c r="AC1393" s="8">
        <v>2</v>
      </c>
      <c r="AD1393" s="8">
        <v>0</v>
      </c>
      <c r="AE1393" s="8">
        <v>2</v>
      </c>
      <c r="AF1393" s="8">
        <v>2</v>
      </c>
      <c r="AG1393" s="8">
        <v>2</v>
      </c>
      <c r="AH1393" s="8">
        <v>2</v>
      </c>
      <c r="AI1393" s="8">
        <v>0</v>
      </c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11" t="s">
        <v>250</v>
      </c>
    </row>
    <row r="1394" spans="1:46" ht="15.1" customHeight="1">
      <c r="A1394" s="8"/>
      <c r="B1394" s="9"/>
      <c r="C1394" s="8"/>
      <c r="D1394" s="9"/>
      <c r="E1394" s="8">
        <v>0</v>
      </c>
      <c r="F1394" s="8">
        <v>1</v>
      </c>
      <c r="G1394" s="8">
        <v>0</v>
      </c>
      <c r="H1394" s="8">
        <v>0</v>
      </c>
      <c r="I1394" s="8">
        <v>0</v>
      </c>
      <c r="J1394" s="8">
        <v>0</v>
      </c>
      <c r="K1394" s="8">
        <v>1</v>
      </c>
      <c r="L1394" s="8">
        <v>1</v>
      </c>
      <c r="M1394" s="8">
        <v>1</v>
      </c>
      <c r="N1394" s="8">
        <v>12</v>
      </c>
      <c r="O1394" s="8">
        <v>1</v>
      </c>
      <c r="P1394" s="8">
        <v>1</v>
      </c>
      <c r="Q1394" s="8">
        <v>1</v>
      </c>
      <c r="R1394" s="8">
        <v>1</v>
      </c>
      <c r="S1394" s="8">
        <v>1</v>
      </c>
      <c r="T1394" s="8">
        <v>1</v>
      </c>
      <c r="U1394" s="8">
        <v>0</v>
      </c>
      <c r="V1394" s="8">
        <v>0</v>
      </c>
      <c r="W1394" s="8">
        <v>1</v>
      </c>
      <c r="X1394" s="8">
        <v>1</v>
      </c>
      <c r="Y1394" s="8">
        <v>1</v>
      </c>
      <c r="Z1394" s="8">
        <v>0</v>
      </c>
      <c r="AA1394" s="8">
        <v>1</v>
      </c>
      <c r="AB1394" s="8">
        <v>0</v>
      </c>
      <c r="AC1394" s="8">
        <v>1</v>
      </c>
      <c r="AD1394" s="8">
        <v>0</v>
      </c>
      <c r="AE1394" s="8">
        <v>1</v>
      </c>
      <c r="AF1394" s="8">
        <v>1</v>
      </c>
      <c r="AG1394" s="8">
        <v>1</v>
      </c>
      <c r="AH1394" s="8">
        <v>1</v>
      </c>
      <c r="AI1394" s="8">
        <v>0</v>
      </c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11" t="s">
        <v>250</v>
      </c>
    </row>
    <row r="1395" spans="1:46" ht="15.1" customHeight="1">
      <c r="A1395" s="8">
        <v>464</v>
      </c>
      <c r="B1395" s="9" t="s">
        <v>1179</v>
      </c>
      <c r="C1395" s="8" t="s">
        <v>1180</v>
      </c>
      <c r="D1395" s="9" t="s">
        <v>451</v>
      </c>
      <c r="E1395" s="8" t="s">
        <v>54</v>
      </c>
      <c r="F1395" s="8" t="s">
        <v>54</v>
      </c>
      <c r="G1395" s="10" t="s">
        <v>67</v>
      </c>
      <c r="H1395" s="8" t="s">
        <v>54</v>
      </c>
      <c r="I1395" s="12" t="s">
        <v>55</v>
      </c>
      <c r="J1395" s="12" t="s">
        <v>55</v>
      </c>
      <c r="K1395" s="12" t="s">
        <v>55</v>
      </c>
      <c r="L1395" s="8" t="s">
        <v>54</v>
      </c>
      <c r="M1395" s="8" t="s">
        <v>54</v>
      </c>
      <c r="N1395" s="10" t="s">
        <v>67</v>
      </c>
      <c r="O1395" s="8" t="s">
        <v>54</v>
      </c>
      <c r="P1395" s="8" t="s">
        <v>54</v>
      </c>
      <c r="Q1395" s="8" t="s">
        <v>54</v>
      </c>
      <c r="R1395" s="8" t="s">
        <v>54</v>
      </c>
      <c r="S1395" s="8" t="s">
        <v>54</v>
      </c>
      <c r="T1395" s="8" t="s">
        <v>54</v>
      </c>
      <c r="U1395" s="10" t="s">
        <v>67</v>
      </c>
      <c r="V1395" s="12" t="s">
        <v>55</v>
      </c>
      <c r="W1395" s="12" t="s">
        <v>55</v>
      </c>
      <c r="X1395" s="12" t="s">
        <v>55</v>
      </c>
      <c r="Y1395" s="12" t="s">
        <v>55</v>
      </c>
      <c r="Z1395" s="12" t="s">
        <v>55</v>
      </c>
      <c r="AA1395" s="12" t="s">
        <v>55</v>
      </c>
      <c r="AB1395" s="10" t="s">
        <v>67</v>
      </c>
      <c r="AC1395" s="12" t="s">
        <v>55</v>
      </c>
      <c r="AD1395" s="12" t="s">
        <v>55</v>
      </c>
      <c r="AE1395" s="8"/>
      <c r="AF1395" s="8"/>
      <c r="AG1395" s="8"/>
      <c r="AH1395" s="8"/>
      <c r="AI1395" s="10"/>
      <c r="AJ1395" s="8">
        <f>COUNTIF($E$1395:$AI$1395,"P")</f>
        <v>11</v>
      </c>
      <c r="AK1395" s="8">
        <f>COUNTIF($E$1395:$AI$1395,"A")</f>
        <v>11</v>
      </c>
      <c r="AL1395" s="8">
        <f>SUM($E$1396:$AI$1396)</f>
        <v>18</v>
      </c>
      <c r="AM1395" s="8">
        <f>SUM($E$1397:$AI$1397)</f>
        <v>9</v>
      </c>
      <c r="AN1395" s="8">
        <f>AL1395+AM1395</f>
        <v>27</v>
      </c>
      <c r="AO1395" s="8">
        <f>COUNTIF($E$1395:$AI$1395,"CL")</f>
        <v>0</v>
      </c>
      <c r="AP1395" s="8">
        <f>COUNTIF($E$1395:$AI$1395,"SL")</f>
        <v>0</v>
      </c>
      <c r="AQ1395" s="8">
        <f>COUNTIF($E$1395:$AI$1395,"EL")</f>
        <v>0</v>
      </c>
      <c r="AR1395" s="8">
        <f>COUNTIF($E$1395:$AI$1395,"H")</f>
        <v>0</v>
      </c>
      <c r="AS1395" s="8"/>
      <c r="AT1395" s="11" t="s">
        <v>250</v>
      </c>
    </row>
    <row r="1396" spans="1:46" ht="15.1" customHeight="1">
      <c r="A1396" s="8"/>
      <c r="B1396" s="9"/>
      <c r="C1396" s="8"/>
      <c r="D1396" s="9"/>
      <c r="E1396" s="8">
        <v>2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2</v>
      </c>
      <c r="M1396" s="8">
        <v>2</v>
      </c>
      <c r="N1396" s="8">
        <v>0</v>
      </c>
      <c r="O1396" s="8">
        <v>2</v>
      </c>
      <c r="P1396" s="8">
        <v>2</v>
      </c>
      <c r="Q1396" s="8">
        <v>2</v>
      </c>
      <c r="R1396" s="8">
        <v>2</v>
      </c>
      <c r="S1396" s="8">
        <v>2</v>
      </c>
      <c r="T1396" s="8">
        <v>2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11" t="s">
        <v>250</v>
      </c>
    </row>
    <row r="1397" spans="1:46" ht="15.1" customHeight="1">
      <c r="A1397" s="8"/>
      <c r="B1397" s="9"/>
      <c r="C1397" s="8"/>
      <c r="D1397" s="9"/>
      <c r="E1397" s="8">
        <v>1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1</v>
      </c>
      <c r="M1397" s="8">
        <v>1</v>
      </c>
      <c r="N1397" s="8">
        <v>0</v>
      </c>
      <c r="O1397" s="8">
        <v>1</v>
      </c>
      <c r="P1397" s="8">
        <v>1</v>
      </c>
      <c r="Q1397" s="8">
        <v>1</v>
      </c>
      <c r="R1397" s="8">
        <v>1</v>
      </c>
      <c r="S1397" s="8">
        <v>1</v>
      </c>
      <c r="T1397" s="8">
        <v>1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11" t="s">
        <v>250</v>
      </c>
    </row>
    <row r="1398" spans="1:46" ht="15.1" customHeight="1">
      <c r="A1398" s="8">
        <v>465</v>
      </c>
      <c r="B1398" s="9" t="s">
        <v>1181</v>
      </c>
      <c r="C1398" s="8" t="s">
        <v>1182</v>
      </c>
      <c r="D1398" s="9" t="s">
        <v>451</v>
      </c>
      <c r="E1398" s="8" t="s">
        <v>54</v>
      </c>
      <c r="F1398" s="8" t="s">
        <v>54</v>
      </c>
      <c r="G1398" s="10" t="s">
        <v>67</v>
      </c>
      <c r="H1398" s="8" t="s">
        <v>54</v>
      </c>
      <c r="I1398" s="8" t="s">
        <v>54</v>
      </c>
      <c r="J1398" s="8" t="s">
        <v>54</v>
      </c>
      <c r="K1398" s="8" t="s">
        <v>54</v>
      </c>
      <c r="L1398" s="8" t="s">
        <v>54</v>
      </c>
      <c r="M1398" s="8" t="s">
        <v>54</v>
      </c>
      <c r="N1398" s="10" t="s">
        <v>67</v>
      </c>
      <c r="O1398" s="8" t="s">
        <v>54</v>
      </c>
      <c r="P1398" s="8" t="s">
        <v>54</v>
      </c>
      <c r="Q1398" s="8" t="s">
        <v>54</v>
      </c>
      <c r="R1398" s="8" t="s">
        <v>54</v>
      </c>
      <c r="S1398" s="8" t="s">
        <v>54</v>
      </c>
      <c r="T1398" s="8" t="s">
        <v>54</v>
      </c>
      <c r="U1398" s="10" t="s">
        <v>67</v>
      </c>
      <c r="V1398" s="8" t="s">
        <v>54</v>
      </c>
      <c r="W1398" s="8" t="s">
        <v>54</v>
      </c>
      <c r="X1398" s="8" t="s">
        <v>54</v>
      </c>
      <c r="Y1398" s="8" t="s">
        <v>54</v>
      </c>
      <c r="Z1398" s="12" t="s">
        <v>55</v>
      </c>
      <c r="AA1398" s="12" t="s">
        <v>55</v>
      </c>
      <c r="AB1398" s="10" t="s">
        <v>67</v>
      </c>
      <c r="AC1398" s="8" t="s">
        <v>54</v>
      </c>
      <c r="AD1398" s="8" t="s">
        <v>54</v>
      </c>
      <c r="AE1398" s="8" t="s">
        <v>54</v>
      </c>
      <c r="AF1398" s="8" t="s">
        <v>54</v>
      </c>
      <c r="AG1398" s="8" t="s">
        <v>54</v>
      </c>
      <c r="AH1398" s="8" t="s">
        <v>54</v>
      </c>
      <c r="AI1398" s="10" t="s">
        <v>67</v>
      </c>
      <c r="AJ1398" s="8">
        <f>COUNTIF($E$1398:$AI$1398,"P")</f>
        <v>24</v>
      </c>
      <c r="AK1398" s="8">
        <f>COUNTIF($E$1398:$AI$1398,"A")</f>
        <v>2</v>
      </c>
      <c r="AL1398" s="8">
        <f>SUM($E$1399:$AI$1399)</f>
        <v>37</v>
      </c>
      <c r="AM1398" s="8">
        <f>SUM($E$1400:$AI$1400)</f>
        <v>18</v>
      </c>
      <c r="AN1398" s="8">
        <f>AL1398+AM1398</f>
        <v>54.5</v>
      </c>
      <c r="AO1398" s="8">
        <f>COUNTIF($E$1398:$AI$1398,"CL")</f>
        <v>0</v>
      </c>
      <c r="AP1398" s="8">
        <f>COUNTIF($E$1398:$AI$1398,"SL")</f>
        <v>0</v>
      </c>
      <c r="AQ1398" s="8">
        <f>COUNTIF($E$1398:$AI$1398,"EL")</f>
        <v>0</v>
      </c>
      <c r="AR1398" s="8">
        <f>COUNTIF($E$1398:$AI$1398,"H")</f>
        <v>0</v>
      </c>
      <c r="AS1398" s="8"/>
      <c r="AT1398" s="11" t="s">
        <v>250</v>
      </c>
    </row>
    <row r="1399" spans="1:46" ht="15.1" customHeight="1">
      <c r="A1399" s="8"/>
      <c r="B1399" s="9"/>
      <c r="C1399" s="8"/>
      <c r="D1399" s="9"/>
      <c r="E1399" s="8">
        <v>0</v>
      </c>
      <c r="F1399" s="8">
        <v>0</v>
      </c>
      <c r="G1399" s="8">
        <v>0</v>
      </c>
      <c r="H1399" s="8">
        <v>2</v>
      </c>
      <c r="I1399" s="8">
        <v>0</v>
      </c>
      <c r="J1399" s="8">
        <v>0</v>
      </c>
      <c r="K1399" s="8">
        <v>0</v>
      </c>
      <c r="L1399" s="8">
        <v>2</v>
      </c>
      <c r="M1399" s="8">
        <v>2</v>
      </c>
      <c r="N1399" s="8">
        <v>0</v>
      </c>
      <c r="O1399" s="8">
        <v>2</v>
      </c>
      <c r="P1399" s="8">
        <v>2</v>
      </c>
      <c r="Q1399" s="8">
        <v>2</v>
      </c>
      <c r="R1399" s="8">
        <v>2</v>
      </c>
      <c r="S1399" s="8">
        <v>2</v>
      </c>
      <c r="T1399" s="8">
        <v>2</v>
      </c>
      <c r="U1399" s="8">
        <v>0</v>
      </c>
      <c r="V1399" s="8">
        <v>2</v>
      </c>
      <c r="W1399" s="8">
        <v>1</v>
      </c>
      <c r="X1399" s="8">
        <v>2</v>
      </c>
      <c r="Y1399" s="8">
        <v>2</v>
      </c>
      <c r="Z1399" s="8">
        <v>0</v>
      </c>
      <c r="AA1399" s="8">
        <v>0</v>
      </c>
      <c r="AB1399" s="8">
        <v>0</v>
      </c>
      <c r="AC1399" s="8">
        <v>2</v>
      </c>
      <c r="AD1399" s="8">
        <v>2</v>
      </c>
      <c r="AE1399" s="8">
        <v>2</v>
      </c>
      <c r="AF1399" s="8">
        <v>2</v>
      </c>
      <c r="AG1399" s="8">
        <v>2</v>
      </c>
      <c r="AH1399" s="8">
        <v>2</v>
      </c>
      <c r="AI1399" s="8">
        <v>0</v>
      </c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11" t="s">
        <v>250</v>
      </c>
    </row>
    <row r="1400" spans="1:46" ht="15.1" customHeight="1">
      <c r="A1400" s="8"/>
      <c r="B1400" s="9"/>
      <c r="C1400" s="8"/>
      <c r="D1400" s="9"/>
      <c r="E1400" s="8">
        <v>0</v>
      </c>
      <c r="F1400" s="8">
        <v>0</v>
      </c>
      <c r="G1400" s="8">
        <v>0</v>
      </c>
      <c r="H1400" s="8">
        <v>1</v>
      </c>
      <c r="I1400" s="8">
        <v>0</v>
      </c>
      <c r="J1400" s="8">
        <v>0</v>
      </c>
      <c r="K1400" s="8">
        <v>0</v>
      </c>
      <c r="L1400" s="8">
        <v>1</v>
      </c>
      <c r="M1400" s="8">
        <v>1</v>
      </c>
      <c r="N1400" s="8">
        <v>0</v>
      </c>
      <c r="O1400" s="8">
        <v>1</v>
      </c>
      <c r="P1400" s="8">
        <v>1</v>
      </c>
      <c r="Q1400" s="8">
        <v>1</v>
      </c>
      <c r="R1400" s="8">
        <v>1</v>
      </c>
      <c r="S1400" s="8">
        <v>1</v>
      </c>
      <c r="T1400" s="8">
        <v>1</v>
      </c>
      <c r="U1400" s="8">
        <v>0</v>
      </c>
      <c r="V1400" s="8">
        <v>1</v>
      </c>
      <c r="W1400" s="8">
        <v>0</v>
      </c>
      <c r="X1400" s="8">
        <v>1</v>
      </c>
      <c r="Y1400" s="8">
        <v>1</v>
      </c>
      <c r="Z1400" s="8">
        <v>0</v>
      </c>
      <c r="AA1400" s="8">
        <v>0</v>
      </c>
      <c r="AB1400" s="8">
        <v>0</v>
      </c>
      <c r="AC1400" s="8">
        <v>1</v>
      </c>
      <c r="AD1400" s="8">
        <v>1</v>
      </c>
      <c r="AE1400" s="8">
        <v>1</v>
      </c>
      <c r="AF1400" s="8">
        <v>1</v>
      </c>
      <c r="AG1400" s="8">
        <v>1</v>
      </c>
      <c r="AH1400" s="8">
        <v>1</v>
      </c>
      <c r="AI1400" s="8">
        <v>0</v>
      </c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11" t="s">
        <v>250</v>
      </c>
    </row>
    <row r="1401" spans="1:46" ht="15.1" customHeight="1">
      <c r="A1401" s="8">
        <v>466</v>
      </c>
      <c r="B1401" s="9" t="s">
        <v>1183</v>
      </c>
      <c r="C1401" s="8" t="s">
        <v>1184</v>
      </c>
      <c r="D1401" s="9" t="s">
        <v>451</v>
      </c>
      <c r="E1401" s="8" t="s">
        <v>54</v>
      </c>
      <c r="F1401" s="8" t="s">
        <v>54</v>
      </c>
      <c r="G1401" s="10" t="s">
        <v>67</v>
      </c>
      <c r="H1401" s="12" t="s">
        <v>55</v>
      </c>
      <c r="I1401" s="12" t="s">
        <v>55</v>
      </c>
      <c r="J1401" s="12" t="s">
        <v>55</v>
      </c>
      <c r="K1401" s="12" t="s">
        <v>55</v>
      </c>
      <c r="L1401" s="12" t="s">
        <v>55</v>
      </c>
      <c r="M1401" s="12" t="s">
        <v>55</v>
      </c>
      <c r="N1401" s="10" t="s">
        <v>67</v>
      </c>
      <c r="O1401" s="8" t="s">
        <v>54</v>
      </c>
      <c r="P1401" s="8" t="s">
        <v>54</v>
      </c>
      <c r="Q1401" s="8" t="s">
        <v>54</v>
      </c>
      <c r="R1401" s="8" t="s">
        <v>54</v>
      </c>
      <c r="S1401" s="8" t="s">
        <v>54</v>
      </c>
      <c r="T1401" s="8" t="s">
        <v>54</v>
      </c>
      <c r="U1401" s="10" t="s">
        <v>67</v>
      </c>
      <c r="V1401" s="8" t="s">
        <v>54</v>
      </c>
      <c r="W1401" s="8" t="s">
        <v>54</v>
      </c>
      <c r="X1401" s="8" t="s">
        <v>54</v>
      </c>
      <c r="Y1401" s="8" t="s">
        <v>54</v>
      </c>
      <c r="Z1401" s="8" t="s">
        <v>54</v>
      </c>
      <c r="AA1401" s="8" t="s">
        <v>54</v>
      </c>
      <c r="AB1401" s="10" t="s">
        <v>67</v>
      </c>
      <c r="AC1401" s="8" t="s">
        <v>54</v>
      </c>
      <c r="AD1401" s="8" t="s">
        <v>54</v>
      </c>
      <c r="AE1401" s="8" t="s">
        <v>54</v>
      </c>
      <c r="AF1401" s="8" t="s">
        <v>54</v>
      </c>
      <c r="AG1401" s="8" t="s">
        <v>54</v>
      </c>
      <c r="AH1401" s="8" t="s">
        <v>54</v>
      </c>
      <c r="AI1401" s="10" t="s">
        <v>67</v>
      </c>
      <c r="AJ1401" s="8">
        <f>COUNTIF($E$1401:$AI$1401,"P")</f>
        <v>20</v>
      </c>
      <c r="AK1401" s="8">
        <f>COUNTIF($E$1401:$AI$1401,"A")</f>
        <v>6</v>
      </c>
      <c r="AL1401" s="8">
        <f>SUM($E$1402:$AI$1402)</f>
        <v>32</v>
      </c>
      <c r="AM1401" s="8">
        <f>SUM($E$1403:$AI$1403)</f>
        <v>16</v>
      </c>
      <c r="AN1401" s="8">
        <f>AL1401+AM1401</f>
        <v>48</v>
      </c>
      <c r="AO1401" s="8">
        <f>COUNTIF($E$1401:$AI$1401,"CL")</f>
        <v>0</v>
      </c>
      <c r="AP1401" s="8">
        <f>COUNTIF($E$1401:$AI$1401,"SL")</f>
        <v>0</v>
      </c>
      <c r="AQ1401" s="8">
        <f>COUNTIF($E$1401:$AI$1401,"EL")</f>
        <v>0</v>
      </c>
      <c r="AR1401" s="8">
        <f>COUNTIF($E$1401:$AI$1401,"H")</f>
        <v>0</v>
      </c>
      <c r="AS1401" s="8"/>
      <c r="AT1401" s="11" t="s">
        <v>250</v>
      </c>
    </row>
    <row r="1402" spans="1:46" ht="15.1" customHeight="1">
      <c r="A1402" s="8"/>
      <c r="B1402" s="9"/>
      <c r="C1402" s="8"/>
      <c r="D1402" s="9"/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2</v>
      </c>
      <c r="P1402" s="8">
        <v>2</v>
      </c>
      <c r="Q1402" s="8">
        <v>2</v>
      </c>
      <c r="R1402" s="8">
        <v>2</v>
      </c>
      <c r="S1402" s="8">
        <v>2</v>
      </c>
      <c r="T1402" s="8">
        <v>2</v>
      </c>
      <c r="U1402" s="8">
        <v>0</v>
      </c>
      <c r="V1402" s="8">
        <v>2</v>
      </c>
      <c r="W1402" s="8">
        <v>2</v>
      </c>
      <c r="X1402" s="8">
        <v>2</v>
      </c>
      <c r="Y1402" s="8">
        <v>2</v>
      </c>
      <c r="Z1402" s="8">
        <v>0</v>
      </c>
      <c r="AA1402" s="8">
        <v>2</v>
      </c>
      <c r="AB1402" s="8">
        <v>0</v>
      </c>
      <c r="AC1402" s="8">
        <v>2</v>
      </c>
      <c r="AD1402" s="8">
        <v>2</v>
      </c>
      <c r="AE1402" s="8">
        <v>2</v>
      </c>
      <c r="AF1402" s="8">
        <v>2</v>
      </c>
      <c r="AG1402" s="8">
        <v>2</v>
      </c>
      <c r="AH1402" s="8">
        <v>0</v>
      </c>
      <c r="AI1402" s="8">
        <v>0</v>
      </c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11" t="s">
        <v>250</v>
      </c>
    </row>
    <row r="1403" spans="1:46" ht="15.1" customHeight="1">
      <c r="A1403" s="8"/>
      <c r="B1403" s="9"/>
      <c r="C1403" s="8"/>
      <c r="D1403" s="9"/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1</v>
      </c>
      <c r="P1403" s="8">
        <v>1</v>
      </c>
      <c r="Q1403" s="8">
        <v>1</v>
      </c>
      <c r="R1403" s="8">
        <v>1</v>
      </c>
      <c r="S1403" s="8">
        <v>1</v>
      </c>
      <c r="T1403" s="8">
        <v>1</v>
      </c>
      <c r="U1403" s="8">
        <v>0</v>
      </c>
      <c r="V1403" s="8">
        <v>1</v>
      </c>
      <c r="W1403" s="8">
        <v>1</v>
      </c>
      <c r="X1403" s="8">
        <v>1</v>
      </c>
      <c r="Y1403" s="8">
        <v>1</v>
      </c>
      <c r="Z1403" s="8">
        <v>0</v>
      </c>
      <c r="AA1403" s="8">
        <v>1</v>
      </c>
      <c r="AB1403" s="8">
        <v>0</v>
      </c>
      <c r="AC1403" s="8">
        <v>1</v>
      </c>
      <c r="AD1403" s="8">
        <v>1</v>
      </c>
      <c r="AE1403" s="8">
        <v>1</v>
      </c>
      <c r="AF1403" s="8">
        <v>1</v>
      </c>
      <c r="AG1403" s="8">
        <v>1</v>
      </c>
      <c r="AH1403" s="8">
        <v>0</v>
      </c>
      <c r="AI1403" s="8">
        <v>0</v>
      </c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11" t="s">
        <v>250</v>
      </c>
    </row>
    <row r="1404" spans="1:46" ht="15.1" customHeight="1">
      <c r="A1404" s="8">
        <v>467</v>
      </c>
      <c r="B1404" s="9" t="s">
        <v>1185</v>
      </c>
      <c r="C1404" s="8" t="s">
        <v>1186</v>
      </c>
      <c r="D1404" s="9" t="s">
        <v>451</v>
      </c>
      <c r="E1404" s="8" t="s">
        <v>54</v>
      </c>
      <c r="F1404" s="8" t="s">
        <v>54</v>
      </c>
      <c r="G1404" s="10" t="s">
        <v>67</v>
      </c>
      <c r="H1404" s="8" t="s">
        <v>54</v>
      </c>
      <c r="I1404" s="8" t="s">
        <v>54</v>
      </c>
      <c r="J1404" s="8" t="s">
        <v>54</v>
      </c>
      <c r="K1404" s="8" t="s">
        <v>54</v>
      </c>
      <c r="L1404" s="8" t="s">
        <v>54</v>
      </c>
      <c r="M1404" s="8" t="s">
        <v>54</v>
      </c>
      <c r="N1404" s="10" t="s">
        <v>67</v>
      </c>
      <c r="O1404" s="8" t="s">
        <v>54</v>
      </c>
      <c r="P1404" s="8" t="s">
        <v>54</v>
      </c>
      <c r="Q1404" s="8" t="s">
        <v>54</v>
      </c>
      <c r="R1404" s="8" t="s">
        <v>54</v>
      </c>
      <c r="S1404" s="8" t="s">
        <v>54</v>
      </c>
      <c r="T1404" s="8" t="s">
        <v>54</v>
      </c>
      <c r="U1404" s="10" t="s">
        <v>67</v>
      </c>
      <c r="V1404" s="8"/>
      <c r="W1404" s="8"/>
      <c r="X1404" s="8"/>
      <c r="Y1404" s="8"/>
      <c r="Z1404" s="8"/>
      <c r="AA1404" s="8"/>
      <c r="AB1404" s="10"/>
      <c r="AC1404" s="8"/>
      <c r="AD1404" s="8"/>
      <c r="AE1404" s="8"/>
      <c r="AF1404" s="8"/>
      <c r="AG1404" s="8"/>
      <c r="AH1404" s="8"/>
      <c r="AI1404" s="10"/>
      <c r="AJ1404" s="8">
        <f>COUNTIF($E$1404:$AI$1404,"P")</f>
        <v>14</v>
      </c>
      <c r="AK1404" s="8">
        <f>COUNTIF($E$1404:$AI$1404,"A")</f>
        <v>0</v>
      </c>
      <c r="AL1404" s="8">
        <f>SUM($E$1405:$AI$1405)</f>
        <v>20</v>
      </c>
      <c r="AM1404" s="8">
        <f>SUM($E$1406:$AI$1406)</f>
        <v>22</v>
      </c>
      <c r="AN1404" s="8">
        <f>AL1404+AM1404</f>
        <v>42</v>
      </c>
      <c r="AO1404" s="8">
        <f>COUNTIF($E$1404:$AI$1404,"CL")</f>
        <v>0</v>
      </c>
      <c r="AP1404" s="8">
        <f>COUNTIF($E$1404:$AI$1404,"SL")</f>
        <v>0</v>
      </c>
      <c r="AQ1404" s="8">
        <f>COUNTIF($E$1404:$AI$1404,"EL")</f>
        <v>0</v>
      </c>
      <c r="AR1404" s="8">
        <f>COUNTIF($E$1404:$AI$1404,"H")</f>
        <v>0</v>
      </c>
      <c r="AS1404" s="8"/>
      <c r="AT1404" s="11" t="s">
        <v>250</v>
      </c>
    </row>
    <row r="1405" spans="1:46" ht="15.1" customHeight="1">
      <c r="A1405" s="8"/>
      <c r="B1405" s="9"/>
      <c r="C1405" s="8"/>
      <c r="D1405" s="9"/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2</v>
      </c>
      <c r="K1405" s="8">
        <v>2</v>
      </c>
      <c r="L1405" s="8">
        <v>2</v>
      </c>
      <c r="M1405" s="8">
        <v>2</v>
      </c>
      <c r="N1405" s="8">
        <v>0</v>
      </c>
      <c r="O1405" s="8">
        <v>2</v>
      </c>
      <c r="P1405" s="8">
        <v>2</v>
      </c>
      <c r="Q1405" s="8">
        <v>2</v>
      </c>
      <c r="R1405" s="8">
        <v>2</v>
      </c>
      <c r="S1405" s="8">
        <v>2</v>
      </c>
      <c r="T1405" s="8">
        <v>2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11" t="s">
        <v>250</v>
      </c>
    </row>
    <row r="1406" spans="1:46" ht="15.1" customHeight="1">
      <c r="A1406" s="8"/>
      <c r="B1406" s="9"/>
      <c r="C1406" s="8"/>
      <c r="D1406" s="9"/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1</v>
      </c>
      <c r="K1406" s="8">
        <v>1</v>
      </c>
      <c r="L1406" s="8">
        <v>1</v>
      </c>
      <c r="M1406" s="8">
        <v>1</v>
      </c>
      <c r="N1406" s="8">
        <v>12</v>
      </c>
      <c r="O1406" s="8">
        <v>1</v>
      </c>
      <c r="P1406" s="8">
        <v>1</v>
      </c>
      <c r="Q1406" s="8">
        <v>1</v>
      </c>
      <c r="R1406" s="8">
        <v>1</v>
      </c>
      <c r="S1406" s="8">
        <v>1</v>
      </c>
      <c r="T1406" s="8">
        <v>1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11" t="s">
        <v>250</v>
      </c>
    </row>
    <row r="1407" spans="1:46" ht="15.1" customHeight="1">
      <c r="A1407" s="8">
        <v>468</v>
      </c>
      <c r="B1407" s="9" t="s">
        <v>1187</v>
      </c>
      <c r="C1407" s="8" t="s">
        <v>1188</v>
      </c>
      <c r="D1407" s="9" t="s">
        <v>451</v>
      </c>
      <c r="E1407" s="8" t="s">
        <v>54</v>
      </c>
      <c r="F1407" s="8" t="s">
        <v>54</v>
      </c>
      <c r="G1407" s="10" t="s">
        <v>67</v>
      </c>
      <c r="H1407" s="8" t="s">
        <v>54</v>
      </c>
      <c r="I1407" s="8" t="s">
        <v>54</v>
      </c>
      <c r="J1407" s="8" t="s">
        <v>54</v>
      </c>
      <c r="K1407" s="8" t="s">
        <v>54</v>
      </c>
      <c r="L1407" s="12" t="s">
        <v>55</v>
      </c>
      <c r="M1407" s="12" t="s">
        <v>55</v>
      </c>
      <c r="N1407" s="10" t="s">
        <v>67</v>
      </c>
      <c r="O1407" s="8" t="s">
        <v>54</v>
      </c>
      <c r="P1407" s="8" t="s">
        <v>54</v>
      </c>
      <c r="Q1407" s="8" t="s">
        <v>54</v>
      </c>
      <c r="R1407" s="8" t="s">
        <v>54</v>
      </c>
      <c r="S1407" s="8" t="s">
        <v>54</v>
      </c>
      <c r="T1407" s="8" t="s">
        <v>54</v>
      </c>
      <c r="U1407" s="10" t="s">
        <v>67</v>
      </c>
      <c r="V1407" s="12" t="s">
        <v>55</v>
      </c>
      <c r="W1407" s="12" t="s">
        <v>55</v>
      </c>
      <c r="X1407" s="8" t="s">
        <v>54</v>
      </c>
      <c r="Y1407" s="8" t="s">
        <v>54</v>
      </c>
      <c r="Z1407" s="8" t="s">
        <v>54</v>
      </c>
      <c r="AA1407" s="8" t="s">
        <v>54</v>
      </c>
      <c r="AB1407" s="10" t="s">
        <v>67</v>
      </c>
      <c r="AC1407" s="8" t="s">
        <v>54</v>
      </c>
      <c r="AD1407" s="8" t="s">
        <v>54</v>
      </c>
      <c r="AE1407" s="8" t="s">
        <v>54</v>
      </c>
      <c r="AF1407" s="8" t="s">
        <v>54</v>
      </c>
      <c r="AG1407" s="8" t="s">
        <v>54</v>
      </c>
      <c r="AH1407" s="8" t="s">
        <v>54</v>
      </c>
      <c r="AI1407" s="10" t="s">
        <v>67</v>
      </c>
      <c r="AJ1407" s="8">
        <f>COUNTIF($E$1407:$AI$1407,"P")</f>
        <v>22</v>
      </c>
      <c r="AK1407" s="8">
        <f>COUNTIF($E$1407:$AI$1407,"A")</f>
        <v>4</v>
      </c>
      <c r="AL1407" s="8">
        <f>SUM($E$1408:$AI$1408)</f>
        <v>40</v>
      </c>
      <c r="AM1407" s="8">
        <f>SUM($E$1409:$AI$1409)</f>
        <v>20</v>
      </c>
      <c r="AN1407" s="8">
        <f>AL1407+AM1407</f>
        <v>60</v>
      </c>
      <c r="AO1407" s="8">
        <f>COUNTIF($E$1407:$AI$1407,"CL")</f>
        <v>0</v>
      </c>
      <c r="AP1407" s="8">
        <f>COUNTIF($E$1407:$AI$1407,"SL")</f>
        <v>0</v>
      </c>
      <c r="AQ1407" s="8">
        <f>COUNTIF($E$1407:$AI$1407,"EL")</f>
        <v>0</v>
      </c>
      <c r="AR1407" s="8">
        <f>COUNTIF($E$1407:$AI$1407,"H")</f>
        <v>0</v>
      </c>
      <c r="AS1407" s="8"/>
      <c r="AT1407" s="11" t="s">
        <v>250</v>
      </c>
    </row>
    <row r="1408" spans="1:46" ht="15.1" customHeight="1">
      <c r="A1408" s="8"/>
      <c r="B1408" s="9"/>
      <c r="C1408" s="8"/>
      <c r="D1408" s="9"/>
      <c r="E1408" s="8">
        <v>2</v>
      </c>
      <c r="F1408" s="8">
        <v>2</v>
      </c>
      <c r="G1408" s="8">
        <v>0</v>
      </c>
      <c r="H1408" s="8">
        <v>2</v>
      </c>
      <c r="I1408" s="8">
        <v>2</v>
      </c>
      <c r="J1408" s="8">
        <v>2</v>
      </c>
      <c r="K1408" s="8">
        <v>2</v>
      </c>
      <c r="L1408" s="8">
        <v>0</v>
      </c>
      <c r="M1408" s="8">
        <v>0</v>
      </c>
      <c r="N1408" s="8">
        <v>0</v>
      </c>
      <c r="O1408" s="8">
        <v>2</v>
      </c>
      <c r="P1408" s="8">
        <v>2</v>
      </c>
      <c r="Q1408" s="8">
        <v>2</v>
      </c>
      <c r="R1408" s="8">
        <v>2</v>
      </c>
      <c r="S1408" s="8">
        <v>2</v>
      </c>
      <c r="T1408" s="8">
        <v>2</v>
      </c>
      <c r="U1408" s="8">
        <v>0</v>
      </c>
      <c r="V1408" s="8">
        <v>0</v>
      </c>
      <c r="W1408" s="8">
        <v>0</v>
      </c>
      <c r="X1408" s="8">
        <v>0</v>
      </c>
      <c r="Y1408" s="8">
        <v>2</v>
      </c>
      <c r="Z1408" s="8">
        <v>0</v>
      </c>
      <c r="AA1408" s="8">
        <v>2</v>
      </c>
      <c r="AB1408" s="8">
        <v>0</v>
      </c>
      <c r="AC1408" s="8">
        <v>2</v>
      </c>
      <c r="AD1408" s="8">
        <v>2</v>
      </c>
      <c r="AE1408" s="8">
        <v>2</v>
      </c>
      <c r="AF1408" s="8">
        <v>2</v>
      </c>
      <c r="AG1408" s="8">
        <v>2</v>
      </c>
      <c r="AH1408" s="8">
        <v>2</v>
      </c>
      <c r="AI1408" s="8">
        <v>0</v>
      </c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11" t="s">
        <v>250</v>
      </c>
    </row>
    <row r="1409" spans="1:46" ht="15.1" customHeight="1">
      <c r="A1409" s="8"/>
      <c r="B1409" s="9"/>
      <c r="C1409" s="8"/>
      <c r="D1409" s="9"/>
      <c r="E1409" s="8">
        <v>1</v>
      </c>
      <c r="F1409" s="8">
        <v>1</v>
      </c>
      <c r="G1409" s="8">
        <v>0</v>
      </c>
      <c r="H1409" s="8">
        <v>1</v>
      </c>
      <c r="I1409" s="8">
        <v>1</v>
      </c>
      <c r="J1409" s="8">
        <v>1</v>
      </c>
      <c r="K1409" s="8">
        <v>1</v>
      </c>
      <c r="L1409" s="8">
        <v>0</v>
      </c>
      <c r="M1409" s="8">
        <v>0</v>
      </c>
      <c r="N1409" s="8">
        <v>0</v>
      </c>
      <c r="O1409" s="8">
        <v>1</v>
      </c>
      <c r="P1409" s="8">
        <v>1</v>
      </c>
      <c r="Q1409" s="8">
        <v>1</v>
      </c>
      <c r="R1409" s="8">
        <v>1</v>
      </c>
      <c r="S1409" s="8">
        <v>1</v>
      </c>
      <c r="T1409" s="8">
        <v>1</v>
      </c>
      <c r="U1409" s="8">
        <v>0</v>
      </c>
      <c r="V1409" s="8">
        <v>0</v>
      </c>
      <c r="W1409" s="8">
        <v>0</v>
      </c>
      <c r="X1409" s="8">
        <v>0</v>
      </c>
      <c r="Y1409" s="8">
        <v>1</v>
      </c>
      <c r="Z1409" s="8">
        <v>0</v>
      </c>
      <c r="AA1409" s="8">
        <v>1</v>
      </c>
      <c r="AB1409" s="8">
        <v>0</v>
      </c>
      <c r="AC1409" s="8">
        <v>1</v>
      </c>
      <c r="AD1409" s="8">
        <v>1</v>
      </c>
      <c r="AE1409" s="8">
        <v>1</v>
      </c>
      <c r="AF1409" s="8">
        <v>1</v>
      </c>
      <c r="AG1409" s="8">
        <v>1</v>
      </c>
      <c r="AH1409" s="8">
        <v>1</v>
      </c>
      <c r="AI1409" s="8">
        <v>0</v>
      </c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11" t="s">
        <v>250</v>
      </c>
    </row>
    <row r="1410" spans="1:46" ht="15.1" customHeight="1">
      <c r="A1410" s="8">
        <v>469</v>
      </c>
      <c r="B1410" s="9" t="s">
        <v>1189</v>
      </c>
      <c r="C1410" s="8" t="s">
        <v>1190</v>
      </c>
      <c r="D1410" s="9" t="s">
        <v>451</v>
      </c>
      <c r="E1410" s="8" t="s">
        <v>54</v>
      </c>
      <c r="F1410" s="8" t="s">
        <v>54</v>
      </c>
      <c r="G1410" s="10" t="s">
        <v>67</v>
      </c>
      <c r="H1410" s="8" t="s">
        <v>54</v>
      </c>
      <c r="I1410" s="8" t="s">
        <v>54</v>
      </c>
      <c r="J1410" s="8" t="s">
        <v>54</v>
      </c>
      <c r="K1410" s="8" t="s">
        <v>54</v>
      </c>
      <c r="L1410" s="8" t="s">
        <v>54</v>
      </c>
      <c r="M1410" s="8" t="s">
        <v>54</v>
      </c>
      <c r="N1410" s="10" t="s">
        <v>67</v>
      </c>
      <c r="O1410" s="8" t="s">
        <v>54</v>
      </c>
      <c r="P1410" s="8" t="s">
        <v>54</v>
      </c>
      <c r="Q1410" s="8" t="s">
        <v>54</v>
      </c>
      <c r="R1410" s="8" t="s">
        <v>54</v>
      </c>
      <c r="S1410" s="8" t="s">
        <v>54</v>
      </c>
      <c r="T1410" s="8" t="s">
        <v>54</v>
      </c>
      <c r="U1410" s="10" t="s">
        <v>67</v>
      </c>
      <c r="V1410" s="8" t="s">
        <v>54</v>
      </c>
      <c r="W1410" s="8" t="s">
        <v>54</v>
      </c>
      <c r="X1410" s="8" t="s">
        <v>54</v>
      </c>
      <c r="Y1410" s="8" t="s">
        <v>54</v>
      </c>
      <c r="Z1410" s="8" t="s">
        <v>54</v>
      </c>
      <c r="AA1410" s="8" t="s">
        <v>54</v>
      </c>
      <c r="AB1410" s="10" t="s">
        <v>67</v>
      </c>
      <c r="AC1410" s="8" t="s">
        <v>54</v>
      </c>
      <c r="AD1410" s="8" t="s">
        <v>54</v>
      </c>
      <c r="AE1410" s="8" t="s">
        <v>54</v>
      </c>
      <c r="AF1410" s="8" t="s">
        <v>54</v>
      </c>
      <c r="AG1410" s="8" t="s">
        <v>54</v>
      </c>
      <c r="AH1410" s="8" t="s">
        <v>54</v>
      </c>
      <c r="AI1410" s="10" t="s">
        <v>67</v>
      </c>
      <c r="AJ1410" s="8">
        <f>COUNTIF($E$1410:$AI$1410,"P")</f>
        <v>26</v>
      </c>
      <c r="AK1410" s="8">
        <f>COUNTIF($E$1410:$AI$1410,"A")</f>
        <v>0</v>
      </c>
      <c r="AL1410" s="8">
        <f>SUM($E$1411:$AI$1411)</f>
        <v>44</v>
      </c>
      <c r="AM1410" s="8">
        <f>SUM($E$1412:$AI$1412)</f>
        <v>22</v>
      </c>
      <c r="AN1410" s="8">
        <f>AL1410+AM1410</f>
        <v>66</v>
      </c>
      <c r="AO1410" s="8">
        <f>COUNTIF($E$1410:$AI$1410,"CL")</f>
        <v>0</v>
      </c>
      <c r="AP1410" s="8">
        <f>COUNTIF($E$1410:$AI$1410,"SL")</f>
        <v>0</v>
      </c>
      <c r="AQ1410" s="8">
        <f>COUNTIF($E$1410:$AI$1410,"EL")</f>
        <v>0</v>
      </c>
      <c r="AR1410" s="8">
        <f>COUNTIF($E$1410:$AI$1410,"H")</f>
        <v>0</v>
      </c>
      <c r="AS1410" s="8"/>
      <c r="AT1410" s="11" t="s">
        <v>250</v>
      </c>
    </row>
    <row r="1411" spans="1:46" ht="15.1" customHeight="1">
      <c r="A1411" s="8"/>
      <c r="B1411" s="9"/>
      <c r="C1411" s="8"/>
      <c r="D1411" s="9"/>
      <c r="E1411" s="8">
        <v>0</v>
      </c>
      <c r="F1411" s="8">
        <v>0</v>
      </c>
      <c r="G1411" s="8">
        <v>0</v>
      </c>
      <c r="H1411" s="8">
        <v>0</v>
      </c>
      <c r="I1411" s="8">
        <v>2</v>
      </c>
      <c r="J1411" s="8">
        <v>2</v>
      </c>
      <c r="K1411" s="8">
        <v>2</v>
      </c>
      <c r="L1411" s="8">
        <v>2</v>
      </c>
      <c r="M1411" s="8">
        <v>2</v>
      </c>
      <c r="N1411" s="8">
        <v>0</v>
      </c>
      <c r="O1411" s="8">
        <v>2</v>
      </c>
      <c r="P1411" s="8">
        <v>2</v>
      </c>
      <c r="Q1411" s="8">
        <v>2</v>
      </c>
      <c r="R1411" s="8">
        <v>2</v>
      </c>
      <c r="S1411" s="8">
        <v>2</v>
      </c>
      <c r="T1411" s="8">
        <v>2</v>
      </c>
      <c r="U1411" s="8">
        <v>0</v>
      </c>
      <c r="V1411" s="8">
        <v>2</v>
      </c>
      <c r="W1411" s="8">
        <v>2</v>
      </c>
      <c r="X1411" s="8">
        <v>2</v>
      </c>
      <c r="Y1411" s="8">
        <v>2</v>
      </c>
      <c r="Z1411" s="8">
        <v>0</v>
      </c>
      <c r="AA1411" s="8">
        <v>2</v>
      </c>
      <c r="AB1411" s="8">
        <v>0</v>
      </c>
      <c r="AC1411" s="8">
        <v>2</v>
      </c>
      <c r="AD1411" s="8">
        <v>2</v>
      </c>
      <c r="AE1411" s="8">
        <v>2</v>
      </c>
      <c r="AF1411" s="8">
        <v>2</v>
      </c>
      <c r="AG1411" s="8">
        <v>2</v>
      </c>
      <c r="AH1411" s="8">
        <v>2</v>
      </c>
      <c r="AI1411" s="8">
        <v>0</v>
      </c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11" t="s">
        <v>250</v>
      </c>
    </row>
    <row r="1412" spans="1:46" ht="15.1" customHeight="1">
      <c r="A1412" s="8"/>
      <c r="B1412" s="9"/>
      <c r="C1412" s="8"/>
      <c r="D1412" s="9"/>
      <c r="E1412" s="8">
        <v>0</v>
      </c>
      <c r="F1412" s="8">
        <v>0</v>
      </c>
      <c r="G1412" s="8">
        <v>0</v>
      </c>
      <c r="H1412" s="8">
        <v>0</v>
      </c>
      <c r="I1412" s="8">
        <v>1</v>
      </c>
      <c r="J1412" s="8">
        <v>1</v>
      </c>
      <c r="K1412" s="8">
        <v>1</v>
      </c>
      <c r="L1412" s="8">
        <v>1</v>
      </c>
      <c r="M1412" s="8">
        <v>1</v>
      </c>
      <c r="N1412" s="8">
        <v>0</v>
      </c>
      <c r="O1412" s="8">
        <v>1</v>
      </c>
      <c r="P1412" s="8">
        <v>1</v>
      </c>
      <c r="Q1412" s="8">
        <v>1</v>
      </c>
      <c r="R1412" s="8">
        <v>1</v>
      </c>
      <c r="S1412" s="8">
        <v>1</v>
      </c>
      <c r="T1412" s="8">
        <v>1</v>
      </c>
      <c r="U1412" s="8">
        <v>0</v>
      </c>
      <c r="V1412" s="8">
        <v>1</v>
      </c>
      <c r="W1412" s="8">
        <v>1</v>
      </c>
      <c r="X1412" s="8">
        <v>1</v>
      </c>
      <c r="Y1412" s="8">
        <v>1</v>
      </c>
      <c r="Z1412" s="8">
        <v>0</v>
      </c>
      <c r="AA1412" s="8">
        <v>1</v>
      </c>
      <c r="AB1412" s="8">
        <v>0</v>
      </c>
      <c r="AC1412" s="8">
        <v>1</v>
      </c>
      <c r="AD1412" s="8">
        <v>1</v>
      </c>
      <c r="AE1412" s="8">
        <v>1</v>
      </c>
      <c r="AF1412" s="8">
        <v>1</v>
      </c>
      <c r="AG1412" s="8">
        <v>1</v>
      </c>
      <c r="AH1412" s="8">
        <v>1</v>
      </c>
      <c r="AI1412" s="8">
        <v>0</v>
      </c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11" t="s">
        <v>250</v>
      </c>
    </row>
    <row r="1413" spans="1:46" ht="15.1" customHeight="1">
      <c r="A1413" s="8">
        <v>470</v>
      </c>
      <c r="B1413" s="9" t="s">
        <v>1191</v>
      </c>
      <c r="C1413" s="8" t="s">
        <v>1192</v>
      </c>
      <c r="D1413" s="9" t="s">
        <v>451</v>
      </c>
      <c r="E1413" s="8" t="s">
        <v>54</v>
      </c>
      <c r="F1413" s="8" t="s">
        <v>54</v>
      </c>
      <c r="G1413" s="10" t="s">
        <v>67</v>
      </c>
      <c r="H1413" s="8" t="s">
        <v>54</v>
      </c>
      <c r="I1413" s="8" t="s">
        <v>54</v>
      </c>
      <c r="J1413" s="8" t="s">
        <v>54</v>
      </c>
      <c r="K1413" s="8" t="s">
        <v>54</v>
      </c>
      <c r="L1413" s="8" t="s">
        <v>54</v>
      </c>
      <c r="M1413" s="8" t="s">
        <v>54</v>
      </c>
      <c r="N1413" s="10" t="s">
        <v>67</v>
      </c>
      <c r="O1413" s="8" t="s">
        <v>54</v>
      </c>
      <c r="P1413" s="8" t="s">
        <v>54</v>
      </c>
      <c r="Q1413" s="8" t="s">
        <v>54</v>
      </c>
      <c r="R1413" s="8" t="s">
        <v>54</v>
      </c>
      <c r="S1413" s="8" t="s">
        <v>54</v>
      </c>
      <c r="T1413" s="8" t="s">
        <v>54</v>
      </c>
      <c r="U1413" s="10" t="s">
        <v>67</v>
      </c>
      <c r="V1413" s="8" t="s">
        <v>54</v>
      </c>
      <c r="W1413" s="8" t="s">
        <v>54</v>
      </c>
      <c r="X1413" s="8" t="s">
        <v>54</v>
      </c>
      <c r="Y1413" s="8" t="s">
        <v>54</v>
      </c>
      <c r="Z1413" s="8" t="s">
        <v>54</v>
      </c>
      <c r="AA1413" s="8" t="s">
        <v>54</v>
      </c>
      <c r="AB1413" s="10" t="s">
        <v>67</v>
      </c>
      <c r="AC1413" s="8" t="s">
        <v>54</v>
      </c>
      <c r="AD1413" s="8" t="s">
        <v>54</v>
      </c>
      <c r="AE1413" s="8" t="s">
        <v>54</v>
      </c>
      <c r="AF1413" s="8" t="s">
        <v>54</v>
      </c>
      <c r="AG1413" s="8" t="s">
        <v>54</v>
      </c>
      <c r="AH1413" s="8" t="s">
        <v>54</v>
      </c>
      <c r="AI1413" s="10" t="s">
        <v>67</v>
      </c>
      <c r="AJ1413" s="8">
        <f>COUNTIF($E$1413:$AI$1413,"P")</f>
        <v>26</v>
      </c>
      <c r="AK1413" s="8">
        <f>COUNTIF($E$1413:$AI$1413,"A")</f>
        <v>0</v>
      </c>
      <c r="AL1413" s="8">
        <f>SUM($E$1414:$AI$1414)</f>
        <v>46</v>
      </c>
      <c r="AM1413" s="8">
        <f>SUM($E$1415:$AI$1415)</f>
        <v>23</v>
      </c>
      <c r="AN1413" s="8">
        <f>AL1413+AM1413</f>
        <v>69</v>
      </c>
      <c r="AO1413" s="8">
        <f>COUNTIF($E$1413:$AI$1413,"CL")</f>
        <v>0</v>
      </c>
      <c r="AP1413" s="8">
        <f>COUNTIF($E$1413:$AI$1413,"SL")</f>
        <v>0</v>
      </c>
      <c r="AQ1413" s="8">
        <f>COUNTIF($E$1413:$AI$1413,"EL")</f>
        <v>0</v>
      </c>
      <c r="AR1413" s="8">
        <f>COUNTIF($E$1413:$AI$1413,"H")</f>
        <v>0</v>
      </c>
      <c r="AS1413" s="8"/>
      <c r="AT1413" s="11" t="s">
        <v>250</v>
      </c>
    </row>
    <row r="1414" spans="1:46" ht="15.1" customHeight="1">
      <c r="A1414" s="8"/>
      <c r="B1414" s="9"/>
      <c r="C1414" s="8"/>
      <c r="D1414" s="9"/>
      <c r="E1414" s="8">
        <v>0</v>
      </c>
      <c r="F1414" s="8">
        <v>2</v>
      </c>
      <c r="G1414" s="8">
        <v>0</v>
      </c>
      <c r="H1414" s="8">
        <v>0</v>
      </c>
      <c r="I1414" s="8">
        <v>2</v>
      </c>
      <c r="J1414" s="8">
        <v>2</v>
      </c>
      <c r="K1414" s="8">
        <v>2</v>
      </c>
      <c r="L1414" s="8">
        <v>2</v>
      </c>
      <c r="M1414" s="8">
        <v>2</v>
      </c>
      <c r="N1414" s="8">
        <v>0</v>
      </c>
      <c r="O1414" s="8">
        <v>2</v>
      </c>
      <c r="P1414" s="8">
        <v>2</v>
      </c>
      <c r="Q1414" s="8">
        <v>2</v>
      </c>
      <c r="R1414" s="8">
        <v>2</v>
      </c>
      <c r="S1414" s="8">
        <v>2</v>
      </c>
      <c r="T1414" s="8">
        <v>2</v>
      </c>
      <c r="U1414" s="8">
        <v>0</v>
      </c>
      <c r="V1414" s="8">
        <v>2</v>
      </c>
      <c r="W1414" s="8">
        <v>2</v>
      </c>
      <c r="X1414" s="8">
        <v>2</v>
      </c>
      <c r="Y1414" s="8">
        <v>2</v>
      </c>
      <c r="Z1414" s="8">
        <v>0</v>
      </c>
      <c r="AA1414" s="8">
        <v>2</v>
      </c>
      <c r="AB1414" s="8">
        <v>0</v>
      </c>
      <c r="AC1414" s="8">
        <v>2</v>
      </c>
      <c r="AD1414" s="8">
        <v>2</v>
      </c>
      <c r="AE1414" s="8">
        <v>2</v>
      </c>
      <c r="AF1414" s="8">
        <v>2</v>
      </c>
      <c r="AG1414" s="8">
        <v>2</v>
      </c>
      <c r="AH1414" s="8">
        <v>2</v>
      </c>
      <c r="AI1414" s="8">
        <v>0</v>
      </c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11" t="s">
        <v>250</v>
      </c>
    </row>
    <row r="1415" spans="1:46" ht="15.1" customHeight="1">
      <c r="A1415" s="8"/>
      <c r="B1415" s="9"/>
      <c r="C1415" s="8"/>
      <c r="D1415" s="9"/>
      <c r="E1415" s="8">
        <v>0</v>
      </c>
      <c r="F1415" s="8">
        <v>1</v>
      </c>
      <c r="G1415" s="8">
        <v>0</v>
      </c>
      <c r="H1415" s="8">
        <v>0</v>
      </c>
      <c r="I1415" s="8">
        <v>1</v>
      </c>
      <c r="J1415" s="8">
        <v>1</v>
      </c>
      <c r="K1415" s="8">
        <v>1</v>
      </c>
      <c r="L1415" s="8">
        <v>1</v>
      </c>
      <c r="M1415" s="8">
        <v>1</v>
      </c>
      <c r="N1415" s="8">
        <v>0</v>
      </c>
      <c r="O1415" s="8">
        <v>1</v>
      </c>
      <c r="P1415" s="8">
        <v>1</v>
      </c>
      <c r="Q1415" s="8">
        <v>1</v>
      </c>
      <c r="R1415" s="8">
        <v>1</v>
      </c>
      <c r="S1415" s="8">
        <v>1</v>
      </c>
      <c r="T1415" s="8">
        <v>1</v>
      </c>
      <c r="U1415" s="8">
        <v>0</v>
      </c>
      <c r="V1415" s="8">
        <v>1</v>
      </c>
      <c r="W1415" s="8">
        <v>1</v>
      </c>
      <c r="X1415" s="8">
        <v>1</v>
      </c>
      <c r="Y1415" s="8">
        <v>1</v>
      </c>
      <c r="Z1415" s="8">
        <v>0</v>
      </c>
      <c r="AA1415" s="8">
        <v>1</v>
      </c>
      <c r="AB1415" s="8">
        <v>0</v>
      </c>
      <c r="AC1415" s="8">
        <v>1</v>
      </c>
      <c r="AD1415" s="8">
        <v>1</v>
      </c>
      <c r="AE1415" s="8">
        <v>1</v>
      </c>
      <c r="AF1415" s="8">
        <v>1</v>
      </c>
      <c r="AG1415" s="8">
        <v>1</v>
      </c>
      <c r="AH1415" s="8">
        <v>1</v>
      </c>
      <c r="AI1415" s="8">
        <v>0</v>
      </c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11" t="s">
        <v>250</v>
      </c>
    </row>
    <row r="1416" spans="1:46" ht="15.1" customHeight="1">
      <c r="A1416" s="8">
        <v>471</v>
      </c>
      <c r="B1416" s="9" t="s">
        <v>112</v>
      </c>
      <c r="C1416" s="8" t="s">
        <v>1193</v>
      </c>
      <c r="D1416" s="9" t="s">
        <v>451</v>
      </c>
      <c r="E1416" s="8" t="s">
        <v>54</v>
      </c>
      <c r="F1416" s="8" t="s">
        <v>54</v>
      </c>
      <c r="G1416" s="10" t="s">
        <v>67</v>
      </c>
      <c r="H1416" s="12" t="s">
        <v>55</v>
      </c>
      <c r="I1416" s="8" t="s">
        <v>54</v>
      </c>
      <c r="J1416" s="8" t="s">
        <v>54</v>
      </c>
      <c r="K1416" s="8" t="s">
        <v>54</v>
      </c>
      <c r="L1416" s="8" t="s">
        <v>54</v>
      </c>
      <c r="M1416" s="8" t="s">
        <v>54</v>
      </c>
      <c r="N1416" s="10" t="s">
        <v>67</v>
      </c>
      <c r="O1416" s="8" t="s">
        <v>54</v>
      </c>
      <c r="P1416" s="8" t="s">
        <v>54</v>
      </c>
      <c r="Q1416" s="8" t="s">
        <v>54</v>
      </c>
      <c r="R1416" s="8" t="s">
        <v>54</v>
      </c>
      <c r="S1416" s="8" t="s">
        <v>54</v>
      </c>
      <c r="T1416" s="8" t="s">
        <v>54</v>
      </c>
      <c r="U1416" s="10" t="s">
        <v>67</v>
      </c>
      <c r="V1416" s="8" t="s">
        <v>54</v>
      </c>
      <c r="W1416" s="8" t="s">
        <v>54</v>
      </c>
      <c r="X1416" s="8" t="s">
        <v>54</v>
      </c>
      <c r="Y1416" s="8" t="s">
        <v>54</v>
      </c>
      <c r="Z1416" s="8" t="s">
        <v>54</v>
      </c>
      <c r="AA1416" s="8" t="s">
        <v>54</v>
      </c>
      <c r="AB1416" s="10" t="s">
        <v>67</v>
      </c>
      <c r="AC1416" s="8" t="s">
        <v>54</v>
      </c>
      <c r="AD1416" s="8" t="s">
        <v>54</v>
      </c>
      <c r="AE1416" s="8" t="s">
        <v>54</v>
      </c>
      <c r="AF1416" s="8" t="s">
        <v>54</v>
      </c>
      <c r="AG1416" s="8" t="s">
        <v>54</v>
      </c>
      <c r="AH1416" s="8" t="s">
        <v>54</v>
      </c>
      <c r="AI1416" s="10" t="s">
        <v>67</v>
      </c>
      <c r="AJ1416" s="8">
        <f>COUNTIF($E$1416:$AI$1416,"P")</f>
        <v>25</v>
      </c>
      <c r="AK1416" s="8">
        <f>COUNTIF($E$1416:$AI$1416,"A")</f>
        <v>1</v>
      </c>
      <c r="AL1416" s="8">
        <f>SUM($E$1417:$AI$1417)</f>
        <v>46</v>
      </c>
      <c r="AM1416" s="8">
        <f>SUM($E$1418:$AI$1418)</f>
        <v>43</v>
      </c>
      <c r="AN1416" s="8">
        <f>AL1416+AM1416</f>
        <v>89</v>
      </c>
      <c r="AO1416" s="8">
        <f>COUNTIF($E$1416:$AI$1416,"CL")</f>
        <v>0</v>
      </c>
      <c r="AP1416" s="8">
        <f>COUNTIF($E$1416:$AI$1416,"SL")</f>
        <v>0</v>
      </c>
      <c r="AQ1416" s="8">
        <f>COUNTIF($E$1416:$AI$1416,"EL")</f>
        <v>0</v>
      </c>
      <c r="AR1416" s="8">
        <f>COUNTIF($E$1416:$AI$1416,"H")</f>
        <v>0</v>
      </c>
      <c r="AS1416" s="8"/>
      <c r="AT1416" s="11" t="s">
        <v>250</v>
      </c>
    </row>
    <row r="1417" spans="1:46" ht="15.1" customHeight="1">
      <c r="A1417" s="8"/>
      <c r="B1417" s="9"/>
      <c r="C1417" s="8"/>
      <c r="D1417" s="9"/>
      <c r="E1417" s="8">
        <v>0</v>
      </c>
      <c r="F1417" s="8">
        <v>0</v>
      </c>
      <c r="G1417" s="8">
        <v>0</v>
      </c>
      <c r="H1417" s="8">
        <v>0</v>
      </c>
      <c r="I1417" s="8">
        <v>2</v>
      </c>
      <c r="J1417" s="8">
        <v>2</v>
      </c>
      <c r="K1417" s="8">
        <v>2</v>
      </c>
      <c r="L1417" s="8">
        <v>2</v>
      </c>
      <c r="M1417" s="8">
        <v>2</v>
      </c>
      <c r="N1417" s="8">
        <v>0</v>
      </c>
      <c r="O1417" s="8">
        <v>2</v>
      </c>
      <c r="P1417" s="8">
        <v>2</v>
      </c>
      <c r="Q1417" s="8">
        <v>2</v>
      </c>
      <c r="R1417" s="8">
        <v>2</v>
      </c>
      <c r="S1417" s="8">
        <v>2</v>
      </c>
      <c r="T1417" s="8">
        <v>2</v>
      </c>
      <c r="U1417" s="8">
        <v>0</v>
      </c>
      <c r="V1417" s="8">
        <v>2</v>
      </c>
      <c r="W1417" s="8">
        <v>2</v>
      </c>
      <c r="X1417" s="8">
        <v>2</v>
      </c>
      <c r="Y1417" s="8">
        <v>2</v>
      </c>
      <c r="Z1417" s="8">
        <v>2</v>
      </c>
      <c r="AA1417" s="8">
        <v>2</v>
      </c>
      <c r="AB1417" s="8">
        <v>0</v>
      </c>
      <c r="AC1417" s="8">
        <v>2</v>
      </c>
      <c r="AD1417" s="8">
        <v>2</v>
      </c>
      <c r="AE1417" s="8">
        <v>2</v>
      </c>
      <c r="AF1417" s="8">
        <v>2</v>
      </c>
      <c r="AG1417" s="8">
        <v>2</v>
      </c>
      <c r="AH1417" s="8">
        <v>2</v>
      </c>
      <c r="AI1417" s="8">
        <v>0</v>
      </c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11" t="s">
        <v>250</v>
      </c>
    </row>
    <row r="1418" spans="1:46" ht="15.1" customHeight="1">
      <c r="A1418" s="8"/>
      <c r="B1418" s="9"/>
      <c r="C1418" s="8"/>
      <c r="D1418" s="9"/>
      <c r="E1418" s="8">
        <v>0</v>
      </c>
      <c r="F1418" s="8">
        <v>0</v>
      </c>
      <c r="G1418" s="8">
        <v>9</v>
      </c>
      <c r="H1418" s="8">
        <v>0</v>
      </c>
      <c r="I1418" s="8">
        <v>1</v>
      </c>
      <c r="J1418" s="8">
        <v>1</v>
      </c>
      <c r="K1418" s="8">
        <v>1</v>
      </c>
      <c r="L1418" s="8">
        <v>1</v>
      </c>
      <c r="M1418" s="8">
        <v>1</v>
      </c>
      <c r="N1418" s="8">
        <v>11</v>
      </c>
      <c r="O1418" s="8">
        <v>1</v>
      </c>
      <c r="P1418" s="8">
        <v>1</v>
      </c>
      <c r="Q1418" s="8">
        <v>1</v>
      </c>
      <c r="R1418" s="8">
        <v>1</v>
      </c>
      <c r="S1418" s="8">
        <v>1</v>
      </c>
      <c r="T1418" s="8">
        <v>1</v>
      </c>
      <c r="U1418" s="8">
        <v>0</v>
      </c>
      <c r="V1418" s="8">
        <v>1</v>
      </c>
      <c r="W1418" s="8">
        <v>1</v>
      </c>
      <c r="X1418" s="8">
        <v>1</v>
      </c>
      <c r="Y1418" s="8">
        <v>1</v>
      </c>
      <c r="Z1418" s="8">
        <v>1</v>
      </c>
      <c r="AA1418" s="8">
        <v>1</v>
      </c>
      <c r="AB1418" s="8">
        <v>0</v>
      </c>
      <c r="AC1418" s="8">
        <v>1</v>
      </c>
      <c r="AD1418" s="8">
        <v>1</v>
      </c>
      <c r="AE1418" s="8">
        <v>1</v>
      </c>
      <c r="AF1418" s="8">
        <v>1</v>
      </c>
      <c r="AG1418" s="8">
        <v>1</v>
      </c>
      <c r="AH1418" s="8">
        <v>1</v>
      </c>
      <c r="AI1418" s="8">
        <v>0</v>
      </c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11" t="s">
        <v>250</v>
      </c>
    </row>
    <row r="1419" spans="1:46" ht="15.1" customHeight="1">
      <c r="A1419" s="8">
        <v>472</v>
      </c>
      <c r="B1419" s="9" t="s">
        <v>1194</v>
      </c>
      <c r="C1419" s="8" t="s">
        <v>1195</v>
      </c>
      <c r="D1419" s="9" t="s">
        <v>451</v>
      </c>
      <c r="E1419" s="8" t="s">
        <v>54</v>
      </c>
      <c r="F1419" s="8" t="s">
        <v>54</v>
      </c>
      <c r="G1419" s="10" t="s">
        <v>67</v>
      </c>
      <c r="H1419" s="8" t="s">
        <v>54</v>
      </c>
      <c r="I1419" s="8" t="s">
        <v>54</v>
      </c>
      <c r="J1419" s="8" t="s">
        <v>54</v>
      </c>
      <c r="K1419" s="8" t="s">
        <v>54</v>
      </c>
      <c r="L1419" s="8" t="s">
        <v>54</v>
      </c>
      <c r="M1419" s="8" t="s">
        <v>54</v>
      </c>
      <c r="N1419" s="10" t="s">
        <v>67</v>
      </c>
      <c r="O1419" s="8" t="s">
        <v>54</v>
      </c>
      <c r="P1419" s="8" t="s">
        <v>54</v>
      </c>
      <c r="Q1419" s="8" t="s">
        <v>54</v>
      </c>
      <c r="R1419" s="8" t="s">
        <v>54</v>
      </c>
      <c r="S1419" s="8" t="s">
        <v>54</v>
      </c>
      <c r="T1419" s="8" t="s">
        <v>54</v>
      </c>
      <c r="U1419" s="10" t="s">
        <v>67</v>
      </c>
      <c r="V1419" s="8" t="s">
        <v>54</v>
      </c>
      <c r="W1419" s="8" t="s">
        <v>54</v>
      </c>
      <c r="X1419" s="8" t="s">
        <v>54</v>
      </c>
      <c r="Y1419" s="8" t="s">
        <v>54</v>
      </c>
      <c r="Z1419" s="8" t="s">
        <v>54</v>
      </c>
      <c r="AA1419" s="8" t="s">
        <v>54</v>
      </c>
      <c r="AB1419" s="10" t="s">
        <v>67</v>
      </c>
      <c r="AC1419" s="8" t="s">
        <v>54</v>
      </c>
      <c r="AD1419" s="8" t="s">
        <v>54</v>
      </c>
      <c r="AE1419" s="8" t="s">
        <v>54</v>
      </c>
      <c r="AF1419" s="8" t="s">
        <v>54</v>
      </c>
      <c r="AG1419" s="8" t="s">
        <v>54</v>
      </c>
      <c r="AH1419" s="8" t="s">
        <v>54</v>
      </c>
      <c r="AI1419" s="10" t="s">
        <v>67</v>
      </c>
      <c r="AJ1419" s="8">
        <f>COUNTIF($E$1419:$AI$1419,"P")</f>
        <v>26</v>
      </c>
      <c r="AK1419" s="8">
        <f>COUNTIF($E$1419:$AI$1419,"A")</f>
        <v>0</v>
      </c>
      <c r="AL1419" s="8">
        <f>SUM($E$1420:$AI$1420)</f>
        <v>44</v>
      </c>
      <c r="AM1419" s="8">
        <f>SUM($E$1421:$AI$1421)</f>
        <v>22</v>
      </c>
      <c r="AN1419" s="8">
        <f>AL1419+AM1419</f>
        <v>66</v>
      </c>
      <c r="AO1419" s="8">
        <f>COUNTIF($E$1419:$AI$1419,"CL")</f>
        <v>0</v>
      </c>
      <c r="AP1419" s="8">
        <f>COUNTIF($E$1419:$AI$1419,"SL")</f>
        <v>0</v>
      </c>
      <c r="AQ1419" s="8">
        <f>COUNTIF($E$1419:$AI$1419,"EL")</f>
        <v>0</v>
      </c>
      <c r="AR1419" s="8">
        <f>COUNTIF($E$1419:$AI$1419,"H")</f>
        <v>0</v>
      </c>
      <c r="AS1419" s="8"/>
      <c r="AT1419" s="11" t="s">
        <v>250</v>
      </c>
    </row>
    <row r="1420" spans="1:46" ht="15.1" customHeight="1">
      <c r="A1420" s="8"/>
      <c r="B1420" s="9"/>
      <c r="C1420" s="8"/>
      <c r="D1420" s="9"/>
      <c r="E1420" s="8">
        <v>0</v>
      </c>
      <c r="F1420" s="8">
        <v>2</v>
      </c>
      <c r="G1420" s="8">
        <v>0</v>
      </c>
      <c r="H1420" s="8">
        <v>2</v>
      </c>
      <c r="I1420" s="8">
        <v>2</v>
      </c>
      <c r="J1420" s="8">
        <v>0</v>
      </c>
      <c r="K1420" s="8">
        <v>0</v>
      </c>
      <c r="L1420" s="8">
        <v>2</v>
      </c>
      <c r="M1420" s="8">
        <v>2</v>
      </c>
      <c r="N1420" s="8">
        <v>0</v>
      </c>
      <c r="O1420" s="8">
        <v>2</v>
      </c>
      <c r="P1420" s="8">
        <v>2</v>
      </c>
      <c r="Q1420" s="8">
        <v>2</v>
      </c>
      <c r="R1420" s="8">
        <v>2</v>
      </c>
      <c r="S1420" s="8">
        <v>2</v>
      </c>
      <c r="T1420" s="8">
        <v>2</v>
      </c>
      <c r="U1420" s="8">
        <v>0</v>
      </c>
      <c r="V1420" s="8">
        <v>2</v>
      </c>
      <c r="W1420" s="8">
        <v>2</v>
      </c>
      <c r="X1420" s="8">
        <v>2</v>
      </c>
      <c r="Y1420" s="8">
        <v>2</v>
      </c>
      <c r="Z1420" s="8">
        <v>0</v>
      </c>
      <c r="AA1420" s="8">
        <v>2</v>
      </c>
      <c r="AB1420" s="8">
        <v>0</v>
      </c>
      <c r="AC1420" s="8">
        <v>2</v>
      </c>
      <c r="AD1420" s="8">
        <v>2</v>
      </c>
      <c r="AE1420" s="8">
        <v>2</v>
      </c>
      <c r="AF1420" s="8">
        <v>2</v>
      </c>
      <c r="AG1420" s="8">
        <v>2</v>
      </c>
      <c r="AH1420" s="8">
        <v>2</v>
      </c>
      <c r="AI1420" s="8">
        <v>0</v>
      </c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11" t="s">
        <v>250</v>
      </c>
    </row>
    <row r="1421" spans="1:46" ht="15.1" customHeight="1">
      <c r="A1421" s="8"/>
      <c r="B1421" s="9"/>
      <c r="C1421" s="8"/>
      <c r="D1421" s="9"/>
      <c r="E1421" s="8">
        <v>0</v>
      </c>
      <c r="F1421" s="8">
        <v>1</v>
      </c>
      <c r="G1421" s="8">
        <v>0</v>
      </c>
      <c r="H1421" s="8">
        <v>1</v>
      </c>
      <c r="I1421" s="8">
        <v>1</v>
      </c>
      <c r="J1421" s="8">
        <v>0</v>
      </c>
      <c r="K1421" s="8">
        <v>0</v>
      </c>
      <c r="L1421" s="8">
        <v>1</v>
      </c>
      <c r="M1421" s="8">
        <v>1</v>
      </c>
      <c r="N1421" s="8">
        <v>0</v>
      </c>
      <c r="O1421" s="8">
        <v>1</v>
      </c>
      <c r="P1421" s="8">
        <v>1</v>
      </c>
      <c r="Q1421" s="8">
        <v>1</v>
      </c>
      <c r="R1421" s="8">
        <v>1</v>
      </c>
      <c r="S1421" s="8">
        <v>1</v>
      </c>
      <c r="T1421" s="8">
        <v>1</v>
      </c>
      <c r="U1421" s="8">
        <v>0</v>
      </c>
      <c r="V1421" s="8">
        <v>1</v>
      </c>
      <c r="W1421" s="8">
        <v>1</v>
      </c>
      <c r="X1421" s="8">
        <v>1</v>
      </c>
      <c r="Y1421" s="8">
        <v>1</v>
      </c>
      <c r="Z1421" s="8">
        <v>0</v>
      </c>
      <c r="AA1421" s="8">
        <v>1</v>
      </c>
      <c r="AB1421" s="8">
        <v>0</v>
      </c>
      <c r="AC1421" s="8">
        <v>1</v>
      </c>
      <c r="AD1421" s="8">
        <v>1</v>
      </c>
      <c r="AE1421" s="8">
        <v>1</v>
      </c>
      <c r="AF1421" s="8">
        <v>1</v>
      </c>
      <c r="AG1421" s="8">
        <v>1</v>
      </c>
      <c r="AH1421" s="8">
        <v>1</v>
      </c>
      <c r="AI1421" s="8">
        <v>0</v>
      </c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11" t="s">
        <v>250</v>
      </c>
    </row>
    <row r="1422" spans="1:46" ht="15.1" customHeight="1">
      <c r="A1422" s="8">
        <v>473</v>
      </c>
      <c r="B1422" s="9" t="s">
        <v>1196</v>
      </c>
      <c r="C1422" s="8" t="s">
        <v>1197</v>
      </c>
      <c r="D1422" s="9" t="s">
        <v>451</v>
      </c>
      <c r="E1422" s="8" t="s">
        <v>54</v>
      </c>
      <c r="F1422" s="8" t="s">
        <v>54</v>
      </c>
      <c r="G1422" s="10" t="s">
        <v>67</v>
      </c>
      <c r="H1422" s="8" t="s">
        <v>54</v>
      </c>
      <c r="I1422" s="8" t="s">
        <v>54</v>
      </c>
      <c r="J1422" s="8" t="s">
        <v>54</v>
      </c>
      <c r="K1422" s="8" t="s">
        <v>54</v>
      </c>
      <c r="L1422" s="8" t="s">
        <v>54</v>
      </c>
      <c r="M1422" s="8" t="s">
        <v>54</v>
      </c>
      <c r="N1422" s="10" t="s">
        <v>67</v>
      </c>
      <c r="O1422" s="8" t="s">
        <v>54</v>
      </c>
      <c r="P1422" s="8" t="s">
        <v>54</v>
      </c>
      <c r="Q1422" s="8" t="s">
        <v>54</v>
      </c>
      <c r="R1422" s="8" t="s">
        <v>54</v>
      </c>
      <c r="S1422" s="8" t="s">
        <v>54</v>
      </c>
      <c r="T1422" s="8" t="s">
        <v>54</v>
      </c>
      <c r="U1422" s="10" t="s">
        <v>67</v>
      </c>
      <c r="V1422" s="8" t="s">
        <v>54</v>
      </c>
      <c r="W1422" s="8" t="s">
        <v>54</v>
      </c>
      <c r="X1422" s="8" t="s">
        <v>54</v>
      </c>
      <c r="Y1422" s="8" t="s">
        <v>54</v>
      </c>
      <c r="Z1422" s="8" t="s">
        <v>54</v>
      </c>
      <c r="AA1422" s="8" t="s">
        <v>54</v>
      </c>
      <c r="AB1422" s="10" t="s">
        <v>67</v>
      </c>
      <c r="AC1422" s="8" t="s">
        <v>54</v>
      </c>
      <c r="AD1422" s="8" t="s">
        <v>54</v>
      </c>
      <c r="AE1422" s="8" t="s">
        <v>54</v>
      </c>
      <c r="AF1422" s="8" t="s">
        <v>54</v>
      </c>
      <c r="AG1422" s="8" t="s">
        <v>54</v>
      </c>
      <c r="AH1422" s="8" t="s">
        <v>54</v>
      </c>
      <c r="AI1422" s="10" t="s">
        <v>67</v>
      </c>
      <c r="AJ1422" s="8">
        <f>COUNTIF($E$1422:$AI$1422,"P")</f>
        <v>26</v>
      </c>
      <c r="AK1422" s="8">
        <f>COUNTIF($E$1422:$AI$1422,"A")</f>
        <v>0</v>
      </c>
      <c r="AL1422" s="8">
        <f>SUM($E$1423:$AI$1423)</f>
        <v>40</v>
      </c>
      <c r="AM1422" s="8">
        <f>SUM($E$1424:$AI$1424)</f>
        <v>32</v>
      </c>
      <c r="AN1422" s="8">
        <f>AL1422+AM1422</f>
        <v>72</v>
      </c>
      <c r="AO1422" s="8">
        <f>COUNTIF($E$1422:$AI$1422,"CL")</f>
        <v>0</v>
      </c>
      <c r="AP1422" s="8">
        <f>COUNTIF($E$1422:$AI$1422,"SL")</f>
        <v>0</v>
      </c>
      <c r="AQ1422" s="8">
        <f>COUNTIF($E$1422:$AI$1422,"EL")</f>
        <v>0</v>
      </c>
      <c r="AR1422" s="8">
        <f>COUNTIF($E$1422:$AI$1422,"H")</f>
        <v>0</v>
      </c>
      <c r="AS1422" s="8"/>
      <c r="AT1422" s="11" t="s">
        <v>250</v>
      </c>
    </row>
    <row r="1423" spans="1:46" ht="15.1" customHeight="1">
      <c r="A1423" s="8"/>
      <c r="B1423" s="9"/>
      <c r="C1423" s="8"/>
      <c r="D1423" s="9"/>
      <c r="E1423" s="8">
        <v>0</v>
      </c>
      <c r="F1423" s="8">
        <v>0</v>
      </c>
      <c r="G1423" s="8">
        <v>0</v>
      </c>
      <c r="H1423" s="8">
        <v>0</v>
      </c>
      <c r="I1423" s="8">
        <v>2</v>
      </c>
      <c r="J1423" s="8">
        <v>2</v>
      </c>
      <c r="K1423" s="8">
        <v>2</v>
      </c>
      <c r="L1423" s="8">
        <v>2</v>
      </c>
      <c r="M1423" s="8">
        <v>2</v>
      </c>
      <c r="N1423" s="8">
        <v>0</v>
      </c>
      <c r="O1423" s="8">
        <v>0</v>
      </c>
      <c r="P1423" s="8">
        <v>2</v>
      </c>
      <c r="Q1423" s="8">
        <v>2</v>
      </c>
      <c r="R1423" s="8">
        <v>2</v>
      </c>
      <c r="S1423" s="8">
        <v>2</v>
      </c>
      <c r="T1423" s="8">
        <v>2</v>
      </c>
      <c r="U1423" s="8">
        <v>0</v>
      </c>
      <c r="V1423" s="8">
        <v>2</v>
      </c>
      <c r="W1423" s="8">
        <v>2</v>
      </c>
      <c r="X1423" s="8">
        <v>2</v>
      </c>
      <c r="Y1423" s="8">
        <v>2</v>
      </c>
      <c r="Z1423" s="8">
        <v>0</v>
      </c>
      <c r="AA1423" s="8">
        <v>2</v>
      </c>
      <c r="AB1423" s="8">
        <v>0</v>
      </c>
      <c r="AC1423" s="8">
        <v>2</v>
      </c>
      <c r="AD1423" s="8">
        <v>2</v>
      </c>
      <c r="AE1423" s="8">
        <v>2</v>
      </c>
      <c r="AF1423" s="8">
        <v>2</v>
      </c>
      <c r="AG1423" s="8">
        <v>0</v>
      </c>
      <c r="AH1423" s="8">
        <v>2</v>
      </c>
      <c r="AI1423" s="8">
        <v>0</v>
      </c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11" t="s">
        <v>250</v>
      </c>
    </row>
    <row r="1424" spans="1:46" ht="15.1" customHeight="1">
      <c r="A1424" s="8"/>
      <c r="B1424" s="9"/>
      <c r="C1424" s="8"/>
      <c r="D1424" s="9"/>
      <c r="E1424" s="8">
        <v>0</v>
      </c>
      <c r="F1424" s="8">
        <v>0</v>
      </c>
      <c r="G1424" s="8">
        <v>0</v>
      </c>
      <c r="H1424" s="8">
        <v>0</v>
      </c>
      <c r="I1424" s="8">
        <v>1</v>
      </c>
      <c r="J1424" s="8">
        <v>1</v>
      </c>
      <c r="K1424" s="8">
        <v>1</v>
      </c>
      <c r="L1424" s="8">
        <v>1</v>
      </c>
      <c r="M1424" s="8">
        <v>1</v>
      </c>
      <c r="N1424" s="8">
        <v>12</v>
      </c>
      <c r="O1424" s="8">
        <v>0</v>
      </c>
      <c r="P1424" s="8">
        <v>1</v>
      </c>
      <c r="Q1424" s="8">
        <v>1</v>
      </c>
      <c r="R1424" s="8">
        <v>1</v>
      </c>
      <c r="S1424" s="8">
        <v>1</v>
      </c>
      <c r="T1424" s="8">
        <v>1</v>
      </c>
      <c r="U1424" s="8">
        <v>0</v>
      </c>
      <c r="V1424" s="8">
        <v>1</v>
      </c>
      <c r="W1424" s="8">
        <v>1</v>
      </c>
      <c r="X1424" s="8">
        <v>1</v>
      </c>
      <c r="Y1424" s="8">
        <v>1</v>
      </c>
      <c r="Z1424" s="8">
        <v>0</v>
      </c>
      <c r="AA1424" s="8">
        <v>1</v>
      </c>
      <c r="AB1424" s="8">
        <v>0</v>
      </c>
      <c r="AC1424" s="8">
        <v>1</v>
      </c>
      <c r="AD1424" s="8">
        <v>1</v>
      </c>
      <c r="AE1424" s="8">
        <v>1</v>
      </c>
      <c r="AF1424" s="8">
        <v>1</v>
      </c>
      <c r="AG1424" s="8">
        <v>0</v>
      </c>
      <c r="AH1424" s="8">
        <v>1</v>
      </c>
      <c r="AI1424" s="8">
        <v>0</v>
      </c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11" t="s">
        <v>250</v>
      </c>
    </row>
    <row r="1425" spans="1:46" ht="15.1" customHeight="1">
      <c r="A1425" s="8">
        <v>474</v>
      </c>
      <c r="B1425" s="9" t="s">
        <v>1198</v>
      </c>
      <c r="C1425" s="8" t="s">
        <v>1199</v>
      </c>
      <c r="D1425" s="9" t="s">
        <v>451</v>
      </c>
      <c r="E1425" s="8"/>
      <c r="F1425" s="8"/>
      <c r="G1425" s="10"/>
      <c r="H1425" s="8"/>
      <c r="I1425" s="8"/>
      <c r="J1425" s="8"/>
      <c r="K1425" s="8"/>
      <c r="L1425" s="8"/>
      <c r="M1425" s="8"/>
      <c r="N1425" s="10"/>
      <c r="O1425" s="8"/>
      <c r="P1425" s="8"/>
      <c r="Q1425" s="8"/>
      <c r="R1425" s="8"/>
      <c r="S1425" s="8"/>
      <c r="T1425" s="8"/>
      <c r="U1425" s="10"/>
      <c r="V1425" s="8"/>
      <c r="W1425" s="8"/>
      <c r="X1425" s="8"/>
      <c r="Y1425" s="8"/>
      <c r="Z1425" s="8"/>
      <c r="AA1425" s="8"/>
      <c r="AB1425" s="10"/>
      <c r="AC1425" s="8"/>
      <c r="AD1425" s="8"/>
      <c r="AE1425" s="8"/>
      <c r="AF1425" s="8"/>
      <c r="AG1425" s="12" t="s">
        <v>55</v>
      </c>
      <c r="AH1425" s="12" t="s">
        <v>55</v>
      </c>
      <c r="AI1425" s="10" t="s">
        <v>67</v>
      </c>
      <c r="AJ1425" s="8">
        <f>COUNTIF($E$1425:$AI$1425,"P")</f>
        <v>0</v>
      </c>
      <c r="AK1425" s="8">
        <f>COUNTIF($E$1425:$AI$1425,"A")</f>
        <v>2</v>
      </c>
      <c r="AL1425" s="8">
        <f>SUM($E$1426:$AI$1426)</f>
        <v>0</v>
      </c>
      <c r="AM1425" s="8">
        <f>SUM($E$1427:$AI$1427)</f>
        <v>0</v>
      </c>
      <c r="AN1425" s="8">
        <f>AL1425+AM1425</f>
        <v>0</v>
      </c>
      <c r="AO1425" s="8">
        <f>COUNTIF($E$1425:$AI$1425,"CL")</f>
        <v>0</v>
      </c>
      <c r="AP1425" s="8">
        <f>COUNTIF($E$1425:$AI$1425,"SL")</f>
        <v>0</v>
      </c>
      <c r="AQ1425" s="8">
        <f>COUNTIF($E$1425:$AI$1425,"EL")</f>
        <v>0</v>
      </c>
      <c r="AR1425" s="8">
        <f>COUNTIF($E$1425:$AI$1425,"H")</f>
        <v>0</v>
      </c>
      <c r="AS1425" s="8"/>
      <c r="AT1425" s="11" t="s">
        <v>250</v>
      </c>
    </row>
    <row r="1426" spans="1:46" ht="15.1" customHeight="1">
      <c r="A1426" s="8"/>
      <c r="B1426" s="9"/>
      <c r="C1426" s="8"/>
      <c r="D1426" s="9"/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8">
        <v>0</v>
      </c>
      <c r="AH1426" s="8">
        <v>0</v>
      </c>
      <c r="AI1426" s="8">
        <v>0</v>
      </c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11" t="s">
        <v>250</v>
      </c>
    </row>
    <row r="1427" spans="1:46" ht="15.1" customHeight="1">
      <c r="A1427" s="8"/>
      <c r="B1427" s="9"/>
      <c r="C1427" s="8"/>
      <c r="D1427" s="9"/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11" t="s">
        <v>250</v>
      </c>
    </row>
    <row r="1428" spans="1:46" ht="15.1" customHeight="1">
      <c r="A1428" s="8">
        <v>475</v>
      </c>
      <c r="B1428" s="9" t="s">
        <v>1200</v>
      </c>
      <c r="C1428" s="8" t="s">
        <v>1201</v>
      </c>
      <c r="D1428" s="9" t="s">
        <v>451</v>
      </c>
      <c r="E1428" s="8" t="s">
        <v>54</v>
      </c>
      <c r="F1428" s="8" t="s">
        <v>54</v>
      </c>
      <c r="G1428" s="10" t="s">
        <v>67</v>
      </c>
      <c r="H1428" s="8" t="s">
        <v>54</v>
      </c>
      <c r="I1428" s="8" t="s">
        <v>54</v>
      </c>
      <c r="J1428" s="8" t="s">
        <v>54</v>
      </c>
      <c r="K1428" s="8" t="s">
        <v>54</v>
      </c>
      <c r="L1428" s="8" t="s">
        <v>54</v>
      </c>
      <c r="M1428" s="8" t="s">
        <v>54</v>
      </c>
      <c r="N1428" s="10" t="s">
        <v>67</v>
      </c>
      <c r="O1428" s="8" t="s">
        <v>54</v>
      </c>
      <c r="P1428" s="8" t="s">
        <v>54</v>
      </c>
      <c r="Q1428" s="8" t="s">
        <v>54</v>
      </c>
      <c r="R1428" s="8" t="s">
        <v>54</v>
      </c>
      <c r="S1428" s="8" t="s">
        <v>54</v>
      </c>
      <c r="T1428" s="8" t="s">
        <v>54</v>
      </c>
      <c r="U1428" s="10" t="s">
        <v>67</v>
      </c>
      <c r="V1428" s="8" t="s">
        <v>54</v>
      </c>
      <c r="W1428" s="8" t="s">
        <v>54</v>
      </c>
      <c r="X1428" s="8" t="s">
        <v>54</v>
      </c>
      <c r="Y1428" s="8" t="s">
        <v>54</v>
      </c>
      <c r="Z1428" s="8" t="s">
        <v>54</v>
      </c>
      <c r="AA1428" s="8" t="s">
        <v>54</v>
      </c>
      <c r="AB1428" s="10" t="s">
        <v>67</v>
      </c>
      <c r="AC1428" s="8" t="s">
        <v>54</v>
      </c>
      <c r="AD1428" s="8" t="s">
        <v>54</v>
      </c>
      <c r="AE1428" s="8" t="s">
        <v>54</v>
      </c>
      <c r="AF1428" s="8" t="s">
        <v>54</v>
      </c>
      <c r="AG1428" s="8" t="s">
        <v>54</v>
      </c>
      <c r="AH1428" s="8" t="s">
        <v>54</v>
      </c>
      <c r="AI1428" s="10" t="s">
        <v>67</v>
      </c>
      <c r="AJ1428" s="8">
        <f>COUNTIF($E$1428:$AI$1428,"P")</f>
        <v>26</v>
      </c>
      <c r="AK1428" s="8">
        <f>COUNTIF($E$1428:$AI$1428,"A")</f>
        <v>0</v>
      </c>
      <c r="AL1428" s="8">
        <f>SUM($E$1429:$AI$1429)</f>
        <v>52</v>
      </c>
      <c r="AM1428" s="8">
        <f>SUM($E$1430:$AI$1430)</f>
        <v>26</v>
      </c>
      <c r="AN1428" s="8">
        <f>AL1428+AM1428</f>
        <v>78</v>
      </c>
      <c r="AO1428" s="8">
        <f>COUNTIF($E$1428:$AI$1428,"CL")</f>
        <v>0</v>
      </c>
      <c r="AP1428" s="8">
        <f>COUNTIF($E$1428:$AI$1428,"SL")</f>
        <v>0</v>
      </c>
      <c r="AQ1428" s="8">
        <f>COUNTIF($E$1428:$AI$1428,"EL")</f>
        <v>0</v>
      </c>
      <c r="AR1428" s="8">
        <f>COUNTIF($E$1428:$AI$1428,"H")</f>
        <v>0</v>
      </c>
      <c r="AS1428" s="8"/>
      <c r="AT1428" s="11" t="s">
        <v>251</v>
      </c>
    </row>
    <row r="1429" spans="1:46" ht="15.1" customHeight="1">
      <c r="A1429" s="8"/>
      <c r="B1429" s="9"/>
      <c r="C1429" s="8"/>
      <c r="D1429" s="9"/>
      <c r="E1429" s="8">
        <v>2</v>
      </c>
      <c r="F1429" s="8">
        <v>2</v>
      </c>
      <c r="G1429" s="8">
        <v>0</v>
      </c>
      <c r="H1429" s="8">
        <v>2</v>
      </c>
      <c r="I1429" s="8">
        <v>2</v>
      </c>
      <c r="J1429" s="8">
        <v>2</v>
      </c>
      <c r="K1429" s="8">
        <v>2</v>
      </c>
      <c r="L1429" s="8">
        <v>2</v>
      </c>
      <c r="M1429" s="8">
        <v>2</v>
      </c>
      <c r="N1429" s="8">
        <v>0</v>
      </c>
      <c r="O1429" s="8">
        <v>2</v>
      </c>
      <c r="P1429" s="8">
        <v>2</v>
      </c>
      <c r="Q1429" s="8">
        <v>2</v>
      </c>
      <c r="R1429" s="8">
        <v>2</v>
      </c>
      <c r="S1429" s="8">
        <v>2</v>
      </c>
      <c r="T1429" s="8">
        <v>2</v>
      </c>
      <c r="U1429" s="8">
        <v>0</v>
      </c>
      <c r="V1429" s="8">
        <v>2</v>
      </c>
      <c r="W1429" s="8">
        <v>2</v>
      </c>
      <c r="X1429" s="8">
        <v>2</v>
      </c>
      <c r="Y1429" s="8">
        <v>2</v>
      </c>
      <c r="Z1429" s="8">
        <v>2</v>
      </c>
      <c r="AA1429" s="8">
        <v>2</v>
      </c>
      <c r="AB1429" s="8">
        <v>0</v>
      </c>
      <c r="AC1429" s="8">
        <v>2</v>
      </c>
      <c r="AD1429" s="8">
        <v>2</v>
      </c>
      <c r="AE1429" s="8">
        <v>2</v>
      </c>
      <c r="AF1429" s="8">
        <v>2</v>
      </c>
      <c r="AG1429" s="8">
        <v>2</v>
      </c>
      <c r="AH1429" s="8">
        <v>2</v>
      </c>
      <c r="AI1429" s="8">
        <v>0</v>
      </c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11" t="s">
        <v>251</v>
      </c>
    </row>
    <row r="1430" spans="1:46" ht="15.1" customHeight="1">
      <c r="A1430" s="8"/>
      <c r="B1430" s="9"/>
      <c r="C1430" s="8"/>
      <c r="D1430" s="9"/>
      <c r="E1430" s="8">
        <v>1</v>
      </c>
      <c r="F1430" s="8">
        <v>1</v>
      </c>
      <c r="G1430" s="8">
        <v>0</v>
      </c>
      <c r="H1430" s="8">
        <v>1</v>
      </c>
      <c r="I1430" s="8">
        <v>1</v>
      </c>
      <c r="J1430" s="8">
        <v>1</v>
      </c>
      <c r="K1430" s="8">
        <v>1</v>
      </c>
      <c r="L1430" s="8">
        <v>1</v>
      </c>
      <c r="M1430" s="8">
        <v>1</v>
      </c>
      <c r="N1430" s="8">
        <v>0</v>
      </c>
      <c r="O1430" s="8">
        <v>1</v>
      </c>
      <c r="P1430" s="8">
        <v>1</v>
      </c>
      <c r="Q1430" s="8">
        <v>1</v>
      </c>
      <c r="R1430" s="8">
        <v>1</v>
      </c>
      <c r="S1430" s="8">
        <v>1</v>
      </c>
      <c r="T1430" s="8">
        <v>1</v>
      </c>
      <c r="U1430" s="8">
        <v>0</v>
      </c>
      <c r="V1430" s="8">
        <v>1</v>
      </c>
      <c r="W1430" s="8">
        <v>1</v>
      </c>
      <c r="X1430" s="8">
        <v>1</v>
      </c>
      <c r="Y1430" s="8">
        <v>1</v>
      </c>
      <c r="Z1430" s="8">
        <v>1</v>
      </c>
      <c r="AA1430" s="8">
        <v>1</v>
      </c>
      <c r="AB1430" s="8">
        <v>0</v>
      </c>
      <c r="AC1430" s="8">
        <v>1</v>
      </c>
      <c r="AD1430" s="8">
        <v>1</v>
      </c>
      <c r="AE1430" s="8">
        <v>1</v>
      </c>
      <c r="AF1430" s="8">
        <v>1</v>
      </c>
      <c r="AG1430" s="8">
        <v>1</v>
      </c>
      <c r="AH1430" s="8">
        <v>1</v>
      </c>
      <c r="AI1430" s="8">
        <v>0</v>
      </c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11" t="s">
        <v>251</v>
      </c>
    </row>
    <row r="1431" spans="1:46" ht="15.1" customHeight="1">
      <c r="A1431" s="8">
        <v>476</v>
      </c>
      <c r="B1431" s="9" t="s">
        <v>1202</v>
      </c>
      <c r="C1431" s="8" t="s">
        <v>1203</v>
      </c>
      <c r="D1431" s="9" t="s">
        <v>451</v>
      </c>
      <c r="E1431" s="8" t="s">
        <v>54</v>
      </c>
      <c r="F1431" s="8" t="s">
        <v>54</v>
      </c>
      <c r="G1431" s="10" t="s">
        <v>67</v>
      </c>
      <c r="H1431" s="8" t="s">
        <v>54</v>
      </c>
      <c r="I1431" s="8" t="s">
        <v>54</v>
      </c>
      <c r="J1431" s="8" t="s">
        <v>54</v>
      </c>
      <c r="K1431" s="8" t="s">
        <v>54</v>
      </c>
      <c r="L1431" s="8" t="s">
        <v>54</v>
      </c>
      <c r="M1431" s="8" t="s">
        <v>54</v>
      </c>
      <c r="N1431" s="10" t="s">
        <v>67</v>
      </c>
      <c r="O1431" s="8" t="s">
        <v>54</v>
      </c>
      <c r="P1431" s="8" t="s">
        <v>54</v>
      </c>
      <c r="Q1431" s="8" t="s">
        <v>54</v>
      </c>
      <c r="R1431" s="8" t="s">
        <v>54</v>
      </c>
      <c r="S1431" s="8" t="s">
        <v>54</v>
      </c>
      <c r="T1431" s="8" t="s">
        <v>54</v>
      </c>
      <c r="U1431" s="10" t="s">
        <v>67</v>
      </c>
      <c r="V1431" s="12" t="s">
        <v>55</v>
      </c>
      <c r="W1431" s="8" t="s">
        <v>54</v>
      </c>
      <c r="X1431" s="8" t="s">
        <v>54</v>
      </c>
      <c r="Y1431" s="8" t="s">
        <v>54</v>
      </c>
      <c r="Z1431" s="8" t="s">
        <v>54</v>
      </c>
      <c r="AA1431" s="8" t="s">
        <v>54</v>
      </c>
      <c r="AB1431" s="10" t="s">
        <v>67</v>
      </c>
      <c r="AC1431" s="8" t="s">
        <v>54</v>
      </c>
      <c r="AD1431" s="8" t="s">
        <v>54</v>
      </c>
      <c r="AE1431" s="8" t="s">
        <v>54</v>
      </c>
      <c r="AF1431" s="8" t="s">
        <v>54</v>
      </c>
      <c r="AG1431" s="8" t="s">
        <v>54</v>
      </c>
      <c r="AH1431" s="8" t="s">
        <v>54</v>
      </c>
      <c r="AI1431" s="10" t="s">
        <v>67</v>
      </c>
      <c r="AJ1431" s="8">
        <f>COUNTIF($E$1431:$AI$1431,"P")</f>
        <v>25</v>
      </c>
      <c r="AK1431" s="8">
        <f>COUNTIF($E$1431:$AI$1431,"A")</f>
        <v>1</v>
      </c>
      <c r="AL1431" s="8">
        <f>SUM($E$1432:$AI$1432)</f>
        <v>48</v>
      </c>
      <c r="AM1431" s="8">
        <f>SUM($E$1433:$AI$1433)</f>
        <v>24</v>
      </c>
      <c r="AN1431" s="8">
        <f>AL1431+AM1431</f>
        <v>72</v>
      </c>
      <c r="AO1431" s="8">
        <f>COUNTIF($E$1431:$AI$1431,"CL")</f>
        <v>0</v>
      </c>
      <c r="AP1431" s="8">
        <f>COUNTIF($E$1431:$AI$1431,"SL")</f>
        <v>0</v>
      </c>
      <c r="AQ1431" s="8">
        <f>COUNTIF($E$1431:$AI$1431,"EL")</f>
        <v>0</v>
      </c>
      <c r="AR1431" s="8">
        <f>COUNTIF($E$1431:$AI$1431,"H")</f>
        <v>0</v>
      </c>
      <c r="AS1431" s="8"/>
      <c r="AT1431" s="11" t="s">
        <v>251</v>
      </c>
    </row>
    <row r="1432" spans="1:46" ht="15.1" customHeight="1">
      <c r="A1432" s="8"/>
      <c r="B1432" s="9"/>
      <c r="C1432" s="8"/>
      <c r="D1432" s="9"/>
      <c r="E1432" s="8">
        <v>2</v>
      </c>
      <c r="F1432" s="8">
        <v>2</v>
      </c>
      <c r="G1432" s="8">
        <v>0</v>
      </c>
      <c r="H1432" s="8">
        <v>0</v>
      </c>
      <c r="I1432" s="8">
        <v>2</v>
      </c>
      <c r="J1432" s="8">
        <v>2</v>
      </c>
      <c r="K1432" s="8">
        <v>2</v>
      </c>
      <c r="L1432" s="8">
        <v>2</v>
      </c>
      <c r="M1432" s="8">
        <v>2</v>
      </c>
      <c r="N1432" s="8">
        <v>0</v>
      </c>
      <c r="O1432" s="8">
        <v>2</v>
      </c>
      <c r="P1432" s="8">
        <v>2</v>
      </c>
      <c r="Q1432" s="8">
        <v>2</v>
      </c>
      <c r="R1432" s="8">
        <v>2</v>
      </c>
      <c r="S1432" s="8">
        <v>2</v>
      </c>
      <c r="T1432" s="8">
        <v>2</v>
      </c>
      <c r="U1432" s="8">
        <v>0</v>
      </c>
      <c r="V1432" s="8">
        <v>0</v>
      </c>
      <c r="W1432" s="8">
        <v>2</v>
      </c>
      <c r="X1432" s="8">
        <v>2</v>
      </c>
      <c r="Y1432" s="8">
        <v>2</v>
      </c>
      <c r="Z1432" s="8">
        <v>2</v>
      </c>
      <c r="AA1432" s="8">
        <v>2</v>
      </c>
      <c r="AB1432" s="8">
        <v>0</v>
      </c>
      <c r="AC1432" s="8">
        <v>2</v>
      </c>
      <c r="AD1432" s="8">
        <v>2</v>
      </c>
      <c r="AE1432" s="8">
        <v>2</v>
      </c>
      <c r="AF1432" s="8">
        <v>2</v>
      </c>
      <c r="AG1432" s="8">
        <v>2</v>
      </c>
      <c r="AH1432" s="8">
        <v>2</v>
      </c>
      <c r="AI1432" s="8">
        <v>0</v>
      </c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11" t="s">
        <v>251</v>
      </c>
    </row>
    <row r="1433" spans="1:46" ht="15.1" customHeight="1">
      <c r="A1433" s="8"/>
      <c r="B1433" s="9"/>
      <c r="C1433" s="8"/>
      <c r="D1433" s="9"/>
      <c r="E1433" s="8">
        <v>1</v>
      </c>
      <c r="F1433" s="8">
        <v>1</v>
      </c>
      <c r="G1433" s="8">
        <v>0</v>
      </c>
      <c r="H1433" s="8">
        <v>0</v>
      </c>
      <c r="I1433" s="8">
        <v>1</v>
      </c>
      <c r="J1433" s="8">
        <v>1</v>
      </c>
      <c r="K1433" s="8">
        <v>1</v>
      </c>
      <c r="L1433" s="8">
        <v>1</v>
      </c>
      <c r="M1433" s="8">
        <v>1</v>
      </c>
      <c r="N1433" s="8">
        <v>0</v>
      </c>
      <c r="O1433" s="8">
        <v>1</v>
      </c>
      <c r="P1433" s="8">
        <v>1</v>
      </c>
      <c r="Q1433" s="8">
        <v>1</v>
      </c>
      <c r="R1433" s="8">
        <v>1</v>
      </c>
      <c r="S1433" s="8">
        <v>1</v>
      </c>
      <c r="T1433" s="8">
        <v>1</v>
      </c>
      <c r="U1433" s="8">
        <v>0</v>
      </c>
      <c r="V1433" s="8">
        <v>0</v>
      </c>
      <c r="W1433" s="8">
        <v>1</v>
      </c>
      <c r="X1433" s="8">
        <v>1</v>
      </c>
      <c r="Y1433" s="8">
        <v>1</v>
      </c>
      <c r="Z1433" s="8">
        <v>1</v>
      </c>
      <c r="AA1433" s="8">
        <v>1</v>
      </c>
      <c r="AB1433" s="8">
        <v>0</v>
      </c>
      <c r="AC1433" s="8">
        <v>1</v>
      </c>
      <c r="AD1433" s="8">
        <v>1</v>
      </c>
      <c r="AE1433" s="8">
        <v>1</v>
      </c>
      <c r="AF1433" s="8">
        <v>1</v>
      </c>
      <c r="AG1433" s="8">
        <v>1</v>
      </c>
      <c r="AH1433" s="8">
        <v>1</v>
      </c>
      <c r="AI1433" s="8">
        <v>0</v>
      </c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11" t="s">
        <v>251</v>
      </c>
    </row>
    <row r="1434" spans="1:46" ht="15.1" customHeight="1">
      <c r="A1434" s="8">
        <v>477</v>
      </c>
      <c r="B1434" s="9" t="s">
        <v>1204</v>
      </c>
      <c r="C1434" s="8" t="s">
        <v>1205</v>
      </c>
      <c r="D1434" s="9" t="s">
        <v>451</v>
      </c>
      <c r="E1434" s="8" t="s">
        <v>54</v>
      </c>
      <c r="F1434" s="8" t="s">
        <v>54</v>
      </c>
      <c r="G1434" s="10" t="s">
        <v>67</v>
      </c>
      <c r="H1434" s="8" t="s">
        <v>54</v>
      </c>
      <c r="I1434" s="8" t="s">
        <v>54</v>
      </c>
      <c r="J1434" s="8" t="s">
        <v>54</v>
      </c>
      <c r="K1434" s="8" t="s">
        <v>54</v>
      </c>
      <c r="L1434" s="8" t="s">
        <v>54</v>
      </c>
      <c r="M1434" s="8" t="s">
        <v>54</v>
      </c>
      <c r="N1434" s="10" t="s">
        <v>67</v>
      </c>
      <c r="O1434" s="8" t="s">
        <v>54</v>
      </c>
      <c r="P1434" s="8" t="s">
        <v>54</v>
      </c>
      <c r="Q1434" s="8" t="s">
        <v>54</v>
      </c>
      <c r="R1434" s="8" t="s">
        <v>54</v>
      </c>
      <c r="S1434" s="8" t="s">
        <v>54</v>
      </c>
      <c r="T1434" s="8" t="s">
        <v>54</v>
      </c>
      <c r="U1434" s="10" t="s">
        <v>67</v>
      </c>
      <c r="V1434" s="8" t="s">
        <v>54</v>
      </c>
      <c r="W1434" s="8" t="s">
        <v>54</v>
      </c>
      <c r="X1434" s="8" t="s">
        <v>54</v>
      </c>
      <c r="Y1434" s="8" t="s">
        <v>54</v>
      </c>
      <c r="Z1434" s="8" t="s">
        <v>54</v>
      </c>
      <c r="AA1434" s="8" t="s">
        <v>54</v>
      </c>
      <c r="AB1434" s="10" t="s">
        <v>67</v>
      </c>
      <c r="AC1434" s="8" t="s">
        <v>54</v>
      </c>
      <c r="AD1434" s="8" t="s">
        <v>54</v>
      </c>
      <c r="AE1434" s="8" t="s">
        <v>54</v>
      </c>
      <c r="AF1434" s="8" t="s">
        <v>54</v>
      </c>
      <c r="AG1434" s="8" t="s">
        <v>54</v>
      </c>
      <c r="AH1434" s="8" t="s">
        <v>54</v>
      </c>
      <c r="AI1434" s="10" t="s">
        <v>67</v>
      </c>
      <c r="AJ1434" s="8">
        <f>COUNTIF($E$1434:$AI$1434,"P")</f>
        <v>26</v>
      </c>
      <c r="AK1434" s="8">
        <f>COUNTIF($E$1434:$AI$1434,"A")</f>
        <v>0</v>
      </c>
      <c r="AL1434" s="8">
        <f>SUM($E$1435:$AI$1435)</f>
        <v>50</v>
      </c>
      <c r="AM1434" s="8">
        <f>SUM($E$1436:$AI$1436)</f>
        <v>25</v>
      </c>
      <c r="AN1434" s="8">
        <f>AL1434+AM1434</f>
        <v>75</v>
      </c>
      <c r="AO1434" s="8">
        <f>COUNTIF($E$1434:$AI$1434,"CL")</f>
        <v>0</v>
      </c>
      <c r="AP1434" s="8">
        <f>COUNTIF($E$1434:$AI$1434,"SL")</f>
        <v>0</v>
      </c>
      <c r="AQ1434" s="8">
        <f>COUNTIF($E$1434:$AI$1434,"EL")</f>
        <v>0</v>
      </c>
      <c r="AR1434" s="8">
        <f>COUNTIF($E$1434:$AI$1434,"H")</f>
        <v>0</v>
      </c>
      <c r="AS1434" s="8"/>
      <c r="AT1434" s="11" t="s">
        <v>251</v>
      </c>
    </row>
    <row r="1435" spans="1:46" ht="15.1" customHeight="1">
      <c r="A1435" s="8"/>
      <c r="B1435" s="9"/>
      <c r="C1435" s="8"/>
      <c r="D1435" s="9"/>
      <c r="E1435" s="8">
        <v>2</v>
      </c>
      <c r="F1435" s="8">
        <v>2</v>
      </c>
      <c r="G1435" s="8">
        <v>0</v>
      </c>
      <c r="H1435" s="8">
        <v>2</v>
      </c>
      <c r="I1435" s="8">
        <v>2</v>
      </c>
      <c r="J1435" s="8">
        <v>2</v>
      </c>
      <c r="K1435" s="8">
        <v>2</v>
      </c>
      <c r="L1435" s="8">
        <v>2</v>
      </c>
      <c r="M1435" s="8">
        <v>2</v>
      </c>
      <c r="N1435" s="8">
        <v>0</v>
      </c>
      <c r="O1435" s="8">
        <v>2</v>
      </c>
      <c r="P1435" s="8">
        <v>2</v>
      </c>
      <c r="Q1435" s="8">
        <v>2</v>
      </c>
      <c r="R1435" s="8">
        <v>2</v>
      </c>
      <c r="S1435" s="8">
        <v>2</v>
      </c>
      <c r="T1435" s="8">
        <v>2</v>
      </c>
      <c r="U1435" s="8">
        <v>0</v>
      </c>
      <c r="V1435" s="8">
        <v>2</v>
      </c>
      <c r="W1435" s="8">
        <v>2</v>
      </c>
      <c r="X1435" s="8">
        <v>2</v>
      </c>
      <c r="Y1435" s="8">
        <v>2</v>
      </c>
      <c r="Z1435" s="8">
        <v>0</v>
      </c>
      <c r="AA1435" s="8">
        <v>2</v>
      </c>
      <c r="AB1435" s="8">
        <v>0</v>
      </c>
      <c r="AC1435" s="8">
        <v>2</v>
      </c>
      <c r="AD1435" s="8">
        <v>2</v>
      </c>
      <c r="AE1435" s="8">
        <v>2</v>
      </c>
      <c r="AF1435" s="8">
        <v>2</v>
      </c>
      <c r="AG1435" s="8">
        <v>2</v>
      </c>
      <c r="AH1435" s="8">
        <v>2</v>
      </c>
      <c r="AI1435" s="8">
        <v>0</v>
      </c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11" t="s">
        <v>251</v>
      </c>
    </row>
    <row r="1436" spans="1:46" ht="15.1" customHeight="1">
      <c r="A1436" s="8"/>
      <c r="B1436" s="9"/>
      <c r="C1436" s="8"/>
      <c r="D1436" s="9"/>
      <c r="E1436" s="8">
        <v>1</v>
      </c>
      <c r="F1436" s="8">
        <v>1</v>
      </c>
      <c r="G1436" s="8">
        <v>0</v>
      </c>
      <c r="H1436" s="8">
        <v>1</v>
      </c>
      <c r="I1436" s="8">
        <v>1</v>
      </c>
      <c r="J1436" s="8">
        <v>1</v>
      </c>
      <c r="K1436" s="8">
        <v>1</v>
      </c>
      <c r="L1436" s="8">
        <v>1</v>
      </c>
      <c r="M1436" s="8">
        <v>1</v>
      </c>
      <c r="N1436" s="8">
        <v>0</v>
      </c>
      <c r="O1436" s="8">
        <v>1</v>
      </c>
      <c r="P1436" s="8">
        <v>1</v>
      </c>
      <c r="Q1436" s="8">
        <v>1</v>
      </c>
      <c r="R1436" s="8">
        <v>1</v>
      </c>
      <c r="S1436" s="8">
        <v>1</v>
      </c>
      <c r="T1436" s="8">
        <v>1</v>
      </c>
      <c r="U1436" s="8">
        <v>0</v>
      </c>
      <c r="V1436" s="8">
        <v>1</v>
      </c>
      <c r="W1436" s="8">
        <v>1</v>
      </c>
      <c r="X1436" s="8">
        <v>1</v>
      </c>
      <c r="Y1436" s="8">
        <v>1</v>
      </c>
      <c r="Z1436" s="8">
        <v>0</v>
      </c>
      <c r="AA1436" s="8">
        <v>1</v>
      </c>
      <c r="AB1436" s="8">
        <v>0</v>
      </c>
      <c r="AC1436" s="8">
        <v>1</v>
      </c>
      <c r="AD1436" s="8">
        <v>1</v>
      </c>
      <c r="AE1436" s="8">
        <v>1</v>
      </c>
      <c r="AF1436" s="8">
        <v>1</v>
      </c>
      <c r="AG1436" s="8">
        <v>1</v>
      </c>
      <c r="AH1436" s="8">
        <v>1</v>
      </c>
      <c r="AI1436" s="8">
        <v>0</v>
      </c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11" t="s">
        <v>251</v>
      </c>
    </row>
    <row r="1437" spans="1:46" ht="15.1" customHeight="1">
      <c r="A1437" s="8">
        <v>478</v>
      </c>
      <c r="B1437" s="9" t="s">
        <v>1206</v>
      </c>
      <c r="C1437" s="8" t="s">
        <v>1207</v>
      </c>
      <c r="D1437" s="9" t="s">
        <v>451</v>
      </c>
      <c r="E1437" s="8" t="s">
        <v>54</v>
      </c>
      <c r="F1437" s="8" t="s">
        <v>54</v>
      </c>
      <c r="G1437" s="10" t="s">
        <v>67</v>
      </c>
      <c r="H1437" s="8" t="s">
        <v>54</v>
      </c>
      <c r="I1437" s="8" t="s">
        <v>54</v>
      </c>
      <c r="J1437" s="8" t="s">
        <v>54</v>
      </c>
      <c r="K1437" s="8" t="s">
        <v>54</v>
      </c>
      <c r="L1437" s="8" t="s">
        <v>54</v>
      </c>
      <c r="M1437" s="8" t="s">
        <v>54</v>
      </c>
      <c r="N1437" s="10" t="s">
        <v>67</v>
      </c>
      <c r="O1437" s="8" t="s">
        <v>54</v>
      </c>
      <c r="P1437" s="8" t="s">
        <v>54</v>
      </c>
      <c r="Q1437" s="8" t="s">
        <v>54</v>
      </c>
      <c r="R1437" s="8" t="s">
        <v>54</v>
      </c>
      <c r="S1437" s="8" t="s">
        <v>54</v>
      </c>
      <c r="T1437" s="8" t="s">
        <v>54</v>
      </c>
      <c r="U1437" s="10" t="s">
        <v>67</v>
      </c>
      <c r="V1437" s="8" t="s">
        <v>54</v>
      </c>
      <c r="W1437" s="8" t="s">
        <v>54</v>
      </c>
      <c r="X1437" s="8" t="s">
        <v>54</v>
      </c>
      <c r="Y1437" s="8" t="s">
        <v>54</v>
      </c>
      <c r="Z1437" s="8" t="s">
        <v>54</v>
      </c>
      <c r="AA1437" s="8" t="s">
        <v>54</v>
      </c>
      <c r="AB1437" s="10" t="s">
        <v>67</v>
      </c>
      <c r="AC1437" s="8" t="s">
        <v>54</v>
      </c>
      <c r="AD1437" s="8" t="s">
        <v>54</v>
      </c>
      <c r="AE1437" s="8" t="s">
        <v>54</v>
      </c>
      <c r="AF1437" s="8" t="s">
        <v>54</v>
      </c>
      <c r="AG1437" s="8" t="s">
        <v>54</v>
      </c>
      <c r="AH1437" s="8" t="s">
        <v>54</v>
      </c>
      <c r="AI1437" s="10" t="s">
        <v>67</v>
      </c>
      <c r="AJ1437" s="8">
        <f>COUNTIF($E$1437:$AI$1437,"P")</f>
        <v>26</v>
      </c>
      <c r="AK1437" s="8">
        <f>COUNTIF($E$1437:$AI$1437,"A")</f>
        <v>0</v>
      </c>
      <c r="AL1437" s="8">
        <f>SUM($E$1438:$AI$1438)</f>
        <v>50</v>
      </c>
      <c r="AM1437" s="8">
        <f>SUM($E$1439:$AI$1439)</f>
        <v>25</v>
      </c>
      <c r="AN1437" s="8">
        <f>AL1437+AM1437</f>
        <v>75</v>
      </c>
      <c r="AO1437" s="8">
        <f>COUNTIF($E$1437:$AI$1437,"CL")</f>
        <v>0</v>
      </c>
      <c r="AP1437" s="8">
        <f>COUNTIF($E$1437:$AI$1437,"SL")</f>
        <v>0</v>
      </c>
      <c r="AQ1437" s="8">
        <f>COUNTIF($E$1437:$AI$1437,"EL")</f>
        <v>0</v>
      </c>
      <c r="AR1437" s="8">
        <f>COUNTIF($E$1437:$AI$1437,"H")</f>
        <v>0</v>
      </c>
      <c r="AS1437" s="8"/>
      <c r="AT1437" s="11" t="s">
        <v>251</v>
      </c>
    </row>
    <row r="1438" spans="1:46" ht="15.1" customHeight="1">
      <c r="A1438" s="8"/>
      <c r="B1438" s="9"/>
      <c r="C1438" s="8"/>
      <c r="D1438" s="9"/>
      <c r="E1438" s="8">
        <v>2</v>
      </c>
      <c r="F1438" s="8">
        <v>2</v>
      </c>
      <c r="G1438" s="8">
        <v>0</v>
      </c>
      <c r="H1438" s="8">
        <v>2</v>
      </c>
      <c r="I1438" s="8">
        <v>2</v>
      </c>
      <c r="J1438" s="8">
        <v>0</v>
      </c>
      <c r="K1438" s="8">
        <v>2</v>
      </c>
      <c r="L1438" s="8">
        <v>2</v>
      </c>
      <c r="M1438" s="8">
        <v>2</v>
      </c>
      <c r="N1438" s="8">
        <v>0</v>
      </c>
      <c r="O1438" s="8">
        <v>2</v>
      </c>
      <c r="P1438" s="8">
        <v>2</v>
      </c>
      <c r="Q1438" s="8">
        <v>2</v>
      </c>
      <c r="R1438" s="8">
        <v>2</v>
      </c>
      <c r="S1438" s="8">
        <v>2</v>
      </c>
      <c r="T1438" s="8">
        <v>2</v>
      </c>
      <c r="U1438" s="8">
        <v>0</v>
      </c>
      <c r="V1438" s="8">
        <v>2</v>
      </c>
      <c r="W1438" s="8">
        <v>2</v>
      </c>
      <c r="X1438" s="8">
        <v>2</v>
      </c>
      <c r="Y1438" s="8">
        <v>2</v>
      </c>
      <c r="Z1438" s="8">
        <v>2</v>
      </c>
      <c r="AA1438" s="8">
        <v>2</v>
      </c>
      <c r="AB1438" s="8">
        <v>0</v>
      </c>
      <c r="AC1438" s="8">
        <v>2</v>
      </c>
      <c r="AD1438" s="8">
        <v>2</v>
      </c>
      <c r="AE1438" s="8">
        <v>2</v>
      </c>
      <c r="AF1438" s="8">
        <v>2</v>
      </c>
      <c r="AG1438" s="8">
        <v>2</v>
      </c>
      <c r="AH1438" s="8">
        <v>2</v>
      </c>
      <c r="AI1438" s="8">
        <v>0</v>
      </c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11" t="s">
        <v>251</v>
      </c>
    </row>
    <row r="1439" spans="1:46" ht="15.1" customHeight="1">
      <c r="A1439" s="8"/>
      <c r="B1439" s="9"/>
      <c r="C1439" s="8"/>
      <c r="D1439" s="9"/>
      <c r="E1439" s="8">
        <v>1</v>
      </c>
      <c r="F1439" s="8">
        <v>1</v>
      </c>
      <c r="G1439" s="8">
        <v>0</v>
      </c>
      <c r="H1439" s="8">
        <v>1</v>
      </c>
      <c r="I1439" s="8">
        <v>1</v>
      </c>
      <c r="J1439" s="8">
        <v>0</v>
      </c>
      <c r="K1439" s="8">
        <v>1</v>
      </c>
      <c r="L1439" s="8">
        <v>1</v>
      </c>
      <c r="M1439" s="8">
        <v>1</v>
      </c>
      <c r="N1439" s="8">
        <v>0</v>
      </c>
      <c r="O1439" s="8">
        <v>1</v>
      </c>
      <c r="P1439" s="8">
        <v>1</v>
      </c>
      <c r="Q1439" s="8">
        <v>1</v>
      </c>
      <c r="R1439" s="8">
        <v>1</v>
      </c>
      <c r="S1439" s="8">
        <v>1</v>
      </c>
      <c r="T1439" s="8">
        <v>1</v>
      </c>
      <c r="U1439" s="8">
        <v>0</v>
      </c>
      <c r="V1439" s="8">
        <v>1</v>
      </c>
      <c r="W1439" s="8">
        <v>1</v>
      </c>
      <c r="X1439" s="8">
        <v>1</v>
      </c>
      <c r="Y1439" s="8">
        <v>1</v>
      </c>
      <c r="Z1439" s="8">
        <v>1</v>
      </c>
      <c r="AA1439" s="8">
        <v>1</v>
      </c>
      <c r="AB1439" s="8">
        <v>0</v>
      </c>
      <c r="AC1439" s="8">
        <v>1</v>
      </c>
      <c r="AD1439" s="8">
        <v>1</v>
      </c>
      <c r="AE1439" s="8">
        <v>1</v>
      </c>
      <c r="AF1439" s="8">
        <v>1</v>
      </c>
      <c r="AG1439" s="8">
        <v>1</v>
      </c>
      <c r="AH1439" s="8">
        <v>1</v>
      </c>
      <c r="AI1439" s="8">
        <v>0</v>
      </c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11" t="s">
        <v>251</v>
      </c>
    </row>
    <row r="1440" spans="1:46" ht="15.1" customHeight="1">
      <c r="A1440" s="8">
        <v>479</v>
      </c>
      <c r="B1440" s="9" t="s">
        <v>1208</v>
      </c>
      <c r="C1440" s="8" t="s">
        <v>1209</v>
      </c>
      <c r="D1440" s="9" t="s">
        <v>451</v>
      </c>
      <c r="E1440" s="8" t="s">
        <v>54</v>
      </c>
      <c r="F1440" s="8" t="s">
        <v>54</v>
      </c>
      <c r="G1440" s="10" t="s">
        <v>67</v>
      </c>
      <c r="H1440" s="8" t="s">
        <v>54</v>
      </c>
      <c r="I1440" s="8" t="s">
        <v>54</v>
      </c>
      <c r="J1440" s="8" t="s">
        <v>54</v>
      </c>
      <c r="K1440" s="8" t="s">
        <v>54</v>
      </c>
      <c r="L1440" s="8" t="s">
        <v>54</v>
      </c>
      <c r="M1440" s="8" t="s">
        <v>54</v>
      </c>
      <c r="N1440" s="10" t="s">
        <v>67</v>
      </c>
      <c r="O1440" s="8" t="s">
        <v>54</v>
      </c>
      <c r="P1440" s="8" t="s">
        <v>54</v>
      </c>
      <c r="Q1440" s="8" t="s">
        <v>54</v>
      </c>
      <c r="R1440" s="8" t="s">
        <v>54</v>
      </c>
      <c r="S1440" s="8" t="s">
        <v>54</v>
      </c>
      <c r="T1440" s="8" t="s">
        <v>54</v>
      </c>
      <c r="U1440" s="10" t="s">
        <v>67</v>
      </c>
      <c r="V1440" s="8" t="s">
        <v>54</v>
      </c>
      <c r="W1440" s="8" t="s">
        <v>54</v>
      </c>
      <c r="X1440" s="8" t="s">
        <v>54</v>
      </c>
      <c r="Y1440" s="8" t="s">
        <v>54</v>
      </c>
      <c r="Z1440" s="8" t="s">
        <v>54</v>
      </c>
      <c r="AA1440" s="8" t="s">
        <v>54</v>
      </c>
      <c r="AB1440" s="10" t="s">
        <v>67</v>
      </c>
      <c r="AC1440" s="8" t="s">
        <v>54</v>
      </c>
      <c r="AD1440" s="8" t="s">
        <v>54</v>
      </c>
      <c r="AE1440" s="8" t="s">
        <v>54</v>
      </c>
      <c r="AF1440" s="8" t="s">
        <v>54</v>
      </c>
      <c r="AG1440" s="8" t="s">
        <v>54</v>
      </c>
      <c r="AH1440" s="8" t="s">
        <v>54</v>
      </c>
      <c r="AI1440" s="10" t="s">
        <v>67</v>
      </c>
      <c r="AJ1440" s="8">
        <f>COUNTIF($E$1440:$AI$1440,"P")</f>
        <v>26</v>
      </c>
      <c r="AK1440" s="8">
        <f>COUNTIF($E$1440:$AI$1440,"A")</f>
        <v>0</v>
      </c>
      <c r="AL1440" s="8">
        <f>SUM($E$1441:$AI$1441)</f>
        <v>48</v>
      </c>
      <c r="AM1440" s="8">
        <f>SUM($E$1442:$AI$1442)</f>
        <v>24</v>
      </c>
      <c r="AN1440" s="8">
        <f>AL1440+AM1440</f>
        <v>72</v>
      </c>
      <c r="AO1440" s="8">
        <f>COUNTIF($E$1440:$AI$1440,"CL")</f>
        <v>0</v>
      </c>
      <c r="AP1440" s="8">
        <f>COUNTIF($E$1440:$AI$1440,"SL")</f>
        <v>0</v>
      </c>
      <c r="AQ1440" s="8">
        <f>COUNTIF($E$1440:$AI$1440,"EL")</f>
        <v>0</v>
      </c>
      <c r="AR1440" s="8">
        <f>COUNTIF($E$1440:$AI$1440,"H")</f>
        <v>0</v>
      </c>
      <c r="AS1440" s="8"/>
      <c r="AT1440" s="11" t="s">
        <v>251</v>
      </c>
    </row>
    <row r="1441" spans="1:46" ht="15.1" customHeight="1">
      <c r="A1441" s="8"/>
      <c r="B1441" s="9"/>
      <c r="C1441" s="8"/>
      <c r="D1441" s="9"/>
      <c r="E1441" s="8">
        <v>2</v>
      </c>
      <c r="F1441" s="8">
        <v>2</v>
      </c>
      <c r="G1441" s="8">
        <v>0</v>
      </c>
      <c r="H1441" s="8">
        <v>2</v>
      </c>
      <c r="I1441" s="8">
        <v>2</v>
      </c>
      <c r="J1441" s="8">
        <v>2</v>
      </c>
      <c r="K1441" s="8">
        <v>0</v>
      </c>
      <c r="L1441" s="8">
        <v>2</v>
      </c>
      <c r="M1441" s="8">
        <v>2</v>
      </c>
      <c r="N1441" s="8">
        <v>0</v>
      </c>
      <c r="O1441" s="8">
        <v>2</v>
      </c>
      <c r="P1441" s="8">
        <v>2</v>
      </c>
      <c r="Q1441" s="8">
        <v>2</v>
      </c>
      <c r="R1441" s="8">
        <v>2</v>
      </c>
      <c r="S1441" s="8">
        <v>2</v>
      </c>
      <c r="T1441" s="8">
        <v>2</v>
      </c>
      <c r="U1441" s="8">
        <v>0</v>
      </c>
      <c r="V1441" s="8">
        <v>2</v>
      </c>
      <c r="W1441" s="8">
        <v>2</v>
      </c>
      <c r="X1441" s="8">
        <v>2</v>
      </c>
      <c r="Y1441" s="8">
        <v>2</v>
      </c>
      <c r="Z1441" s="8">
        <v>0</v>
      </c>
      <c r="AA1441" s="8">
        <v>2</v>
      </c>
      <c r="AB1441" s="8">
        <v>0</v>
      </c>
      <c r="AC1441" s="8">
        <v>2</v>
      </c>
      <c r="AD1441" s="8">
        <v>2</v>
      </c>
      <c r="AE1441" s="8">
        <v>2</v>
      </c>
      <c r="AF1441" s="8">
        <v>2</v>
      </c>
      <c r="AG1441" s="8">
        <v>2</v>
      </c>
      <c r="AH1441" s="8">
        <v>2</v>
      </c>
      <c r="AI1441" s="8">
        <v>0</v>
      </c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11" t="s">
        <v>251</v>
      </c>
    </row>
    <row r="1442" spans="1:46" ht="15.1" customHeight="1">
      <c r="A1442" s="8"/>
      <c r="B1442" s="9"/>
      <c r="C1442" s="8"/>
      <c r="D1442" s="9"/>
      <c r="E1442" s="8">
        <v>1</v>
      </c>
      <c r="F1442" s="8">
        <v>1</v>
      </c>
      <c r="G1442" s="8">
        <v>0</v>
      </c>
      <c r="H1442" s="8">
        <v>1</v>
      </c>
      <c r="I1442" s="8">
        <v>1</v>
      </c>
      <c r="J1442" s="8">
        <v>1</v>
      </c>
      <c r="K1442" s="8">
        <v>0</v>
      </c>
      <c r="L1442" s="8">
        <v>1</v>
      </c>
      <c r="M1442" s="8">
        <v>1</v>
      </c>
      <c r="N1442" s="8">
        <v>0</v>
      </c>
      <c r="O1442" s="8">
        <v>1</v>
      </c>
      <c r="P1442" s="8">
        <v>1</v>
      </c>
      <c r="Q1442" s="8">
        <v>1</v>
      </c>
      <c r="R1442" s="8">
        <v>1</v>
      </c>
      <c r="S1442" s="8">
        <v>1</v>
      </c>
      <c r="T1442" s="8">
        <v>1</v>
      </c>
      <c r="U1442" s="8">
        <v>0</v>
      </c>
      <c r="V1442" s="8">
        <v>1</v>
      </c>
      <c r="W1442" s="8">
        <v>1</v>
      </c>
      <c r="X1442" s="8">
        <v>1</v>
      </c>
      <c r="Y1442" s="8">
        <v>1</v>
      </c>
      <c r="Z1442" s="8">
        <v>0</v>
      </c>
      <c r="AA1442" s="8">
        <v>1</v>
      </c>
      <c r="AB1442" s="8">
        <v>0</v>
      </c>
      <c r="AC1442" s="8">
        <v>1</v>
      </c>
      <c r="AD1442" s="8">
        <v>1</v>
      </c>
      <c r="AE1442" s="8">
        <v>1</v>
      </c>
      <c r="AF1442" s="8">
        <v>1</v>
      </c>
      <c r="AG1442" s="8">
        <v>1</v>
      </c>
      <c r="AH1442" s="8">
        <v>1</v>
      </c>
      <c r="AI1442" s="8">
        <v>0</v>
      </c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11" t="s">
        <v>251</v>
      </c>
    </row>
    <row r="1443" spans="1:46" ht="15.1" customHeight="1">
      <c r="A1443" s="8">
        <v>480</v>
      </c>
      <c r="B1443" s="9" t="s">
        <v>1210</v>
      </c>
      <c r="C1443" s="8" t="s">
        <v>1211</v>
      </c>
      <c r="D1443" s="9" t="s">
        <v>451</v>
      </c>
      <c r="E1443" s="8" t="s">
        <v>54</v>
      </c>
      <c r="F1443" s="8" t="s">
        <v>54</v>
      </c>
      <c r="G1443" s="10" t="s">
        <v>67</v>
      </c>
      <c r="H1443" s="8" t="s">
        <v>54</v>
      </c>
      <c r="I1443" s="8" t="s">
        <v>54</v>
      </c>
      <c r="J1443" s="8" t="s">
        <v>54</v>
      </c>
      <c r="K1443" s="8" t="s">
        <v>54</v>
      </c>
      <c r="L1443" s="8" t="s">
        <v>54</v>
      </c>
      <c r="M1443" s="8" t="s">
        <v>54</v>
      </c>
      <c r="N1443" s="10" t="s">
        <v>67</v>
      </c>
      <c r="O1443" s="8" t="s">
        <v>54</v>
      </c>
      <c r="P1443" s="8" t="s">
        <v>54</v>
      </c>
      <c r="Q1443" s="8" t="s">
        <v>54</v>
      </c>
      <c r="R1443" s="8" t="s">
        <v>54</v>
      </c>
      <c r="S1443" s="8" t="s">
        <v>54</v>
      </c>
      <c r="T1443" s="8" t="s">
        <v>54</v>
      </c>
      <c r="U1443" s="10" t="s">
        <v>67</v>
      </c>
      <c r="V1443" s="8" t="s">
        <v>54</v>
      </c>
      <c r="W1443" s="8" t="s">
        <v>54</v>
      </c>
      <c r="X1443" s="8" t="s">
        <v>54</v>
      </c>
      <c r="Y1443" s="8" t="s">
        <v>54</v>
      </c>
      <c r="Z1443" s="8" t="s">
        <v>54</v>
      </c>
      <c r="AA1443" s="8" t="s">
        <v>54</v>
      </c>
      <c r="AB1443" s="10" t="s">
        <v>67</v>
      </c>
      <c r="AC1443" s="8" t="s">
        <v>54</v>
      </c>
      <c r="AD1443" s="8" t="s">
        <v>54</v>
      </c>
      <c r="AE1443" s="8" t="s">
        <v>54</v>
      </c>
      <c r="AF1443" s="8" t="s">
        <v>54</v>
      </c>
      <c r="AG1443" s="8" t="s">
        <v>54</v>
      </c>
      <c r="AH1443" s="8" t="s">
        <v>54</v>
      </c>
      <c r="AI1443" s="10" t="s">
        <v>67</v>
      </c>
      <c r="AJ1443" s="8">
        <f>COUNTIF($E$1443:$AI$1443,"P")</f>
        <v>26</v>
      </c>
      <c r="AK1443" s="8">
        <f>COUNTIF($E$1443:$AI$1443,"A")</f>
        <v>0</v>
      </c>
      <c r="AL1443" s="8">
        <f>SUM($E$1444:$AI$1444)</f>
        <v>50</v>
      </c>
      <c r="AM1443" s="8">
        <f>SUM($E$1445:$AI$1445)</f>
        <v>24.5</v>
      </c>
      <c r="AN1443" s="8">
        <f>AL1443+AM1443</f>
        <v>74.5</v>
      </c>
      <c r="AO1443" s="8">
        <f>COUNTIF($E$1443:$AI$1443,"CL")</f>
        <v>0</v>
      </c>
      <c r="AP1443" s="8">
        <f>COUNTIF($E$1443:$AI$1443,"SL")</f>
        <v>0</v>
      </c>
      <c r="AQ1443" s="8">
        <f>COUNTIF($E$1443:$AI$1443,"EL")</f>
        <v>0</v>
      </c>
      <c r="AR1443" s="8">
        <f>COUNTIF($E$1443:$AI$1443,"H")</f>
        <v>0</v>
      </c>
      <c r="AS1443" s="8"/>
      <c r="AT1443" s="11" t="s">
        <v>251</v>
      </c>
    </row>
    <row r="1444" spans="1:46" ht="15.1" customHeight="1">
      <c r="A1444" s="8"/>
      <c r="B1444" s="9"/>
      <c r="C1444" s="8"/>
      <c r="D1444" s="9"/>
      <c r="E1444" s="8">
        <v>2</v>
      </c>
      <c r="F1444" s="8">
        <v>2</v>
      </c>
      <c r="G1444" s="8">
        <v>0</v>
      </c>
      <c r="H1444" s="8">
        <v>2</v>
      </c>
      <c r="I1444" s="8">
        <v>2</v>
      </c>
      <c r="J1444" s="8">
        <v>0</v>
      </c>
      <c r="K1444" s="8">
        <v>2</v>
      </c>
      <c r="L1444" s="8">
        <v>2</v>
      </c>
      <c r="M1444" s="8">
        <v>2</v>
      </c>
      <c r="N1444" s="8">
        <v>0</v>
      </c>
      <c r="O1444" s="8">
        <v>2</v>
      </c>
      <c r="P1444" s="8">
        <v>2</v>
      </c>
      <c r="Q1444" s="8">
        <v>2</v>
      </c>
      <c r="R1444" s="8">
        <v>2</v>
      </c>
      <c r="S1444" s="8">
        <v>2</v>
      </c>
      <c r="T1444" s="8">
        <v>2</v>
      </c>
      <c r="U1444" s="8">
        <v>0</v>
      </c>
      <c r="V1444" s="8">
        <v>2</v>
      </c>
      <c r="W1444" s="8">
        <v>2</v>
      </c>
      <c r="X1444" s="8">
        <v>2</v>
      </c>
      <c r="Y1444" s="8">
        <v>2</v>
      </c>
      <c r="Z1444" s="8">
        <v>2</v>
      </c>
      <c r="AA1444" s="8">
        <v>2</v>
      </c>
      <c r="AB1444" s="8">
        <v>0</v>
      </c>
      <c r="AC1444" s="8">
        <v>2</v>
      </c>
      <c r="AD1444" s="8">
        <v>2</v>
      </c>
      <c r="AE1444" s="8">
        <v>2</v>
      </c>
      <c r="AF1444" s="8">
        <v>2</v>
      </c>
      <c r="AG1444" s="8">
        <v>2</v>
      </c>
      <c r="AH1444" s="8">
        <v>2</v>
      </c>
      <c r="AI1444" s="8">
        <v>0</v>
      </c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11" t="s">
        <v>251</v>
      </c>
    </row>
    <row r="1445" spans="1:46" ht="15.1" customHeight="1">
      <c r="A1445" s="8"/>
      <c r="B1445" s="9"/>
      <c r="C1445" s="8"/>
      <c r="D1445" s="9"/>
      <c r="E1445" s="8">
        <v>1</v>
      </c>
      <c r="F1445" s="8">
        <v>1</v>
      </c>
      <c r="G1445" s="8">
        <v>0</v>
      </c>
      <c r="H1445" s="8">
        <v>1</v>
      </c>
      <c r="I1445" s="8">
        <v>1</v>
      </c>
      <c r="J1445" s="8">
        <v>0</v>
      </c>
      <c r="K1445" s="8">
        <v>1</v>
      </c>
      <c r="L1445" s="8">
        <v>1</v>
      </c>
      <c r="M1445" s="8">
        <v>1</v>
      </c>
      <c r="N1445" s="8">
        <v>0</v>
      </c>
      <c r="O1445" s="8">
        <v>1</v>
      </c>
      <c r="P1445" s="8">
        <v>0.5</v>
      </c>
      <c r="Q1445" s="8">
        <v>1</v>
      </c>
      <c r="R1445" s="8">
        <v>1</v>
      </c>
      <c r="S1445" s="8">
        <v>1</v>
      </c>
      <c r="T1445" s="8">
        <v>1</v>
      </c>
      <c r="U1445" s="8">
        <v>0</v>
      </c>
      <c r="V1445" s="8">
        <v>1</v>
      </c>
      <c r="W1445" s="8">
        <v>1</v>
      </c>
      <c r="X1445" s="8">
        <v>1</v>
      </c>
      <c r="Y1445" s="8">
        <v>1</v>
      </c>
      <c r="Z1445" s="8">
        <v>1</v>
      </c>
      <c r="AA1445" s="8">
        <v>1</v>
      </c>
      <c r="AB1445" s="8">
        <v>0</v>
      </c>
      <c r="AC1445" s="8">
        <v>1</v>
      </c>
      <c r="AD1445" s="8">
        <v>1</v>
      </c>
      <c r="AE1445" s="8">
        <v>1</v>
      </c>
      <c r="AF1445" s="8">
        <v>1</v>
      </c>
      <c r="AG1445" s="8">
        <v>1</v>
      </c>
      <c r="AH1445" s="8">
        <v>1</v>
      </c>
      <c r="AI1445" s="8">
        <v>0</v>
      </c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11" t="s">
        <v>251</v>
      </c>
    </row>
    <row r="1446" spans="1:46" ht="15.1" customHeight="1">
      <c r="A1446" s="8">
        <v>481</v>
      </c>
      <c r="B1446" s="9" t="s">
        <v>1212</v>
      </c>
      <c r="C1446" s="8" t="s">
        <v>1213</v>
      </c>
      <c r="D1446" s="9" t="s">
        <v>451</v>
      </c>
      <c r="E1446" s="8" t="s">
        <v>54</v>
      </c>
      <c r="F1446" s="8" t="s">
        <v>54</v>
      </c>
      <c r="G1446" s="10" t="s">
        <v>67</v>
      </c>
      <c r="H1446" s="8" t="s">
        <v>54</v>
      </c>
      <c r="I1446" s="8" t="s">
        <v>54</v>
      </c>
      <c r="J1446" s="8" t="s">
        <v>54</v>
      </c>
      <c r="K1446" s="8" t="s">
        <v>54</v>
      </c>
      <c r="L1446" s="8" t="s">
        <v>54</v>
      </c>
      <c r="M1446" s="8" t="s">
        <v>54</v>
      </c>
      <c r="N1446" s="10" t="s">
        <v>67</v>
      </c>
      <c r="O1446" s="8" t="s">
        <v>54</v>
      </c>
      <c r="P1446" s="8" t="s">
        <v>54</v>
      </c>
      <c r="Q1446" s="8" t="s">
        <v>54</v>
      </c>
      <c r="R1446" s="8" t="s">
        <v>54</v>
      </c>
      <c r="S1446" s="8" t="s">
        <v>54</v>
      </c>
      <c r="T1446" s="8" t="s">
        <v>54</v>
      </c>
      <c r="U1446" s="10" t="s">
        <v>67</v>
      </c>
      <c r="V1446" s="8" t="s">
        <v>54</v>
      </c>
      <c r="W1446" s="8" t="s">
        <v>54</v>
      </c>
      <c r="X1446" s="8" t="s">
        <v>54</v>
      </c>
      <c r="Y1446" s="8" t="s">
        <v>54</v>
      </c>
      <c r="Z1446" s="8" t="s">
        <v>54</v>
      </c>
      <c r="AA1446" s="8" t="s">
        <v>54</v>
      </c>
      <c r="AB1446" s="10" t="s">
        <v>67</v>
      </c>
      <c r="AC1446" s="8" t="s">
        <v>54</v>
      </c>
      <c r="AD1446" s="8" t="s">
        <v>54</v>
      </c>
      <c r="AE1446" s="8" t="s">
        <v>54</v>
      </c>
      <c r="AF1446" s="8" t="s">
        <v>54</v>
      </c>
      <c r="AG1446" s="8" t="s">
        <v>54</v>
      </c>
      <c r="AH1446" s="8" t="s">
        <v>54</v>
      </c>
      <c r="AI1446" s="10" t="s">
        <v>67</v>
      </c>
      <c r="AJ1446" s="8">
        <f>COUNTIF($E$1446:$AI$1446,"P")</f>
        <v>26</v>
      </c>
      <c r="AK1446" s="8">
        <f>COUNTIF($E$1446:$AI$1446,"A")</f>
        <v>0</v>
      </c>
      <c r="AL1446" s="8">
        <f>SUM($E$1447:$AI$1447)</f>
        <v>52</v>
      </c>
      <c r="AM1446" s="8">
        <f>SUM($E$1448:$AI$1448)</f>
        <v>26</v>
      </c>
      <c r="AN1446" s="8">
        <f>AL1446+AM1446</f>
        <v>78</v>
      </c>
      <c r="AO1446" s="8">
        <f>COUNTIF($E$1446:$AI$1446,"CL")</f>
        <v>0</v>
      </c>
      <c r="AP1446" s="8">
        <f>COUNTIF($E$1446:$AI$1446,"SL")</f>
        <v>0</v>
      </c>
      <c r="AQ1446" s="8">
        <f>COUNTIF($E$1446:$AI$1446,"EL")</f>
        <v>0</v>
      </c>
      <c r="AR1446" s="8">
        <f>COUNTIF($E$1446:$AI$1446,"H")</f>
        <v>0</v>
      </c>
      <c r="AS1446" s="8"/>
      <c r="AT1446" s="11" t="s">
        <v>251</v>
      </c>
    </row>
    <row r="1447" spans="1:46" ht="15.1" customHeight="1">
      <c r="A1447" s="8"/>
      <c r="B1447" s="9"/>
      <c r="C1447" s="8"/>
      <c r="D1447" s="9"/>
      <c r="E1447" s="8">
        <v>2</v>
      </c>
      <c r="F1447" s="8">
        <v>2</v>
      </c>
      <c r="G1447" s="8">
        <v>0</v>
      </c>
      <c r="H1447" s="8">
        <v>2</v>
      </c>
      <c r="I1447" s="8">
        <v>2</v>
      </c>
      <c r="J1447" s="8">
        <v>2</v>
      </c>
      <c r="K1447" s="8">
        <v>2</v>
      </c>
      <c r="L1447" s="8">
        <v>2</v>
      </c>
      <c r="M1447" s="8">
        <v>2</v>
      </c>
      <c r="N1447" s="8">
        <v>0</v>
      </c>
      <c r="O1447" s="8">
        <v>2</v>
      </c>
      <c r="P1447" s="8">
        <v>2</v>
      </c>
      <c r="Q1447" s="8">
        <v>2</v>
      </c>
      <c r="R1447" s="8">
        <v>2</v>
      </c>
      <c r="S1447" s="8">
        <v>2</v>
      </c>
      <c r="T1447" s="8">
        <v>2</v>
      </c>
      <c r="U1447" s="8">
        <v>0</v>
      </c>
      <c r="V1447" s="8">
        <v>2</v>
      </c>
      <c r="W1447" s="8">
        <v>2</v>
      </c>
      <c r="X1447" s="8">
        <v>2</v>
      </c>
      <c r="Y1447" s="8">
        <v>2</v>
      </c>
      <c r="Z1447" s="8">
        <v>2</v>
      </c>
      <c r="AA1447" s="8">
        <v>2</v>
      </c>
      <c r="AB1447" s="8">
        <v>0</v>
      </c>
      <c r="AC1447" s="8">
        <v>2</v>
      </c>
      <c r="AD1447" s="8">
        <v>2</v>
      </c>
      <c r="AE1447" s="8">
        <v>2</v>
      </c>
      <c r="AF1447" s="8">
        <v>2</v>
      </c>
      <c r="AG1447" s="8">
        <v>2</v>
      </c>
      <c r="AH1447" s="8">
        <v>2</v>
      </c>
      <c r="AI1447" s="8">
        <v>0</v>
      </c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11" t="s">
        <v>251</v>
      </c>
    </row>
    <row r="1448" spans="1:46" ht="15.1" customHeight="1">
      <c r="A1448" s="8"/>
      <c r="B1448" s="9"/>
      <c r="C1448" s="8"/>
      <c r="D1448" s="9"/>
      <c r="E1448" s="8">
        <v>1</v>
      </c>
      <c r="F1448" s="8">
        <v>1</v>
      </c>
      <c r="G1448" s="8">
        <v>0</v>
      </c>
      <c r="H1448" s="8">
        <v>1</v>
      </c>
      <c r="I1448" s="8">
        <v>1</v>
      </c>
      <c r="J1448" s="8">
        <v>1</v>
      </c>
      <c r="K1448" s="8">
        <v>1</v>
      </c>
      <c r="L1448" s="8">
        <v>1</v>
      </c>
      <c r="M1448" s="8">
        <v>1</v>
      </c>
      <c r="N1448" s="8">
        <v>0</v>
      </c>
      <c r="O1448" s="8">
        <v>1</v>
      </c>
      <c r="P1448" s="8">
        <v>1</v>
      </c>
      <c r="Q1448" s="8">
        <v>1</v>
      </c>
      <c r="R1448" s="8">
        <v>1</v>
      </c>
      <c r="S1448" s="8">
        <v>1</v>
      </c>
      <c r="T1448" s="8">
        <v>1</v>
      </c>
      <c r="U1448" s="8">
        <v>0</v>
      </c>
      <c r="V1448" s="8">
        <v>1</v>
      </c>
      <c r="W1448" s="8">
        <v>1</v>
      </c>
      <c r="X1448" s="8">
        <v>1</v>
      </c>
      <c r="Y1448" s="8">
        <v>1</v>
      </c>
      <c r="Z1448" s="8">
        <v>1</v>
      </c>
      <c r="AA1448" s="8">
        <v>1</v>
      </c>
      <c r="AB1448" s="8">
        <v>0</v>
      </c>
      <c r="AC1448" s="8">
        <v>1</v>
      </c>
      <c r="AD1448" s="8">
        <v>1</v>
      </c>
      <c r="AE1448" s="8">
        <v>1</v>
      </c>
      <c r="AF1448" s="8">
        <v>1</v>
      </c>
      <c r="AG1448" s="8">
        <v>1</v>
      </c>
      <c r="AH1448" s="8">
        <v>1</v>
      </c>
      <c r="AI1448" s="8">
        <v>0</v>
      </c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11" t="s">
        <v>251</v>
      </c>
    </row>
    <row r="1449" spans="1:46" ht="15.1" customHeight="1">
      <c r="A1449" s="8">
        <v>482</v>
      </c>
      <c r="B1449" s="9" t="s">
        <v>1214</v>
      </c>
      <c r="C1449" s="8" t="s">
        <v>1215</v>
      </c>
      <c r="D1449" s="9" t="s">
        <v>451</v>
      </c>
      <c r="E1449" s="8" t="s">
        <v>54</v>
      </c>
      <c r="F1449" s="8" t="s">
        <v>54</v>
      </c>
      <c r="G1449" s="10" t="s">
        <v>67</v>
      </c>
      <c r="H1449" s="8" t="s">
        <v>54</v>
      </c>
      <c r="I1449" s="8" t="s">
        <v>54</v>
      </c>
      <c r="J1449" s="8" t="s">
        <v>54</v>
      </c>
      <c r="K1449" s="8" t="s">
        <v>54</v>
      </c>
      <c r="L1449" s="8" t="s">
        <v>54</v>
      </c>
      <c r="M1449" s="8" t="s">
        <v>54</v>
      </c>
      <c r="N1449" s="10" t="s">
        <v>67</v>
      </c>
      <c r="O1449" s="8" t="s">
        <v>54</v>
      </c>
      <c r="P1449" s="8" t="s">
        <v>54</v>
      </c>
      <c r="Q1449" s="8" t="s">
        <v>54</v>
      </c>
      <c r="R1449" s="8" t="s">
        <v>54</v>
      </c>
      <c r="S1449" s="8" t="s">
        <v>54</v>
      </c>
      <c r="T1449" s="8" t="s">
        <v>54</v>
      </c>
      <c r="U1449" s="10" t="s">
        <v>67</v>
      </c>
      <c r="V1449" s="12" t="s">
        <v>55</v>
      </c>
      <c r="W1449" s="12" t="s">
        <v>55</v>
      </c>
      <c r="X1449" s="12" t="s">
        <v>55</v>
      </c>
      <c r="Y1449" s="12" t="s">
        <v>55</v>
      </c>
      <c r="Z1449" s="8" t="s">
        <v>54</v>
      </c>
      <c r="AA1449" s="8" t="s">
        <v>54</v>
      </c>
      <c r="AB1449" s="10" t="s">
        <v>67</v>
      </c>
      <c r="AC1449" s="8" t="s">
        <v>54</v>
      </c>
      <c r="AD1449" s="8" t="s">
        <v>54</v>
      </c>
      <c r="AE1449" s="8" t="s">
        <v>54</v>
      </c>
      <c r="AF1449" s="8" t="s">
        <v>54</v>
      </c>
      <c r="AG1449" s="8" t="s">
        <v>54</v>
      </c>
      <c r="AH1449" s="8" t="s">
        <v>54</v>
      </c>
      <c r="AI1449" s="10" t="s">
        <v>67</v>
      </c>
      <c r="AJ1449" s="8">
        <f>COUNTIF($E$1449:$AI$1449,"P")</f>
        <v>22</v>
      </c>
      <c r="AK1449" s="8">
        <f>COUNTIF($E$1449:$AI$1449,"A")</f>
        <v>4</v>
      </c>
      <c r="AL1449" s="8">
        <f>SUM($E$1450:$AI$1450)</f>
        <v>42</v>
      </c>
      <c r="AM1449" s="8">
        <f>SUM($E$1451:$AI$1451)</f>
        <v>21</v>
      </c>
      <c r="AN1449" s="8">
        <f>AL1449+AM1449</f>
        <v>63</v>
      </c>
      <c r="AO1449" s="8">
        <f>COUNTIF($E$1449:$AI$1449,"CL")</f>
        <v>0</v>
      </c>
      <c r="AP1449" s="8">
        <f>COUNTIF($E$1449:$AI$1449,"SL")</f>
        <v>0</v>
      </c>
      <c r="AQ1449" s="8">
        <f>COUNTIF($E$1449:$AI$1449,"EL")</f>
        <v>0</v>
      </c>
      <c r="AR1449" s="8">
        <f>COUNTIF($E$1449:$AI$1449,"H")</f>
        <v>0</v>
      </c>
      <c r="AS1449" s="8"/>
      <c r="AT1449" s="11" t="s">
        <v>251</v>
      </c>
    </row>
    <row r="1450" spans="1:46" ht="15.1" customHeight="1">
      <c r="A1450" s="8"/>
      <c r="B1450" s="9"/>
      <c r="C1450" s="8"/>
      <c r="D1450" s="9"/>
      <c r="E1450" s="8">
        <v>2</v>
      </c>
      <c r="F1450" s="8">
        <v>2</v>
      </c>
      <c r="G1450" s="8">
        <v>0</v>
      </c>
      <c r="H1450" s="8">
        <v>2</v>
      </c>
      <c r="I1450" s="8">
        <v>2</v>
      </c>
      <c r="J1450" s="8">
        <v>2</v>
      </c>
      <c r="K1450" s="8">
        <v>2</v>
      </c>
      <c r="L1450" s="8">
        <v>2</v>
      </c>
      <c r="M1450" s="8">
        <v>2</v>
      </c>
      <c r="N1450" s="8">
        <v>0</v>
      </c>
      <c r="O1450" s="8">
        <v>2</v>
      </c>
      <c r="P1450" s="8">
        <v>2</v>
      </c>
      <c r="Q1450" s="8">
        <v>2</v>
      </c>
      <c r="R1450" s="8">
        <v>2</v>
      </c>
      <c r="S1450" s="8">
        <v>2</v>
      </c>
      <c r="T1450" s="8">
        <v>2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2</v>
      </c>
      <c r="AB1450" s="8">
        <v>0</v>
      </c>
      <c r="AC1450" s="8">
        <v>2</v>
      </c>
      <c r="AD1450" s="8">
        <v>2</v>
      </c>
      <c r="AE1450" s="8">
        <v>2</v>
      </c>
      <c r="AF1450" s="8">
        <v>2</v>
      </c>
      <c r="AG1450" s="8">
        <v>2</v>
      </c>
      <c r="AH1450" s="8">
        <v>2</v>
      </c>
      <c r="AI1450" s="8">
        <v>0</v>
      </c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11" t="s">
        <v>251</v>
      </c>
    </row>
    <row r="1451" spans="1:46" ht="15.1" customHeight="1">
      <c r="A1451" s="8"/>
      <c r="B1451" s="9"/>
      <c r="C1451" s="8"/>
      <c r="D1451" s="9"/>
      <c r="E1451" s="8">
        <v>1</v>
      </c>
      <c r="F1451" s="8">
        <v>1</v>
      </c>
      <c r="G1451" s="8">
        <v>0</v>
      </c>
      <c r="H1451" s="8">
        <v>1</v>
      </c>
      <c r="I1451" s="8">
        <v>1</v>
      </c>
      <c r="J1451" s="8">
        <v>1</v>
      </c>
      <c r="K1451" s="8">
        <v>1</v>
      </c>
      <c r="L1451" s="8">
        <v>1</v>
      </c>
      <c r="M1451" s="8">
        <v>1</v>
      </c>
      <c r="N1451" s="8">
        <v>0</v>
      </c>
      <c r="O1451" s="8">
        <v>1</v>
      </c>
      <c r="P1451" s="8">
        <v>1</v>
      </c>
      <c r="Q1451" s="8">
        <v>1</v>
      </c>
      <c r="R1451" s="8">
        <v>1</v>
      </c>
      <c r="S1451" s="8">
        <v>1</v>
      </c>
      <c r="T1451" s="8">
        <v>1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1</v>
      </c>
      <c r="AB1451" s="8">
        <v>0</v>
      </c>
      <c r="AC1451" s="8">
        <v>1</v>
      </c>
      <c r="AD1451" s="8">
        <v>1</v>
      </c>
      <c r="AE1451" s="8">
        <v>1</v>
      </c>
      <c r="AF1451" s="8">
        <v>1</v>
      </c>
      <c r="AG1451" s="8">
        <v>1</v>
      </c>
      <c r="AH1451" s="8">
        <v>1</v>
      </c>
      <c r="AI1451" s="8">
        <v>0</v>
      </c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11" t="s">
        <v>251</v>
      </c>
    </row>
    <row r="1452" spans="1:46" ht="15.1" customHeight="1">
      <c r="A1452" s="8">
        <v>483</v>
      </c>
      <c r="B1452" s="9" t="s">
        <v>1216</v>
      </c>
      <c r="C1452" s="8" t="s">
        <v>1217</v>
      </c>
      <c r="D1452" s="9" t="s">
        <v>451</v>
      </c>
      <c r="E1452" s="8" t="s">
        <v>54</v>
      </c>
      <c r="F1452" s="8" t="s">
        <v>54</v>
      </c>
      <c r="G1452" s="10" t="s">
        <v>67</v>
      </c>
      <c r="H1452" s="8" t="s">
        <v>54</v>
      </c>
      <c r="I1452" s="8" t="s">
        <v>54</v>
      </c>
      <c r="J1452" s="8" t="s">
        <v>54</v>
      </c>
      <c r="K1452" s="8" t="s">
        <v>54</v>
      </c>
      <c r="L1452" s="8" t="s">
        <v>54</v>
      </c>
      <c r="M1452" s="8" t="s">
        <v>54</v>
      </c>
      <c r="N1452" s="10" t="s">
        <v>67</v>
      </c>
      <c r="O1452" s="8" t="s">
        <v>54</v>
      </c>
      <c r="P1452" s="8" t="s">
        <v>54</v>
      </c>
      <c r="Q1452" s="8" t="s">
        <v>54</v>
      </c>
      <c r="R1452" s="8" t="s">
        <v>54</v>
      </c>
      <c r="S1452" s="8" t="s">
        <v>54</v>
      </c>
      <c r="T1452" s="8" t="s">
        <v>54</v>
      </c>
      <c r="U1452" s="10" t="s">
        <v>67</v>
      </c>
      <c r="V1452" s="8" t="s">
        <v>54</v>
      </c>
      <c r="W1452" s="8" t="s">
        <v>54</v>
      </c>
      <c r="X1452" s="8" t="s">
        <v>54</v>
      </c>
      <c r="Y1452" s="8" t="s">
        <v>54</v>
      </c>
      <c r="Z1452" s="8" t="s">
        <v>54</v>
      </c>
      <c r="AA1452" s="8" t="s">
        <v>54</v>
      </c>
      <c r="AB1452" s="10" t="s">
        <v>67</v>
      </c>
      <c r="AC1452" s="8" t="s">
        <v>54</v>
      </c>
      <c r="AD1452" s="8" t="s">
        <v>54</v>
      </c>
      <c r="AE1452" s="8" t="s">
        <v>54</v>
      </c>
      <c r="AF1452" s="8" t="s">
        <v>54</v>
      </c>
      <c r="AG1452" s="8" t="s">
        <v>54</v>
      </c>
      <c r="AH1452" s="8" t="s">
        <v>54</v>
      </c>
      <c r="AI1452" s="10" t="s">
        <v>67</v>
      </c>
      <c r="AJ1452" s="8">
        <f>COUNTIF($E$1452:$AI$1452,"P")</f>
        <v>26</v>
      </c>
      <c r="AK1452" s="8">
        <f>COUNTIF($E$1452:$AI$1452,"A")</f>
        <v>0</v>
      </c>
      <c r="AL1452" s="8">
        <f>SUM($E$1453:$AI$1453)</f>
        <v>42</v>
      </c>
      <c r="AM1452" s="8">
        <f>SUM($E$1454:$AI$1454)</f>
        <v>21</v>
      </c>
      <c r="AN1452" s="8">
        <f>AL1452+AM1452</f>
        <v>63</v>
      </c>
      <c r="AO1452" s="8">
        <f>COUNTIF($E$1452:$AI$1452,"CL")</f>
        <v>0</v>
      </c>
      <c r="AP1452" s="8">
        <f>COUNTIF($E$1452:$AI$1452,"SL")</f>
        <v>0</v>
      </c>
      <c r="AQ1452" s="8">
        <f>COUNTIF($E$1452:$AI$1452,"EL")</f>
        <v>0</v>
      </c>
      <c r="AR1452" s="8">
        <f>COUNTIF($E$1452:$AI$1452,"H")</f>
        <v>0</v>
      </c>
      <c r="AS1452" s="8"/>
      <c r="AT1452" s="11" t="s">
        <v>251</v>
      </c>
    </row>
    <row r="1453" spans="1:46" ht="15.1" customHeight="1">
      <c r="A1453" s="8"/>
      <c r="B1453" s="9"/>
      <c r="C1453" s="8"/>
      <c r="D1453" s="9"/>
      <c r="E1453" s="8">
        <v>2</v>
      </c>
      <c r="F1453" s="8">
        <v>0</v>
      </c>
      <c r="G1453" s="8">
        <v>0</v>
      </c>
      <c r="H1453" s="8">
        <v>0</v>
      </c>
      <c r="I1453" s="8">
        <v>2</v>
      </c>
      <c r="J1453" s="8">
        <v>2</v>
      </c>
      <c r="K1453" s="8">
        <v>0</v>
      </c>
      <c r="L1453" s="8">
        <v>2</v>
      </c>
      <c r="M1453" s="8">
        <v>2</v>
      </c>
      <c r="N1453" s="8">
        <v>0</v>
      </c>
      <c r="O1453" s="8">
        <v>2</v>
      </c>
      <c r="P1453" s="8">
        <v>2</v>
      </c>
      <c r="Q1453" s="8">
        <v>2</v>
      </c>
      <c r="R1453" s="8">
        <v>2</v>
      </c>
      <c r="S1453" s="8">
        <v>2</v>
      </c>
      <c r="T1453" s="8">
        <v>2</v>
      </c>
      <c r="U1453" s="8">
        <v>0</v>
      </c>
      <c r="V1453" s="8">
        <v>2</v>
      </c>
      <c r="W1453" s="8">
        <v>2</v>
      </c>
      <c r="X1453" s="8">
        <v>2</v>
      </c>
      <c r="Y1453" s="8">
        <v>2</v>
      </c>
      <c r="Z1453" s="8">
        <v>0</v>
      </c>
      <c r="AA1453" s="8">
        <v>2</v>
      </c>
      <c r="AB1453" s="8">
        <v>0</v>
      </c>
      <c r="AC1453" s="8">
        <v>0</v>
      </c>
      <c r="AD1453" s="8">
        <v>2</v>
      </c>
      <c r="AE1453" s="8">
        <v>2</v>
      </c>
      <c r="AF1453" s="8">
        <v>2</v>
      </c>
      <c r="AG1453" s="8">
        <v>2</v>
      </c>
      <c r="AH1453" s="8">
        <v>2</v>
      </c>
      <c r="AI1453" s="8">
        <v>0</v>
      </c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11" t="s">
        <v>251</v>
      </c>
    </row>
    <row r="1454" spans="1:46" ht="15.1" customHeight="1">
      <c r="A1454" s="8"/>
      <c r="B1454" s="9"/>
      <c r="C1454" s="8"/>
      <c r="D1454" s="9"/>
      <c r="E1454" s="8">
        <v>1</v>
      </c>
      <c r="F1454" s="8">
        <v>0</v>
      </c>
      <c r="G1454" s="8">
        <v>0</v>
      </c>
      <c r="H1454" s="8">
        <v>0</v>
      </c>
      <c r="I1454" s="8">
        <v>1</v>
      </c>
      <c r="J1454" s="8">
        <v>1</v>
      </c>
      <c r="K1454" s="8">
        <v>0</v>
      </c>
      <c r="L1454" s="8">
        <v>1</v>
      </c>
      <c r="M1454" s="8">
        <v>1</v>
      </c>
      <c r="N1454" s="8">
        <v>0</v>
      </c>
      <c r="O1454" s="8">
        <v>1</v>
      </c>
      <c r="P1454" s="8">
        <v>1</v>
      </c>
      <c r="Q1454" s="8">
        <v>1</v>
      </c>
      <c r="R1454" s="8">
        <v>1</v>
      </c>
      <c r="S1454" s="8">
        <v>1</v>
      </c>
      <c r="T1454" s="8">
        <v>1</v>
      </c>
      <c r="U1454" s="8">
        <v>0</v>
      </c>
      <c r="V1454" s="8">
        <v>1</v>
      </c>
      <c r="W1454" s="8">
        <v>1</v>
      </c>
      <c r="X1454" s="8">
        <v>1</v>
      </c>
      <c r="Y1454" s="8">
        <v>1</v>
      </c>
      <c r="Z1454" s="8">
        <v>0</v>
      </c>
      <c r="AA1454" s="8">
        <v>1</v>
      </c>
      <c r="AB1454" s="8">
        <v>0</v>
      </c>
      <c r="AC1454" s="8">
        <v>0</v>
      </c>
      <c r="AD1454" s="8">
        <v>1</v>
      </c>
      <c r="AE1454" s="8">
        <v>1</v>
      </c>
      <c r="AF1454" s="8">
        <v>1</v>
      </c>
      <c r="AG1454" s="8">
        <v>1</v>
      </c>
      <c r="AH1454" s="8">
        <v>1</v>
      </c>
      <c r="AI1454" s="8">
        <v>0</v>
      </c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11" t="s">
        <v>251</v>
      </c>
    </row>
    <row r="1455" spans="1:46" ht="15.1" customHeight="1">
      <c r="A1455" s="8">
        <v>484</v>
      </c>
      <c r="B1455" s="9" t="s">
        <v>1218</v>
      </c>
      <c r="C1455" s="8" t="s">
        <v>1219</v>
      </c>
      <c r="D1455" s="9" t="s">
        <v>451</v>
      </c>
      <c r="E1455" s="8" t="s">
        <v>54</v>
      </c>
      <c r="F1455" s="8" t="s">
        <v>54</v>
      </c>
      <c r="G1455" s="10" t="s">
        <v>67</v>
      </c>
      <c r="H1455" s="8" t="s">
        <v>54</v>
      </c>
      <c r="I1455" s="8" t="s">
        <v>54</v>
      </c>
      <c r="J1455" s="8" t="s">
        <v>54</v>
      </c>
      <c r="K1455" s="8" t="s">
        <v>54</v>
      </c>
      <c r="L1455" s="8" t="s">
        <v>54</v>
      </c>
      <c r="M1455" s="8" t="s">
        <v>54</v>
      </c>
      <c r="N1455" s="10" t="s">
        <v>67</v>
      </c>
      <c r="O1455" s="8" t="s">
        <v>54</v>
      </c>
      <c r="P1455" s="8" t="s">
        <v>54</v>
      </c>
      <c r="Q1455" s="8" t="s">
        <v>54</v>
      </c>
      <c r="R1455" s="8" t="s">
        <v>54</v>
      </c>
      <c r="S1455" s="8" t="s">
        <v>54</v>
      </c>
      <c r="T1455" s="8" t="s">
        <v>54</v>
      </c>
      <c r="U1455" s="10" t="s">
        <v>67</v>
      </c>
      <c r="V1455" s="8" t="s">
        <v>54</v>
      </c>
      <c r="W1455" s="8" t="s">
        <v>54</v>
      </c>
      <c r="X1455" s="8" t="s">
        <v>54</v>
      </c>
      <c r="Y1455" s="8" t="s">
        <v>54</v>
      </c>
      <c r="Z1455" s="8" t="s">
        <v>54</v>
      </c>
      <c r="AA1455" s="8" t="s">
        <v>54</v>
      </c>
      <c r="AB1455" s="10" t="s">
        <v>67</v>
      </c>
      <c r="AC1455" s="8" t="s">
        <v>54</v>
      </c>
      <c r="AD1455" s="8" t="s">
        <v>54</v>
      </c>
      <c r="AE1455" s="8" t="s">
        <v>54</v>
      </c>
      <c r="AF1455" s="8" t="s">
        <v>54</v>
      </c>
      <c r="AG1455" s="8" t="s">
        <v>54</v>
      </c>
      <c r="AH1455" s="8" t="s">
        <v>54</v>
      </c>
      <c r="AI1455" s="10" t="s">
        <v>67</v>
      </c>
      <c r="AJ1455" s="8">
        <f>COUNTIF($E$1455:$AI$1455,"P")</f>
        <v>26</v>
      </c>
      <c r="AK1455" s="8">
        <f>COUNTIF($E$1455:$AI$1455,"A")</f>
        <v>0</v>
      </c>
      <c r="AL1455" s="8">
        <f>SUM($E$1456:$AI$1456)</f>
        <v>50</v>
      </c>
      <c r="AM1455" s="8">
        <f>SUM($E$1457:$AI$1457)</f>
        <v>25</v>
      </c>
      <c r="AN1455" s="8">
        <f>AL1455+AM1455</f>
        <v>75</v>
      </c>
      <c r="AO1455" s="8">
        <f>COUNTIF($E$1455:$AI$1455,"CL")</f>
        <v>0</v>
      </c>
      <c r="AP1455" s="8">
        <f>COUNTIF($E$1455:$AI$1455,"SL")</f>
        <v>0</v>
      </c>
      <c r="AQ1455" s="8">
        <f>COUNTIF($E$1455:$AI$1455,"EL")</f>
        <v>0</v>
      </c>
      <c r="AR1455" s="8">
        <f>COUNTIF($E$1455:$AI$1455,"H")</f>
        <v>0</v>
      </c>
      <c r="AS1455" s="8"/>
      <c r="AT1455" s="11" t="s">
        <v>251</v>
      </c>
    </row>
    <row r="1456" spans="1:46" ht="15.1" customHeight="1">
      <c r="A1456" s="8"/>
      <c r="B1456" s="9"/>
      <c r="C1456" s="8"/>
      <c r="D1456" s="9"/>
      <c r="E1456" s="8">
        <v>2</v>
      </c>
      <c r="F1456" s="8">
        <v>2</v>
      </c>
      <c r="G1456" s="8">
        <v>0</v>
      </c>
      <c r="H1456" s="8">
        <v>2</v>
      </c>
      <c r="I1456" s="8">
        <v>2</v>
      </c>
      <c r="J1456" s="8">
        <v>2</v>
      </c>
      <c r="K1456" s="8">
        <v>2</v>
      </c>
      <c r="L1456" s="8">
        <v>2</v>
      </c>
      <c r="M1456" s="8">
        <v>2</v>
      </c>
      <c r="N1456" s="8">
        <v>0</v>
      </c>
      <c r="O1456" s="8">
        <v>2</v>
      </c>
      <c r="P1456" s="8">
        <v>2</v>
      </c>
      <c r="Q1456" s="8">
        <v>2</v>
      </c>
      <c r="R1456" s="8">
        <v>2</v>
      </c>
      <c r="S1456" s="8">
        <v>2</v>
      </c>
      <c r="T1456" s="8">
        <v>2</v>
      </c>
      <c r="U1456" s="8">
        <v>0</v>
      </c>
      <c r="V1456" s="8">
        <v>2</v>
      </c>
      <c r="W1456" s="8">
        <v>2</v>
      </c>
      <c r="X1456" s="8">
        <v>2</v>
      </c>
      <c r="Y1456" s="8">
        <v>2</v>
      </c>
      <c r="Z1456" s="8">
        <v>0</v>
      </c>
      <c r="AA1456" s="8">
        <v>2</v>
      </c>
      <c r="AB1456" s="8">
        <v>0</v>
      </c>
      <c r="AC1456" s="8">
        <v>2</v>
      </c>
      <c r="AD1456" s="8">
        <v>2</v>
      </c>
      <c r="AE1456" s="8">
        <v>2</v>
      </c>
      <c r="AF1456" s="8">
        <v>2</v>
      </c>
      <c r="AG1456" s="8">
        <v>2</v>
      </c>
      <c r="AH1456" s="8">
        <v>2</v>
      </c>
      <c r="AI1456" s="8">
        <v>0</v>
      </c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11" t="s">
        <v>251</v>
      </c>
    </row>
    <row r="1457" spans="1:46" ht="15.1" customHeight="1">
      <c r="A1457" s="8"/>
      <c r="B1457" s="9"/>
      <c r="C1457" s="8"/>
      <c r="D1457" s="9"/>
      <c r="E1457" s="8">
        <v>1</v>
      </c>
      <c r="F1457" s="8">
        <v>1</v>
      </c>
      <c r="G1457" s="8">
        <v>0</v>
      </c>
      <c r="H1457" s="8">
        <v>1</v>
      </c>
      <c r="I1457" s="8">
        <v>1</v>
      </c>
      <c r="J1457" s="8">
        <v>1</v>
      </c>
      <c r="K1457" s="8">
        <v>1</v>
      </c>
      <c r="L1457" s="8">
        <v>1</v>
      </c>
      <c r="M1457" s="8">
        <v>1</v>
      </c>
      <c r="N1457" s="8">
        <v>0</v>
      </c>
      <c r="O1457" s="8">
        <v>1</v>
      </c>
      <c r="P1457" s="8">
        <v>1</v>
      </c>
      <c r="Q1457" s="8">
        <v>1</v>
      </c>
      <c r="R1457" s="8">
        <v>1</v>
      </c>
      <c r="S1457" s="8">
        <v>1</v>
      </c>
      <c r="T1457" s="8">
        <v>1</v>
      </c>
      <c r="U1457" s="8">
        <v>0</v>
      </c>
      <c r="V1457" s="8">
        <v>1</v>
      </c>
      <c r="W1457" s="8">
        <v>1</v>
      </c>
      <c r="X1457" s="8">
        <v>1</v>
      </c>
      <c r="Y1457" s="8">
        <v>1</v>
      </c>
      <c r="Z1457" s="8">
        <v>0</v>
      </c>
      <c r="AA1457" s="8">
        <v>1</v>
      </c>
      <c r="AB1457" s="8">
        <v>0</v>
      </c>
      <c r="AC1457" s="8">
        <v>1</v>
      </c>
      <c r="AD1457" s="8">
        <v>1</v>
      </c>
      <c r="AE1457" s="8">
        <v>1</v>
      </c>
      <c r="AF1457" s="8">
        <v>1</v>
      </c>
      <c r="AG1457" s="8">
        <v>1</v>
      </c>
      <c r="AH1457" s="8">
        <v>1</v>
      </c>
      <c r="AI1457" s="8">
        <v>0</v>
      </c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11" t="s">
        <v>251</v>
      </c>
    </row>
    <row r="1458" spans="1:46" ht="15.1" customHeight="1">
      <c r="A1458" s="8">
        <v>485</v>
      </c>
      <c r="B1458" s="9" t="s">
        <v>1220</v>
      </c>
      <c r="C1458" s="8" t="s">
        <v>1221</v>
      </c>
      <c r="D1458" s="9" t="s">
        <v>451</v>
      </c>
      <c r="E1458" s="8" t="s">
        <v>54</v>
      </c>
      <c r="F1458" s="8" t="s">
        <v>54</v>
      </c>
      <c r="G1458" s="10" t="s">
        <v>67</v>
      </c>
      <c r="H1458" s="8" t="s">
        <v>54</v>
      </c>
      <c r="I1458" s="8" t="s">
        <v>54</v>
      </c>
      <c r="J1458" s="8" t="s">
        <v>54</v>
      </c>
      <c r="K1458" s="8" t="s">
        <v>54</v>
      </c>
      <c r="L1458" s="8" t="s">
        <v>54</v>
      </c>
      <c r="M1458" s="8" t="s">
        <v>54</v>
      </c>
      <c r="N1458" s="10" t="s">
        <v>67</v>
      </c>
      <c r="O1458" s="8" t="s">
        <v>54</v>
      </c>
      <c r="P1458" s="8" t="s">
        <v>54</v>
      </c>
      <c r="Q1458" s="8" t="s">
        <v>54</v>
      </c>
      <c r="R1458" s="8" t="s">
        <v>54</v>
      </c>
      <c r="S1458" s="8" t="s">
        <v>54</v>
      </c>
      <c r="T1458" s="8" t="s">
        <v>54</v>
      </c>
      <c r="U1458" s="10" t="s">
        <v>67</v>
      </c>
      <c r="V1458" s="8" t="s">
        <v>54</v>
      </c>
      <c r="W1458" s="8" t="s">
        <v>54</v>
      </c>
      <c r="X1458" s="8" t="s">
        <v>54</v>
      </c>
      <c r="Y1458" s="8" t="s">
        <v>54</v>
      </c>
      <c r="Z1458" s="8" t="s">
        <v>54</v>
      </c>
      <c r="AA1458" s="8" t="s">
        <v>54</v>
      </c>
      <c r="AB1458" s="10" t="s">
        <v>67</v>
      </c>
      <c r="AC1458" s="8" t="s">
        <v>54</v>
      </c>
      <c r="AD1458" s="8" t="s">
        <v>54</v>
      </c>
      <c r="AE1458" s="8" t="s">
        <v>54</v>
      </c>
      <c r="AF1458" s="12" t="s">
        <v>55</v>
      </c>
      <c r="AG1458" s="12" t="s">
        <v>55</v>
      </c>
      <c r="AH1458" s="12" t="s">
        <v>55</v>
      </c>
      <c r="AI1458" s="10" t="s">
        <v>67</v>
      </c>
      <c r="AJ1458" s="8">
        <f>COUNTIF($E$1458:$AI$1458,"P")</f>
        <v>23</v>
      </c>
      <c r="AK1458" s="8">
        <f>COUNTIF($E$1458:$AI$1458,"A")</f>
        <v>3</v>
      </c>
      <c r="AL1458" s="8">
        <f>SUM($E$1459:$AI$1459)</f>
        <v>42</v>
      </c>
      <c r="AM1458" s="8">
        <f>SUM($E$1460:$AI$1460)</f>
        <v>33</v>
      </c>
      <c r="AN1458" s="8">
        <f>AL1458+AM1458</f>
        <v>75</v>
      </c>
      <c r="AO1458" s="8">
        <f>COUNTIF($E$1458:$AI$1458,"CL")</f>
        <v>0</v>
      </c>
      <c r="AP1458" s="8">
        <f>COUNTIF($E$1458:$AI$1458,"SL")</f>
        <v>0</v>
      </c>
      <c r="AQ1458" s="8">
        <f>COUNTIF($E$1458:$AI$1458,"EL")</f>
        <v>0</v>
      </c>
      <c r="AR1458" s="8">
        <f>COUNTIF($E$1458:$AI$1458,"H")</f>
        <v>0</v>
      </c>
      <c r="AS1458" s="8"/>
      <c r="AT1458" s="11" t="s">
        <v>251</v>
      </c>
    </row>
    <row r="1459" spans="1:46" ht="15.1" customHeight="1">
      <c r="A1459" s="8"/>
      <c r="B1459" s="9"/>
      <c r="C1459" s="8"/>
      <c r="D1459" s="9"/>
      <c r="E1459" s="8">
        <v>2</v>
      </c>
      <c r="F1459" s="8">
        <v>2</v>
      </c>
      <c r="G1459" s="8">
        <v>0</v>
      </c>
      <c r="H1459" s="8">
        <v>0</v>
      </c>
      <c r="I1459" s="8">
        <v>2</v>
      </c>
      <c r="J1459" s="8">
        <v>2</v>
      </c>
      <c r="K1459" s="8">
        <v>2</v>
      </c>
      <c r="L1459" s="8">
        <v>2</v>
      </c>
      <c r="M1459" s="8">
        <v>2</v>
      </c>
      <c r="N1459" s="8">
        <v>0</v>
      </c>
      <c r="O1459" s="8">
        <v>2</v>
      </c>
      <c r="P1459" s="8">
        <v>2</v>
      </c>
      <c r="Q1459" s="8">
        <v>2</v>
      </c>
      <c r="R1459" s="8">
        <v>2</v>
      </c>
      <c r="S1459" s="8">
        <v>2</v>
      </c>
      <c r="T1459" s="8">
        <v>2</v>
      </c>
      <c r="U1459" s="8">
        <v>0</v>
      </c>
      <c r="V1459" s="8">
        <v>2</v>
      </c>
      <c r="W1459" s="8">
        <v>2</v>
      </c>
      <c r="X1459" s="8">
        <v>2</v>
      </c>
      <c r="Y1459" s="8">
        <v>2</v>
      </c>
      <c r="Z1459" s="8">
        <v>0</v>
      </c>
      <c r="AA1459" s="8">
        <v>2</v>
      </c>
      <c r="AB1459" s="8">
        <v>0</v>
      </c>
      <c r="AC1459" s="8">
        <v>2</v>
      </c>
      <c r="AD1459" s="8">
        <v>2</v>
      </c>
      <c r="AE1459" s="8">
        <v>2</v>
      </c>
      <c r="AF1459" s="8">
        <v>0</v>
      </c>
      <c r="AG1459" s="8">
        <v>0</v>
      </c>
      <c r="AH1459" s="8">
        <v>0</v>
      </c>
      <c r="AI1459" s="8">
        <v>0</v>
      </c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11" t="s">
        <v>251</v>
      </c>
    </row>
    <row r="1460" spans="1:46" ht="15.1" customHeight="1">
      <c r="A1460" s="8"/>
      <c r="B1460" s="9"/>
      <c r="C1460" s="8"/>
      <c r="D1460" s="9"/>
      <c r="E1460" s="8">
        <v>1</v>
      </c>
      <c r="F1460" s="8">
        <v>1</v>
      </c>
      <c r="G1460" s="8">
        <v>0</v>
      </c>
      <c r="H1460" s="8">
        <v>0</v>
      </c>
      <c r="I1460" s="8">
        <v>1</v>
      </c>
      <c r="J1460" s="8">
        <v>1</v>
      </c>
      <c r="K1460" s="8">
        <v>1</v>
      </c>
      <c r="L1460" s="8">
        <v>1</v>
      </c>
      <c r="M1460" s="8">
        <v>1</v>
      </c>
      <c r="N1460" s="8">
        <v>12</v>
      </c>
      <c r="O1460" s="8">
        <v>1</v>
      </c>
      <c r="P1460" s="8">
        <v>1</v>
      </c>
      <c r="Q1460" s="8">
        <v>1</v>
      </c>
      <c r="R1460" s="8">
        <v>1</v>
      </c>
      <c r="S1460" s="8">
        <v>1</v>
      </c>
      <c r="T1460" s="8">
        <v>1</v>
      </c>
      <c r="U1460" s="8">
        <v>0</v>
      </c>
      <c r="V1460" s="8">
        <v>1</v>
      </c>
      <c r="W1460" s="8">
        <v>1</v>
      </c>
      <c r="X1460" s="8">
        <v>1</v>
      </c>
      <c r="Y1460" s="8">
        <v>1</v>
      </c>
      <c r="Z1460" s="8">
        <v>0</v>
      </c>
      <c r="AA1460" s="8">
        <v>1</v>
      </c>
      <c r="AB1460" s="8">
        <v>0</v>
      </c>
      <c r="AC1460" s="8">
        <v>1</v>
      </c>
      <c r="AD1460" s="8">
        <v>1</v>
      </c>
      <c r="AE1460" s="8">
        <v>1</v>
      </c>
      <c r="AF1460" s="8">
        <v>0</v>
      </c>
      <c r="AG1460" s="8">
        <v>0</v>
      </c>
      <c r="AH1460" s="8">
        <v>0</v>
      </c>
      <c r="AI1460" s="8">
        <v>0</v>
      </c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11" t="s">
        <v>251</v>
      </c>
    </row>
    <row r="1461" spans="1:46" ht="15.1" customHeight="1">
      <c r="A1461" s="8">
        <v>486</v>
      </c>
      <c r="B1461" s="9" t="s">
        <v>1222</v>
      </c>
      <c r="C1461" s="8" t="s">
        <v>1223</v>
      </c>
      <c r="D1461" s="9" t="s">
        <v>451</v>
      </c>
      <c r="E1461" s="8" t="s">
        <v>54</v>
      </c>
      <c r="F1461" s="8" t="s">
        <v>54</v>
      </c>
      <c r="G1461" s="10" t="s">
        <v>67</v>
      </c>
      <c r="H1461" s="8" t="s">
        <v>54</v>
      </c>
      <c r="I1461" s="8" t="s">
        <v>54</v>
      </c>
      <c r="J1461" s="8" t="s">
        <v>54</v>
      </c>
      <c r="K1461" s="8" t="s">
        <v>54</v>
      </c>
      <c r="L1461" s="8" t="s">
        <v>54</v>
      </c>
      <c r="M1461" s="8" t="s">
        <v>54</v>
      </c>
      <c r="N1461" s="10" t="s">
        <v>67</v>
      </c>
      <c r="O1461" s="8" t="s">
        <v>54</v>
      </c>
      <c r="P1461" s="8" t="s">
        <v>54</v>
      </c>
      <c r="Q1461" s="8" t="s">
        <v>54</v>
      </c>
      <c r="R1461" s="8" t="s">
        <v>54</v>
      </c>
      <c r="S1461" s="8" t="s">
        <v>54</v>
      </c>
      <c r="T1461" s="8" t="s">
        <v>54</v>
      </c>
      <c r="U1461" s="10" t="s">
        <v>67</v>
      </c>
      <c r="V1461" s="8" t="s">
        <v>54</v>
      </c>
      <c r="W1461" s="8" t="s">
        <v>54</v>
      </c>
      <c r="X1461" s="8" t="s">
        <v>54</v>
      </c>
      <c r="Y1461" s="8" t="s">
        <v>54</v>
      </c>
      <c r="Z1461" s="8" t="s">
        <v>54</v>
      </c>
      <c r="AA1461" s="8" t="s">
        <v>54</v>
      </c>
      <c r="AB1461" s="10" t="s">
        <v>67</v>
      </c>
      <c r="AC1461" s="8" t="s">
        <v>54</v>
      </c>
      <c r="AD1461" s="8" t="s">
        <v>54</v>
      </c>
      <c r="AE1461" s="8" t="s">
        <v>54</v>
      </c>
      <c r="AF1461" s="8" t="s">
        <v>54</v>
      </c>
      <c r="AG1461" s="8" t="s">
        <v>54</v>
      </c>
      <c r="AH1461" s="8" t="s">
        <v>54</v>
      </c>
      <c r="AI1461" s="10" t="s">
        <v>67</v>
      </c>
      <c r="AJ1461" s="8">
        <f>COUNTIF($E$1461:$AI$1461,"P")</f>
        <v>26</v>
      </c>
      <c r="AK1461" s="8">
        <f>COUNTIF($E$1461:$AI$1461,"A")</f>
        <v>0</v>
      </c>
      <c r="AL1461" s="8">
        <f>SUM($E$1462:$AI$1462)</f>
        <v>48</v>
      </c>
      <c r="AM1461" s="8">
        <f>SUM($E$1463:$AI$1463)</f>
        <v>24</v>
      </c>
      <c r="AN1461" s="8">
        <f>AL1461+AM1461</f>
        <v>72</v>
      </c>
      <c r="AO1461" s="8">
        <f>COUNTIF($E$1461:$AI$1461,"CL")</f>
        <v>0</v>
      </c>
      <c r="AP1461" s="8">
        <f>COUNTIF($E$1461:$AI$1461,"SL")</f>
        <v>0</v>
      </c>
      <c r="AQ1461" s="8">
        <f>COUNTIF($E$1461:$AI$1461,"EL")</f>
        <v>0</v>
      </c>
      <c r="AR1461" s="8">
        <f>COUNTIF($E$1461:$AI$1461,"H")</f>
        <v>0</v>
      </c>
      <c r="AS1461" s="8"/>
      <c r="AT1461" s="11" t="s">
        <v>251</v>
      </c>
    </row>
    <row r="1462" spans="1:46" ht="15.1" customHeight="1">
      <c r="A1462" s="8"/>
      <c r="B1462" s="9"/>
      <c r="C1462" s="8"/>
      <c r="D1462" s="9"/>
      <c r="E1462" s="8">
        <v>2</v>
      </c>
      <c r="F1462" s="8">
        <v>2</v>
      </c>
      <c r="G1462" s="8">
        <v>0</v>
      </c>
      <c r="H1462" s="8">
        <v>0</v>
      </c>
      <c r="I1462" s="8">
        <v>2</v>
      </c>
      <c r="J1462" s="8">
        <v>2</v>
      </c>
      <c r="K1462" s="8">
        <v>2</v>
      </c>
      <c r="L1462" s="8">
        <v>2</v>
      </c>
      <c r="M1462" s="8">
        <v>2</v>
      </c>
      <c r="N1462" s="8">
        <v>0</v>
      </c>
      <c r="O1462" s="8">
        <v>2</v>
      </c>
      <c r="P1462" s="8">
        <v>2</v>
      </c>
      <c r="Q1462" s="8">
        <v>2</v>
      </c>
      <c r="R1462" s="8">
        <v>2</v>
      </c>
      <c r="S1462" s="8">
        <v>2</v>
      </c>
      <c r="T1462" s="8">
        <v>2</v>
      </c>
      <c r="U1462" s="8">
        <v>0</v>
      </c>
      <c r="V1462" s="8">
        <v>2</v>
      </c>
      <c r="W1462" s="8">
        <v>2</v>
      </c>
      <c r="X1462" s="8">
        <v>2</v>
      </c>
      <c r="Y1462" s="8">
        <v>2</v>
      </c>
      <c r="Z1462" s="8">
        <v>0</v>
      </c>
      <c r="AA1462" s="8">
        <v>2</v>
      </c>
      <c r="AB1462" s="8">
        <v>0</v>
      </c>
      <c r="AC1462" s="8">
        <v>2</v>
      </c>
      <c r="AD1462" s="8">
        <v>2</v>
      </c>
      <c r="AE1462" s="8">
        <v>2</v>
      </c>
      <c r="AF1462" s="8">
        <v>2</v>
      </c>
      <c r="AG1462" s="8">
        <v>2</v>
      </c>
      <c r="AH1462" s="8">
        <v>2</v>
      </c>
      <c r="AI1462" s="8">
        <v>0</v>
      </c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11" t="s">
        <v>251</v>
      </c>
    </row>
    <row r="1463" spans="1:46" ht="15.1" customHeight="1">
      <c r="A1463" s="8"/>
      <c r="B1463" s="9"/>
      <c r="C1463" s="8"/>
      <c r="D1463" s="9"/>
      <c r="E1463" s="8">
        <v>1</v>
      </c>
      <c r="F1463" s="8">
        <v>1</v>
      </c>
      <c r="G1463" s="8">
        <v>0</v>
      </c>
      <c r="H1463" s="8">
        <v>0</v>
      </c>
      <c r="I1463" s="8">
        <v>1</v>
      </c>
      <c r="J1463" s="8">
        <v>1</v>
      </c>
      <c r="K1463" s="8">
        <v>1</v>
      </c>
      <c r="L1463" s="8">
        <v>1</v>
      </c>
      <c r="M1463" s="8">
        <v>1</v>
      </c>
      <c r="N1463" s="8">
        <v>0</v>
      </c>
      <c r="O1463" s="8">
        <v>1</v>
      </c>
      <c r="P1463" s="8">
        <v>1</v>
      </c>
      <c r="Q1463" s="8">
        <v>1</v>
      </c>
      <c r="R1463" s="8">
        <v>1</v>
      </c>
      <c r="S1463" s="8">
        <v>1</v>
      </c>
      <c r="T1463" s="8">
        <v>1</v>
      </c>
      <c r="U1463" s="8">
        <v>0</v>
      </c>
      <c r="V1463" s="8">
        <v>1</v>
      </c>
      <c r="W1463" s="8">
        <v>1</v>
      </c>
      <c r="X1463" s="8">
        <v>1</v>
      </c>
      <c r="Y1463" s="8">
        <v>1</v>
      </c>
      <c r="Z1463" s="8">
        <v>0</v>
      </c>
      <c r="AA1463" s="8">
        <v>1</v>
      </c>
      <c r="AB1463" s="8">
        <v>0</v>
      </c>
      <c r="AC1463" s="8">
        <v>1</v>
      </c>
      <c r="AD1463" s="8">
        <v>1</v>
      </c>
      <c r="AE1463" s="8">
        <v>1</v>
      </c>
      <c r="AF1463" s="8">
        <v>1</v>
      </c>
      <c r="AG1463" s="8">
        <v>1</v>
      </c>
      <c r="AH1463" s="8">
        <v>1</v>
      </c>
      <c r="AI1463" s="8">
        <v>0</v>
      </c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11" t="s">
        <v>251</v>
      </c>
    </row>
    <row r="1464" spans="1:46" ht="15.1" customHeight="1">
      <c r="A1464" s="8">
        <v>487</v>
      </c>
      <c r="B1464" s="9" t="s">
        <v>1224</v>
      </c>
      <c r="C1464" s="8" t="s">
        <v>1225</v>
      </c>
      <c r="D1464" s="9" t="s">
        <v>451</v>
      </c>
      <c r="E1464" s="8" t="s">
        <v>54</v>
      </c>
      <c r="F1464" s="8" t="s">
        <v>54</v>
      </c>
      <c r="G1464" s="10" t="s">
        <v>67</v>
      </c>
      <c r="H1464" s="8" t="s">
        <v>54</v>
      </c>
      <c r="I1464" s="8" t="s">
        <v>54</v>
      </c>
      <c r="J1464" s="8" t="s">
        <v>54</v>
      </c>
      <c r="K1464" s="8" t="s">
        <v>54</v>
      </c>
      <c r="L1464" s="8" t="s">
        <v>54</v>
      </c>
      <c r="M1464" s="8" t="s">
        <v>54</v>
      </c>
      <c r="N1464" s="10" t="s">
        <v>67</v>
      </c>
      <c r="O1464" s="8" t="s">
        <v>54</v>
      </c>
      <c r="P1464" s="8" t="s">
        <v>54</v>
      </c>
      <c r="Q1464" s="8" t="s">
        <v>54</v>
      </c>
      <c r="R1464" s="8" t="s">
        <v>54</v>
      </c>
      <c r="S1464" s="8" t="s">
        <v>54</v>
      </c>
      <c r="T1464" s="8" t="s">
        <v>54</v>
      </c>
      <c r="U1464" s="10" t="s">
        <v>67</v>
      </c>
      <c r="V1464" s="8" t="s">
        <v>54</v>
      </c>
      <c r="W1464" s="8" t="s">
        <v>54</v>
      </c>
      <c r="X1464" s="8" t="s">
        <v>54</v>
      </c>
      <c r="Y1464" s="8" t="s">
        <v>54</v>
      </c>
      <c r="Z1464" s="8" t="s">
        <v>54</v>
      </c>
      <c r="AA1464" s="8" t="s">
        <v>54</v>
      </c>
      <c r="AB1464" s="10" t="s">
        <v>67</v>
      </c>
      <c r="AC1464" s="8" t="s">
        <v>54</v>
      </c>
      <c r="AD1464" s="8" t="s">
        <v>54</v>
      </c>
      <c r="AE1464" s="8" t="s">
        <v>54</v>
      </c>
      <c r="AF1464" s="8" t="s">
        <v>54</v>
      </c>
      <c r="AG1464" s="8" t="s">
        <v>54</v>
      </c>
      <c r="AH1464" s="8" t="s">
        <v>54</v>
      </c>
      <c r="AI1464" s="10" t="s">
        <v>67</v>
      </c>
      <c r="AJ1464" s="8">
        <f>COUNTIF($E$1464:$AI$1464,"P")</f>
        <v>26</v>
      </c>
      <c r="AK1464" s="8">
        <f>COUNTIF($E$1464:$AI$1464,"A")</f>
        <v>0</v>
      </c>
      <c r="AL1464" s="8">
        <f>SUM($E$1465:$AI$1465)</f>
        <v>52</v>
      </c>
      <c r="AM1464" s="8">
        <f>SUM($E$1466:$AI$1466)</f>
        <v>26</v>
      </c>
      <c r="AN1464" s="8">
        <f>AL1464+AM1464</f>
        <v>78</v>
      </c>
      <c r="AO1464" s="8">
        <f>COUNTIF($E$1464:$AI$1464,"CL")</f>
        <v>0</v>
      </c>
      <c r="AP1464" s="8">
        <f>COUNTIF($E$1464:$AI$1464,"SL")</f>
        <v>0</v>
      </c>
      <c r="AQ1464" s="8">
        <f>COUNTIF($E$1464:$AI$1464,"EL")</f>
        <v>0</v>
      </c>
      <c r="AR1464" s="8">
        <f>COUNTIF($E$1464:$AI$1464,"H")</f>
        <v>0</v>
      </c>
      <c r="AS1464" s="8"/>
      <c r="AT1464" s="11" t="s">
        <v>251</v>
      </c>
    </row>
    <row r="1465" spans="1:46" ht="15.1" customHeight="1">
      <c r="A1465" s="8"/>
      <c r="B1465" s="9"/>
      <c r="C1465" s="8"/>
      <c r="D1465" s="9"/>
      <c r="E1465" s="8">
        <v>2</v>
      </c>
      <c r="F1465" s="8">
        <v>2</v>
      </c>
      <c r="G1465" s="8">
        <v>0</v>
      </c>
      <c r="H1465" s="8">
        <v>2</v>
      </c>
      <c r="I1465" s="8">
        <v>2</v>
      </c>
      <c r="J1465" s="8">
        <v>2</v>
      </c>
      <c r="K1465" s="8">
        <v>2</v>
      </c>
      <c r="L1465" s="8">
        <v>2</v>
      </c>
      <c r="M1465" s="8">
        <v>2</v>
      </c>
      <c r="N1465" s="8">
        <v>0</v>
      </c>
      <c r="O1465" s="8">
        <v>2</v>
      </c>
      <c r="P1465" s="8">
        <v>2</v>
      </c>
      <c r="Q1465" s="8">
        <v>2</v>
      </c>
      <c r="R1465" s="8">
        <v>2</v>
      </c>
      <c r="S1465" s="8">
        <v>2</v>
      </c>
      <c r="T1465" s="8">
        <v>2</v>
      </c>
      <c r="U1465" s="8">
        <v>0</v>
      </c>
      <c r="V1465" s="8">
        <v>2</v>
      </c>
      <c r="W1465" s="8">
        <v>2</v>
      </c>
      <c r="X1465" s="8">
        <v>2</v>
      </c>
      <c r="Y1465" s="8">
        <v>2</v>
      </c>
      <c r="Z1465" s="8">
        <v>2</v>
      </c>
      <c r="AA1465" s="8">
        <v>2</v>
      </c>
      <c r="AB1465" s="8">
        <v>0</v>
      </c>
      <c r="AC1465" s="8">
        <v>2</v>
      </c>
      <c r="AD1465" s="8">
        <v>2</v>
      </c>
      <c r="AE1465" s="8">
        <v>2</v>
      </c>
      <c r="AF1465" s="8">
        <v>2</v>
      </c>
      <c r="AG1465" s="8">
        <v>2</v>
      </c>
      <c r="AH1465" s="8">
        <v>2</v>
      </c>
      <c r="AI1465" s="8">
        <v>0</v>
      </c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11" t="s">
        <v>251</v>
      </c>
    </row>
    <row r="1466" spans="1:46" ht="15.1" customHeight="1">
      <c r="A1466" s="8"/>
      <c r="B1466" s="9"/>
      <c r="C1466" s="8"/>
      <c r="D1466" s="9"/>
      <c r="E1466" s="8">
        <v>1</v>
      </c>
      <c r="F1466" s="8">
        <v>1</v>
      </c>
      <c r="G1466" s="8">
        <v>0</v>
      </c>
      <c r="H1466" s="8">
        <v>1</v>
      </c>
      <c r="I1466" s="8">
        <v>1</v>
      </c>
      <c r="J1466" s="8">
        <v>1</v>
      </c>
      <c r="K1466" s="8">
        <v>1</v>
      </c>
      <c r="L1466" s="8">
        <v>1</v>
      </c>
      <c r="M1466" s="8">
        <v>1</v>
      </c>
      <c r="N1466" s="8">
        <v>0</v>
      </c>
      <c r="O1466" s="8">
        <v>1</v>
      </c>
      <c r="P1466" s="8">
        <v>1</v>
      </c>
      <c r="Q1466" s="8">
        <v>1</v>
      </c>
      <c r="R1466" s="8">
        <v>1</v>
      </c>
      <c r="S1466" s="8">
        <v>1</v>
      </c>
      <c r="T1466" s="8">
        <v>1</v>
      </c>
      <c r="U1466" s="8">
        <v>0</v>
      </c>
      <c r="V1466" s="8">
        <v>1</v>
      </c>
      <c r="W1466" s="8">
        <v>1</v>
      </c>
      <c r="X1466" s="8">
        <v>1</v>
      </c>
      <c r="Y1466" s="8">
        <v>1</v>
      </c>
      <c r="Z1466" s="8">
        <v>1</v>
      </c>
      <c r="AA1466" s="8">
        <v>1</v>
      </c>
      <c r="AB1466" s="8">
        <v>0</v>
      </c>
      <c r="AC1466" s="8">
        <v>1</v>
      </c>
      <c r="AD1466" s="8">
        <v>1</v>
      </c>
      <c r="AE1466" s="8">
        <v>1</v>
      </c>
      <c r="AF1466" s="8">
        <v>1</v>
      </c>
      <c r="AG1466" s="8">
        <v>1</v>
      </c>
      <c r="AH1466" s="8">
        <v>1</v>
      </c>
      <c r="AI1466" s="8">
        <v>0</v>
      </c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11" t="s">
        <v>251</v>
      </c>
    </row>
    <row r="1467" spans="1:46" ht="15.1" customHeight="1">
      <c r="A1467" s="8">
        <v>488</v>
      </c>
      <c r="B1467" s="9" t="s">
        <v>1226</v>
      </c>
      <c r="C1467" s="8" t="s">
        <v>1227</v>
      </c>
      <c r="D1467" s="9" t="s">
        <v>451</v>
      </c>
      <c r="E1467" s="8" t="s">
        <v>54</v>
      </c>
      <c r="F1467" s="8" t="s">
        <v>54</v>
      </c>
      <c r="G1467" s="10" t="s">
        <v>67</v>
      </c>
      <c r="H1467" s="8" t="s">
        <v>54</v>
      </c>
      <c r="I1467" s="8" t="s">
        <v>54</v>
      </c>
      <c r="J1467" s="8" t="s">
        <v>54</v>
      </c>
      <c r="K1467" s="8" t="s">
        <v>54</v>
      </c>
      <c r="L1467" s="8" t="s">
        <v>54</v>
      </c>
      <c r="M1467" s="8" t="s">
        <v>54</v>
      </c>
      <c r="N1467" s="10" t="s">
        <v>67</v>
      </c>
      <c r="O1467" s="8" t="s">
        <v>54</v>
      </c>
      <c r="P1467" s="8" t="s">
        <v>54</v>
      </c>
      <c r="Q1467" s="8" t="s">
        <v>54</v>
      </c>
      <c r="R1467" s="8" t="s">
        <v>54</v>
      </c>
      <c r="S1467" s="8" t="s">
        <v>54</v>
      </c>
      <c r="T1467" s="8" t="s">
        <v>54</v>
      </c>
      <c r="U1467" s="10" t="s">
        <v>67</v>
      </c>
      <c r="V1467" s="8" t="s">
        <v>54</v>
      </c>
      <c r="W1467" s="8" t="s">
        <v>54</v>
      </c>
      <c r="X1467" s="8" t="s">
        <v>54</v>
      </c>
      <c r="Y1467" s="8" t="s">
        <v>54</v>
      </c>
      <c r="Z1467" s="8" t="s">
        <v>54</v>
      </c>
      <c r="AA1467" s="8" t="s">
        <v>54</v>
      </c>
      <c r="AB1467" s="10" t="s">
        <v>67</v>
      </c>
      <c r="AC1467" s="8" t="s">
        <v>54</v>
      </c>
      <c r="AD1467" s="8" t="s">
        <v>54</v>
      </c>
      <c r="AE1467" s="8" t="s">
        <v>54</v>
      </c>
      <c r="AF1467" s="8" t="s">
        <v>54</v>
      </c>
      <c r="AG1467" s="8" t="s">
        <v>54</v>
      </c>
      <c r="AH1467" s="8" t="s">
        <v>54</v>
      </c>
      <c r="AI1467" s="10" t="s">
        <v>67</v>
      </c>
      <c r="AJ1467" s="8">
        <f>COUNTIF($E$1467:$AI$1467,"P")</f>
        <v>26</v>
      </c>
      <c r="AK1467" s="8">
        <f>COUNTIF($E$1467:$AI$1467,"A")</f>
        <v>0</v>
      </c>
      <c r="AL1467" s="8">
        <f>SUM($E$1468:$AI$1468)</f>
        <v>50</v>
      </c>
      <c r="AM1467" s="8">
        <f>SUM($E$1469:$AI$1469)</f>
        <v>25</v>
      </c>
      <c r="AN1467" s="8">
        <f>AL1467+AM1467</f>
        <v>75</v>
      </c>
      <c r="AO1467" s="8">
        <f>COUNTIF($E$1467:$AI$1467,"CL")</f>
        <v>0</v>
      </c>
      <c r="AP1467" s="8">
        <f>COUNTIF($E$1467:$AI$1467,"SL")</f>
        <v>0</v>
      </c>
      <c r="AQ1467" s="8">
        <f>COUNTIF($E$1467:$AI$1467,"EL")</f>
        <v>0</v>
      </c>
      <c r="AR1467" s="8">
        <f>COUNTIF($E$1467:$AI$1467,"H")</f>
        <v>0</v>
      </c>
      <c r="AS1467" s="8"/>
      <c r="AT1467" s="11" t="s">
        <v>251</v>
      </c>
    </row>
    <row r="1468" spans="1:46" ht="15.1" customHeight="1">
      <c r="A1468" s="8"/>
      <c r="B1468" s="9"/>
      <c r="C1468" s="8"/>
      <c r="D1468" s="9"/>
      <c r="E1468" s="8">
        <v>2</v>
      </c>
      <c r="F1468" s="8">
        <v>2</v>
      </c>
      <c r="G1468" s="8">
        <v>0</v>
      </c>
      <c r="H1468" s="8">
        <v>2</v>
      </c>
      <c r="I1468" s="8">
        <v>2</v>
      </c>
      <c r="J1468" s="8">
        <v>2</v>
      </c>
      <c r="K1468" s="8">
        <v>2</v>
      </c>
      <c r="L1468" s="8">
        <v>2</v>
      </c>
      <c r="M1468" s="8">
        <v>2</v>
      </c>
      <c r="N1468" s="8">
        <v>0</v>
      </c>
      <c r="O1468" s="8">
        <v>2</v>
      </c>
      <c r="P1468" s="8">
        <v>2</v>
      </c>
      <c r="Q1468" s="8">
        <v>2</v>
      </c>
      <c r="R1468" s="8">
        <v>2</v>
      </c>
      <c r="S1468" s="8">
        <v>2</v>
      </c>
      <c r="T1468" s="8">
        <v>2</v>
      </c>
      <c r="U1468" s="8">
        <v>0</v>
      </c>
      <c r="V1468" s="8">
        <v>2</v>
      </c>
      <c r="W1468" s="8">
        <v>2</v>
      </c>
      <c r="X1468" s="8">
        <v>2</v>
      </c>
      <c r="Y1468" s="8">
        <v>2</v>
      </c>
      <c r="Z1468" s="8">
        <v>0</v>
      </c>
      <c r="AA1468" s="8">
        <v>2</v>
      </c>
      <c r="AB1468" s="8">
        <v>0</v>
      </c>
      <c r="AC1468" s="8">
        <v>2</v>
      </c>
      <c r="AD1468" s="8">
        <v>2</v>
      </c>
      <c r="AE1468" s="8">
        <v>2</v>
      </c>
      <c r="AF1468" s="8">
        <v>2</v>
      </c>
      <c r="AG1468" s="8">
        <v>2</v>
      </c>
      <c r="AH1468" s="8">
        <v>2</v>
      </c>
      <c r="AI1468" s="8">
        <v>0</v>
      </c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11" t="s">
        <v>251</v>
      </c>
    </row>
    <row r="1469" spans="1:46" ht="15.1" customHeight="1">
      <c r="A1469" s="8"/>
      <c r="B1469" s="9"/>
      <c r="C1469" s="8"/>
      <c r="D1469" s="9"/>
      <c r="E1469" s="8">
        <v>1</v>
      </c>
      <c r="F1469" s="8">
        <v>1</v>
      </c>
      <c r="G1469" s="8">
        <v>0</v>
      </c>
      <c r="H1469" s="8">
        <v>1</v>
      </c>
      <c r="I1469" s="8">
        <v>1</v>
      </c>
      <c r="J1469" s="8">
        <v>1</v>
      </c>
      <c r="K1469" s="8">
        <v>1</v>
      </c>
      <c r="L1469" s="8">
        <v>1</v>
      </c>
      <c r="M1469" s="8">
        <v>1</v>
      </c>
      <c r="N1469" s="8">
        <v>0</v>
      </c>
      <c r="O1469" s="8">
        <v>1</v>
      </c>
      <c r="P1469" s="8">
        <v>1</v>
      </c>
      <c r="Q1469" s="8">
        <v>1</v>
      </c>
      <c r="R1469" s="8">
        <v>1</v>
      </c>
      <c r="S1469" s="8">
        <v>1</v>
      </c>
      <c r="T1469" s="8">
        <v>1</v>
      </c>
      <c r="U1469" s="8">
        <v>0</v>
      </c>
      <c r="V1469" s="8">
        <v>1</v>
      </c>
      <c r="W1469" s="8">
        <v>1</v>
      </c>
      <c r="X1469" s="8">
        <v>1</v>
      </c>
      <c r="Y1469" s="8">
        <v>1</v>
      </c>
      <c r="Z1469" s="8">
        <v>0</v>
      </c>
      <c r="AA1469" s="8">
        <v>1</v>
      </c>
      <c r="AB1469" s="8">
        <v>0</v>
      </c>
      <c r="AC1469" s="8">
        <v>1</v>
      </c>
      <c r="AD1469" s="8">
        <v>1</v>
      </c>
      <c r="AE1469" s="8">
        <v>1</v>
      </c>
      <c r="AF1469" s="8">
        <v>1</v>
      </c>
      <c r="AG1469" s="8">
        <v>1</v>
      </c>
      <c r="AH1469" s="8">
        <v>1</v>
      </c>
      <c r="AI1469" s="8">
        <v>0</v>
      </c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11" t="s">
        <v>251</v>
      </c>
    </row>
    <row r="1470" spans="1:46" ht="15.1" customHeight="1">
      <c r="A1470" s="8">
        <v>489</v>
      </c>
      <c r="B1470" s="9" t="s">
        <v>1228</v>
      </c>
      <c r="C1470" s="8" t="s">
        <v>1229</v>
      </c>
      <c r="D1470" s="9" t="s">
        <v>451</v>
      </c>
      <c r="E1470" s="8" t="s">
        <v>54</v>
      </c>
      <c r="F1470" s="8" t="s">
        <v>54</v>
      </c>
      <c r="G1470" s="10" t="s">
        <v>67</v>
      </c>
      <c r="H1470" s="8" t="s">
        <v>54</v>
      </c>
      <c r="I1470" s="8" t="s">
        <v>54</v>
      </c>
      <c r="J1470" s="8" t="s">
        <v>54</v>
      </c>
      <c r="K1470" s="8" t="s">
        <v>54</v>
      </c>
      <c r="L1470" s="8" t="s">
        <v>54</v>
      </c>
      <c r="M1470" s="8" t="s">
        <v>54</v>
      </c>
      <c r="N1470" s="10" t="s">
        <v>67</v>
      </c>
      <c r="O1470" s="8" t="s">
        <v>54</v>
      </c>
      <c r="P1470" s="8" t="s">
        <v>54</v>
      </c>
      <c r="Q1470" s="8" t="s">
        <v>54</v>
      </c>
      <c r="R1470" s="8" t="s">
        <v>54</v>
      </c>
      <c r="S1470" s="8" t="s">
        <v>54</v>
      </c>
      <c r="T1470" s="8" t="s">
        <v>54</v>
      </c>
      <c r="U1470" s="10" t="s">
        <v>67</v>
      </c>
      <c r="V1470" s="8" t="s">
        <v>54</v>
      </c>
      <c r="W1470" s="8" t="s">
        <v>54</v>
      </c>
      <c r="X1470" s="8" t="s">
        <v>54</v>
      </c>
      <c r="Y1470" s="8" t="s">
        <v>54</v>
      </c>
      <c r="Z1470" s="8" t="s">
        <v>54</v>
      </c>
      <c r="AA1470" s="8" t="s">
        <v>54</v>
      </c>
      <c r="AB1470" s="10" t="s">
        <v>67</v>
      </c>
      <c r="AC1470" s="8" t="s">
        <v>54</v>
      </c>
      <c r="AD1470" s="8" t="s">
        <v>54</v>
      </c>
      <c r="AE1470" s="8" t="s">
        <v>54</v>
      </c>
      <c r="AF1470" s="12" t="s">
        <v>55</v>
      </c>
      <c r="AG1470" s="8" t="s">
        <v>54</v>
      </c>
      <c r="AH1470" s="12" t="s">
        <v>55</v>
      </c>
      <c r="AI1470" s="10" t="s">
        <v>67</v>
      </c>
      <c r="AJ1470" s="8">
        <f>COUNTIF($E$1470:$AI$1470,"P")</f>
        <v>24</v>
      </c>
      <c r="AK1470" s="8">
        <f>COUNTIF($E$1470:$AI$1470,"A")</f>
        <v>2</v>
      </c>
      <c r="AL1470" s="8">
        <f>SUM($E$1471:$AI$1471)</f>
        <v>48</v>
      </c>
      <c r="AM1470" s="8">
        <f>SUM($E$1472:$AI$1472)</f>
        <v>24</v>
      </c>
      <c r="AN1470" s="8">
        <f>AL1470+AM1470</f>
        <v>72</v>
      </c>
      <c r="AO1470" s="8">
        <f>COUNTIF($E$1470:$AI$1470,"CL")</f>
        <v>0</v>
      </c>
      <c r="AP1470" s="8">
        <f>COUNTIF($E$1470:$AI$1470,"SL")</f>
        <v>0</v>
      </c>
      <c r="AQ1470" s="8">
        <f>COUNTIF($E$1470:$AI$1470,"EL")</f>
        <v>0</v>
      </c>
      <c r="AR1470" s="8">
        <f>COUNTIF($E$1470:$AI$1470,"H")</f>
        <v>0</v>
      </c>
      <c r="AS1470" s="8"/>
      <c r="AT1470" s="11" t="s">
        <v>251</v>
      </c>
    </row>
    <row r="1471" spans="1:46" ht="15.1" customHeight="1">
      <c r="A1471" s="8"/>
      <c r="B1471" s="9"/>
      <c r="C1471" s="8"/>
      <c r="D1471" s="9"/>
      <c r="E1471" s="8">
        <v>2</v>
      </c>
      <c r="F1471" s="8">
        <v>2</v>
      </c>
      <c r="G1471" s="8">
        <v>0</v>
      </c>
      <c r="H1471" s="8">
        <v>2</v>
      </c>
      <c r="I1471" s="8">
        <v>2</v>
      </c>
      <c r="J1471" s="8">
        <v>2</v>
      </c>
      <c r="K1471" s="8">
        <v>2</v>
      </c>
      <c r="L1471" s="8">
        <v>2</v>
      </c>
      <c r="M1471" s="8">
        <v>2</v>
      </c>
      <c r="N1471" s="8">
        <v>0</v>
      </c>
      <c r="O1471" s="8">
        <v>2</v>
      </c>
      <c r="P1471" s="8">
        <v>2</v>
      </c>
      <c r="Q1471" s="8">
        <v>2</v>
      </c>
      <c r="R1471" s="8">
        <v>2</v>
      </c>
      <c r="S1471" s="8">
        <v>2</v>
      </c>
      <c r="T1471" s="8">
        <v>2</v>
      </c>
      <c r="U1471" s="8">
        <v>0</v>
      </c>
      <c r="V1471" s="8">
        <v>2</v>
      </c>
      <c r="W1471" s="8">
        <v>2</v>
      </c>
      <c r="X1471" s="8">
        <v>2</v>
      </c>
      <c r="Y1471" s="8">
        <v>2</v>
      </c>
      <c r="Z1471" s="8">
        <v>2</v>
      </c>
      <c r="AA1471" s="8">
        <v>2</v>
      </c>
      <c r="AB1471" s="8">
        <v>0</v>
      </c>
      <c r="AC1471" s="8">
        <v>2</v>
      </c>
      <c r="AD1471" s="8">
        <v>2</v>
      </c>
      <c r="AE1471" s="8">
        <v>2</v>
      </c>
      <c r="AF1471" s="8">
        <v>0</v>
      </c>
      <c r="AG1471" s="8">
        <v>2</v>
      </c>
      <c r="AH1471" s="8">
        <v>0</v>
      </c>
      <c r="AI1471" s="8">
        <v>0</v>
      </c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11" t="s">
        <v>251</v>
      </c>
    </row>
    <row r="1472" spans="1:46" ht="15.1" customHeight="1">
      <c r="A1472" s="8"/>
      <c r="B1472" s="9"/>
      <c r="C1472" s="8"/>
      <c r="D1472" s="9"/>
      <c r="E1472" s="8">
        <v>1</v>
      </c>
      <c r="F1472" s="8">
        <v>1</v>
      </c>
      <c r="G1472" s="8">
        <v>0</v>
      </c>
      <c r="H1472" s="8">
        <v>1</v>
      </c>
      <c r="I1472" s="8">
        <v>1</v>
      </c>
      <c r="J1472" s="8">
        <v>1</v>
      </c>
      <c r="K1472" s="8">
        <v>1</v>
      </c>
      <c r="L1472" s="8">
        <v>1</v>
      </c>
      <c r="M1472" s="8">
        <v>1</v>
      </c>
      <c r="N1472" s="8">
        <v>0</v>
      </c>
      <c r="O1472" s="8">
        <v>1</v>
      </c>
      <c r="P1472" s="8">
        <v>1</v>
      </c>
      <c r="Q1472" s="8">
        <v>1</v>
      </c>
      <c r="R1472" s="8">
        <v>1</v>
      </c>
      <c r="S1472" s="8">
        <v>1</v>
      </c>
      <c r="T1472" s="8">
        <v>1</v>
      </c>
      <c r="U1472" s="8">
        <v>0</v>
      </c>
      <c r="V1472" s="8">
        <v>1</v>
      </c>
      <c r="W1472" s="8">
        <v>1</v>
      </c>
      <c r="X1472" s="8">
        <v>1</v>
      </c>
      <c r="Y1472" s="8">
        <v>1</v>
      </c>
      <c r="Z1472" s="8">
        <v>1</v>
      </c>
      <c r="AA1472" s="8">
        <v>1</v>
      </c>
      <c r="AB1472" s="8">
        <v>0</v>
      </c>
      <c r="AC1472" s="8">
        <v>1</v>
      </c>
      <c r="AD1472" s="8">
        <v>1</v>
      </c>
      <c r="AE1472" s="8">
        <v>1</v>
      </c>
      <c r="AF1472" s="8">
        <v>0</v>
      </c>
      <c r="AG1472" s="8">
        <v>1</v>
      </c>
      <c r="AH1472" s="8">
        <v>0</v>
      </c>
      <c r="AI1472" s="8">
        <v>0</v>
      </c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11" t="s">
        <v>251</v>
      </c>
    </row>
    <row r="1473" spans="1:46" ht="15.1" customHeight="1">
      <c r="A1473" s="8">
        <v>490</v>
      </c>
      <c r="B1473" s="9" t="s">
        <v>1230</v>
      </c>
      <c r="C1473" s="8" t="s">
        <v>1231</v>
      </c>
      <c r="D1473" s="9" t="s">
        <v>451</v>
      </c>
      <c r="E1473" s="8" t="s">
        <v>54</v>
      </c>
      <c r="F1473" s="8" t="s">
        <v>54</v>
      </c>
      <c r="G1473" s="10" t="s">
        <v>67</v>
      </c>
      <c r="H1473" s="8" t="s">
        <v>54</v>
      </c>
      <c r="I1473" s="8" t="s">
        <v>54</v>
      </c>
      <c r="J1473" s="8" t="s">
        <v>54</v>
      </c>
      <c r="K1473" s="8" t="s">
        <v>54</v>
      </c>
      <c r="L1473" s="8" t="s">
        <v>54</v>
      </c>
      <c r="M1473" s="8" t="s">
        <v>54</v>
      </c>
      <c r="N1473" s="10" t="s">
        <v>67</v>
      </c>
      <c r="O1473" s="8" t="s">
        <v>54</v>
      </c>
      <c r="P1473" s="8" t="s">
        <v>54</v>
      </c>
      <c r="Q1473" s="8" t="s">
        <v>54</v>
      </c>
      <c r="R1473" s="8" t="s">
        <v>54</v>
      </c>
      <c r="S1473" s="8" t="s">
        <v>54</v>
      </c>
      <c r="T1473" s="8" t="s">
        <v>54</v>
      </c>
      <c r="U1473" s="10" t="s">
        <v>67</v>
      </c>
      <c r="V1473" s="8" t="s">
        <v>54</v>
      </c>
      <c r="W1473" s="8" t="s">
        <v>54</v>
      </c>
      <c r="X1473" s="8" t="s">
        <v>54</v>
      </c>
      <c r="Y1473" s="8" t="s">
        <v>54</v>
      </c>
      <c r="Z1473" s="8" t="s">
        <v>54</v>
      </c>
      <c r="AA1473" s="8" t="s">
        <v>54</v>
      </c>
      <c r="AB1473" s="10" t="s">
        <v>67</v>
      </c>
      <c r="AC1473" s="8" t="s">
        <v>54</v>
      </c>
      <c r="AD1473" s="8" t="s">
        <v>54</v>
      </c>
      <c r="AE1473" s="8" t="s">
        <v>54</v>
      </c>
      <c r="AF1473" s="8" t="s">
        <v>54</v>
      </c>
      <c r="AG1473" s="8" t="s">
        <v>54</v>
      </c>
      <c r="AH1473" s="8" t="s">
        <v>54</v>
      </c>
      <c r="AI1473" s="10" t="s">
        <v>67</v>
      </c>
      <c r="AJ1473" s="8">
        <f>COUNTIF($E$1473:$AI$1473,"P")</f>
        <v>26</v>
      </c>
      <c r="AK1473" s="8">
        <f>COUNTIF($E$1473:$AI$1473,"A")</f>
        <v>0</v>
      </c>
      <c r="AL1473" s="8">
        <f>SUM($E$1474:$AI$1474)</f>
        <v>52</v>
      </c>
      <c r="AM1473" s="8">
        <f>SUM($E$1475:$AI$1475)</f>
        <v>26</v>
      </c>
      <c r="AN1473" s="8">
        <f>AL1473+AM1473</f>
        <v>78</v>
      </c>
      <c r="AO1473" s="8">
        <f>COUNTIF($E$1473:$AI$1473,"CL")</f>
        <v>0</v>
      </c>
      <c r="AP1473" s="8">
        <f>COUNTIF($E$1473:$AI$1473,"SL")</f>
        <v>0</v>
      </c>
      <c r="AQ1473" s="8">
        <f>COUNTIF($E$1473:$AI$1473,"EL")</f>
        <v>0</v>
      </c>
      <c r="AR1473" s="8">
        <f>COUNTIF($E$1473:$AI$1473,"H")</f>
        <v>0</v>
      </c>
      <c r="AS1473" s="8"/>
      <c r="AT1473" s="11" t="s">
        <v>251</v>
      </c>
    </row>
    <row r="1474" spans="1:46" ht="15.1" customHeight="1">
      <c r="A1474" s="8"/>
      <c r="B1474" s="9"/>
      <c r="C1474" s="8"/>
      <c r="D1474" s="9"/>
      <c r="E1474" s="8">
        <v>2</v>
      </c>
      <c r="F1474" s="8">
        <v>2</v>
      </c>
      <c r="G1474" s="8">
        <v>0</v>
      </c>
      <c r="H1474" s="8">
        <v>2</v>
      </c>
      <c r="I1474" s="8">
        <v>2</v>
      </c>
      <c r="J1474" s="8">
        <v>2</v>
      </c>
      <c r="K1474" s="8">
        <v>2</v>
      </c>
      <c r="L1474" s="8">
        <v>2</v>
      </c>
      <c r="M1474" s="8">
        <v>2</v>
      </c>
      <c r="N1474" s="8">
        <v>0</v>
      </c>
      <c r="O1474" s="8">
        <v>2</v>
      </c>
      <c r="P1474" s="8">
        <v>2</v>
      </c>
      <c r="Q1474" s="8">
        <v>2</v>
      </c>
      <c r="R1474" s="8">
        <v>2</v>
      </c>
      <c r="S1474" s="8">
        <v>2</v>
      </c>
      <c r="T1474" s="8">
        <v>2</v>
      </c>
      <c r="U1474" s="8">
        <v>0</v>
      </c>
      <c r="V1474" s="8">
        <v>2</v>
      </c>
      <c r="W1474" s="8">
        <v>2</v>
      </c>
      <c r="X1474" s="8">
        <v>2</v>
      </c>
      <c r="Y1474" s="8">
        <v>2</v>
      </c>
      <c r="Z1474" s="8">
        <v>2</v>
      </c>
      <c r="AA1474" s="8">
        <v>2</v>
      </c>
      <c r="AB1474" s="8">
        <v>0</v>
      </c>
      <c r="AC1474" s="8">
        <v>2</v>
      </c>
      <c r="AD1474" s="8">
        <v>2</v>
      </c>
      <c r="AE1474" s="8">
        <v>2</v>
      </c>
      <c r="AF1474" s="8">
        <v>2</v>
      </c>
      <c r="AG1474" s="8">
        <v>2</v>
      </c>
      <c r="AH1474" s="8">
        <v>2</v>
      </c>
      <c r="AI1474" s="8">
        <v>0</v>
      </c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11" t="s">
        <v>251</v>
      </c>
    </row>
    <row r="1475" spans="1:46" ht="15.1" customHeight="1">
      <c r="A1475" s="8"/>
      <c r="B1475" s="9"/>
      <c r="C1475" s="8"/>
      <c r="D1475" s="9"/>
      <c r="E1475" s="8">
        <v>1</v>
      </c>
      <c r="F1475" s="8">
        <v>1</v>
      </c>
      <c r="G1475" s="8">
        <v>0</v>
      </c>
      <c r="H1475" s="8">
        <v>1</v>
      </c>
      <c r="I1475" s="8">
        <v>1</v>
      </c>
      <c r="J1475" s="8">
        <v>1</v>
      </c>
      <c r="K1475" s="8">
        <v>1</v>
      </c>
      <c r="L1475" s="8">
        <v>1</v>
      </c>
      <c r="M1475" s="8">
        <v>1</v>
      </c>
      <c r="N1475" s="8">
        <v>0</v>
      </c>
      <c r="O1475" s="8">
        <v>1</v>
      </c>
      <c r="P1475" s="8">
        <v>1</v>
      </c>
      <c r="Q1475" s="8">
        <v>1</v>
      </c>
      <c r="R1475" s="8">
        <v>1</v>
      </c>
      <c r="S1475" s="8">
        <v>1</v>
      </c>
      <c r="T1475" s="8">
        <v>1</v>
      </c>
      <c r="U1475" s="8">
        <v>0</v>
      </c>
      <c r="V1475" s="8">
        <v>1</v>
      </c>
      <c r="W1475" s="8">
        <v>1</v>
      </c>
      <c r="X1475" s="8">
        <v>1</v>
      </c>
      <c r="Y1475" s="8">
        <v>1</v>
      </c>
      <c r="Z1475" s="8">
        <v>1</v>
      </c>
      <c r="AA1475" s="8">
        <v>1</v>
      </c>
      <c r="AB1475" s="8">
        <v>0</v>
      </c>
      <c r="AC1475" s="8">
        <v>1</v>
      </c>
      <c r="AD1475" s="8">
        <v>1</v>
      </c>
      <c r="AE1475" s="8">
        <v>1</v>
      </c>
      <c r="AF1475" s="8">
        <v>1</v>
      </c>
      <c r="AG1475" s="8">
        <v>1</v>
      </c>
      <c r="AH1475" s="8">
        <v>1</v>
      </c>
      <c r="AI1475" s="8">
        <v>0</v>
      </c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11" t="s">
        <v>251</v>
      </c>
    </row>
    <row r="1476" spans="1:46" ht="15.1" customHeight="1">
      <c r="A1476" s="8">
        <v>491</v>
      </c>
      <c r="B1476" s="9" t="s">
        <v>1232</v>
      </c>
      <c r="C1476" s="8" t="s">
        <v>1233</v>
      </c>
      <c r="D1476" s="9" t="s">
        <v>451</v>
      </c>
      <c r="E1476" s="8" t="s">
        <v>54</v>
      </c>
      <c r="F1476" s="8" t="s">
        <v>54</v>
      </c>
      <c r="G1476" s="10" t="s">
        <v>67</v>
      </c>
      <c r="H1476" s="8" t="s">
        <v>54</v>
      </c>
      <c r="I1476" s="8" t="s">
        <v>54</v>
      </c>
      <c r="J1476" s="8" t="s">
        <v>54</v>
      </c>
      <c r="K1476" s="8" t="s">
        <v>54</v>
      </c>
      <c r="L1476" s="8" t="s">
        <v>54</v>
      </c>
      <c r="M1476" s="8" t="s">
        <v>54</v>
      </c>
      <c r="N1476" s="10" t="s">
        <v>67</v>
      </c>
      <c r="O1476" s="8" t="s">
        <v>54</v>
      </c>
      <c r="P1476" s="8" t="s">
        <v>54</v>
      </c>
      <c r="Q1476" s="8" t="s">
        <v>54</v>
      </c>
      <c r="R1476" s="8" t="s">
        <v>54</v>
      </c>
      <c r="S1476" s="8" t="s">
        <v>54</v>
      </c>
      <c r="T1476" s="8" t="s">
        <v>54</v>
      </c>
      <c r="U1476" s="10" t="s">
        <v>67</v>
      </c>
      <c r="V1476" s="8" t="s">
        <v>54</v>
      </c>
      <c r="W1476" s="8" t="s">
        <v>54</v>
      </c>
      <c r="X1476" s="8" t="s">
        <v>54</v>
      </c>
      <c r="Y1476" s="8" t="s">
        <v>54</v>
      </c>
      <c r="Z1476" s="8" t="s">
        <v>54</v>
      </c>
      <c r="AA1476" s="8" t="s">
        <v>54</v>
      </c>
      <c r="AB1476" s="10" t="s">
        <v>67</v>
      </c>
      <c r="AC1476" s="8" t="s">
        <v>54</v>
      </c>
      <c r="AD1476" s="8" t="s">
        <v>54</v>
      </c>
      <c r="AE1476" s="8" t="s">
        <v>54</v>
      </c>
      <c r="AF1476" s="8" t="s">
        <v>54</v>
      </c>
      <c r="AG1476" s="8" t="s">
        <v>54</v>
      </c>
      <c r="AH1476" s="8" t="s">
        <v>54</v>
      </c>
      <c r="AI1476" s="10" t="s">
        <v>67</v>
      </c>
      <c r="AJ1476" s="8">
        <f>COUNTIF($E$1476:$AI$1476,"P")</f>
        <v>26</v>
      </c>
      <c r="AK1476" s="8">
        <f>COUNTIF($E$1476:$AI$1476,"A")</f>
        <v>0</v>
      </c>
      <c r="AL1476" s="8">
        <f>SUM($E$1477:$AI$1477)</f>
        <v>50</v>
      </c>
      <c r="AM1476" s="8">
        <f>SUM($E$1478:$AI$1478)</f>
        <v>25</v>
      </c>
      <c r="AN1476" s="8">
        <f>AL1476+AM1476</f>
        <v>75</v>
      </c>
      <c r="AO1476" s="8">
        <f>COUNTIF($E$1476:$AI$1476,"CL")</f>
        <v>0</v>
      </c>
      <c r="AP1476" s="8">
        <f>COUNTIF($E$1476:$AI$1476,"SL")</f>
        <v>0</v>
      </c>
      <c r="AQ1476" s="8">
        <f>COUNTIF($E$1476:$AI$1476,"EL")</f>
        <v>0</v>
      </c>
      <c r="AR1476" s="8">
        <f>COUNTIF($E$1476:$AI$1476,"H")</f>
        <v>0</v>
      </c>
      <c r="AS1476" s="8"/>
      <c r="AT1476" s="11" t="s">
        <v>251</v>
      </c>
    </row>
    <row r="1477" spans="1:46" ht="15.1" customHeight="1">
      <c r="A1477" s="8"/>
      <c r="B1477" s="9"/>
      <c r="C1477" s="8"/>
      <c r="D1477" s="9"/>
      <c r="E1477" s="8">
        <v>2</v>
      </c>
      <c r="F1477" s="8">
        <v>2</v>
      </c>
      <c r="G1477" s="8">
        <v>0</v>
      </c>
      <c r="H1477" s="8">
        <v>2</v>
      </c>
      <c r="I1477" s="8">
        <v>2</v>
      </c>
      <c r="J1477" s="8">
        <v>2</v>
      </c>
      <c r="K1477" s="8">
        <v>2</v>
      </c>
      <c r="L1477" s="8">
        <v>2</v>
      </c>
      <c r="M1477" s="8">
        <v>2</v>
      </c>
      <c r="N1477" s="8">
        <v>0</v>
      </c>
      <c r="O1477" s="8">
        <v>2</v>
      </c>
      <c r="P1477" s="8">
        <v>2</v>
      </c>
      <c r="Q1477" s="8">
        <v>2</v>
      </c>
      <c r="R1477" s="8">
        <v>2</v>
      </c>
      <c r="S1477" s="8">
        <v>2</v>
      </c>
      <c r="T1477" s="8">
        <v>2</v>
      </c>
      <c r="U1477" s="8">
        <v>0</v>
      </c>
      <c r="V1477" s="8">
        <v>2</v>
      </c>
      <c r="W1477" s="8">
        <v>2</v>
      </c>
      <c r="X1477" s="8">
        <v>2</v>
      </c>
      <c r="Y1477" s="8">
        <v>2</v>
      </c>
      <c r="Z1477" s="8">
        <v>0</v>
      </c>
      <c r="AA1477" s="8">
        <v>2</v>
      </c>
      <c r="AB1477" s="8">
        <v>0</v>
      </c>
      <c r="AC1477" s="8">
        <v>2</v>
      </c>
      <c r="AD1477" s="8">
        <v>2</v>
      </c>
      <c r="AE1477" s="8">
        <v>2</v>
      </c>
      <c r="AF1477" s="8">
        <v>2</v>
      </c>
      <c r="AG1477" s="8">
        <v>2</v>
      </c>
      <c r="AH1477" s="8">
        <v>2</v>
      </c>
      <c r="AI1477" s="8">
        <v>0</v>
      </c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11" t="s">
        <v>251</v>
      </c>
    </row>
    <row r="1478" spans="1:46" ht="15.1" customHeight="1">
      <c r="A1478" s="8"/>
      <c r="B1478" s="9"/>
      <c r="C1478" s="8"/>
      <c r="D1478" s="9"/>
      <c r="E1478" s="8">
        <v>1</v>
      </c>
      <c r="F1478" s="8">
        <v>1</v>
      </c>
      <c r="G1478" s="8">
        <v>0</v>
      </c>
      <c r="H1478" s="8">
        <v>1</v>
      </c>
      <c r="I1478" s="8">
        <v>1</v>
      </c>
      <c r="J1478" s="8">
        <v>1</v>
      </c>
      <c r="K1478" s="8">
        <v>1</v>
      </c>
      <c r="L1478" s="8">
        <v>1</v>
      </c>
      <c r="M1478" s="8">
        <v>1</v>
      </c>
      <c r="N1478" s="8">
        <v>0</v>
      </c>
      <c r="O1478" s="8">
        <v>1</v>
      </c>
      <c r="P1478" s="8">
        <v>1</v>
      </c>
      <c r="Q1478" s="8">
        <v>1</v>
      </c>
      <c r="R1478" s="8">
        <v>1</v>
      </c>
      <c r="S1478" s="8">
        <v>1</v>
      </c>
      <c r="T1478" s="8">
        <v>1</v>
      </c>
      <c r="U1478" s="8">
        <v>0</v>
      </c>
      <c r="V1478" s="8">
        <v>1</v>
      </c>
      <c r="W1478" s="8">
        <v>1</v>
      </c>
      <c r="X1478" s="8">
        <v>1</v>
      </c>
      <c r="Y1478" s="8">
        <v>1</v>
      </c>
      <c r="Z1478" s="8">
        <v>0</v>
      </c>
      <c r="AA1478" s="8">
        <v>1</v>
      </c>
      <c r="AB1478" s="8">
        <v>0</v>
      </c>
      <c r="AC1478" s="8">
        <v>1</v>
      </c>
      <c r="AD1478" s="8">
        <v>1</v>
      </c>
      <c r="AE1478" s="8">
        <v>1</v>
      </c>
      <c r="AF1478" s="8">
        <v>1</v>
      </c>
      <c r="AG1478" s="8">
        <v>1</v>
      </c>
      <c r="AH1478" s="8">
        <v>1</v>
      </c>
      <c r="AI1478" s="8">
        <v>0</v>
      </c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11" t="s">
        <v>251</v>
      </c>
    </row>
    <row r="1479" spans="1:46" ht="15.1" customHeight="1">
      <c r="A1479" s="8">
        <v>492</v>
      </c>
      <c r="B1479" s="9" t="s">
        <v>1234</v>
      </c>
      <c r="C1479" s="8" t="s">
        <v>1235</v>
      </c>
      <c r="D1479" s="9" t="s">
        <v>451</v>
      </c>
      <c r="E1479" s="8" t="s">
        <v>54</v>
      </c>
      <c r="F1479" s="8" t="s">
        <v>54</v>
      </c>
      <c r="G1479" s="10" t="s">
        <v>67</v>
      </c>
      <c r="H1479" s="8" t="s">
        <v>54</v>
      </c>
      <c r="I1479" s="8" t="s">
        <v>54</v>
      </c>
      <c r="J1479" s="8" t="s">
        <v>54</v>
      </c>
      <c r="K1479" s="8" t="s">
        <v>54</v>
      </c>
      <c r="L1479" s="8" t="s">
        <v>54</v>
      </c>
      <c r="M1479" s="8" t="s">
        <v>54</v>
      </c>
      <c r="N1479" s="10" t="s">
        <v>67</v>
      </c>
      <c r="O1479" s="8" t="s">
        <v>54</v>
      </c>
      <c r="P1479" s="8" t="s">
        <v>54</v>
      </c>
      <c r="Q1479" s="8" t="s">
        <v>54</v>
      </c>
      <c r="R1479" s="8" t="s">
        <v>54</v>
      </c>
      <c r="S1479" s="8" t="s">
        <v>54</v>
      </c>
      <c r="T1479" s="8" t="s">
        <v>54</v>
      </c>
      <c r="U1479" s="10" t="s">
        <v>67</v>
      </c>
      <c r="V1479" s="8" t="s">
        <v>54</v>
      </c>
      <c r="W1479" s="8" t="s">
        <v>54</v>
      </c>
      <c r="X1479" s="8" t="s">
        <v>54</v>
      </c>
      <c r="Y1479" s="8" t="s">
        <v>54</v>
      </c>
      <c r="Z1479" s="8" t="s">
        <v>54</v>
      </c>
      <c r="AA1479" s="8" t="s">
        <v>54</v>
      </c>
      <c r="AB1479" s="10" t="s">
        <v>67</v>
      </c>
      <c r="AC1479" s="8" t="s">
        <v>54</v>
      </c>
      <c r="AD1479" s="8" t="s">
        <v>54</v>
      </c>
      <c r="AE1479" s="8" t="s">
        <v>54</v>
      </c>
      <c r="AF1479" s="8" t="s">
        <v>54</v>
      </c>
      <c r="AG1479" s="8" t="s">
        <v>54</v>
      </c>
      <c r="AH1479" s="8" t="s">
        <v>54</v>
      </c>
      <c r="AI1479" s="10" t="s">
        <v>67</v>
      </c>
      <c r="AJ1479" s="8">
        <f>COUNTIF($E$1479:$AI$1479,"P")</f>
        <v>26</v>
      </c>
      <c r="AK1479" s="8">
        <f>COUNTIF($E$1479:$AI$1479,"A")</f>
        <v>0</v>
      </c>
      <c r="AL1479" s="8">
        <f>SUM($E$1480:$AI$1480)</f>
        <v>50</v>
      </c>
      <c r="AM1479" s="8">
        <f>SUM($E$1481:$AI$1481)</f>
        <v>25</v>
      </c>
      <c r="AN1479" s="8">
        <f>AL1479+AM1479</f>
        <v>75</v>
      </c>
      <c r="AO1479" s="8">
        <f>COUNTIF($E$1479:$AI$1479,"CL")</f>
        <v>0</v>
      </c>
      <c r="AP1479" s="8">
        <f>COUNTIF($E$1479:$AI$1479,"SL")</f>
        <v>0</v>
      </c>
      <c r="AQ1479" s="8">
        <f>COUNTIF($E$1479:$AI$1479,"EL")</f>
        <v>0</v>
      </c>
      <c r="AR1479" s="8">
        <f>COUNTIF($E$1479:$AI$1479,"H")</f>
        <v>0</v>
      </c>
      <c r="AS1479" s="8"/>
      <c r="AT1479" s="11" t="s">
        <v>251</v>
      </c>
    </row>
    <row r="1480" spans="1:46" ht="15.1" customHeight="1">
      <c r="A1480" s="8"/>
      <c r="B1480" s="9"/>
      <c r="C1480" s="8"/>
      <c r="D1480" s="9"/>
      <c r="E1480" s="8">
        <v>2</v>
      </c>
      <c r="F1480" s="8">
        <v>2</v>
      </c>
      <c r="G1480" s="8">
        <v>0</v>
      </c>
      <c r="H1480" s="8">
        <v>2</v>
      </c>
      <c r="I1480" s="8">
        <v>2</v>
      </c>
      <c r="J1480" s="8">
        <v>2</v>
      </c>
      <c r="K1480" s="8">
        <v>2</v>
      </c>
      <c r="L1480" s="8">
        <v>2</v>
      </c>
      <c r="M1480" s="8">
        <v>2</v>
      </c>
      <c r="N1480" s="8">
        <v>0</v>
      </c>
      <c r="O1480" s="8">
        <v>2</v>
      </c>
      <c r="P1480" s="8">
        <v>2</v>
      </c>
      <c r="Q1480" s="8">
        <v>2</v>
      </c>
      <c r="R1480" s="8">
        <v>2</v>
      </c>
      <c r="S1480" s="8">
        <v>2</v>
      </c>
      <c r="T1480" s="8">
        <v>2</v>
      </c>
      <c r="U1480" s="8">
        <v>0</v>
      </c>
      <c r="V1480" s="8">
        <v>2</v>
      </c>
      <c r="W1480" s="8">
        <v>2</v>
      </c>
      <c r="X1480" s="8">
        <v>2</v>
      </c>
      <c r="Y1480" s="8">
        <v>2</v>
      </c>
      <c r="Z1480" s="8">
        <v>0</v>
      </c>
      <c r="AA1480" s="8">
        <v>2</v>
      </c>
      <c r="AB1480" s="8">
        <v>0</v>
      </c>
      <c r="AC1480" s="8">
        <v>2</v>
      </c>
      <c r="AD1480" s="8">
        <v>2</v>
      </c>
      <c r="AE1480" s="8">
        <v>2</v>
      </c>
      <c r="AF1480" s="8">
        <v>2</v>
      </c>
      <c r="AG1480" s="8">
        <v>2</v>
      </c>
      <c r="AH1480" s="8">
        <v>2</v>
      </c>
      <c r="AI1480" s="8">
        <v>0</v>
      </c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11" t="s">
        <v>251</v>
      </c>
    </row>
    <row r="1481" spans="1:46" ht="15.1" customHeight="1">
      <c r="A1481" s="8"/>
      <c r="B1481" s="9"/>
      <c r="C1481" s="8"/>
      <c r="D1481" s="9"/>
      <c r="E1481" s="8">
        <v>1</v>
      </c>
      <c r="F1481" s="8">
        <v>1</v>
      </c>
      <c r="G1481" s="8">
        <v>0</v>
      </c>
      <c r="H1481" s="8">
        <v>1</v>
      </c>
      <c r="I1481" s="8">
        <v>1</v>
      </c>
      <c r="J1481" s="8">
        <v>1</v>
      </c>
      <c r="K1481" s="8">
        <v>1</v>
      </c>
      <c r="L1481" s="8">
        <v>1</v>
      </c>
      <c r="M1481" s="8">
        <v>1</v>
      </c>
      <c r="N1481" s="8">
        <v>0</v>
      </c>
      <c r="O1481" s="8">
        <v>1</v>
      </c>
      <c r="P1481" s="8">
        <v>1</v>
      </c>
      <c r="Q1481" s="8">
        <v>1</v>
      </c>
      <c r="R1481" s="8">
        <v>1</v>
      </c>
      <c r="S1481" s="8">
        <v>1</v>
      </c>
      <c r="T1481" s="8">
        <v>1</v>
      </c>
      <c r="U1481" s="8">
        <v>0</v>
      </c>
      <c r="V1481" s="8">
        <v>1</v>
      </c>
      <c r="W1481" s="8">
        <v>1</v>
      </c>
      <c r="X1481" s="8">
        <v>1</v>
      </c>
      <c r="Y1481" s="8">
        <v>1</v>
      </c>
      <c r="Z1481" s="8">
        <v>0</v>
      </c>
      <c r="AA1481" s="8">
        <v>1</v>
      </c>
      <c r="AB1481" s="8">
        <v>0</v>
      </c>
      <c r="AC1481" s="8">
        <v>1</v>
      </c>
      <c r="AD1481" s="8">
        <v>1</v>
      </c>
      <c r="AE1481" s="8">
        <v>1</v>
      </c>
      <c r="AF1481" s="8">
        <v>1</v>
      </c>
      <c r="AG1481" s="8">
        <v>1</v>
      </c>
      <c r="AH1481" s="8">
        <v>1</v>
      </c>
      <c r="AI1481" s="8">
        <v>0</v>
      </c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11" t="s">
        <v>251</v>
      </c>
    </row>
    <row r="1482" spans="1:46" ht="15.1" customHeight="1">
      <c r="A1482" s="8">
        <v>493</v>
      </c>
      <c r="B1482" s="9" t="s">
        <v>1236</v>
      </c>
      <c r="C1482" s="8" t="s">
        <v>1237</v>
      </c>
      <c r="D1482" s="9" t="s">
        <v>451</v>
      </c>
      <c r="E1482" s="8" t="s">
        <v>54</v>
      </c>
      <c r="F1482" s="8" t="s">
        <v>54</v>
      </c>
      <c r="G1482" s="10" t="s">
        <v>67</v>
      </c>
      <c r="H1482" s="8" t="s">
        <v>54</v>
      </c>
      <c r="I1482" s="8" t="s">
        <v>54</v>
      </c>
      <c r="J1482" s="8" t="s">
        <v>54</v>
      </c>
      <c r="K1482" s="8" t="s">
        <v>54</v>
      </c>
      <c r="L1482" s="8" t="s">
        <v>54</v>
      </c>
      <c r="M1482" s="8" t="s">
        <v>54</v>
      </c>
      <c r="N1482" s="10" t="s">
        <v>67</v>
      </c>
      <c r="O1482" s="8" t="s">
        <v>54</v>
      </c>
      <c r="P1482" s="8" t="s">
        <v>54</v>
      </c>
      <c r="Q1482" s="8" t="s">
        <v>54</v>
      </c>
      <c r="R1482" s="8" t="s">
        <v>54</v>
      </c>
      <c r="S1482" s="8" t="s">
        <v>54</v>
      </c>
      <c r="T1482" s="8" t="s">
        <v>54</v>
      </c>
      <c r="U1482" s="10" t="s">
        <v>67</v>
      </c>
      <c r="V1482" s="8" t="s">
        <v>54</v>
      </c>
      <c r="W1482" s="8" t="s">
        <v>54</v>
      </c>
      <c r="X1482" s="8" t="s">
        <v>54</v>
      </c>
      <c r="Y1482" s="8" t="s">
        <v>54</v>
      </c>
      <c r="Z1482" s="8" t="s">
        <v>54</v>
      </c>
      <c r="AA1482" s="8" t="s">
        <v>54</v>
      </c>
      <c r="AB1482" s="10" t="s">
        <v>67</v>
      </c>
      <c r="AC1482" s="8" t="s">
        <v>54</v>
      </c>
      <c r="AD1482" s="8" t="s">
        <v>54</v>
      </c>
      <c r="AE1482" s="8" t="s">
        <v>54</v>
      </c>
      <c r="AF1482" s="8" t="s">
        <v>54</v>
      </c>
      <c r="AG1482" s="8" t="s">
        <v>54</v>
      </c>
      <c r="AH1482" s="8" t="s">
        <v>54</v>
      </c>
      <c r="AI1482" s="10" t="s">
        <v>67</v>
      </c>
      <c r="AJ1482" s="8">
        <f>COUNTIF($E$1482:$AI$1482,"P")</f>
        <v>26</v>
      </c>
      <c r="AK1482" s="8">
        <f>COUNTIF($E$1482:$AI$1482,"A")</f>
        <v>0</v>
      </c>
      <c r="AL1482" s="8">
        <f>SUM($E$1483:$AI$1483)</f>
        <v>39</v>
      </c>
      <c r="AM1482" s="8">
        <f>SUM($E$1484:$AI$1484)</f>
        <v>31</v>
      </c>
      <c r="AN1482" s="8">
        <f>AL1482+AM1482</f>
        <v>69.5</v>
      </c>
      <c r="AO1482" s="8">
        <f>COUNTIF($E$1482:$AI$1482,"CL")</f>
        <v>0</v>
      </c>
      <c r="AP1482" s="8">
        <f>COUNTIF($E$1482:$AI$1482,"SL")</f>
        <v>0</v>
      </c>
      <c r="AQ1482" s="8">
        <f>COUNTIF($E$1482:$AI$1482,"EL")</f>
        <v>0</v>
      </c>
      <c r="AR1482" s="8">
        <f>COUNTIF($E$1482:$AI$1482,"H")</f>
        <v>0</v>
      </c>
      <c r="AS1482" s="8"/>
      <c r="AT1482" s="11" t="s">
        <v>251</v>
      </c>
    </row>
    <row r="1483" spans="1:46" ht="15.1" customHeight="1">
      <c r="A1483" s="8"/>
      <c r="B1483" s="9"/>
      <c r="C1483" s="8"/>
      <c r="D1483" s="9"/>
      <c r="E1483" s="8">
        <v>2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2</v>
      </c>
      <c r="M1483" s="8">
        <v>2</v>
      </c>
      <c r="N1483" s="8">
        <v>0</v>
      </c>
      <c r="O1483" s="8">
        <v>2</v>
      </c>
      <c r="P1483" s="8">
        <v>2</v>
      </c>
      <c r="Q1483" s="8">
        <v>2</v>
      </c>
      <c r="R1483" s="8">
        <v>2</v>
      </c>
      <c r="S1483" s="8">
        <v>2</v>
      </c>
      <c r="T1483" s="8">
        <v>2</v>
      </c>
      <c r="U1483" s="8">
        <v>0</v>
      </c>
      <c r="V1483" s="8">
        <v>2</v>
      </c>
      <c r="W1483" s="8">
        <v>2</v>
      </c>
      <c r="X1483" s="8">
        <v>2</v>
      </c>
      <c r="Y1483" s="8">
        <v>2</v>
      </c>
      <c r="Z1483" s="8">
        <v>0</v>
      </c>
      <c r="AA1483" s="8">
        <v>1</v>
      </c>
      <c r="AB1483" s="8">
        <v>0</v>
      </c>
      <c r="AC1483" s="8">
        <v>2</v>
      </c>
      <c r="AD1483" s="8">
        <v>2</v>
      </c>
      <c r="AE1483" s="8">
        <v>2</v>
      </c>
      <c r="AF1483" s="8">
        <v>2</v>
      </c>
      <c r="AG1483" s="8">
        <v>2</v>
      </c>
      <c r="AH1483" s="8">
        <v>2</v>
      </c>
      <c r="AI1483" s="8">
        <v>0</v>
      </c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11" t="s">
        <v>251</v>
      </c>
    </row>
    <row r="1484" spans="1:46" ht="15.1" customHeight="1">
      <c r="A1484" s="8"/>
      <c r="B1484" s="9"/>
      <c r="C1484" s="8"/>
      <c r="D1484" s="9"/>
      <c r="E1484" s="8">
        <v>1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1</v>
      </c>
      <c r="M1484" s="8">
        <v>1</v>
      </c>
      <c r="N1484" s="8">
        <v>12</v>
      </c>
      <c r="O1484" s="8">
        <v>1</v>
      </c>
      <c r="P1484" s="8">
        <v>1</v>
      </c>
      <c r="Q1484" s="8">
        <v>1</v>
      </c>
      <c r="R1484" s="8">
        <v>1</v>
      </c>
      <c r="S1484" s="8">
        <v>1</v>
      </c>
      <c r="T1484" s="8">
        <v>1</v>
      </c>
      <c r="U1484" s="8">
        <v>0</v>
      </c>
      <c r="V1484" s="8">
        <v>1</v>
      </c>
      <c r="W1484" s="8">
        <v>1</v>
      </c>
      <c r="X1484" s="8">
        <v>1</v>
      </c>
      <c r="Y1484" s="8">
        <v>1</v>
      </c>
      <c r="Z1484" s="8">
        <v>0</v>
      </c>
      <c r="AA1484" s="8">
        <v>0</v>
      </c>
      <c r="AB1484" s="8">
        <v>0</v>
      </c>
      <c r="AC1484" s="8">
        <v>1</v>
      </c>
      <c r="AD1484" s="8">
        <v>1</v>
      </c>
      <c r="AE1484" s="8">
        <v>1</v>
      </c>
      <c r="AF1484" s="8">
        <v>1</v>
      </c>
      <c r="AG1484" s="8">
        <v>1</v>
      </c>
      <c r="AH1484" s="8">
        <v>1</v>
      </c>
      <c r="AI1484" s="8">
        <v>0</v>
      </c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11" t="s">
        <v>251</v>
      </c>
    </row>
    <row r="1485" spans="1:46" ht="15.1" customHeight="1">
      <c r="A1485" s="8">
        <v>494</v>
      </c>
      <c r="B1485" s="9" t="s">
        <v>1238</v>
      </c>
      <c r="C1485" s="8" t="s">
        <v>1239</v>
      </c>
      <c r="D1485" s="9" t="s">
        <v>451</v>
      </c>
      <c r="E1485" s="8" t="s">
        <v>54</v>
      </c>
      <c r="F1485" s="8" t="s">
        <v>54</v>
      </c>
      <c r="G1485" s="10" t="s">
        <v>67</v>
      </c>
      <c r="H1485" s="8" t="s">
        <v>54</v>
      </c>
      <c r="I1485" s="8" t="s">
        <v>54</v>
      </c>
      <c r="J1485" s="8" t="s">
        <v>54</v>
      </c>
      <c r="K1485" s="8" t="s">
        <v>54</v>
      </c>
      <c r="L1485" s="8" t="s">
        <v>54</v>
      </c>
      <c r="M1485" s="8" t="s">
        <v>54</v>
      </c>
      <c r="N1485" s="10" t="s">
        <v>67</v>
      </c>
      <c r="O1485" s="8" t="s">
        <v>54</v>
      </c>
      <c r="P1485" s="8" t="s">
        <v>54</v>
      </c>
      <c r="Q1485" s="8" t="s">
        <v>54</v>
      </c>
      <c r="R1485" s="8" t="s">
        <v>54</v>
      </c>
      <c r="S1485" s="8" t="s">
        <v>54</v>
      </c>
      <c r="T1485" s="8" t="s">
        <v>54</v>
      </c>
      <c r="U1485" s="10" t="s">
        <v>67</v>
      </c>
      <c r="V1485" s="8" t="s">
        <v>54</v>
      </c>
      <c r="W1485" s="8" t="s">
        <v>54</v>
      </c>
      <c r="X1485" s="8" t="s">
        <v>54</v>
      </c>
      <c r="Y1485" s="8" t="s">
        <v>54</v>
      </c>
      <c r="Z1485" s="8" t="s">
        <v>54</v>
      </c>
      <c r="AA1485" s="8" t="s">
        <v>54</v>
      </c>
      <c r="AB1485" s="10" t="s">
        <v>67</v>
      </c>
      <c r="AC1485" s="8" t="s">
        <v>54</v>
      </c>
      <c r="AD1485" s="8" t="s">
        <v>54</v>
      </c>
      <c r="AE1485" s="8" t="s">
        <v>54</v>
      </c>
      <c r="AF1485" s="8" t="s">
        <v>54</v>
      </c>
      <c r="AG1485" s="8" t="s">
        <v>54</v>
      </c>
      <c r="AH1485" s="8" t="s">
        <v>54</v>
      </c>
      <c r="AI1485" s="10" t="s">
        <v>67</v>
      </c>
      <c r="AJ1485" s="8">
        <f>COUNTIF($E$1485:$AI$1485,"P")</f>
        <v>26</v>
      </c>
      <c r="AK1485" s="8">
        <f>COUNTIF($E$1485:$AI$1485,"A")</f>
        <v>0</v>
      </c>
      <c r="AL1485" s="8">
        <f>SUM($E$1486:$AI$1486)</f>
        <v>50</v>
      </c>
      <c r="AM1485" s="8">
        <f>SUM($E$1487:$AI$1487)</f>
        <v>37</v>
      </c>
      <c r="AN1485" s="8">
        <f>AL1485+AM1485</f>
        <v>87</v>
      </c>
      <c r="AO1485" s="8">
        <f>COUNTIF($E$1485:$AI$1485,"CL")</f>
        <v>0</v>
      </c>
      <c r="AP1485" s="8">
        <f>COUNTIF($E$1485:$AI$1485,"SL")</f>
        <v>0</v>
      </c>
      <c r="AQ1485" s="8">
        <f>COUNTIF($E$1485:$AI$1485,"EL")</f>
        <v>0</v>
      </c>
      <c r="AR1485" s="8">
        <f>COUNTIF($E$1485:$AI$1485,"H")</f>
        <v>0</v>
      </c>
      <c r="AS1485" s="8"/>
      <c r="AT1485" s="11" t="s">
        <v>251</v>
      </c>
    </row>
    <row r="1486" spans="1:46" ht="15.1" customHeight="1">
      <c r="A1486" s="8"/>
      <c r="B1486" s="9"/>
      <c r="C1486" s="8"/>
      <c r="D1486" s="9"/>
      <c r="E1486" s="8">
        <v>2</v>
      </c>
      <c r="F1486" s="8">
        <v>2</v>
      </c>
      <c r="G1486" s="8">
        <v>0</v>
      </c>
      <c r="H1486" s="8">
        <v>2</v>
      </c>
      <c r="I1486" s="8">
        <v>2</v>
      </c>
      <c r="J1486" s="8">
        <v>2</v>
      </c>
      <c r="K1486" s="8">
        <v>2</v>
      </c>
      <c r="L1486" s="8">
        <v>2</v>
      </c>
      <c r="M1486" s="8">
        <v>2</v>
      </c>
      <c r="N1486" s="8">
        <v>0</v>
      </c>
      <c r="O1486" s="8">
        <v>2</v>
      </c>
      <c r="P1486" s="8">
        <v>2</v>
      </c>
      <c r="Q1486" s="8">
        <v>2</v>
      </c>
      <c r="R1486" s="8">
        <v>2</v>
      </c>
      <c r="S1486" s="8">
        <v>2</v>
      </c>
      <c r="T1486" s="8">
        <v>2</v>
      </c>
      <c r="U1486" s="8">
        <v>0</v>
      </c>
      <c r="V1486" s="8">
        <v>2</v>
      </c>
      <c r="W1486" s="8">
        <v>2</v>
      </c>
      <c r="X1486" s="8">
        <v>2</v>
      </c>
      <c r="Y1486" s="8">
        <v>2</v>
      </c>
      <c r="Z1486" s="8">
        <v>0</v>
      </c>
      <c r="AA1486" s="8">
        <v>2</v>
      </c>
      <c r="AB1486" s="8">
        <v>0</v>
      </c>
      <c r="AC1486" s="8">
        <v>2</v>
      </c>
      <c r="AD1486" s="8">
        <v>2</v>
      </c>
      <c r="AE1486" s="8">
        <v>2</v>
      </c>
      <c r="AF1486" s="8">
        <v>2</v>
      </c>
      <c r="AG1486" s="8">
        <v>2</v>
      </c>
      <c r="AH1486" s="8">
        <v>2</v>
      </c>
      <c r="AI1486" s="8">
        <v>0</v>
      </c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11" t="s">
        <v>251</v>
      </c>
    </row>
    <row r="1487" spans="1:46" ht="15.1" customHeight="1">
      <c r="A1487" s="8"/>
      <c r="B1487" s="9"/>
      <c r="C1487" s="8"/>
      <c r="D1487" s="9"/>
      <c r="E1487" s="8">
        <v>1</v>
      </c>
      <c r="F1487" s="8">
        <v>1</v>
      </c>
      <c r="G1487" s="8">
        <v>0</v>
      </c>
      <c r="H1487" s="8">
        <v>1</v>
      </c>
      <c r="I1487" s="8">
        <v>1</v>
      </c>
      <c r="J1487" s="8">
        <v>1</v>
      </c>
      <c r="K1487" s="8">
        <v>1</v>
      </c>
      <c r="L1487" s="8">
        <v>1</v>
      </c>
      <c r="M1487" s="8">
        <v>1</v>
      </c>
      <c r="N1487" s="8">
        <v>12</v>
      </c>
      <c r="O1487" s="8">
        <v>1</v>
      </c>
      <c r="P1487" s="8">
        <v>1</v>
      </c>
      <c r="Q1487" s="8">
        <v>1</v>
      </c>
      <c r="R1487" s="8">
        <v>1</v>
      </c>
      <c r="S1487" s="8">
        <v>1</v>
      </c>
      <c r="T1487" s="8">
        <v>1</v>
      </c>
      <c r="U1487" s="8">
        <v>0</v>
      </c>
      <c r="V1487" s="8">
        <v>1</v>
      </c>
      <c r="W1487" s="8">
        <v>1</v>
      </c>
      <c r="X1487" s="8">
        <v>1</v>
      </c>
      <c r="Y1487" s="8">
        <v>1</v>
      </c>
      <c r="Z1487" s="8">
        <v>0</v>
      </c>
      <c r="AA1487" s="8">
        <v>1</v>
      </c>
      <c r="AB1487" s="8">
        <v>0</v>
      </c>
      <c r="AC1487" s="8">
        <v>1</v>
      </c>
      <c r="AD1487" s="8">
        <v>1</v>
      </c>
      <c r="AE1487" s="8">
        <v>1</v>
      </c>
      <c r="AF1487" s="8">
        <v>1</v>
      </c>
      <c r="AG1487" s="8">
        <v>1</v>
      </c>
      <c r="AH1487" s="8">
        <v>1</v>
      </c>
      <c r="AI1487" s="8">
        <v>0</v>
      </c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11" t="s">
        <v>251</v>
      </c>
    </row>
    <row r="1488" spans="1:46" ht="15.1" customHeight="1">
      <c r="A1488" s="8">
        <v>495</v>
      </c>
      <c r="B1488" s="9" t="s">
        <v>1240</v>
      </c>
      <c r="C1488" s="8" t="s">
        <v>1241</v>
      </c>
      <c r="D1488" s="9" t="s">
        <v>451</v>
      </c>
      <c r="E1488" s="8" t="s">
        <v>54</v>
      </c>
      <c r="F1488" s="8" t="s">
        <v>54</v>
      </c>
      <c r="G1488" s="10" t="s">
        <v>67</v>
      </c>
      <c r="H1488" s="8" t="s">
        <v>54</v>
      </c>
      <c r="I1488" s="8" t="s">
        <v>54</v>
      </c>
      <c r="J1488" s="8" t="s">
        <v>54</v>
      </c>
      <c r="K1488" s="8" t="s">
        <v>54</v>
      </c>
      <c r="L1488" s="8" t="s">
        <v>54</v>
      </c>
      <c r="M1488" s="8" t="s">
        <v>54</v>
      </c>
      <c r="N1488" s="10" t="s">
        <v>67</v>
      </c>
      <c r="O1488" s="8" t="s">
        <v>54</v>
      </c>
      <c r="P1488" s="8" t="s">
        <v>54</v>
      </c>
      <c r="Q1488" s="8" t="s">
        <v>54</v>
      </c>
      <c r="R1488" s="8" t="s">
        <v>54</v>
      </c>
      <c r="S1488" s="8" t="s">
        <v>54</v>
      </c>
      <c r="T1488" s="8" t="s">
        <v>54</v>
      </c>
      <c r="U1488" s="10" t="s">
        <v>67</v>
      </c>
      <c r="V1488" s="8" t="s">
        <v>54</v>
      </c>
      <c r="W1488" s="8" t="s">
        <v>54</v>
      </c>
      <c r="X1488" s="8" t="s">
        <v>54</v>
      </c>
      <c r="Y1488" s="8" t="s">
        <v>54</v>
      </c>
      <c r="Z1488" s="8" t="s">
        <v>54</v>
      </c>
      <c r="AA1488" s="8" t="s">
        <v>54</v>
      </c>
      <c r="AB1488" s="10" t="s">
        <v>67</v>
      </c>
      <c r="AC1488" s="8" t="s">
        <v>54</v>
      </c>
      <c r="AD1488" s="8" t="s">
        <v>54</v>
      </c>
      <c r="AE1488" s="8" t="s">
        <v>54</v>
      </c>
      <c r="AF1488" s="8" t="s">
        <v>54</v>
      </c>
      <c r="AG1488" s="8" t="s">
        <v>54</v>
      </c>
      <c r="AH1488" s="8" t="s">
        <v>54</v>
      </c>
      <c r="AI1488" s="10" t="s">
        <v>67</v>
      </c>
      <c r="AJ1488" s="8">
        <f>COUNTIF($E$1488:$AI$1488,"P")</f>
        <v>26</v>
      </c>
      <c r="AK1488" s="8">
        <f>COUNTIF($E$1488:$AI$1488,"A")</f>
        <v>0</v>
      </c>
      <c r="AL1488" s="8">
        <f>SUM($E$1489:$AI$1489)</f>
        <v>50</v>
      </c>
      <c r="AM1488" s="8">
        <f>SUM($E$1490:$AI$1490)</f>
        <v>25</v>
      </c>
      <c r="AN1488" s="8">
        <f>AL1488+AM1488</f>
        <v>75</v>
      </c>
      <c r="AO1488" s="8">
        <f>COUNTIF($E$1488:$AI$1488,"CL")</f>
        <v>0</v>
      </c>
      <c r="AP1488" s="8">
        <f>COUNTIF($E$1488:$AI$1488,"SL")</f>
        <v>0</v>
      </c>
      <c r="AQ1488" s="8">
        <f>COUNTIF($E$1488:$AI$1488,"EL")</f>
        <v>0</v>
      </c>
      <c r="AR1488" s="8">
        <f>COUNTIF($E$1488:$AI$1488,"H")</f>
        <v>0</v>
      </c>
      <c r="AS1488" s="8"/>
      <c r="AT1488" s="11" t="s">
        <v>251</v>
      </c>
    </row>
    <row r="1489" spans="1:46" ht="15.1" customHeight="1">
      <c r="A1489" s="8"/>
      <c r="B1489" s="9"/>
      <c r="C1489" s="8"/>
      <c r="D1489" s="9"/>
      <c r="E1489" s="8">
        <v>2</v>
      </c>
      <c r="F1489" s="8">
        <v>2</v>
      </c>
      <c r="G1489" s="8">
        <v>0</v>
      </c>
      <c r="H1489" s="8">
        <v>2</v>
      </c>
      <c r="I1489" s="8">
        <v>2</v>
      </c>
      <c r="J1489" s="8">
        <v>2</v>
      </c>
      <c r="K1489" s="8">
        <v>2</v>
      </c>
      <c r="L1489" s="8">
        <v>2</v>
      </c>
      <c r="M1489" s="8">
        <v>2</v>
      </c>
      <c r="N1489" s="8">
        <v>0</v>
      </c>
      <c r="O1489" s="8">
        <v>2</v>
      </c>
      <c r="P1489" s="8">
        <v>2</v>
      </c>
      <c r="Q1489" s="8">
        <v>2</v>
      </c>
      <c r="R1489" s="8">
        <v>2</v>
      </c>
      <c r="S1489" s="8">
        <v>2</v>
      </c>
      <c r="T1489" s="8">
        <v>2</v>
      </c>
      <c r="U1489" s="8">
        <v>0</v>
      </c>
      <c r="V1489" s="8">
        <v>2</v>
      </c>
      <c r="W1489" s="8">
        <v>2</v>
      </c>
      <c r="X1489" s="8">
        <v>2</v>
      </c>
      <c r="Y1489" s="8">
        <v>2</v>
      </c>
      <c r="Z1489" s="8">
        <v>0</v>
      </c>
      <c r="AA1489" s="8">
        <v>2</v>
      </c>
      <c r="AB1489" s="8">
        <v>0</v>
      </c>
      <c r="AC1489" s="8">
        <v>2</v>
      </c>
      <c r="AD1489" s="8">
        <v>2</v>
      </c>
      <c r="AE1489" s="8">
        <v>2</v>
      </c>
      <c r="AF1489" s="8">
        <v>2</v>
      </c>
      <c r="AG1489" s="8">
        <v>2</v>
      </c>
      <c r="AH1489" s="8">
        <v>2</v>
      </c>
      <c r="AI1489" s="8">
        <v>0</v>
      </c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11" t="s">
        <v>251</v>
      </c>
    </row>
    <row r="1490" spans="1:46" ht="15.1" customHeight="1">
      <c r="A1490" s="8"/>
      <c r="B1490" s="9"/>
      <c r="C1490" s="8"/>
      <c r="D1490" s="9"/>
      <c r="E1490" s="8">
        <v>1</v>
      </c>
      <c r="F1490" s="8">
        <v>1</v>
      </c>
      <c r="G1490" s="8">
        <v>0</v>
      </c>
      <c r="H1490" s="8">
        <v>1</v>
      </c>
      <c r="I1490" s="8">
        <v>1</v>
      </c>
      <c r="J1490" s="8">
        <v>1</v>
      </c>
      <c r="K1490" s="8">
        <v>1</v>
      </c>
      <c r="L1490" s="8">
        <v>1</v>
      </c>
      <c r="M1490" s="8">
        <v>1</v>
      </c>
      <c r="N1490" s="8">
        <v>0</v>
      </c>
      <c r="O1490" s="8">
        <v>1</v>
      </c>
      <c r="P1490" s="8">
        <v>1</v>
      </c>
      <c r="Q1490" s="8">
        <v>1</v>
      </c>
      <c r="R1490" s="8">
        <v>1</v>
      </c>
      <c r="S1490" s="8">
        <v>1</v>
      </c>
      <c r="T1490" s="8">
        <v>1</v>
      </c>
      <c r="U1490" s="8">
        <v>0</v>
      </c>
      <c r="V1490" s="8">
        <v>1</v>
      </c>
      <c r="W1490" s="8">
        <v>1</v>
      </c>
      <c r="X1490" s="8">
        <v>1</v>
      </c>
      <c r="Y1490" s="8">
        <v>1</v>
      </c>
      <c r="Z1490" s="8">
        <v>0</v>
      </c>
      <c r="AA1490" s="8">
        <v>1</v>
      </c>
      <c r="AB1490" s="8">
        <v>0</v>
      </c>
      <c r="AC1490" s="8">
        <v>1</v>
      </c>
      <c r="AD1490" s="8">
        <v>1</v>
      </c>
      <c r="AE1490" s="8">
        <v>1</v>
      </c>
      <c r="AF1490" s="8">
        <v>1</v>
      </c>
      <c r="AG1490" s="8">
        <v>1</v>
      </c>
      <c r="AH1490" s="8">
        <v>1</v>
      </c>
      <c r="AI1490" s="8">
        <v>0</v>
      </c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11" t="s">
        <v>251</v>
      </c>
    </row>
    <row r="1491" spans="1:46" ht="15.1" customHeight="1">
      <c r="A1491" s="8">
        <v>496</v>
      </c>
      <c r="B1491" s="9" t="s">
        <v>1242</v>
      </c>
      <c r="C1491" s="8" t="s">
        <v>1243</v>
      </c>
      <c r="D1491" s="9" t="s">
        <v>451</v>
      </c>
      <c r="E1491" s="8" t="s">
        <v>54</v>
      </c>
      <c r="F1491" s="8" t="s">
        <v>54</v>
      </c>
      <c r="G1491" s="10" t="s">
        <v>67</v>
      </c>
      <c r="H1491" s="8" t="s">
        <v>54</v>
      </c>
      <c r="I1491" s="8" t="s">
        <v>54</v>
      </c>
      <c r="J1491" s="8" t="s">
        <v>54</v>
      </c>
      <c r="K1491" s="8" t="s">
        <v>54</v>
      </c>
      <c r="L1491" s="8" t="s">
        <v>54</v>
      </c>
      <c r="M1491" s="8" t="s">
        <v>54</v>
      </c>
      <c r="N1491" s="10" t="s">
        <v>67</v>
      </c>
      <c r="O1491" s="8" t="s">
        <v>54</v>
      </c>
      <c r="P1491" s="8" t="s">
        <v>54</v>
      </c>
      <c r="Q1491" s="8" t="s">
        <v>54</v>
      </c>
      <c r="R1491" s="8" t="s">
        <v>54</v>
      </c>
      <c r="S1491" s="8" t="s">
        <v>54</v>
      </c>
      <c r="T1491" s="8" t="s">
        <v>54</v>
      </c>
      <c r="U1491" s="10" t="s">
        <v>67</v>
      </c>
      <c r="V1491" s="8" t="s">
        <v>54</v>
      </c>
      <c r="W1491" s="8" t="s">
        <v>54</v>
      </c>
      <c r="X1491" s="8" t="s">
        <v>54</v>
      </c>
      <c r="Y1491" s="8" t="s">
        <v>54</v>
      </c>
      <c r="Z1491" s="8" t="s">
        <v>54</v>
      </c>
      <c r="AA1491" s="8" t="s">
        <v>54</v>
      </c>
      <c r="AB1491" s="10" t="s">
        <v>67</v>
      </c>
      <c r="AC1491" s="8" t="s">
        <v>54</v>
      </c>
      <c r="AD1491" s="8" t="s">
        <v>54</v>
      </c>
      <c r="AE1491" s="8" t="s">
        <v>54</v>
      </c>
      <c r="AF1491" s="8" t="s">
        <v>54</v>
      </c>
      <c r="AG1491" s="8" t="s">
        <v>54</v>
      </c>
      <c r="AH1491" s="8" t="s">
        <v>54</v>
      </c>
      <c r="AI1491" s="10" t="s">
        <v>67</v>
      </c>
      <c r="AJ1491" s="8">
        <f>COUNTIF($E$1491:$AI$1491,"P")</f>
        <v>26</v>
      </c>
      <c r="AK1491" s="8">
        <f>COUNTIF($E$1491:$AI$1491,"A")</f>
        <v>0</v>
      </c>
      <c r="AL1491" s="8">
        <f>SUM($E$1492:$AI$1492)</f>
        <v>52</v>
      </c>
      <c r="AM1491" s="8">
        <f>SUM($E$1493:$AI$1493)</f>
        <v>26</v>
      </c>
      <c r="AN1491" s="8">
        <f>AL1491+AM1491</f>
        <v>78</v>
      </c>
      <c r="AO1491" s="8">
        <f>COUNTIF($E$1491:$AI$1491,"CL")</f>
        <v>0</v>
      </c>
      <c r="AP1491" s="8">
        <f>COUNTIF($E$1491:$AI$1491,"SL")</f>
        <v>0</v>
      </c>
      <c r="AQ1491" s="8">
        <f>COUNTIF($E$1491:$AI$1491,"EL")</f>
        <v>0</v>
      </c>
      <c r="AR1491" s="8">
        <f>COUNTIF($E$1491:$AI$1491,"H")</f>
        <v>0</v>
      </c>
      <c r="AS1491" s="8"/>
      <c r="AT1491" s="11" t="s">
        <v>251</v>
      </c>
    </row>
    <row r="1492" spans="1:46" ht="15.1" customHeight="1">
      <c r="A1492" s="8"/>
      <c r="B1492" s="9"/>
      <c r="C1492" s="8"/>
      <c r="D1492" s="9"/>
      <c r="E1492" s="8">
        <v>2</v>
      </c>
      <c r="F1492" s="8">
        <v>2</v>
      </c>
      <c r="G1492" s="8">
        <v>0</v>
      </c>
      <c r="H1492" s="8">
        <v>2</v>
      </c>
      <c r="I1492" s="8">
        <v>2</v>
      </c>
      <c r="J1492" s="8">
        <v>2</v>
      </c>
      <c r="K1492" s="8">
        <v>2</v>
      </c>
      <c r="L1492" s="8">
        <v>2</v>
      </c>
      <c r="M1492" s="8">
        <v>2</v>
      </c>
      <c r="N1492" s="8">
        <v>0</v>
      </c>
      <c r="O1492" s="8">
        <v>2</v>
      </c>
      <c r="P1492" s="8">
        <v>2</v>
      </c>
      <c r="Q1492" s="8">
        <v>2</v>
      </c>
      <c r="R1492" s="8">
        <v>2</v>
      </c>
      <c r="S1492" s="8">
        <v>2</v>
      </c>
      <c r="T1492" s="8">
        <v>2</v>
      </c>
      <c r="U1492" s="8">
        <v>0</v>
      </c>
      <c r="V1492" s="8">
        <v>2</v>
      </c>
      <c r="W1492" s="8">
        <v>2</v>
      </c>
      <c r="X1492" s="8">
        <v>2</v>
      </c>
      <c r="Y1492" s="8">
        <v>2</v>
      </c>
      <c r="Z1492" s="8">
        <v>2</v>
      </c>
      <c r="AA1492" s="8">
        <v>2</v>
      </c>
      <c r="AB1492" s="8">
        <v>0</v>
      </c>
      <c r="AC1492" s="8">
        <v>2</v>
      </c>
      <c r="AD1492" s="8">
        <v>2</v>
      </c>
      <c r="AE1492" s="8">
        <v>2</v>
      </c>
      <c r="AF1492" s="8">
        <v>2</v>
      </c>
      <c r="AG1492" s="8">
        <v>2</v>
      </c>
      <c r="AH1492" s="8">
        <v>2</v>
      </c>
      <c r="AI1492" s="8">
        <v>0</v>
      </c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11" t="s">
        <v>251</v>
      </c>
    </row>
    <row r="1493" spans="1:46" ht="15.1" customHeight="1">
      <c r="A1493" s="8"/>
      <c r="B1493" s="9"/>
      <c r="C1493" s="8"/>
      <c r="D1493" s="9"/>
      <c r="E1493" s="8">
        <v>1</v>
      </c>
      <c r="F1493" s="8">
        <v>1</v>
      </c>
      <c r="G1493" s="8">
        <v>0</v>
      </c>
      <c r="H1493" s="8">
        <v>1</v>
      </c>
      <c r="I1493" s="8">
        <v>1</v>
      </c>
      <c r="J1493" s="8">
        <v>1</v>
      </c>
      <c r="K1493" s="8">
        <v>1</v>
      </c>
      <c r="L1493" s="8">
        <v>1</v>
      </c>
      <c r="M1493" s="8">
        <v>1</v>
      </c>
      <c r="N1493" s="8">
        <v>0</v>
      </c>
      <c r="O1493" s="8">
        <v>1</v>
      </c>
      <c r="P1493" s="8">
        <v>1</v>
      </c>
      <c r="Q1493" s="8">
        <v>1</v>
      </c>
      <c r="R1493" s="8">
        <v>1</v>
      </c>
      <c r="S1493" s="8">
        <v>1</v>
      </c>
      <c r="T1493" s="8">
        <v>1</v>
      </c>
      <c r="U1493" s="8">
        <v>0</v>
      </c>
      <c r="V1493" s="8">
        <v>1</v>
      </c>
      <c r="W1493" s="8">
        <v>1</v>
      </c>
      <c r="X1493" s="8">
        <v>1</v>
      </c>
      <c r="Y1493" s="8">
        <v>1</v>
      </c>
      <c r="Z1493" s="8">
        <v>1</v>
      </c>
      <c r="AA1493" s="8">
        <v>1</v>
      </c>
      <c r="AB1493" s="8">
        <v>0</v>
      </c>
      <c r="AC1493" s="8">
        <v>1</v>
      </c>
      <c r="AD1493" s="8">
        <v>1</v>
      </c>
      <c r="AE1493" s="8">
        <v>1</v>
      </c>
      <c r="AF1493" s="8">
        <v>1</v>
      </c>
      <c r="AG1493" s="8">
        <v>1</v>
      </c>
      <c r="AH1493" s="8">
        <v>1</v>
      </c>
      <c r="AI1493" s="8">
        <v>0</v>
      </c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11" t="s">
        <v>251</v>
      </c>
    </row>
    <row r="1494" spans="1:46" ht="15.1" customHeight="1">
      <c r="A1494" s="8">
        <v>497</v>
      </c>
      <c r="B1494" s="9" t="s">
        <v>1244</v>
      </c>
      <c r="C1494" s="8" t="s">
        <v>1245</v>
      </c>
      <c r="D1494" s="9" t="s">
        <v>451</v>
      </c>
      <c r="E1494" s="8" t="s">
        <v>54</v>
      </c>
      <c r="F1494" s="8" t="s">
        <v>54</v>
      </c>
      <c r="G1494" s="10" t="s">
        <v>67</v>
      </c>
      <c r="H1494" s="8" t="s">
        <v>54</v>
      </c>
      <c r="I1494" s="8" t="s">
        <v>54</v>
      </c>
      <c r="J1494" s="8" t="s">
        <v>54</v>
      </c>
      <c r="K1494" s="8" t="s">
        <v>54</v>
      </c>
      <c r="L1494" s="8" t="s">
        <v>54</v>
      </c>
      <c r="M1494" s="8" t="s">
        <v>54</v>
      </c>
      <c r="N1494" s="10" t="s">
        <v>67</v>
      </c>
      <c r="O1494" s="8" t="s">
        <v>54</v>
      </c>
      <c r="P1494" s="8" t="s">
        <v>54</v>
      </c>
      <c r="Q1494" s="8" t="s">
        <v>54</v>
      </c>
      <c r="R1494" s="8" t="s">
        <v>54</v>
      </c>
      <c r="S1494" s="8" t="s">
        <v>54</v>
      </c>
      <c r="T1494" s="8" t="s">
        <v>54</v>
      </c>
      <c r="U1494" s="10" t="s">
        <v>67</v>
      </c>
      <c r="V1494" s="8" t="s">
        <v>54</v>
      </c>
      <c r="W1494" s="8" t="s">
        <v>54</v>
      </c>
      <c r="X1494" s="8" t="s">
        <v>54</v>
      </c>
      <c r="Y1494" s="8" t="s">
        <v>54</v>
      </c>
      <c r="Z1494" s="8" t="s">
        <v>54</v>
      </c>
      <c r="AA1494" s="8" t="s">
        <v>54</v>
      </c>
      <c r="AB1494" s="10" t="s">
        <v>67</v>
      </c>
      <c r="AC1494" s="8" t="s">
        <v>54</v>
      </c>
      <c r="AD1494" s="8" t="s">
        <v>54</v>
      </c>
      <c r="AE1494" s="8" t="s">
        <v>54</v>
      </c>
      <c r="AF1494" s="8" t="s">
        <v>54</v>
      </c>
      <c r="AG1494" s="8" t="s">
        <v>54</v>
      </c>
      <c r="AH1494" s="8" t="s">
        <v>54</v>
      </c>
      <c r="AI1494" s="10" t="s">
        <v>67</v>
      </c>
      <c r="AJ1494" s="8">
        <f>COUNTIF($E$1494:$AI$1494,"P")</f>
        <v>26</v>
      </c>
      <c r="AK1494" s="8">
        <f>COUNTIF($E$1494:$AI$1494,"A")</f>
        <v>0</v>
      </c>
      <c r="AL1494" s="8">
        <f>SUM($E$1495:$AI$1495)</f>
        <v>50</v>
      </c>
      <c r="AM1494" s="8">
        <f>SUM($E$1496:$AI$1496)</f>
        <v>25</v>
      </c>
      <c r="AN1494" s="8">
        <f>AL1494+AM1494</f>
        <v>75</v>
      </c>
      <c r="AO1494" s="8">
        <f>COUNTIF($E$1494:$AI$1494,"CL")</f>
        <v>0</v>
      </c>
      <c r="AP1494" s="8">
        <f>COUNTIF($E$1494:$AI$1494,"SL")</f>
        <v>0</v>
      </c>
      <c r="AQ1494" s="8">
        <f>COUNTIF($E$1494:$AI$1494,"EL")</f>
        <v>0</v>
      </c>
      <c r="AR1494" s="8">
        <f>COUNTIF($E$1494:$AI$1494,"H")</f>
        <v>0</v>
      </c>
      <c r="AS1494" s="8"/>
      <c r="AT1494" s="11" t="s">
        <v>251</v>
      </c>
    </row>
    <row r="1495" spans="1:46" ht="15.1" customHeight="1">
      <c r="A1495" s="8"/>
      <c r="B1495" s="9"/>
      <c r="C1495" s="8"/>
      <c r="D1495" s="9"/>
      <c r="E1495" s="8">
        <v>2</v>
      </c>
      <c r="F1495" s="8">
        <v>2</v>
      </c>
      <c r="G1495" s="8">
        <v>0</v>
      </c>
      <c r="H1495" s="8">
        <v>2</v>
      </c>
      <c r="I1495" s="8">
        <v>2</v>
      </c>
      <c r="J1495" s="8">
        <v>2</v>
      </c>
      <c r="K1495" s="8">
        <v>2</v>
      </c>
      <c r="L1495" s="8">
        <v>2</v>
      </c>
      <c r="M1495" s="8">
        <v>2</v>
      </c>
      <c r="N1495" s="8">
        <v>0</v>
      </c>
      <c r="O1495" s="8">
        <v>2</v>
      </c>
      <c r="P1495" s="8">
        <v>2</v>
      </c>
      <c r="Q1495" s="8">
        <v>2</v>
      </c>
      <c r="R1495" s="8">
        <v>2</v>
      </c>
      <c r="S1495" s="8">
        <v>2</v>
      </c>
      <c r="T1495" s="8">
        <v>2</v>
      </c>
      <c r="U1495" s="8">
        <v>0</v>
      </c>
      <c r="V1495" s="8">
        <v>2</v>
      </c>
      <c r="W1495" s="8">
        <v>2</v>
      </c>
      <c r="X1495" s="8">
        <v>2</v>
      </c>
      <c r="Y1495" s="8">
        <v>2</v>
      </c>
      <c r="Z1495" s="8">
        <v>0</v>
      </c>
      <c r="AA1495" s="8">
        <v>2</v>
      </c>
      <c r="AB1495" s="8">
        <v>0</v>
      </c>
      <c r="AC1495" s="8">
        <v>2</v>
      </c>
      <c r="AD1495" s="8">
        <v>2</v>
      </c>
      <c r="AE1495" s="8">
        <v>2</v>
      </c>
      <c r="AF1495" s="8">
        <v>2</v>
      </c>
      <c r="AG1495" s="8">
        <v>2</v>
      </c>
      <c r="AH1495" s="8">
        <v>2</v>
      </c>
      <c r="AI1495" s="8">
        <v>0</v>
      </c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11" t="s">
        <v>251</v>
      </c>
    </row>
    <row r="1496" spans="1:46" ht="15.1" customHeight="1">
      <c r="A1496" s="8"/>
      <c r="B1496" s="9"/>
      <c r="C1496" s="8"/>
      <c r="D1496" s="9"/>
      <c r="E1496" s="8">
        <v>1</v>
      </c>
      <c r="F1496" s="8">
        <v>1</v>
      </c>
      <c r="G1496" s="8">
        <v>0</v>
      </c>
      <c r="H1496" s="8">
        <v>1</v>
      </c>
      <c r="I1496" s="8">
        <v>1</v>
      </c>
      <c r="J1496" s="8">
        <v>1</v>
      </c>
      <c r="K1496" s="8">
        <v>1</v>
      </c>
      <c r="L1496" s="8">
        <v>1</v>
      </c>
      <c r="M1496" s="8">
        <v>1</v>
      </c>
      <c r="N1496" s="8">
        <v>0</v>
      </c>
      <c r="O1496" s="8">
        <v>1</v>
      </c>
      <c r="P1496" s="8">
        <v>1</v>
      </c>
      <c r="Q1496" s="8">
        <v>1</v>
      </c>
      <c r="R1496" s="8">
        <v>1</v>
      </c>
      <c r="S1496" s="8">
        <v>1</v>
      </c>
      <c r="T1496" s="8">
        <v>1</v>
      </c>
      <c r="U1496" s="8">
        <v>0</v>
      </c>
      <c r="V1496" s="8">
        <v>1</v>
      </c>
      <c r="W1496" s="8">
        <v>1</v>
      </c>
      <c r="X1496" s="8">
        <v>1</v>
      </c>
      <c r="Y1496" s="8">
        <v>1</v>
      </c>
      <c r="Z1496" s="8">
        <v>0</v>
      </c>
      <c r="AA1496" s="8">
        <v>1</v>
      </c>
      <c r="AB1496" s="8">
        <v>0</v>
      </c>
      <c r="AC1496" s="8">
        <v>1</v>
      </c>
      <c r="AD1496" s="8">
        <v>1</v>
      </c>
      <c r="AE1496" s="8">
        <v>1</v>
      </c>
      <c r="AF1496" s="8">
        <v>1</v>
      </c>
      <c r="AG1496" s="8">
        <v>1</v>
      </c>
      <c r="AH1496" s="8">
        <v>1</v>
      </c>
      <c r="AI1496" s="8">
        <v>0</v>
      </c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11" t="s">
        <v>251</v>
      </c>
    </row>
    <row r="1497" spans="1:46" ht="15.1" customHeight="1">
      <c r="A1497" s="8">
        <v>498</v>
      </c>
      <c r="B1497" s="9" t="s">
        <v>1246</v>
      </c>
      <c r="C1497" s="8" t="s">
        <v>1247</v>
      </c>
      <c r="D1497" s="9" t="s">
        <v>451</v>
      </c>
      <c r="E1497" s="8" t="s">
        <v>54</v>
      </c>
      <c r="F1497" s="8" t="s">
        <v>54</v>
      </c>
      <c r="G1497" s="10" t="s">
        <v>67</v>
      </c>
      <c r="H1497" s="8" t="s">
        <v>54</v>
      </c>
      <c r="I1497" s="8" t="s">
        <v>54</v>
      </c>
      <c r="J1497" s="8" t="s">
        <v>54</v>
      </c>
      <c r="K1497" s="8" t="s">
        <v>54</v>
      </c>
      <c r="L1497" s="8" t="s">
        <v>54</v>
      </c>
      <c r="M1497" s="8" t="s">
        <v>54</v>
      </c>
      <c r="N1497" s="10" t="s">
        <v>67</v>
      </c>
      <c r="O1497" s="8" t="s">
        <v>54</v>
      </c>
      <c r="P1497" s="8" t="s">
        <v>54</v>
      </c>
      <c r="Q1497" s="8" t="s">
        <v>54</v>
      </c>
      <c r="R1497" s="8" t="s">
        <v>54</v>
      </c>
      <c r="S1497" s="8" t="s">
        <v>54</v>
      </c>
      <c r="T1497" s="8" t="s">
        <v>54</v>
      </c>
      <c r="U1497" s="10" t="s">
        <v>67</v>
      </c>
      <c r="V1497" s="8" t="s">
        <v>54</v>
      </c>
      <c r="W1497" s="8" t="s">
        <v>54</v>
      </c>
      <c r="X1497" s="8" t="s">
        <v>54</v>
      </c>
      <c r="Y1497" s="8" t="s">
        <v>54</v>
      </c>
      <c r="Z1497" s="8" t="s">
        <v>54</v>
      </c>
      <c r="AA1497" s="8" t="s">
        <v>54</v>
      </c>
      <c r="AB1497" s="10" t="s">
        <v>67</v>
      </c>
      <c r="AC1497" s="8" t="s">
        <v>54</v>
      </c>
      <c r="AD1497" s="8" t="s">
        <v>54</v>
      </c>
      <c r="AE1497" s="8" t="s">
        <v>54</v>
      </c>
      <c r="AF1497" s="8" t="s">
        <v>54</v>
      </c>
      <c r="AG1497" s="8" t="s">
        <v>54</v>
      </c>
      <c r="AH1497" s="8" t="s">
        <v>54</v>
      </c>
      <c r="AI1497" s="10" t="s">
        <v>67</v>
      </c>
      <c r="AJ1497" s="8">
        <f>COUNTIF($E$1497:$AI$1497,"P")</f>
        <v>26</v>
      </c>
      <c r="AK1497" s="8">
        <f>COUNTIF($E$1497:$AI$1497,"A")</f>
        <v>0</v>
      </c>
      <c r="AL1497" s="8">
        <f>SUM($E$1498:$AI$1498)</f>
        <v>50</v>
      </c>
      <c r="AM1497" s="8">
        <f>SUM($E$1499:$AI$1499)</f>
        <v>25</v>
      </c>
      <c r="AN1497" s="8">
        <f>AL1497+AM1497</f>
        <v>75</v>
      </c>
      <c r="AO1497" s="8">
        <f>COUNTIF($E$1497:$AI$1497,"CL")</f>
        <v>0</v>
      </c>
      <c r="AP1497" s="8">
        <f>COUNTIF($E$1497:$AI$1497,"SL")</f>
        <v>0</v>
      </c>
      <c r="AQ1497" s="8">
        <f>COUNTIF($E$1497:$AI$1497,"EL")</f>
        <v>0</v>
      </c>
      <c r="AR1497" s="8">
        <f>COUNTIF($E$1497:$AI$1497,"H")</f>
        <v>0</v>
      </c>
      <c r="AS1497" s="8"/>
      <c r="AT1497" s="11" t="s">
        <v>251</v>
      </c>
    </row>
    <row r="1498" spans="1:46" ht="15.1" customHeight="1">
      <c r="A1498" s="8"/>
      <c r="B1498" s="9"/>
      <c r="C1498" s="8"/>
      <c r="D1498" s="9"/>
      <c r="E1498" s="8">
        <v>2</v>
      </c>
      <c r="F1498" s="8">
        <v>2</v>
      </c>
      <c r="G1498" s="8">
        <v>0</v>
      </c>
      <c r="H1498" s="8">
        <v>2</v>
      </c>
      <c r="I1498" s="8">
        <v>2</v>
      </c>
      <c r="J1498" s="8">
        <v>2</v>
      </c>
      <c r="K1498" s="8">
        <v>2</v>
      </c>
      <c r="L1498" s="8">
        <v>2</v>
      </c>
      <c r="M1498" s="8">
        <v>2</v>
      </c>
      <c r="N1498" s="8">
        <v>0</v>
      </c>
      <c r="O1498" s="8">
        <v>2</v>
      </c>
      <c r="P1498" s="8">
        <v>2</v>
      </c>
      <c r="Q1498" s="8">
        <v>2</v>
      </c>
      <c r="R1498" s="8">
        <v>2</v>
      </c>
      <c r="S1498" s="8">
        <v>2</v>
      </c>
      <c r="T1498" s="8">
        <v>2</v>
      </c>
      <c r="U1498" s="8">
        <v>0</v>
      </c>
      <c r="V1498" s="8">
        <v>2</v>
      </c>
      <c r="W1498" s="8">
        <v>2</v>
      </c>
      <c r="X1498" s="8">
        <v>2</v>
      </c>
      <c r="Y1498" s="8">
        <v>2</v>
      </c>
      <c r="Z1498" s="8">
        <v>0</v>
      </c>
      <c r="AA1498" s="8">
        <v>2</v>
      </c>
      <c r="AB1498" s="8">
        <v>0</v>
      </c>
      <c r="AC1498" s="8">
        <v>2</v>
      </c>
      <c r="AD1498" s="8">
        <v>2</v>
      </c>
      <c r="AE1498" s="8">
        <v>2</v>
      </c>
      <c r="AF1498" s="8">
        <v>2</v>
      </c>
      <c r="AG1498" s="8">
        <v>2</v>
      </c>
      <c r="AH1498" s="8">
        <v>2</v>
      </c>
      <c r="AI1498" s="8">
        <v>0</v>
      </c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11" t="s">
        <v>251</v>
      </c>
    </row>
    <row r="1499" spans="1:46" ht="15.1" customHeight="1">
      <c r="A1499" s="8"/>
      <c r="B1499" s="9"/>
      <c r="C1499" s="8"/>
      <c r="D1499" s="9"/>
      <c r="E1499" s="8">
        <v>1</v>
      </c>
      <c r="F1499" s="8">
        <v>1</v>
      </c>
      <c r="G1499" s="8">
        <v>0</v>
      </c>
      <c r="H1499" s="8">
        <v>1</v>
      </c>
      <c r="I1499" s="8">
        <v>1</v>
      </c>
      <c r="J1499" s="8">
        <v>1</v>
      </c>
      <c r="K1499" s="8">
        <v>1</v>
      </c>
      <c r="L1499" s="8">
        <v>1</v>
      </c>
      <c r="M1499" s="8">
        <v>1</v>
      </c>
      <c r="N1499" s="8">
        <v>0</v>
      </c>
      <c r="O1499" s="8">
        <v>1</v>
      </c>
      <c r="P1499" s="8">
        <v>1</v>
      </c>
      <c r="Q1499" s="8">
        <v>1</v>
      </c>
      <c r="R1499" s="8">
        <v>1</v>
      </c>
      <c r="S1499" s="8">
        <v>1</v>
      </c>
      <c r="T1499" s="8">
        <v>1</v>
      </c>
      <c r="U1499" s="8">
        <v>0</v>
      </c>
      <c r="V1499" s="8">
        <v>1</v>
      </c>
      <c r="W1499" s="8">
        <v>1</v>
      </c>
      <c r="X1499" s="8">
        <v>1</v>
      </c>
      <c r="Y1499" s="8">
        <v>1</v>
      </c>
      <c r="Z1499" s="8">
        <v>0</v>
      </c>
      <c r="AA1499" s="8">
        <v>1</v>
      </c>
      <c r="AB1499" s="8">
        <v>0</v>
      </c>
      <c r="AC1499" s="8">
        <v>1</v>
      </c>
      <c r="AD1499" s="8">
        <v>1</v>
      </c>
      <c r="AE1499" s="8">
        <v>1</v>
      </c>
      <c r="AF1499" s="8">
        <v>1</v>
      </c>
      <c r="AG1499" s="8">
        <v>1</v>
      </c>
      <c r="AH1499" s="8">
        <v>1</v>
      </c>
      <c r="AI1499" s="8">
        <v>0</v>
      </c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11" t="s">
        <v>251</v>
      </c>
    </row>
    <row r="1500" spans="1:46" ht="15.1" customHeight="1">
      <c r="A1500" s="8">
        <v>499</v>
      </c>
      <c r="B1500" s="9" t="s">
        <v>1248</v>
      </c>
      <c r="C1500" s="8" t="s">
        <v>1249</v>
      </c>
      <c r="D1500" s="9" t="s">
        <v>451</v>
      </c>
      <c r="E1500" s="8" t="s">
        <v>54</v>
      </c>
      <c r="F1500" s="8" t="s">
        <v>54</v>
      </c>
      <c r="G1500" s="10" t="s">
        <v>67</v>
      </c>
      <c r="H1500" s="8" t="s">
        <v>54</v>
      </c>
      <c r="I1500" s="8" t="s">
        <v>54</v>
      </c>
      <c r="J1500" s="8" t="s">
        <v>54</v>
      </c>
      <c r="K1500" s="8" t="s">
        <v>54</v>
      </c>
      <c r="L1500" s="8" t="s">
        <v>54</v>
      </c>
      <c r="M1500" s="8" t="s">
        <v>54</v>
      </c>
      <c r="N1500" s="10" t="s">
        <v>67</v>
      </c>
      <c r="O1500" s="8" t="s">
        <v>54</v>
      </c>
      <c r="P1500" s="8" t="s">
        <v>54</v>
      </c>
      <c r="Q1500" s="8" t="s">
        <v>54</v>
      </c>
      <c r="R1500" s="8" t="s">
        <v>54</v>
      </c>
      <c r="S1500" s="8" t="s">
        <v>54</v>
      </c>
      <c r="T1500" s="8" t="s">
        <v>54</v>
      </c>
      <c r="U1500" s="10" t="s">
        <v>67</v>
      </c>
      <c r="V1500" s="8" t="s">
        <v>54</v>
      </c>
      <c r="W1500" s="8" t="s">
        <v>54</v>
      </c>
      <c r="X1500" s="8" t="s">
        <v>54</v>
      </c>
      <c r="Y1500" s="8" t="s">
        <v>54</v>
      </c>
      <c r="Z1500" s="8" t="s">
        <v>54</v>
      </c>
      <c r="AA1500" s="8" t="s">
        <v>54</v>
      </c>
      <c r="AB1500" s="10" t="s">
        <v>67</v>
      </c>
      <c r="AC1500" s="8" t="s">
        <v>54</v>
      </c>
      <c r="AD1500" s="8" t="s">
        <v>54</v>
      </c>
      <c r="AE1500" s="8" t="s">
        <v>54</v>
      </c>
      <c r="AF1500" s="8" t="s">
        <v>54</v>
      </c>
      <c r="AG1500" s="8" t="s">
        <v>54</v>
      </c>
      <c r="AH1500" s="8" t="s">
        <v>54</v>
      </c>
      <c r="AI1500" s="10" t="s">
        <v>67</v>
      </c>
      <c r="AJ1500" s="8">
        <f>COUNTIF($E$1500:$AI$1500,"P")</f>
        <v>26</v>
      </c>
      <c r="AK1500" s="8">
        <f>COUNTIF($E$1500:$AI$1500,"A")</f>
        <v>0</v>
      </c>
      <c r="AL1500" s="8">
        <f>SUM($E$1501:$AI$1501)</f>
        <v>52</v>
      </c>
      <c r="AM1500" s="8">
        <f>SUM($E$1502:$AI$1502)</f>
        <v>26</v>
      </c>
      <c r="AN1500" s="8">
        <f>AL1500+AM1500</f>
        <v>78</v>
      </c>
      <c r="AO1500" s="8">
        <f>COUNTIF($E$1500:$AI$1500,"CL")</f>
        <v>0</v>
      </c>
      <c r="AP1500" s="8">
        <f>COUNTIF($E$1500:$AI$1500,"SL")</f>
        <v>0</v>
      </c>
      <c r="AQ1500" s="8">
        <f>COUNTIF($E$1500:$AI$1500,"EL")</f>
        <v>0</v>
      </c>
      <c r="AR1500" s="8">
        <f>COUNTIF($E$1500:$AI$1500,"H")</f>
        <v>0</v>
      </c>
      <c r="AS1500" s="8"/>
      <c r="AT1500" s="11" t="s">
        <v>251</v>
      </c>
    </row>
    <row r="1501" spans="1:46" ht="15.1" customHeight="1">
      <c r="A1501" s="8"/>
      <c r="B1501" s="9"/>
      <c r="C1501" s="8"/>
      <c r="D1501" s="9"/>
      <c r="E1501" s="8">
        <v>2</v>
      </c>
      <c r="F1501" s="8">
        <v>2</v>
      </c>
      <c r="G1501" s="8">
        <v>0</v>
      </c>
      <c r="H1501" s="8">
        <v>2</v>
      </c>
      <c r="I1501" s="8">
        <v>2</v>
      </c>
      <c r="J1501" s="8">
        <v>2</v>
      </c>
      <c r="K1501" s="8">
        <v>2</v>
      </c>
      <c r="L1501" s="8">
        <v>2</v>
      </c>
      <c r="M1501" s="8">
        <v>2</v>
      </c>
      <c r="N1501" s="8">
        <v>0</v>
      </c>
      <c r="O1501" s="8">
        <v>2</v>
      </c>
      <c r="P1501" s="8">
        <v>2</v>
      </c>
      <c r="Q1501" s="8">
        <v>2</v>
      </c>
      <c r="R1501" s="8">
        <v>2</v>
      </c>
      <c r="S1501" s="8">
        <v>2</v>
      </c>
      <c r="T1501" s="8">
        <v>2</v>
      </c>
      <c r="U1501" s="8">
        <v>0</v>
      </c>
      <c r="V1501" s="8">
        <v>2</v>
      </c>
      <c r="W1501" s="8">
        <v>2</v>
      </c>
      <c r="X1501" s="8">
        <v>2</v>
      </c>
      <c r="Y1501" s="8">
        <v>2</v>
      </c>
      <c r="Z1501" s="8">
        <v>2</v>
      </c>
      <c r="AA1501" s="8">
        <v>2</v>
      </c>
      <c r="AB1501" s="8">
        <v>0</v>
      </c>
      <c r="AC1501" s="8">
        <v>2</v>
      </c>
      <c r="AD1501" s="8">
        <v>2</v>
      </c>
      <c r="AE1501" s="8">
        <v>2</v>
      </c>
      <c r="AF1501" s="8">
        <v>2</v>
      </c>
      <c r="AG1501" s="8">
        <v>2</v>
      </c>
      <c r="AH1501" s="8">
        <v>2</v>
      </c>
      <c r="AI1501" s="8">
        <v>0</v>
      </c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11" t="s">
        <v>251</v>
      </c>
    </row>
    <row r="1502" spans="1:46" ht="15.1" customHeight="1">
      <c r="A1502" s="8"/>
      <c r="B1502" s="9"/>
      <c r="C1502" s="8"/>
      <c r="D1502" s="9"/>
      <c r="E1502" s="8">
        <v>1</v>
      </c>
      <c r="F1502" s="8">
        <v>1</v>
      </c>
      <c r="G1502" s="8">
        <v>0</v>
      </c>
      <c r="H1502" s="8">
        <v>1</v>
      </c>
      <c r="I1502" s="8">
        <v>1</v>
      </c>
      <c r="J1502" s="8">
        <v>1</v>
      </c>
      <c r="K1502" s="8">
        <v>1</v>
      </c>
      <c r="L1502" s="8">
        <v>1</v>
      </c>
      <c r="M1502" s="8">
        <v>1</v>
      </c>
      <c r="N1502" s="8">
        <v>0</v>
      </c>
      <c r="O1502" s="8">
        <v>1</v>
      </c>
      <c r="P1502" s="8">
        <v>1</v>
      </c>
      <c r="Q1502" s="8">
        <v>1</v>
      </c>
      <c r="R1502" s="8">
        <v>1</v>
      </c>
      <c r="S1502" s="8">
        <v>1</v>
      </c>
      <c r="T1502" s="8">
        <v>1</v>
      </c>
      <c r="U1502" s="8">
        <v>0</v>
      </c>
      <c r="V1502" s="8">
        <v>1</v>
      </c>
      <c r="W1502" s="8">
        <v>1</v>
      </c>
      <c r="X1502" s="8">
        <v>1</v>
      </c>
      <c r="Y1502" s="8">
        <v>1</v>
      </c>
      <c r="Z1502" s="8">
        <v>1</v>
      </c>
      <c r="AA1502" s="8">
        <v>1</v>
      </c>
      <c r="AB1502" s="8">
        <v>0</v>
      </c>
      <c r="AC1502" s="8">
        <v>1</v>
      </c>
      <c r="AD1502" s="8">
        <v>1</v>
      </c>
      <c r="AE1502" s="8">
        <v>1</v>
      </c>
      <c r="AF1502" s="8">
        <v>1</v>
      </c>
      <c r="AG1502" s="8">
        <v>1</v>
      </c>
      <c r="AH1502" s="8">
        <v>1</v>
      </c>
      <c r="AI1502" s="8">
        <v>0</v>
      </c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11" t="s">
        <v>251</v>
      </c>
    </row>
    <row r="1503" spans="1:46" ht="15.1" customHeight="1">
      <c r="A1503" s="8">
        <v>500</v>
      </c>
      <c r="B1503" s="9" t="s">
        <v>1250</v>
      </c>
      <c r="C1503" s="8" t="s">
        <v>1251</v>
      </c>
      <c r="D1503" s="9" t="s">
        <v>451</v>
      </c>
      <c r="E1503" s="8" t="s">
        <v>54</v>
      </c>
      <c r="F1503" s="8" t="s">
        <v>54</v>
      </c>
      <c r="G1503" s="10" t="s">
        <v>67</v>
      </c>
      <c r="H1503" s="8" t="s">
        <v>54</v>
      </c>
      <c r="I1503" s="8" t="s">
        <v>54</v>
      </c>
      <c r="J1503" s="8" t="s">
        <v>54</v>
      </c>
      <c r="K1503" s="8" t="s">
        <v>54</v>
      </c>
      <c r="L1503" s="8" t="s">
        <v>54</v>
      </c>
      <c r="M1503" s="8" t="s">
        <v>54</v>
      </c>
      <c r="N1503" s="10" t="s">
        <v>67</v>
      </c>
      <c r="O1503" s="8" t="s">
        <v>54</v>
      </c>
      <c r="P1503" s="8" t="s">
        <v>54</v>
      </c>
      <c r="Q1503" s="8" t="s">
        <v>54</v>
      </c>
      <c r="R1503" s="8" t="s">
        <v>54</v>
      </c>
      <c r="S1503" s="8" t="s">
        <v>54</v>
      </c>
      <c r="T1503" s="8" t="s">
        <v>54</v>
      </c>
      <c r="U1503" s="10" t="s">
        <v>67</v>
      </c>
      <c r="V1503" s="8" t="s">
        <v>54</v>
      </c>
      <c r="W1503" s="8" t="s">
        <v>54</v>
      </c>
      <c r="X1503" s="8" t="s">
        <v>54</v>
      </c>
      <c r="Y1503" s="8" t="s">
        <v>54</v>
      </c>
      <c r="Z1503" s="8" t="s">
        <v>54</v>
      </c>
      <c r="AA1503" s="8" t="s">
        <v>54</v>
      </c>
      <c r="AB1503" s="10" t="s">
        <v>67</v>
      </c>
      <c r="AC1503" s="8" t="s">
        <v>54</v>
      </c>
      <c r="AD1503" s="8" t="s">
        <v>54</v>
      </c>
      <c r="AE1503" s="8" t="s">
        <v>54</v>
      </c>
      <c r="AF1503" s="8" t="s">
        <v>54</v>
      </c>
      <c r="AG1503" s="8" t="s">
        <v>54</v>
      </c>
      <c r="AH1503" s="8" t="s">
        <v>54</v>
      </c>
      <c r="AI1503" s="10" t="s">
        <v>67</v>
      </c>
      <c r="AJ1503" s="8">
        <f>COUNTIF($E$1503:$AI$1503,"P")</f>
        <v>26</v>
      </c>
      <c r="AK1503" s="8">
        <f>COUNTIF($E$1503:$AI$1503,"A")</f>
        <v>0</v>
      </c>
      <c r="AL1503" s="8">
        <f>SUM($E$1504:$AI$1504)</f>
        <v>52</v>
      </c>
      <c r="AM1503" s="8">
        <f>SUM($E$1505:$AI$1505)</f>
        <v>26</v>
      </c>
      <c r="AN1503" s="8">
        <f>AL1503+AM1503</f>
        <v>78</v>
      </c>
      <c r="AO1503" s="8">
        <f>COUNTIF($E$1503:$AI$1503,"CL")</f>
        <v>0</v>
      </c>
      <c r="AP1503" s="8">
        <f>COUNTIF($E$1503:$AI$1503,"SL")</f>
        <v>0</v>
      </c>
      <c r="AQ1503" s="8">
        <f>COUNTIF($E$1503:$AI$1503,"EL")</f>
        <v>0</v>
      </c>
      <c r="AR1503" s="8">
        <f>COUNTIF($E$1503:$AI$1503,"H")</f>
        <v>0</v>
      </c>
      <c r="AS1503" s="8"/>
      <c r="AT1503" s="11" t="s">
        <v>251</v>
      </c>
    </row>
    <row r="1504" spans="1:46" ht="15.1" customHeight="1">
      <c r="A1504" s="8"/>
      <c r="B1504" s="9"/>
      <c r="C1504" s="8"/>
      <c r="D1504" s="9"/>
      <c r="E1504" s="8">
        <v>2</v>
      </c>
      <c r="F1504" s="8">
        <v>2</v>
      </c>
      <c r="G1504" s="8">
        <v>0</v>
      </c>
      <c r="H1504" s="8">
        <v>2</v>
      </c>
      <c r="I1504" s="8">
        <v>2</v>
      </c>
      <c r="J1504" s="8">
        <v>2</v>
      </c>
      <c r="K1504" s="8">
        <v>2</v>
      </c>
      <c r="L1504" s="8">
        <v>2</v>
      </c>
      <c r="M1504" s="8">
        <v>2</v>
      </c>
      <c r="N1504" s="8">
        <v>0</v>
      </c>
      <c r="O1504" s="8">
        <v>2</v>
      </c>
      <c r="P1504" s="8">
        <v>2</v>
      </c>
      <c r="Q1504" s="8">
        <v>2</v>
      </c>
      <c r="R1504" s="8">
        <v>2</v>
      </c>
      <c r="S1504" s="8">
        <v>2</v>
      </c>
      <c r="T1504" s="8">
        <v>2</v>
      </c>
      <c r="U1504" s="8">
        <v>0</v>
      </c>
      <c r="V1504" s="8">
        <v>2</v>
      </c>
      <c r="W1504" s="8">
        <v>2</v>
      </c>
      <c r="X1504" s="8">
        <v>2</v>
      </c>
      <c r="Y1504" s="8">
        <v>2</v>
      </c>
      <c r="Z1504" s="8">
        <v>2</v>
      </c>
      <c r="AA1504" s="8">
        <v>2</v>
      </c>
      <c r="AB1504" s="8">
        <v>0</v>
      </c>
      <c r="AC1504" s="8">
        <v>2</v>
      </c>
      <c r="AD1504" s="8">
        <v>2</v>
      </c>
      <c r="AE1504" s="8">
        <v>2</v>
      </c>
      <c r="AF1504" s="8">
        <v>2</v>
      </c>
      <c r="AG1504" s="8">
        <v>2</v>
      </c>
      <c r="AH1504" s="8">
        <v>2</v>
      </c>
      <c r="AI1504" s="8">
        <v>0</v>
      </c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11" t="s">
        <v>251</v>
      </c>
    </row>
    <row r="1505" spans="1:46" ht="15.1" customHeight="1">
      <c r="A1505" s="8"/>
      <c r="B1505" s="9"/>
      <c r="C1505" s="8"/>
      <c r="D1505" s="9"/>
      <c r="E1505" s="8">
        <v>1</v>
      </c>
      <c r="F1505" s="8">
        <v>1</v>
      </c>
      <c r="G1505" s="8">
        <v>0</v>
      </c>
      <c r="H1505" s="8">
        <v>1</v>
      </c>
      <c r="I1505" s="8">
        <v>1</v>
      </c>
      <c r="J1505" s="8">
        <v>1</v>
      </c>
      <c r="K1505" s="8">
        <v>1</v>
      </c>
      <c r="L1505" s="8">
        <v>1</v>
      </c>
      <c r="M1505" s="8">
        <v>1</v>
      </c>
      <c r="N1505" s="8">
        <v>0</v>
      </c>
      <c r="O1505" s="8">
        <v>1</v>
      </c>
      <c r="P1505" s="8">
        <v>1</v>
      </c>
      <c r="Q1505" s="8">
        <v>1</v>
      </c>
      <c r="R1505" s="8">
        <v>1</v>
      </c>
      <c r="S1505" s="8">
        <v>1</v>
      </c>
      <c r="T1505" s="8">
        <v>1</v>
      </c>
      <c r="U1505" s="8">
        <v>0</v>
      </c>
      <c r="V1505" s="8">
        <v>1</v>
      </c>
      <c r="W1505" s="8">
        <v>1</v>
      </c>
      <c r="X1505" s="8">
        <v>1</v>
      </c>
      <c r="Y1505" s="8">
        <v>1</v>
      </c>
      <c r="Z1505" s="8">
        <v>1</v>
      </c>
      <c r="AA1505" s="8">
        <v>1</v>
      </c>
      <c r="AB1505" s="8">
        <v>0</v>
      </c>
      <c r="AC1505" s="8">
        <v>1</v>
      </c>
      <c r="AD1505" s="8">
        <v>1</v>
      </c>
      <c r="AE1505" s="8">
        <v>1</v>
      </c>
      <c r="AF1505" s="8">
        <v>1</v>
      </c>
      <c r="AG1505" s="8">
        <v>1</v>
      </c>
      <c r="AH1505" s="8">
        <v>1</v>
      </c>
      <c r="AI1505" s="8">
        <v>0</v>
      </c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11" t="s">
        <v>251</v>
      </c>
    </row>
    <row r="1506" spans="1:46" ht="15.1" customHeight="1">
      <c r="A1506" s="8">
        <v>501</v>
      </c>
      <c r="B1506" s="9" t="s">
        <v>1252</v>
      </c>
      <c r="C1506" s="8" t="s">
        <v>1253</v>
      </c>
      <c r="D1506" s="9" t="s">
        <v>451</v>
      </c>
      <c r="E1506" s="8" t="s">
        <v>54</v>
      </c>
      <c r="F1506" s="8" t="s">
        <v>54</v>
      </c>
      <c r="G1506" s="10" t="s">
        <v>67</v>
      </c>
      <c r="H1506" s="8" t="s">
        <v>54</v>
      </c>
      <c r="I1506" s="8" t="s">
        <v>54</v>
      </c>
      <c r="J1506" s="8" t="s">
        <v>54</v>
      </c>
      <c r="K1506" s="8" t="s">
        <v>54</v>
      </c>
      <c r="L1506" s="8" t="s">
        <v>54</v>
      </c>
      <c r="M1506" s="8" t="s">
        <v>54</v>
      </c>
      <c r="N1506" s="10" t="s">
        <v>67</v>
      </c>
      <c r="O1506" s="8" t="s">
        <v>54</v>
      </c>
      <c r="P1506" s="8" t="s">
        <v>54</v>
      </c>
      <c r="Q1506" s="8" t="s">
        <v>54</v>
      </c>
      <c r="R1506" s="8" t="s">
        <v>54</v>
      </c>
      <c r="S1506" s="8" t="s">
        <v>54</v>
      </c>
      <c r="T1506" s="8" t="s">
        <v>54</v>
      </c>
      <c r="U1506" s="10" t="s">
        <v>67</v>
      </c>
      <c r="V1506" s="8" t="s">
        <v>54</v>
      </c>
      <c r="W1506" s="8" t="s">
        <v>54</v>
      </c>
      <c r="X1506" s="8" t="s">
        <v>54</v>
      </c>
      <c r="Y1506" s="8" t="s">
        <v>54</v>
      </c>
      <c r="Z1506" s="8" t="s">
        <v>54</v>
      </c>
      <c r="AA1506" s="8" t="s">
        <v>54</v>
      </c>
      <c r="AB1506" s="10" t="s">
        <v>67</v>
      </c>
      <c r="AC1506" s="8" t="s">
        <v>54</v>
      </c>
      <c r="AD1506" s="8" t="s">
        <v>54</v>
      </c>
      <c r="AE1506" s="8" t="s">
        <v>54</v>
      </c>
      <c r="AF1506" s="8" t="s">
        <v>54</v>
      </c>
      <c r="AG1506" s="8" t="s">
        <v>54</v>
      </c>
      <c r="AH1506" s="8" t="s">
        <v>54</v>
      </c>
      <c r="AI1506" s="10" t="s">
        <v>67</v>
      </c>
      <c r="AJ1506" s="8">
        <f>COUNTIF($E$1506:$AI$1506,"P")</f>
        <v>26</v>
      </c>
      <c r="AK1506" s="8">
        <f>COUNTIF($E$1506:$AI$1506,"A")</f>
        <v>0</v>
      </c>
      <c r="AL1506" s="8">
        <f>SUM($E$1507:$AI$1507)</f>
        <v>50</v>
      </c>
      <c r="AM1506" s="8">
        <f>SUM($E$1508:$AI$1508)</f>
        <v>25</v>
      </c>
      <c r="AN1506" s="8">
        <f>AL1506+AM1506</f>
        <v>75</v>
      </c>
      <c r="AO1506" s="8">
        <f>COUNTIF($E$1506:$AI$1506,"CL")</f>
        <v>0</v>
      </c>
      <c r="AP1506" s="8">
        <f>COUNTIF($E$1506:$AI$1506,"SL")</f>
        <v>0</v>
      </c>
      <c r="AQ1506" s="8">
        <f>COUNTIF($E$1506:$AI$1506,"EL")</f>
        <v>0</v>
      </c>
      <c r="AR1506" s="8">
        <f>COUNTIF($E$1506:$AI$1506,"H")</f>
        <v>0</v>
      </c>
      <c r="AS1506" s="8"/>
      <c r="AT1506" s="11" t="s">
        <v>251</v>
      </c>
    </row>
    <row r="1507" spans="1:46" ht="15.1" customHeight="1">
      <c r="A1507" s="8"/>
      <c r="B1507" s="9"/>
      <c r="C1507" s="8"/>
      <c r="D1507" s="9"/>
      <c r="E1507" s="8">
        <v>2</v>
      </c>
      <c r="F1507" s="8">
        <v>2</v>
      </c>
      <c r="G1507" s="8">
        <v>0</v>
      </c>
      <c r="H1507" s="8">
        <v>2</v>
      </c>
      <c r="I1507" s="8">
        <v>2</v>
      </c>
      <c r="J1507" s="8">
        <v>2</v>
      </c>
      <c r="K1507" s="8">
        <v>2</v>
      </c>
      <c r="L1507" s="8">
        <v>2</v>
      </c>
      <c r="M1507" s="8">
        <v>2</v>
      </c>
      <c r="N1507" s="8">
        <v>0</v>
      </c>
      <c r="O1507" s="8">
        <v>2</v>
      </c>
      <c r="P1507" s="8">
        <v>2</v>
      </c>
      <c r="Q1507" s="8">
        <v>2</v>
      </c>
      <c r="R1507" s="8">
        <v>2</v>
      </c>
      <c r="S1507" s="8">
        <v>2</v>
      </c>
      <c r="T1507" s="8">
        <v>2</v>
      </c>
      <c r="U1507" s="8">
        <v>0</v>
      </c>
      <c r="V1507" s="8">
        <v>2</v>
      </c>
      <c r="W1507" s="8">
        <v>2</v>
      </c>
      <c r="X1507" s="8">
        <v>2</v>
      </c>
      <c r="Y1507" s="8">
        <v>2</v>
      </c>
      <c r="Z1507" s="8">
        <v>0</v>
      </c>
      <c r="AA1507" s="8">
        <v>2</v>
      </c>
      <c r="AB1507" s="8">
        <v>0</v>
      </c>
      <c r="AC1507" s="8">
        <v>2</v>
      </c>
      <c r="AD1507" s="8">
        <v>2</v>
      </c>
      <c r="AE1507" s="8">
        <v>2</v>
      </c>
      <c r="AF1507" s="8">
        <v>2</v>
      </c>
      <c r="AG1507" s="8">
        <v>2</v>
      </c>
      <c r="AH1507" s="8">
        <v>2</v>
      </c>
      <c r="AI1507" s="8">
        <v>0</v>
      </c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11" t="s">
        <v>251</v>
      </c>
    </row>
    <row r="1508" spans="1:46" ht="15.1" customHeight="1">
      <c r="A1508" s="8"/>
      <c r="B1508" s="9"/>
      <c r="C1508" s="8"/>
      <c r="D1508" s="9"/>
      <c r="E1508" s="8">
        <v>1</v>
      </c>
      <c r="F1508" s="8">
        <v>1</v>
      </c>
      <c r="G1508" s="8">
        <v>0</v>
      </c>
      <c r="H1508" s="8">
        <v>1</v>
      </c>
      <c r="I1508" s="8">
        <v>1</v>
      </c>
      <c r="J1508" s="8">
        <v>1</v>
      </c>
      <c r="K1508" s="8">
        <v>1</v>
      </c>
      <c r="L1508" s="8">
        <v>1</v>
      </c>
      <c r="M1508" s="8">
        <v>1</v>
      </c>
      <c r="N1508" s="8">
        <v>0</v>
      </c>
      <c r="O1508" s="8">
        <v>1</v>
      </c>
      <c r="P1508" s="8">
        <v>1</v>
      </c>
      <c r="Q1508" s="8">
        <v>1</v>
      </c>
      <c r="R1508" s="8">
        <v>1</v>
      </c>
      <c r="S1508" s="8">
        <v>1</v>
      </c>
      <c r="T1508" s="8">
        <v>1</v>
      </c>
      <c r="U1508" s="8">
        <v>0</v>
      </c>
      <c r="V1508" s="8">
        <v>1</v>
      </c>
      <c r="W1508" s="8">
        <v>1</v>
      </c>
      <c r="X1508" s="8">
        <v>1</v>
      </c>
      <c r="Y1508" s="8">
        <v>1</v>
      </c>
      <c r="Z1508" s="8">
        <v>0</v>
      </c>
      <c r="AA1508" s="8">
        <v>1</v>
      </c>
      <c r="AB1508" s="8">
        <v>0</v>
      </c>
      <c r="AC1508" s="8">
        <v>1</v>
      </c>
      <c r="AD1508" s="8">
        <v>1</v>
      </c>
      <c r="AE1508" s="8">
        <v>1</v>
      </c>
      <c r="AF1508" s="8">
        <v>1</v>
      </c>
      <c r="AG1508" s="8">
        <v>1</v>
      </c>
      <c r="AH1508" s="8">
        <v>1</v>
      </c>
      <c r="AI1508" s="8">
        <v>0</v>
      </c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11" t="s">
        <v>251</v>
      </c>
    </row>
    <row r="1509" spans="1:46" ht="15.1" customHeight="1">
      <c r="A1509" s="8">
        <v>502</v>
      </c>
      <c r="B1509" s="9" t="s">
        <v>1254</v>
      </c>
      <c r="C1509" s="8" t="s">
        <v>1255</v>
      </c>
      <c r="D1509" s="9" t="s">
        <v>451</v>
      </c>
      <c r="E1509" s="8" t="s">
        <v>54</v>
      </c>
      <c r="F1509" s="8" t="s">
        <v>54</v>
      </c>
      <c r="G1509" s="10" t="s">
        <v>67</v>
      </c>
      <c r="H1509" s="8" t="s">
        <v>54</v>
      </c>
      <c r="I1509" s="8" t="s">
        <v>54</v>
      </c>
      <c r="J1509" s="8" t="s">
        <v>54</v>
      </c>
      <c r="K1509" s="8" t="s">
        <v>54</v>
      </c>
      <c r="L1509" s="8" t="s">
        <v>54</v>
      </c>
      <c r="M1509" s="8" t="s">
        <v>54</v>
      </c>
      <c r="N1509" s="10" t="s">
        <v>67</v>
      </c>
      <c r="O1509" s="8" t="s">
        <v>54</v>
      </c>
      <c r="P1509" s="8" t="s">
        <v>54</v>
      </c>
      <c r="Q1509" s="8" t="s">
        <v>54</v>
      </c>
      <c r="R1509" s="8" t="s">
        <v>54</v>
      </c>
      <c r="S1509" s="8" t="s">
        <v>54</v>
      </c>
      <c r="T1509" s="8" t="s">
        <v>54</v>
      </c>
      <c r="U1509" s="10" t="s">
        <v>67</v>
      </c>
      <c r="V1509" s="8" t="s">
        <v>54</v>
      </c>
      <c r="W1509" s="8" t="s">
        <v>54</v>
      </c>
      <c r="X1509" s="8" t="s">
        <v>54</v>
      </c>
      <c r="Y1509" s="8" t="s">
        <v>54</v>
      </c>
      <c r="Z1509" s="8" t="s">
        <v>54</v>
      </c>
      <c r="AA1509" s="8" t="s">
        <v>54</v>
      </c>
      <c r="AB1509" s="10" t="s">
        <v>67</v>
      </c>
      <c r="AC1509" s="8" t="s">
        <v>54</v>
      </c>
      <c r="AD1509" s="8" t="s">
        <v>54</v>
      </c>
      <c r="AE1509" s="8" t="s">
        <v>54</v>
      </c>
      <c r="AF1509" s="8" t="s">
        <v>54</v>
      </c>
      <c r="AG1509" s="8" t="s">
        <v>54</v>
      </c>
      <c r="AH1509" s="8" t="s">
        <v>54</v>
      </c>
      <c r="AI1509" s="10" t="s">
        <v>67</v>
      </c>
      <c r="AJ1509" s="8">
        <f>COUNTIF($E$1509:$AI$1509,"P")</f>
        <v>26</v>
      </c>
      <c r="AK1509" s="8">
        <f>COUNTIF($E$1509:$AI$1509,"A")</f>
        <v>0</v>
      </c>
      <c r="AL1509" s="8">
        <f>SUM($E$1510:$AI$1510)</f>
        <v>50</v>
      </c>
      <c r="AM1509" s="8">
        <f>SUM($E$1511:$AI$1511)</f>
        <v>25</v>
      </c>
      <c r="AN1509" s="8">
        <f>AL1509+AM1509</f>
        <v>75</v>
      </c>
      <c r="AO1509" s="8">
        <f>COUNTIF($E$1509:$AI$1509,"CL")</f>
        <v>0</v>
      </c>
      <c r="AP1509" s="8">
        <f>COUNTIF($E$1509:$AI$1509,"SL")</f>
        <v>0</v>
      </c>
      <c r="AQ1509" s="8">
        <f>COUNTIF($E$1509:$AI$1509,"EL")</f>
        <v>0</v>
      </c>
      <c r="AR1509" s="8">
        <f>COUNTIF($E$1509:$AI$1509,"H")</f>
        <v>0</v>
      </c>
      <c r="AS1509" s="8"/>
      <c r="AT1509" s="11" t="s">
        <v>251</v>
      </c>
    </row>
    <row r="1510" spans="1:46" ht="15.1" customHeight="1">
      <c r="A1510" s="8"/>
      <c r="B1510" s="9"/>
      <c r="C1510" s="8"/>
      <c r="D1510" s="9"/>
      <c r="E1510" s="8">
        <v>2</v>
      </c>
      <c r="F1510" s="8">
        <v>2</v>
      </c>
      <c r="G1510" s="8">
        <v>0</v>
      </c>
      <c r="H1510" s="8">
        <v>2</v>
      </c>
      <c r="I1510" s="8">
        <v>2</v>
      </c>
      <c r="J1510" s="8">
        <v>2</v>
      </c>
      <c r="K1510" s="8">
        <v>2</v>
      </c>
      <c r="L1510" s="8">
        <v>2</v>
      </c>
      <c r="M1510" s="8">
        <v>2</v>
      </c>
      <c r="N1510" s="8">
        <v>0</v>
      </c>
      <c r="O1510" s="8">
        <v>2</v>
      </c>
      <c r="P1510" s="8">
        <v>2</v>
      </c>
      <c r="Q1510" s="8">
        <v>2</v>
      </c>
      <c r="R1510" s="8">
        <v>2</v>
      </c>
      <c r="S1510" s="8">
        <v>2</v>
      </c>
      <c r="T1510" s="8">
        <v>2</v>
      </c>
      <c r="U1510" s="8">
        <v>0</v>
      </c>
      <c r="V1510" s="8">
        <v>2</v>
      </c>
      <c r="W1510" s="8">
        <v>2</v>
      </c>
      <c r="X1510" s="8">
        <v>2</v>
      </c>
      <c r="Y1510" s="8">
        <v>2</v>
      </c>
      <c r="Z1510" s="8">
        <v>0</v>
      </c>
      <c r="AA1510" s="8">
        <v>2</v>
      </c>
      <c r="AB1510" s="8">
        <v>0</v>
      </c>
      <c r="AC1510" s="8">
        <v>2</v>
      </c>
      <c r="AD1510" s="8">
        <v>2</v>
      </c>
      <c r="AE1510" s="8">
        <v>2</v>
      </c>
      <c r="AF1510" s="8">
        <v>2</v>
      </c>
      <c r="AG1510" s="8">
        <v>2</v>
      </c>
      <c r="AH1510" s="8">
        <v>2</v>
      </c>
      <c r="AI1510" s="8">
        <v>0</v>
      </c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11" t="s">
        <v>251</v>
      </c>
    </row>
    <row r="1511" spans="1:46" ht="15.1" customHeight="1">
      <c r="A1511" s="8"/>
      <c r="B1511" s="9"/>
      <c r="C1511" s="8"/>
      <c r="D1511" s="9"/>
      <c r="E1511" s="8">
        <v>1</v>
      </c>
      <c r="F1511" s="8">
        <v>1</v>
      </c>
      <c r="G1511" s="8">
        <v>0</v>
      </c>
      <c r="H1511" s="8">
        <v>1</v>
      </c>
      <c r="I1511" s="8">
        <v>1</v>
      </c>
      <c r="J1511" s="8">
        <v>1</v>
      </c>
      <c r="K1511" s="8">
        <v>1</v>
      </c>
      <c r="L1511" s="8">
        <v>1</v>
      </c>
      <c r="M1511" s="8">
        <v>1</v>
      </c>
      <c r="N1511" s="8">
        <v>0</v>
      </c>
      <c r="O1511" s="8">
        <v>1</v>
      </c>
      <c r="P1511" s="8">
        <v>1</v>
      </c>
      <c r="Q1511" s="8">
        <v>1</v>
      </c>
      <c r="R1511" s="8">
        <v>1</v>
      </c>
      <c r="S1511" s="8">
        <v>1</v>
      </c>
      <c r="T1511" s="8">
        <v>1</v>
      </c>
      <c r="U1511" s="8">
        <v>0</v>
      </c>
      <c r="V1511" s="8">
        <v>1</v>
      </c>
      <c r="W1511" s="8">
        <v>1</v>
      </c>
      <c r="X1511" s="8">
        <v>1</v>
      </c>
      <c r="Y1511" s="8">
        <v>1</v>
      </c>
      <c r="Z1511" s="8">
        <v>0</v>
      </c>
      <c r="AA1511" s="8">
        <v>1</v>
      </c>
      <c r="AB1511" s="8">
        <v>0</v>
      </c>
      <c r="AC1511" s="8">
        <v>1</v>
      </c>
      <c r="AD1511" s="8">
        <v>1</v>
      </c>
      <c r="AE1511" s="8">
        <v>1</v>
      </c>
      <c r="AF1511" s="8">
        <v>1</v>
      </c>
      <c r="AG1511" s="8">
        <v>1</v>
      </c>
      <c r="AH1511" s="8">
        <v>1</v>
      </c>
      <c r="AI1511" s="8">
        <v>0</v>
      </c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11" t="s">
        <v>251</v>
      </c>
    </row>
    <row r="1512" spans="1:46" ht="15.1" customHeight="1">
      <c r="A1512" s="8">
        <v>503</v>
      </c>
      <c r="B1512" s="9" t="s">
        <v>1256</v>
      </c>
      <c r="C1512" s="8" t="s">
        <v>1257</v>
      </c>
      <c r="D1512" s="9" t="s">
        <v>451</v>
      </c>
      <c r="E1512" s="8" t="s">
        <v>54</v>
      </c>
      <c r="F1512" s="8" t="s">
        <v>54</v>
      </c>
      <c r="G1512" s="10" t="s">
        <v>67</v>
      </c>
      <c r="H1512" s="8" t="s">
        <v>54</v>
      </c>
      <c r="I1512" s="8" t="s">
        <v>54</v>
      </c>
      <c r="J1512" s="8" t="s">
        <v>54</v>
      </c>
      <c r="K1512" s="8" t="s">
        <v>54</v>
      </c>
      <c r="L1512" s="8" t="s">
        <v>54</v>
      </c>
      <c r="M1512" s="8" t="s">
        <v>54</v>
      </c>
      <c r="N1512" s="10" t="s">
        <v>67</v>
      </c>
      <c r="O1512" s="8" t="s">
        <v>54</v>
      </c>
      <c r="P1512" s="8" t="s">
        <v>54</v>
      </c>
      <c r="Q1512" s="8" t="s">
        <v>54</v>
      </c>
      <c r="R1512" s="8" t="s">
        <v>54</v>
      </c>
      <c r="S1512" s="8" t="s">
        <v>54</v>
      </c>
      <c r="T1512" s="8" t="s">
        <v>54</v>
      </c>
      <c r="U1512" s="10" t="s">
        <v>67</v>
      </c>
      <c r="V1512" s="8" t="s">
        <v>54</v>
      </c>
      <c r="W1512" s="8" t="s">
        <v>54</v>
      </c>
      <c r="X1512" s="8" t="s">
        <v>54</v>
      </c>
      <c r="Y1512" s="8" t="s">
        <v>54</v>
      </c>
      <c r="Z1512" s="8" t="s">
        <v>54</v>
      </c>
      <c r="AA1512" s="8" t="s">
        <v>54</v>
      </c>
      <c r="AB1512" s="10" t="s">
        <v>67</v>
      </c>
      <c r="AC1512" s="8" t="s">
        <v>54</v>
      </c>
      <c r="AD1512" s="8" t="s">
        <v>54</v>
      </c>
      <c r="AE1512" s="8" t="s">
        <v>54</v>
      </c>
      <c r="AF1512" s="8" t="s">
        <v>54</v>
      </c>
      <c r="AG1512" s="8" t="s">
        <v>54</v>
      </c>
      <c r="AH1512" s="8" t="s">
        <v>54</v>
      </c>
      <c r="AI1512" s="10" t="s">
        <v>67</v>
      </c>
      <c r="AJ1512" s="8">
        <f>COUNTIF($E$1512:$AI$1512,"P")</f>
        <v>26</v>
      </c>
      <c r="AK1512" s="8">
        <f>COUNTIF($E$1512:$AI$1512,"A")</f>
        <v>0</v>
      </c>
      <c r="AL1512" s="8">
        <f>SUM($E$1513:$AI$1513)</f>
        <v>50</v>
      </c>
      <c r="AM1512" s="8">
        <f>SUM($E$1514:$AI$1514)</f>
        <v>37</v>
      </c>
      <c r="AN1512" s="8">
        <f>AL1512+AM1512</f>
        <v>87</v>
      </c>
      <c r="AO1512" s="8">
        <f>COUNTIF($E$1512:$AI$1512,"CL")</f>
        <v>0</v>
      </c>
      <c r="AP1512" s="8">
        <f>COUNTIF($E$1512:$AI$1512,"SL")</f>
        <v>0</v>
      </c>
      <c r="AQ1512" s="8">
        <f>COUNTIF($E$1512:$AI$1512,"EL")</f>
        <v>0</v>
      </c>
      <c r="AR1512" s="8">
        <f>COUNTIF($E$1512:$AI$1512,"H")</f>
        <v>0</v>
      </c>
      <c r="AS1512" s="8"/>
      <c r="AT1512" s="11" t="s">
        <v>251</v>
      </c>
    </row>
    <row r="1513" spans="1:46" ht="15.1" customHeight="1">
      <c r="A1513" s="8"/>
      <c r="B1513" s="9"/>
      <c r="C1513" s="8"/>
      <c r="D1513" s="9"/>
      <c r="E1513" s="8">
        <v>2</v>
      </c>
      <c r="F1513" s="8">
        <v>2</v>
      </c>
      <c r="G1513" s="8">
        <v>0</v>
      </c>
      <c r="H1513" s="8">
        <v>2</v>
      </c>
      <c r="I1513" s="8">
        <v>2</v>
      </c>
      <c r="J1513" s="8">
        <v>2</v>
      </c>
      <c r="K1513" s="8">
        <v>2</v>
      </c>
      <c r="L1513" s="8">
        <v>2</v>
      </c>
      <c r="M1513" s="8">
        <v>2</v>
      </c>
      <c r="N1513" s="8">
        <v>0</v>
      </c>
      <c r="O1513" s="8">
        <v>2</v>
      </c>
      <c r="P1513" s="8">
        <v>2</v>
      </c>
      <c r="Q1513" s="8">
        <v>2</v>
      </c>
      <c r="R1513" s="8">
        <v>2</v>
      </c>
      <c r="S1513" s="8">
        <v>2</v>
      </c>
      <c r="T1513" s="8">
        <v>2</v>
      </c>
      <c r="U1513" s="8">
        <v>0</v>
      </c>
      <c r="V1513" s="8">
        <v>2</v>
      </c>
      <c r="W1513" s="8">
        <v>2</v>
      </c>
      <c r="X1513" s="8">
        <v>2</v>
      </c>
      <c r="Y1513" s="8">
        <v>2</v>
      </c>
      <c r="Z1513" s="8">
        <v>0</v>
      </c>
      <c r="AA1513" s="8">
        <v>2</v>
      </c>
      <c r="AB1513" s="8">
        <v>0</v>
      </c>
      <c r="AC1513" s="8">
        <v>2</v>
      </c>
      <c r="AD1513" s="8">
        <v>2</v>
      </c>
      <c r="AE1513" s="8">
        <v>2</v>
      </c>
      <c r="AF1513" s="8">
        <v>2</v>
      </c>
      <c r="AG1513" s="8">
        <v>2</v>
      </c>
      <c r="AH1513" s="8">
        <v>2</v>
      </c>
      <c r="AI1513" s="8">
        <v>0</v>
      </c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11" t="s">
        <v>251</v>
      </c>
    </row>
    <row r="1514" spans="1:46" ht="15.1" customHeight="1">
      <c r="A1514" s="8"/>
      <c r="B1514" s="9"/>
      <c r="C1514" s="8"/>
      <c r="D1514" s="9"/>
      <c r="E1514" s="8">
        <v>1</v>
      </c>
      <c r="F1514" s="8">
        <v>1</v>
      </c>
      <c r="G1514" s="8">
        <v>0</v>
      </c>
      <c r="H1514" s="8">
        <v>1</v>
      </c>
      <c r="I1514" s="8">
        <v>1</v>
      </c>
      <c r="J1514" s="8">
        <v>1</v>
      </c>
      <c r="K1514" s="8">
        <v>1</v>
      </c>
      <c r="L1514" s="8">
        <v>1</v>
      </c>
      <c r="M1514" s="8">
        <v>1</v>
      </c>
      <c r="N1514" s="8">
        <v>12</v>
      </c>
      <c r="O1514" s="8">
        <v>1</v>
      </c>
      <c r="P1514" s="8">
        <v>1</v>
      </c>
      <c r="Q1514" s="8">
        <v>1</v>
      </c>
      <c r="R1514" s="8">
        <v>1</v>
      </c>
      <c r="S1514" s="8">
        <v>1</v>
      </c>
      <c r="T1514" s="8">
        <v>1</v>
      </c>
      <c r="U1514" s="8">
        <v>0</v>
      </c>
      <c r="V1514" s="8">
        <v>1</v>
      </c>
      <c r="W1514" s="8">
        <v>1</v>
      </c>
      <c r="X1514" s="8">
        <v>1</v>
      </c>
      <c r="Y1514" s="8">
        <v>1</v>
      </c>
      <c r="Z1514" s="8">
        <v>0</v>
      </c>
      <c r="AA1514" s="8">
        <v>1</v>
      </c>
      <c r="AB1514" s="8">
        <v>0</v>
      </c>
      <c r="AC1514" s="8">
        <v>1</v>
      </c>
      <c r="AD1514" s="8">
        <v>1</v>
      </c>
      <c r="AE1514" s="8">
        <v>1</v>
      </c>
      <c r="AF1514" s="8">
        <v>1</v>
      </c>
      <c r="AG1514" s="8">
        <v>1</v>
      </c>
      <c r="AH1514" s="8">
        <v>1</v>
      </c>
      <c r="AI1514" s="8">
        <v>0</v>
      </c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11" t="s">
        <v>251</v>
      </c>
    </row>
    <row r="1515" spans="1:46" ht="15.1" customHeight="1">
      <c r="A1515" s="8">
        <v>504</v>
      </c>
      <c r="B1515" s="9" t="s">
        <v>1258</v>
      </c>
      <c r="C1515" s="8" t="s">
        <v>1259</v>
      </c>
      <c r="D1515" s="9" t="s">
        <v>451</v>
      </c>
      <c r="E1515" s="8" t="s">
        <v>54</v>
      </c>
      <c r="F1515" s="8" t="s">
        <v>54</v>
      </c>
      <c r="G1515" s="10" t="s">
        <v>67</v>
      </c>
      <c r="H1515" s="8" t="s">
        <v>54</v>
      </c>
      <c r="I1515" s="8" t="s">
        <v>54</v>
      </c>
      <c r="J1515" s="8" t="s">
        <v>54</v>
      </c>
      <c r="K1515" s="8" t="s">
        <v>54</v>
      </c>
      <c r="L1515" s="8" t="s">
        <v>54</v>
      </c>
      <c r="M1515" s="8" t="s">
        <v>54</v>
      </c>
      <c r="N1515" s="10" t="s">
        <v>67</v>
      </c>
      <c r="O1515" s="8" t="s">
        <v>54</v>
      </c>
      <c r="P1515" s="8" t="s">
        <v>54</v>
      </c>
      <c r="Q1515" s="8" t="s">
        <v>54</v>
      </c>
      <c r="R1515" s="8" t="s">
        <v>54</v>
      </c>
      <c r="S1515" s="8" t="s">
        <v>54</v>
      </c>
      <c r="T1515" s="8" t="s">
        <v>54</v>
      </c>
      <c r="U1515" s="10" t="s">
        <v>67</v>
      </c>
      <c r="V1515" s="8" t="s">
        <v>54</v>
      </c>
      <c r="W1515" s="8" t="s">
        <v>54</v>
      </c>
      <c r="X1515" s="8" t="s">
        <v>54</v>
      </c>
      <c r="Y1515" s="8" t="s">
        <v>54</v>
      </c>
      <c r="Z1515" s="8" t="s">
        <v>54</v>
      </c>
      <c r="AA1515" s="8" t="s">
        <v>54</v>
      </c>
      <c r="AB1515" s="10" t="s">
        <v>67</v>
      </c>
      <c r="AC1515" s="8" t="s">
        <v>54</v>
      </c>
      <c r="AD1515" s="8" t="s">
        <v>54</v>
      </c>
      <c r="AE1515" s="8" t="s">
        <v>54</v>
      </c>
      <c r="AF1515" s="8" t="s">
        <v>54</v>
      </c>
      <c r="AG1515" s="8" t="s">
        <v>54</v>
      </c>
      <c r="AH1515" s="8" t="s">
        <v>54</v>
      </c>
      <c r="AI1515" s="10" t="s">
        <v>67</v>
      </c>
      <c r="AJ1515" s="8">
        <f>COUNTIF($E$1515:$AI$1515,"P")</f>
        <v>26</v>
      </c>
      <c r="AK1515" s="8">
        <f>COUNTIF($E$1515:$AI$1515,"A")</f>
        <v>0</v>
      </c>
      <c r="AL1515" s="8">
        <f>SUM($E$1516:$AI$1516)</f>
        <v>50</v>
      </c>
      <c r="AM1515" s="8">
        <f>SUM($E$1517:$AI$1517)</f>
        <v>25</v>
      </c>
      <c r="AN1515" s="8">
        <f>AL1515+AM1515</f>
        <v>75</v>
      </c>
      <c r="AO1515" s="8">
        <f>COUNTIF($E$1515:$AI$1515,"CL")</f>
        <v>0</v>
      </c>
      <c r="AP1515" s="8">
        <f>COUNTIF($E$1515:$AI$1515,"SL")</f>
        <v>0</v>
      </c>
      <c r="AQ1515" s="8">
        <f>COUNTIF($E$1515:$AI$1515,"EL")</f>
        <v>0</v>
      </c>
      <c r="AR1515" s="8">
        <f>COUNTIF($E$1515:$AI$1515,"H")</f>
        <v>0</v>
      </c>
      <c r="AS1515" s="8"/>
      <c r="AT1515" s="11" t="s">
        <v>251</v>
      </c>
    </row>
    <row r="1516" spans="1:46" ht="15.1" customHeight="1">
      <c r="A1516" s="8"/>
      <c r="B1516" s="9"/>
      <c r="C1516" s="8"/>
      <c r="D1516" s="9"/>
      <c r="E1516" s="8">
        <v>2</v>
      </c>
      <c r="F1516" s="8">
        <v>2</v>
      </c>
      <c r="G1516" s="8">
        <v>0</v>
      </c>
      <c r="H1516" s="8">
        <v>2</v>
      </c>
      <c r="I1516" s="8">
        <v>2</v>
      </c>
      <c r="J1516" s="8">
        <v>2</v>
      </c>
      <c r="K1516" s="8">
        <v>2</v>
      </c>
      <c r="L1516" s="8">
        <v>2</v>
      </c>
      <c r="M1516" s="8">
        <v>0</v>
      </c>
      <c r="N1516" s="8">
        <v>0</v>
      </c>
      <c r="O1516" s="8">
        <v>2</v>
      </c>
      <c r="P1516" s="8">
        <v>2</v>
      </c>
      <c r="Q1516" s="8">
        <v>2</v>
      </c>
      <c r="R1516" s="8">
        <v>2</v>
      </c>
      <c r="S1516" s="8">
        <v>2</v>
      </c>
      <c r="T1516" s="8">
        <v>2</v>
      </c>
      <c r="U1516" s="8">
        <v>0</v>
      </c>
      <c r="V1516" s="8">
        <v>2</v>
      </c>
      <c r="W1516" s="8">
        <v>2</v>
      </c>
      <c r="X1516" s="8">
        <v>2</v>
      </c>
      <c r="Y1516" s="8">
        <v>2</v>
      </c>
      <c r="Z1516" s="8">
        <v>2</v>
      </c>
      <c r="AA1516" s="8">
        <v>2</v>
      </c>
      <c r="AB1516" s="8">
        <v>0</v>
      </c>
      <c r="AC1516" s="8">
        <v>2</v>
      </c>
      <c r="AD1516" s="8">
        <v>2</v>
      </c>
      <c r="AE1516" s="8">
        <v>2</v>
      </c>
      <c r="AF1516" s="8">
        <v>2</v>
      </c>
      <c r="AG1516" s="8">
        <v>2</v>
      </c>
      <c r="AH1516" s="8">
        <v>2</v>
      </c>
      <c r="AI1516" s="8">
        <v>0</v>
      </c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11" t="s">
        <v>251</v>
      </c>
    </row>
    <row r="1517" spans="1:46" ht="15.1" customHeight="1">
      <c r="A1517" s="8"/>
      <c r="B1517" s="9"/>
      <c r="C1517" s="8"/>
      <c r="D1517" s="9"/>
      <c r="E1517" s="8">
        <v>1</v>
      </c>
      <c r="F1517" s="8">
        <v>1</v>
      </c>
      <c r="G1517" s="8">
        <v>0</v>
      </c>
      <c r="H1517" s="8">
        <v>1</v>
      </c>
      <c r="I1517" s="8">
        <v>1</v>
      </c>
      <c r="J1517" s="8">
        <v>1</v>
      </c>
      <c r="K1517" s="8">
        <v>1</v>
      </c>
      <c r="L1517" s="8">
        <v>1</v>
      </c>
      <c r="M1517" s="8">
        <v>0</v>
      </c>
      <c r="N1517" s="8">
        <v>0</v>
      </c>
      <c r="O1517" s="8">
        <v>1</v>
      </c>
      <c r="P1517" s="8">
        <v>1</v>
      </c>
      <c r="Q1517" s="8">
        <v>1</v>
      </c>
      <c r="R1517" s="8">
        <v>1</v>
      </c>
      <c r="S1517" s="8">
        <v>1</v>
      </c>
      <c r="T1517" s="8">
        <v>1</v>
      </c>
      <c r="U1517" s="8">
        <v>0</v>
      </c>
      <c r="V1517" s="8">
        <v>1</v>
      </c>
      <c r="W1517" s="8">
        <v>1</v>
      </c>
      <c r="X1517" s="8">
        <v>1</v>
      </c>
      <c r="Y1517" s="8">
        <v>1</v>
      </c>
      <c r="Z1517" s="8">
        <v>1</v>
      </c>
      <c r="AA1517" s="8">
        <v>1</v>
      </c>
      <c r="AB1517" s="8">
        <v>0</v>
      </c>
      <c r="AC1517" s="8">
        <v>1</v>
      </c>
      <c r="AD1517" s="8">
        <v>1</v>
      </c>
      <c r="AE1517" s="8">
        <v>1</v>
      </c>
      <c r="AF1517" s="8">
        <v>1</v>
      </c>
      <c r="AG1517" s="8">
        <v>1</v>
      </c>
      <c r="AH1517" s="8">
        <v>1</v>
      </c>
      <c r="AI1517" s="8">
        <v>0</v>
      </c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11" t="s">
        <v>251</v>
      </c>
    </row>
    <row r="1518" spans="1:46" ht="15.1" customHeight="1">
      <c r="A1518" s="8">
        <v>505</v>
      </c>
      <c r="B1518" s="9" t="s">
        <v>1260</v>
      </c>
      <c r="C1518" s="8" t="s">
        <v>1261</v>
      </c>
      <c r="D1518" s="9" t="s">
        <v>451</v>
      </c>
      <c r="E1518" s="8" t="s">
        <v>54</v>
      </c>
      <c r="F1518" s="8" t="s">
        <v>54</v>
      </c>
      <c r="G1518" s="10" t="s">
        <v>67</v>
      </c>
      <c r="H1518" s="8" t="s">
        <v>54</v>
      </c>
      <c r="I1518" s="8" t="s">
        <v>54</v>
      </c>
      <c r="J1518" s="8" t="s">
        <v>54</v>
      </c>
      <c r="K1518" s="8" t="s">
        <v>54</v>
      </c>
      <c r="L1518" s="8" t="s">
        <v>54</v>
      </c>
      <c r="M1518" s="8" t="s">
        <v>54</v>
      </c>
      <c r="N1518" s="10" t="s">
        <v>67</v>
      </c>
      <c r="O1518" s="8" t="s">
        <v>54</v>
      </c>
      <c r="P1518" s="8" t="s">
        <v>54</v>
      </c>
      <c r="Q1518" s="8" t="s">
        <v>54</v>
      </c>
      <c r="R1518" s="8" t="s">
        <v>54</v>
      </c>
      <c r="S1518" s="8" t="s">
        <v>54</v>
      </c>
      <c r="T1518" s="8" t="s">
        <v>54</v>
      </c>
      <c r="U1518" s="10" t="s">
        <v>67</v>
      </c>
      <c r="V1518" s="8" t="s">
        <v>54</v>
      </c>
      <c r="W1518" s="8" t="s">
        <v>54</v>
      </c>
      <c r="X1518" s="8" t="s">
        <v>54</v>
      </c>
      <c r="Y1518" s="8" t="s">
        <v>54</v>
      </c>
      <c r="Z1518" s="8" t="s">
        <v>54</v>
      </c>
      <c r="AA1518" s="8" t="s">
        <v>54</v>
      </c>
      <c r="AB1518" s="10" t="s">
        <v>67</v>
      </c>
      <c r="AC1518" s="12" t="s">
        <v>55</v>
      </c>
      <c r="AD1518" s="12" t="s">
        <v>55</v>
      </c>
      <c r="AE1518" s="12" t="s">
        <v>55</v>
      </c>
      <c r="AF1518" s="12" t="s">
        <v>55</v>
      </c>
      <c r="AG1518" s="12" t="s">
        <v>55</v>
      </c>
      <c r="AH1518" s="12" t="s">
        <v>55</v>
      </c>
      <c r="AI1518" s="10" t="s">
        <v>67</v>
      </c>
      <c r="AJ1518" s="8">
        <f>COUNTIF($E$1518:$AI$1518,"P")</f>
        <v>20</v>
      </c>
      <c r="AK1518" s="8">
        <f>COUNTIF($E$1518:$AI$1518,"A")</f>
        <v>6</v>
      </c>
      <c r="AL1518" s="8">
        <f>SUM($E$1519:$AI$1519)</f>
        <v>38</v>
      </c>
      <c r="AM1518" s="8">
        <f>SUM($E$1520:$AI$1520)</f>
        <v>19</v>
      </c>
      <c r="AN1518" s="8">
        <f>AL1518+AM1518</f>
        <v>57</v>
      </c>
      <c r="AO1518" s="8">
        <f>COUNTIF($E$1518:$AI$1518,"CL")</f>
        <v>0</v>
      </c>
      <c r="AP1518" s="8">
        <f>COUNTIF($E$1518:$AI$1518,"SL")</f>
        <v>0</v>
      </c>
      <c r="AQ1518" s="8">
        <f>COUNTIF($E$1518:$AI$1518,"EL")</f>
        <v>0</v>
      </c>
      <c r="AR1518" s="8">
        <f>COUNTIF($E$1518:$AI$1518,"H")</f>
        <v>0</v>
      </c>
      <c r="AS1518" s="8"/>
      <c r="AT1518" s="11" t="s">
        <v>251</v>
      </c>
    </row>
    <row r="1519" spans="1:46" ht="15.1" customHeight="1">
      <c r="A1519" s="8"/>
      <c r="B1519" s="9"/>
      <c r="C1519" s="8"/>
      <c r="D1519" s="9"/>
      <c r="E1519" s="8">
        <v>2</v>
      </c>
      <c r="F1519" s="8">
        <v>2</v>
      </c>
      <c r="G1519" s="8">
        <v>0</v>
      </c>
      <c r="H1519" s="8">
        <v>2</v>
      </c>
      <c r="I1519" s="8">
        <v>2</v>
      </c>
      <c r="J1519" s="8">
        <v>0</v>
      </c>
      <c r="K1519" s="8">
        <v>2</v>
      </c>
      <c r="L1519" s="8">
        <v>2</v>
      </c>
      <c r="M1519" s="8">
        <v>2</v>
      </c>
      <c r="N1519" s="8">
        <v>0</v>
      </c>
      <c r="O1519" s="8">
        <v>2</v>
      </c>
      <c r="P1519" s="8">
        <v>2</v>
      </c>
      <c r="Q1519" s="8">
        <v>2</v>
      </c>
      <c r="R1519" s="8">
        <v>2</v>
      </c>
      <c r="S1519" s="8">
        <v>2</v>
      </c>
      <c r="T1519" s="8">
        <v>2</v>
      </c>
      <c r="U1519" s="8">
        <v>0</v>
      </c>
      <c r="V1519" s="8">
        <v>2</v>
      </c>
      <c r="W1519" s="8">
        <v>2</v>
      </c>
      <c r="X1519" s="8">
        <v>2</v>
      </c>
      <c r="Y1519" s="8">
        <v>2</v>
      </c>
      <c r="Z1519" s="8">
        <v>2</v>
      </c>
      <c r="AA1519" s="8">
        <v>2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11" t="s">
        <v>251</v>
      </c>
    </row>
    <row r="1520" spans="1:46" ht="15.1" customHeight="1">
      <c r="A1520" s="8"/>
      <c r="B1520" s="9"/>
      <c r="C1520" s="8"/>
      <c r="D1520" s="9"/>
      <c r="E1520" s="8">
        <v>1</v>
      </c>
      <c r="F1520" s="8">
        <v>1</v>
      </c>
      <c r="G1520" s="8">
        <v>0</v>
      </c>
      <c r="H1520" s="8">
        <v>1</v>
      </c>
      <c r="I1520" s="8">
        <v>1</v>
      </c>
      <c r="J1520" s="8">
        <v>0</v>
      </c>
      <c r="K1520" s="8">
        <v>1</v>
      </c>
      <c r="L1520" s="8">
        <v>1</v>
      </c>
      <c r="M1520" s="8">
        <v>1</v>
      </c>
      <c r="N1520" s="8">
        <v>0</v>
      </c>
      <c r="O1520" s="8">
        <v>1</v>
      </c>
      <c r="P1520" s="8">
        <v>1</v>
      </c>
      <c r="Q1520" s="8">
        <v>1</v>
      </c>
      <c r="R1520" s="8">
        <v>1</v>
      </c>
      <c r="S1520" s="8">
        <v>1</v>
      </c>
      <c r="T1520" s="8">
        <v>1</v>
      </c>
      <c r="U1520" s="8">
        <v>0</v>
      </c>
      <c r="V1520" s="8">
        <v>1</v>
      </c>
      <c r="W1520" s="8">
        <v>1</v>
      </c>
      <c r="X1520" s="8">
        <v>1</v>
      </c>
      <c r="Y1520" s="8">
        <v>1</v>
      </c>
      <c r="Z1520" s="8">
        <v>1</v>
      </c>
      <c r="AA1520" s="8">
        <v>1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  <c r="AH1520" s="8">
        <v>0</v>
      </c>
      <c r="AI1520" s="8">
        <v>0</v>
      </c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11" t="s">
        <v>251</v>
      </c>
    </row>
    <row r="1521" spans="1:46" ht="15.1" customHeight="1">
      <c r="A1521" s="8">
        <v>506</v>
      </c>
      <c r="B1521" s="9" t="s">
        <v>1262</v>
      </c>
      <c r="C1521" s="8" t="s">
        <v>1263</v>
      </c>
      <c r="D1521" s="9" t="s">
        <v>451</v>
      </c>
      <c r="E1521" s="8" t="s">
        <v>54</v>
      </c>
      <c r="F1521" s="8" t="s">
        <v>54</v>
      </c>
      <c r="G1521" s="10" t="s">
        <v>67</v>
      </c>
      <c r="H1521" s="8" t="s">
        <v>54</v>
      </c>
      <c r="I1521" s="8" t="s">
        <v>54</v>
      </c>
      <c r="J1521" s="8" t="s">
        <v>54</v>
      </c>
      <c r="K1521" s="8" t="s">
        <v>54</v>
      </c>
      <c r="L1521" s="8" t="s">
        <v>54</v>
      </c>
      <c r="M1521" s="8" t="s">
        <v>54</v>
      </c>
      <c r="N1521" s="10" t="s">
        <v>67</v>
      </c>
      <c r="O1521" s="8" t="s">
        <v>54</v>
      </c>
      <c r="P1521" s="8" t="s">
        <v>54</v>
      </c>
      <c r="Q1521" s="8" t="s">
        <v>54</v>
      </c>
      <c r="R1521" s="8" t="s">
        <v>54</v>
      </c>
      <c r="S1521" s="8" t="s">
        <v>54</v>
      </c>
      <c r="T1521" s="8" t="s">
        <v>54</v>
      </c>
      <c r="U1521" s="10" t="s">
        <v>67</v>
      </c>
      <c r="V1521" s="8" t="s">
        <v>54</v>
      </c>
      <c r="W1521" s="8" t="s">
        <v>54</v>
      </c>
      <c r="X1521" s="8" t="s">
        <v>54</v>
      </c>
      <c r="Y1521" s="8" t="s">
        <v>54</v>
      </c>
      <c r="Z1521" s="8" t="s">
        <v>54</v>
      </c>
      <c r="AA1521" s="8" t="s">
        <v>54</v>
      </c>
      <c r="AB1521" s="10" t="s">
        <v>67</v>
      </c>
      <c r="AC1521" s="8" t="s">
        <v>54</v>
      </c>
      <c r="AD1521" s="8" t="s">
        <v>54</v>
      </c>
      <c r="AE1521" s="8" t="s">
        <v>54</v>
      </c>
      <c r="AF1521" s="8" t="s">
        <v>54</v>
      </c>
      <c r="AG1521" s="8" t="s">
        <v>54</v>
      </c>
      <c r="AH1521" s="8" t="s">
        <v>54</v>
      </c>
      <c r="AI1521" s="10" t="s">
        <v>67</v>
      </c>
      <c r="AJ1521" s="8">
        <f>COUNTIF($E$1521:$AI$1521,"P")</f>
        <v>26</v>
      </c>
      <c r="AK1521" s="8">
        <f>COUNTIF($E$1521:$AI$1521,"A")</f>
        <v>0</v>
      </c>
      <c r="AL1521" s="8">
        <f>SUM($E$1522:$AI$1522)</f>
        <v>50</v>
      </c>
      <c r="AM1521" s="8">
        <f>SUM($E$1523:$AI$1523)</f>
        <v>25</v>
      </c>
      <c r="AN1521" s="8">
        <f>AL1521+AM1521</f>
        <v>75</v>
      </c>
      <c r="AO1521" s="8">
        <f>COUNTIF($E$1521:$AI$1521,"CL")</f>
        <v>0</v>
      </c>
      <c r="AP1521" s="8">
        <f>COUNTIF($E$1521:$AI$1521,"SL")</f>
        <v>0</v>
      </c>
      <c r="AQ1521" s="8">
        <f>COUNTIF($E$1521:$AI$1521,"EL")</f>
        <v>0</v>
      </c>
      <c r="AR1521" s="8">
        <f>COUNTIF($E$1521:$AI$1521,"H")</f>
        <v>0</v>
      </c>
      <c r="AS1521" s="8"/>
      <c r="AT1521" s="11" t="s">
        <v>251</v>
      </c>
    </row>
    <row r="1522" spans="1:46" ht="15.1" customHeight="1">
      <c r="A1522" s="8"/>
      <c r="B1522" s="9"/>
      <c r="C1522" s="8"/>
      <c r="D1522" s="9"/>
      <c r="E1522" s="8">
        <v>2</v>
      </c>
      <c r="F1522" s="8">
        <v>2</v>
      </c>
      <c r="G1522" s="8">
        <v>0</v>
      </c>
      <c r="H1522" s="8">
        <v>2</v>
      </c>
      <c r="I1522" s="8">
        <v>2</v>
      </c>
      <c r="J1522" s="8">
        <v>2</v>
      </c>
      <c r="K1522" s="8">
        <v>2</v>
      </c>
      <c r="L1522" s="8">
        <v>2</v>
      </c>
      <c r="M1522" s="8">
        <v>2</v>
      </c>
      <c r="N1522" s="8">
        <v>0</v>
      </c>
      <c r="O1522" s="8">
        <v>2</v>
      </c>
      <c r="P1522" s="8">
        <v>2</v>
      </c>
      <c r="Q1522" s="8">
        <v>2</v>
      </c>
      <c r="R1522" s="8">
        <v>2</v>
      </c>
      <c r="S1522" s="8">
        <v>2</v>
      </c>
      <c r="T1522" s="8">
        <v>2</v>
      </c>
      <c r="U1522" s="8">
        <v>0</v>
      </c>
      <c r="V1522" s="8">
        <v>2</v>
      </c>
      <c r="W1522" s="8">
        <v>2</v>
      </c>
      <c r="X1522" s="8">
        <v>2</v>
      </c>
      <c r="Y1522" s="8">
        <v>2</v>
      </c>
      <c r="Z1522" s="8">
        <v>0</v>
      </c>
      <c r="AA1522" s="8">
        <v>2</v>
      </c>
      <c r="AB1522" s="8">
        <v>0</v>
      </c>
      <c r="AC1522" s="8">
        <v>2</v>
      </c>
      <c r="AD1522" s="8">
        <v>2</v>
      </c>
      <c r="AE1522" s="8">
        <v>2</v>
      </c>
      <c r="AF1522" s="8">
        <v>2</v>
      </c>
      <c r="AG1522" s="8">
        <v>2</v>
      </c>
      <c r="AH1522" s="8">
        <v>2</v>
      </c>
      <c r="AI1522" s="8">
        <v>0</v>
      </c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11" t="s">
        <v>251</v>
      </c>
    </row>
    <row r="1523" spans="1:46" ht="15.1" customHeight="1">
      <c r="A1523" s="8"/>
      <c r="B1523" s="9"/>
      <c r="C1523" s="8"/>
      <c r="D1523" s="9"/>
      <c r="E1523" s="8">
        <v>1</v>
      </c>
      <c r="F1523" s="8">
        <v>1</v>
      </c>
      <c r="G1523" s="8">
        <v>0</v>
      </c>
      <c r="H1523" s="8">
        <v>1</v>
      </c>
      <c r="I1523" s="8">
        <v>1</v>
      </c>
      <c r="J1523" s="8">
        <v>1</v>
      </c>
      <c r="K1523" s="8">
        <v>1</v>
      </c>
      <c r="L1523" s="8">
        <v>1</v>
      </c>
      <c r="M1523" s="8">
        <v>1</v>
      </c>
      <c r="N1523" s="8">
        <v>0</v>
      </c>
      <c r="O1523" s="8">
        <v>1</v>
      </c>
      <c r="P1523" s="8">
        <v>1</v>
      </c>
      <c r="Q1523" s="8">
        <v>1</v>
      </c>
      <c r="R1523" s="8">
        <v>1</v>
      </c>
      <c r="S1523" s="8">
        <v>1</v>
      </c>
      <c r="T1523" s="8">
        <v>1</v>
      </c>
      <c r="U1523" s="8">
        <v>0</v>
      </c>
      <c r="V1523" s="8">
        <v>1</v>
      </c>
      <c r="W1523" s="8">
        <v>1</v>
      </c>
      <c r="X1523" s="8">
        <v>1</v>
      </c>
      <c r="Y1523" s="8">
        <v>1</v>
      </c>
      <c r="Z1523" s="8">
        <v>0</v>
      </c>
      <c r="AA1523" s="8">
        <v>1</v>
      </c>
      <c r="AB1523" s="8">
        <v>0</v>
      </c>
      <c r="AC1523" s="8">
        <v>1</v>
      </c>
      <c r="AD1523" s="8">
        <v>1</v>
      </c>
      <c r="AE1523" s="8">
        <v>1</v>
      </c>
      <c r="AF1523" s="8">
        <v>1</v>
      </c>
      <c r="AG1523" s="8">
        <v>1</v>
      </c>
      <c r="AH1523" s="8">
        <v>1</v>
      </c>
      <c r="AI1523" s="8">
        <v>0</v>
      </c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11" t="s">
        <v>251</v>
      </c>
    </row>
    <row r="1524" spans="1:46" ht="15.1" customHeight="1">
      <c r="A1524" s="8">
        <v>507</v>
      </c>
      <c r="B1524" s="9" t="s">
        <v>1264</v>
      </c>
      <c r="C1524" s="8" t="s">
        <v>1265</v>
      </c>
      <c r="D1524" s="9" t="s">
        <v>451</v>
      </c>
      <c r="E1524" s="8" t="s">
        <v>54</v>
      </c>
      <c r="F1524" s="8" t="s">
        <v>54</v>
      </c>
      <c r="G1524" s="10" t="s">
        <v>67</v>
      </c>
      <c r="H1524" s="8" t="s">
        <v>54</v>
      </c>
      <c r="I1524" s="8" t="s">
        <v>54</v>
      </c>
      <c r="J1524" s="8" t="s">
        <v>54</v>
      </c>
      <c r="K1524" s="8" t="s">
        <v>54</v>
      </c>
      <c r="L1524" s="8" t="s">
        <v>54</v>
      </c>
      <c r="M1524" s="8" t="s">
        <v>54</v>
      </c>
      <c r="N1524" s="10" t="s">
        <v>67</v>
      </c>
      <c r="O1524" s="8" t="s">
        <v>54</v>
      </c>
      <c r="P1524" s="8" t="s">
        <v>54</v>
      </c>
      <c r="Q1524" s="8" t="s">
        <v>54</v>
      </c>
      <c r="R1524" s="8" t="s">
        <v>54</v>
      </c>
      <c r="S1524" s="8" t="s">
        <v>54</v>
      </c>
      <c r="T1524" s="8" t="s">
        <v>54</v>
      </c>
      <c r="U1524" s="10" t="s">
        <v>67</v>
      </c>
      <c r="V1524" s="8" t="s">
        <v>54</v>
      </c>
      <c r="W1524" s="8" t="s">
        <v>54</v>
      </c>
      <c r="X1524" s="8" t="s">
        <v>54</v>
      </c>
      <c r="Y1524" s="8" t="s">
        <v>54</v>
      </c>
      <c r="Z1524" s="8" t="s">
        <v>54</v>
      </c>
      <c r="AA1524" s="8" t="s">
        <v>54</v>
      </c>
      <c r="AB1524" s="10" t="s">
        <v>67</v>
      </c>
      <c r="AC1524" s="8" t="s">
        <v>54</v>
      </c>
      <c r="AD1524" s="8" t="s">
        <v>54</v>
      </c>
      <c r="AE1524" s="8" t="s">
        <v>54</v>
      </c>
      <c r="AF1524" s="8" t="s">
        <v>54</v>
      </c>
      <c r="AG1524" s="8" t="s">
        <v>54</v>
      </c>
      <c r="AH1524" s="8" t="s">
        <v>54</v>
      </c>
      <c r="AI1524" s="10" t="s">
        <v>67</v>
      </c>
      <c r="AJ1524" s="8">
        <f>COUNTIF($E$1524:$AI$1524,"P")</f>
        <v>26</v>
      </c>
      <c r="AK1524" s="8">
        <f>COUNTIF($E$1524:$AI$1524,"A")</f>
        <v>0</v>
      </c>
      <c r="AL1524" s="8">
        <f>SUM($E$1525:$AI$1525)</f>
        <v>52</v>
      </c>
      <c r="AM1524" s="8">
        <f>SUM($E$1526:$AI$1526)</f>
        <v>26</v>
      </c>
      <c r="AN1524" s="8">
        <f>AL1524+AM1524</f>
        <v>78</v>
      </c>
      <c r="AO1524" s="8">
        <f>COUNTIF($E$1524:$AI$1524,"CL")</f>
        <v>0</v>
      </c>
      <c r="AP1524" s="8">
        <f>COUNTIF($E$1524:$AI$1524,"SL")</f>
        <v>0</v>
      </c>
      <c r="AQ1524" s="8">
        <f>COUNTIF($E$1524:$AI$1524,"EL")</f>
        <v>0</v>
      </c>
      <c r="AR1524" s="8">
        <f>COUNTIF($E$1524:$AI$1524,"H")</f>
        <v>0</v>
      </c>
      <c r="AS1524" s="8"/>
      <c r="AT1524" s="11" t="s">
        <v>251</v>
      </c>
    </row>
    <row r="1525" spans="1:46" ht="15.1" customHeight="1">
      <c r="A1525" s="8"/>
      <c r="B1525" s="9"/>
      <c r="C1525" s="8"/>
      <c r="D1525" s="9"/>
      <c r="E1525" s="8">
        <v>2</v>
      </c>
      <c r="F1525" s="8">
        <v>2</v>
      </c>
      <c r="G1525" s="8">
        <v>0</v>
      </c>
      <c r="H1525" s="8">
        <v>2</v>
      </c>
      <c r="I1525" s="8">
        <v>2</v>
      </c>
      <c r="J1525" s="8">
        <v>2</v>
      </c>
      <c r="K1525" s="8">
        <v>2</v>
      </c>
      <c r="L1525" s="8">
        <v>2</v>
      </c>
      <c r="M1525" s="8">
        <v>2</v>
      </c>
      <c r="N1525" s="8">
        <v>0</v>
      </c>
      <c r="O1525" s="8">
        <v>2</v>
      </c>
      <c r="P1525" s="8">
        <v>2</v>
      </c>
      <c r="Q1525" s="8">
        <v>2</v>
      </c>
      <c r="R1525" s="8">
        <v>2</v>
      </c>
      <c r="S1525" s="8">
        <v>2</v>
      </c>
      <c r="T1525" s="8">
        <v>2</v>
      </c>
      <c r="U1525" s="8">
        <v>0</v>
      </c>
      <c r="V1525" s="8">
        <v>2</v>
      </c>
      <c r="W1525" s="8">
        <v>2</v>
      </c>
      <c r="X1525" s="8">
        <v>2</v>
      </c>
      <c r="Y1525" s="8">
        <v>2</v>
      </c>
      <c r="Z1525" s="8">
        <v>2</v>
      </c>
      <c r="AA1525" s="8">
        <v>2</v>
      </c>
      <c r="AB1525" s="8">
        <v>0</v>
      </c>
      <c r="AC1525" s="8">
        <v>2</v>
      </c>
      <c r="AD1525" s="8">
        <v>2</v>
      </c>
      <c r="AE1525" s="8">
        <v>2</v>
      </c>
      <c r="AF1525" s="8">
        <v>2</v>
      </c>
      <c r="AG1525" s="8">
        <v>2</v>
      </c>
      <c r="AH1525" s="8">
        <v>2</v>
      </c>
      <c r="AI1525" s="8">
        <v>0</v>
      </c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11" t="s">
        <v>251</v>
      </c>
    </row>
    <row r="1526" spans="1:46" ht="15.1" customHeight="1">
      <c r="A1526" s="8"/>
      <c r="B1526" s="9"/>
      <c r="C1526" s="8"/>
      <c r="D1526" s="9"/>
      <c r="E1526" s="8">
        <v>1</v>
      </c>
      <c r="F1526" s="8">
        <v>1</v>
      </c>
      <c r="G1526" s="8">
        <v>0</v>
      </c>
      <c r="H1526" s="8">
        <v>1</v>
      </c>
      <c r="I1526" s="8">
        <v>1</v>
      </c>
      <c r="J1526" s="8">
        <v>1</v>
      </c>
      <c r="K1526" s="8">
        <v>1</v>
      </c>
      <c r="L1526" s="8">
        <v>1</v>
      </c>
      <c r="M1526" s="8">
        <v>1</v>
      </c>
      <c r="N1526" s="8">
        <v>0</v>
      </c>
      <c r="O1526" s="8">
        <v>1</v>
      </c>
      <c r="P1526" s="8">
        <v>1</v>
      </c>
      <c r="Q1526" s="8">
        <v>1</v>
      </c>
      <c r="R1526" s="8">
        <v>1</v>
      </c>
      <c r="S1526" s="8">
        <v>1</v>
      </c>
      <c r="T1526" s="8">
        <v>1</v>
      </c>
      <c r="U1526" s="8">
        <v>0</v>
      </c>
      <c r="V1526" s="8">
        <v>1</v>
      </c>
      <c r="W1526" s="8">
        <v>1</v>
      </c>
      <c r="X1526" s="8">
        <v>1</v>
      </c>
      <c r="Y1526" s="8">
        <v>1</v>
      </c>
      <c r="Z1526" s="8">
        <v>1</v>
      </c>
      <c r="AA1526" s="8">
        <v>1</v>
      </c>
      <c r="AB1526" s="8">
        <v>0</v>
      </c>
      <c r="AC1526" s="8">
        <v>1</v>
      </c>
      <c r="AD1526" s="8">
        <v>1</v>
      </c>
      <c r="AE1526" s="8">
        <v>1</v>
      </c>
      <c r="AF1526" s="8">
        <v>1</v>
      </c>
      <c r="AG1526" s="8">
        <v>1</v>
      </c>
      <c r="AH1526" s="8">
        <v>1</v>
      </c>
      <c r="AI1526" s="8">
        <v>0</v>
      </c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11" t="s">
        <v>251</v>
      </c>
    </row>
    <row r="1527" spans="1:46" ht="15.1" customHeight="1">
      <c r="A1527" s="8">
        <v>508</v>
      </c>
      <c r="B1527" s="9" t="s">
        <v>1266</v>
      </c>
      <c r="C1527" s="8" t="s">
        <v>1267</v>
      </c>
      <c r="D1527" s="9" t="s">
        <v>451</v>
      </c>
      <c r="E1527" s="8" t="s">
        <v>54</v>
      </c>
      <c r="F1527" s="8" t="s">
        <v>54</v>
      </c>
      <c r="G1527" s="10" t="s">
        <v>67</v>
      </c>
      <c r="H1527" s="8" t="s">
        <v>54</v>
      </c>
      <c r="I1527" s="8" t="s">
        <v>54</v>
      </c>
      <c r="J1527" s="8" t="s">
        <v>54</v>
      </c>
      <c r="K1527" s="8" t="s">
        <v>54</v>
      </c>
      <c r="L1527" s="8" t="s">
        <v>54</v>
      </c>
      <c r="M1527" s="8" t="s">
        <v>54</v>
      </c>
      <c r="N1527" s="10" t="s">
        <v>67</v>
      </c>
      <c r="O1527" s="8" t="s">
        <v>54</v>
      </c>
      <c r="P1527" s="8" t="s">
        <v>54</v>
      </c>
      <c r="Q1527" s="8" t="s">
        <v>54</v>
      </c>
      <c r="R1527" s="8" t="s">
        <v>54</v>
      </c>
      <c r="S1527" s="8" t="s">
        <v>54</v>
      </c>
      <c r="T1527" s="8" t="s">
        <v>54</v>
      </c>
      <c r="U1527" s="10" t="s">
        <v>67</v>
      </c>
      <c r="V1527" s="8" t="s">
        <v>54</v>
      </c>
      <c r="W1527" s="8" t="s">
        <v>54</v>
      </c>
      <c r="X1527" s="8" t="s">
        <v>54</v>
      </c>
      <c r="Y1527" s="8" t="s">
        <v>54</v>
      </c>
      <c r="Z1527" s="8" t="s">
        <v>54</v>
      </c>
      <c r="AA1527" s="12" t="s">
        <v>55</v>
      </c>
      <c r="AB1527" s="10" t="s">
        <v>67</v>
      </c>
      <c r="AC1527" s="8" t="s">
        <v>54</v>
      </c>
      <c r="AD1527" s="8" t="s">
        <v>54</v>
      </c>
      <c r="AE1527" s="8" t="s">
        <v>54</v>
      </c>
      <c r="AF1527" s="8" t="s">
        <v>54</v>
      </c>
      <c r="AG1527" s="8" t="s">
        <v>54</v>
      </c>
      <c r="AH1527" s="8" t="s">
        <v>54</v>
      </c>
      <c r="AI1527" s="10" t="s">
        <v>67</v>
      </c>
      <c r="AJ1527" s="8">
        <f>COUNTIF($E$1527:$AI$1527,"P")</f>
        <v>25</v>
      </c>
      <c r="AK1527" s="8">
        <f>COUNTIF($E$1527:$AI$1527,"A")</f>
        <v>1</v>
      </c>
      <c r="AL1527" s="8">
        <f>SUM($E$1528:$AI$1528)</f>
        <v>46</v>
      </c>
      <c r="AM1527" s="8">
        <f>SUM($E$1529:$AI$1529)</f>
        <v>23</v>
      </c>
      <c r="AN1527" s="8">
        <f>AL1527+AM1527</f>
        <v>69</v>
      </c>
      <c r="AO1527" s="8">
        <f>COUNTIF($E$1527:$AI$1527,"CL")</f>
        <v>0</v>
      </c>
      <c r="AP1527" s="8">
        <f>COUNTIF($E$1527:$AI$1527,"SL")</f>
        <v>0</v>
      </c>
      <c r="AQ1527" s="8">
        <f>COUNTIF($E$1527:$AI$1527,"EL")</f>
        <v>0</v>
      </c>
      <c r="AR1527" s="8">
        <f>COUNTIF($E$1527:$AI$1527,"H")</f>
        <v>0</v>
      </c>
      <c r="AS1527" s="8"/>
      <c r="AT1527" s="11" t="s">
        <v>251</v>
      </c>
    </row>
    <row r="1528" spans="1:46" ht="15.1" customHeight="1">
      <c r="A1528" s="8"/>
      <c r="B1528" s="9"/>
      <c r="C1528" s="8"/>
      <c r="D1528" s="9"/>
      <c r="E1528" s="8">
        <v>2</v>
      </c>
      <c r="F1528" s="8">
        <v>0</v>
      </c>
      <c r="G1528" s="8">
        <v>0</v>
      </c>
      <c r="H1528" s="8">
        <v>2</v>
      </c>
      <c r="I1528" s="8">
        <v>2</v>
      </c>
      <c r="J1528" s="8">
        <v>2</v>
      </c>
      <c r="K1528" s="8">
        <v>2</v>
      </c>
      <c r="L1528" s="8">
        <v>2</v>
      </c>
      <c r="M1528" s="8">
        <v>2</v>
      </c>
      <c r="N1528" s="8">
        <v>0</v>
      </c>
      <c r="O1528" s="8">
        <v>2</v>
      </c>
      <c r="P1528" s="8">
        <v>2</v>
      </c>
      <c r="Q1528" s="8">
        <v>2</v>
      </c>
      <c r="R1528" s="8">
        <v>2</v>
      </c>
      <c r="S1528" s="8">
        <v>2</v>
      </c>
      <c r="T1528" s="8">
        <v>2</v>
      </c>
      <c r="U1528" s="8">
        <v>0</v>
      </c>
      <c r="V1528" s="8">
        <v>2</v>
      </c>
      <c r="W1528" s="8">
        <v>2</v>
      </c>
      <c r="X1528" s="8">
        <v>2</v>
      </c>
      <c r="Y1528" s="8">
        <v>2</v>
      </c>
      <c r="Z1528" s="8">
        <v>0</v>
      </c>
      <c r="AA1528" s="8">
        <v>0</v>
      </c>
      <c r="AB1528" s="8">
        <v>0</v>
      </c>
      <c r="AC1528" s="8">
        <v>2</v>
      </c>
      <c r="AD1528" s="8">
        <v>2</v>
      </c>
      <c r="AE1528" s="8">
        <v>2</v>
      </c>
      <c r="AF1528" s="8">
        <v>2</v>
      </c>
      <c r="AG1528" s="8">
        <v>2</v>
      </c>
      <c r="AH1528" s="8">
        <v>2</v>
      </c>
      <c r="AI1528" s="8">
        <v>0</v>
      </c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11" t="s">
        <v>251</v>
      </c>
    </row>
    <row r="1529" spans="1:46" ht="15.1" customHeight="1">
      <c r="A1529" s="8"/>
      <c r="B1529" s="9"/>
      <c r="C1529" s="8"/>
      <c r="D1529" s="9"/>
      <c r="E1529" s="8">
        <v>1</v>
      </c>
      <c r="F1529" s="8">
        <v>0</v>
      </c>
      <c r="G1529" s="8">
        <v>0</v>
      </c>
      <c r="H1529" s="8">
        <v>1</v>
      </c>
      <c r="I1529" s="8">
        <v>1</v>
      </c>
      <c r="J1529" s="8">
        <v>1</v>
      </c>
      <c r="K1529" s="8">
        <v>1</v>
      </c>
      <c r="L1529" s="8">
        <v>1</v>
      </c>
      <c r="M1529" s="8">
        <v>1</v>
      </c>
      <c r="N1529" s="8">
        <v>0</v>
      </c>
      <c r="O1529" s="8">
        <v>1</v>
      </c>
      <c r="P1529" s="8">
        <v>1</v>
      </c>
      <c r="Q1529" s="8">
        <v>1</v>
      </c>
      <c r="R1529" s="8">
        <v>1</v>
      </c>
      <c r="S1529" s="8">
        <v>1</v>
      </c>
      <c r="T1529" s="8">
        <v>1</v>
      </c>
      <c r="U1529" s="8">
        <v>0</v>
      </c>
      <c r="V1529" s="8">
        <v>1</v>
      </c>
      <c r="W1529" s="8">
        <v>1</v>
      </c>
      <c r="X1529" s="8">
        <v>1</v>
      </c>
      <c r="Y1529" s="8">
        <v>1</v>
      </c>
      <c r="Z1529" s="8">
        <v>0</v>
      </c>
      <c r="AA1529" s="8">
        <v>0</v>
      </c>
      <c r="AB1529" s="8">
        <v>0</v>
      </c>
      <c r="AC1529" s="8">
        <v>1</v>
      </c>
      <c r="AD1529" s="8">
        <v>1</v>
      </c>
      <c r="AE1529" s="8">
        <v>1</v>
      </c>
      <c r="AF1529" s="8">
        <v>1</v>
      </c>
      <c r="AG1529" s="8">
        <v>1</v>
      </c>
      <c r="AH1529" s="8">
        <v>1</v>
      </c>
      <c r="AI1529" s="8">
        <v>0</v>
      </c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11" t="s">
        <v>251</v>
      </c>
    </row>
    <row r="1530" spans="1:46" ht="15.1" customHeight="1">
      <c r="A1530" s="8">
        <v>509</v>
      </c>
      <c r="B1530" s="9" t="s">
        <v>1268</v>
      </c>
      <c r="C1530" s="8" t="s">
        <v>1269</v>
      </c>
      <c r="D1530" s="9" t="s">
        <v>451</v>
      </c>
      <c r="E1530" s="8" t="s">
        <v>54</v>
      </c>
      <c r="F1530" s="12" t="s">
        <v>55</v>
      </c>
      <c r="G1530" s="10" t="s">
        <v>67</v>
      </c>
      <c r="H1530" s="12" t="s">
        <v>55</v>
      </c>
      <c r="I1530" s="8" t="s">
        <v>54</v>
      </c>
      <c r="J1530" s="12" t="s">
        <v>55</v>
      </c>
      <c r="K1530" s="8" t="s">
        <v>54</v>
      </c>
      <c r="L1530" s="8" t="s">
        <v>54</v>
      </c>
      <c r="M1530" s="8" t="s">
        <v>54</v>
      </c>
      <c r="N1530" s="10" t="s">
        <v>67</v>
      </c>
      <c r="O1530" s="8" t="s">
        <v>54</v>
      </c>
      <c r="P1530" s="8" t="s">
        <v>54</v>
      </c>
      <c r="Q1530" s="8" t="s">
        <v>54</v>
      </c>
      <c r="R1530" s="8" t="s">
        <v>54</v>
      </c>
      <c r="S1530" s="8" t="s">
        <v>54</v>
      </c>
      <c r="T1530" s="8" t="s">
        <v>54</v>
      </c>
      <c r="U1530" s="10" t="s">
        <v>67</v>
      </c>
      <c r="V1530" s="8" t="s">
        <v>54</v>
      </c>
      <c r="W1530" s="8" t="s">
        <v>54</v>
      </c>
      <c r="X1530" s="8" t="s">
        <v>54</v>
      </c>
      <c r="Y1530" s="8" t="s">
        <v>54</v>
      </c>
      <c r="Z1530" s="8" t="s">
        <v>54</v>
      </c>
      <c r="AA1530" s="8" t="s">
        <v>54</v>
      </c>
      <c r="AB1530" s="10" t="s">
        <v>67</v>
      </c>
      <c r="AC1530" s="8" t="s">
        <v>54</v>
      </c>
      <c r="AD1530" s="8" t="s">
        <v>54</v>
      </c>
      <c r="AE1530" s="8" t="s">
        <v>54</v>
      </c>
      <c r="AF1530" s="8" t="s">
        <v>54</v>
      </c>
      <c r="AG1530" s="8" t="s">
        <v>54</v>
      </c>
      <c r="AH1530" s="8" t="s">
        <v>54</v>
      </c>
      <c r="AI1530" s="10" t="s">
        <v>67</v>
      </c>
      <c r="AJ1530" s="8">
        <f>COUNTIF($E$1530:$AI$1530,"P")</f>
        <v>23</v>
      </c>
      <c r="AK1530" s="8">
        <f>COUNTIF($E$1530:$AI$1530,"A")</f>
        <v>3</v>
      </c>
      <c r="AL1530" s="8">
        <f>SUM($E$1531:$AI$1531)</f>
        <v>44</v>
      </c>
      <c r="AM1530" s="8">
        <f>SUM($E$1532:$AI$1532)</f>
        <v>22</v>
      </c>
      <c r="AN1530" s="8">
        <f>AL1530+AM1530</f>
        <v>66</v>
      </c>
      <c r="AO1530" s="8">
        <f>COUNTIF($E$1530:$AI$1530,"CL")</f>
        <v>0</v>
      </c>
      <c r="AP1530" s="8">
        <f>COUNTIF($E$1530:$AI$1530,"SL")</f>
        <v>0</v>
      </c>
      <c r="AQ1530" s="8">
        <f>COUNTIF($E$1530:$AI$1530,"EL")</f>
        <v>0</v>
      </c>
      <c r="AR1530" s="8">
        <f>COUNTIF($E$1530:$AI$1530,"H")</f>
        <v>0</v>
      </c>
      <c r="AS1530" s="8"/>
      <c r="AT1530" s="11" t="s">
        <v>251</v>
      </c>
    </row>
    <row r="1531" spans="1:46" ht="15.1" customHeight="1">
      <c r="A1531" s="8"/>
      <c r="B1531" s="9"/>
      <c r="C1531" s="8"/>
      <c r="D1531" s="9"/>
      <c r="E1531" s="8">
        <v>2</v>
      </c>
      <c r="F1531" s="8">
        <v>0</v>
      </c>
      <c r="G1531" s="8">
        <v>0</v>
      </c>
      <c r="H1531" s="8">
        <v>0</v>
      </c>
      <c r="I1531" s="8">
        <v>2</v>
      </c>
      <c r="J1531" s="8">
        <v>0</v>
      </c>
      <c r="K1531" s="8">
        <v>2</v>
      </c>
      <c r="L1531" s="8">
        <v>2</v>
      </c>
      <c r="M1531" s="8">
        <v>2</v>
      </c>
      <c r="N1531" s="8">
        <v>0</v>
      </c>
      <c r="O1531" s="8">
        <v>2</v>
      </c>
      <c r="P1531" s="8">
        <v>2</v>
      </c>
      <c r="Q1531" s="8">
        <v>2</v>
      </c>
      <c r="R1531" s="8">
        <v>2</v>
      </c>
      <c r="S1531" s="8">
        <v>2</v>
      </c>
      <c r="T1531" s="8">
        <v>2</v>
      </c>
      <c r="U1531" s="8">
        <v>0</v>
      </c>
      <c r="V1531" s="8">
        <v>2</v>
      </c>
      <c r="W1531" s="8">
        <v>2</v>
      </c>
      <c r="X1531" s="8">
        <v>2</v>
      </c>
      <c r="Y1531" s="8">
        <v>2</v>
      </c>
      <c r="Z1531" s="8">
        <v>0</v>
      </c>
      <c r="AA1531" s="8">
        <v>2</v>
      </c>
      <c r="AB1531" s="8">
        <v>0</v>
      </c>
      <c r="AC1531" s="8">
        <v>2</v>
      </c>
      <c r="AD1531" s="8">
        <v>2</v>
      </c>
      <c r="AE1531" s="8">
        <v>2</v>
      </c>
      <c r="AF1531" s="8">
        <v>2</v>
      </c>
      <c r="AG1531" s="8">
        <v>2</v>
      </c>
      <c r="AH1531" s="8">
        <v>2</v>
      </c>
      <c r="AI1531" s="8">
        <v>0</v>
      </c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11" t="s">
        <v>251</v>
      </c>
    </row>
    <row r="1532" spans="1:46" ht="15.1" customHeight="1">
      <c r="A1532" s="8"/>
      <c r="B1532" s="9"/>
      <c r="C1532" s="8"/>
      <c r="D1532" s="9"/>
      <c r="E1532" s="8">
        <v>1</v>
      </c>
      <c r="F1532" s="8">
        <v>0</v>
      </c>
      <c r="G1532" s="8">
        <v>0</v>
      </c>
      <c r="H1532" s="8">
        <v>0</v>
      </c>
      <c r="I1532" s="8">
        <v>1</v>
      </c>
      <c r="J1532" s="8">
        <v>0</v>
      </c>
      <c r="K1532" s="8">
        <v>1</v>
      </c>
      <c r="L1532" s="8">
        <v>1</v>
      </c>
      <c r="M1532" s="8">
        <v>1</v>
      </c>
      <c r="N1532" s="8">
        <v>0</v>
      </c>
      <c r="O1532" s="8">
        <v>1</v>
      </c>
      <c r="P1532" s="8">
        <v>1</v>
      </c>
      <c r="Q1532" s="8">
        <v>1</v>
      </c>
      <c r="R1532" s="8">
        <v>1</v>
      </c>
      <c r="S1532" s="8">
        <v>1</v>
      </c>
      <c r="T1532" s="8">
        <v>1</v>
      </c>
      <c r="U1532" s="8">
        <v>0</v>
      </c>
      <c r="V1532" s="8">
        <v>1</v>
      </c>
      <c r="W1532" s="8">
        <v>1</v>
      </c>
      <c r="X1532" s="8">
        <v>1</v>
      </c>
      <c r="Y1532" s="8">
        <v>1</v>
      </c>
      <c r="Z1532" s="8">
        <v>0</v>
      </c>
      <c r="AA1532" s="8">
        <v>1</v>
      </c>
      <c r="AB1532" s="8">
        <v>0</v>
      </c>
      <c r="AC1532" s="8">
        <v>1</v>
      </c>
      <c r="AD1532" s="8">
        <v>1</v>
      </c>
      <c r="AE1532" s="8">
        <v>1</v>
      </c>
      <c r="AF1532" s="8">
        <v>1</v>
      </c>
      <c r="AG1532" s="8">
        <v>1</v>
      </c>
      <c r="AH1532" s="8">
        <v>1</v>
      </c>
      <c r="AI1532" s="8">
        <v>0</v>
      </c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11" t="s">
        <v>251</v>
      </c>
    </row>
    <row r="1533" spans="1:46" ht="15.1" customHeight="1">
      <c r="A1533" s="8">
        <v>510</v>
      </c>
      <c r="B1533" s="9" t="s">
        <v>1270</v>
      </c>
      <c r="C1533" s="8" t="s">
        <v>1271</v>
      </c>
      <c r="D1533" s="9" t="s">
        <v>451</v>
      </c>
      <c r="E1533" s="8" t="s">
        <v>54</v>
      </c>
      <c r="F1533" s="8" t="s">
        <v>54</v>
      </c>
      <c r="G1533" s="10" t="s">
        <v>67</v>
      </c>
      <c r="H1533" s="8" t="s">
        <v>54</v>
      </c>
      <c r="I1533" s="8" t="s">
        <v>54</v>
      </c>
      <c r="J1533" s="8" t="s">
        <v>54</v>
      </c>
      <c r="K1533" s="8" t="s">
        <v>54</v>
      </c>
      <c r="L1533" s="8" t="s">
        <v>54</v>
      </c>
      <c r="M1533" s="8" t="s">
        <v>54</v>
      </c>
      <c r="N1533" s="10" t="s">
        <v>67</v>
      </c>
      <c r="O1533" s="8" t="s">
        <v>54</v>
      </c>
      <c r="P1533" s="8" t="s">
        <v>54</v>
      </c>
      <c r="Q1533" s="8" t="s">
        <v>54</v>
      </c>
      <c r="R1533" s="8" t="s">
        <v>54</v>
      </c>
      <c r="S1533" s="8" t="s">
        <v>54</v>
      </c>
      <c r="T1533" s="8" t="s">
        <v>54</v>
      </c>
      <c r="U1533" s="10" t="s">
        <v>67</v>
      </c>
      <c r="V1533" s="8" t="s">
        <v>54</v>
      </c>
      <c r="W1533" s="8" t="s">
        <v>54</v>
      </c>
      <c r="X1533" s="8" t="s">
        <v>54</v>
      </c>
      <c r="Y1533" s="8" t="s">
        <v>54</v>
      </c>
      <c r="Z1533" s="8" t="s">
        <v>54</v>
      </c>
      <c r="AA1533" s="8" t="s">
        <v>54</v>
      </c>
      <c r="AB1533" s="10" t="s">
        <v>67</v>
      </c>
      <c r="AC1533" s="8" t="s">
        <v>54</v>
      </c>
      <c r="AD1533" s="8" t="s">
        <v>54</v>
      </c>
      <c r="AE1533" s="8" t="s">
        <v>54</v>
      </c>
      <c r="AF1533" s="8" t="s">
        <v>54</v>
      </c>
      <c r="AG1533" s="8" t="s">
        <v>54</v>
      </c>
      <c r="AH1533" s="8" t="s">
        <v>54</v>
      </c>
      <c r="AI1533" s="10" t="s">
        <v>67</v>
      </c>
      <c r="AJ1533" s="8">
        <f>COUNTIF($E$1533:$AI$1533,"P")</f>
        <v>26</v>
      </c>
      <c r="AK1533" s="8">
        <f>COUNTIF($E$1533:$AI$1533,"A")</f>
        <v>0</v>
      </c>
      <c r="AL1533" s="8">
        <f>SUM($E$1534:$AI$1534)</f>
        <v>52</v>
      </c>
      <c r="AM1533" s="8">
        <f>SUM($E$1535:$AI$1535)</f>
        <v>26</v>
      </c>
      <c r="AN1533" s="8">
        <f>AL1533+AM1533</f>
        <v>78</v>
      </c>
      <c r="AO1533" s="8">
        <f>COUNTIF($E$1533:$AI$1533,"CL")</f>
        <v>0</v>
      </c>
      <c r="AP1533" s="8">
        <f>COUNTIF($E$1533:$AI$1533,"SL")</f>
        <v>0</v>
      </c>
      <c r="AQ1533" s="8">
        <f>COUNTIF($E$1533:$AI$1533,"EL")</f>
        <v>0</v>
      </c>
      <c r="AR1533" s="8">
        <f>COUNTIF($E$1533:$AI$1533,"H")</f>
        <v>0</v>
      </c>
      <c r="AS1533" s="8"/>
      <c r="AT1533" s="11" t="s">
        <v>251</v>
      </c>
    </row>
    <row r="1534" spans="1:46" ht="15.1" customHeight="1">
      <c r="A1534" s="8"/>
      <c r="B1534" s="9"/>
      <c r="C1534" s="8"/>
      <c r="D1534" s="9"/>
      <c r="E1534" s="8">
        <v>2</v>
      </c>
      <c r="F1534" s="8">
        <v>2</v>
      </c>
      <c r="G1534" s="8">
        <v>0</v>
      </c>
      <c r="H1534" s="8">
        <v>2</v>
      </c>
      <c r="I1534" s="8">
        <v>2</v>
      </c>
      <c r="J1534" s="8">
        <v>2</v>
      </c>
      <c r="K1534" s="8">
        <v>2</v>
      </c>
      <c r="L1534" s="8">
        <v>2</v>
      </c>
      <c r="M1534" s="8">
        <v>2</v>
      </c>
      <c r="N1534" s="8">
        <v>0</v>
      </c>
      <c r="O1534" s="8">
        <v>2</v>
      </c>
      <c r="P1534" s="8">
        <v>2</v>
      </c>
      <c r="Q1534" s="8">
        <v>2</v>
      </c>
      <c r="R1534" s="8">
        <v>2</v>
      </c>
      <c r="S1534" s="8">
        <v>2</v>
      </c>
      <c r="T1534" s="8">
        <v>2</v>
      </c>
      <c r="U1534" s="8">
        <v>0</v>
      </c>
      <c r="V1534" s="8">
        <v>2</v>
      </c>
      <c r="W1534" s="8">
        <v>2</v>
      </c>
      <c r="X1534" s="8">
        <v>2</v>
      </c>
      <c r="Y1534" s="8">
        <v>2</v>
      </c>
      <c r="Z1534" s="8">
        <v>2</v>
      </c>
      <c r="AA1534" s="8">
        <v>2</v>
      </c>
      <c r="AB1534" s="8">
        <v>0</v>
      </c>
      <c r="AC1534" s="8">
        <v>2</v>
      </c>
      <c r="AD1534" s="8">
        <v>2</v>
      </c>
      <c r="AE1534" s="8">
        <v>2</v>
      </c>
      <c r="AF1534" s="8">
        <v>2</v>
      </c>
      <c r="AG1534" s="8">
        <v>2</v>
      </c>
      <c r="AH1534" s="8">
        <v>2</v>
      </c>
      <c r="AI1534" s="8">
        <v>0</v>
      </c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11" t="s">
        <v>251</v>
      </c>
    </row>
    <row r="1535" spans="1:46" ht="15.1" customHeight="1">
      <c r="A1535" s="8"/>
      <c r="B1535" s="9"/>
      <c r="C1535" s="8"/>
      <c r="D1535" s="9"/>
      <c r="E1535" s="8">
        <v>1</v>
      </c>
      <c r="F1535" s="8">
        <v>1</v>
      </c>
      <c r="G1535" s="8">
        <v>0</v>
      </c>
      <c r="H1535" s="8">
        <v>1</v>
      </c>
      <c r="I1535" s="8">
        <v>1</v>
      </c>
      <c r="J1535" s="8">
        <v>1</v>
      </c>
      <c r="K1535" s="8">
        <v>1</v>
      </c>
      <c r="L1535" s="8">
        <v>1</v>
      </c>
      <c r="M1535" s="8">
        <v>1</v>
      </c>
      <c r="N1535" s="8">
        <v>0</v>
      </c>
      <c r="O1535" s="8">
        <v>1</v>
      </c>
      <c r="P1535" s="8">
        <v>1</v>
      </c>
      <c r="Q1535" s="8">
        <v>1</v>
      </c>
      <c r="R1535" s="8">
        <v>1</v>
      </c>
      <c r="S1535" s="8">
        <v>1</v>
      </c>
      <c r="T1535" s="8">
        <v>1</v>
      </c>
      <c r="U1535" s="8">
        <v>0</v>
      </c>
      <c r="V1535" s="8">
        <v>1</v>
      </c>
      <c r="W1535" s="8">
        <v>1</v>
      </c>
      <c r="X1535" s="8">
        <v>1</v>
      </c>
      <c r="Y1535" s="8">
        <v>1</v>
      </c>
      <c r="Z1535" s="8">
        <v>1</v>
      </c>
      <c r="AA1535" s="8">
        <v>1</v>
      </c>
      <c r="AB1535" s="8">
        <v>0</v>
      </c>
      <c r="AC1535" s="8">
        <v>1</v>
      </c>
      <c r="AD1535" s="8">
        <v>1</v>
      </c>
      <c r="AE1535" s="8">
        <v>1</v>
      </c>
      <c r="AF1535" s="8">
        <v>1</v>
      </c>
      <c r="AG1535" s="8">
        <v>1</v>
      </c>
      <c r="AH1535" s="8">
        <v>1</v>
      </c>
      <c r="AI1535" s="8">
        <v>0</v>
      </c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11" t="s">
        <v>251</v>
      </c>
    </row>
    <row r="1536" spans="1:46" ht="15.1" customHeight="1">
      <c r="A1536" s="8">
        <v>511</v>
      </c>
      <c r="B1536" s="9" t="s">
        <v>1272</v>
      </c>
      <c r="C1536" s="8" t="s">
        <v>1273</v>
      </c>
      <c r="D1536" s="9" t="s">
        <v>451</v>
      </c>
      <c r="E1536" s="8" t="s">
        <v>54</v>
      </c>
      <c r="F1536" s="8" t="s">
        <v>54</v>
      </c>
      <c r="G1536" s="10" t="s">
        <v>67</v>
      </c>
      <c r="H1536" s="8" t="s">
        <v>54</v>
      </c>
      <c r="I1536" s="8" t="s">
        <v>54</v>
      </c>
      <c r="J1536" s="8" t="s">
        <v>54</v>
      </c>
      <c r="K1536" s="8" t="s">
        <v>54</v>
      </c>
      <c r="L1536" s="8" t="s">
        <v>54</v>
      </c>
      <c r="M1536" s="8" t="s">
        <v>54</v>
      </c>
      <c r="N1536" s="10" t="s">
        <v>67</v>
      </c>
      <c r="O1536" s="8" t="s">
        <v>54</v>
      </c>
      <c r="P1536" s="8" t="s">
        <v>54</v>
      </c>
      <c r="Q1536" s="8" t="s">
        <v>54</v>
      </c>
      <c r="R1536" s="8" t="s">
        <v>54</v>
      </c>
      <c r="S1536" s="8" t="s">
        <v>54</v>
      </c>
      <c r="T1536" s="8" t="s">
        <v>54</v>
      </c>
      <c r="U1536" s="10" t="s">
        <v>67</v>
      </c>
      <c r="V1536" s="8" t="s">
        <v>54</v>
      </c>
      <c r="W1536" s="8" t="s">
        <v>54</v>
      </c>
      <c r="X1536" s="8" t="s">
        <v>54</v>
      </c>
      <c r="Y1536" s="8" t="s">
        <v>54</v>
      </c>
      <c r="Z1536" s="8" t="s">
        <v>54</v>
      </c>
      <c r="AA1536" s="8" t="s">
        <v>54</v>
      </c>
      <c r="AB1536" s="10" t="s">
        <v>67</v>
      </c>
      <c r="AC1536" s="8" t="s">
        <v>54</v>
      </c>
      <c r="AD1536" s="8" t="s">
        <v>54</v>
      </c>
      <c r="AE1536" s="8" t="s">
        <v>54</v>
      </c>
      <c r="AF1536" s="8" t="s">
        <v>54</v>
      </c>
      <c r="AG1536" s="8" t="s">
        <v>54</v>
      </c>
      <c r="AH1536" s="8" t="s">
        <v>54</v>
      </c>
      <c r="AI1536" s="10" t="s">
        <v>67</v>
      </c>
      <c r="AJ1536" s="8">
        <f>COUNTIF($E$1536:$AI$1536,"P")</f>
        <v>26</v>
      </c>
      <c r="AK1536" s="8">
        <f>COUNTIF($E$1536:$AI$1536,"A")</f>
        <v>0</v>
      </c>
      <c r="AL1536" s="8">
        <f>SUM($E$1537:$AI$1537)</f>
        <v>52</v>
      </c>
      <c r="AM1536" s="8">
        <f>SUM($E$1538:$AI$1538)</f>
        <v>26</v>
      </c>
      <c r="AN1536" s="8">
        <f>AL1536+AM1536</f>
        <v>78</v>
      </c>
      <c r="AO1536" s="8">
        <f>COUNTIF($E$1536:$AI$1536,"CL")</f>
        <v>0</v>
      </c>
      <c r="AP1536" s="8">
        <f>COUNTIF($E$1536:$AI$1536,"SL")</f>
        <v>0</v>
      </c>
      <c r="AQ1536" s="8">
        <f>COUNTIF($E$1536:$AI$1536,"EL")</f>
        <v>0</v>
      </c>
      <c r="AR1536" s="8">
        <f>COUNTIF($E$1536:$AI$1536,"H")</f>
        <v>0</v>
      </c>
      <c r="AS1536" s="8"/>
      <c r="AT1536" s="11" t="s">
        <v>251</v>
      </c>
    </row>
    <row r="1537" spans="1:46" ht="15.1" customHeight="1">
      <c r="A1537" s="8"/>
      <c r="B1537" s="9"/>
      <c r="C1537" s="8"/>
      <c r="D1537" s="9"/>
      <c r="E1537" s="8">
        <v>2</v>
      </c>
      <c r="F1537" s="8">
        <v>2</v>
      </c>
      <c r="G1537" s="8">
        <v>0</v>
      </c>
      <c r="H1537" s="8">
        <v>2</v>
      </c>
      <c r="I1537" s="8">
        <v>2</v>
      </c>
      <c r="J1537" s="8">
        <v>2</v>
      </c>
      <c r="K1537" s="8">
        <v>2</v>
      </c>
      <c r="L1537" s="8">
        <v>2</v>
      </c>
      <c r="M1537" s="8">
        <v>2</v>
      </c>
      <c r="N1537" s="8">
        <v>0</v>
      </c>
      <c r="O1537" s="8">
        <v>2</v>
      </c>
      <c r="P1537" s="8">
        <v>2</v>
      </c>
      <c r="Q1537" s="8">
        <v>2</v>
      </c>
      <c r="R1537" s="8">
        <v>2</v>
      </c>
      <c r="S1537" s="8">
        <v>2</v>
      </c>
      <c r="T1537" s="8">
        <v>2</v>
      </c>
      <c r="U1537" s="8">
        <v>0</v>
      </c>
      <c r="V1537" s="8">
        <v>2</v>
      </c>
      <c r="W1537" s="8">
        <v>2</v>
      </c>
      <c r="X1537" s="8">
        <v>2</v>
      </c>
      <c r="Y1537" s="8">
        <v>2</v>
      </c>
      <c r="Z1537" s="8">
        <v>2</v>
      </c>
      <c r="AA1537" s="8">
        <v>2</v>
      </c>
      <c r="AB1537" s="8">
        <v>0</v>
      </c>
      <c r="AC1537" s="8">
        <v>2</v>
      </c>
      <c r="AD1537" s="8">
        <v>2</v>
      </c>
      <c r="AE1537" s="8">
        <v>2</v>
      </c>
      <c r="AF1537" s="8">
        <v>2</v>
      </c>
      <c r="AG1537" s="8">
        <v>2</v>
      </c>
      <c r="AH1537" s="8">
        <v>2</v>
      </c>
      <c r="AI1537" s="8">
        <v>0</v>
      </c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11" t="s">
        <v>251</v>
      </c>
    </row>
    <row r="1538" spans="1:46" ht="15.1" customHeight="1">
      <c r="A1538" s="8"/>
      <c r="B1538" s="9"/>
      <c r="C1538" s="8"/>
      <c r="D1538" s="9"/>
      <c r="E1538" s="8">
        <v>1</v>
      </c>
      <c r="F1538" s="8">
        <v>1</v>
      </c>
      <c r="G1538" s="8">
        <v>0</v>
      </c>
      <c r="H1538" s="8">
        <v>1</v>
      </c>
      <c r="I1538" s="8">
        <v>1</v>
      </c>
      <c r="J1538" s="8">
        <v>1</v>
      </c>
      <c r="K1538" s="8">
        <v>1</v>
      </c>
      <c r="L1538" s="8">
        <v>1</v>
      </c>
      <c r="M1538" s="8">
        <v>1</v>
      </c>
      <c r="N1538" s="8">
        <v>0</v>
      </c>
      <c r="O1538" s="8">
        <v>1</v>
      </c>
      <c r="P1538" s="8">
        <v>1</v>
      </c>
      <c r="Q1538" s="8">
        <v>1</v>
      </c>
      <c r="R1538" s="8">
        <v>1</v>
      </c>
      <c r="S1538" s="8">
        <v>1</v>
      </c>
      <c r="T1538" s="8">
        <v>1</v>
      </c>
      <c r="U1538" s="8">
        <v>0</v>
      </c>
      <c r="V1538" s="8">
        <v>1</v>
      </c>
      <c r="W1538" s="8">
        <v>1</v>
      </c>
      <c r="X1538" s="8">
        <v>1</v>
      </c>
      <c r="Y1538" s="8">
        <v>1</v>
      </c>
      <c r="Z1538" s="8">
        <v>1</v>
      </c>
      <c r="AA1538" s="8">
        <v>1</v>
      </c>
      <c r="AB1538" s="8">
        <v>0</v>
      </c>
      <c r="AC1538" s="8">
        <v>1</v>
      </c>
      <c r="AD1538" s="8">
        <v>1</v>
      </c>
      <c r="AE1538" s="8">
        <v>1</v>
      </c>
      <c r="AF1538" s="8">
        <v>1</v>
      </c>
      <c r="AG1538" s="8">
        <v>1</v>
      </c>
      <c r="AH1538" s="8">
        <v>1</v>
      </c>
      <c r="AI1538" s="8">
        <v>0</v>
      </c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11" t="s">
        <v>251</v>
      </c>
    </row>
    <row r="1539" spans="1:46" ht="15.1" customHeight="1">
      <c r="A1539" s="8">
        <v>512</v>
      </c>
      <c r="B1539" s="9" t="s">
        <v>1274</v>
      </c>
      <c r="C1539" s="8" t="s">
        <v>1275</v>
      </c>
      <c r="D1539" s="9" t="s">
        <v>451</v>
      </c>
      <c r="E1539" s="8" t="s">
        <v>54</v>
      </c>
      <c r="F1539" s="8" t="s">
        <v>54</v>
      </c>
      <c r="G1539" s="10" t="s">
        <v>67</v>
      </c>
      <c r="H1539" s="8" t="s">
        <v>54</v>
      </c>
      <c r="I1539" s="8" t="s">
        <v>54</v>
      </c>
      <c r="J1539" s="8" t="s">
        <v>54</v>
      </c>
      <c r="K1539" s="8" t="s">
        <v>54</v>
      </c>
      <c r="L1539" s="8" t="s">
        <v>54</v>
      </c>
      <c r="M1539" s="8" t="s">
        <v>54</v>
      </c>
      <c r="N1539" s="10" t="s">
        <v>67</v>
      </c>
      <c r="O1539" s="8" t="s">
        <v>54</v>
      </c>
      <c r="P1539" s="8" t="s">
        <v>54</v>
      </c>
      <c r="Q1539" s="8" t="s">
        <v>54</v>
      </c>
      <c r="R1539" s="8" t="s">
        <v>54</v>
      </c>
      <c r="S1539" s="8" t="s">
        <v>54</v>
      </c>
      <c r="T1539" s="8" t="s">
        <v>54</v>
      </c>
      <c r="U1539" s="10" t="s">
        <v>67</v>
      </c>
      <c r="V1539" s="8" t="s">
        <v>54</v>
      </c>
      <c r="W1539" s="8" t="s">
        <v>54</v>
      </c>
      <c r="X1539" s="8" t="s">
        <v>54</v>
      </c>
      <c r="Y1539" s="8" t="s">
        <v>54</v>
      </c>
      <c r="Z1539" s="8" t="s">
        <v>54</v>
      </c>
      <c r="AA1539" s="8" t="s">
        <v>54</v>
      </c>
      <c r="AB1539" s="10" t="s">
        <v>67</v>
      </c>
      <c r="AC1539" s="8" t="s">
        <v>54</v>
      </c>
      <c r="AD1539" s="8" t="s">
        <v>54</v>
      </c>
      <c r="AE1539" s="8" t="s">
        <v>54</v>
      </c>
      <c r="AF1539" s="8" t="s">
        <v>54</v>
      </c>
      <c r="AG1539" s="8" t="s">
        <v>54</v>
      </c>
      <c r="AH1539" s="8" t="s">
        <v>54</v>
      </c>
      <c r="AI1539" s="10" t="s">
        <v>67</v>
      </c>
      <c r="AJ1539" s="8">
        <f>COUNTIF($E$1539:$AI$1539,"P")</f>
        <v>26</v>
      </c>
      <c r="AK1539" s="8">
        <f>COUNTIF($E$1539:$AI$1539,"A")</f>
        <v>0</v>
      </c>
      <c r="AL1539" s="8">
        <f>SUM($E$1540:$AI$1540)</f>
        <v>52</v>
      </c>
      <c r="AM1539" s="8">
        <f>SUM($E$1541:$AI$1541)</f>
        <v>26</v>
      </c>
      <c r="AN1539" s="8">
        <f>AL1539+AM1539</f>
        <v>78</v>
      </c>
      <c r="AO1539" s="8">
        <f>COUNTIF($E$1539:$AI$1539,"CL")</f>
        <v>0</v>
      </c>
      <c r="AP1539" s="8">
        <f>COUNTIF($E$1539:$AI$1539,"SL")</f>
        <v>0</v>
      </c>
      <c r="AQ1539" s="8">
        <f>COUNTIF($E$1539:$AI$1539,"EL")</f>
        <v>0</v>
      </c>
      <c r="AR1539" s="8">
        <f>COUNTIF($E$1539:$AI$1539,"H")</f>
        <v>0</v>
      </c>
      <c r="AS1539" s="8"/>
      <c r="AT1539" s="11" t="s">
        <v>251</v>
      </c>
    </row>
    <row r="1540" spans="1:46" ht="15.1" customHeight="1">
      <c r="A1540" s="8"/>
      <c r="B1540" s="9"/>
      <c r="C1540" s="8"/>
      <c r="D1540" s="9"/>
      <c r="E1540" s="8">
        <v>2</v>
      </c>
      <c r="F1540" s="8">
        <v>2</v>
      </c>
      <c r="G1540" s="8">
        <v>0</v>
      </c>
      <c r="H1540" s="8">
        <v>2</v>
      </c>
      <c r="I1540" s="8">
        <v>2</v>
      </c>
      <c r="J1540" s="8">
        <v>2</v>
      </c>
      <c r="K1540" s="8">
        <v>2</v>
      </c>
      <c r="L1540" s="8">
        <v>2</v>
      </c>
      <c r="M1540" s="8">
        <v>2</v>
      </c>
      <c r="N1540" s="8">
        <v>0</v>
      </c>
      <c r="O1540" s="8">
        <v>2</v>
      </c>
      <c r="P1540" s="8">
        <v>2</v>
      </c>
      <c r="Q1540" s="8">
        <v>2</v>
      </c>
      <c r="R1540" s="8">
        <v>2</v>
      </c>
      <c r="S1540" s="8">
        <v>2</v>
      </c>
      <c r="T1540" s="8">
        <v>2</v>
      </c>
      <c r="U1540" s="8">
        <v>0</v>
      </c>
      <c r="V1540" s="8">
        <v>2</v>
      </c>
      <c r="W1540" s="8">
        <v>2</v>
      </c>
      <c r="X1540" s="8">
        <v>2</v>
      </c>
      <c r="Y1540" s="8">
        <v>2</v>
      </c>
      <c r="Z1540" s="8">
        <v>2</v>
      </c>
      <c r="AA1540" s="8">
        <v>2</v>
      </c>
      <c r="AB1540" s="8">
        <v>0</v>
      </c>
      <c r="AC1540" s="8">
        <v>2</v>
      </c>
      <c r="AD1540" s="8">
        <v>2</v>
      </c>
      <c r="AE1540" s="8">
        <v>2</v>
      </c>
      <c r="AF1540" s="8">
        <v>2</v>
      </c>
      <c r="AG1540" s="8">
        <v>2</v>
      </c>
      <c r="AH1540" s="8">
        <v>2</v>
      </c>
      <c r="AI1540" s="8">
        <v>0</v>
      </c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11" t="s">
        <v>251</v>
      </c>
    </row>
    <row r="1541" spans="1:46" ht="15.1" customHeight="1">
      <c r="A1541" s="8"/>
      <c r="B1541" s="9"/>
      <c r="C1541" s="8"/>
      <c r="D1541" s="9"/>
      <c r="E1541" s="8">
        <v>1</v>
      </c>
      <c r="F1541" s="8">
        <v>1</v>
      </c>
      <c r="G1541" s="8">
        <v>0</v>
      </c>
      <c r="H1541" s="8">
        <v>1</v>
      </c>
      <c r="I1541" s="8">
        <v>1</v>
      </c>
      <c r="J1541" s="8">
        <v>1</v>
      </c>
      <c r="K1541" s="8">
        <v>1</v>
      </c>
      <c r="L1541" s="8">
        <v>1</v>
      </c>
      <c r="M1541" s="8">
        <v>1</v>
      </c>
      <c r="N1541" s="8">
        <v>0</v>
      </c>
      <c r="O1541" s="8">
        <v>1</v>
      </c>
      <c r="P1541" s="8">
        <v>1</v>
      </c>
      <c r="Q1541" s="8">
        <v>1</v>
      </c>
      <c r="R1541" s="8">
        <v>1</v>
      </c>
      <c r="S1541" s="8">
        <v>1</v>
      </c>
      <c r="T1541" s="8">
        <v>1</v>
      </c>
      <c r="U1541" s="8">
        <v>0</v>
      </c>
      <c r="V1541" s="8">
        <v>1</v>
      </c>
      <c r="W1541" s="8">
        <v>1</v>
      </c>
      <c r="X1541" s="8">
        <v>1</v>
      </c>
      <c r="Y1541" s="8">
        <v>1</v>
      </c>
      <c r="Z1541" s="8">
        <v>1</v>
      </c>
      <c r="AA1541" s="8">
        <v>1</v>
      </c>
      <c r="AB1541" s="8">
        <v>0</v>
      </c>
      <c r="AC1541" s="8">
        <v>1</v>
      </c>
      <c r="AD1541" s="8">
        <v>1</v>
      </c>
      <c r="AE1541" s="8">
        <v>1</v>
      </c>
      <c r="AF1541" s="8">
        <v>1</v>
      </c>
      <c r="AG1541" s="8">
        <v>1</v>
      </c>
      <c r="AH1541" s="8">
        <v>1</v>
      </c>
      <c r="AI1541" s="8">
        <v>0</v>
      </c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11" t="s">
        <v>251</v>
      </c>
    </row>
    <row r="1542" spans="1:46" ht="15.1" customHeight="1">
      <c r="A1542" s="8">
        <v>513</v>
      </c>
      <c r="B1542" s="9" t="s">
        <v>1276</v>
      </c>
      <c r="C1542" s="8" t="s">
        <v>1277</v>
      </c>
      <c r="D1542" s="9" t="s">
        <v>451</v>
      </c>
      <c r="E1542" s="8" t="s">
        <v>54</v>
      </c>
      <c r="F1542" s="8" t="s">
        <v>54</v>
      </c>
      <c r="G1542" s="10" t="s">
        <v>67</v>
      </c>
      <c r="H1542" s="8" t="s">
        <v>54</v>
      </c>
      <c r="I1542" s="8" t="s">
        <v>54</v>
      </c>
      <c r="J1542" s="8" t="s">
        <v>54</v>
      </c>
      <c r="K1542" s="8" t="s">
        <v>54</v>
      </c>
      <c r="L1542" s="8" t="s">
        <v>54</v>
      </c>
      <c r="M1542" s="8" t="s">
        <v>54</v>
      </c>
      <c r="N1542" s="10" t="s">
        <v>67</v>
      </c>
      <c r="O1542" s="8" t="s">
        <v>54</v>
      </c>
      <c r="P1542" s="8" t="s">
        <v>54</v>
      </c>
      <c r="Q1542" s="8" t="s">
        <v>54</v>
      </c>
      <c r="R1542" s="8" t="s">
        <v>54</v>
      </c>
      <c r="S1542" s="8" t="s">
        <v>54</v>
      </c>
      <c r="T1542" s="8" t="s">
        <v>54</v>
      </c>
      <c r="U1542" s="10" t="s">
        <v>67</v>
      </c>
      <c r="V1542" s="8" t="s">
        <v>54</v>
      </c>
      <c r="W1542" s="8" t="s">
        <v>54</v>
      </c>
      <c r="X1542" s="12" t="s">
        <v>55</v>
      </c>
      <c r="Y1542" s="12" t="s">
        <v>55</v>
      </c>
      <c r="Z1542" s="12" t="s">
        <v>55</v>
      </c>
      <c r="AA1542" s="12" t="s">
        <v>55</v>
      </c>
      <c r="AB1542" s="10" t="s">
        <v>67</v>
      </c>
      <c r="AC1542" s="12" t="s">
        <v>55</v>
      </c>
      <c r="AD1542" s="12" t="s">
        <v>55</v>
      </c>
      <c r="AE1542" s="12" t="s">
        <v>55</v>
      </c>
      <c r="AF1542" s="12" t="s">
        <v>55</v>
      </c>
      <c r="AG1542" s="12" t="s">
        <v>55</v>
      </c>
      <c r="AH1542" s="8"/>
      <c r="AI1542" s="10"/>
      <c r="AJ1542" s="8">
        <f>COUNTIF($E$1542:$AI$1542,"P")</f>
        <v>16</v>
      </c>
      <c r="AK1542" s="8">
        <f>COUNTIF($E$1542:$AI$1542,"A")</f>
        <v>9</v>
      </c>
      <c r="AL1542" s="8">
        <f>SUM($E$1543:$AI$1543)</f>
        <v>30</v>
      </c>
      <c r="AM1542" s="8">
        <f>SUM($E$1544:$AI$1544)</f>
        <v>15</v>
      </c>
      <c r="AN1542" s="8">
        <f>AL1542+AM1542</f>
        <v>45</v>
      </c>
      <c r="AO1542" s="8">
        <f>COUNTIF($E$1542:$AI$1542,"CL")</f>
        <v>0</v>
      </c>
      <c r="AP1542" s="8">
        <f>COUNTIF($E$1542:$AI$1542,"SL")</f>
        <v>0</v>
      </c>
      <c r="AQ1542" s="8">
        <f>COUNTIF($E$1542:$AI$1542,"EL")</f>
        <v>0</v>
      </c>
      <c r="AR1542" s="8">
        <f>COUNTIF($E$1542:$AI$1542,"H")</f>
        <v>0</v>
      </c>
      <c r="AS1542" s="8"/>
      <c r="AT1542" s="11" t="s">
        <v>251</v>
      </c>
    </row>
    <row r="1543" spans="1:46" ht="15.1" customHeight="1">
      <c r="A1543" s="8"/>
      <c r="B1543" s="9"/>
      <c r="C1543" s="8"/>
      <c r="D1543" s="9"/>
      <c r="E1543" s="8">
        <v>2</v>
      </c>
      <c r="F1543" s="8">
        <v>2</v>
      </c>
      <c r="G1543" s="8">
        <v>0</v>
      </c>
      <c r="H1543" s="8">
        <v>2</v>
      </c>
      <c r="I1543" s="8">
        <v>2</v>
      </c>
      <c r="J1543" s="8">
        <v>2</v>
      </c>
      <c r="K1543" s="8">
        <v>2</v>
      </c>
      <c r="L1543" s="8">
        <v>2</v>
      </c>
      <c r="M1543" s="8">
        <v>2</v>
      </c>
      <c r="N1543" s="8">
        <v>0</v>
      </c>
      <c r="O1543" s="8">
        <v>2</v>
      </c>
      <c r="P1543" s="8">
        <v>2</v>
      </c>
      <c r="Q1543" s="8">
        <v>2</v>
      </c>
      <c r="R1543" s="8">
        <v>2</v>
      </c>
      <c r="S1543" s="8">
        <v>2</v>
      </c>
      <c r="T1543" s="8">
        <v>2</v>
      </c>
      <c r="U1543" s="8">
        <v>0</v>
      </c>
      <c r="V1543" s="8">
        <v>2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8">
        <v>0</v>
      </c>
      <c r="AH1543" s="8">
        <v>0</v>
      </c>
      <c r="AI1543" s="8">
        <v>0</v>
      </c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11" t="s">
        <v>251</v>
      </c>
    </row>
    <row r="1544" spans="1:46" ht="15.1" customHeight="1">
      <c r="A1544" s="8"/>
      <c r="B1544" s="9"/>
      <c r="C1544" s="8"/>
      <c r="D1544" s="9"/>
      <c r="E1544" s="8">
        <v>1</v>
      </c>
      <c r="F1544" s="8">
        <v>1</v>
      </c>
      <c r="G1544" s="8">
        <v>0</v>
      </c>
      <c r="H1544" s="8">
        <v>1</v>
      </c>
      <c r="I1544" s="8">
        <v>1</v>
      </c>
      <c r="J1544" s="8">
        <v>1</v>
      </c>
      <c r="K1544" s="8">
        <v>1</v>
      </c>
      <c r="L1544" s="8">
        <v>1</v>
      </c>
      <c r="M1544" s="8">
        <v>1</v>
      </c>
      <c r="N1544" s="8">
        <v>0</v>
      </c>
      <c r="O1544" s="8">
        <v>1</v>
      </c>
      <c r="P1544" s="8">
        <v>1</v>
      </c>
      <c r="Q1544" s="8">
        <v>1</v>
      </c>
      <c r="R1544" s="8">
        <v>1</v>
      </c>
      <c r="S1544" s="8">
        <v>1</v>
      </c>
      <c r="T1544" s="8">
        <v>1</v>
      </c>
      <c r="U1544" s="8">
        <v>0</v>
      </c>
      <c r="V1544" s="8">
        <v>1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11" t="s">
        <v>251</v>
      </c>
    </row>
    <row r="1545" spans="1:46" ht="15.1" customHeight="1">
      <c r="A1545" s="8">
        <v>514</v>
      </c>
      <c r="B1545" s="9" t="s">
        <v>160</v>
      </c>
      <c r="C1545" s="8" t="s">
        <v>1278</v>
      </c>
      <c r="D1545" s="9" t="s">
        <v>451</v>
      </c>
      <c r="E1545" s="12" t="s">
        <v>55</v>
      </c>
      <c r="F1545" s="8" t="s">
        <v>54</v>
      </c>
      <c r="G1545" s="10" t="s">
        <v>67</v>
      </c>
      <c r="H1545" s="8" t="s">
        <v>54</v>
      </c>
      <c r="I1545" s="8" t="s">
        <v>54</v>
      </c>
      <c r="J1545" s="8" t="s">
        <v>54</v>
      </c>
      <c r="K1545" s="8" t="s">
        <v>54</v>
      </c>
      <c r="L1545" s="8" t="s">
        <v>54</v>
      </c>
      <c r="M1545" s="8" t="s">
        <v>54</v>
      </c>
      <c r="N1545" s="10" t="s">
        <v>67</v>
      </c>
      <c r="O1545" s="8" t="s">
        <v>54</v>
      </c>
      <c r="P1545" s="8" t="s">
        <v>54</v>
      </c>
      <c r="Q1545" s="8" t="s">
        <v>54</v>
      </c>
      <c r="R1545" s="8" t="s">
        <v>54</v>
      </c>
      <c r="S1545" s="12" t="s">
        <v>55</v>
      </c>
      <c r="T1545" s="8" t="s">
        <v>54</v>
      </c>
      <c r="U1545" s="10" t="s">
        <v>67</v>
      </c>
      <c r="V1545" s="8" t="s">
        <v>54</v>
      </c>
      <c r="W1545" s="8" t="s">
        <v>54</v>
      </c>
      <c r="X1545" s="8" t="s">
        <v>54</v>
      </c>
      <c r="Y1545" s="8" t="s">
        <v>54</v>
      </c>
      <c r="Z1545" s="8" t="s">
        <v>54</v>
      </c>
      <c r="AA1545" s="8" t="s">
        <v>54</v>
      </c>
      <c r="AB1545" s="10" t="s">
        <v>67</v>
      </c>
      <c r="AC1545" s="8" t="s">
        <v>54</v>
      </c>
      <c r="AD1545" s="8" t="s">
        <v>54</v>
      </c>
      <c r="AE1545" s="8" t="s">
        <v>54</v>
      </c>
      <c r="AF1545" s="8" t="s">
        <v>54</v>
      </c>
      <c r="AG1545" s="8" t="s">
        <v>54</v>
      </c>
      <c r="AH1545" s="8" t="s">
        <v>54</v>
      </c>
      <c r="AI1545" s="10" t="s">
        <v>67</v>
      </c>
      <c r="AJ1545" s="8">
        <f>COUNTIF($E$1545:$AI$1545,"P")</f>
        <v>24</v>
      </c>
      <c r="AK1545" s="8">
        <f>COUNTIF($E$1545:$AI$1545,"A")</f>
        <v>2</v>
      </c>
      <c r="AL1545" s="8">
        <f>SUM($E$1546:$AI$1546)</f>
        <v>48</v>
      </c>
      <c r="AM1545" s="8">
        <f>SUM($E$1547:$AI$1547)</f>
        <v>24</v>
      </c>
      <c r="AN1545" s="8">
        <f>AL1545+AM1545</f>
        <v>72</v>
      </c>
      <c r="AO1545" s="8">
        <f>COUNTIF($E$1545:$AI$1545,"CL")</f>
        <v>0</v>
      </c>
      <c r="AP1545" s="8">
        <f>COUNTIF($E$1545:$AI$1545,"SL")</f>
        <v>0</v>
      </c>
      <c r="AQ1545" s="8">
        <f>COUNTIF($E$1545:$AI$1545,"EL")</f>
        <v>0</v>
      </c>
      <c r="AR1545" s="8">
        <f>COUNTIF($E$1545:$AI$1545,"H")</f>
        <v>0</v>
      </c>
      <c r="AS1545" s="8"/>
      <c r="AT1545" s="11" t="s">
        <v>251</v>
      </c>
    </row>
    <row r="1546" spans="1:46" ht="15.1" customHeight="1">
      <c r="A1546" s="8"/>
      <c r="B1546" s="9"/>
      <c r="C1546" s="8"/>
      <c r="D1546" s="9"/>
      <c r="E1546" s="8">
        <v>0</v>
      </c>
      <c r="F1546" s="8">
        <v>2</v>
      </c>
      <c r="G1546" s="8">
        <v>0</v>
      </c>
      <c r="H1546" s="8">
        <v>2</v>
      </c>
      <c r="I1546" s="8">
        <v>2</v>
      </c>
      <c r="J1546" s="8">
        <v>2</v>
      </c>
      <c r="K1546" s="8">
        <v>2</v>
      </c>
      <c r="L1546" s="8">
        <v>2</v>
      </c>
      <c r="M1546" s="8">
        <v>2</v>
      </c>
      <c r="N1546" s="8">
        <v>0</v>
      </c>
      <c r="O1546" s="8">
        <v>2</v>
      </c>
      <c r="P1546" s="8">
        <v>2</v>
      </c>
      <c r="Q1546" s="8">
        <v>2</v>
      </c>
      <c r="R1546" s="8">
        <v>2</v>
      </c>
      <c r="S1546" s="8">
        <v>0</v>
      </c>
      <c r="T1546" s="8">
        <v>2</v>
      </c>
      <c r="U1546" s="8">
        <v>0</v>
      </c>
      <c r="V1546" s="8">
        <v>2</v>
      </c>
      <c r="W1546" s="8">
        <v>2</v>
      </c>
      <c r="X1546" s="8">
        <v>2</v>
      </c>
      <c r="Y1546" s="8">
        <v>2</v>
      </c>
      <c r="Z1546" s="8">
        <v>2</v>
      </c>
      <c r="AA1546" s="8">
        <v>2</v>
      </c>
      <c r="AB1546" s="8">
        <v>0</v>
      </c>
      <c r="AC1546" s="8">
        <v>2</v>
      </c>
      <c r="AD1546" s="8">
        <v>2</v>
      </c>
      <c r="AE1546" s="8">
        <v>2</v>
      </c>
      <c r="AF1546" s="8">
        <v>2</v>
      </c>
      <c r="AG1546" s="8">
        <v>2</v>
      </c>
      <c r="AH1546" s="8">
        <v>2</v>
      </c>
      <c r="AI1546" s="8">
        <v>0</v>
      </c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11" t="s">
        <v>251</v>
      </c>
    </row>
    <row r="1547" spans="1:46" ht="15.1" customHeight="1">
      <c r="A1547" s="8"/>
      <c r="B1547" s="9"/>
      <c r="C1547" s="8"/>
      <c r="D1547" s="9"/>
      <c r="E1547" s="8">
        <v>0</v>
      </c>
      <c r="F1547" s="8">
        <v>1</v>
      </c>
      <c r="G1547" s="8">
        <v>0</v>
      </c>
      <c r="H1547" s="8">
        <v>1</v>
      </c>
      <c r="I1547" s="8">
        <v>1</v>
      </c>
      <c r="J1547" s="8">
        <v>1</v>
      </c>
      <c r="K1547" s="8">
        <v>1</v>
      </c>
      <c r="L1547" s="8">
        <v>1</v>
      </c>
      <c r="M1547" s="8">
        <v>1</v>
      </c>
      <c r="N1547" s="8">
        <v>0</v>
      </c>
      <c r="O1547" s="8">
        <v>1</v>
      </c>
      <c r="P1547" s="8">
        <v>1</v>
      </c>
      <c r="Q1547" s="8">
        <v>1</v>
      </c>
      <c r="R1547" s="8">
        <v>1</v>
      </c>
      <c r="S1547" s="8">
        <v>0</v>
      </c>
      <c r="T1547" s="8">
        <v>1</v>
      </c>
      <c r="U1547" s="8">
        <v>0</v>
      </c>
      <c r="V1547" s="8">
        <v>1</v>
      </c>
      <c r="W1547" s="8">
        <v>1</v>
      </c>
      <c r="X1547" s="8">
        <v>1</v>
      </c>
      <c r="Y1547" s="8">
        <v>1</v>
      </c>
      <c r="Z1547" s="8">
        <v>1</v>
      </c>
      <c r="AA1547" s="8">
        <v>1</v>
      </c>
      <c r="AB1547" s="8">
        <v>0</v>
      </c>
      <c r="AC1547" s="8">
        <v>1</v>
      </c>
      <c r="AD1547" s="8">
        <v>1</v>
      </c>
      <c r="AE1547" s="8">
        <v>1</v>
      </c>
      <c r="AF1547" s="8">
        <v>1</v>
      </c>
      <c r="AG1547" s="8">
        <v>1</v>
      </c>
      <c r="AH1547" s="8">
        <v>1</v>
      </c>
      <c r="AI1547" s="8">
        <v>0</v>
      </c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11" t="s">
        <v>251</v>
      </c>
    </row>
    <row r="1548" spans="1:46" ht="15.1" customHeight="1">
      <c r="A1548" s="8">
        <v>515</v>
      </c>
      <c r="B1548" s="9" t="s">
        <v>1279</v>
      </c>
      <c r="C1548" s="8" t="s">
        <v>1280</v>
      </c>
      <c r="D1548" s="9" t="s">
        <v>451</v>
      </c>
      <c r="E1548" s="8" t="s">
        <v>54</v>
      </c>
      <c r="F1548" s="8" t="s">
        <v>54</v>
      </c>
      <c r="G1548" s="10" t="s">
        <v>67</v>
      </c>
      <c r="H1548" s="8" t="s">
        <v>54</v>
      </c>
      <c r="I1548" s="8" t="s">
        <v>54</v>
      </c>
      <c r="J1548" s="8" t="s">
        <v>54</v>
      </c>
      <c r="K1548" s="8" t="s">
        <v>54</v>
      </c>
      <c r="L1548" s="8" t="s">
        <v>54</v>
      </c>
      <c r="M1548" s="8" t="s">
        <v>54</v>
      </c>
      <c r="N1548" s="10" t="s">
        <v>67</v>
      </c>
      <c r="O1548" s="8" t="s">
        <v>54</v>
      </c>
      <c r="P1548" s="8" t="s">
        <v>54</v>
      </c>
      <c r="Q1548" s="8" t="s">
        <v>54</v>
      </c>
      <c r="R1548" s="8" t="s">
        <v>54</v>
      </c>
      <c r="S1548" s="8" t="s">
        <v>54</v>
      </c>
      <c r="T1548" s="8" t="s">
        <v>54</v>
      </c>
      <c r="U1548" s="10" t="s">
        <v>67</v>
      </c>
      <c r="V1548" s="8" t="s">
        <v>54</v>
      </c>
      <c r="W1548" s="8" t="s">
        <v>54</v>
      </c>
      <c r="X1548" s="8" t="s">
        <v>54</v>
      </c>
      <c r="Y1548" s="8" t="s">
        <v>54</v>
      </c>
      <c r="Z1548" s="8" t="s">
        <v>54</v>
      </c>
      <c r="AA1548" s="8" t="s">
        <v>54</v>
      </c>
      <c r="AB1548" s="10" t="s">
        <v>67</v>
      </c>
      <c r="AC1548" s="8" t="s">
        <v>54</v>
      </c>
      <c r="AD1548" s="8" t="s">
        <v>54</v>
      </c>
      <c r="AE1548" s="8" t="s">
        <v>54</v>
      </c>
      <c r="AF1548" s="8" t="s">
        <v>54</v>
      </c>
      <c r="AG1548" s="8" t="s">
        <v>54</v>
      </c>
      <c r="AH1548" s="8" t="s">
        <v>54</v>
      </c>
      <c r="AI1548" s="10" t="s">
        <v>67</v>
      </c>
      <c r="AJ1548" s="8">
        <f>COUNTIF($E$1548:$AI$1548,"P")</f>
        <v>26</v>
      </c>
      <c r="AK1548" s="8">
        <f>COUNTIF($E$1548:$AI$1548,"A")</f>
        <v>0</v>
      </c>
      <c r="AL1548" s="8">
        <f>SUM($E$1549:$AI$1549)</f>
        <v>50</v>
      </c>
      <c r="AM1548" s="8">
        <f>SUM($E$1550:$AI$1550)</f>
        <v>25</v>
      </c>
      <c r="AN1548" s="8">
        <f>AL1548+AM1548</f>
        <v>75</v>
      </c>
      <c r="AO1548" s="8">
        <f>COUNTIF($E$1548:$AI$1548,"CL")</f>
        <v>0</v>
      </c>
      <c r="AP1548" s="8">
        <f>COUNTIF($E$1548:$AI$1548,"SL")</f>
        <v>0</v>
      </c>
      <c r="AQ1548" s="8">
        <f>COUNTIF($E$1548:$AI$1548,"EL")</f>
        <v>0</v>
      </c>
      <c r="AR1548" s="8">
        <f>COUNTIF($E$1548:$AI$1548,"H")</f>
        <v>0</v>
      </c>
      <c r="AS1548" s="8"/>
      <c r="AT1548" s="11" t="s">
        <v>251</v>
      </c>
    </row>
    <row r="1549" spans="1:46" ht="15.1" customHeight="1">
      <c r="A1549" s="8"/>
      <c r="B1549" s="9"/>
      <c r="C1549" s="8"/>
      <c r="D1549" s="9"/>
      <c r="E1549" s="8">
        <v>2</v>
      </c>
      <c r="F1549" s="8">
        <v>2</v>
      </c>
      <c r="G1549" s="8">
        <v>0</v>
      </c>
      <c r="H1549" s="8">
        <v>2</v>
      </c>
      <c r="I1549" s="8">
        <v>2</v>
      </c>
      <c r="J1549" s="8">
        <v>2</v>
      </c>
      <c r="K1549" s="8">
        <v>2</v>
      </c>
      <c r="L1549" s="8">
        <v>2</v>
      </c>
      <c r="M1549" s="8">
        <v>2</v>
      </c>
      <c r="N1549" s="8">
        <v>0</v>
      </c>
      <c r="O1549" s="8">
        <v>2</v>
      </c>
      <c r="P1549" s="8">
        <v>2</v>
      </c>
      <c r="Q1549" s="8">
        <v>2</v>
      </c>
      <c r="R1549" s="8">
        <v>2</v>
      </c>
      <c r="S1549" s="8">
        <v>2</v>
      </c>
      <c r="T1549" s="8">
        <v>2</v>
      </c>
      <c r="U1549" s="8">
        <v>0</v>
      </c>
      <c r="V1549" s="8">
        <v>2</v>
      </c>
      <c r="W1549" s="8">
        <v>2</v>
      </c>
      <c r="X1549" s="8">
        <v>2</v>
      </c>
      <c r="Y1549" s="8">
        <v>2</v>
      </c>
      <c r="Z1549" s="8">
        <v>2</v>
      </c>
      <c r="AA1549" s="8">
        <v>2</v>
      </c>
      <c r="AB1549" s="8">
        <v>0</v>
      </c>
      <c r="AC1549" s="8">
        <v>2</v>
      </c>
      <c r="AD1549" s="8">
        <v>2</v>
      </c>
      <c r="AE1549" s="8">
        <v>2</v>
      </c>
      <c r="AF1549" s="8">
        <v>2</v>
      </c>
      <c r="AG1549" s="8">
        <v>2</v>
      </c>
      <c r="AH1549" s="8">
        <v>0</v>
      </c>
      <c r="AI1549" s="8">
        <v>0</v>
      </c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11" t="s">
        <v>251</v>
      </c>
    </row>
    <row r="1550" spans="1:46" ht="15.1" customHeight="1">
      <c r="A1550" s="8"/>
      <c r="B1550" s="9"/>
      <c r="C1550" s="8"/>
      <c r="D1550" s="9"/>
      <c r="E1550" s="8">
        <v>1</v>
      </c>
      <c r="F1550" s="8">
        <v>1</v>
      </c>
      <c r="G1550" s="8">
        <v>0</v>
      </c>
      <c r="H1550" s="8">
        <v>1</v>
      </c>
      <c r="I1550" s="8">
        <v>1</v>
      </c>
      <c r="J1550" s="8">
        <v>1</v>
      </c>
      <c r="K1550" s="8">
        <v>1</v>
      </c>
      <c r="L1550" s="8">
        <v>1</v>
      </c>
      <c r="M1550" s="8">
        <v>1</v>
      </c>
      <c r="N1550" s="8">
        <v>0</v>
      </c>
      <c r="O1550" s="8">
        <v>1</v>
      </c>
      <c r="P1550" s="8">
        <v>1</v>
      </c>
      <c r="Q1550" s="8">
        <v>1</v>
      </c>
      <c r="R1550" s="8">
        <v>1</v>
      </c>
      <c r="S1550" s="8">
        <v>1</v>
      </c>
      <c r="T1550" s="8">
        <v>1</v>
      </c>
      <c r="U1550" s="8">
        <v>0</v>
      </c>
      <c r="V1550" s="8">
        <v>1</v>
      </c>
      <c r="W1550" s="8">
        <v>1</v>
      </c>
      <c r="X1550" s="8">
        <v>1</v>
      </c>
      <c r="Y1550" s="8">
        <v>1</v>
      </c>
      <c r="Z1550" s="8">
        <v>1</v>
      </c>
      <c r="AA1550" s="8">
        <v>1</v>
      </c>
      <c r="AB1550" s="8">
        <v>0</v>
      </c>
      <c r="AC1550" s="8">
        <v>1</v>
      </c>
      <c r="AD1550" s="8">
        <v>1</v>
      </c>
      <c r="AE1550" s="8">
        <v>1</v>
      </c>
      <c r="AF1550" s="8">
        <v>1</v>
      </c>
      <c r="AG1550" s="8">
        <v>1</v>
      </c>
      <c r="AH1550" s="8">
        <v>0</v>
      </c>
      <c r="AI1550" s="8">
        <v>0</v>
      </c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11" t="s">
        <v>251</v>
      </c>
    </row>
    <row r="1551" spans="1:46" ht="15.1" customHeight="1">
      <c r="A1551" s="8">
        <v>516</v>
      </c>
      <c r="B1551" s="9" t="s">
        <v>1281</v>
      </c>
      <c r="C1551" s="8" t="s">
        <v>1282</v>
      </c>
      <c r="D1551" s="9" t="s">
        <v>451</v>
      </c>
      <c r="E1551" s="8" t="s">
        <v>54</v>
      </c>
      <c r="F1551" s="8" t="s">
        <v>54</v>
      </c>
      <c r="G1551" s="10" t="s">
        <v>67</v>
      </c>
      <c r="H1551" s="8" t="s">
        <v>54</v>
      </c>
      <c r="I1551" s="8" t="s">
        <v>54</v>
      </c>
      <c r="J1551" s="8" t="s">
        <v>54</v>
      </c>
      <c r="K1551" s="8" t="s">
        <v>54</v>
      </c>
      <c r="L1551" s="8" t="s">
        <v>54</v>
      </c>
      <c r="M1551" s="8" t="s">
        <v>54</v>
      </c>
      <c r="N1551" s="10" t="s">
        <v>67</v>
      </c>
      <c r="O1551" s="8" t="s">
        <v>54</v>
      </c>
      <c r="P1551" s="8" t="s">
        <v>54</v>
      </c>
      <c r="Q1551" s="8" t="s">
        <v>54</v>
      </c>
      <c r="R1551" s="8" t="s">
        <v>54</v>
      </c>
      <c r="S1551" s="8" t="s">
        <v>54</v>
      </c>
      <c r="T1551" s="8" t="s">
        <v>54</v>
      </c>
      <c r="U1551" s="10" t="s">
        <v>67</v>
      </c>
      <c r="V1551" s="8" t="s">
        <v>54</v>
      </c>
      <c r="W1551" s="8" t="s">
        <v>54</v>
      </c>
      <c r="X1551" s="8" t="s">
        <v>54</v>
      </c>
      <c r="Y1551" s="8" t="s">
        <v>54</v>
      </c>
      <c r="Z1551" s="8" t="s">
        <v>54</v>
      </c>
      <c r="AA1551" s="8" t="s">
        <v>54</v>
      </c>
      <c r="AB1551" s="10" t="s">
        <v>67</v>
      </c>
      <c r="AC1551" s="8" t="s">
        <v>54</v>
      </c>
      <c r="AD1551" s="8" t="s">
        <v>54</v>
      </c>
      <c r="AE1551" s="8" t="s">
        <v>54</v>
      </c>
      <c r="AF1551" s="8" t="s">
        <v>54</v>
      </c>
      <c r="AG1551" s="8" t="s">
        <v>54</v>
      </c>
      <c r="AH1551" s="8" t="s">
        <v>54</v>
      </c>
      <c r="AI1551" s="10" t="s">
        <v>67</v>
      </c>
      <c r="AJ1551" s="8">
        <f>COUNTIF($E$1551:$AI$1551,"P")</f>
        <v>26</v>
      </c>
      <c r="AK1551" s="8">
        <f>COUNTIF($E$1551:$AI$1551,"A")</f>
        <v>0</v>
      </c>
      <c r="AL1551" s="8">
        <f>SUM($E$1552:$AI$1552)</f>
        <v>50</v>
      </c>
      <c r="AM1551" s="8">
        <f>SUM($E$1553:$AI$1553)</f>
        <v>25</v>
      </c>
      <c r="AN1551" s="8">
        <f>AL1551+AM1551</f>
        <v>75</v>
      </c>
      <c r="AO1551" s="8">
        <f>COUNTIF($E$1551:$AI$1551,"CL")</f>
        <v>0</v>
      </c>
      <c r="AP1551" s="8">
        <f>COUNTIF($E$1551:$AI$1551,"SL")</f>
        <v>0</v>
      </c>
      <c r="AQ1551" s="8">
        <f>COUNTIF($E$1551:$AI$1551,"EL")</f>
        <v>0</v>
      </c>
      <c r="AR1551" s="8">
        <f>COUNTIF($E$1551:$AI$1551,"H")</f>
        <v>0</v>
      </c>
      <c r="AS1551" s="8"/>
      <c r="AT1551" s="11" t="s">
        <v>251</v>
      </c>
    </row>
    <row r="1552" spans="1:46" ht="15.1" customHeight="1">
      <c r="A1552" s="8"/>
      <c r="B1552" s="9"/>
      <c r="C1552" s="8"/>
      <c r="D1552" s="9"/>
      <c r="E1552" s="8">
        <v>2</v>
      </c>
      <c r="F1552" s="8">
        <v>2</v>
      </c>
      <c r="G1552" s="8">
        <v>0</v>
      </c>
      <c r="H1552" s="8">
        <v>2</v>
      </c>
      <c r="I1552" s="8">
        <v>2</v>
      </c>
      <c r="J1552" s="8">
        <v>2</v>
      </c>
      <c r="K1552" s="8">
        <v>2</v>
      </c>
      <c r="L1552" s="8">
        <v>2</v>
      </c>
      <c r="M1552" s="8">
        <v>2</v>
      </c>
      <c r="N1552" s="8">
        <v>0</v>
      </c>
      <c r="O1552" s="8">
        <v>2</v>
      </c>
      <c r="P1552" s="8">
        <v>2</v>
      </c>
      <c r="Q1552" s="8">
        <v>2</v>
      </c>
      <c r="R1552" s="8">
        <v>2</v>
      </c>
      <c r="S1552" s="8">
        <v>2</v>
      </c>
      <c r="T1552" s="8">
        <v>2</v>
      </c>
      <c r="U1552" s="8">
        <v>0</v>
      </c>
      <c r="V1552" s="8">
        <v>2</v>
      </c>
      <c r="W1552" s="8">
        <v>2</v>
      </c>
      <c r="X1552" s="8">
        <v>2</v>
      </c>
      <c r="Y1552" s="8">
        <v>2</v>
      </c>
      <c r="Z1552" s="8">
        <v>0</v>
      </c>
      <c r="AA1552" s="8">
        <v>2</v>
      </c>
      <c r="AB1552" s="8">
        <v>0</v>
      </c>
      <c r="AC1552" s="8">
        <v>2</v>
      </c>
      <c r="AD1552" s="8">
        <v>2</v>
      </c>
      <c r="AE1552" s="8">
        <v>2</v>
      </c>
      <c r="AF1552" s="8">
        <v>2</v>
      </c>
      <c r="AG1552" s="8">
        <v>2</v>
      </c>
      <c r="AH1552" s="8">
        <v>2</v>
      </c>
      <c r="AI1552" s="8">
        <v>0</v>
      </c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11" t="s">
        <v>251</v>
      </c>
    </row>
    <row r="1553" spans="1:46" ht="15.1" customHeight="1">
      <c r="A1553" s="8"/>
      <c r="B1553" s="9"/>
      <c r="C1553" s="8"/>
      <c r="D1553" s="9"/>
      <c r="E1553" s="8">
        <v>1</v>
      </c>
      <c r="F1553" s="8">
        <v>1</v>
      </c>
      <c r="G1553" s="8">
        <v>0</v>
      </c>
      <c r="H1553" s="8">
        <v>1</v>
      </c>
      <c r="I1553" s="8">
        <v>1</v>
      </c>
      <c r="J1553" s="8">
        <v>1</v>
      </c>
      <c r="K1553" s="8">
        <v>1</v>
      </c>
      <c r="L1553" s="8">
        <v>1</v>
      </c>
      <c r="M1553" s="8">
        <v>1</v>
      </c>
      <c r="N1553" s="8">
        <v>0</v>
      </c>
      <c r="O1553" s="8">
        <v>1</v>
      </c>
      <c r="P1553" s="8">
        <v>1</v>
      </c>
      <c r="Q1553" s="8">
        <v>1</v>
      </c>
      <c r="R1553" s="8">
        <v>1</v>
      </c>
      <c r="S1553" s="8">
        <v>1</v>
      </c>
      <c r="T1553" s="8">
        <v>1</v>
      </c>
      <c r="U1553" s="8">
        <v>0</v>
      </c>
      <c r="V1553" s="8">
        <v>1</v>
      </c>
      <c r="W1553" s="8">
        <v>1</v>
      </c>
      <c r="X1553" s="8">
        <v>1</v>
      </c>
      <c r="Y1553" s="8">
        <v>1</v>
      </c>
      <c r="Z1553" s="8">
        <v>0</v>
      </c>
      <c r="AA1553" s="8">
        <v>1</v>
      </c>
      <c r="AB1553" s="8">
        <v>0</v>
      </c>
      <c r="AC1553" s="8">
        <v>1</v>
      </c>
      <c r="AD1553" s="8">
        <v>1</v>
      </c>
      <c r="AE1553" s="8">
        <v>1</v>
      </c>
      <c r="AF1553" s="8">
        <v>1</v>
      </c>
      <c r="AG1553" s="8">
        <v>1</v>
      </c>
      <c r="AH1553" s="8">
        <v>1</v>
      </c>
      <c r="AI1553" s="8">
        <v>0</v>
      </c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11" t="s">
        <v>251</v>
      </c>
    </row>
    <row r="1554" spans="1:46" ht="15.1" customHeight="1">
      <c r="A1554" s="8">
        <v>517</v>
      </c>
      <c r="B1554" s="9" t="s">
        <v>1283</v>
      </c>
      <c r="C1554" s="8" t="s">
        <v>1284</v>
      </c>
      <c r="D1554" s="9" t="s">
        <v>451</v>
      </c>
      <c r="E1554" s="8" t="s">
        <v>54</v>
      </c>
      <c r="F1554" s="8" t="s">
        <v>54</v>
      </c>
      <c r="G1554" s="10" t="s">
        <v>67</v>
      </c>
      <c r="H1554" s="8" t="s">
        <v>54</v>
      </c>
      <c r="I1554" s="8" t="s">
        <v>54</v>
      </c>
      <c r="J1554" s="8" t="s">
        <v>54</v>
      </c>
      <c r="K1554" s="8" t="s">
        <v>54</v>
      </c>
      <c r="L1554" s="8" t="s">
        <v>54</v>
      </c>
      <c r="M1554" s="8" t="s">
        <v>54</v>
      </c>
      <c r="N1554" s="10" t="s">
        <v>67</v>
      </c>
      <c r="O1554" s="8" t="s">
        <v>54</v>
      </c>
      <c r="P1554" s="8" t="s">
        <v>54</v>
      </c>
      <c r="Q1554" s="8" t="s">
        <v>54</v>
      </c>
      <c r="R1554" s="8" t="s">
        <v>54</v>
      </c>
      <c r="S1554" s="8" t="s">
        <v>54</v>
      </c>
      <c r="T1554" s="8" t="s">
        <v>54</v>
      </c>
      <c r="U1554" s="10" t="s">
        <v>67</v>
      </c>
      <c r="V1554" s="8" t="s">
        <v>54</v>
      </c>
      <c r="W1554" s="8" t="s">
        <v>54</v>
      </c>
      <c r="X1554" s="8" t="s">
        <v>54</v>
      </c>
      <c r="Y1554" s="8" t="s">
        <v>54</v>
      </c>
      <c r="Z1554" s="8" t="s">
        <v>54</v>
      </c>
      <c r="AA1554" s="8" t="s">
        <v>54</v>
      </c>
      <c r="AB1554" s="10" t="s">
        <v>67</v>
      </c>
      <c r="AC1554" s="8" t="s">
        <v>54</v>
      </c>
      <c r="AD1554" s="8" t="s">
        <v>54</v>
      </c>
      <c r="AE1554" s="8" t="s">
        <v>54</v>
      </c>
      <c r="AF1554" s="8" t="s">
        <v>54</v>
      </c>
      <c r="AG1554" s="8" t="s">
        <v>54</v>
      </c>
      <c r="AH1554" s="8" t="s">
        <v>54</v>
      </c>
      <c r="AI1554" s="10" t="s">
        <v>67</v>
      </c>
      <c r="AJ1554" s="8">
        <f>COUNTIF($E$1554:$AI$1554,"P")</f>
        <v>26</v>
      </c>
      <c r="AK1554" s="8">
        <f>COUNTIF($E$1554:$AI$1554,"A")</f>
        <v>0</v>
      </c>
      <c r="AL1554" s="8">
        <f>SUM($E$1555:$AI$1555)</f>
        <v>50</v>
      </c>
      <c r="AM1554" s="8">
        <f>SUM($E$1556:$AI$1556)</f>
        <v>25</v>
      </c>
      <c r="AN1554" s="8">
        <f>AL1554+AM1554</f>
        <v>75</v>
      </c>
      <c r="AO1554" s="8">
        <f>COUNTIF($E$1554:$AI$1554,"CL")</f>
        <v>0</v>
      </c>
      <c r="AP1554" s="8">
        <f>COUNTIF($E$1554:$AI$1554,"SL")</f>
        <v>0</v>
      </c>
      <c r="AQ1554" s="8">
        <f>COUNTIF($E$1554:$AI$1554,"EL")</f>
        <v>0</v>
      </c>
      <c r="AR1554" s="8">
        <f>COUNTIF($E$1554:$AI$1554,"H")</f>
        <v>0</v>
      </c>
      <c r="AS1554" s="8"/>
      <c r="AT1554" s="11" t="s">
        <v>251</v>
      </c>
    </row>
    <row r="1555" spans="1:46" ht="15.1" customHeight="1">
      <c r="A1555" s="8"/>
      <c r="B1555" s="9"/>
      <c r="C1555" s="8"/>
      <c r="D1555" s="9"/>
      <c r="E1555" s="8">
        <v>2</v>
      </c>
      <c r="F1555" s="8">
        <v>2</v>
      </c>
      <c r="G1555" s="8">
        <v>0</v>
      </c>
      <c r="H1555" s="8">
        <v>2</v>
      </c>
      <c r="I1555" s="8">
        <v>2</v>
      </c>
      <c r="J1555" s="8">
        <v>2</v>
      </c>
      <c r="K1555" s="8">
        <v>2</v>
      </c>
      <c r="L1555" s="8">
        <v>2</v>
      </c>
      <c r="M1555" s="8">
        <v>2</v>
      </c>
      <c r="N1555" s="8">
        <v>0</v>
      </c>
      <c r="O1555" s="8">
        <v>2</v>
      </c>
      <c r="P1555" s="8">
        <v>2</v>
      </c>
      <c r="Q1555" s="8">
        <v>2</v>
      </c>
      <c r="R1555" s="8">
        <v>2</v>
      </c>
      <c r="S1555" s="8">
        <v>2</v>
      </c>
      <c r="T1555" s="8">
        <v>2</v>
      </c>
      <c r="U1555" s="8">
        <v>0</v>
      </c>
      <c r="V1555" s="8">
        <v>2</v>
      </c>
      <c r="W1555" s="8">
        <v>2</v>
      </c>
      <c r="X1555" s="8">
        <v>2</v>
      </c>
      <c r="Y1555" s="8">
        <v>2</v>
      </c>
      <c r="Z1555" s="8">
        <v>0</v>
      </c>
      <c r="AA1555" s="8">
        <v>2</v>
      </c>
      <c r="AB1555" s="8">
        <v>0</v>
      </c>
      <c r="AC1555" s="8">
        <v>2</v>
      </c>
      <c r="AD1555" s="8">
        <v>2</v>
      </c>
      <c r="AE1555" s="8">
        <v>2</v>
      </c>
      <c r="AF1555" s="8">
        <v>2</v>
      </c>
      <c r="AG1555" s="8">
        <v>2</v>
      </c>
      <c r="AH1555" s="8">
        <v>2</v>
      </c>
      <c r="AI1555" s="8">
        <v>0</v>
      </c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11" t="s">
        <v>251</v>
      </c>
    </row>
    <row r="1556" spans="1:46" ht="15.1" customHeight="1">
      <c r="A1556" s="8"/>
      <c r="B1556" s="9"/>
      <c r="C1556" s="8"/>
      <c r="D1556" s="9"/>
      <c r="E1556" s="8">
        <v>1</v>
      </c>
      <c r="F1556" s="8">
        <v>1</v>
      </c>
      <c r="G1556" s="8">
        <v>0</v>
      </c>
      <c r="H1556" s="8">
        <v>1</v>
      </c>
      <c r="I1556" s="8">
        <v>1</v>
      </c>
      <c r="J1556" s="8">
        <v>1</v>
      </c>
      <c r="K1556" s="8">
        <v>1</v>
      </c>
      <c r="L1556" s="8">
        <v>1</v>
      </c>
      <c r="M1556" s="8">
        <v>1</v>
      </c>
      <c r="N1556" s="8">
        <v>0</v>
      </c>
      <c r="O1556" s="8">
        <v>1</v>
      </c>
      <c r="P1556" s="8">
        <v>1</v>
      </c>
      <c r="Q1556" s="8">
        <v>1</v>
      </c>
      <c r="R1556" s="8">
        <v>1</v>
      </c>
      <c r="S1556" s="8">
        <v>1</v>
      </c>
      <c r="T1556" s="8">
        <v>1</v>
      </c>
      <c r="U1556" s="8">
        <v>0</v>
      </c>
      <c r="V1556" s="8">
        <v>1</v>
      </c>
      <c r="W1556" s="8">
        <v>1</v>
      </c>
      <c r="X1556" s="8">
        <v>1</v>
      </c>
      <c r="Y1556" s="8">
        <v>1</v>
      </c>
      <c r="Z1556" s="8">
        <v>0</v>
      </c>
      <c r="AA1556" s="8">
        <v>1</v>
      </c>
      <c r="AB1556" s="8">
        <v>0</v>
      </c>
      <c r="AC1556" s="8">
        <v>1</v>
      </c>
      <c r="AD1556" s="8">
        <v>1</v>
      </c>
      <c r="AE1556" s="8">
        <v>1</v>
      </c>
      <c r="AF1556" s="8">
        <v>1</v>
      </c>
      <c r="AG1556" s="8">
        <v>1</v>
      </c>
      <c r="AH1556" s="8">
        <v>1</v>
      </c>
      <c r="AI1556" s="8">
        <v>0</v>
      </c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11" t="s">
        <v>251</v>
      </c>
    </row>
    <row r="1557" spans="1:46" ht="15.1" customHeight="1">
      <c r="A1557" s="8">
        <v>518</v>
      </c>
      <c r="B1557" s="9" t="s">
        <v>1285</v>
      </c>
      <c r="C1557" s="8" t="s">
        <v>1286</v>
      </c>
      <c r="D1557" s="9" t="s">
        <v>451</v>
      </c>
      <c r="E1557" s="8" t="s">
        <v>54</v>
      </c>
      <c r="F1557" s="8" t="s">
        <v>54</v>
      </c>
      <c r="G1557" s="10" t="s">
        <v>67</v>
      </c>
      <c r="H1557" s="8" t="s">
        <v>54</v>
      </c>
      <c r="I1557" s="12" t="s">
        <v>55</v>
      </c>
      <c r="J1557" s="12" t="s">
        <v>55</v>
      </c>
      <c r="K1557" s="8" t="s">
        <v>54</v>
      </c>
      <c r="L1557" s="8" t="s">
        <v>54</v>
      </c>
      <c r="M1557" s="8" t="s">
        <v>54</v>
      </c>
      <c r="N1557" s="10" t="s">
        <v>67</v>
      </c>
      <c r="O1557" s="8" t="s">
        <v>54</v>
      </c>
      <c r="P1557" s="8" t="s">
        <v>54</v>
      </c>
      <c r="Q1557" s="8" t="s">
        <v>54</v>
      </c>
      <c r="R1557" s="8" t="s">
        <v>54</v>
      </c>
      <c r="S1557" s="8" t="s">
        <v>54</v>
      </c>
      <c r="T1557" s="8" t="s">
        <v>54</v>
      </c>
      <c r="U1557" s="10" t="s">
        <v>67</v>
      </c>
      <c r="V1557" s="12" t="s">
        <v>55</v>
      </c>
      <c r="W1557" s="8" t="s">
        <v>54</v>
      </c>
      <c r="X1557" s="8" t="s">
        <v>54</v>
      </c>
      <c r="Y1557" s="8" t="s">
        <v>54</v>
      </c>
      <c r="Z1557" s="8" t="s">
        <v>54</v>
      </c>
      <c r="AA1557" s="12" t="s">
        <v>55</v>
      </c>
      <c r="AB1557" s="10" t="s">
        <v>67</v>
      </c>
      <c r="AC1557" s="8" t="s">
        <v>54</v>
      </c>
      <c r="AD1557" s="8" t="s">
        <v>54</v>
      </c>
      <c r="AE1557" s="8" t="s">
        <v>54</v>
      </c>
      <c r="AF1557" s="8" t="s">
        <v>54</v>
      </c>
      <c r="AG1557" s="12" t="s">
        <v>55</v>
      </c>
      <c r="AH1557" s="12" t="s">
        <v>55</v>
      </c>
      <c r="AI1557" s="10" t="s">
        <v>67</v>
      </c>
      <c r="AJ1557" s="8">
        <f>COUNTIF($E$1557:$AI$1557,"P")</f>
        <v>20</v>
      </c>
      <c r="AK1557" s="8">
        <f>COUNTIF($E$1557:$AI$1557,"A")</f>
        <v>6</v>
      </c>
      <c r="AL1557" s="8">
        <f>SUM($E$1558:$AI$1558)</f>
        <v>32</v>
      </c>
      <c r="AM1557" s="8">
        <f>SUM($E$1559:$AI$1559)</f>
        <v>15</v>
      </c>
      <c r="AN1557" s="8">
        <f>AL1557+AM1557</f>
        <v>47</v>
      </c>
      <c r="AO1557" s="8">
        <f>COUNTIF($E$1557:$AI$1557,"CL")</f>
        <v>0</v>
      </c>
      <c r="AP1557" s="8">
        <f>COUNTIF($E$1557:$AI$1557,"SL")</f>
        <v>0</v>
      </c>
      <c r="AQ1557" s="8">
        <f>COUNTIF($E$1557:$AI$1557,"EL")</f>
        <v>0</v>
      </c>
      <c r="AR1557" s="8">
        <f>COUNTIF($E$1557:$AI$1557,"H")</f>
        <v>0</v>
      </c>
      <c r="AS1557" s="8"/>
      <c r="AT1557" s="11" t="s">
        <v>251</v>
      </c>
    </row>
    <row r="1558" spans="1:46" ht="15.1" customHeight="1">
      <c r="A1558" s="8"/>
      <c r="B1558" s="9"/>
      <c r="C1558" s="8"/>
      <c r="D1558" s="9"/>
      <c r="E1558" s="8">
        <v>0</v>
      </c>
      <c r="F1558" s="8">
        <v>0</v>
      </c>
      <c r="G1558" s="8">
        <v>0</v>
      </c>
      <c r="H1558" s="8">
        <v>2</v>
      </c>
      <c r="I1558" s="8">
        <v>0</v>
      </c>
      <c r="J1558" s="8">
        <v>0</v>
      </c>
      <c r="K1558" s="8">
        <v>0</v>
      </c>
      <c r="L1558" s="8">
        <v>2</v>
      </c>
      <c r="M1558" s="8">
        <v>2</v>
      </c>
      <c r="N1558" s="8">
        <v>0</v>
      </c>
      <c r="O1558" s="8">
        <v>2</v>
      </c>
      <c r="P1558" s="8">
        <v>2</v>
      </c>
      <c r="Q1558" s="8">
        <v>2</v>
      </c>
      <c r="R1558" s="8">
        <v>2</v>
      </c>
      <c r="S1558" s="8">
        <v>2</v>
      </c>
      <c r="T1558" s="8">
        <v>2</v>
      </c>
      <c r="U1558" s="8">
        <v>0</v>
      </c>
      <c r="V1558" s="8">
        <v>0</v>
      </c>
      <c r="W1558" s="8">
        <v>2</v>
      </c>
      <c r="X1558" s="8">
        <v>2</v>
      </c>
      <c r="Y1558" s="8">
        <v>2</v>
      </c>
      <c r="Z1558" s="8">
        <v>0</v>
      </c>
      <c r="AA1558" s="8">
        <v>0</v>
      </c>
      <c r="AB1558" s="8">
        <v>0</v>
      </c>
      <c r="AC1558" s="8">
        <v>2</v>
      </c>
      <c r="AD1558" s="8">
        <v>2</v>
      </c>
      <c r="AE1558" s="8">
        <v>2</v>
      </c>
      <c r="AF1558" s="8">
        <v>2</v>
      </c>
      <c r="AG1558" s="8">
        <v>0</v>
      </c>
      <c r="AH1558" s="8">
        <v>0</v>
      </c>
      <c r="AI1558" s="8">
        <v>0</v>
      </c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11" t="s">
        <v>251</v>
      </c>
    </row>
    <row r="1559" spans="1:46" ht="15.1" customHeight="1">
      <c r="A1559" s="8"/>
      <c r="B1559" s="9"/>
      <c r="C1559" s="8"/>
      <c r="D1559" s="9"/>
      <c r="E1559" s="8">
        <v>0</v>
      </c>
      <c r="F1559" s="8">
        <v>0</v>
      </c>
      <c r="G1559" s="8">
        <v>0</v>
      </c>
      <c r="H1559" s="8">
        <v>1</v>
      </c>
      <c r="I1559" s="8">
        <v>0</v>
      </c>
      <c r="J1559" s="8">
        <v>0</v>
      </c>
      <c r="K1559" s="8">
        <v>0</v>
      </c>
      <c r="L1559" s="8">
        <v>1</v>
      </c>
      <c r="M1559" s="8">
        <v>1</v>
      </c>
      <c r="N1559" s="8">
        <v>0</v>
      </c>
      <c r="O1559" s="8">
        <v>1</v>
      </c>
      <c r="P1559" s="8">
        <v>1</v>
      </c>
      <c r="Q1559" s="8">
        <v>1</v>
      </c>
      <c r="R1559" s="8">
        <v>1</v>
      </c>
      <c r="S1559" s="8">
        <v>1</v>
      </c>
      <c r="T1559" s="8">
        <v>1</v>
      </c>
      <c r="U1559" s="8">
        <v>0</v>
      </c>
      <c r="V1559" s="8">
        <v>0</v>
      </c>
      <c r="W1559" s="8">
        <v>0</v>
      </c>
      <c r="X1559" s="8">
        <v>1</v>
      </c>
      <c r="Y1559" s="8">
        <v>1</v>
      </c>
      <c r="Z1559" s="8">
        <v>0</v>
      </c>
      <c r="AA1559" s="8">
        <v>0</v>
      </c>
      <c r="AB1559" s="8">
        <v>0</v>
      </c>
      <c r="AC1559" s="8">
        <v>1</v>
      </c>
      <c r="AD1559" s="8">
        <v>1</v>
      </c>
      <c r="AE1559" s="8">
        <v>1</v>
      </c>
      <c r="AF1559" s="8">
        <v>1</v>
      </c>
      <c r="AG1559" s="8">
        <v>0</v>
      </c>
      <c r="AH1559" s="8">
        <v>0</v>
      </c>
      <c r="AI1559" s="8">
        <v>0</v>
      </c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11" t="s">
        <v>251</v>
      </c>
    </row>
    <row r="1560" spans="1:46" ht="15.1" customHeight="1">
      <c r="A1560" s="8">
        <v>519</v>
      </c>
      <c r="B1560" s="9" t="s">
        <v>1287</v>
      </c>
      <c r="C1560" s="8" t="s">
        <v>1288</v>
      </c>
      <c r="D1560" s="9" t="s">
        <v>451</v>
      </c>
      <c r="E1560" s="8" t="s">
        <v>54</v>
      </c>
      <c r="F1560" s="8" t="s">
        <v>54</v>
      </c>
      <c r="G1560" s="10" t="s">
        <v>67</v>
      </c>
      <c r="H1560" s="8" t="s">
        <v>54</v>
      </c>
      <c r="I1560" s="8" t="s">
        <v>54</v>
      </c>
      <c r="J1560" s="8" t="s">
        <v>54</v>
      </c>
      <c r="K1560" s="8" t="s">
        <v>54</v>
      </c>
      <c r="L1560" s="8" t="s">
        <v>54</v>
      </c>
      <c r="M1560" s="8" t="s">
        <v>54</v>
      </c>
      <c r="N1560" s="10" t="s">
        <v>67</v>
      </c>
      <c r="O1560" s="8" t="s">
        <v>54</v>
      </c>
      <c r="P1560" s="8" t="s">
        <v>54</v>
      </c>
      <c r="Q1560" s="8" t="s">
        <v>54</v>
      </c>
      <c r="R1560" s="8" t="s">
        <v>54</v>
      </c>
      <c r="S1560" s="8" t="s">
        <v>54</v>
      </c>
      <c r="T1560" s="8" t="s">
        <v>54</v>
      </c>
      <c r="U1560" s="10" t="s">
        <v>67</v>
      </c>
      <c r="V1560" s="8" t="s">
        <v>54</v>
      </c>
      <c r="W1560" s="8" t="s">
        <v>54</v>
      </c>
      <c r="X1560" s="8" t="s">
        <v>54</v>
      </c>
      <c r="Y1560" s="8" t="s">
        <v>54</v>
      </c>
      <c r="Z1560" s="8" t="s">
        <v>54</v>
      </c>
      <c r="AA1560" s="12" t="s">
        <v>55</v>
      </c>
      <c r="AB1560" s="10" t="s">
        <v>67</v>
      </c>
      <c r="AC1560" s="12" t="s">
        <v>55</v>
      </c>
      <c r="AD1560" s="12" t="s">
        <v>55</v>
      </c>
      <c r="AE1560" s="8" t="s">
        <v>54</v>
      </c>
      <c r="AF1560" s="8" t="s">
        <v>54</v>
      </c>
      <c r="AG1560" s="8" t="s">
        <v>54</v>
      </c>
      <c r="AH1560" s="8" t="s">
        <v>54</v>
      </c>
      <c r="AI1560" s="10" t="s">
        <v>67</v>
      </c>
      <c r="AJ1560" s="8">
        <f>COUNTIF($E$1560:$AI$1560,"P")</f>
        <v>23</v>
      </c>
      <c r="AK1560" s="8">
        <f>COUNTIF($E$1560:$AI$1560,"A")</f>
        <v>3</v>
      </c>
      <c r="AL1560" s="8">
        <f>SUM($E$1561:$AI$1561)</f>
        <v>42</v>
      </c>
      <c r="AM1560" s="8">
        <f>SUM($E$1562:$AI$1562)</f>
        <v>21</v>
      </c>
      <c r="AN1560" s="8">
        <f>AL1560+AM1560</f>
        <v>63</v>
      </c>
      <c r="AO1560" s="8">
        <f>COUNTIF($E$1560:$AI$1560,"CL")</f>
        <v>0</v>
      </c>
      <c r="AP1560" s="8">
        <f>COUNTIF($E$1560:$AI$1560,"SL")</f>
        <v>0</v>
      </c>
      <c r="AQ1560" s="8">
        <f>COUNTIF($E$1560:$AI$1560,"EL")</f>
        <v>0</v>
      </c>
      <c r="AR1560" s="8">
        <f>COUNTIF($E$1560:$AI$1560,"H")</f>
        <v>0</v>
      </c>
      <c r="AS1560" s="8"/>
      <c r="AT1560" s="11" t="s">
        <v>251</v>
      </c>
    </row>
    <row r="1561" spans="1:46" ht="15.1" customHeight="1">
      <c r="A1561" s="8"/>
      <c r="B1561" s="9"/>
      <c r="C1561" s="8"/>
      <c r="D1561" s="9"/>
      <c r="E1561" s="8">
        <v>2</v>
      </c>
      <c r="F1561" s="8">
        <v>2</v>
      </c>
      <c r="G1561" s="8">
        <v>0</v>
      </c>
      <c r="H1561" s="8">
        <v>2</v>
      </c>
      <c r="I1561" s="8">
        <v>2</v>
      </c>
      <c r="J1561" s="8">
        <v>0</v>
      </c>
      <c r="K1561" s="8">
        <v>2</v>
      </c>
      <c r="L1561" s="8">
        <v>2</v>
      </c>
      <c r="M1561" s="8">
        <v>2</v>
      </c>
      <c r="N1561" s="8">
        <v>0</v>
      </c>
      <c r="O1561" s="8">
        <v>2</v>
      </c>
      <c r="P1561" s="8">
        <v>2</v>
      </c>
      <c r="Q1561" s="8">
        <v>2</v>
      </c>
      <c r="R1561" s="8">
        <v>2</v>
      </c>
      <c r="S1561" s="8">
        <v>2</v>
      </c>
      <c r="T1561" s="8">
        <v>0</v>
      </c>
      <c r="U1561" s="8">
        <v>0</v>
      </c>
      <c r="V1561" s="8">
        <v>2</v>
      </c>
      <c r="W1561" s="8">
        <v>2</v>
      </c>
      <c r="X1561" s="8">
        <v>2</v>
      </c>
      <c r="Y1561" s="8">
        <v>2</v>
      </c>
      <c r="Z1561" s="8">
        <v>2</v>
      </c>
      <c r="AA1561" s="8">
        <v>0</v>
      </c>
      <c r="AB1561" s="8">
        <v>0</v>
      </c>
      <c r="AC1561" s="8">
        <v>0</v>
      </c>
      <c r="AD1561" s="8">
        <v>0</v>
      </c>
      <c r="AE1561" s="8">
        <v>2</v>
      </c>
      <c r="AF1561" s="8">
        <v>2</v>
      </c>
      <c r="AG1561" s="8">
        <v>2</v>
      </c>
      <c r="AH1561" s="8">
        <v>2</v>
      </c>
      <c r="AI1561" s="8">
        <v>0</v>
      </c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11" t="s">
        <v>251</v>
      </c>
    </row>
    <row r="1562" spans="1:46" ht="15.1" customHeight="1">
      <c r="A1562" s="8"/>
      <c r="B1562" s="9"/>
      <c r="C1562" s="8"/>
      <c r="D1562" s="9"/>
      <c r="E1562" s="8">
        <v>1</v>
      </c>
      <c r="F1562" s="8">
        <v>1</v>
      </c>
      <c r="G1562" s="8">
        <v>0</v>
      </c>
      <c r="H1562" s="8">
        <v>1</v>
      </c>
      <c r="I1562" s="8">
        <v>1</v>
      </c>
      <c r="J1562" s="8">
        <v>0</v>
      </c>
      <c r="K1562" s="8">
        <v>1</v>
      </c>
      <c r="L1562" s="8">
        <v>1</v>
      </c>
      <c r="M1562" s="8">
        <v>1</v>
      </c>
      <c r="N1562" s="8">
        <v>0</v>
      </c>
      <c r="O1562" s="8">
        <v>1</v>
      </c>
      <c r="P1562" s="8">
        <v>1</v>
      </c>
      <c r="Q1562" s="8">
        <v>1</v>
      </c>
      <c r="R1562" s="8">
        <v>1</v>
      </c>
      <c r="S1562" s="8">
        <v>1</v>
      </c>
      <c r="T1562" s="8">
        <v>0</v>
      </c>
      <c r="U1562" s="8">
        <v>0</v>
      </c>
      <c r="V1562" s="8">
        <v>1</v>
      </c>
      <c r="W1562" s="8">
        <v>1</v>
      </c>
      <c r="X1562" s="8">
        <v>1</v>
      </c>
      <c r="Y1562" s="8">
        <v>1</v>
      </c>
      <c r="Z1562" s="8">
        <v>1</v>
      </c>
      <c r="AA1562" s="8">
        <v>0</v>
      </c>
      <c r="AB1562" s="8">
        <v>0</v>
      </c>
      <c r="AC1562" s="8">
        <v>0</v>
      </c>
      <c r="AD1562" s="8">
        <v>0</v>
      </c>
      <c r="AE1562" s="8">
        <v>1</v>
      </c>
      <c r="AF1562" s="8">
        <v>1</v>
      </c>
      <c r="AG1562" s="8">
        <v>1</v>
      </c>
      <c r="AH1562" s="8">
        <v>1</v>
      </c>
      <c r="AI1562" s="8">
        <v>0</v>
      </c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11" t="s">
        <v>251</v>
      </c>
    </row>
    <row r="1563" spans="1:46" ht="15.1" customHeight="1">
      <c r="A1563" s="8">
        <v>520</v>
      </c>
      <c r="B1563" s="9" t="s">
        <v>1289</v>
      </c>
      <c r="C1563" s="8" t="s">
        <v>1290</v>
      </c>
      <c r="D1563" s="9" t="s">
        <v>451</v>
      </c>
      <c r="E1563" s="8" t="s">
        <v>54</v>
      </c>
      <c r="F1563" s="8" t="s">
        <v>54</v>
      </c>
      <c r="G1563" s="10" t="s">
        <v>67</v>
      </c>
      <c r="H1563" s="8" t="s">
        <v>54</v>
      </c>
      <c r="I1563" s="8" t="s">
        <v>54</v>
      </c>
      <c r="J1563" s="8" t="s">
        <v>54</v>
      </c>
      <c r="K1563" s="8" t="s">
        <v>54</v>
      </c>
      <c r="L1563" s="8" t="s">
        <v>54</v>
      </c>
      <c r="M1563" s="8" t="s">
        <v>54</v>
      </c>
      <c r="N1563" s="10" t="s">
        <v>67</v>
      </c>
      <c r="O1563" s="8" t="s">
        <v>54</v>
      </c>
      <c r="P1563" s="8" t="s">
        <v>54</v>
      </c>
      <c r="Q1563" s="8" t="s">
        <v>54</v>
      </c>
      <c r="R1563" s="8" t="s">
        <v>54</v>
      </c>
      <c r="S1563" s="8" t="s">
        <v>54</v>
      </c>
      <c r="T1563" s="8" t="s">
        <v>54</v>
      </c>
      <c r="U1563" s="10" t="s">
        <v>67</v>
      </c>
      <c r="V1563" s="8" t="s">
        <v>54</v>
      </c>
      <c r="W1563" s="12" t="s">
        <v>55</v>
      </c>
      <c r="X1563" s="12" t="s">
        <v>55</v>
      </c>
      <c r="Y1563" s="12" t="s">
        <v>55</v>
      </c>
      <c r="Z1563" s="12" t="s">
        <v>55</v>
      </c>
      <c r="AA1563" s="12" t="s">
        <v>55</v>
      </c>
      <c r="AB1563" s="10" t="s">
        <v>67</v>
      </c>
      <c r="AC1563" s="8" t="s">
        <v>54</v>
      </c>
      <c r="AD1563" s="8" t="s">
        <v>54</v>
      </c>
      <c r="AE1563" s="8" t="s">
        <v>54</v>
      </c>
      <c r="AF1563" s="8" t="s">
        <v>54</v>
      </c>
      <c r="AG1563" s="8" t="s">
        <v>54</v>
      </c>
      <c r="AH1563" s="8" t="s">
        <v>54</v>
      </c>
      <c r="AI1563" s="10" t="s">
        <v>67</v>
      </c>
      <c r="AJ1563" s="8">
        <f>COUNTIF($E$1563:$AI$1563,"P")</f>
        <v>21</v>
      </c>
      <c r="AK1563" s="8">
        <f>COUNTIF($E$1563:$AI$1563,"A")</f>
        <v>5</v>
      </c>
      <c r="AL1563" s="8">
        <f>SUM($E$1564:$AI$1564)</f>
        <v>38</v>
      </c>
      <c r="AM1563" s="8">
        <f>SUM($E$1565:$AI$1565)</f>
        <v>19</v>
      </c>
      <c r="AN1563" s="8">
        <f>AL1563+AM1563</f>
        <v>57</v>
      </c>
      <c r="AO1563" s="8">
        <f>COUNTIF($E$1563:$AI$1563,"CL")</f>
        <v>0</v>
      </c>
      <c r="AP1563" s="8">
        <f>COUNTIF($E$1563:$AI$1563,"SL")</f>
        <v>0</v>
      </c>
      <c r="AQ1563" s="8">
        <f>COUNTIF($E$1563:$AI$1563,"EL")</f>
        <v>0</v>
      </c>
      <c r="AR1563" s="8">
        <f>COUNTIF($E$1563:$AI$1563,"H")</f>
        <v>0</v>
      </c>
      <c r="AS1563" s="8"/>
      <c r="AT1563" s="11" t="s">
        <v>251</v>
      </c>
    </row>
    <row r="1564" spans="1:46" ht="15.1" customHeight="1">
      <c r="A1564" s="8"/>
      <c r="B1564" s="9"/>
      <c r="C1564" s="8"/>
      <c r="D1564" s="9"/>
      <c r="E1564" s="8">
        <v>2</v>
      </c>
      <c r="F1564" s="8">
        <v>2</v>
      </c>
      <c r="G1564" s="8">
        <v>0</v>
      </c>
      <c r="H1564" s="8">
        <v>0</v>
      </c>
      <c r="I1564" s="8">
        <v>2</v>
      </c>
      <c r="J1564" s="8">
        <v>2</v>
      </c>
      <c r="K1564" s="8">
        <v>2</v>
      </c>
      <c r="L1564" s="8">
        <v>2</v>
      </c>
      <c r="M1564" s="8">
        <v>2</v>
      </c>
      <c r="N1564" s="8">
        <v>0</v>
      </c>
      <c r="O1564" s="8">
        <v>2</v>
      </c>
      <c r="P1564" s="8">
        <v>0</v>
      </c>
      <c r="Q1564" s="8">
        <v>2</v>
      </c>
      <c r="R1564" s="8">
        <v>2</v>
      </c>
      <c r="S1564" s="8">
        <v>2</v>
      </c>
      <c r="T1564" s="8">
        <v>2</v>
      </c>
      <c r="U1564" s="8">
        <v>0</v>
      </c>
      <c r="V1564" s="8">
        <v>2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2</v>
      </c>
      <c r="AD1564" s="8">
        <v>2</v>
      </c>
      <c r="AE1564" s="8">
        <v>2</v>
      </c>
      <c r="AF1564" s="8">
        <v>2</v>
      </c>
      <c r="AG1564" s="8">
        <v>2</v>
      </c>
      <c r="AH1564" s="8">
        <v>2</v>
      </c>
      <c r="AI1564" s="8">
        <v>0</v>
      </c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11" t="s">
        <v>251</v>
      </c>
    </row>
    <row r="1565" spans="1:46" ht="15.1" customHeight="1">
      <c r="A1565" s="8"/>
      <c r="B1565" s="9"/>
      <c r="C1565" s="8"/>
      <c r="D1565" s="9"/>
      <c r="E1565" s="8">
        <v>1</v>
      </c>
      <c r="F1565" s="8">
        <v>1</v>
      </c>
      <c r="G1565" s="8">
        <v>0</v>
      </c>
      <c r="H1565" s="8">
        <v>0</v>
      </c>
      <c r="I1565" s="8">
        <v>1</v>
      </c>
      <c r="J1565" s="8">
        <v>1</v>
      </c>
      <c r="K1565" s="8">
        <v>1</v>
      </c>
      <c r="L1565" s="8">
        <v>1</v>
      </c>
      <c r="M1565" s="8">
        <v>1</v>
      </c>
      <c r="N1565" s="8">
        <v>0</v>
      </c>
      <c r="O1565" s="8">
        <v>1</v>
      </c>
      <c r="P1565" s="8">
        <v>0</v>
      </c>
      <c r="Q1565" s="8">
        <v>1</v>
      </c>
      <c r="R1565" s="8">
        <v>1</v>
      </c>
      <c r="S1565" s="8">
        <v>1</v>
      </c>
      <c r="T1565" s="8">
        <v>1</v>
      </c>
      <c r="U1565" s="8">
        <v>0</v>
      </c>
      <c r="V1565" s="8">
        <v>1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1</v>
      </c>
      <c r="AD1565" s="8">
        <v>1</v>
      </c>
      <c r="AE1565" s="8">
        <v>1</v>
      </c>
      <c r="AF1565" s="8">
        <v>1</v>
      </c>
      <c r="AG1565" s="8">
        <v>1</v>
      </c>
      <c r="AH1565" s="8">
        <v>1</v>
      </c>
      <c r="AI1565" s="8">
        <v>0</v>
      </c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11" t="s">
        <v>251</v>
      </c>
    </row>
    <row r="1566" spans="1:46" ht="15.1" customHeight="1">
      <c r="A1566" s="8">
        <v>521</v>
      </c>
      <c r="B1566" s="9" t="s">
        <v>1291</v>
      </c>
      <c r="C1566" s="8" t="s">
        <v>1292</v>
      </c>
      <c r="D1566" s="9" t="s">
        <v>451</v>
      </c>
      <c r="E1566" s="8" t="s">
        <v>54</v>
      </c>
      <c r="F1566" s="8" t="s">
        <v>54</v>
      </c>
      <c r="G1566" s="10" t="s">
        <v>67</v>
      </c>
      <c r="H1566" s="8" t="s">
        <v>54</v>
      </c>
      <c r="I1566" s="8" t="s">
        <v>54</v>
      </c>
      <c r="J1566" s="8" t="s">
        <v>54</v>
      </c>
      <c r="K1566" s="8" t="s">
        <v>54</v>
      </c>
      <c r="L1566" s="8" t="s">
        <v>54</v>
      </c>
      <c r="M1566" s="8" t="s">
        <v>54</v>
      </c>
      <c r="N1566" s="10" t="s">
        <v>67</v>
      </c>
      <c r="O1566" s="8" t="s">
        <v>54</v>
      </c>
      <c r="P1566" s="8" t="s">
        <v>54</v>
      </c>
      <c r="Q1566" s="8" t="s">
        <v>54</v>
      </c>
      <c r="R1566" s="8" t="s">
        <v>54</v>
      </c>
      <c r="S1566" s="8" t="s">
        <v>54</v>
      </c>
      <c r="T1566" s="8" t="s">
        <v>54</v>
      </c>
      <c r="U1566" s="10" t="s">
        <v>67</v>
      </c>
      <c r="V1566" s="8" t="s">
        <v>54</v>
      </c>
      <c r="W1566" s="8" t="s">
        <v>54</v>
      </c>
      <c r="X1566" s="8" t="s">
        <v>54</v>
      </c>
      <c r="Y1566" s="8" t="s">
        <v>54</v>
      </c>
      <c r="Z1566" s="8" t="s">
        <v>54</v>
      </c>
      <c r="AA1566" s="8" t="s">
        <v>54</v>
      </c>
      <c r="AB1566" s="10" t="s">
        <v>67</v>
      </c>
      <c r="AC1566" s="8" t="s">
        <v>54</v>
      </c>
      <c r="AD1566" s="8" t="s">
        <v>54</v>
      </c>
      <c r="AE1566" s="8" t="s">
        <v>54</v>
      </c>
      <c r="AF1566" s="8" t="s">
        <v>54</v>
      </c>
      <c r="AG1566" s="8" t="s">
        <v>54</v>
      </c>
      <c r="AH1566" s="8" t="s">
        <v>54</v>
      </c>
      <c r="AI1566" s="10" t="s">
        <v>67</v>
      </c>
      <c r="AJ1566" s="8">
        <f>COUNTIF($E$1566:$AI$1566,"P")</f>
        <v>26</v>
      </c>
      <c r="AK1566" s="8">
        <f>COUNTIF($E$1566:$AI$1566,"A")</f>
        <v>0</v>
      </c>
      <c r="AL1566" s="8">
        <f>SUM($E$1567:$AI$1567)</f>
        <v>50</v>
      </c>
      <c r="AM1566" s="8">
        <f>SUM($E$1568:$AI$1568)</f>
        <v>37</v>
      </c>
      <c r="AN1566" s="8">
        <f>AL1566+AM1566</f>
        <v>87</v>
      </c>
      <c r="AO1566" s="8">
        <f>COUNTIF($E$1566:$AI$1566,"CL")</f>
        <v>0</v>
      </c>
      <c r="AP1566" s="8">
        <f>COUNTIF($E$1566:$AI$1566,"SL")</f>
        <v>0</v>
      </c>
      <c r="AQ1566" s="8">
        <f>COUNTIF($E$1566:$AI$1566,"EL")</f>
        <v>0</v>
      </c>
      <c r="AR1566" s="8">
        <f>COUNTIF($E$1566:$AI$1566,"H")</f>
        <v>0</v>
      </c>
      <c r="AS1566" s="8"/>
      <c r="AT1566" s="11" t="s">
        <v>251</v>
      </c>
    </row>
    <row r="1567" spans="1:46" ht="15.1" customHeight="1">
      <c r="A1567" s="8"/>
      <c r="B1567" s="9"/>
      <c r="C1567" s="8"/>
      <c r="D1567" s="9"/>
      <c r="E1567" s="8">
        <v>2</v>
      </c>
      <c r="F1567" s="8">
        <v>2</v>
      </c>
      <c r="G1567" s="8">
        <v>0</v>
      </c>
      <c r="H1567" s="8">
        <v>2</v>
      </c>
      <c r="I1567" s="8">
        <v>2</v>
      </c>
      <c r="J1567" s="8">
        <v>2</v>
      </c>
      <c r="K1567" s="8">
        <v>2</v>
      </c>
      <c r="L1567" s="8">
        <v>2</v>
      </c>
      <c r="M1567" s="8">
        <v>2</v>
      </c>
      <c r="N1567" s="8">
        <v>0</v>
      </c>
      <c r="O1567" s="8">
        <v>2</v>
      </c>
      <c r="P1567" s="8">
        <v>2</v>
      </c>
      <c r="Q1567" s="8">
        <v>2</v>
      </c>
      <c r="R1567" s="8">
        <v>2</v>
      </c>
      <c r="S1567" s="8">
        <v>2</v>
      </c>
      <c r="T1567" s="8">
        <v>2</v>
      </c>
      <c r="U1567" s="8">
        <v>0</v>
      </c>
      <c r="V1567" s="8">
        <v>2</v>
      </c>
      <c r="W1567" s="8">
        <v>2</v>
      </c>
      <c r="X1567" s="8">
        <v>2</v>
      </c>
      <c r="Y1567" s="8">
        <v>2</v>
      </c>
      <c r="Z1567" s="8">
        <v>0</v>
      </c>
      <c r="AA1567" s="8">
        <v>2</v>
      </c>
      <c r="AB1567" s="8">
        <v>0</v>
      </c>
      <c r="AC1567" s="8">
        <v>2</v>
      </c>
      <c r="AD1567" s="8">
        <v>2</v>
      </c>
      <c r="AE1567" s="8">
        <v>2</v>
      </c>
      <c r="AF1567" s="8">
        <v>2</v>
      </c>
      <c r="AG1567" s="8">
        <v>2</v>
      </c>
      <c r="AH1567" s="8">
        <v>2</v>
      </c>
      <c r="AI1567" s="8">
        <v>0</v>
      </c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11" t="s">
        <v>251</v>
      </c>
    </row>
    <row r="1568" spans="1:46" ht="15.1" customHeight="1">
      <c r="A1568" s="8"/>
      <c r="B1568" s="9"/>
      <c r="C1568" s="8"/>
      <c r="D1568" s="9"/>
      <c r="E1568" s="8">
        <v>1</v>
      </c>
      <c r="F1568" s="8">
        <v>1</v>
      </c>
      <c r="G1568" s="8">
        <v>0</v>
      </c>
      <c r="H1568" s="8">
        <v>1</v>
      </c>
      <c r="I1568" s="8">
        <v>1</v>
      </c>
      <c r="J1568" s="8">
        <v>1</v>
      </c>
      <c r="K1568" s="8">
        <v>1</v>
      </c>
      <c r="L1568" s="8">
        <v>1</v>
      </c>
      <c r="M1568" s="8">
        <v>1</v>
      </c>
      <c r="N1568" s="8">
        <v>12</v>
      </c>
      <c r="O1568" s="8">
        <v>1</v>
      </c>
      <c r="P1568" s="8">
        <v>1</v>
      </c>
      <c r="Q1568" s="8">
        <v>1</v>
      </c>
      <c r="R1568" s="8">
        <v>1</v>
      </c>
      <c r="S1568" s="8">
        <v>1</v>
      </c>
      <c r="T1568" s="8">
        <v>1</v>
      </c>
      <c r="U1568" s="8">
        <v>0</v>
      </c>
      <c r="V1568" s="8">
        <v>1</v>
      </c>
      <c r="W1568" s="8">
        <v>1</v>
      </c>
      <c r="X1568" s="8">
        <v>1</v>
      </c>
      <c r="Y1568" s="8">
        <v>1</v>
      </c>
      <c r="Z1568" s="8">
        <v>0</v>
      </c>
      <c r="AA1568" s="8">
        <v>1</v>
      </c>
      <c r="AB1568" s="8">
        <v>0</v>
      </c>
      <c r="AC1568" s="8">
        <v>1</v>
      </c>
      <c r="AD1568" s="8">
        <v>1</v>
      </c>
      <c r="AE1568" s="8">
        <v>1</v>
      </c>
      <c r="AF1568" s="8">
        <v>1</v>
      </c>
      <c r="AG1568" s="8">
        <v>1</v>
      </c>
      <c r="AH1568" s="8">
        <v>1</v>
      </c>
      <c r="AI1568" s="8">
        <v>0</v>
      </c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11" t="s">
        <v>251</v>
      </c>
    </row>
    <row r="1569" spans="1:46" ht="15.1" customHeight="1">
      <c r="A1569" s="8">
        <v>522</v>
      </c>
      <c r="B1569" s="9" t="s">
        <v>1293</v>
      </c>
      <c r="C1569" s="8" t="s">
        <v>1294</v>
      </c>
      <c r="D1569" s="9" t="s">
        <v>451</v>
      </c>
      <c r="E1569" s="8" t="s">
        <v>54</v>
      </c>
      <c r="F1569" s="8" t="s">
        <v>54</v>
      </c>
      <c r="G1569" s="10" t="s">
        <v>67</v>
      </c>
      <c r="H1569" s="8" t="s">
        <v>54</v>
      </c>
      <c r="I1569" s="8" t="s">
        <v>54</v>
      </c>
      <c r="J1569" s="8" t="s">
        <v>54</v>
      </c>
      <c r="K1569" s="8" t="s">
        <v>54</v>
      </c>
      <c r="L1569" s="8" t="s">
        <v>54</v>
      </c>
      <c r="M1569" s="8" t="s">
        <v>54</v>
      </c>
      <c r="N1569" s="10" t="s">
        <v>67</v>
      </c>
      <c r="O1569" s="8" t="s">
        <v>54</v>
      </c>
      <c r="P1569" s="8" t="s">
        <v>54</v>
      </c>
      <c r="Q1569" s="8" t="s">
        <v>54</v>
      </c>
      <c r="R1569" s="8" t="s">
        <v>54</v>
      </c>
      <c r="S1569" s="8" t="s">
        <v>54</v>
      </c>
      <c r="T1569" s="8" t="s">
        <v>54</v>
      </c>
      <c r="U1569" s="10" t="s">
        <v>67</v>
      </c>
      <c r="V1569" s="8" t="s">
        <v>54</v>
      </c>
      <c r="W1569" s="8" t="s">
        <v>54</v>
      </c>
      <c r="X1569" s="8" t="s">
        <v>54</v>
      </c>
      <c r="Y1569" s="8" t="s">
        <v>54</v>
      </c>
      <c r="Z1569" s="8" t="s">
        <v>54</v>
      </c>
      <c r="AA1569" s="8" t="s">
        <v>54</v>
      </c>
      <c r="AB1569" s="10" t="s">
        <v>67</v>
      </c>
      <c r="AC1569" s="8" t="s">
        <v>54</v>
      </c>
      <c r="AD1569" s="8" t="s">
        <v>54</v>
      </c>
      <c r="AE1569" s="8" t="s">
        <v>54</v>
      </c>
      <c r="AF1569" s="8" t="s">
        <v>54</v>
      </c>
      <c r="AG1569" s="8" t="s">
        <v>54</v>
      </c>
      <c r="AH1569" s="8" t="s">
        <v>54</v>
      </c>
      <c r="AI1569" s="10" t="s">
        <v>67</v>
      </c>
      <c r="AJ1569" s="8">
        <f>COUNTIF($E$1569:$AI$1569,"P")</f>
        <v>26</v>
      </c>
      <c r="AK1569" s="8">
        <f>COUNTIF($E$1569:$AI$1569,"A")</f>
        <v>0</v>
      </c>
      <c r="AL1569" s="8">
        <f>SUM($E$1570:$AI$1570)</f>
        <v>52</v>
      </c>
      <c r="AM1569" s="8">
        <f>SUM($E$1571:$AI$1571)</f>
        <v>26</v>
      </c>
      <c r="AN1569" s="8">
        <f>AL1569+AM1569</f>
        <v>78</v>
      </c>
      <c r="AO1569" s="8">
        <f>COUNTIF($E$1569:$AI$1569,"CL")</f>
        <v>0</v>
      </c>
      <c r="AP1569" s="8">
        <f>COUNTIF($E$1569:$AI$1569,"SL")</f>
        <v>0</v>
      </c>
      <c r="AQ1569" s="8">
        <f>COUNTIF($E$1569:$AI$1569,"EL")</f>
        <v>0</v>
      </c>
      <c r="AR1569" s="8">
        <f>COUNTIF($E$1569:$AI$1569,"H")</f>
        <v>0</v>
      </c>
      <c r="AS1569" s="8"/>
      <c r="AT1569" s="11" t="s">
        <v>251</v>
      </c>
    </row>
    <row r="1570" spans="1:46" ht="15.1" customHeight="1">
      <c r="A1570" s="8"/>
      <c r="B1570" s="9"/>
      <c r="C1570" s="8"/>
      <c r="D1570" s="9"/>
      <c r="E1570" s="8">
        <v>2</v>
      </c>
      <c r="F1570" s="8">
        <v>2</v>
      </c>
      <c r="G1570" s="8">
        <v>0</v>
      </c>
      <c r="H1570" s="8">
        <v>2</v>
      </c>
      <c r="I1570" s="8">
        <v>2</v>
      </c>
      <c r="J1570" s="8">
        <v>2</v>
      </c>
      <c r="K1570" s="8">
        <v>2</v>
      </c>
      <c r="L1570" s="8">
        <v>2</v>
      </c>
      <c r="M1570" s="8">
        <v>2</v>
      </c>
      <c r="N1570" s="8">
        <v>0</v>
      </c>
      <c r="O1570" s="8">
        <v>2</v>
      </c>
      <c r="P1570" s="8">
        <v>2</v>
      </c>
      <c r="Q1570" s="8">
        <v>2</v>
      </c>
      <c r="R1570" s="8">
        <v>2</v>
      </c>
      <c r="S1570" s="8">
        <v>2</v>
      </c>
      <c r="T1570" s="8">
        <v>2</v>
      </c>
      <c r="U1570" s="8">
        <v>0</v>
      </c>
      <c r="V1570" s="8">
        <v>2</v>
      </c>
      <c r="W1570" s="8">
        <v>2</v>
      </c>
      <c r="X1570" s="8">
        <v>2</v>
      </c>
      <c r="Y1570" s="8">
        <v>2</v>
      </c>
      <c r="Z1570" s="8">
        <v>2</v>
      </c>
      <c r="AA1570" s="8">
        <v>2</v>
      </c>
      <c r="AB1570" s="8">
        <v>0</v>
      </c>
      <c r="AC1570" s="8">
        <v>2</v>
      </c>
      <c r="AD1570" s="8">
        <v>2</v>
      </c>
      <c r="AE1570" s="8">
        <v>2</v>
      </c>
      <c r="AF1570" s="8">
        <v>2</v>
      </c>
      <c r="AG1570" s="8">
        <v>2</v>
      </c>
      <c r="AH1570" s="8">
        <v>2</v>
      </c>
      <c r="AI1570" s="8">
        <v>0</v>
      </c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11" t="s">
        <v>251</v>
      </c>
    </row>
    <row r="1571" spans="1:46" ht="15.1" customHeight="1">
      <c r="A1571" s="8"/>
      <c r="B1571" s="9"/>
      <c r="C1571" s="8"/>
      <c r="D1571" s="9"/>
      <c r="E1571" s="8">
        <v>1</v>
      </c>
      <c r="F1571" s="8">
        <v>1</v>
      </c>
      <c r="G1571" s="8">
        <v>0</v>
      </c>
      <c r="H1571" s="8">
        <v>1</v>
      </c>
      <c r="I1571" s="8">
        <v>1</v>
      </c>
      <c r="J1571" s="8">
        <v>1</v>
      </c>
      <c r="K1571" s="8">
        <v>1</v>
      </c>
      <c r="L1571" s="8">
        <v>1</v>
      </c>
      <c r="M1571" s="8">
        <v>1</v>
      </c>
      <c r="N1571" s="8">
        <v>0</v>
      </c>
      <c r="O1571" s="8">
        <v>1</v>
      </c>
      <c r="P1571" s="8">
        <v>1</v>
      </c>
      <c r="Q1571" s="8">
        <v>1</v>
      </c>
      <c r="R1571" s="8">
        <v>1</v>
      </c>
      <c r="S1571" s="8">
        <v>1</v>
      </c>
      <c r="T1571" s="8">
        <v>1</v>
      </c>
      <c r="U1571" s="8">
        <v>0</v>
      </c>
      <c r="V1571" s="8">
        <v>1</v>
      </c>
      <c r="W1571" s="8">
        <v>1</v>
      </c>
      <c r="X1571" s="8">
        <v>1</v>
      </c>
      <c r="Y1571" s="8">
        <v>1</v>
      </c>
      <c r="Z1571" s="8">
        <v>1</v>
      </c>
      <c r="AA1571" s="8">
        <v>1</v>
      </c>
      <c r="AB1571" s="8">
        <v>0</v>
      </c>
      <c r="AC1571" s="8">
        <v>1</v>
      </c>
      <c r="AD1571" s="8">
        <v>1</v>
      </c>
      <c r="AE1571" s="8">
        <v>1</v>
      </c>
      <c r="AF1571" s="8">
        <v>1</v>
      </c>
      <c r="AG1571" s="8">
        <v>1</v>
      </c>
      <c r="AH1571" s="8">
        <v>1</v>
      </c>
      <c r="AI1571" s="8">
        <v>0</v>
      </c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11" t="s">
        <v>251</v>
      </c>
    </row>
    <row r="1572" spans="1:46" ht="15.1" customHeight="1">
      <c r="A1572" s="8">
        <v>523</v>
      </c>
      <c r="B1572" s="9" t="s">
        <v>1295</v>
      </c>
      <c r="C1572" s="8" t="s">
        <v>1296</v>
      </c>
      <c r="D1572" s="9" t="s">
        <v>451</v>
      </c>
      <c r="E1572" s="8" t="s">
        <v>54</v>
      </c>
      <c r="F1572" s="8" t="s">
        <v>54</v>
      </c>
      <c r="G1572" s="10" t="s">
        <v>67</v>
      </c>
      <c r="H1572" s="8" t="s">
        <v>54</v>
      </c>
      <c r="I1572" s="8" t="s">
        <v>54</v>
      </c>
      <c r="J1572" s="8" t="s">
        <v>54</v>
      </c>
      <c r="K1572" s="8" t="s">
        <v>54</v>
      </c>
      <c r="L1572" s="8" t="s">
        <v>54</v>
      </c>
      <c r="M1572" s="8" t="s">
        <v>54</v>
      </c>
      <c r="N1572" s="10" t="s">
        <v>67</v>
      </c>
      <c r="O1572" s="8" t="s">
        <v>54</v>
      </c>
      <c r="P1572" s="8" t="s">
        <v>54</v>
      </c>
      <c r="Q1572" s="8" t="s">
        <v>54</v>
      </c>
      <c r="R1572" s="8" t="s">
        <v>54</v>
      </c>
      <c r="S1572" s="8" t="s">
        <v>54</v>
      </c>
      <c r="T1572" s="8" t="s">
        <v>54</v>
      </c>
      <c r="U1572" s="10" t="s">
        <v>67</v>
      </c>
      <c r="V1572" s="8" t="s">
        <v>54</v>
      </c>
      <c r="W1572" s="8" t="s">
        <v>54</v>
      </c>
      <c r="X1572" s="8" t="s">
        <v>54</v>
      </c>
      <c r="Y1572" s="8" t="s">
        <v>54</v>
      </c>
      <c r="Z1572" s="8" t="s">
        <v>54</v>
      </c>
      <c r="AA1572" s="8" t="s">
        <v>54</v>
      </c>
      <c r="AB1572" s="10" t="s">
        <v>67</v>
      </c>
      <c r="AC1572" s="8" t="s">
        <v>54</v>
      </c>
      <c r="AD1572" s="8" t="s">
        <v>54</v>
      </c>
      <c r="AE1572" s="8" t="s">
        <v>54</v>
      </c>
      <c r="AF1572" s="8" t="s">
        <v>54</v>
      </c>
      <c r="AG1572" s="8" t="s">
        <v>54</v>
      </c>
      <c r="AH1572" s="8" t="s">
        <v>54</v>
      </c>
      <c r="AI1572" s="10" t="s">
        <v>67</v>
      </c>
      <c r="AJ1572" s="8">
        <f>COUNTIF($E$1572:$AI$1572,"P")</f>
        <v>26</v>
      </c>
      <c r="AK1572" s="8">
        <f>COUNTIF($E$1572:$AI$1572,"A")</f>
        <v>0</v>
      </c>
      <c r="AL1572" s="8">
        <f>SUM($E$1573:$AI$1573)</f>
        <v>50</v>
      </c>
      <c r="AM1572" s="8">
        <f>SUM($E$1574:$AI$1574)</f>
        <v>25</v>
      </c>
      <c r="AN1572" s="8">
        <f>AL1572+AM1572</f>
        <v>75</v>
      </c>
      <c r="AO1572" s="8">
        <f>COUNTIF($E$1572:$AI$1572,"CL")</f>
        <v>0</v>
      </c>
      <c r="AP1572" s="8">
        <f>COUNTIF($E$1572:$AI$1572,"SL")</f>
        <v>0</v>
      </c>
      <c r="AQ1572" s="8">
        <f>COUNTIF($E$1572:$AI$1572,"EL")</f>
        <v>0</v>
      </c>
      <c r="AR1572" s="8">
        <f>COUNTIF($E$1572:$AI$1572,"H")</f>
        <v>0</v>
      </c>
      <c r="AS1572" s="8"/>
      <c r="AT1572" s="11" t="s">
        <v>251</v>
      </c>
    </row>
    <row r="1573" spans="1:46" ht="15.1" customHeight="1">
      <c r="A1573" s="8"/>
      <c r="B1573" s="9"/>
      <c r="C1573" s="8"/>
      <c r="D1573" s="9"/>
      <c r="E1573" s="8">
        <v>2</v>
      </c>
      <c r="F1573" s="8">
        <v>2</v>
      </c>
      <c r="G1573" s="8">
        <v>0</v>
      </c>
      <c r="H1573" s="8">
        <v>2</v>
      </c>
      <c r="I1573" s="8">
        <v>2</v>
      </c>
      <c r="J1573" s="8">
        <v>0</v>
      </c>
      <c r="K1573" s="8">
        <v>2</v>
      </c>
      <c r="L1573" s="8">
        <v>2</v>
      </c>
      <c r="M1573" s="8">
        <v>2</v>
      </c>
      <c r="N1573" s="8">
        <v>0</v>
      </c>
      <c r="O1573" s="8">
        <v>2</v>
      </c>
      <c r="P1573" s="8">
        <v>2</v>
      </c>
      <c r="Q1573" s="8">
        <v>2</v>
      </c>
      <c r="R1573" s="8">
        <v>2</v>
      </c>
      <c r="S1573" s="8">
        <v>2</v>
      </c>
      <c r="T1573" s="8">
        <v>2</v>
      </c>
      <c r="U1573" s="8">
        <v>0</v>
      </c>
      <c r="V1573" s="8">
        <v>2</v>
      </c>
      <c r="W1573" s="8">
        <v>2</v>
      </c>
      <c r="X1573" s="8">
        <v>2</v>
      </c>
      <c r="Y1573" s="8">
        <v>2</v>
      </c>
      <c r="Z1573" s="8">
        <v>2</v>
      </c>
      <c r="AA1573" s="8">
        <v>2</v>
      </c>
      <c r="AB1573" s="8">
        <v>0</v>
      </c>
      <c r="AC1573" s="8">
        <v>2</v>
      </c>
      <c r="AD1573" s="8">
        <v>2</v>
      </c>
      <c r="AE1573" s="8">
        <v>2</v>
      </c>
      <c r="AF1573" s="8">
        <v>2</v>
      </c>
      <c r="AG1573" s="8">
        <v>2</v>
      </c>
      <c r="AH1573" s="8">
        <v>2</v>
      </c>
      <c r="AI1573" s="8">
        <v>0</v>
      </c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11" t="s">
        <v>251</v>
      </c>
    </row>
    <row r="1574" spans="1:46" ht="15.1" customHeight="1">
      <c r="A1574" s="8"/>
      <c r="B1574" s="9"/>
      <c r="C1574" s="8"/>
      <c r="D1574" s="9"/>
      <c r="E1574" s="8">
        <v>1</v>
      </c>
      <c r="F1574" s="8">
        <v>1</v>
      </c>
      <c r="G1574" s="8">
        <v>0</v>
      </c>
      <c r="H1574" s="8">
        <v>1</v>
      </c>
      <c r="I1574" s="8">
        <v>1</v>
      </c>
      <c r="J1574" s="8">
        <v>0</v>
      </c>
      <c r="K1574" s="8">
        <v>1</v>
      </c>
      <c r="L1574" s="8">
        <v>1</v>
      </c>
      <c r="M1574" s="8">
        <v>1</v>
      </c>
      <c r="N1574" s="8">
        <v>0</v>
      </c>
      <c r="O1574" s="8">
        <v>1</v>
      </c>
      <c r="P1574" s="8">
        <v>1</v>
      </c>
      <c r="Q1574" s="8">
        <v>1</v>
      </c>
      <c r="R1574" s="8">
        <v>1</v>
      </c>
      <c r="S1574" s="8">
        <v>1</v>
      </c>
      <c r="T1574" s="8">
        <v>1</v>
      </c>
      <c r="U1574" s="8">
        <v>0</v>
      </c>
      <c r="V1574" s="8">
        <v>1</v>
      </c>
      <c r="W1574" s="8">
        <v>1</v>
      </c>
      <c r="X1574" s="8">
        <v>1</v>
      </c>
      <c r="Y1574" s="8">
        <v>1</v>
      </c>
      <c r="Z1574" s="8">
        <v>1</v>
      </c>
      <c r="AA1574" s="8">
        <v>1</v>
      </c>
      <c r="AB1574" s="8">
        <v>0</v>
      </c>
      <c r="AC1574" s="8">
        <v>1</v>
      </c>
      <c r="AD1574" s="8">
        <v>1</v>
      </c>
      <c r="AE1574" s="8">
        <v>1</v>
      </c>
      <c r="AF1574" s="8">
        <v>1</v>
      </c>
      <c r="AG1574" s="8">
        <v>1</v>
      </c>
      <c r="AH1574" s="8">
        <v>1</v>
      </c>
      <c r="AI1574" s="8">
        <v>0</v>
      </c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11" t="s">
        <v>251</v>
      </c>
    </row>
    <row r="1575" spans="1:46" ht="15.1" customHeight="1">
      <c r="A1575" s="8">
        <v>524</v>
      </c>
      <c r="B1575" s="9" t="s">
        <v>1297</v>
      </c>
      <c r="C1575" s="8" t="s">
        <v>1298</v>
      </c>
      <c r="D1575" s="9" t="s">
        <v>451</v>
      </c>
      <c r="E1575" s="8" t="s">
        <v>54</v>
      </c>
      <c r="F1575" s="8" t="s">
        <v>54</v>
      </c>
      <c r="G1575" s="10" t="s">
        <v>67</v>
      </c>
      <c r="H1575" s="8" t="s">
        <v>54</v>
      </c>
      <c r="I1575" s="8" t="s">
        <v>54</v>
      </c>
      <c r="J1575" s="8" t="s">
        <v>54</v>
      </c>
      <c r="K1575" s="12" t="s">
        <v>55</v>
      </c>
      <c r="L1575" s="8" t="s">
        <v>54</v>
      </c>
      <c r="M1575" s="8" t="s">
        <v>54</v>
      </c>
      <c r="N1575" s="10" t="s">
        <v>67</v>
      </c>
      <c r="O1575" s="8" t="s">
        <v>54</v>
      </c>
      <c r="P1575" s="8" t="s">
        <v>54</v>
      </c>
      <c r="Q1575" s="8" t="s">
        <v>54</v>
      </c>
      <c r="R1575" s="8" t="s">
        <v>54</v>
      </c>
      <c r="S1575" s="8" t="s">
        <v>54</v>
      </c>
      <c r="T1575" s="8" t="s">
        <v>54</v>
      </c>
      <c r="U1575" s="10" t="s">
        <v>67</v>
      </c>
      <c r="V1575" s="8" t="s">
        <v>54</v>
      </c>
      <c r="W1575" s="8" t="s">
        <v>54</v>
      </c>
      <c r="X1575" s="8" t="s">
        <v>54</v>
      </c>
      <c r="Y1575" s="8" t="s">
        <v>54</v>
      </c>
      <c r="Z1575" s="8" t="s">
        <v>54</v>
      </c>
      <c r="AA1575" s="8" t="s">
        <v>54</v>
      </c>
      <c r="AB1575" s="10" t="s">
        <v>67</v>
      </c>
      <c r="AC1575" s="8" t="s">
        <v>54</v>
      </c>
      <c r="AD1575" s="8" t="s">
        <v>54</v>
      </c>
      <c r="AE1575" s="8" t="s">
        <v>54</v>
      </c>
      <c r="AF1575" s="8" t="s">
        <v>54</v>
      </c>
      <c r="AG1575" s="8" t="s">
        <v>54</v>
      </c>
      <c r="AH1575" s="8" t="s">
        <v>54</v>
      </c>
      <c r="AI1575" s="10" t="s">
        <v>67</v>
      </c>
      <c r="AJ1575" s="8">
        <f>COUNTIF($E$1575:$AI$1575,"P")</f>
        <v>25</v>
      </c>
      <c r="AK1575" s="8">
        <f>COUNTIF($E$1575:$AI$1575,"A")</f>
        <v>1</v>
      </c>
      <c r="AL1575" s="8">
        <f>SUM($E$1576:$AI$1576)</f>
        <v>46</v>
      </c>
      <c r="AM1575" s="8">
        <f>SUM($E$1577:$AI$1577)</f>
        <v>23</v>
      </c>
      <c r="AN1575" s="8">
        <f>AL1575+AM1575</f>
        <v>69</v>
      </c>
      <c r="AO1575" s="8">
        <f>COUNTIF($E$1575:$AI$1575,"CL")</f>
        <v>0</v>
      </c>
      <c r="AP1575" s="8">
        <f>COUNTIF($E$1575:$AI$1575,"SL")</f>
        <v>0</v>
      </c>
      <c r="AQ1575" s="8">
        <f>COUNTIF($E$1575:$AI$1575,"EL")</f>
        <v>0</v>
      </c>
      <c r="AR1575" s="8">
        <f>COUNTIF($E$1575:$AI$1575,"H")</f>
        <v>0</v>
      </c>
      <c r="AS1575" s="8"/>
      <c r="AT1575" s="11" t="s">
        <v>251</v>
      </c>
    </row>
    <row r="1576" spans="1:46" ht="15.1" customHeight="1">
      <c r="A1576" s="8"/>
      <c r="B1576" s="9"/>
      <c r="C1576" s="8"/>
      <c r="D1576" s="9"/>
      <c r="E1576" s="8">
        <v>2</v>
      </c>
      <c r="F1576" s="8">
        <v>0</v>
      </c>
      <c r="G1576" s="8">
        <v>0</v>
      </c>
      <c r="H1576" s="8">
        <v>2</v>
      </c>
      <c r="I1576" s="8">
        <v>2</v>
      </c>
      <c r="J1576" s="8">
        <v>2</v>
      </c>
      <c r="K1576" s="8">
        <v>0</v>
      </c>
      <c r="L1576" s="8">
        <v>2</v>
      </c>
      <c r="M1576" s="8">
        <v>2</v>
      </c>
      <c r="N1576" s="8">
        <v>0</v>
      </c>
      <c r="O1576" s="8">
        <v>2</v>
      </c>
      <c r="P1576" s="8">
        <v>2</v>
      </c>
      <c r="Q1576" s="8">
        <v>2</v>
      </c>
      <c r="R1576" s="8">
        <v>2</v>
      </c>
      <c r="S1576" s="8">
        <v>2</v>
      </c>
      <c r="T1576" s="8">
        <v>2</v>
      </c>
      <c r="U1576" s="8">
        <v>0</v>
      </c>
      <c r="V1576" s="8">
        <v>2</v>
      </c>
      <c r="W1576" s="8">
        <v>2</v>
      </c>
      <c r="X1576" s="8">
        <v>2</v>
      </c>
      <c r="Y1576" s="8">
        <v>2</v>
      </c>
      <c r="Z1576" s="8">
        <v>0</v>
      </c>
      <c r="AA1576" s="8">
        <v>2</v>
      </c>
      <c r="AB1576" s="8">
        <v>0</v>
      </c>
      <c r="AC1576" s="8">
        <v>2</v>
      </c>
      <c r="AD1576" s="8">
        <v>2</v>
      </c>
      <c r="AE1576" s="8">
        <v>2</v>
      </c>
      <c r="AF1576" s="8">
        <v>2</v>
      </c>
      <c r="AG1576" s="8">
        <v>2</v>
      </c>
      <c r="AH1576" s="8">
        <v>2</v>
      </c>
      <c r="AI1576" s="8">
        <v>0</v>
      </c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11" t="s">
        <v>251</v>
      </c>
    </row>
    <row r="1577" spans="1:46" ht="15.1" customHeight="1">
      <c r="A1577" s="8"/>
      <c r="B1577" s="9"/>
      <c r="C1577" s="8"/>
      <c r="D1577" s="9"/>
      <c r="E1577" s="8">
        <v>1</v>
      </c>
      <c r="F1577" s="8">
        <v>0</v>
      </c>
      <c r="G1577" s="8">
        <v>0</v>
      </c>
      <c r="H1577" s="8">
        <v>1</v>
      </c>
      <c r="I1577" s="8">
        <v>1</v>
      </c>
      <c r="J1577" s="8">
        <v>1</v>
      </c>
      <c r="K1577" s="8">
        <v>0</v>
      </c>
      <c r="L1577" s="8">
        <v>1</v>
      </c>
      <c r="M1577" s="8">
        <v>1</v>
      </c>
      <c r="N1577" s="8">
        <v>0</v>
      </c>
      <c r="O1577" s="8">
        <v>1</v>
      </c>
      <c r="P1577" s="8">
        <v>1</v>
      </c>
      <c r="Q1577" s="8">
        <v>1</v>
      </c>
      <c r="R1577" s="8">
        <v>1</v>
      </c>
      <c r="S1577" s="8">
        <v>1</v>
      </c>
      <c r="T1577" s="8">
        <v>1</v>
      </c>
      <c r="U1577" s="8">
        <v>0</v>
      </c>
      <c r="V1577" s="8">
        <v>1</v>
      </c>
      <c r="W1577" s="8">
        <v>1</v>
      </c>
      <c r="X1577" s="8">
        <v>1</v>
      </c>
      <c r="Y1577" s="8">
        <v>1</v>
      </c>
      <c r="Z1577" s="8">
        <v>0</v>
      </c>
      <c r="AA1577" s="8">
        <v>1</v>
      </c>
      <c r="AB1577" s="8">
        <v>0</v>
      </c>
      <c r="AC1577" s="8">
        <v>1</v>
      </c>
      <c r="AD1577" s="8">
        <v>1</v>
      </c>
      <c r="AE1577" s="8">
        <v>1</v>
      </c>
      <c r="AF1577" s="8">
        <v>1</v>
      </c>
      <c r="AG1577" s="8">
        <v>1</v>
      </c>
      <c r="AH1577" s="8">
        <v>1</v>
      </c>
      <c r="AI1577" s="8">
        <v>0</v>
      </c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11" t="s">
        <v>251</v>
      </c>
    </row>
    <row r="1578" spans="1:46" ht="15.1" customHeight="1">
      <c r="A1578" s="8">
        <v>525</v>
      </c>
      <c r="B1578" s="9" t="s">
        <v>1299</v>
      </c>
      <c r="C1578" s="8" t="s">
        <v>1300</v>
      </c>
      <c r="D1578" s="9" t="s">
        <v>451</v>
      </c>
      <c r="E1578" s="8"/>
      <c r="F1578" s="8"/>
      <c r="G1578" s="10"/>
      <c r="H1578" s="8"/>
      <c r="I1578" s="8"/>
      <c r="J1578" s="8"/>
      <c r="K1578" s="8"/>
      <c r="L1578" s="8"/>
      <c r="M1578" s="8"/>
      <c r="N1578" s="10"/>
      <c r="O1578" s="8"/>
      <c r="P1578" s="8"/>
      <c r="Q1578" s="8"/>
      <c r="R1578" s="8"/>
      <c r="S1578" s="8"/>
      <c r="T1578" s="8"/>
      <c r="U1578" s="10"/>
      <c r="V1578" s="8"/>
      <c r="W1578" s="8"/>
      <c r="X1578" s="8"/>
      <c r="Y1578" s="8"/>
      <c r="Z1578" s="8"/>
      <c r="AA1578" s="8"/>
      <c r="AB1578" s="10"/>
      <c r="AC1578" s="8"/>
      <c r="AD1578" s="8"/>
      <c r="AE1578" s="12" t="s">
        <v>55</v>
      </c>
      <c r="AF1578" s="12" t="s">
        <v>55</v>
      </c>
      <c r="AG1578" s="12" t="s">
        <v>55</v>
      </c>
      <c r="AH1578" s="12" t="s">
        <v>55</v>
      </c>
      <c r="AI1578" s="10" t="s">
        <v>67</v>
      </c>
      <c r="AJ1578" s="8">
        <f>COUNTIF($E$1578:$AI$1578,"P")</f>
        <v>0</v>
      </c>
      <c r="AK1578" s="8">
        <f>COUNTIF($E$1578:$AI$1578,"A")</f>
        <v>4</v>
      </c>
      <c r="AL1578" s="8">
        <f>SUM($E$1579:$AI$1579)</f>
        <v>0</v>
      </c>
      <c r="AM1578" s="8">
        <f>SUM($E$1580:$AI$1580)</f>
        <v>0</v>
      </c>
      <c r="AN1578" s="8">
        <f>AL1578+AM1578</f>
        <v>0</v>
      </c>
      <c r="AO1578" s="8">
        <f>COUNTIF($E$1578:$AI$1578,"CL")</f>
        <v>0</v>
      </c>
      <c r="AP1578" s="8">
        <f>COUNTIF($E$1578:$AI$1578,"SL")</f>
        <v>0</v>
      </c>
      <c r="AQ1578" s="8">
        <f>COUNTIF($E$1578:$AI$1578,"EL")</f>
        <v>0</v>
      </c>
      <c r="AR1578" s="8">
        <f>COUNTIF($E$1578:$AI$1578,"H")</f>
        <v>0</v>
      </c>
      <c r="AS1578" s="8"/>
      <c r="AT1578" s="11" t="s">
        <v>251</v>
      </c>
    </row>
    <row r="1579" spans="1:46" ht="15.1" customHeight="1">
      <c r="A1579" s="8"/>
      <c r="B1579" s="9"/>
      <c r="C1579" s="8"/>
      <c r="D1579" s="9"/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0</v>
      </c>
      <c r="T1579" s="8">
        <v>0</v>
      </c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8">
        <v>0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11" t="s">
        <v>251</v>
      </c>
    </row>
    <row r="1580" spans="1:46" ht="15.1" customHeight="1">
      <c r="A1580" s="8"/>
      <c r="B1580" s="9"/>
      <c r="C1580" s="8"/>
      <c r="D1580" s="9"/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8">
        <v>0</v>
      </c>
      <c r="AH1580" s="8">
        <v>0</v>
      </c>
      <c r="AI1580" s="8">
        <v>0</v>
      </c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11" t="s">
        <v>251</v>
      </c>
    </row>
    <row r="1581" spans="1:46" ht="15.1" customHeight="1">
      <c r="A1581" s="8">
        <v>526</v>
      </c>
      <c r="B1581" s="9" t="s">
        <v>1301</v>
      </c>
      <c r="C1581" s="8" t="s">
        <v>1302</v>
      </c>
      <c r="D1581" s="9" t="s">
        <v>451</v>
      </c>
      <c r="E1581" s="8" t="s">
        <v>54</v>
      </c>
      <c r="F1581" s="8" t="s">
        <v>54</v>
      </c>
      <c r="G1581" s="10" t="s">
        <v>67</v>
      </c>
      <c r="H1581" s="12" t="s">
        <v>55</v>
      </c>
      <c r="I1581" s="8" t="s">
        <v>54</v>
      </c>
      <c r="J1581" s="8" t="s">
        <v>54</v>
      </c>
      <c r="K1581" s="8" t="s">
        <v>54</v>
      </c>
      <c r="L1581" s="8" t="s">
        <v>54</v>
      </c>
      <c r="M1581" s="8" t="s">
        <v>54</v>
      </c>
      <c r="N1581" s="10" t="s">
        <v>67</v>
      </c>
      <c r="O1581" s="8" t="s">
        <v>54</v>
      </c>
      <c r="P1581" s="8" t="s">
        <v>54</v>
      </c>
      <c r="Q1581" s="8" t="s">
        <v>54</v>
      </c>
      <c r="R1581" s="8" t="s">
        <v>54</v>
      </c>
      <c r="S1581" s="8" t="s">
        <v>54</v>
      </c>
      <c r="T1581" s="8" t="s">
        <v>54</v>
      </c>
      <c r="U1581" s="10" t="s">
        <v>67</v>
      </c>
      <c r="V1581" s="8" t="s">
        <v>54</v>
      </c>
      <c r="W1581" s="8" t="s">
        <v>54</v>
      </c>
      <c r="X1581" s="8" t="s">
        <v>54</v>
      </c>
      <c r="Y1581" s="8" t="s">
        <v>54</v>
      </c>
      <c r="Z1581" s="8" t="s">
        <v>54</v>
      </c>
      <c r="AA1581" s="8" t="s">
        <v>54</v>
      </c>
      <c r="AB1581" s="10" t="s">
        <v>67</v>
      </c>
      <c r="AC1581" s="8" t="s">
        <v>54</v>
      </c>
      <c r="AD1581" s="8" t="s">
        <v>54</v>
      </c>
      <c r="AE1581" s="8" t="s">
        <v>54</v>
      </c>
      <c r="AF1581" s="8" t="s">
        <v>54</v>
      </c>
      <c r="AG1581" s="8" t="s">
        <v>54</v>
      </c>
      <c r="AH1581" s="8" t="s">
        <v>54</v>
      </c>
      <c r="AI1581" s="10" t="s">
        <v>67</v>
      </c>
      <c r="AJ1581" s="8">
        <f>COUNTIF($E$1581:$AI$1581,"P")</f>
        <v>25</v>
      </c>
      <c r="AK1581" s="8">
        <f>COUNTIF($E$1581:$AI$1581,"A")</f>
        <v>1</v>
      </c>
      <c r="AL1581" s="8">
        <f>SUM($E$1582:$AI$1582)</f>
        <v>34</v>
      </c>
      <c r="AM1581" s="8">
        <f>SUM($E$1583:$AI$1583)</f>
        <v>149</v>
      </c>
      <c r="AN1581" s="8">
        <f>AL1581+AM1581</f>
        <v>183</v>
      </c>
      <c r="AO1581" s="8">
        <f>COUNTIF($E$1581:$AI$1581,"CL")</f>
        <v>0</v>
      </c>
      <c r="AP1581" s="8">
        <f>COUNTIF($E$1581:$AI$1581,"SL")</f>
        <v>0</v>
      </c>
      <c r="AQ1581" s="8">
        <f>COUNTIF($E$1581:$AI$1581,"EL")</f>
        <v>0</v>
      </c>
      <c r="AR1581" s="8">
        <f>COUNTIF($E$1581:$AI$1581,"H")</f>
        <v>0</v>
      </c>
      <c r="AS1581" s="8"/>
      <c r="AT1581" s="11" t="s">
        <v>252</v>
      </c>
    </row>
    <row r="1582" spans="1:46" ht="15.1" customHeight="1">
      <c r="A1582" s="8"/>
      <c r="B1582" s="9"/>
      <c r="C1582" s="8"/>
      <c r="D1582" s="9"/>
      <c r="E1582" s="8">
        <v>0</v>
      </c>
      <c r="F1582" s="8">
        <v>2</v>
      </c>
      <c r="G1582" s="8">
        <v>0</v>
      </c>
      <c r="H1582" s="8">
        <v>0</v>
      </c>
      <c r="I1582" s="8">
        <v>2</v>
      </c>
      <c r="J1582" s="8">
        <v>2</v>
      </c>
      <c r="K1582" s="8">
        <v>2</v>
      </c>
      <c r="L1582" s="8">
        <v>2</v>
      </c>
      <c r="M1582" s="8">
        <v>2</v>
      </c>
      <c r="N1582" s="8">
        <v>0</v>
      </c>
      <c r="O1582" s="8">
        <v>2</v>
      </c>
      <c r="P1582" s="8">
        <v>2</v>
      </c>
      <c r="Q1582" s="8">
        <v>2</v>
      </c>
      <c r="R1582" s="8">
        <v>2</v>
      </c>
      <c r="S1582" s="8">
        <v>2</v>
      </c>
      <c r="T1582" s="8">
        <v>2</v>
      </c>
      <c r="U1582" s="8">
        <v>0</v>
      </c>
      <c r="V1582" s="8">
        <v>2</v>
      </c>
      <c r="W1582" s="8">
        <v>2</v>
      </c>
      <c r="X1582" s="8">
        <v>2</v>
      </c>
      <c r="Y1582" s="8">
        <v>0</v>
      </c>
      <c r="Z1582" s="8">
        <v>0</v>
      </c>
      <c r="AA1582" s="8">
        <v>0</v>
      </c>
      <c r="AB1582" s="8">
        <v>0</v>
      </c>
      <c r="AC1582" s="8">
        <v>2</v>
      </c>
      <c r="AD1582" s="8">
        <v>0</v>
      </c>
      <c r="AE1582" s="8">
        <v>0</v>
      </c>
      <c r="AF1582" s="8">
        <v>0</v>
      </c>
      <c r="AG1582" s="8">
        <v>0</v>
      </c>
      <c r="AH1582" s="8">
        <v>2</v>
      </c>
      <c r="AI1582" s="8">
        <v>0</v>
      </c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11" t="s">
        <v>252</v>
      </c>
    </row>
    <row r="1583" spans="1:46" ht="15.1" customHeight="1">
      <c r="A1583" s="8"/>
      <c r="B1583" s="9"/>
      <c r="C1583" s="8"/>
      <c r="D1583" s="9"/>
      <c r="E1583" s="8">
        <v>0</v>
      </c>
      <c r="F1583" s="8">
        <v>3</v>
      </c>
      <c r="G1583" s="8">
        <v>15</v>
      </c>
      <c r="H1583" s="8">
        <v>0</v>
      </c>
      <c r="I1583" s="8">
        <v>7</v>
      </c>
      <c r="J1583" s="8">
        <v>6</v>
      </c>
      <c r="K1583" s="8">
        <v>7</v>
      </c>
      <c r="L1583" s="8">
        <v>6</v>
      </c>
      <c r="M1583" s="8">
        <v>7</v>
      </c>
      <c r="N1583" s="8">
        <v>17</v>
      </c>
      <c r="O1583" s="8">
        <v>11</v>
      </c>
      <c r="P1583" s="8">
        <v>5</v>
      </c>
      <c r="Q1583" s="8">
        <v>7</v>
      </c>
      <c r="R1583" s="8">
        <v>11</v>
      </c>
      <c r="S1583" s="8">
        <v>7</v>
      </c>
      <c r="T1583" s="8">
        <v>3</v>
      </c>
      <c r="U1583" s="8">
        <v>13</v>
      </c>
      <c r="V1583" s="8">
        <v>7</v>
      </c>
      <c r="W1583" s="8">
        <v>7</v>
      </c>
      <c r="X1583" s="8">
        <v>6</v>
      </c>
      <c r="Y1583" s="8">
        <v>0</v>
      </c>
      <c r="Z1583" s="8">
        <v>0</v>
      </c>
      <c r="AA1583" s="8">
        <v>0</v>
      </c>
      <c r="AB1583" s="8">
        <v>0</v>
      </c>
      <c r="AC1583" s="8">
        <v>1</v>
      </c>
      <c r="AD1583" s="8">
        <v>0</v>
      </c>
      <c r="AE1583" s="8">
        <v>0</v>
      </c>
      <c r="AF1583" s="8">
        <v>0</v>
      </c>
      <c r="AG1583" s="8">
        <v>0</v>
      </c>
      <c r="AH1583" s="8">
        <v>3</v>
      </c>
      <c r="AI1583" s="8">
        <v>0</v>
      </c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11" t="s">
        <v>252</v>
      </c>
    </row>
    <row r="1584" spans="1:46" ht="15.1" customHeight="1">
      <c r="A1584" s="8">
        <v>527</v>
      </c>
      <c r="B1584" s="9" t="s">
        <v>1303</v>
      </c>
      <c r="C1584" s="8" t="s">
        <v>1304</v>
      </c>
      <c r="D1584" s="9" t="s">
        <v>451</v>
      </c>
      <c r="E1584" s="8" t="s">
        <v>54</v>
      </c>
      <c r="F1584" s="8" t="s">
        <v>54</v>
      </c>
      <c r="G1584" s="10" t="s">
        <v>67</v>
      </c>
      <c r="H1584" s="8" t="s">
        <v>54</v>
      </c>
      <c r="I1584" s="8" t="s">
        <v>54</v>
      </c>
      <c r="J1584" s="8" t="s">
        <v>54</v>
      </c>
      <c r="K1584" s="8" t="s">
        <v>54</v>
      </c>
      <c r="L1584" s="8" t="s">
        <v>54</v>
      </c>
      <c r="M1584" s="8" t="s">
        <v>54</v>
      </c>
      <c r="N1584" s="10" t="s">
        <v>67</v>
      </c>
      <c r="O1584" s="8" t="s">
        <v>54</v>
      </c>
      <c r="P1584" s="8" t="s">
        <v>54</v>
      </c>
      <c r="Q1584" s="8" t="s">
        <v>54</v>
      </c>
      <c r="R1584" s="8" t="s">
        <v>54</v>
      </c>
      <c r="S1584" s="8" t="s">
        <v>54</v>
      </c>
      <c r="T1584" s="8" t="s">
        <v>54</v>
      </c>
      <c r="U1584" s="10" t="s">
        <v>67</v>
      </c>
      <c r="V1584" s="8" t="s">
        <v>54</v>
      </c>
      <c r="W1584" s="8" t="s">
        <v>54</v>
      </c>
      <c r="X1584" s="8" t="s">
        <v>54</v>
      </c>
      <c r="Y1584" s="8" t="s">
        <v>54</v>
      </c>
      <c r="Z1584" s="8" t="s">
        <v>54</v>
      </c>
      <c r="AA1584" s="8" t="s">
        <v>54</v>
      </c>
      <c r="AB1584" s="10" t="s">
        <v>67</v>
      </c>
      <c r="AC1584" s="8" t="s">
        <v>54</v>
      </c>
      <c r="AD1584" s="8" t="s">
        <v>54</v>
      </c>
      <c r="AE1584" s="8" t="s">
        <v>54</v>
      </c>
      <c r="AF1584" s="8" t="s">
        <v>54</v>
      </c>
      <c r="AG1584" s="8" t="s">
        <v>54</v>
      </c>
      <c r="AH1584" s="8" t="s">
        <v>54</v>
      </c>
      <c r="AI1584" s="10" t="s">
        <v>67</v>
      </c>
      <c r="AJ1584" s="8">
        <f>COUNTIF($E$1584:$AI$1584,"P")</f>
        <v>26</v>
      </c>
      <c r="AK1584" s="8">
        <f>COUNTIF($E$1584:$AI$1584,"A")</f>
        <v>0</v>
      </c>
      <c r="AL1584" s="8">
        <f>SUM($E$1585:$AI$1585)</f>
        <v>42</v>
      </c>
      <c r="AM1584" s="8">
        <f>SUM($E$1586:$AI$1586)</f>
        <v>116</v>
      </c>
      <c r="AN1584" s="8">
        <f>AL1584+AM1584</f>
        <v>157</v>
      </c>
      <c r="AO1584" s="8">
        <f>COUNTIF($E$1584:$AI$1584,"CL")</f>
        <v>0</v>
      </c>
      <c r="AP1584" s="8">
        <f>COUNTIF($E$1584:$AI$1584,"SL")</f>
        <v>0</v>
      </c>
      <c r="AQ1584" s="8">
        <f>COUNTIF($E$1584:$AI$1584,"EL")</f>
        <v>0</v>
      </c>
      <c r="AR1584" s="8">
        <f>COUNTIF($E$1584:$AI$1584,"H")</f>
        <v>0</v>
      </c>
      <c r="AS1584" s="8"/>
      <c r="AT1584" s="11" t="s">
        <v>252</v>
      </c>
    </row>
    <row r="1585" spans="1:46" ht="15.1" customHeight="1">
      <c r="A1585" s="8"/>
      <c r="B1585" s="9"/>
      <c r="C1585" s="8"/>
      <c r="D1585" s="9"/>
      <c r="E1585" s="8">
        <v>2</v>
      </c>
      <c r="F1585" s="8">
        <v>2</v>
      </c>
      <c r="G1585" s="8">
        <v>0</v>
      </c>
      <c r="H1585" s="8">
        <v>2</v>
      </c>
      <c r="I1585" s="8">
        <v>2</v>
      </c>
      <c r="J1585" s="8">
        <v>2</v>
      </c>
      <c r="K1585" s="8">
        <v>2</v>
      </c>
      <c r="L1585" s="8">
        <v>2</v>
      </c>
      <c r="M1585" s="8">
        <v>2</v>
      </c>
      <c r="N1585" s="8">
        <v>0</v>
      </c>
      <c r="O1585" s="8">
        <v>2</v>
      </c>
      <c r="P1585" s="8">
        <v>2</v>
      </c>
      <c r="Q1585" s="8">
        <v>2</v>
      </c>
      <c r="R1585" s="8">
        <v>2</v>
      </c>
      <c r="S1585" s="8">
        <v>2</v>
      </c>
      <c r="T1585" s="8">
        <v>2</v>
      </c>
      <c r="U1585" s="8">
        <v>0</v>
      </c>
      <c r="V1585" s="8">
        <v>2</v>
      </c>
      <c r="W1585" s="8">
        <v>2</v>
      </c>
      <c r="X1585" s="8">
        <v>2</v>
      </c>
      <c r="Y1585" s="8">
        <v>2</v>
      </c>
      <c r="Z1585" s="8">
        <v>1</v>
      </c>
      <c r="AA1585" s="8">
        <v>0</v>
      </c>
      <c r="AB1585" s="8">
        <v>0</v>
      </c>
      <c r="AC1585" s="8">
        <v>2</v>
      </c>
      <c r="AD1585" s="8">
        <v>2</v>
      </c>
      <c r="AE1585" s="8">
        <v>0</v>
      </c>
      <c r="AF1585" s="8">
        <v>1</v>
      </c>
      <c r="AG1585" s="8">
        <v>0</v>
      </c>
      <c r="AH1585" s="8">
        <v>0</v>
      </c>
      <c r="AI1585" s="8">
        <v>0</v>
      </c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11" t="s">
        <v>252</v>
      </c>
    </row>
    <row r="1586" spans="1:46" ht="15.1" customHeight="1">
      <c r="A1586" s="8"/>
      <c r="B1586" s="9"/>
      <c r="C1586" s="8"/>
      <c r="D1586" s="9"/>
      <c r="E1586" s="8">
        <v>3.5</v>
      </c>
      <c r="F1586" s="8">
        <v>2.5</v>
      </c>
      <c r="G1586" s="8">
        <v>14</v>
      </c>
      <c r="H1586" s="8">
        <v>5</v>
      </c>
      <c r="I1586" s="8">
        <v>6.5</v>
      </c>
      <c r="J1586" s="8">
        <v>6</v>
      </c>
      <c r="K1586" s="8">
        <v>6.5</v>
      </c>
      <c r="L1586" s="8">
        <v>7</v>
      </c>
      <c r="M1586" s="8">
        <v>4.5</v>
      </c>
      <c r="N1586" s="8">
        <v>16.5</v>
      </c>
      <c r="O1586" s="8">
        <v>6.5</v>
      </c>
      <c r="P1586" s="8">
        <v>6.5</v>
      </c>
      <c r="Q1586" s="8">
        <v>5</v>
      </c>
      <c r="R1586" s="8">
        <v>5</v>
      </c>
      <c r="S1586" s="8">
        <v>5</v>
      </c>
      <c r="T1586" s="8">
        <v>3</v>
      </c>
      <c r="U1586" s="8">
        <v>10</v>
      </c>
      <c r="V1586" s="8">
        <v>0</v>
      </c>
      <c r="W1586" s="8">
        <v>3</v>
      </c>
      <c r="X1586" s="8">
        <v>0</v>
      </c>
      <c r="Y1586" s="8">
        <v>0</v>
      </c>
      <c r="Z1586" s="8">
        <v>0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0</v>
      </c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11" t="s">
        <v>252</v>
      </c>
    </row>
    <row r="1587" spans="1:46" ht="15.1" customHeight="1">
      <c r="A1587" s="8">
        <v>528</v>
      </c>
      <c r="B1587" s="9" t="s">
        <v>1206</v>
      </c>
      <c r="C1587" s="8" t="s">
        <v>1305</v>
      </c>
      <c r="D1587" s="9" t="s">
        <v>451</v>
      </c>
      <c r="E1587" s="8" t="s">
        <v>54</v>
      </c>
      <c r="F1587" s="8" t="s">
        <v>54</v>
      </c>
      <c r="G1587" s="10" t="s">
        <v>67</v>
      </c>
      <c r="H1587" s="8" t="s">
        <v>54</v>
      </c>
      <c r="I1587" s="8" t="s">
        <v>54</v>
      </c>
      <c r="J1587" s="8" t="s">
        <v>54</v>
      </c>
      <c r="K1587" s="8" t="s">
        <v>54</v>
      </c>
      <c r="L1587" s="8" t="s">
        <v>54</v>
      </c>
      <c r="M1587" s="8" t="s">
        <v>54</v>
      </c>
      <c r="N1587" s="10" t="s">
        <v>67</v>
      </c>
      <c r="O1587" s="8" t="s">
        <v>54</v>
      </c>
      <c r="P1587" s="8" t="s">
        <v>54</v>
      </c>
      <c r="Q1587" s="8" t="s">
        <v>54</v>
      </c>
      <c r="R1587" s="8" t="s">
        <v>54</v>
      </c>
      <c r="S1587" s="8" t="s">
        <v>54</v>
      </c>
      <c r="T1587" s="8" t="s">
        <v>54</v>
      </c>
      <c r="U1587" s="10" t="s">
        <v>67</v>
      </c>
      <c r="V1587" s="8" t="s">
        <v>54</v>
      </c>
      <c r="W1587" s="8" t="s">
        <v>54</v>
      </c>
      <c r="X1587" s="8" t="s">
        <v>54</v>
      </c>
      <c r="Y1587" s="8" t="s">
        <v>59</v>
      </c>
      <c r="Z1587" s="8" t="s">
        <v>59</v>
      </c>
      <c r="AA1587" s="8" t="s">
        <v>59</v>
      </c>
      <c r="AB1587" s="10" t="s">
        <v>67</v>
      </c>
      <c r="AC1587" s="8" t="s">
        <v>60</v>
      </c>
      <c r="AD1587" s="8" t="s">
        <v>60</v>
      </c>
      <c r="AE1587" s="8" t="s">
        <v>54</v>
      </c>
      <c r="AF1587" s="8" t="s">
        <v>54</v>
      </c>
      <c r="AG1587" s="8" t="s">
        <v>54</v>
      </c>
      <c r="AH1587" s="8" t="s">
        <v>54</v>
      </c>
      <c r="AI1587" s="10" t="s">
        <v>67</v>
      </c>
      <c r="AJ1587" s="8">
        <f>COUNTIF($E$1587:$AI$1587,"P")</f>
        <v>21</v>
      </c>
      <c r="AK1587" s="8">
        <f>COUNTIF($E$1587:$AI$1587,"A")</f>
        <v>0</v>
      </c>
      <c r="AL1587" s="8">
        <f>SUM($E$1588:$AI$1588)</f>
        <v>33</v>
      </c>
      <c r="AM1587" s="8">
        <f>SUM($E$1589:$AI$1589)</f>
        <v>111.5</v>
      </c>
      <c r="AN1587" s="8">
        <f>AL1587+AM1587</f>
        <v>144.5</v>
      </c>
      <c r="AO1587" s="8">
        <f>COUNTIF($E$1587:$AI$1587,"CL")</f>
        <v>3</v>
      </c>
      <c r="AP1587" s="8">
        <f>COUNTIF($E$1587:$AI$1587,"SL")</f>
        <v>0</v>
      </c>
      <c r="AQ1587" s="8">
        <f>COUNTIF($E$1587:$AI$1587,"EL")</f>
        <v>2</v>
      </c>
      <c r="AR1587" s="8">
        <f>COUNTIF($E$1587:$AI$1587,"H")</f>
        <v>0</v>
      </c>
      <c r="AS1587" s="8"/>
      <c r="AT1587" s="11" t="s">
        <v>252</v>
      </c>
    </row>
    <row r="1588" spans="1:46" ht="15.1" customHeight="1">
      <c r="A1588" s="8"/>
      <c r="B1588" s="9"/>
      <c r="C1588" s="8"/>
      <c r="D1588" s="9"/>
      <c r="E1588" s="8">
        <v>2</v>
      </c>
      <c r="F1588" s="8">
        <v>2</v>
      </c>
      <c r="G1588" s="8">
        <v>0</v>
      </c>
      <c r="H1588" s="8">
        <v>2</v>
      </c>
      <c r="I1588" s="8">
        <v>2</v>
      </c>
      <c r="J1588" s="8">
        <v>2</v>
      </c>
      <c r="K1588" s="8">
        <v>2</v>
      </c>
      <c r="L1588" s="8">
        <v>2</v>
      </c>
      <c r="M1588" s="8">
        <v>2</v>
      </c>
      <c r="N1588" s="8">
        <v>0</v>
      </c>
      <c r="O1588" s="8">
        <v>2</v>
      </c>
      <c r="P1588" s="8">
        <v>2</v>
      </c>
      <c r="Q1588" s="8">
        <v>2</v>
      </c>
      <c r="R1588" s="8">
        <v>2</v>
      </c>
      <c r="S1588" s="8">
        <v>2</v>
      </c>
      <c r="T1588" s="8">
        <v>2</v>
      </c>
      <c r="U1588" s="8">
        <v>0</v>
      </c>
      <c r="V1588" s="8">
        <v>2</v>
      </c>
      <c r="W1588" s="8">
        <v>2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8">
        <v>0</v>
      </c>
      <c r="AF1588" s="8">
        <v>1</v>
      </c>
      <c r="AG1588" s="8">
        <v>0</v>
      </c>
      <c r="AH1588" s="8">
        <v>0</v>
      </c>
      <c r="AI1588" s="8">
        <v>0</v>
      </c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11" t="s">
        <v>252</v>
      </c>
    </row>
    <row r="1589" spans="1:46" ht="15.1" customHeight="1">
      <c r="A1589" s="8"/>
      <c r="B1589" s="9"/>
      <c r="C1589" s="8"/>
      <c r="D1589" s="9"/>
      <c r="E1589" s="8">
        <v>3.5</v>
      </c>
      <c r="F1589" s="8">
        <v>3</v>
      </c>
      <c r="G1589" s="8">
        <v>0</v>
      </c>
      <c r="H1589" s="8">
        <v>5</v>
      </c>
      <c r="I1589" s="8">
        <v>6</v>
      </c>
      <c r="J1589" s="8">
        <v>6</v>
      </c>
      <c r="K1589" s="8">
        <v>7</v>
      </c>
      <c r="L1589" s="8">
        <v>7</v>
      </c>
      <c r="M1589" s="8">
        <v>5</v>
      </c>
      <c r="N1589" s="8">
        <v>12.5</v>
      </c>
      <c r="O1589" s="8">
        <v>7</v>
      </c>
      <c r="P1589" s="8">
        <v>6.5</v>
      </c>
      <c r="Q1589" s="8">
        <v>4.5</v>
      </c>
      <c r="R1589" s="8">
        <v>5</v>
      </c>
      <c r="S1589" s="8">
        <v>4.5</v>
      </c>
      <c r="T1589" s="8">
        <v>2.5</v>
      </c>
      <c r="U1589" s="8">
        <v>13</v>
      </c>
      <c r="V1589" s="8">
        <v>7</v>
      </c>
      <c r="W1589" s="8">
        <v>6.5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11" t="s">
        <v>252</v>
      </c>
    </row>
    <row r="1590" spans="1:46" ht="15.1" customHeight="1">
      <c r="A1590" s="8">
        <v>529</v>
      </c>
      <c r="B1590" s="9" t="s">
        <v>1306</v>
      </c>
      <c r="C1590" s="8" t="s">
        <v>1307</v>
      </c>
      <c r="D1590" s="9" t="s">
        <v>451</v>
      </c>
      <c r="E1590" s="8" t="s">
        <v>54</v>
      </c>
      <c r="F1590" s="8" t="s">
        <v>54</v>
      </c>
      <c r="G1590" s="10" t="s">
        <v>67</v>
      </c>
      <c r="H1590" s="8" t="s">
        <v>54</v>
      </c>
      <c r="I1590" s="8" t="s">
        <v>54</v>
      </c>
      <c r="J1590" s="8" t="s">
        <v>54</v>
      </c>
      <c r="K1590" s="12" t="s">
        <v>55</v>
      </c>
      <c r="L1590" s="8" t="s">
        <v>54</v>
      </c>
      <c r="M1590" s="8" t="s">
        <v>54</v>
      </c>
      <c r="N1590" s="10" t="s">
        <v>67</v>
      </c>
      <c r="O1590" s="8" t="s">
        <v>54</v>
      </c>
      <c r="P1590" s="12" t="s">
        <v>55</v>
      </c>
      <c r="Q1590" s="8" t="s">
        <v>54</v>
      </c>
      <c r="R1590" s="8" t="s">
        <v>54</v>
      </c>
      <c r="S1590" s="8" t="s">
        <v>54</v>
      </c>
      <c r="T1590" s="8" t="s">
        <v>54</v>
      </c>
      <c r="U1590" s="10" t="s">
        <v>67</v>
      </c>
      <c r="V1590" s="8" t="s">
        <v>54</v>
      </c>
      <c r="W1590" s="8" t="s">
        <v>54</v>
      </c>
      <c r="X1590" s="8" t="s">
        <v>54</v>
      </c>
      <c r="Y1590" s="8" t="s">
        <v>54</v>
      </c>
      <c r="Z1590" s="8" t="s">
        <v>54</v>
      </c>
      <c r="AA1590" s="8" t="s">
        <v>54</v>
      </c>
      <c r="AB1590" s="10" t="s">
        <v>67</v>
      </c>
      <c r="AC1590" s="8" t="s">
        <v>54</v>
      </c>
      <c r="AD1590" s="8" t="s">
        <v>54</v>
      </c>
      <c r="AE1590" s="8" t="s">
        <v>54</v>
      </c>
      <c r="AF1590" s="8" t="s">
        <v>54</v>
      </c>
      <c r="AG1590" s="8" t="s">
        <v>54</v>
      </c>
      <c r="AH1590" s="8" t="s">
        <v>54</v>
      </c>
      <c r="AI1590" s="10" t="s">
        <v>67</v>
      </c>
      <c r="AJ1590" s="8">
        <f>COUNTIF($E$1590:$AI$1590,"P")</f>
        <v>24</v>
      </c>
      <c r="AK1590" s="8">
        <f>COUNTIF($E$1590:$AI$1590,"A")</f>
        <v>2</v>
      </c>
      <c r="AL1590" s="8">
        <f>SUM($E$1591:$AI$1591)</f>
        <v>32</v>
      </c>
      <c r="AM1590" s="8">
        <f>SUM($E$1592:$AI$1592)</f>
        <v>126.5</v>
      </c>
      <c r="AN1590" s="8">
        <f>AL1590+AM1590</f>
        <v>158.5</v>
      </c>
      <c r="AO1590" s="8">
        <f>COUNTIF($E$1590:$AI$1590,"CL")</f>
        <v>0</v>
      </c>
      <c r="AP1590" s="8">
        <f>COUNTIF($E$1590:$AI$1590,"SL")</f>
        <v>0</v>
      </c>
      <c r="AQ1590" s="8">
        <f>COUNTIF($E$1590:$AI$1590,"EL")</f>
        <v>0</v>
      </c>
      <c r="AR1590" s="8">
        <f>COUNTIF($E$1590:$AI$1590,"H")</f>
        <v>0</v>
      </c>
      <c r="AS1590" s="8"/>
      <c r="AT1590" s="11" t="s">
        <v>252</v>
      </c>
    </row>
    <row r="1591" spans="1:46" ht="15.1" customHeight="1">
      <c r="A1591" s="8"/>
      <c r="B1591" s="9"/>
      <c r="C1591" s="8"/>
      <c r="D1591" s="9"/>
      <c r="E1591" s="8">
        <v>2</v>
      </c>
      <c r="F1591" s="8">
        <v>2</v>
      </c>
      <c r="G1591" s="8">
        <v>0</v>
      </c>
      <c r="H1591" s="8">
        <v>2</v>
      </c>
      <c r="I1591" s="8">
        <v>2</v>
      </c>
      <c r="J1591" s="8">
        <v>0</v>
      </c>
      <c r="K1591" s="8">
        <v>0</v>
      </c>
      <c r="L1591" s="8">
        <v>2</v>
      </c>
      <c r="M1591" s="8">
        <v>2</v>
      </c>
      <c r="N1591" s="8">
        <v>0</v>
      </c>
      <c r="O1591" s="8">
        <v>2</v>
      </c>
      <c r="P1591" s="8">
        <v>0</v>
      </c>
      <c r="Q1591" s="8">
        <v>2</v>
      </c>
      <c r="R1591" s="8">
        <v>2</v>
      </c>
      <c r="S1591" s="8">
        <v>2</v>
      </c>
      <c r="T1591" s="8">
        <v>2</v>
      </c>
      <c r="U1591" s="8">
        <v>0</v>
      </c>
      <c r="V1591" s="8">
        <v>2</v>
      </c>
      <c r="W1591" s="8">
        <v>2</v>
      </c>
      <c r="X1591" s="8">
        <v>2</v>
      </c>
      <c r="Y1591" s="8">
        <v>0</v>
      </c>
      <c r="Z1591" s="8">
        <v>0</v>
      </c>
      <c r="AA1591" s="8">
        <v>0</v>
      </c>
      <c r="AB1591" s="8">
        <v>0</v>
      </c>
      <c r="AC1591" s="8">
        <v>2</v>
      </c>
      <c r="AD1591" s="8">
        <v>2</v>
      </c>
      <c r="AE1591" s="8">
        <v>0</v>
      </c>
      <c r="AF1591" s="8">
        <v>0</v>
      </c>
      <c r="AG1591" s="8">
        <v>0</v>
      </c>
      <c r="AH1591" s="8">
        <v>0</v>
      </c>
      <c r="AI1591" s="8">
        <v>0</v>
      </c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11" t="s">
        <v>252</v>
      </c>
    </row>
    <row r="1592" spans="1:46" ht="15.1" customHeight="1">
      <c r="A1592" s="8"/>
      <c r="B1592" s="9"/>
      <c r="C1592" s="8"/>
      <c r="D1592" s="9"/>
      <c r="E1592" s="8">
        <v>3.5</v>
      </c>
      <c r="F1592" s="8">
        <v>3</v>
      </c>
      <c r="G1592" s="8">
        <v>12.5</v>
      </c>
      <c r="H1592" s="8">
        <v>6</v>
      </c>
      <c r="I1592" s="8">
        <v>7</v>
      </c>
      <c r="J1592" s="8">
        <v>0</v>
      </c>
      <c r="K1592" s="8">
        <v>0</v>
      </c>
      <c r="L1592" s="8">
        <v>6</v>
      </c>
      <c r="M1592" s="8">
        <v>7</v>
      </c>
      <c r="N1592" s="8">
        <v>16</v>
      </c>
      <c r="O1592" s="8">
        <v>6.5</v>
      </c>
      <c r="P1592" s="8">
        <v>0</v>
      </c>
      <c r="Q1592" s="8">
        <v>7</v>
      </c>
      <c r="R1592" s="8">
        <v>9.5</v>
      </c>
      <c r="S1592" s="8">
        <v>7</v>
      </c>
      <c r="T1592" s="8">
        <v>1.5</v>
      </c>
      <c r="U1592" s="8">
        <v>12.5</v>
      </c>
      <c r="V1592" s="8">
        <v>7</v>
      </c>
      <c r="W1592" s="8">
        <v>5.5</v>
      </c>
      <c r="X1592" s="8">
        <v>6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3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11" t="s">
        <v>252</v>
      </c>
    </row>
    <row r="1593" spans="1:46" ht="15.1" customHeight="1">
      <c r="A1593" s="8">
        <v>530</v>
      </c>
      <c r="B1593" s="9" t="s">
        <v>1308</v>
      </c>
      <c r="C1593" s="8" t="s">
        <v>1309</v>
      </c>
      <c r="D1593" s="9" t="s">
        <v>451</v>
      </c>
      <c r="E1593" s="8" t="s">
        <v>54</v>
      </c>
      <c r="F1593" s="8" t="s">
        <v>54</v>
      </c>
      <c r="G1593" s="10" t="s">
        <v>67</v>
      </c>
      <c r="H1593" s="8" t="s">
        <v>54</v>
      </c>
      <c r="I1593" s="8" t="s">
        <v>54</v>
      </c>
      <c r="J1593" s="8" t="s">
        <v>54</v>
      </c>
      <c r="K1593" s="8" t="s">
        <v>54</v>
      </c>
      <c r="L1593" s="8" t="s">
        <v>54</v>
      </c>
      <c r="M1593" s="8" t="s">
        <v>54</v>
      </c>
      <c r="N1593" s="10" t="s">
        <v>67</v>
      </c>
      <c r="O1593" s="8" t="s">
        <v>54</v>
      </c>
      <c r="P1593" s="8" t="s">
        <v>54</v>
      </c>
      <c r="Q1593" s="8" t="s">
        <v>54</v>
      </c>
      <c r="R1593" s="8" t="s">
        <v>54</v>
      </c>
      <c r="S1593" s="8" t="s">
        <v>54</v>
      </c>
      <c r="T1593" s="8" t="s">
        <v>54</v>
      </c>
      <c r="U1593" s="10" t="s">
        <v>67</v>
      </c>
      <c r="V1593" s="8" t="s">
        <v>54</v>
      </c>
      <c r="W1593" s="8" t="s">
        <v>54</v>
      </c>
      <c r="X1593" s="8" t="s">
        <v>54</v>
      </c>
      <c r="Y1593" s="8" t="s">
        <v>54</v>
      </c>
      <c r="Z1593" s="8" t="s">
        <v>54</v>
      </c>
      <c r="AA1593" s="8" t="s">
        <v>54</v>
      </c>
      <c r="AB1593" s="10" t="s">
        <v>67</v>
      </c>
      <c r="AC1593" s="8" t="s">
        <v>54</v>
      </c>
      <c r="AD1593" s="8" t="s">
        <v>54</v>
      </c>
      <c r="AE1593" s="8" t="s">
        <v>54</v>
      </c>
      <c r="AF1593" s="8" t="s">
        <v>54</v>
      </c>
      <c r="AG1593" s="8" t="s">
        <v>54</v>
      </c>
      <c r="AH1593" s="8" t="s">
        <v>54</v>
      </c>
      <c r="AI1593" s="10" t="s">
        <v>67</v>
      </c>
      <c r="AJ1593" s="8">
        <f>COUNTIF($E$1593:$AI$1593,"P")</f>
        <v>26</v>
      </c>
      <c r="AK1593" s="8">
        <f>COUNTIF($E$1593:$AI$1593,"A")</f>
        <v>0</v>
      </c>
      <c r="AL1593" s="8">
        <f>SUM($E$1594:$AI$1594)</f>
        <v>38</v>
      </c>
      <c r="AM1593" s="8">
        <f>SUM($E$1595:$AI$1595)</f>
        <v>129.5</v>
      </c>
      <c r="AN1593" s="8">
        <f>AL1593+AM1593</f>
        <v>167.5</v>
      </c>
      <c r="AO1593" s="8">
        <f>COUNTIF($E$1593:$AI$1593,"CL")</f>
        <v>0</v>
      </c>
      <c r="AP1593" s="8">
        <f>COUNTIF($E$1593:$AI$1593,"SL")</f>
        <v>0</v>
      </c>
      <c r="AQ1593" s="8">
        <f>COUNTIF($E$1593:$AI$1593,"EL")</f>
        <v>0</v>
      </c>
      <c r="AR1593" s="8">
        <f>COUNTIF($E$1593:$AI$1593,"H")</f>
        <v>0</v>
      </c>
      <c r="AS1593" s="8"/>
      <c r="AT1593" s="11" t="s">
        <v>252</v>
      </c>
    </row>
    <row r="1594" spans="1:46" ht="15.1" customHeight="1">
      <c r="A1594" s="8"/>
      <c r="B1594" s="9"/>
      <c r="C1594" s="8"/>
      <c r="D1594" s="9"/>
      <c r="E1594" s="8">
        <v>0</v>
      </c>
      <c r="F1594" s="8">
        <v>2</v>
      </c>
      <c r="G1594" s="8">
        <v>0</v>
      </c>
      <c r="H1594" s="8">
        <v>2</v>
      </c>
      <c r="I1594" s="8">
        <v>2</v>
      </c>
      <c r="J1594" s="8">
        <v>2</v>
      </c>
      <c r="K1594" s="8">
        <v>2</v>
      </c>
      <c r="L1594" s="8">
        <v>2</v>
      </c>
      <c r="M1594" s="8">
        <v>2</v>
      </c>
      <c r="N1594" s="8">
        <v>0</v>
      </c>
      <c r="O1594" s="8">
        <v>2</v>
      </c>
      <c r="P1594" s="8">
        <v>2</v>
      </c>
      <c r="Q1594" s="8">
        <v>2</v>
      </c>
      <c r="R1594" s="8">
        <v>2</v>
      </c>
      <c r="S1594" s="8">
        <v>2</v>
      </c>
      <c r="T1594" s="8">
        <v>2</v>
      </c>
      <c r="U1594" s="8">
        <v>0</v>
      </c>
      <c r="V1594" s="8">
        <v>2</v>
      </c>
      <c r="W1594" s="8">
        <v>2</v>
      </c>
      <c r="X1594" s="8">
        <v>2</v>
      </c>
      <c r="Y1594" s="8">
        <v>0</v>
      </c>
      <c r="Z1594" s="8">
        <v>2</v>
      </c>
      <c r="AA1594" s="8">
        <v>0</v>
      </c>
      <c r="AB1594" s="8">
        <v>0</v>
      </c>
      <c r="AC1594" s="8">
        <v>2</v>
      </c>
      <c r="AD1594" s="8">
        <v>0</v>
      </c>
      <c r="AE1594" s="8">
        <v>0</v>
      </c>
      <c r="AF1594" s="8">
        <v>0</v>
      </c>
      <c r="AG1594" s="8">
        <v>0</v>
      </c>
      <c r="AH1594" s="8">
        <v>2</v>
      </c>
      <c r="AI1594" s="8">
        <v>0</v>
      </c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11" t="s">
        <v>252</v>
      </c>
    </row>
    <row r="1595" spans="1:46" ht="15.1" customHeight="1">
      <c r="A1595" s="8"/>
      <c r="B1595" s="9"/>
      <c r="C1595" s="8"/>
      <c r="D1595" s="9"/>
      <c r="E1595" s="8">
        <v>0</v>
      </c>
      <c r="F1595" s="8">
        <v>3</v>
      </c>
      <c r="G1595" s="8">
        <v>0</v>
      </c>
      <c r="H1595" s="8">
        <v>7</v>
      </c>
      <c r="I1595" s="8">
        <v>11</v>
      </c>
      <c r="J1595" s="8">
        <v>0</v>
      </c>
      <c r="K1595" s="8">
        <v>7</v>
      </c>
      <c r="L1595" s="8">
        <v>6</v>
      </c>
      <c r="M1595" s="8">
        <v>7</v>
      </c>
      <c r="N1595" s="8">
        <v>17</v>
      </c>
      <c r="O1595" s="8">
        <v>7</v>
      </c>
      <c r="P1595" s="8">
        <v>7</v>
      </c>
      <c r="Q1595" s="8">
        <v>5</v>
      </c>
      <c r="R1595" s="8">
        <v>7</v>
      </c>
      <c r="S1595" s="8">
        <v>7</v>
      </c>
      <c r="T1595" s="8">
        <v>3</v>
      </c>
      <c r="U1595" s="8">
        <v>12.5</v>
      </c>
      <c r="V1595" s="8">
        <v>7</v>
      </c>
      <c r="W1595" s="8">
        <v>7</v>
      </c>
      <c r="X1595" s="8">
        <v>6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8">
        <v>0</v>
      </c>
      <c r="AH1595" s="8">
        <v>3</v>
      </c>
      <c r="AI1595" s="8">
        <v>0</v>
      </c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11" t="s">
        <v>252</v>
      </c>
    </row>
    <row r="1596" spans="1:46" ht="15.1" customHeight="1">
      <c r="A1596" s="8">
        <v>531</v>
      </c>
      <c r="B1596" s="9" t="s">
        <v>1310</v>
      </c>
      <c r="C1596" s="8" t="s">
        <v>1311</v>
      </c>
      <c r="D1596" s="9" t="s">
        <v>451</v>
      </c>
      <c r="E1596" s="8" t="s">
        <v>54</v>
      </c>
      <c r="F1596" s="8" t="s">
        <v>54</v>
      </c>
      <c r="G1596" s="10" t="s">
        <v>67</v>
      </c>
      <c r="H1596" s="8" t="s">
        <v>54</v>
      </c>
      <c r="I1596" s="8" t="s">
        <v>54</v>
      </c>
      <c r="J1596" s="8" t="s">
        <v>54</v>
      </c>
      <c r="K1596" s="8" t="s">
        <v>54</v>
      </c>
      <c r="L1596" s="8" t="s">
        <v>54</v>
      </c>
      <c r="M1596" s="8" t="s">
        <v>54</v>
      </c>
      <c r="N1596" s="10" t="s">
        <v>67</v>
      </c>
      <c r="O1596" s="8" t="s">
        <v>54</v>
      </c>
      <c r="P1596" s="8" t="s">
        <v>54</v>
      </c>
      <c r="Q1596" s="8" t="s">
        <v>54</v>
      </c>
      <c r="R1596" s="8" t="s">
        <v>54</v>
      </c>
      <c r="S1596" s="8" t="s">
        <v>54</v>
      </c>
      <c r="T1596" s="8" t="s">
        <v>54</v>
      </c>
      <c r="U1596" s="10" t="s">
        <v>67</v>
      </c>
      <c r="V1596" s="8" t="s">
        <v>54</v>
      </c>
      <c r="W1596" s="8" t="s">
        <v>54</v>
      </c>
      <c r="X1596" s="8" t="s">
        <v>54</v>
      </c>
      <c r="Y1596" s="8" t="s">
        <v>54</v>
      </c>
      <c r="Z1596" s="8" t="s">
        <v>54</v>
      </c>
      <c r="AA1596" s="8" t="s">
        <v>54</v>
      </c>
      <c r="AB1596" s="10" t="s">
        <v>67</v>
      </c>
      <c r="AC1596" s="8" t="s">
        <v>54</v>
      </c>
      <c r="AD1596" s="8" t="s">
        <v>54</v>
      </c>
      <c r="AE1596" s="8" t="s">
        <v>54</v>
      </c>
      <c r="AF1596" s="8" t="s">
        <v>54</v>
      </c>
      <c r="AG1596" s="8" t="s">
        <v>54</v>
      </c>
      <c r="AH1596" s="8" t="s">
        <v>54</v>
      </c>
      <c r="AI1596" s="10" t="s">
        <v>67</v>
      </c>
      <c r="AJ1596" s="8">
        <f>COUNTIF($E$1596:$AI$1596,"P")</f>
        <v>26</v>
      </c>
      <c r="AK1596" s="8">
        <f>COUNTIF($E$1596:$AI$1596,"A")</f>
        <v>0</v>
      </c>
      <c r="AL1596" s="8">
        <f>SUM($E$1597:$AI$1597)</f>
        <v>39</v>
      </c>
      <c r="AM1596" s="8">
        <f>SUM($E$1598:$AI$1598)</f>
        <v>99</v>
      </c>
      <c r="AN1596" s="8">
        <f>AL1596+AM1596</f>
        <v>138</v>
      </c>
      <c r="AO1596" s="8">
        <f>COUNTIF($E$1596:$AI$1596,"CL")</f>
        <v>0</v>
      </c>
      <c r="AP1596" s="8">
        <f>COUNTIF($E$1596:$AI$1596,"SL")</f>
        <v>0</v>
      </c>
      <c r="AQ1596" s="8">
        <f>COUNTIF($E$1596:$AI$1596,"EL")</f>
        <v>0</v>
      </c>
      <c r="AR1596" s="8">
        <f>COUNTIF($E$1596:$AI$1596,"H")</f>
        <v>0</v>
      </c>
      <c r="AS1596" s="8"/>
      <c r="AT1596" s="11" t="s">
        <v>252</v>
      </c>
    </row>
    <row r="1597" spans="1:46" ht="15.1" customHeight="1">
      <c r="A1597" s="8"/>
      <c r="B1597" s="9"/>
      <c r="C1597" s="8"/>
      <c r="D1597" s="9"/>
      <c r="E1597" s="8">
        <v>2</v>
      </c>
      <c r="F1597" s="8">
        <v>2</v>
      </c>
      <c r="G1597" s="8">
        <v>0</v>
      </c>
      <c r="H1597" s="8">
        <v>2</v>
      </c>
      <c r="I1597" s="8">
        <v>2</v>
      </c>
      <c r="J1597" s="8">
        <v>2</v>
      </c>
      <c r="K1597" s="8">
        <v>2</v>
      </c>
      <c r="L1597" s="8">
        <v>2</v>
      </c>
      <c r="M1597" s="8">
        <v>2</v>
      </c>
      <c r="N1597" s="8">
        <v>0</v>
      </c>
      <c r="O1597" s="8">
        <v>2</v>
      </c>
      <c r="P1597" s="8">
        <v>2</v>
      </c>
      <c r="Q1597" s="8">
        <v>2</v>
      </c>
      <c r="R1597" s="8">
        <v>2</v>
      </c>
      <c r="S1597" s="8">
        <v>2</v>
      </c>
      <c r="T1597" s="8">
        <v>2</v>
      </c>
      <c r="U1597" s="8">
        <v>0</v>
      </c>
      <c r="V1597" s="8">
        <v>2</v>
      </c>
      <c r="W1597" s="8">
        <v>2</v>
      </c>
      <c r="X1597" s="8">
        <v>2</v>
      </c>
      <c r="Y1597" s="8">
        <v>0</v>
      </c>
      <c r="Z1597" s="8">
        <v>0</v>
      </c>
      <c r="AA1597" s="8">
        <v>0</v>
      </c>
      <c r="AB1597" s="8">
        <v>0</v>
      </c>
      <c r="AC1597" s="8">
        <v>2</v>
      </c>
      <c r="AD1597" s="8">
        <v>2</v>
      </c>
      <c r="AE1597" s="8">
        <v>0</v>
      </c>
      <c r="AF1597" s="8">
        <v>0</v>
      </c>
      <c r="AG1597" s="8">
        <v>1</v>
      </c>
      <c r="AH1597" s="8">
        <v>0</v>
      </c>
      <c r="AI1597" s="8">
        <v>0</v>
      </c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11" t="s">
        <v>252</v>
      </c>
    </row>
    <row r="1598" spans="1:46" ht="15.1" customHeight="1">
      <c r="A1598" s="8"/>
      <c r="B1598" s="9"/>
      <c r="C1598" s="8"/>
      <c r="D1598" s="9"/>
      <c r="E1598" s="8">
        <v>5</v>
      </c>
      <c r="F1598" s="8">
        <v>3</v>
      </c>
      <c r="G1598" s="8">
        <v>0</v>
      </c>
      <c r="H1598" s="8">
        <v>5</v>
      </c>
      <c r="I1598" s="8">
        <v>7</v>
      </c>
      <c r="J1598" s="8">
        <v>7</v>
      </c>
      <c r="K1598" s="8">
        <v>7</v>
      </c>
      <c r="L1598" s="8">
        <v>7</v>
      </c>
      <c r="M1598" s="8">
        <v>5</v>
      </c>
      <c r="N1598" s="8">
        <v>0</v>
      </c>
      <c r="O1598" s="8">
        <v>7</v>
      </c>
      <c r="P1598" s="8">
        <v>7</v>
      </c>
      <c r="Q1598" s="8">
        <v>5</v>
      </c>
      <c r="R1598" s="8">
        <v>7</v>
      </c>
      <c r="S1598" s="8">
        <v>7</v>
      </c>
      <c r="T1598" s="8">
        <v>3</v>
      </c>
      <c r="U1598" s="8">
        <v>0</v>
      </c>
      <c r="V1598" s="8">
        <v>7</v>
      </c>
      <c r="W1598" s="8">
        <v>7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3</v>
      </c>
      <c r="AE1598" s="8">
        <v>0</v>
      </c>
      <c r="AF1598" s="8">
        <v>0</v>
      </c>
      <c r="AG1598" s="8">
        <v>0</v>
      </c>
      <c r="AH1598" s="8">
        <v>0</v>
      </c>
      <c r="AI1598" s="8">
        <v>0</v>
      </c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11" t="s">
        <v>252</v>
      </c>
    </row>
    <row r="1599" spans="1:46" ht="15.1" customHeight="1">
      <c r="A1599" s="8">
        <v>532</v>
      </c>
      <c r="B1599" s="9" t="s">
        <v>1312</v>
      </c>
      <c r="C1599" s="8" t="s">
        <v>1313</v>
      </c>
      <c r="D1599" s="9" t="s">
        <v>451</v>
      </c>
      <c r="E1599" s="8" t="s">
        <v>54</v>
      </c>
      <c r="F1599" s="8" t="s">
        <v>54</v>
      </c>
      <c r="G1599" s="10" t="s">
        <v>67</v>
      </c>
      <c r="H1599" s="8" t="s">
        <v>54</v>
      </c>
      <c r="I1599" s="8" t="s">
        <v>54</v>
      </c>
      <c r="J1599" s="8" t="s">
        <v>54</v>
      </c>
      <c r="K1599" s="8" t="s">
        <v>54</v>
      </c>
      <c r="L1599" s="8" t="s">
        <v>54</v>
      </c>
      <c r="M1599" s="8" t="s">
        <v>54</v>
      </c>
      <c r="N1599" s="10" t="s">
        <v>67</v>
      </c>
      <c r="O1599" s="8" t="s">
        <v>54</v>
      </c>
      <c r="P1599" s="8" t="s">
        <v>54</v>
      </c>
      <c r="Q1599" s="8" t="s">
        <v>54</v>
      </c>
      <c r="R1599" s="8" t="s">
        <v>54</v>
      </c>
      <c r="S1599" s="8" t="s">
        <v>54</v>
      </c>
      <c r="T1599" s="8" t="s">
        <v>54</v>
      </c>
      <c r="U1599" s="10" t="s">
        <v>67</v>
      </c>
      <c r="V1599" s="8" t="s">
        <v>54</v>
      </c>
      <c r="W1599" s="8" t="s">
        <v>54</v>
      </c>
      <c r="X1599" s="8" t="s">
        <v>54</v>
      </c>
      <c r="Y1599" s="8" t="s">
        <v>54</v>
      </c>
      <c r="Z1599" s="8" t="s">
        <v>54</v>
      </c>
      <c r="AA1599" s="8" t="s">
        <v>54</v>
      </c>
      <c r="AB1599" s="10" t="s">
        <v>67</v>
      </c>
      <c r="AC1599" s="8" t="s">
        <v>54</v>
      </c>
      <c r="AD1599" s="8" t="s">
        <v>54</v>
      </c>
      <c r="AE1599" s="8" t="s">
        <v>54</v>
      </c>
      <c r="AF1599" s="8" t="s">
        <v>54</v>
      </c>
      <c r="AG1599" s="8" t="s">
        <v>54</v>
      </c>
      <c r="AH1599" s="8" t="s">
        <v>54</v>
      </c>
      <c r="AI1599" s="10" t="s">
        <v>67</v>
      </c>
      <c r="AJ1599" s="8">
        <f>COUNTIF($E$1599:$AI$1599,"P")</f>
        <v>26</v>
      </c>
      <c r="AK1599" s="8">
        <f>COUNTIF($E$1599:$AI$1599,"A")</f>
        <v>0</v>
      </c>
      <c r="AL1599" s="8">
        <f>SUM($E$1600:$AI$1600)</f>
        <v>37</v>
      </c>
      <c r="AM1599" s="8">
        <f>SUM($E$1601:$AI$1601)</f>
        <v>134</v>
      </c>
      <c r="AN1599" s="8">
        <f>AL1599+AM1599</f>
        <v>170.5</v>
      </c>
      <c r="AO1599" s="8">
        <f>COUNTIF($E$1599:$AI$1599,"CL")</f>
        <v>0</v>
      </c>
      <c r="AP1599" s="8">
        <f>COUNTIF($E$1599:$AI$1599,"SL")</f>
        <v>0</v>
      </c>
      <c r="AQ1599" s="8">
        <f>COUNTIF($E$1599:$AI$1599,"EL")</f>
        <v>0</v>
      </c>
      <c r="AR1599" s="8">
        <f>COUNTIF($E$1599:$AI$1599,"H")</f>
        <v>0</v>
      </c>
      <c r="AS1599" s="8"/>
      <c r="AT1599" s="11" t="s">
        <v>252</v>
      </c>
    </row>
    <row r="1600" spans="1:46" ht="15.1" customHeight="1">
      <c r="A1600" s="8"/>
      <c r="B1600" s="9"/>
      <c r="C1600" s="8"/>
      <c r="D1600" s="9"/>
      <c r="E1600" s="8">
        <v>2</v>
      </c>
      <c r="F1600" s="8">
        <v>2</v>
      </c>
      <c r="G1600" s="8">
        <v>0</v>
      </c>
      <c r="H1600" s="8">
        <v>2</v>
      </c>
      <c r="I1600" s="8">
        <v>2</v>
      </c>
      <c r="J1600" s="8">
        <v>2</v>
      </c>
      <c r="K1600" s="8">
        <v>2</v>
      </c>
      <c r="L1600" s="8">
        <v>2</v>
      </c>
      <c r="M1600" s="8">
        <v>2</v>
      </c>
      <c r="N1600" s="8">
        <v>0</v>
      </c>
      <c r="O1600" s="8">
        <v>2</v>
      </c>
      <c r="P1600" s="8">
        <v>2</v>
      </c>
      <c r="Q1600" s="8">
        <v>2</v>
      </c>
      <c r="R1600" s="8">
        <v>2</v>
      </c>
      <c r="S1600" s="8">
        <v>2</v>
      </c>
      <c r="T1600" s="8">
        <v>2</v>
      </c>
      <c r="U1600" s="8">
        <v>0</v>
      </c>
      <c r="V1600" s="8">
        <v>2</v>
      </c>
      <c r="W1600" s="8">
        <v>2</v>
      </c>
      <c r="X1600" s="8">
        <v>2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2</v>
      </c>
      <c r="AE1600" s="8">
        <v>0</v>
      </c>
      <c r="AF1600" s="8">
        <v>0</v>
      </c>
      <c r="AG1600" s="8">
        <v>1</v>
      </c>
      <c r="AH1600" s="8">
        <v>0</v>
      </c>
      <c r="AI1600" s="8">
        <v>0</v>
      </c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11" t="s">
        <v>252</v>
      </c>
    </row>
    <row r="1601" spans="1:46" ht="15.1" customHeight="1">
      <c r="A1601" s="8"/>
      <c r="B1601" s="9"/>
      <c r="C1601" s="8"/>
      <c r="D1601" s="9"/>
      <c r="E1601" s="8">
        <v>3.5</v>
      </c>
      <c r="F1601" s="8">
        <v>2.5</v>
      </c>
      <c r="G1601" s="8">
        <v>13.5</v>
      </c>
      <c r="H1601" s="8">
        <v>5</v>
      </c>
      <c r="I1601" s="8">
        <v>6.5</v>
      </c>
      <c r="J1601" s="8">
        <v>6</v>
      </c>
      <c r="K1601" s="8">
        <v>7</v>
      </c>
      <c r="L1601" s="8">
        <v>6.5</v>
      </c>
      <c r="M1601" s="8">
        <v>5</v>
      </c>
      <c r="N1601" s="8">
        <v>16.5</v>
      </c>
      <c r="O1601" s="8">
        <v>7</v>
      </c>
      <c r="P1601" s="8">
        <v>6.5</v>
      </c>
      <c r="Q1601" s="8">
        <v>4.5</v>
      </c>
      <c r="R1601" s="8">
        <v>6.5</v>
      </c>
      <c r="S1601" s="8">
        <v>6.5</v>
      </c>
      <c r="T1601" s="8">
        <v>3</v>
      </c>
      <c r="U1601" s="8">
        <v>12.5</v>
      </c>
      <c r="V1601" s="8">
        <v>6.5</v>
      </c>
      <c r="W1601" s="8">
        <v>6.5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2.5</v>
      </c>
      <c r="AE1601" s="8">
        <v>0</v>
      </c>
      <c r="AF1601" s="8">
        <v>0</v>
      </c>
      <c r="AG1601" s="8">
        <v>0</v>
      </c>
      <c r="AH1601" s="8">
        <v>0</v>
      </c>
      <c r="AI1601" s="8">
        <v>0</v>
      </c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11" t="s">
        <v>252</v>
      </c>
    </row>
    <row r="1602" spans="1:46" ht="15.1" customHeight="1">
      <c r="A1602" s="8">
        <v>533</v>
      </c>
      <c r="B1602" s="9" t="s">
        <v>1314</v>
      </c>
      <c r="C1602" s="8" t="s">
        <v>1315</v>
      </c>
      <c r="D1602" s="9" t="s">
        <v>451</v>
      </c>
      <c r="E1602" s="8" t="s">
        <v>54</v>
      </c>
      <c r="F1602" s="8" t="s">
        <v>54</v>
      </c>
      <c r="G1602" s="10" t="s">
        <v>67</v>
      </c>
      <c r="H1602" s="8" t="s">
        <v>54</v>
      </c>
      <c r="I1602" s="8" t="s">
        <v>54</v>
      </c>
      <c r="J1602" s="8" t="s">
        <v>54</v>
      </c>
      <c r="K1602" s="8" t="s">
        <v>54</v>
      </c>
      <c r="L1602" s="8" t="s">
        <v>54</v>
      </c>
      <c r="M1602" s="8" t="s">
        <v>54</v>
      </c>
      <c r="N1602" s="10" t="s">
        <v>67</v>
      </c>
      <c r="O1602" s="8" t="s">
        <v>54</v>
      </c>
      <c r="P1602" s="8" t="s">
        <v>54</v>
      </c>
      <c r="Q1602" s="8" t="s">
        <v>54</v>
      </c>
      <c r="R1602" s="8" t="s">
        <v>54</v>
      </c>
      <c r="S1602" s="8" t="s">
        <v>54</v>
      </c>
      <c r="T1602" s="8" t="s">
        <v>54</v>
      </c>
      <c r="U1602" s="10" t="s">
        <v>67</v>
      </c>
      <c r="V1602" s="8" t="s">
        <v>54</v>
      </c>
      <c r="W1602" s="8" t="s">
        <v>54</v>
      </c>
      <c r="X1602" s="8" t="s">
        <v>54</v>
      </c>
      <c r="Y1602" s="8" t="s">
        <v>54</v>
      </c>
      <c r="Z1602" s="8" t="s">
        <v>54</v>
      </c>
      <c r="AA1602" s="8" t="s">
        <v>54</v>
      </c>
      <c r="AB1602" s="10" t="s">
        <v>67</v>
      </c>
      <c r="AC1602" s="8" t="s">
        <v>54</v>
      </c>
      <c r="AD1602" s="8" t="s">
        <v>54</v>
      </c>
      <c r="AE1602" s="8" t="s">
        <v>54</v>
      </c>
      <c r="AF1602" s="8" t="s">
        <v>54</v>
      </c>
      <c r="AG1602" s="8" t="s">
        <v>54</v>
      </c>
      <c r="AH1602" s="8" t="s">
        <v>54</v>
      </c>
      <c r="AI1602" s="10" t="s">
        <v>67</v>
      </c>
      <c r="AJ1602" s="8">
        <f>COUNTIF($E$1602:$AI$1602,"P")</f>
        <v>26</v>
      </c>
      <c r="AK1602" s="8">
        <f>COUNTIF($E$1602:$AI$1602,"A")</f>
        <v>0</v>
      </c>
      <c r="AL1602" s="8">
        <f>SUM($E$1603:$AI$1603)</f>
        <v>39</v>
      </c>
      <c r="AM1602" s="8">
        <f>SUM($E$1604:$AI$1604)</f>
        <v>116.5</v>
      </c>
      <c r="AN1602" s="8">
        <f>AL1602+AM1602</f>
        <v>155.5</v>
      </c>
      <c r="AO1602" s="8">
        <f>COUNTIF($E$1602:$AI$1602,"CL")</f>
        <v>0</v>
      </c>
      <c r="AP1602" s="8">
        <f>COUNTIF($E$1602:$AI$1602,"SL")</f>
        <v>0</v>
      </c>
      <c r="AQ1602" s="8">
        <f>COUNTIF($E$1602:$AI$1602,"EL")</f>
        <v>0</v>
      </c>
      <c r="AR1602" s="8">
        <f>COUNTIF($E$1602:$AI$1602,"H")</f>
        <v>0</v>
      </c>
      <c r="AS1602" s="8"/>
      <c r="AT1602" s="11" t="s">
        <v>252</v>
      </c>
    </row>
    <row r="1603" spans="1:46" ht="15.1" customHeight="1">
      <c r="A1603" s="8"/>
      <c r="B1603" s="9"/>
      <c r="C1603" s="8"/>
      <c r="D1603" s="9"/>
      <c r="E1603" s="8">
        <v>2</v>
      </c>
      <c r="F1603" s="8">
        <v>2</v>
      </c>
      <c r="G1603" s="8">
        <v>0</v>
      </c>
      <c r="H1603" s="8">
        <v>2</v>
      </c>
      <c r="I1603" s="8">
        <v>2</v>
      </c>
      <c r="J1603" s="8">
        <v>2</v>
      </c>
      <c r="K1603" s="8">
        <v>2</v>
      </c>
      <c r="L1603" s="8">
        <v>2</v>
      </c>
      <c r="M1603" s="8">
        <v>2</v>
      </c>
      <c r="N1603" s="8">
        <v>0</v>
      </c>
      <c r="O1603" s="8">
        <v>2</v>
      </c>
      <c r="P1603" s="8">
        <v>2</v>
      </c>
      <c r="Q1603" s="8">
        <v>2</v>
      </c>
      <c r="R1603" s="8">
        <v>2</v>
      </c>
      <c r="S1603" s="8">
        <v>2</v>
      </c>
      <c r="T1603" s="8">
        <v>2</v>
      </c>
      <c r="U1603" s="8">
        <v>0</v>
      </c>
      <c r="V1603" s="8">
        <v>2</v>
      </c>
      <c r="W1603" s="8">
        <v>2</v>
      </c>
      <c r="X1603" s="8">
        <v>2</v>
      </c>
      <c r="Y1603" s="8">
        <v>0</v>
      </c>
      <c r="Z1603" s="8">
        <v>0</v>
      </c>
      <c r="AA1603" s="8">
        <v>0</v>
      </c>
      <c r="AB1603" s="8">
        <v>0</v>
      </c>
      <c r="AC1603" s="8">
        <v>2</v>
      </c>
      <c r="AD1603" s="8">
        <v>2</v>
      </c>
      <c r="AE1603" s="8">
        <v>0</v>
      </c>
      <c r="AF1603" s="8">
        <v>1</v>
      </c>
      <c r="AG1603" s="8">
        <v>0</v>
      </c>
      <c r="AH1603" s="8">
        <v>0</v>
      </c>
      <c r="AI1603" s="8">
        <v>0</v>
      </c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11" t="s">
        <v>252</v>
      </c>
    </row>
    <row r="1604" spans="1:46" ht="15.1" customHeight="1">
      <c r="A1604" s="8"/>
      <c r="B1604" s="9"/>
      <c r="C1604" s="8"/>
      <c r="D1604" s="9"/>
      <c r="E1604" s="8">
        <v>4</v>
      </c>
      <c r="F1604" s="8">
        <v>3</v>
      </c>
      <c r="G1604" s="8">
        <v>0</v>
      </c>
      <c r="H1604" s="8">
        <v>5</v>
      </c>
      <c r="I1604" s="8">
        <v>7</v>
      </c>
      <c r="J1604" s="8">
        <v>6</v>
      </c>
      <c r="K1604" s="8">
        <v>7</v>
      </c>
      <c r="L1604" s="8">
        <v>7</v>
      </c>
      <c r="M1604" s="8">
        <v>5</v>
      </c>
      <c r="N1604" s="8">
        <v>16.5</v>
      </c>
      <c r="O1604" s="8">
        <v>7</v>
      </c>
      <c r="P1604" s="8">
        <v>7</v>
      </c>
      <c r="Q1604" s="8">
        <v>0</v>
      </c>
      <c r="R1604" s="8">
        <v>5</v>
      </c>
      <c r="S1604" s="8">
        <v>5</v>
      </c>
      <c r="T1604" s="8">
        <v>2.5</v>
      </c>
      <c r="U1604" s="8">
        <v>12.5</v>
      </c>
      <c r="V1604" s="8">
        <v>7</v>
      </c>
      <c r="W1604" s="8">
        <v>7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3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11" t="s">
        <v>252</v>
      </c>
    </row>
    <row r="1605" spans="1:46" ht="15.1" customHeight="1">
      <c r="A1605" s="8">
        <v>534</v>
      </c>
      <c r="B1605" s="9" t="s">
        <v>1316</v>
      </c>
      <c r="C1605" s="8" t="s">
        <v>1317</v>
      </c>
      <c r="D1605" s="9" t="s">
        <v>451</v>
      </c>
      <c r="E1605" s="8" t="s">
        <v>54</v>
      </c>
      <c r="F1605" s="8" t="s">
        <v>54</v>
      </c>
      <c r="G1605" s="10" t="s">
        <v>67</v>
      </c>
      <c r="H1605" s="8" t="s">
        <v>54</v>
      </c>
      <c r="I1605" s="8" t="s">
        <v>54</v>
      </c>
      <c r="J1605" s="8" t="s">
        <v>54</v>
      </c>
      <c r="K1605" s="8" t="s">
        <v>54</v>
      </c>
      <c r="L1605" s="8" t="s">
        <v>54</v>
      </c>
      <c r="M1605" s="8" t="s">
        <v>54</v>
      </c>
      <c r="N1605" s="10" t="s">
        <v>67</v>
      </c>
      <c r="O1605" s="8" t="s">
        <v>54</v>
      </c>
      <c r="P1605" s="12" t="s">
        <v>55</v>
      </c>
      <c r="Q1605" s="12" t="s">
        <v>55</v>
      </c>
      <c r="R1605" s="8" t="s">
        <v>54</v>
      </c>
      <c r="S1605" s="8" t="s">
        <v>54</v>
      </c>
      <c r="T1605" s="8" t="s">
        <v>54</v>
      </c>
      <c r="U1605" s="10" t="s">
        <v>67</v>
      </c>
      <c r="V1605" s="8" t="s">
        <v>54</v>
      </c>
      <c r="W1605" s="8" t="s">
        <v>54</v>
      </c>
      <c r="X1605" s="12" t="s">
        <v>55</v>
      </c>
      <c r="Y1605" s="12" t="s">
        <v>55</v>
      </c>
      <c r="Z1605" s="8" t="s">
        <v>54</v>
      </c>
      <c r="AA1605" s="8" t="s">
        <v>54</v>
      </c>
      <c r="AB1605" s="10" t="s">
        <v>67</v>
      </c>
      <c r="AC1605" s="8" t="s">
        <v>54</v>
      </c>
      <c r="AD1605" s="8" t="s">
        <v>54</v>
      </c>
      <c r="AE1605" s="8" t="s">
        <v>54</v>
      </c>
      <c r="AF1605" s="8" t="s">
        <v>54</v>
      </c>
      <c r="AG1605" s="8" t="s">
        <v>54</v>
      </c>
      <c r="AH1605" s="8" t="s">
        <v>54</v>
      </c>
      <c r="AI1605" s="10" t="s">
        <v>67</v>
      </c>
      <c r="AJ1605" s="8">
        <f>COUNTIF($E$1605:$AI$1605,"P")</f>
        <v>22</v>
      </c>
      <c r="AK1605" s="8">
        <f>COUNTIF($E$1605:$AI$1605,"A")</f>
        <v>4</v>
      </c>
      <c r="AL1605" s="8">
        <f>SUM($E$1606:$AI$1606)</f>
        <v>32</v>
      </c>
      <c r="AM1605" s="8">
        <f>SUM($E$1607:$AI$1607)</f>
        <v>110</v>
      </c>
      <c r="AN1605" s="8">
        <f>AL1605+AM1605</f>
        <v>142</v>
      </c>
      <c r="AO1605" s="8">
        <f>COUNTIF($E$1605:$AI$1605,"CL")</f>
        <v>0</v>
      </c>
      <c r="AP1605" s="8">
        <f>COUNTIF($E$1605:$AI$1605,"SL")</f>
        <v>0</v>
      </c>
      <c r="AQ1605" s="8">
        <f>COUNTIF($E$1605:$AI$1605,"EL")</f>
        <v>0</v>
      </c>
      <c r="AR1605" s="8">
        <f>COUNTIF($E$1605:$AI$1605,"H")</f>
        <v>0</v>
      </c>
      <c r="AS1605" s="8"/>
      <c r="AT1605" s="11" t="s">
        <v>252</v>
      </c>
    </row>
    <row r="1606" spans="1:46" ht="15.1" customHeight="1">
      <c r="A1606" s="8"/>
      <c r="B1606" s="9"/>
      <c r="C1606" s="8"/>
      <c r="D1606" s="9"/>
      <c r="E1606" s="8">
        <v>2</v>
      </c>
      <c r="F1606" s="8">
        <v>2</v>
      </c>
      <c r="G1606" s="8">
        <v>0</v>
      </c>
      <c r="H1606" s="8">
        <v>2</v>
      </c>
      <c r="I1606" s="8">
        <v>2</v>
      </c>
      <c r="J1606" s="8">
        <v>2</v>
      </c>
      <c r="K1606" s="8">
        <v>2</v>
      </c>
      <c r="L1606" s="8">
        <v>2</v>
      </c>
      <c r="M1606" s="8">
        <v>2</v>
      </c>
      <c r="N1606" s="8">
        <v>0</v>
      </c>
      <c r="O1606" s="8">
        <v>2</v>
      </c>
      <c r="P1606" s="8">
        <v>0</v>
      </c>
      <c r="Q1606" s="8">
        <v>0</v>
      </c>
      <c r="R1606" s="8">
        <v>2</v>
      </c>
      <c r="S1606" s="8">
        <v>2</v>
      </c>
      <c r="T1606" s="8">
        <v>2</v>
      </c>
      <c r="U1606" s="8">
        <v>0</v>
      </c>
      <c r="V1606" s="8">
        <v>2</v>
      </c>
      <c r="W1606" s="8">
        <v>2</v>
      </c>
      <c r="X1606" s="8">
        <v>0</v>
      </c>
      <c r="Y1606" s="8">
        <v>0</v>
      </c>
      <c r="Z1606" s="8">
        <v>0</v>
      </c>
      <c r="AA1606" s="8">
        <v>0</v>
      </c>
      <c r="AB1606" s="8">
        <v>0</v>
      </c>
      <c r="AC1606" s="8">
        <v>2</v>
      </c>
      <c r="AD1606" s="8">
        <v>2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11" t="s">
        <v>252</v>
      </c>
    </row>
    <row r="1607" spans="1:46" ht="15.1" customHeight="1">
      <c r="A1607" s="8"/>
      <c r="B1607" s="9"/>
      <c r="C1607" s="8"/>
      <c r="D1607" s="9"/>
      <c r="E1607" s="8">
        <v>3</v>
      </c>
      <c r="F1607" s="8">
        <v>3</v>
      </c>
      <c r="G1607" s="8">
        <v>13</v>
      </c>
      <c r="H1607" s="8">
        <v>4</v>
      </c>
      <c r="I1607" s="8">
        <v>6</v>
      </c>
      <c r="J1607" s="8">
        <v>5</v>
      </c>
      <c r="K1607" s="8">
        <v>5</v>
      </c>
      <c r="L1607" s="8">
        <v>4.5</v>
      </c>
      <c r="M1607" s="8">
        <v>4.5</v>
      </c>
      <c r="N1607" s="8">
        <v>16.5</v>
      </c>
      <c r="O1607" s="8">
        <v>7</v>
      </c>
      <c r="P1607" s="8">
        <v>0</v>
      </c>
      <c r="Q1607" s="8">
        <v>0</v>
      </c>
      <c r="R1607" s="8">
        <v>5</v>
      </c>
      <c r="S1607" s="8">
        <v>3</v>
      </c>
      <c r="T1607" s="8">
        <v>3</v>
      </c>
      <c r="U1607" s="8">
        <v>12.5</v>
      </c>
      <c r="V1607" s="8">
        <v>7</v>
      </c>
      <c r="W1607" s="8">
        <v>5.5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2.5</v>
      </c>
      <c r="AE1607" s="8">
        <v>0</v>
      </c>
      <c r="AF1607" s="8">
        <v>0</v>
      </c>
      <c r="AG1607" s="8">
        <v>0</v>
      </c>
      <c r="AH1607" s="8">
        <v>0</v>
      </c>
      <c r="AI1607" s="8">
        <v>0</v>
      </c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11" t="s">
        <v>252</v>
      </c>
    </row>
    <row r="1608" spans="1:46" ht="15.1" customHeight="1">
      <c r="A1608" s="8">
        <v>535</v>
      </c>
      <c r="B1608" s="9" t="s">
        <v>1318</v>
      </c>
      <c r="C1608" s="8" t="s">
        <v>1319</v>
      </c>
      <c r="D1608" s="9" t="s">
        <v>451</v>
      </c>
      <c r="E1608" s="12" t="s">
        <v>55</v>
      </c>
      <c r="F1608" s="8" t="s">
        <v>54</v>
      </c>
      <c r="G1608" s="10" t="s">
        <v>67</v>
      </c>
      <c r="H1608" s="8" t="s">
        <v>54</v>
      </c>
      <c r="I1608" s="8" t="s">
        <v>54</v>
      </c>
      <c r="J1608" s="8" t="s">
        <v>54</v>
      </c>
      <c r="K1608" s="12" t="s">
        <v>55</v>
      </c>
      <c r="L1608" s="12" t="s">
        <v>55</v>
      </c>
      <c r="M1608" s="8" t="s">
        <v>54</v>
      </c>
      <c r="N1608" s="10" t="s">
        <v>67</v>
      </c>
      <c r="O1608" s="8" t="s">
        <v>54</v>
      </c>
      <c r="P1608" s="12" t="s">
        <v>55</v>
      </c>
      <c r="Q1608" s="8" t="s">
        <v>54</v>
      </c>
      <c r="R1608" s="8" t="s">
        <v>54</v>
      </c>
      <c r="S1608" s="8" t="s">
        <v>54</v>
      </c>
      <c r="T1608" s="8" t="s">
        <v>54</v>
      </c>
      <c r="U1608" s="10" t="s">
        <v>67</v>
      </c>
      <c r="V1608" s="8" t="s">
        <v>54</v>
      </c>
      <c r="W1608" s="8" t="s">
        <v>54</v>
      </c>
      <c r="X1608" s="8" t="s">
        <v>54</v>
      </c>
      <c r="Y1608" s="12" t="s">
        <v>55</v>
      </c>
      <c r="Z1608" s="8" t="s">
        <v>54</v>
      </c>
      <c r="AA1608" s="8" t="s">
        <v>54</v>
      </c>
      <c r="AB1608" s="10" t="s">
        <v>67</v>
      </c>
      <c r="AC1608" s="8" t="s">
        <v>54</v>
      </c>
      <c r="AD1608" s="8" t="s">
        <v>54</v>
      </c>
      <c r="AE1608" s="8" t="s">
        <v>54</v>
      </c>
      <c r="AF1608" s="12" t="s">
        <v>55</v>
      </c>
      <c r="AG1608" s="8" t="s">
        <v>54</v>
      </c>
      <c r="AH1608" s="8" t="s">
        <v>54</v>
      </c>
      <c r="AI1608" s="10" t="s">
        <v>67</v>
      </c>
      <c r="AJ1608" s="8">
        <f>COUNTIF($E$1608:$AI$1608,"P")</f>
        <v>20</v>
      </c>
      <c r="AK1608" s="8">
        <f>COUNTIF($E$1608:$AI$1608,"A")</f>
        <v>6</v>
      </c>
      <c r="AL1608" s="8">
        <f>SUM($E$1609:$AI$1609)</f>
        <v>26</v>
      </c>
      <c r="AM1608" s="8">
        <f>SUM($E$1610:$AI$1610)</f>
        <v>87</v>
      </c>
      <c r="AN1608" s="8">
        <f>AL1608+AM1608</f>
        <v>113</v>
      </c>
      <c r="AO1608" s="8">
        <f>COUNTIF($E$1608:$AI$1608,"CL")</f>
        <v>0</v>
      </c>
      <c r="AP1608" s="8">
        <f>COUNTIF($E$1608:$AI$1608,"SL")</f>
        <v>0</v>
      </c>
      <c r="AQ1608" s="8">
        <f>COUNTIF($E$1608:$AI$1608,"EL")</f>
        <v>0</v>
      </c>
      <c r="AR1608" s="8">
        <f>COUNTIF($E$1608:$AI$1608,"H")</f>
        <v>0</v>
      </c>
      <c r="AS1608" s="8"/>
      <c r="AT1608" s="11" t="s">
        <v>252</v>
      </c>
    </row>
    <row r="1609" spans="1:46" ht="15.1" customHeight="1">
      <c r="A1609" s="8"/>
      <c r="B1609" s="9"/>
      <c r="C1609" s="8"/>
      <c r="D1609" s="9"/>
      <c r="E1609" s="8">
        <v>0</v>
      </c>
      <c r="F1609" s="8">
        <v>2</v>
      </c>
      <c r="G1609" s="8">
        <v>0</v>
      </c>
      <c r="H1609" s="8">
        <v>2</v>
      </c>
      <c r="I1609" s="8">
        <v>2</v>
      </c>
      <c r="J1609" s="8">
        <v>2</v>
      </c>
      <c r="K1609" s="8">
        <v>0</v>
      </c>
      <c r="L1609" s="8">
        <v>0</v>
      </c>
      <c r="M1609" s="8">
        <v>2</v>
      </c>
      <c r="N1609" s="8">
        <v>0</v>
      </c>
      <c r="O1609" s="8">
        <v>2</v>
      </c>
      <c r="P1609" s="8">
        <v>0</v>
      </c>
      <c r="Q1609" s="8">
        <v>2</v>
      </c>
      <c r="R1609" s="8">
        <v>2</v>
      </c>
      <c r="S1609" s="8">
        <v>2</v>
      </c>
      <c r="T1609" s="8">
        <v>2</v>
      </c>
      <c r="U1609" s="8">
        <v>0</v>
      </c>
      <c r="V1609" s="8">
        <v>2</v>
      </c>
      <c r="W1609" s="8">
        <v>2</v>
      </c>
      <c r="X1609" s="8">
        <v>1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8">
        <v>1</v>
      </c>
      <c r="AH1609" s="8">
        <v>0</v>
      </c>
      <c r="AI1609" s="8">
        <v>0</v>
      </c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11" t="s">
        <v>252</v>
      </c>
    </row>
    <row r="1610" spans="1:46" ht="15.1" customHeight="1">
      <c r="A1610" s="8"/>
      <c r="B1610" s="9"/>
      <c r="C1610" s="8"/>
      <c r="D1610" s="9"/>
      <c r="E1610" s="8">
        <v>0</v>
      </c>
      <c r="F1610" s="8">
        <v>3</v>
      </c>
      <c r="G1610" s="8">
        <v>13</v>
      </c>
      <c r="H1610" s="8">
        <v>0</v>
      </c>
      <c r="I1610" s="8">
        <v>6.5</v>
      </c>
      <c r="J1610" s="8">
        <v>6</v>
      </c>
      <c r="K1610" s="8">
        <v>0</v>
      </c>
      <c r="L1610" s="8">
        <v>0</v>
      </c>
      <c r="M1610" s="8">
        <v>5</v>
      </c>
      <c r="N1610" s="8">
        <v>16</v>
      </c>
      <c r="O1610" s="8">
        <v>6</v>
      </c>
      <c r="P1610" s="8">
        <v>0</v>
      </c>
      <c r="Q1610" s="8">
        <v>4.5</v>
      </c>
      <c r="R1610" s="8">
        <v>6.5</v>
      </c>
      <c r="S1610" s="8">
        <v>6</v>
      </c>
      <c r="T1610" s="8">
        <v>2</v>
      </c>
      <c r="U1610" s="8">
        <v>0</v>
      </c>
      <c r="V1610" s="8">
        <v>6.5</v>
      </c>
      <c r="W1610" s="8">
        <v>6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11" t="s">
        <v>252</v>
      </c>
    </row>
    <row r="1611" spans="1:46" ht="15.1" customHeight="1">
      <c r="A1611" s="8">
        <v>536</v>
      </c>
      <c r="B1611" s="9" t="s">
        <v>1320</v>
      </c>
      <c r="C1611" s="8" t="s">
        <v>1321</v>
      </c>
      <c r="D1611" s="9" t="s">
        <v>451</v>
      </c>
      <c r="E1611" s="8" t="s">
        <v>54</v>
      </c>
      <c r="F1611" s="8" t="s">
        <v>54</v>
      </c>
      <c r="G1611" s="10" t="s">
        <v>67</v>
      </c>
      <c r="H1611" s="8" t="s">
        <v>54</v>
      </c>
      <c r="I1611" s="8" t="s">
        <v>54</v>
      </c>
      <c r="J1611" s="8" t="s">
        <v>54</v>
      </c>
      <c r="K1611" s="8" t="s">
        <v>54</v>
      </c>
      <c r="L1611" s="8" t="s">
        <v>54</v>
      </c>
      <c r="M1611" s="8" t="s">
        <v>54</v>
      </c>
      <c r="N1611" s="10" t="s">
        <v>67</v>
      </c>
      <c r="O1611" s="8" t="s">
        <v>54</v>
      </c>
      <c r="P1611" s="8" t="s">
        <v>54</v>
      </c>
      <c r="Q1611" s="8" t="s">
        <v>54</v>
      </c>
      <c r="R1611" s="8" t="s">
        <v>54</v>
      </c>
      <c r="S1611" s="8" t="s">
        <v>54</v>
      </c>
      <c r="T1611" s="8" t="s">
        <v>54</v>
      </c>
      <c r="U1611" s="10" t="s">
        <v>67</v>
      </c>
      <c r="V1611" s="8" t="s">
        <v>54</v>
      </c>
      <c r="W1611" s="8" t="s">
        <v>54</v>
      </c>
      <c r="X1611" s="12" t="s">
        <v>55</v>
      </c>
      <c r="Y1611" s="12" t="s">
        <v>55</v>
      </c>
      <c r="Z1611" s="8" t="s">
        <v>54</v>
      </c>
      <c r="AA1611" s="12" t="s">
        <v>55</v>
      </c>
      <c r="AB1611" s="10" t="s">
        <v>67</v>
      </c>
      <c r="AC1611" s="8" t="s">
        <v>54</v>
      </c>
      <c r="AD1611" s="8" t="s">
        <v>54</v>
      </c>
      <c r="AE1611" s="12" t="s">
        <v>55</v>
      </c>
      <c r="AF1611" s="8" t="s">
        <v>54</v>
      </c>
      <c r="AG1611" s="8" t="s">
        <v>54</v>
      </c>
      <c r="AH1611" s="8" t="s">
        <v>54</v>
      </c>
      <c r="AI1611" s="10" t="s">
        <v>67</v>
      </c>
      <c r="AJ1611" s="8">
        <f>COUNTIF($E$1611:$AI$1611,"P")</f>
        <v>22</v>
      </c>
      <c r="AK1611" s="8">
        <f>COUNTIF($E$1611:$AI$1611,"A")</f>
        <v>4</v>
      </c>
      <c r="AL1611" s="8">
        <f>SUM($E$1612:$AI$1612)</f>
        <v>36</v>
      </c>
      <c r="AM1611" s="8">
        <f>SUM($E$1613:$AI$1613)</f>
        <v>117.5</v>
      </c>
      <c r="AN1611" s="8">
        <f>AL1611+AM1611</f>
        <v>153.5</v>
      </c>
      <c r="AO1611" s="8">
        <f>COUNTIF($E$1611:$AI$1611,"CL")</f>
        <v>0</v>
      </c>
      <c r="AP1611" s="8">
        <f>COUNTIF($E$1611:$AI$1611,"SL")</f>
        <v>0</v>
      </c>
      <c r="AQ1611" s="8">
        <f>COUNTIF($E$1611:$AI$1611,"EL")</f>
        <v>0</v>
      </c>
      <c r="AR1611" s="8">
        <f>COUNTIF($E$1611:$AI$1611,"H")</f>
        <v>0</v>
      </c>
      <c r="AS1611" s="8"/>
      <c r="AT1611" s="11" t="s">
        <v>252</v>
      </c>
    </row>
    <row r="1612" spans="1:46" ht="15.1" customHeight="1">
      <c r="A1612" s="8"/>
      <c r="B1612" s="9"/>
      <c r="C1612" s="8"/>
      <c r="D1612" s="9"/>
      <c r="E1612" s="8">
        <v>2</v>
      </c>
      <c r="F1612" s="8">
        <v>2</v>
      </c>
      <c r="G1612" s="8">
        <v>0</v>
      </c>
      <c r="H1612" s="8">
        <v>2</v>
      </c>
      <c r="I1612" s="8">
        <v>2</v>
      </c>
      <c r="J1612" s="8">
        <v>2</v>
      </c>
      <c r="K1612" s="8">
        <v>2</v>
      </c>
      <c r="L1612" s="8">
        <v>2</v>
      </c>
      <c r="M1612" s="8">
        <v>2</v>
      </c>
      <c r="N1612" s="8">
        <v>0</v>
      </c>
      <c r="O1612" s="8">
        <v>2</v>
      </c>
      <c r="P1612" s="8">
        <v>2</v>
      </c>
      <c r="Q1612" s="8">
        <v>2</v>
      </c>
      <c r="R1612" s="8">
        <v>2</v>
      </c>
      <c r="S1612" s="8">
        <v>2</v>
      </c>
      <c r="T1612" s="8">
        <v>2</v>
      </c>
      <c r="U1612" s="8">
        <v>0</v>
      </c>
      <c r="V1612" s="8">
        <v>2</v>
      </c>
      <c r="W1612" s="8">
        <v>2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2</v>
      </c>
      <c r="AD1612" s="8">
        <v>2</v>
      </c>
      <c r="AE1612" s="8">
        <v>0</v>
      </c>
      <c r="AF1612" s="8">
        <v>0</v>
      </c>
      <c r="AG1612" s="8">
        <v>0</v>
      </c>
      <c r="AH1612" s="8">
        <v>0</v>
      </c>
      <c r="AI1612" s="8">
        <v>0</v>
      </c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11" t="s">
        <v>252</v>
      </c>
    </row>
    <row r="1613" spans="1:46" ht="15.1" customHeight="1">
      <c r="A1613" s="8"/>
      <c r="B1613" s="9"/>
      <c r="C1613" s="8"/>
      <c r="D1613" s="9"/>
      <c r="E1613" s="8">
        <v>5</v>
      </c>
      <c r="F1613" s="8">
        <v>3</v>
      </c>
      <c r="G1613" s="8">
        <v>14</v>
      </c>
      <c r="H1613" s="8">
        <v>5</v>
      </c>
      <c r="I1613" s="8">
        <v>7</v>
      </c>
      <c r="J1613" s="8">
        <v>7</v>
      </c>
      <c r="K1613" s="8">
        <v>7</v>
      </c>
      <c r="L1613" s="8">
        <v>2.5</v>
      </c>
      <c r="M1613" s="8">
        <v>5</v>
      </c>
      <c r="N1613" s="8">
        <v>16.5</v>
      </c>
      <c r="O1613" s="8">
        <v>7</v>
      </c>
      <c r="P1613" s="8">
        <v>6.5</v>
      </c>
      <c r="Q1613" s="8">
        <v>5</v>
      </c>
      <c r="R1613" s="8">
        <v>5</v>
      </c>
      <c r="S1613" s="8">
        <v>3</v>
      </c>
      <c r="T1613" s="8">
        <v>3</v>
      </c>
      <c r="U1613" s="8">
        <v>9</v>
      </c>
      <c r="V1613" s="8">
        <v>0</v>
      </c>
      <c r="W1613" s="8">
        <v>7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8">
        <v>0</v>
      </c>
      <c r="AH1613" s="8">
        <v>0</v>
      </c>
      <c r="AI1613" s="8">
        <v>0</v>
      </c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11" t="s">
        <v>252</v>
      </c>
    </row>
    <row r="1614" spans="1:46" ht="15.1" customHeight="1">
      <c r="A1614" s="8">
        <v>537</v>
      </c>
      <c r="B1614" s="9" t="s">
        <v>1322</v>
      </c>
      <c r="C1614" s="8" t="s">
        <v>1323</v>
      </c>
      <c r="D1614" s="9" t="s">
        <v>451</v>
      </c>
      <c r="E1614" s="8" t="s">
        <v>54</v>
      </c>
      <c r="F1614" s="8" t="s">
        <v>54</v>
      </c>
      <c r="G1614" s="10" t="s">
        <v>67</v>
      </c>
      <c r="H1614" s="8" t="s">
        <v>54</v>
      </c>
      <c r="I1614" s="8" t="s">
        <v>54</v>
      </c>
      <c r="J1614" s="8" t="s">
        <v>54</v>
      </c>
      <c r="K1614" s="8" t="s">
        <v>54</v>
      </c>
      <c r="L1614" s="8" t="s">
        <v>54</v>
      </c>
      <c r="M1614" s="8" t="s">
        <v>54</v>
      </c>
      <c r="N1614" s="10" t="s">
        <v>67</v>
      </c>
      <c r="O1614" s="8" t="s">
        <v>54</v>
      </c>
      <c r="P1614" s="8" t="s">
        <v>54</v>
      </c>
      <c r="Q1614" s="8" t="s">
        <v>54</v>
      </c>
      <c r="R1614" s="8" t="s">
        <v>54</v>
      </c>
      <c r="S1614" s="8" t="s">
        <v>54</v>
      </c>
      <c r="T1614" s="8" t="s">
        <v>54</v>
      </c>
      <c r="U1614" s="10" t="s">
        <v>67</v>
      </c>
      <c r="V1614" s="8" t="s">
        <v>54</v>
      </c>
      <c r="W1614" s="8" t="s">
        <v>54</v>
      </c>
      <c r="X1614" s="8" t="s">
        <v>54</v>
      </c>
      <c r="Y1614" s="8" t="s">
        <v>54</v>
      </c>
      <c r="Z1614" s="8" t="s">
        <v>54</v>
      </c>
      <c r="AA1614" s="8" t="s">
        <v>54</v>
      </c>
      <c r="AB1614" s="10" t="s">
        <v>67</v>
      </c>
      <c r="AC1614" s="8" t="s">
        <v>54</v>
      </c>
      <c r="AD1614" s="8" t="s">
        <v>54</v>
      </c>
      <c r="AE1614" s="8" t="s">
        <v>54</v>
      </c>
      <c r="AF1614" s="8" t="s">
        <v>54</v>
      </c>
      <c r="AG1614" s="8" t="s">
        <v>54</v>
      </c>
      <c r="AH1614" s="8" t="s">
        <v>54</v>
      </c>
      <c r="AI1614" s="10" t="s">
        <v>67</v>
      </c>
      <c r="AJ1614" s="8">
        <f>COUNTIF($E$1614:$AI$1614,"P")</f>
        <v>26</v>
      </c>
      <c r="AK1614" s="8">
        <f>COUNTIF($E$1614:$AI$1614,"A")</f>
        <v>0</v>
      </c>
      <c r="AL1614" s="8">
        <f>SUM($E$1615:$AI$1615)</f>
        <v>38</v>
      </c>
      <c r="AM1614" s="8">
        <f>SUM($E$1616:$AI$1616)</f>
        <v>112</v>
      </c>
      <c r="AN1614" s="8">
        <f>AL1614+AM1614</f>
        <v>149.5</v>
      </c>
      <c r="AO1614" s="8">
        <f>COUNTIF($E$1614:$AI$1614,"CL")</f>
        <v>0</v>
      </c>
      <c r="AP1614" s="8">
        <f>COUNTIF($E$1614:$AI$1614,"SL")</f>
        <v>0</v>
      </c>
      <c r="AQ1614" s="8">
        <f>COUNTIF($E$1614:$AI$1614,"EL")</f>
        <v>0</v>
      </c>
      <c r="AR1614" s="8">
        <f>COUNTIF($E$1614:$AI$1614,"H")</f>
        <v>0</v>
      </c>
      <c r="AS1614" s="8"/>
      <c r="AT1614" s="11" t="s">
        <v>252</v>
      </c>
    </row>
    <row r="1615" spans="1:46" ht="15.1" customHeight="1">
      <c r="A1615" s="8"/>
      <c r="B1615" s="9"/>
      <c r="C1615" s="8"/>
      <c r="D1615" s="9"/>
      <c r="E1615" s="8">
        <v>2</v>
      </c>
      <c r="F1615" s="8">
        <v>2</v>
      </c>
      <c r="G1615" s="8">
        <v>0</v>
      </c>
      <c r="H1615" s="8">
        <v>2</v>
      </c>
      <c r="I1615" s="8">
        <v>2</v>
      </c>
      <c r="J1615" s="8">
        <v>2</v>
      </c>
      <c r="K1615" s="8">
        <v>2</v>
      </c>
      <c r="L1615" s="8">
        <v>2</v>
      </c>
      <c r="M1615" s="8">
        <v>2</v>
      </c>
      <c r="N1615" s="8">
        <v>0</v>
      </c>
      <c r="O1615" s="8">
        <v>2</v>
      </c>
      <c r="P1615" s="8">
        <v>2</v>
      </c>
      <c r="Q1615" s="8">
        <v>2</v>
      </c>
      <c r="R1615" s="8">
        <v>2</v>
      </c>
      <c r="S1615" s="8">
        <v>2</v>
      </c>
      <c r="T1615" s="8">
        <v>2</v>
      </c>
      <c r="U1615" s="8">
        <v>0</v>
      </c>
      <c r="V1615" s="8">
        <v>2</v>
      </c>
      <c r="W1615" s="8">
        <v>2</v>
      </c>
      <c r="X1615" s="8">
        <v>2</v>
      </c>
      <c r="Y1615" s="8">
        <v>0</v>
      </c>
      <c r="Z1615" s="8">
        <v>0</v>
      </c>
      <c r="AA1615" s="8">
        <v>2</v>
      </c>
      <c r="AB1615" s="8">
        <v>0</v>
      </c>
      <c r="AC1615" s="8">
        <v>0</v>
      </c>
      <c r="AD1615" s="8">
        <v>2</v>
      </c>
      <c r="AE1615" s="8">
        <v>0</v>
      </c>
      <c r="AF1615" s="8">
        <v>0</v>
      </c>
      <c r="AG1615" s="8">
        <v>0</v>
      </c>
      <c r="AH1615" s="8">
        <v>0</v>
      </c>
      <c r="AI1615" s="8">
        <v>0</v>
      </c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11" t="s">
        <v>252</v>
      </c>
    </row>
    <row r="1616" spans="1:46" ht="15.1" customHeight="1">
      <c r="A1616" s="8"/>
      <c r="B1616" s="9"/>
      <c r="C1616" s="8"/>
      <c r="D1616" s="9"/>
      <c r="E1616" s="8">
        <v>3.5</v>
      </c>
      <c r="F1616" s="8">
        <v>2.5</v>
      </c>
      <c r="G1616" s="8">
        <v>13.5</v>
      </c>
      <c r="H1616" s="8">
        <v>5</v>
      </c>
      <c r="I1616" s="8">
        <v>6</v>
      </c>
      <c r="J1616" s="8">
        <v>6</v>
      </c>
      <c r="K1616" s="8">
        <v>6.5</v>
      </c>
      <c r="L1616" s="8">
        <v>7</v>
      </c>
      <c r="M1616" s="8">
        <v>4.5</v>
      </c>
      <c r="N1616" s="8">
        <v>16.5</v>
      </c>
      <c r="O1616" s="8">
        <v>7</v>
      </c>
      <c r="P1616" s="8">
        <v>6.5</v>
      </c>
      <c r="Q1616" s="8">
        <v>4.5</v>
      </c>
      <c r="R1616" s="8">
        <v>5</v>
      </c>
      <c r="S1616" s="8">
        <v>5</v>
      </c>
      <c r="T1616" s="8">
        <v>3</v>
      </c>
      <c r="U1616" s="8">
        <v>0</v>
      </c>
      <c r="V1616" s="8">
        <v>7</v>
      </c>
      <c r="W1616" s="8">
        <v>0</v>
      </c>
      <c r="X1616" s="8">
        <v>0</v>
      </c>
      <c r="Y1616" s="8">
        <v>0</v>
      </c>
      <c r="Z1616" s="8">
        <v>0</v>
      </c>
      <c r="AA1616" s="8">
        <v>0</v>
      </c>
      <c r="AB1616" s="8">
        <v>0</v>
      </c>
      <c r="AC1616" s="8">
        <v>0</v>
      </c>
      <c r="AD1616" s="8">
        <v>3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11" t="s">
        <v>252</v>
      </c>
    </row>
    <row r="1617" spans="1:46" ht="15.1" customHeight="1">
      <c r="A1617" s="8">
        <v>538</v>
      </c>
      <c r="B1617" s="9" t="s">
        <v>1324</v>
      </c>
      <c r="C1617" s="8" t="s">
        <v>1325</v>
      </c>
      <c r="D1617" s="9" t="s">
        <v>451</v>
      </c>
      <c r="E1617" s="8" t="s">
        <v>54</v>
      </c>
      <c r="F1617" s="8" t="s">
        <v>54</v>
      </c>
      <c r="G1617" s="10" t="s">
        <v>67</v>
      </c>
      <c r="H1617" s="8" t="s">
        <v>54</v>
      </c>
      <c r="I1617" s="8" t="s">
        <v>54</v>
      </c>
      <c r="J1617" s="8" t="s">
        <v>54</v>
      </c>
      <c r="K1617" s="8" t="s">
        <v>54</v>
      </c>
      <c r="L1617" s="8" t="s">
        <v>54</v>
      </c>
      <c r="M1617" s="8" t="s">
        <v>54</v>
      </c>
      <c r="N1617" s="10" t="s">
        <v>67</v>
      </c>
      <c r="O1617" s="8" t="s">
        <v>54</v>
      </c>
      <c r="P1617" s="8" t="s">
        <v>54</v>
      </c>
      <c r="Q1617" s="8" t="s">
        <v>54</v>
      </c>
      <c r="R1617" s="8" t="s">
        <v>54</v>
      </c>
      <c r="S1617" s="8" t="s">
        <v>54</v>
      </c>
      <c r="T1617" s="8" t="s">
        <v>54</v>
      </c>
      <c r="U1617" s="10" t="s">
        <v>67</v>
      </c>
      <c r="V1617" s="8" t="s">
        <v>54</v>
      </c>
      <c r="W1617" s="8" t="s">
        <v>54</v>
      </c>
      <c r="X1617" s="8" t="s">
        <v>54</v>
      </c>
      <c r="Y1617" s="8" t="s">
        <v>54</v>
      </c>
      <c r="Z1617" s="8" t="s">
        <v>54</v>
      </c>
      <c r="AA1617" s="8" t="s">
        <v>54</v>
      </c>
      <c r="AB1617" s="10" t="s">
        <v>67</v>
      </c>
      <c r="AC1617" s="8" t="s">
        <v>54</v>
      </c>
      <c r="AD1617" s="8" t="s">
        <v>54</v>
      </c>
      <c r="AE1617" s="8" t="s">
        <v>54</v>
      </c>
      <c r="AF1617" s="8" t="s">
        <v>54</v>
      </c>
      <c r="AG1617" s="8" t="s">
        <v>54</v>
      </c>
      <c r="AH1617" s="8" t="s">
        <v>54</v>
      </c>
      <c r="AI1617" s="10" t="s">
        <v>67</v>
      </c>
      <c r="AJ1617" s="8">
        <f>COUNTIF($E$1617:$AI$1617,"P")</f>
        <v>26</v>
      </c>
      <c r="AK1617" s="8">
        <f>COUNTIF($E$1617:$AI$1617,"A")</f>
        <v>0</v>
      </c>
      <c r="AL1617" s="8">
        <f>SUM($E$1618:$AI$1618)</f>
        <v>38</v>
      </c>
      <c r="AM1617" s="8">
        <f>SUM($E$1619:$AI$1619)</f>
        <v>122.5</v>
      </c>
      <c r="AN1617" s="8">
        <f>AL1617+AM1617</f>
        <v>160</v>
      </c>
      <c r="AO1617" s="8">
        <f>COUNTIF($E$1617:$AI$1617,"CL")</f>
        <v>0</v>
      </c>
      <c r="AP1617" s="8">
        <f>COUNTIF($E$1617:$AI$1617,"SL")</f>
        <v>0</v>
      </c>
      <c r="AQ1617" s="8">
        <f>COUNTIF($E$1617:$AI$1617,"EL")</f>
        <v>0</v>
      </c>
      <c r="AR1617" s="8">
        <f>COUNTIF($E$1617:$AI$1617,"H")</f>
        <v>0</v>
      </c>
      <c r="AS1617" s="8"/>
      <c r="AT1617" s="11" t="s">
        <v>252</v>
      </c>
    </row>
    <row r="1618" spans="1:46" ht="15.1" customHeight="1">
      <c r="A1618" s="8"/>
      <c r="B1618" s="9"/>
      <c r="C1618" s="8"/>
      <c r="D1618" s="9"/>
      <c r="E1618" s="8">
        <v>2</v>
      </c>
      <c r="F1618" s="8">
        <v>2</v>
      </c>
      <c r="G1618" s="8">
        <v>0</v>
      </c>
      <c r="H1618" s="8">
        <v>2</v>
      </c>
      <c r="I1618" s="8">
        <v>2</v>
      </c>
      <c r="J1618" s="8">
        <v>2</v>
      </c>
      <c r="K1618" s="8">
        <v>2</v>
      </c>
      <c r="L1618" s="8">
        <v>2</v>
      </c>
      <c r="M1618" s="8">
        <v>2</v>
      </c>
      <c r="N1618" s="8">
        <v>0</v>
      </c>
      <c r="O1618" s="8">
        <v>2</v>
      </c>
      <c r="P1618" s="8">
        <v>2</v>
      </c>
      <c r="Q1618" s="8">
        <v>2</v>
      </c>
      <c r="R1618" s="8">
        <v>2</v>
      </c>
      <c r="S1618" s="8">
        <v>2</v>
      </c>
      <c r="T1618" s="8">
        <v>2</v>
      </c>
      <c r="U1618" s="8">
        <v>0</v>
      </c>
      <c r="V1618" s="8">
        <v>2</v>
      </c>
      <c r="W1618" s="8">
        <v>2</v>
      </c>
      <c r="X1618" s="8">
        <v>2</v>
      </c>
      <c r="Y1618" s="8">
        <v>0</v>
      </c>
      <c r="Z1618" s="8">
        <v>0</v>
      </c>
      <c r="AA1618" s="8">
        <v>0</v>
      </c>
      <c r="AB1618" s="8">
        <v>0</v>
      </c>
      <c r="AC1618" s="8">
        <v>2</v>
      </c>
      <c r="AD1618" s="8">
        <v>2</v>
      </c>
      <c r="AE1618" s="8">
        <v>0</v>
      </c>
      <c r="AF1618" s="8">
        <v>0</v>
      </c>
      <c r="AG1618" s="8">
        <v>0</v>
      </c>
      <c r="AH1618" s="8">
        <v>0</v>
      </c>
      <c r="AI1618" s="8">
        <v>0</v>
      </c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11" t="s">
        <v>252</v>
      </c>
    </row>
    <row r="1619" spans="1:46" ht="15.1" customHeight="1">
      <c r="A1619" s="8"/>
      <c r="B1619" s="9"/>
      <c r="C1619" s="8"/>
      <c r="D1619" s="9"/>
      <c r="E1619" s="8">
        <v>3.5</v>
      </c>
      <c r="F1619" s="8">
        <v>2.5</v>
      </c>
      <c r="G1619" s="8">
        <v>13.5</v>
      </c>
      <c r="H1619" s="8">
        <v>5</v>
      </c>
      <c r="I1619" s="8">
        <v>7</v>
      </c>
      <c r="J1619" s="8">
        <v>6.5</v>
      </c>
      <c r="K1619" s="8">
        <v>6.5</v>
      </c>
      <c r="L1619" s="8">
        <v>7</v>
      </c>
      <c r="M1619" s="8">
        <v>4.5</v>
      </c>
      <c r="N1619" s="8">
        <v>16.5</v>
      </c>
      <c r="O1619" s="8">
        <v>7</v>
      </c>
      <c r="P1619" s="8">
        <v>6.5</v>
      </c>
      <c r="Q1619" s="8">
        <v>4.5</v>
      </c>
      <c r="R1619" s="8">
        <v>6.5</v>
      </c>
      <c r="S1619" s="8">
        <v>6.5</v>
      </c>
      <c r="T1619" s="8">
        <v>2.5</v>
      </c>
      <c r="U1619" s="8">
        <v>0</v>
      </c>
      <c r="V1619" s="8">
        <v>6.5</v>
      </c>
      <c r="W1619" s="8">
        <v>7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3</v>
      </c>
      <c r="AE1619" s="8">
        <v>0</v>
      </c>
      <c r="AF1619" s="8">
        <v>0</v>
      </c>
      <c r="AG1619" s="8">
        <v>0</v>
      </c>
      <c r="AH1619" s="8">
        <v>0</v>
      </c>
      <c r="AI1619" s="8">
        <v>0</v>
      </c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11" t="s">
        <v>252</v>
      </c>
    </row>
    <row r="1620" spans="1:46" ht="15.1" customHeight="1">
      <c r="A1620" s="8">
        <v>539</v>
      </c>
      <c r="B1620" s="9" t="s">
        <v>1326</v>
      </c>
      <c r="C1620" s="8" t="s">
        <v>1327</v>
      </c>
      <c r="D1620" s="9" t="s">
        <v>266</v>
      </c>
      <c r="E1620" s="8" t="s">
        <v>54</v>
      </c>
      <c r="F1620" s="8" t="s">
        <v>54</v>
      </c>
      <c r="G1620" s="10" t="s">
        <v>67</v>
      </c>
      <c r="H1620" s="8" t="s">
        <v>54</v>
      </c>
      <c r="I1620" s="8" t="s">
        <v>54</v>
      </c>
      <c r="J1620" s="8" t="s">
        <v>54</v>
      </c>
      <c r="K1620" s="8" t="s">
        <v>54</v>
      </c>
      <c r="L1620" s="8" t="s">
        <v>54</v>
      </c>
      <c r="M1620" s="8" t="s">
        <v>54</v>
      </c>
      <c r="N1620" s="10" t="s">
        <v>67</v>
      </c>
      <c r="O1620" s="8" t="s">
        <v>54</v>
      </c>
      <c r="P1620" s="12" t="s">
        <v>55</v>
      </c>
      <c r="Q1620" s="8" t="s">
        <v>54</v>
      </c>
      <c r="R1620" s="8" t="s">
        <v>54</v>
      </c>
      <c r="S1620" s="8" t="s">
        <v>54</v>
      </c>
      <c r="T1620" s="8" t="s">
        <v>54</v>
      </c>
      <c r="U1620" s="10" t="s">
        <v>67</v>
      </c>
      <c r="V1620" s="12" t="s">
        <v>55</v>
      </c>
      <c r="W1620" s="12" t="s">
        <v>55</v>
      </c>
      <c r="X1620" s="12" t="s">
        <v>55</v>
      </c>
      <c r="Y1620" s="8" t="s">
        <v>54</v>
      </c>
      <c r="Z1620" s="8" t="s">
        <v>54</v>
      </c>
      <c r="AA1620" s="8" t="s">
        <v>54</v>
      </c>
      <c r="AB1620" s="10" t="s">
        <v>67</v>
      </c>
      <c r="AC1620" s="8" t="s">
        <v>54</v>
      </c>
      <c r="AD1620" s="8" t="s">
        <v>54</v>
      </c>
      <c r="AE1620" s="8" t="s">
        <v>54</v>
      </c>
      <c r="AF1620" s="8" t="s">
        <v>54</v>
      </c>
      <c r="AG1620" s="8" t="s">
        <v>54</v>
      </c>
      <c r="AH1620" s="12" t="s">
        <v>55</v>
      </c>
      <c r="AI1620" s="10" t="s">
        <v>67</v>
      </c>
      <c r="AJ1620" s="8">
        <f>COUNTIF($E$1620:$AI$1620,"P")</f>
        <v>21</v>
      </c>
      <c r="AK1620" s="8">
        <f>COUNTIF($E$1620:$AI$1620,"A")</f>
        <v>5</v>
      </c>
      <c r="AL1620" s="8">
        <f>SUM($E$1621:$AI$1621)</f>
        <v>29</v>
      </c>
      <c r="AM1620" s="8">
        <f>SUM($E$1622:$AI$1622)</f>
        <v>76</v>
      </c>
      <c r="AN1620" s="8">
        <f>AL1620+AM1620</f>
        <v>105</v>
      </c>
      <c r="AO1620" s="8">
        <f>COUNTIF($E$1620:$AI$1620,"CL")</f>
        <v>0</v>
      </c>
      <c r="AP1620" s="8">
        <f>COUNTIF($E$1620:$AI$1620,"SL")</f>
        <v>0</v>
      </c>
      <c r="AQ1620" s="8">
        <f>COUNTIF($E$1620:$AI$1620,"EL")</f>
        <v>0</v>
      </c>
      <c r="AR1620" s="8">
        <f>COUNTIF($E$1620:$AI$1620,"H")</f>
        <v>0</v>
      </c>
      <c r="AS1620" s="8"/>
      <c r="AT1620" s="11" t="s">
        <v>252</v>
      </c>
    </row>
    <row r="1621" spans="1:46" ht="15.1" customHeight="1">
      <c r="A1621" s="8"/>
      <c r="B1621" s="9"/>
      <c r="C1621" s="8"/>
      <c r="D1621" s="9"/>
      <c r="E1621" s="8">
        <v>2</v>
      </c>
      <c r="F1621" s="8">
        <v>2</v>
      </c>
      <c r="G1621" s="8">
        <v>0</v>
      </c>
      <c r="H1621" s="8">
        <v>2</v>
      </c>
      <c r="I1621" s="8">
        <v>2</v>
      </c>
      <c r="J1621" s="8">
        <v>2</v>
      </c>
      <c r="K1621" s="8">
        <v>2</v>
      </c>
      <c r="L1621" s="8">
        <v>2</v>
      </c>
      <c r="M1621" s="8">
        <v>2</v>
      </c>
      <c r="N1621" s="8">
        <v>0</v>
      </c>
      <c r="O1621" s="8">
        <v>2</v>
      </c>
      <c r="P1621" s="8">
        <v>0</v>
      </c>
      <c r="Q1621" s="8">
        <v>2</v>
      </c>
      <c r="R1621" s="8">
        <v>2</v>
      </c>
      <c r="S1621" s="8">
        <v>2</v>
      </c>
      <c r="T1621" s="8">
        <v>2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2</v>
      </c>
      <c r="AE1621" s="8">
        <v>0</v>
      </c>
      <c r="AF1621" s="8">
        <v>1</v>
      </c>
      <c r="AG1621" s="8">
        <v>0</v>
      </c>
      <c r="AH1621" s="8">
        <v>0</v>
      </c>
      <c r="AI1621" s="8">
        <v>0</v>
      </c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11" t="s">
        <v>252</v>
      </c>
    </row>
    <row r="1622" spans="1:46" ht="15.1" customHeight="1">
      <c r="A1622" s="8"/>
      <c r="B1622" s="9"/>
      <c r="C1622" s="8"/>
      <c r="D1622" s="9"/>
      <c r="E1622" s="8">
        <v>3.5</v>
      </c>
      <c r="F1622" s="8">
        <v>2.5</v>
      </c>
      <c r="G1622" s="8">
        <v>0</v>
      </c>
      <c r="H1622" s="8">
        <v>5</v>
      </c>
      <c r="I1622" s="8">
        <v>6.5</v>
      </c>
      <c r="J1622" s="8">
        <v>6</v>
      </c>
      <c r="K1622" s="8">
        <v>6.5</v>
      </c>
      <c r="L1622" s="8">
        <v>0</v>
      </c>
      <c r="M1622" s="8">
        <v>4.5</v>
      </c>
      <c r="N1622" s="8">
        <v>16.5</v>
      </c>
      <c r="O1622" s="8">
        <v>7</v>
      </c>
      <c r="P1622" s="8">
        <v>0</v>
      </c>
      <c r="Q1622" s="8">
        <v>4.5</v>
      </c>
      <c r="R1622" s="8">
        <v>5</v>
      </c>
      <c r="S1622" s="8">
        <v>4.5</v>
      </c>
      <c r="T1622" s="8">
        <v>1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3</v>
      </c>
      <c r="AE1622" s="8">
        <v>0</v>
      </c>
      <c r="AF1622" s="8">
        <v>0</v>
      </c>
      <c r="AG1622" s="8">
        <v>0</v>
      </c>
      <c r="AH1622" s="8">
        <v>0</v>
      </c>
      <c r="AI1622" s="8">
        <v>0</v>
      </c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11" t="s">
        <v>252</v>
      </c>
    </row>
    <row r="1623" spans="1:46" ht="15.1" customHeight="1">
      <c r="A1623" s="8">
        <v>540</v>
      </c>
      <c r="B1623" s="9" t="s">
        <v>1328</v>
      </c>
      <c r="C1623" s="8" t="s">
        <v>1329</v>
      </c>
      <c r="D1623" s="9" t="s">
        <v>451</v>
      </c>
      <c r="E1623" s="8" t="s">
        <v>54</v>
      </c>
      <c r="F1623" s="8" t="s">
        <v>54</v>
      </c>
      <c r="G1623" s="10" t="s">
        <v>67</v>
      </c>
      <c r="H1623" s="8" t="s">
        <v>54</v>
      </c>
      <c r="I1623" s="8" t="s">
        <v>54</v>
      </c>
      <c r="J1623" s="8" t="s">
        <v>54</v>
      </c>
      <c r="K1623" s="8" t="s">
        <v>54</v>
      </c>
      <c r="L1623" s="8" t="s">
        <v>54</v>
      </c>
      <c r="M1623" s="8" t="s">
        <v>54</v>
      </c>
      <c r="N1623" s="10" t="s">
        <v>67</v>
      </c>
      <c r="O1623" s="8" t="s">
        <v>54</v>
      </c>
      <c r="P1623" s="8" t="s">
        <v>54</v>
      </c>
      <c r="Q1623" s="8" t="s">
        <v>54</v>
      </c>
      <c r="R1623" s="8" t="s">
        <v>54</v>
      </c>
      <c r="S1623" s="8" t="s">
        <v>54</v>
      </c>
      <c r="T1623" s="8" t="s">
        <v>54</v>
      </c>
      <c r="U1623" s="10" t="s">
        <v>67</v>
      </c>
      <c r="V1623" s="8" t="s">
        <v>54</v>
      </c>
      <c r="W1623" s="8" t="s">
        <v>54</v>
      </c>
      <c r="X1623" s="8" t="s">
        <v>54</v>
      </c>
      <c r="Y1623" s="8" t="s">
        <v>54</v>
      </c>
      <c r="Z1623" s="8" t="s">
        <v>54</v>
      </c>
      <c r="AA1623" s="8" t="s">
        <v>54</v>
      </c>
      <c r="AB1623" s="10" t="s">
        <v>67</v>
      </c>
      <c r="AC1623" s="8" t="s">
        <v>54</v>
      </c>
      <c r="AD1623" s="8" t="s">
        <v>54</v>
      </c>
      <c r="AE1623" s="8" t="s">
        <v>54</v>
      </c>
      <c r="AF1623" s="8" t="s">
        <v>54</v>
      </c>
      <c r="AG1623" s="8" t="s">
        <v>54</v>
      </c>
      <c r="AH1623" s="8" t="s">
        <v>54</v>
      </c>
      <c r="AI1623" s="10" t="s">
        <v>67</v>
      </c>
      <c r="AJ1623" s="8">
        <f>COUNTIF($E$1623:$AI$1623,"P")</f>
        <v>26</v>
      </c>
      <c r="AK1623" s="8">
        <f>COUNTIF($E$1623:$AI$1623,"A")</f>
        <v>0</v>
      </c>
      <c r="AL1623" s="8">
        <f>SUM($E$1624:$AI$1624)</f>
        <v>37</v>
      </c>
      <c r="AM1623" s="8">
        <f>SUM($E$1625:$AI$1625)</f>
        <v>143.5</v>
      </c>
      <c r="AN1623" s="8">
        <f>AL1623+AM1623</f>
        <v>180.5</v>
      </c>
      <c r="AO1623" s="8">
        <f>COUNTIF($E$1623:$AI$1623,"CL")</f>
        <v>0</v>
      </c>
      <c r="AP1623" s="8">
        <f>COUNTIF($E$1623:$AI$1623,"SL")</f>
        <v>0</v>
      </c>
      <c r="AQ1623" s="8">
        <f>COUNTIF($E$1623:$AI$1623,"EL")</f>
        <v>0</v>
      </c>
      <c r="AR1623" s="8">
        <f>COUNTIF($E$1623:$AI$1623,"H")</f>
        <v>0</v>
      </c>
      <c r="AS1623" s="8"/>
      <c r="AT1623" s="11" t="s">
        <v>252</v>
      </c>
    </row>
    <row r="1624" spans="1:46" ht="15.1" customHeight="1">
      <c r="A1624" s="8"/>
      <c r="B1624" s="9"/>
      <c r="C1624" s="8"/>
      <c r="D1624" s="9"/>
      <c r="E1624" s="8">
        <v>2</v>
      </c>
      <c r="F1624" s="8">
        <v>2</v>
      </c>
      <c r="G1624" s="8">
        <v>0</v>
      </c>
      <c r="H1624" s="8">
        <v>2</v>
      </c>
      <c r="I1624" s="8">
        <v>2</v>
      </c>
      <c r="J1624" s="8">
        <v>2</v>
      </c>
      <c r="K1624" s="8">
        <v>2</v>
      </c>
      <c r="L1624" s="8">
        <v>2</v>
      </c>
      <c r="M1624" s="8">
        <v>2</v>
      </c>
      <c r="N1624" s="8">
        <v>0</v>
      </c>
      <c r="O1624" s="8">
        <v>2</v>
      </c>
      <c r="P1624" s="8">
        <v>2</v>
      </c>
      <c r="Q1624" s="8">
        <v>2</v>
      </c>
      <c r="R1624" s="8">
        <v>2</v>
      </c>
      <c r="S1624" s="8">
        <v>2</v>
      </c>
      <c r="T1624" s="8">
        <v>2</v>
      </c>
      <c r="U1624" s="8">
        <v>0</v>
      </c>
      <c r="V1624" s="8">
        <v>2</v>
      </c>
      <c r="W1624" s="8">
        <v>2</v>
      </c>
      <c r="X1624" s="8">
        <v>2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2</v>
      </c>
      <c r="AE1624" s="8">
        <v>0</v>
      </c>
      <c r="AF1624" s="8">
        <v>0</v>
      </c>
      <c r="AG1624" s="8">
        <v>1</v>
      </c>
      <c r="AH1624" s="8">
        <v>0</v>
      </c>
      <c r="AI1624" s="8">
        <v>0</v>
      </c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11" t="s">
        <v>252</v>
      </c>
    </row>
    <row r="1625" spans="1:46" ht="15.1" customHeight="1">
      <c r="A1625" s="8"/>
      <c r="B1625" s="9"/>
      <c r="C1625" s="8"/>
      <c r="D1625" s="9"/>
      <c r="E1625" s="8">
        <v>5</v>
      </c>
      <c r="F1625" s="8">
        <v>3</v>
      </c>
      <c r="G1625" s="8">
        <v>14</v>
      </c>
      <c r="H1625" s="8">
        <v>5</v>
      </c>
      <c r="I1625" s="8">
        <v>7</v>
      </c>
      <c r="J1625" s="8">
        <v>7</v>
      </c>
      <c r="K1625" s="8">
        <v>7</v>
      </c>
      <c r="L1625" s="8">
        <v>7</v>
      </c>
      <c r="M1625" s="8">
        <v>5</v>
      </c>
      <c r="N1625" s="8">
        <v>17.5</v>
      </c>
      <c r="O1625" s="8">
        <v>7</v>
      </c>
      <c r="P1625" s="8">
        <v>7</v>
      </c>
      <c r="Q1625" s="8">
        <v>5</v>
      </c>
      <c r="R1625" s="8">
        <v>7</v>
      </c>
      <c r="S1625" s="8">
        <v>7</v>
      </c>
      <c r="T1625" s="8">
        <v>3</v>
      </c>
      <c r="U1625" s="8">
        <v>13</v>
      </c>
      <c r="V1625" s="8">
        <v>7</v>
      </c>
      <c r="W1625" s="8">
        <v>7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3</v>
      </c>
      <c r="AE1625" s="8">
        <v>0</v>
      </c>
      <c r="AF1625" s="8">
        <v>0</v>
      </c>
      <c r="AG1625" s="8">
        <v>0</v>
      </c>
      <c r="AH1625" s="8">
        <v>0</v>
      </c>
      <c r="AI1625" s="8">
        <v>0</v>
      </c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11" t="s">
        <v>252</v>
      </c>
    </row>
    <row r="1626" spans="1:46" ht="15.1" customHeight="1">
      <c r="A1626" s="8">
        <v>541</v>
      </c>
      <c r="B1626" s="9" t="s">
        <v>1330</v>
      </c>
      <c r="C1626" s="8" t="s">
        <v>1331</v>
      </c>
      <c r="D1626" s="9" t="s">
        <v>451</v>
      </c>
      <c r="E1626" s="12" t="s">
        <v>55</v>
      </c>
      <c r="F1626" s="8" t="s">
        <v>54</v>
      </c>
      <c r="G1626" s="10" t="s">
        <v>67</v>
      </c>
      <c r="H1626" s="8" t="s">
        <v>54</v>
      </c>
      <c r="I1626" s="8" t="s">
        <v>54</v>
      </c>
      <c r="J1626" s="8" t="s">
        <v>54</v>
      </c>
      <c r="K1626" s="8" t="s">
        <v>54</v>
      </c>
      <c r="L1626" s="8" t="s">
        <v>54</v>
      </c>
      <c r="M1626" s="8" t="s">
        <v>54</v>
      </c>
      <c r="N1626" s="10" t="s">
        <v>67</v>
      </c>
      <c r="O1626" s="8" t="s">
        <v>54</v>
      </c>
      <c r="P1626" s="8" t="s">
        <v>54</v>
      </c>
      <c r="Q1626" s="8" t="s">
        <v>54</v>
      </c>
      <c r="R1626" s="8" t="s">
        <v>54</v>
      </c>
      <c r="S1626" s="8" t="s">
        <v>54</v>
      </c>
      <c r="T1626" s="8" t="s">
        <v>54</v>
      </c>
      <c r="U1626" s="10" t="s">
        <v>67</v>
      </c>
      <c r="V1626" s="8" t="s">
        <v>54</v>
      </c>
      <c r="W1626" s="8" t="s">
        <v>54</v>
      </c>
      <c r="X1626" s="8" t="s">
        <v>54</v>
      </c>
      <c r="Y1626" s="8" t="s">
        <v>54</v>
      </c>
      <c r="Z1626" s="8" t="s">
        <v>54</v>
      </c>
      <c r="AA1626" s="8" t="s">
        <v>54</v>
      </c>
      <c r="AB1626" s="10" t="s">
        <v>67</v>
      </c>
      <c r="AC1626" s="8" t="s">
        <v>54</v>
      </c>
      <c r="AD1626" s="8" t="s">
        <v>54</v>
      </c>
      <c r="AE1626" s="8" t="s">
        <v>54</v>
      </c>
      <c r="AF1626" s="8" t="s">
        <v>54</v>
      </c>
      <c r="AG1626" s="8" t="s">
        <v>54</v>
      </c>
      <c r="AH1626" s="8" t="s">
        <v>54</v>
      </c>
      <c r="AI1626" s="10" t="s">
        <v>67</v>
      </c>
      <c r="AJ1626" s="8">
        <f>COUNTIF($E$1626:$AI$1626,"P")</f>
        <v>25</v>
      </c>
      <c r="AK1626" s="8">
        <f>COUNTIF($E$1626:$AI$1626,"A")</f>
        <v>1</v>
      </c>
      <c r="AL1626" s="8">
        <f>SUM($E$1627:$AI$1627)</f>
        <v>36</v>
      </c>
      <c r="AM1626" s="8">
        <f>SUM($E$1628:$AI$1628)</f>
        <v>121</v>
      </c>
      <c r="AN1626" s="8">
        <f>AL1626+AM1626</f>
        <v>157</v>
      </c>
      <c r="AO1626" s="8">
        <f>COUNTIF($E$1626:$AI$1626,"CL")</f>
        <v>0</v>
      </c>
      <c r="AP1626" s="8">
        <f>COUNTIF($E$1626:$AI$1626,"SL")</f>
        <v>0</v>
      </c>
      <c r="AQ1626" s="8">
        <f>COUNTIF($E$1626:$AI$1626,"EL")</f>
        <v>0</v>
      </c>
      <c r="AR1626" s="8">
        <f>COUNTIF($E$1626:$AI$1626,"H")</f>
        <v>0</v>
      </c>
      <c r="AS1626" s="8"/>
      <c r="AT1626" s="11" t="s">
        <v>252</v>
      </c>
    </row>
    <row r="1627" spans="1:46" ht="15.1" customHeight="1">
      <c r="A1627" s="8"/>
      <c r="B1627" s="9"/>
      <c r="C1627" s="8"/>
      <c r="D1627" s="9"/>
      <c r="E1627" s="8">
        <v>0</v>
      </c>
      <c r="F1627" s="8">
        <v>2</v>
      </c>
      <c r="G1627" s="8">
        <v>0</v>
      </c>
      <c r="H1627" s="8">
        <v>2</v>
      </c>
      <c r="I1627" s="8">
        <v>2</v>
      </c>
      <c r="J1627" s="8">
        <v>2</v>
      </c>
      <c r="K1627" s="8">
        <v>2</v>
      </c>
      <c r="L1627" s="8">
        <v>2</v>
      </c>
      <c r="M1627" s="8">
        <v>2</v>
      </c>
      <c r="N1627" s="8">
        <v>0</v>
      </c>
      <c r="O1627" s="8">
        <v>2</v>
      </c>
      <c r="P1627" s="8">
        <v>2</v>
      </c>
      <c r="Q1627" s="8">
        <v>2</v>
      </c>
      <c r="R1627" s="8">
        <v>2</v>
      </c>
      <c r="S1627" s="8">
        <v>2</v>
      </c>
      <c r="T1627" s="8">
        <v>2</v>
      </c>
      <c r="U1627" s="8">
        <v>0</v>
      </c>
      <c r="V1627" s="8">
        <v>2</v>
      </c>
      <c r="W1627" s="8">
        <v>2</v>
      </c>
      <c r="X1627" s="8">
        <v>2</v>
      </c>
      <c r="Y1627" s="8">
        <v>0</v>
      </c>
      <c r="Z1627" s="8">
        <v>0</v>
      </c>
      <c r="AA1627" s="8">
        <v>0</v>
      </c>
      <c r="AB1627" s="8">
        <v>0</v>
      </c>
      <c r="AC1627" s="8">
        <v>2</v>
      </c>
      <c r="AD1627" s="8">
        <v>2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11" t="s">
        <v>252</v>
      </c>
    </row>
    <row r="1628" spans="1:46" ht="15.1" customHeight="1">
      <c r="A1628" s="8"/>
      <c r="B1628" s="9"/>
      <c r="C1628" s="8"/>
      <c r="D1628" s="9"/>
      <c r="E1628" s="8">
        <v>0</v>
      </c>
      <c r="F1628" s="8">
        <v>3</v>
      </c>
      <c r="G1628" s="8">
        <v>14</v>
      </c>
      <c r="H1628" s="8">
        <v>5</v>
      </c>
      <c r="I1628" s="8">
        <v>7</v>
      </c>
      <c r="J1628" s="8">
        <v>7</v>
      </c>
      <c r="K1628" s="8">
        <v>7</v>
      </c>
      <c r="L1628" s="8">
        <v>7</v>
      </c>
      <c r="M1628" s="8">
        <v>5</v>
      </c>
      <c r="N1628" s="8">
        <v>0</v>
      </c>
      <c r="O1628" s="8">
        <v>7</v>
      </c>
      <c r="P1628" s="8">
        <v>7</v>
      </c>
      <c r="Q1628" s="8">
        <v>5</v>
      </c>
      <c r="R1628" s="8">
        <v>7</v>
      </c>
      <c r="S1628" s="8">
        <v>7</v>
      </c>
      <c r="T1628" s="8">
        <v>3</v>
      </c>
      <c r="U1628" s="8">
        <v>13</v>
      </c>
      <c r="V1628" s="8">
        <v>7</v>
      </c>
      <c r="W1628" s="8">
        <v>7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3</v>
      </c>
      <c r="AE1628" s="8">
        <v>0</v>
      </c>
      <c r="AF1628" s="8">
        <v>0</v>
      </c>
      <c r="AG1628" s="8">
        <v>0</v>
      </c>
      <c r="AH1628" s="8">
        <v>0</v>
      </c>
      <c r="AI1628" s="8">
        <v>0</v>
      </c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11" t="s">
        <v>252</v>
      </c>
    </row>
    <row r="1629" spans="1:46" ht="15.1" customHeight="1">
      <c r="A1629" s="8">
        <v>542</v>
      </c>
      <c r="B1629" s="9" t="s">
        <v>1332</v>
      </c>
      <c r="C1629" s="8" t="s">
        <v>1333</v>
      </c>
      <c r="D1629" s="9" t="s">
        <v>451</v>
      </c>
      <c r="E1629" s="12" t="s">
        <v>55</v>
      </c>
      <c r="F1629" s="8" t="s">
        <v>54</v>
      </c>
      <c r="G1629" s="10" t="s">
        <v>67</v>
      </c>
      <c r="H1629" s="8" t="s">
        <v>54</v>
      </c>
      <c r="I1629" s="8" t="s">
        <v>54</v>
      </c>
      <c r="J1629" s="12" t="s">
        <v>55</v>
      </c>
      <c r="K1629" s="8" t="s">
        <v>54</v>
      </c>
      <c r="L1629" s="8" t="s">
        <v>54</v>
      </c>
      <c r="M1629" s="8" t="s">
        <v>54</v>
      </c>
      <c r="N1629" s="10" t="s">
        <v>67</v>
      </c>
      <c r="O1629" s="8" t="s">
        <v>54</v>
      </c>
      <c r="P1629" s="8" t="s">
        <v>54</v>
      </c>
      <c r="Q1629" s="8" t="s">
        <v>54</v>
      </c>
      <c r="R1629" s="12" t="s">
        <v>55</v>
      </c>
      <c r="S1629" s="8" t="s">
        <v>54</v>
      </c>
      <c r="T1629" s="8" t="s">
        <v>54</v>
      </c>
      <c r="U1629" s="10" t="s">
        <v>67</v>
      </c>
      <c r="V1629" s="8" t="s">
        <v>54</v>
      </c>
      <c r="W1629" s="8" t="s">
        <v>54</v>
      </c>
      <c r="X1629" s="8" t="s">
        <v>54</v>
      </c>
      <c r="Y1629" s="8" t="s">
        <v>54</v>
      </c>
      <c r="Z1629" s="8" t="s">
        <v>54</v>
      </c>
      <c r="AA1629" s="8" t="s">
        <v>54</v>
      </c>
      <c r="AB1629" s="10" t="s">
        <v>67</v>
      </c>
      <c r="AC1629" s="8" t="s">
        <v>54</v>
      </c>
      <c r="AD1629" s="8" t="s">
        <v>54</v>
      </c>
      <c r="AE1629" s="8" t="s">
        <v>54</v>
      </c>
      <c r="AF1629" s="8" t="s">
        <v>54</v>
      </c>
      <c r="AG1629" s="8" t="s">
        <v>54</v>
      </c>
      <c r="AH1629" s="8" t="s">
        <v>54</v>
      </c>
      <c r="AI1629" s="10" t="s">
        <v>67</v>
      </c>
      <c r="AJ1629" s="8">
        <f>COUNTIF($E$1629:$AI$1629,"P")</f>
        <v>23</v>
      </c>
      <c r="AK1629" s="8">
        <f>COUNTIF($E$1629:$AI$1629,"A")</f>
        <v>3</v>
      </c>
      <c r="AL1629" s="8">
        <f>SUM($E$1630:$AI$1630)</f>
        <v>34</v>
      </c>
      <c r="AM1629" s="8">
        <f>SUM($E$1631:$AI$1631)</f>
        <v>85</v>
      </c>
      <c r="AN1629" s="8">
        <f>AL1629+AM1629</f>
        <v>119</v>
      </c>
      <c r="AO1629" s="8">
        <f>COUNTIF($E$1629:$AI$1629,"CL")</f>
        <v>0</v>
      </c>
      <c r="AP1629" s="8">
        <f>COUNTIF($E$1629:$AI$1629,"SL")</f>
        <v>0</v>
      </c>
      <c r="AQ1629" s="8">
        <f>COUNTIF($E$1629:$AI$1629,"EL")</f>
        <v>0</v>
      </c>
      <c r="AR1629" s="8">
        <f>COUNTIF($E$1629:$AI$1629,"H")</f>
        <v>0</v>
      </c>
      <c r="AS1629" s="8"/>
      <c r="AT1629" s="11" t="s">
        <v>252</v>
      </c>
    </row>
    <row r="1630" spans="1:46" ht="15.1" customHeight="1">
      <c r="A1630" s="8"/>
      <c r="B1630" s="9"/>
      <c r="C1630" s="8"/>
      <c r="D1630" s="9"/>
      <c r="E1630" s="8">
        <v>0</v>
      </c>
      <c r="F1630" s="8">
        <v>2</v>
      </c>
      <c r="G1630" s="8">
        <v>0</v>
      </c>
      <c r="H1630" s="8">
        <v>2</v>
      </c>
      <c r="I1630" s="8">
        <v>2</v>
      </c>
      <c r="J1630" s="8">
        <v>0</v>
      </c>
      <c r="K1630" s="8">
        <v>2</v>
      </c>
      <c r="L1630" s="8">
        <v>2</v>
      </c>
      <c r="M1630" s="8">
        <v>2</v>
      </c>
      <c r="N1630" s="8">
        <v>0</v>
      </c>
      <c r="O1630" s="8">
        <v>2</v>
      </c>
      <c r="P1630" s="8">
        <v>2</v>
      </c>
      <c r="Q1630" s="8">
        <v>2</v>
      </c>
      <c r="R1630" s="8">
        <v>0</v>
      </c>
      <c r="S1630" s="8">
        <v>2</v>
      </c>
      <c r="T1630" s="8">
        <v>2</v>
      </c>
      <c r="U1630" s="8">
        <v>0</v>
      </c>
      <c r="V1630" s="8">
        <v>2</v>
      </c>
      <c r="W1630" s="8">
        <v>2</v>
      </c>
      <c r="X1630" s="8">
        <v>2</v>
      </c>
      <c r="Y1630" s="8">
        <v>0</v>
      </c>
      <c r="Z1630" s="8">
        <v>0</v>
      </c>
      <c r="AA1630" s="8">
        <v>0</v>
      </c>
      <c r="AB1630" s="8">
        <v>0</v>
      </c>
      <c r="AC1630" s="8">
        <v>2</v>
      </c>
      <c r="AD1630" s="8">
        <v>2</v>
      </c>
      <c r="AE1630" s="8">
        <v>0</v>
      </c>
      <c r="AF1630" s="8">
        <v>2</v>
      </c>
      <c r="AG1630" s="8">
        <v>0</v>
      </c>
      <c r="AH1630" s="8">
        <v>0</v>
      </c>
      <c r="AI1630" s="8">
        <v>0</v>
      </c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11" t="s">
        <v>252</v>
      </c>
    </row>
    <row r="1631" spans="1:46" ht="15.1" customHeight="1">
      <c r="A1631" s="8"/>
      <c r="B1631" s="9"/>
      <c r="C1631" s="8"/>
      <c r="D1631" s="9"/>
      <c r="E1631" s="8">
        <v>0</v>
      </c>
      <c r="F1631" s="8">
        <v>3</v>
      </c>
      <c r="G1631" s="8">
        <v>13.5</v>
      </c>
      <c r="H1631" s="8">
        <v>4</v>
      </c>
      <c r="I1631" s="8">
        <v>6</v>
      </c>
      <c r="J1631" s="8">
        <v>0</v>
      </c>
      <c r="K1631" s="8">
        <v>3</v>
      </c>
      <c r="L1631" s="8">
        <v>4.5</v>
      </c>
      <c r="M1631" s="8">
        <v>3.5</v>
      </c>
      <c r="N1631" s="8">
        <v>12</v>
      </c>
      <c r="O1631" s="8">
        <v>5</v>
      </c>
      <c r="P1631" s="8">
        <v>5</v>
      </c>
      <c r="Q1631" s="8">
        <v>4.5</v>
      </c>
      <c r="R1631" s="8">
        <v>0</v>
      </c>
      <c r="S1631" s="8">
        <v>5</v>
      </c>
      <c r="T1631" s="8">
        <v>3</v>
      </c>
      <c r="U1631" s="8">
        <v>7.5</v>
      </c>
      <c r="V1631" s="8">
        <v>0</v>
      </c>
      <c r="W1631" s="8">
        <v>0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3</v>
      </c>
      <c r="AE1631" s="8">
        <v>0</v>
      </c>
      <c r="AF1631" s="8">
        <v>2.5</v>
      </c>
      <c r="AG1631" s="8">
        <v>0</v>
      </c>
      <c r="AH1631" s="8">
        <v>0</v>
      </c>
      <c r="AI1631" s="8">
        <v>0</v>
      </c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11" t="s">
        <v>252</v>
      </c>
    </row>
    <row r="1632" spans="1:46" ht="15.1" customHeight="1">
      <c r="A1632" s="8">
        <v>543</v>
      </c>
      <c r="B1632" s="9" t="s">
        <v>1334</v>
      </c>
      <c r="C1632" s="8" t="s">
        <v>1335</v>
      </c>
      <c r="D1632" s="9" t="s">
        <v>451</v>
      </c>
      <c r="E1632" s="12" t="s">
        <v>55</v>
      </c>
      <c r="F1632" s="8" t="s">
        <v>54</v>
      </c>
      <c r="G1632" s="10" t="s">
        <v>67</v>
      </c>
      <c r="H1632" s="12" t="s">
        <v>55</v>
      </c>
      <c r="I1632" s="8" t="s">
        <v>54</v>
      </c>
      <c r="J1632" s="12" t="s">
        <v>55</v>
      </c>
      <c r="K1632" s="8" t="s">
        <v>54</v>
      </c>
      <c r="L1632" s="8" t="s">
        <v>54</v>
      </c>
      <c r="M1632" s="12" t="s">
        <v>55</v>
      </c>
      <c r="N1632" s="10" t="s">
        <v>67</v>
      </c>
      <c r="O1632" s="12" t="s">
        <v>55</v>
      </c>
      <c r="P1632" s="8" t="s">
        <v>54</v>
      </c>
      <c r="Q1632" s="8" t="s">
        <v>54</v>
      </c>
      <c r="R1632" s="12" t="s">
        <v>55</v>
      </c>
      <c r="S1632" s="8" t="s">
        <v>54</v>
      </c>
      <c r="T1632" s="8" t="s">
        <v>54</v>
      </c>
      <c r="U1632" s="10" t="s">
        <v>67</v>
      </c>
      <c r="V1632" s="12" t="s">
        <v>55</v>
      </c>
      <c r="W1632" s="8" t="s">
        <v>54</v>
      </c>
      <c r="X1632" s="8" t="s">
        <v>54</v>
      </c>
      <c r="Y1632" s="8" t="s">
        <v>54</v>
      </c>
      <c r="Z1632" s="8" t="s">
        <v>54</v>
      </c>
      <c r="AA1632" s="8" t="s">
        <v>54</v>
      </c>
      <c r="AB1632" s="10" t="s">
        <v>67</v>
      </c>
      <c r="AC1632" s="12" t="s">
        <v>55</v>
      </c>
      <c r="AD1632" s="12" t="s">
        <v>55</v>
      </c>
      <c r="AE1632" s="8" t="s">
        <v>54</v>
      </c>
      <c r="AF1632" s="8" t="s">
        <v>54</v>
      </c>
      <c r="AG1632" s="8" t="s">
        <v>54</v>
      </c>
      <c r="AH1632" s="8" t="s">
        <v>54</v>
      </c>
      <c r="AI1632" s="10" t="s">
        <v>67</v>
      </c>
      <c r="AJ1632" s="8">
        <f>COUNTIF($E$1632:$AI$1632,"P")</f>
        <v>17</v>
      </c>
      <c r="AK1632" s="8">
        <f>COUNTIF($E$1632:$AI$1632,"A")</f>
        <v>9</v>
      </c>
      <c r="AL1632" s="8">
        <f>SUM($E$1633:$AI$1633)</f>
        <v>20</v>
      </c>
      <c r="AM1632" s="8">
        <f>SUM($E$1634:$AI$1634)</f>
        <v>75</v>
      </c>
      <c r="AN1632" s="8">
        <f>AL1632+AM1632</f>
        <v>95</v>
      </c>
      <c r="AO1632" s="8">
        <f>COUNTIF($E$1632:$AI$1632,"CL")</f>
        <v>0</v>
      </c>
      <c r="AP1632" s="8">
        <f>COUNTIF($E$1632:$AI$1632,"SL")</f>
        <v>0</v>
      </c>
      <c r="AQ1632" s="8">
        <f>COUNTIF($E$1632:$AI$1632,"EL")</f>
        <v>0</v>
      </c>
      <c r="AR1632" s="8">
        <f>COUNTIF($E$1632:$AI$1632,"H")</f>
        <v>0</v>
      </c>
      <c r="AS1632" s="8"/>
      <c r="AT1632" s="11" t="s">
        <v>252</v>
      </c>
    </row>
    <row r="1633" spans="1:46" ht="15.1" customHeight="1">
      <c r="A1633" s="8"/>
      <c r="B1633" s="9"/>
      <c r="C1633" s="8"/>
      <c r="D1633" s="9"/>
      <c r="E1633" s="8">
        <v>0</v>
      </c>
      <c r="F1633" s="8">
        <v>2</v>
      </c>
      <c r="G1633" s="8">
        <v>0</v>
      </c>
      <c r="H1633" s="8">
        <v>0</v>
      </c>
      <c r="I1633" s="8">
        <v>2</v>
      </c>
      <c r="J1633" s="8">
        <v>0</v>
      </c>
      <c r="K1633" s="8">
        <v>2</v>
      </c>
      <c r="L1633" s="8">
        <v>2</v>
      </c>
      <c r="M1633" s="8">
        <v>0</v>
      </c>
      <c r="N1633" s="8">
        <v>0</v>
      </c>
      <c r="O1633" s="8">
        <v>0</v>
      </c>
      <c r="P1633" s="8">
        <v>2</v>
      </c>
      <c r="Q1633" s="8">
        <v>2</v>
      </c>
      <c r="R1633" s="8">
        <v>0</v>
      </c>
      <c r="S1633" s="8">
        <v>2</v>
      </c>
      <c r="T1633" s="8">
        <v>2</v>
      </c>
      <c r="U1633" s="8">
        <v>0</v>
      </c>
      <c r="V1633" s="8">
        <v>0</v>
      </c>
      <c r="W1633" s="8">
        <v>2</v>
      </c>
      <c r="X1633" s="8">
        <v>1</v>
      </c>
      <c r="Y1633" s="8">
        <v>0</v>
      </c>
      <c r="Z1633" s="8">
        <v>0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1</v>
      </c>
      <c r="AH1633" s="8">
        <v>0</v>
      </c>
      <c r="AI1633" s="8">
        <v>0</v>
      </c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11" t="s">
        <v>252</v>
      </c>
    </row>
    <row r="1634" spans="1:46" ht="15.1" customHeight="1">
      <c r="A1634" s="8"/>
      <c r="B1634" s="9"/>
      <c r="C1634" s="8"/>
      <c r="D1634" s="9"/>
      <c r="E1634" s="8">
        <v>0</v>
      </c>
      <c r="F1634" s="8">
        <v>3</v>
      </c>
      <c r="G1634" s="8">
        <v>13</v>
      </c>
      <c r="H1634" s="8">
        <v>0</v>
      </c>
      <c r="I1634" s="8">
        <v>7</v>
      </c>
      <c r="J1634" s="8">
        <v>0</v>
      </c>
      <c r="K1634" s="8">
        <v>6.5</v>
      </c>
      <c r="L1634" s="8">
        <v>6.5</v>
      </c>
      <c r="M1634" s="8">
        <v>0</v>
      </c>
      <c r="N1634" s="8">
        <v>0</v>
      </c>
      <c r="O1634" s="8">
        <v>0</v>
      </c>
      <c r="P1634" s="8">
        <v>6.5</v>
      </c>
      <c r="Q1634" s="8">
        <v>4</v>
      </c>
      <c r="R1634" s="8">
        <v>0</v>
      </c>
      <c r="S1634" s="8">
        <v>6.5</v>
      </c>
      <c r="T1634" s="8">
        <v>3</v>
      </c>
      <c r="U1634" s="8">
        <v>12</v>
      </c>
      <c r="V1634" s="8">
        <v>0</v>
      </c>
      <c r="W1634" s="8">
        <v>7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0</v>
      </c>
      <c r="AF1634" s="8">
        <v>0</v>
      </c>
      <c r="AG1634" s="8">
        <v>0</v>
      </c>
      <c r="AH1634" s="8">
        <v>0</v>
      </c>
      <c r="AI1634" s="8">
        <v>0</v>
      </c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11" t="s">
        <v>252</v>
      </c>
    </row>
    <row r="1635" spans="1:46" ht="15.1" customHeight="1">
      <c r="A1635" s="8">
        <v>544</v>
      </c>
      <c r="B1635" s="9" t="s">
        <v>1336</v>
      </c>
      <c r="C1635" s="8" t="s">
        <v>1337</v>
      </c>
      <c r="D1635" s="9" t="s">
        <v>451</v>
      </c>
      <c r="E1635" s="12" t="s">
        <v>55</v>
      </c>
      <c r="F1635" s="8" t="s">
        <v>54</v>
      </c>
      <c r="G1635" s="10" t="s">
        <v>67</v>
      </c>
      <c r="H1635" s="8" t="s">
        <v>54</v>
      </c>
      <c r="I1635" s="8" t="s">
        <v>54</v>
      </c>
      <c r="J1635" s="12" t="s">
        <v>55</v>
      </c>
      <c r="K1635" s="8" t="s">
        <v>54</v>
      </c>
      <c r="L1635" s="8" t="s">
        <v>54</v>
      </c>
      <c r="M1635" s="8" t="s">
        <v>54</v>
      </c>
      <c r="N1635" s="10" t="s">
        <v>67</v>
      </c>
      <c r="O1635" s="8" t="s">
        <v>54</v>
      </c>
      <c r="P1635" s="8" t="s">
        <v>54</v>
      </c>
      <c r="Q1635" s="8" t="s">
        <v>54</v>
      </c>
      <c r="R1635" s="8" t="s">
        <v>54</v>
      </c>
      <c r="S1635" s="12" t="s">
        <v>55</v>
      </c>
      <c r="T1635" s="8" t="s">
        <v>54</v>
      </c>
      <c r="U1635" s="10" t="s">
        <v>67</v>
      </c>
      <c r="V1635" s="8" t="s">
        <v>54</v>
      </c>
      <c r="W1635" s="8" t="s">
        <v>54</v>
      </c>
      <c r="X1635" s="12" t="s">
        <v>55</v>
      </c>
      <c r="Y1635" s="8" t="s">
        <v>54</v>
      </c>
      <c r="Z1635" s="8" t="s">
        <v>54</v>
      </c>
      <c r="AA1635" s="8" t="s">
        <v>54</v>
      </c>
      <c r="AB1635" s="10" t="s">
        <v>67</v>
      </c>
      <c r="AC1635" s="8" t="s">
        <v>54</v>
      </c>
      <c r="AD1635" s="12" t="s">
        <v>55</v>
      </c>
      <c r="AE1635" s="8" t="s">
        <v>54</v>
      </c>
      <c r="AF1635" s="8" t="s">
        <v>54</v>
      </c>
      <c r="AG1635" s="8" t="s">
        <v>54</v>
      </c>
      <c r="AH1635" s="8" t="s">
        <v>54</v>
      </c>
      <c r="AI1635" s="10" t="s">
        <v>67</v>
      </c>
      <c r="AJ1635" s="8">
        <f>COUNTIF($E$1635:$AI$1635,"P")</f>
        <v>21</v>
      </c>
      <c r="AK1635" s="8">
        <f>COUNTIF($E$1635:$AI$1635,"A")</f>
        <v>5</v>
      </c>
      <c r="AL1635" s="8">
        <f>SUM($E$1636:$AI$1636)</f>
        <v>28</v>
      </c>
      <c r="AM1635" s="8">
        <f>SUM($E$1637:$AI$1637)</f>
        <v>104.5</v>
      </c>
      <c r="AN1635" s="8">
        <f>AL1635+AM1635</f>
        <v>132.5</v>
      </c>
      <c r="AO1635" s="8">
        <f>COUNTIF($E$1635:$AI$1635,"CL")</f>
        <v>0</v>
      </c>
      <c r="AP1635" s="8">
        <f>COUNTIF($E$1635:$AI$1635,"SL")</f>
        <v>0</v>
      </c>
      <c r="AQ1635" s="8">
        <f>COUNTIF($E$1635:$AI$1635,"EL")</f>
        <v>0</v>
      </c>
      <c r="AR1635" s="8">
        <f>COUNTIF($E$1635:$AI$1635,"H")</f>
        <v>0</v>
      </c>
      <c r="AS1635" s="8"/>
      <c r="AT1635" s="11" t="s">
        <v>252</v>
      </c>
    </row>
    <row r="1636" spans="1:46" ht="15.1" customHeight="1">
      <c r="A1636" s="8"/>
      <c r="B1636" s="9"/>
      <c r="C1636" s="8"/>
      <c r="D1636" s="9"/>
      <c r="E1636" s="8">
        <v>0</v>
      </c>
      <c r="F1636" s="8">
        <v>2</v>
      </c>
      <c r="G1636" s="8">
        <v>0</v>
      </c>
      <c r="H1636" s="8">
        <v>2</v>
      </c>
      <c r="I1636" s="8">
        <v>2</v>
      </c>
      <c r="J1636" s="8">
        <v>0</v>
      </c>
      <c r="K1636" s="8">
        <v>2</v>
      </c>
      <c r="L1636" s="8">
        <v>2</v>
      </c>
      <c r="M1636" s="8">
        <v>2</v>
      </c>
      <c r="N1636" s="8">
        <v>0</v>
      </c>
      <c r="O1636" s="8">
        <v>2</v>
      </c>
      <c r="P1636" s="8">
        <v>2</v>
      </c>
      <c r="Q1636" s="8">
        <v>2</v>
      </c>
      <c r="R1636" s="8">
        <v>2</v>
      </c>
      <c r="S1636" s="8">
        <v>0</v>
      </c>
      <c r="T1636" s="8">
        <v>2</v>
      </c>
      <c r="U1636" s="8">
        <v>0</v>
      </c>
      <c r="V1636" s="8">
        <v>2</v>
      </c>
      <c r="W1636" s="8">
        <v>2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2</v>
      </c>
      <c r="AD1636" s="8">
        <v>0</v>
      </c>
      <c r="AE1636" s="8">
        <v>0</v>
      </c>
      <c r="AF1636" s="8">
        <v>0</v>
      </c>
      <c r="AG1636" s="8">
        <v>0</v>
      </c>
      <c r="AH1636" s="8">
        <v>0</v>
      </c>
      <c r="AI1636" s="8">
        <v>0</v>
      </c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11" t="s">
        <v>252</v>
      </c>
    </row>
    <row r="1637" spans="1:46" ht="15.1" customHeight="1">
      <c r="A1637" s="8"/>
      <c r="B1637" s="9"/>
      <c r="C1637" s="8"/>
      <c r="D1637" s="9"/>
      <c r="E1637" s="8">
        <v>0</v>
      </c>
      <c r="F1637" s="8">
        <v>2.5</v>
      </c>
      <c r="G1637" s="8">
        <v>13.5</v>
      </c>
      <c r="H1637" s="8">
        <v>4.5</v>
      </c>
      <c r="I1637" s="8">
        <v>6.5</v>
      </c>
      <c r="J1637" s="8">
        <v>0</v>
      </c>
      <c r="K1637" s="8">
        <v>6.5</v>
      </c>
      <c r="L1637" s="8">
        <v>6</v>
      </c>
      <c r="M1637" s="8">
        <v>4</v>
      </c>
      <c r="N1637" s="8">
        <v>16</v>
      </c>
      <c r="O1637" s="8">
        <v>6</v>
      </c>
      <c r="P1637" s="8">
        <v>6</v>
      </c>
      <c r="Q1637" s="8">
        <v>4</v>
      </c>
      <c r="R1637" s="8">
        <v>6</v>
      </c>
      <c r="S1637" s="8">
        <v>0</v>
      </c>
      <c r="T1637" s="8">
        <v>3</v>
      </c>
      <c r="U1637" s="8">
        <v>7.5</v>
      </c>
      <c r="V1637" s="8">
        <v>6.5</v>
      </c>
      <c r="W1637" s="8">
        <v>6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11" t="s">
        <v>252</v>
      </c>
    </row>
    <row r="1638" spans="1:46" ht="15.1" customHeight="1">
      <c r="A1638" s="8">
        <v>545</v>
      </c>
      <c r="B1638" s="9" t="s">
        <v>1338</v>
      </c>
      <c r="C1638" s="8" t="s">
        <v>1339</v>
      </c>
      <c r="D1638" s="9" t="s">
        <v>451</v>
      </c>
      <c r="E1638" s="12" t="s">
        <v>55</v>
      </c>
      <c r="F1638" s="8" t="s">
        <v>54</v>
      </c>
      <c r="G1638" s="10" t="s">
        <v>67</v>
      </c>
      <c r="H1638" s="8" t="s">
        <v>54</v>
      </c>
      <c r="I1638" s="8" t="s">
        <v>54</v>
      </c>
      <c r="J1638" s="8" t="s">
        <v>54</v>
      </c>
      <c r="K1638" s="8" t="s">
        <v>54</v>
      </c>
      <c r="L1638" s="12" t="s">
        <v>55</v>
      </c>
      <c r="M1638" s="8" t="s">
        <v>54</v>
      </c>
      <c r="N1638" s="10" t="s">
        <v>67</v>
      </c>
      <c r="O1638" s="8" t="s">
        <v>54</v>
      </c>
      <c r="P1638" s="12" t="s">
        <v>55</v>
      </c>
      <c r="Q1638" s="8" t="s">
        <v>54</v>
      </c>
      <c r="R1638" s="8" t="s">
        <v>54</v>
      </c>
      <c r="S1638" s="8" t="s">
        <v>54</v>
      </c>
      <c r="T1638" s="8" t="s">
        <v>54</v>
      </c>
      <c r="U1638" s="10" t="s">
        <v>67</v>
      </c>
      <c r="V1638" s="8" t="s">
        <v>54</v>
      </c>
      <c r="W1638" s="12" t="s">
        <v>55</v>
      </c>
      <c r="X1638" s="12" t="s">
        <v>55</v>
      </c>
      <c r="Y1638" s="8" t="s">
        <v>54</v>
      </c>
      <c r="Z1638" s="8" t="s">
        <v>54</v>
      </c>
      <c r="AA1638" s="12" t="s">
        <v>55</v>
      </c>
      <c r="AB1638" s="10" t="s">
        <v>67</v>
      </c>
      <c r="AC1638" s="12" t="s">
        <v>55</v>
      </c>
      <c r="AD1638" s="12" t="s">
        <v>55</v>
      </c>
      <c r="AE1638" s="12" t="s">
        <v>55</v>
      </c>
      <c r="AF1638" s="12" t="s">
        <v>55</v>
      </c>
      <c r="AG1638" s="8" t="s">
        <v>54</v>
      </c>
      <c r="AH1638" s="8" t="s">
        <v>54</v>
      </c>
      <c r="AI1638" s="10" t="s">
        <v>67</v>
      </c>
      <c r="AJ1638" s="8">
        <f>COUNTIF($E$1638:$AI$1638,"P")</f>
        <v>16</v>
      </c>
      <c r="AK1638" s="8">
        <f>COUNTIF($E$1638:$AI$1638,"A")</f>
        <v>10</v>
      </c>
      <c r="AL1638" s="8">
        <f>SUM($E$1639:$AI$1639)</f>
        <v>24</v>
      </c>
      <c r="AM1638" s="8">
        <f>SUM($E$1640:$AI$1640)</f>
        <v>87.5</v>
      </c>
      <c r="AN1638" s="8">
        <f>AL1638+AM1638</f>
        <v>111</v>
      </c>
      <c r="AO1638" s="8">
        <f>COUNTIF($E$1638:$AI$1638,"CL")</f>
        <v>0</v>
      </c>
      <c r="AP1638" s="8">
        <f>COUNTIF($E$1638:$AI$1638,"SL")</f>
        <v>0</v>
      </c>
      <c r="AQ1638" s="8">
        <f>COUNTIF($E$1638:$AI$1638,"EL")</f>
        <v>0</v>
      </c>
      <c r="AR1638" s="8">
        <f>COUNTIF($E$1638:$AI$1638,"H")</f>
        <v>0</v>
      </c>
      <c r="AS1638" s="8"/>
      <c r="AT1638" s="11" t="s">
        <v>252</v>
      </c>
    </row>
    <row r="1639" spans="1:46" ht="15.1" customHeight="1">
      <c r="A1639" s="8"/>
      <c r="B1639" s="9"/>
      <c r="C1639" s="8"/>
      <c r="D1639" s="9"/>
      <c r="E1639" s="8">
        <v>0</v>
      </c>
      <c r="F1639" s="8">
        <v>2</v>
      </c>
      <c r="G1639" s="8">
        <v>0</v>
      </c>
      <c r="H1639" s="8">
        <v>2</v>
      </c>
      <c r="I1639" s="8">
        <v>2</v>
      </c>
      <c r="J1639" s="8">
        <v>2</v>
      </c>
      <c r="K1639" s="8">
        <v>2</v>
      </c>
      <c r="L1639" s="8">
        <v>0</v>
      </c>
      <c r="M1639" s="8">
        <v>2</v>
      </c>
      <c r="N1639" s="8">
        <v>0</v>
      </c>
      <c r="O1639" s="8">
        <v>2</v>
      </c>
      <c r="P1639" s="8">
        <v>0</v>
      </c>
      <c r="Q1639" s="8">
        <v>2</v>
      </c>
      <c r="R1639" s="8">
        <v>2</v>
      </c>
      <c r="S1639" s="8">
        <v>2</v>
      </c>
      <c r="T1639" s="8">
        <v>2</v>
      </c>
      <c r="U1639" s="8">
        <v>0</v>
      </c>
      <c r="V1639" s="8">
        <v>2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11" t="s">
        <v>252</v>
      </c>
    </row>
    <row r="1640" spans="1:46" ht="15.1" customHeight="1">
      <c r="A1640" s="8"/>
      <c r="B1640" s="9"/>
      <c r="C1640" s="8"/>
      <c r="D1640" s="9"/>
      <c r="E1640" s="8">
        <v>0</v>
      </c>
      <c r="F1640" s="8">
        <v>3</v>
      </c>
      <c r="G1640" s="8">
        <v>13.5</v>
      </c>
      <c r="H1640" s="8">
        <v>4.5</v>
      </c>
      <c r="I1640" s="8">
        <v>6.5</v>
      </c>
      <c r="J1640" s="8">
        <v>6.5</v>
      </c>
      <c r="K1640" s="8">
        <v>6.5</v>
      </c>
      <c r="L1640" s="8">
        <v>0</v>
      </c>
      <c r="M1640" s="8">
        <v>4.5</v>
      </c>
      <c r="N1640" s="8">
        <v>16</v>
      </c>
      <c r="O1640" s="8">
        <v>6.5</v>
      </c>
      <c r="P1640" s="8">
        <v>0</v>
      </c>
      <c r="Q1640" s="8">
        <v>5</v>
      </c>
      <c r="R1640" s="8">
        <v>0</v>
      </c>
      <c r="S1640" s="8">
        <v>6</v>
      </c>
      <c r="T1640" s="8">
        <v>2</v>
      </c>
      <c r="U1640" s="8">
        <v>0</v>
      </c>
      <c r="V1640" s="8">
        <v>7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8">
        <v>0</v>
      </c>
      <c r="AH1640" s="8">
        <v>0</v>
      </c>
      <c r="AI1640" s="8">
        <v>0</v>
      </c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11" t="s">
        <v>252</v>
      </c>
    </row>
    <row r="1641" spans="1:46" ht="15.1" customHeight="1">
      <c r="A1641" s="8">
        <v>546</v>
      </c>
      <c r="B1641" s="9" t="s">
        <v>1340</v>
      </c>
      <c r="C1641" s="8" t="s">
        <v>1341</v>
      </c>
      <c r="D1641" s="9" t="s">
        <v>451</v>
      </c>
      <c r="E1641" s="8" t="s">
        <v>54</v>
      </c>
      <c r="F1641" s="8" t="s">
        <v>54</v>
      </c>
      <c r="G1641" s="10" t="s">
        <v>67</v>
      </c>
      <c r="H1641" s="8" t="s">
        <v>54</v>
      </c>
      <c r="I1641" s="12" t="s">
        <v>55</v>
      </c>
      <c r="J1641" s="12" t="s">
        <v>55</v>
      </c>
      <c r="K1641" s="8" t="s">
        <v>54</v>
      </c>
      <c r="L1641" s="8" t="s">
        <v>54</v>
      </c>
      <c r="M1641" s="8" t="s">
        <v>54</v>
      </c>
      <c r="N1641" s="10" t="s">
        <v>67</v>
      </c>
      <c r="O1641" s="8" t="s">
        <v>54</v>
      </c>
      <c r="P1641" s="8" t="s">
        <v>54</v>
      </c>
      <c r="Q1641" s="8" t="s">
        <v>54</v>
      </c>
      <c r="R1641" s="8" t="s">
        <v>54</v>
      </c>
      <c r="S1641" s="8" t="s">
        <v>54</v>
      </c>
      <c r="T1641" s="8" t="s">
        <v>54</v>
      </c>
      <c r="U1641" s="10" t="s">
        <v>67</v>
      </c>
      <c r="V1641" s="8" t="s">
        <v>54</v>
      </c>
      <c r="W1641" s="8" t="s">
        <v>54</v>
      </c>
      <c r="X1641" s="12" t="s">
        <v>55</v>
      </c>
      <c r="Y1641" s="8" t="s">
        <v>54</v>
      </c>
      <c r="Z1641" s="8" t="s">
        <v>54</v>
      </c>
      <c r="AA1641" s="8" t="s">
        <v>54</v>
      </c>
      <c r="AB1641" s="10" t="s">
        <v>67</v>
      </c>
      <c r="AC1641" s="8" t="s">
        <v>54</v>
      </c>
      <c r="AD1641" s="8" t="s">
        <v>54</v>
      </c>
      <c r="AE1641" s="12" t="s">
        <v>55</v>
      </c>
      <c r="AF1641" s="8" t="s">
        <v>54</v>
      </c>
      <c r="AG1641" s="8" t="s">
        <v>54</v>
      </c>
      <c r="AH1641" s="8" t="s">
        <v>54</v>
      </c>
      <c r="AI1641" s="10" t="s">
        <v>67</v>
      </c>
      <c r="AJ1641" s="8">
        <f>COUNTIF($E$1641:$AI$1641,"P")</f>
        <v>22</v>
      </c>
      <c r="AK1641" s="8">
        <f>COUNTIF($E$1641:$AI$1641,"A")</f>
        <v>4</v>
      </c>
      <c r="AL1641" s="8">
        <f>SUM($E$1642:$AI$1642)</f>
        <v>28</v>
      </c>
      <c r="AM1641" s="8">
        <f>SUM($E$1643:$AI$1643)</f>
        <v>114.5</v>
      </c>
      <c r="AN1641" s="8">
        <f>AL1641+AM1641</f>
        <v>142.5</v>
      </c>
      <c r="AO1641" s="8">
        <f>COUNTIF($E$1641:$AI$1641,"CL")</f>
        <v>0</v>
      </c>
      <c r="AP1641" s="8">
        <f>COUNTIF($E$1641:$AI$1641,"SL")</f>
        <v>0</v>
      </c>
      <c r="AQ1641" s="8">
        <f>COUNTIF($E$1641:$AI$1641,"EL")</f>
        <v>0</v>
      </c>
      <c r="AR1641" s="8">
        <f>COUNTIF($E$1641:$AI$1641,"H")</f>
        <v>0</v>
      </c>
      <c r="AS1641" s="8"/>
      <c r="AT1641" s="11" t="s">
        <v>252</v>
      </c>
    </row>
    <row r="1642" spans="1:46" ht="15.1" customHeight="1">
      <c r="A1642" s="8"/>
      <c r="B1642" s="9"/>
      <c r="C1642" s="8"/>
      <c r="D1642" s="9"/>
      <c r="E1642" s="8">
        <v>2</v>
      </c>
      <c r="F1642" s="8">
        <v>2</v>
      </c>
      <c r="G1642" s="8">
        <v>0</v>
      </c>
      <c r="H1642" s="8">
        <v>2</v>
      </c>
      <c r="I1642" s="8">
        <v>0</v>
      </c>
      <c r="J1642" s="8">
        <v>0</v>
      </c>
      <c r="K1642" s="8">
        <v>2</v>
      </c>
      <c r="L1642" s="8">
        <v>2</v>
      </c>
      <c r="M1642" s="8">
        <v>2</v>
      </c>
      <c r="N1642" s="8">
        <v>0</v>
      </c>
      <c r="O1642" s="8">
        <v>2</v>
      </c>
      <c r="P1642" s="8">
        <v>2</v>
      </c>
      <c r="Q1642" s="8">
        <v>2</v>
      </c>
      <c r="R1642" s="8">
        <v>2</v>
      </c>
      <c r="S1642" s="8">
        <v>2</v>
      </c>
      <c r="T1642" s="8">
        <v>2</v>
      </c>
      <c r="U1642" s="8">
        <v>0</v>
      </c>
      <c r="V1642" s="8">
        <v>2</v>
      </c>
      <c r="W1642" s="8">
        <v>2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8">
        <v>0</v>
      </c>
      <c r="AH1642" s="8">
        <v>0</v>
      </c>
      <c r="AI1642" s="8">
        <v>0</v>
      </c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11" t="s">
        <v>252</v>
      </c>
    </row>
    <row r="1643" spans="1:46" ht="15.1" customHeight="1">
      <c r="A1643" s="8"/>
      <c r="B1643" s="9"/>
      <c r="C1643" s="8"/>
      <c r="D1643" s="9"/>
      <c r="E1643" s="8">
        <v>4.5</v>
      </c>
      <c r="F1643" s="8">
        <v>3</v>
      </c>
      <c r="G1643" s="8">
        <v>13.5</v>
      </c>
      <c r="H1643" s="8">
        <v>4.5</v>
      </c>
      <c r="I1643" s="8">
        <v>0</v>
      </c>
      <c r="J1643" s="8">
        <v>0</v>
      </c>
      <c r="K1643" s="8">
        <v>7</v>
      </c>
      <c r="L1643" s="8">
        <v>7</v>
      </c>
      <c r="M1643" s="8">
        <v>5</v>
      </c>
      <c r="N1643" s="8">
        <v>16.5</v>
      </c>
      <c r="O1643" s="8">
        <v>6.5</v>
      </c>
      <c r="P1643" s="8">
        <v>7</v>
      </c>
      <c r="Q1643" s="8">
        <v>4.5</v>
      </c>
      <c r="R1643" s="8">
        <v>6.5</v>
      </c>
      <c r="S1643" s="8">
        <v>7</v>
      </c>
      <c r="T1643" s="8">
        <v>3</v>
      </c>
      <c r="U1643" s="8">
        <v>12.5</v>
      </c>
      <c r="V1643" s="8">
        <v>6.5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8">
        <v>0</v>
      </c>
      <c r="AH1643" s="8">
        <v>0</v>
      </c>
      <c r="AI1643" s="8">
        <v>0</v>
      </c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11" t="s">
        <v>252</v>
      </c>
    </row>
    <row r="1644" spans="1:46" ht="15.1" customHeight="1">
      <c r="A1644" s="8">
        <v>547</v>
      </c>
      <c r="B1644" s="9" t="s">
        <v>1342</v>
      </c>
      <c r="C1644" s="8" t="s">
        <v>1343</v>
      </c>
      <c r="D1644" s="9" t="s">
        <v>451</v>
      </c>
      <c r="E1644" s="8" t="s">
        <v>54</v>
      </c>
      <c r="F1644" s="8" t="s">
        <v>54</v>
      </c>
      <c r="G1644" s="10" t="s">
        <v>67</v>
      </c>
      <c r="H1644" s="12" t="s">
        <v>55</v>
      </c>
      <c r="I1644" s="12" t="s">
        <v>55</v>
      </c>
      <c r="J1644" s="8" t="s">
        <v>54</v>
      </c>
      <c r="K1644" s="8" t="s">
        <v>54</v>
      </c>
      <c r="L1644" s="8" t="s">
        <v>54</v>
      </c>
      <c r="M1644" s="12" t="s">
        <v>55</v>
      </c>
      <c r="N1644" s="10" t="s">
        <v>67</v>
      </c>
      <c r="O1644" s="12" t="s">
        <v>55</v>
      </c>
      <c r="P1644" s="8" t="s">
        <v>54</v>
      </c>
      <c r="Q1644" s="8" t="s">
        <v>54</v>
      </c>
      <c r="R1644" s="8" t="s">
        <v>54</v>
      </c>
      <c r="S1644" s="12" t="s">
        <v>55</v>
      </c>
      <c r="T1644" s="8" t="s">
        <v>54</v>
      </c>
      <c r="U1644" s="10" t="s">
        <v>67</v>
      </c>
      <c r="V1644" s="8" t="s">
        <v>54</v>
      </c>
      <c r="W1644" s="8" t="s">
        <v>54</v>
      </c>
      <c r="X1644" s="12" t="s">
        <v>55</v>
      </c>
      <c r="Y1644" s="8" t="s">
        <v>54</v>
      </c>
      <c r="Z1644" s="8" t="s">
        <v>54</v>
      </c>
      <c r="AA1644" s="8" t="s">
        <v>54</v>
      </c>
      <c r="AB1644" s="10" t="s">
        <v>67</v>
      </c>
      <c r="AC1644" s="8" t="s">
        <v>54</v>
      </c>
      <c r="AD1644" s="8" t="s">
        <v>54</v>
      </c>
      <c r="AE1644" s="8" t="s">
        <v>54</v>
      </c>
      <c r="AF1644" s="8" t="s">
        <v>54</v>
      </c>
      <c r="AG1644" s="8" t="s">
        <v>54</v>
      </c>
      <c r="AH1644" s="8" t="s">
        <v>54</v>
      </c>
      <c r="AI1644" s="10" t="s">
        <v>67</v>
      </c>
      <c r="AJ1644" s="8">
        <f>COUNTIF($E$1644:$AI$1644,"P")</f>
        <v>20</v>
      </c>
      <c r="AK1644" s="8">
        <f>COUNTIF($E$1644:$AI$1644,"A")</f>
        <v>6</v>
      </c>
      <c r="AL1644" s="8">
        <f>SUM($E$1645:$AI$1645)</f>
        <v>23</v>
      </c>
      <c r="AM1644" s="8">
        <f>SUM($E$1646:$AI$1646)</f>
        <v>78</v>
      </c>
      <c r="AN1644" s="8">
        <f>AL1644+AM1644</f>
        <v>101</v>
      </c>
      <c r="AO1644" s="8">
        <f>COUNTIF($E$1644:$AI$1644,"CL")</f>
        <v>0</v>
      </c>
      <c r="AP1644" s="8">
        <f>COUNTIF($E$1644:$AI$1644,"SL")</f>
        <v>0</v>
      </c>
      <c r="AQ1644" s="8">
        <f>COUNTIF($E$1644:$AI$1644,"EL")</f>
        <v>0</v>
      </c>
      <c r="AR1644" s="8">
        <f>COUNTIF($E$1644:$AI$1644,"H")</f>
        <v>0</v>
      </c>
      <c r="AS1644" s="8"/>
      <c r="AT1644" s="11" t="s">
        <v>252</v>
      </c>
    </row>
    <row r="1645" spans="1:46" ht="15.1" customHeight="1">
      <c r="A1645" s="8"/>
      <c r="B1645" s="9"/>
      <c r="C1645" s="8"/>
      <c r="D1645" s="9"/>
      <c r="E1645" s="8">
        <v>2</v>
      </c>
      <c r="F1645" s="8">
        <v>2</v>
      </c>
      <c r="G1645" s="8">
        <v>0</v>
      </c>
      <c r="H1645" s="8">
        <v>0</v>
      </c>
      <c r="I1645" s="8">
        <v>0</v>
      </c>
      <c r="J1645" s="8">
        <v>2</v>
      </c>
      <c r="K1645" s="8">
        <v>2</v>
      </c>
      <c r="L1645" s="8">
        <v>0</v>
      </c>
      <c r="M1645" s="8">
        <v>0</v>
      </c>
      <c r="N1645" s="8">
        <v>0</v>
      </c>
      <c r="O1645" s="8">
        <v>0</v>
      </c>
      <c r="P1645" s="8">
        <v>2</v>
      </c>
      <c r="Q1645" s="8">
        <v>2</v>
      </c>
      <c r="R1645" s="8">
        <v>0</v>
      </c>
      <c r="S1645" s="8">
        <v>0</v>
      </c>
      <c r="T1645" s="8">
        <v>2</v>
      </c>
      <c r="U1645" s="8">
        <v>0</v>
      </c>
      <c r="V1645" s="8">
        <v>2</v>
      </c>
      <c r="W1645" s="8">
        <v>2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2</v>
      </c>
      <c r="AD1645" s="8">
        <v>2</v>
      </c>
      <c r="AE1645" s="8">
        <v>0</v>
      </c>
      <c r="AF1645" s="8">
        <v>0</v>
      </c>
      <c r="AG1645" s="8">
        <v>1</v>
      </c>
      <c r="AH1645" s="8">
        <v>0</v>
      </c>
      <c r="AI1645" s="8">
        <v>0</v>
      </c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11" t="s">
        <v>252</v>
      </c>
    </row>
    <row r="1646" spans="1:46" ht="15.1" customHeight="1">
      <c r="A1646" s="8"/>
      <c r="B1646" s="9"/>
      <c r="C1646" s="8"/>
      <c r="D1646" s="9"/>
      <c r="E1646" s="8">
        <v>4</v>
      </c>
      <c r="F1646" s="8">
        <v>3</v>
      </c>
      <c r="G1646" s="8">
        <v>13</v>
      </c>
      <c r="H1646" s="8">
        <v>0</v>
      </c>
      <c r="I1646" s="8">
        <v>0</v>
      </c>
      <c r="J1646" s="8">
        <v>7</v>
      </c>
      <c r="K1646" s="8">
        <v>6.5</v>
      </c>
      <c r="L1646" s="8">
        <v>0</v>
      </c>
      <c r="M1646" s="8">
        <v>0</v>
      </c>
      <c r="N1646" s="8">
        <v>0</v>
      </c>
      <c r="O1646" s="8">
        <v>0</v>
      </c>
      <c r="P1646" s="8">
        <v>7</v>
      </c>
      <c r="Q1646" s="8">
        <v>5</v>
      </c>
      <c r="R1646" s="8">
        <v>0</v>
      </c>
      <c r="S1646" s="8">
        <v>0</v>
      </c>
      <c r="T1646" s="8">
        <v>3</v>
      </c>
      <c r="U1646" s="8">
        <v>12.5</v>
      </c>
      <c r="V1646" s="8">
        <v>7</v>
      </c>
      <c r="W1646" s="8">
        <v>7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3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11" t="s">
        <v>252</v>
      </c>
    </row>
    <row r="1647" spans="1:46" ht="15.1" customHeight="1">
      <c r="A1647" s="8">
        <v>548</v>
      </c>
      <c r="B1647" s="9" t="s">
        <v>1344</v>
      </c>
      <c r="C1647" s="8" t="s">
        <v>1345</v>
      </c>
      <c r="D1647" s="9" t="s">
        <v>451</v>
      </c>
      <c r="E1647" s="8" t="s">
        <v>54</v>
      </c>
      <c r="F1647" s="8" t="s">
        <v>54</v>
      </c>
      <c r="G1647" s="10" t="s">
        <v>67</v>
      </c>
      <c r="H1647" s="8" t="s">
        <v>54</v>
      </c>
      <c r="I1647" s="8" t="s">
        <v>54</v>
      </c>
      <c r="J1647" s="8" t="s">
        <v>54</v>
      </c>
      <c r="K1647" s="8" t="s">
        <v>54</v>
      </c>
      <c r="L1647" s="8" t="s">
        <v>54</v>
      </c>
      <c r="M1647" s="8" t="s">
        <v>54</v>
      </c>
      <c r="N1647" s="10" t="s">
        <v>67</v>
      </c>
      <c r="O1647" s="8" t="s">
        <v>54</v>
      </c>
      <c r="P1647" s="8" t="s">
        <v>54</v>
      </c>
      <c r="Q1647" s="8" t="s">
        <v>54</v>
      </c>
      <c r="R1647" s="8" t="s">
        <v>54</v>
      </c>
      <c r="S1647" s="8" t="s">
        <v>54</v>
      </c>
      <c r="T1647" s="8" t="s">
        <v>54</v>
      </c>
      <c r="U1647" s="10" t="s">
        <v>67</v>
      </c>
      <c r="V1647" s="8" t="s">
        <v>54</v>
      </c>
      <c r="W1647" s="8" t="s">
        <v>54</v>
      </c>
      <c r="X1647" s="8" t="s">
        <v>54</v>
      </c>
      <c r="Y1647" s="8" t="s">
        <v>54</v>
      </c>
      <c r="Z1647" s="8" t="s">
        <v>54</v>
      </c>
      <c r="AA1647" s="8" t="s">
        <v>54</v>
      </c>
      <c r="AB1647" s="10" t="s">
        <v>67</v>
      </c>
      <c r="AC1647" s="8" t="s">
        <v>54</v>
      </c>
      <c r="AD1647" s="8" t="s">
        <v>54</v>
      </c>
      <c r="AE1647" s="8" t="s">
        <v>54</v>
      </c>
      <c r="AF1647" s="8" t="s">
        <v>54</v>
      </c>
      <c r="AG1647" s="8" t="s">
        <v>54</v>
      </c>
      <c r="AH1647" s="8" t="s">
        <v>54</v>
      </c>
      <c r="AI1647" s="10" t="s">
        <v>67</v>
      </c>
      <c r="AJ1647" s="8">
        <f>COUNTIF($E$1647:$AI$1647,"P")</f>
        <v>26</v>
      </c>
      <c r="AK1647" s="8">
        <f>COUNTIF($E$1647:$AI$1647,"A")</f>
        <v>0</v>
      </c>
      <c r="AL1647" s="8">
        <f>SUM($E$1648:$AI$1648)</f>
        <v>37</v>
      </c>
      <c r="AM1647" s="8">
        <f>SUM($E$1649:$AI$1649)</f>
        <v>143</v>
      </c>
      <c r="AN1647" s="8">
        <f>AL1647+AM1647</f>
        <v>180</v>
      </c>
      <c r="AO1647" s="8">
        <f>COUNTIF($E$1647:$AI$1647,"CL")</f>
        <v>0</v>
      </c>
      <c r="AP1647" s="8">
        <f>COUNTIF($E$1647:$AI$1647,"SL")</f>
        <v>0</v>
      </c>
      <c r="AQ1647" s="8">
        <f>COUNTIF($E$1647:$AI$1647,"EL")</f>
        <v>0</v>
      </c>
      <c r="AR1647" s="8">
        <f>COUNTIF($E$1647:$AI$1647,"H")</f>
        <v>0</v>
      </c>
      <c r="AS1647" s="8"/>
      <c r="AT1647" s="11" t="s">
        <v>252</v>
      </c>
    </row>
    <row r="1648" spans="1:46" ht="15.1" customHeight="1">
      <c r="A1648" s="8"/>
      <c r="B1648" s="9"/>
      <c r="C1648" s="8"/>
      <c r="D1648" s="9"/>
      <c r="E1648" s="8">
        <v>2</v>
      </c>
      <c r="F1648" s="8">
        <v>2</v>
      </c>
      <c r="G1648" s="8">
        <v>0</v>
      </c>
      <c r="H1648" s="8">
        <v>2</v>
      </c>
      <c r="I1648" s="8">
        <v>2</v>
      </c>
      <c r="J1648" s="8">
        <v>2</v>
      </c>
      <c r="K1648" s="8">
        <v>2</v>
      </c>
      <c r="L1648" s="8">
        <v>2</v>
      </c>
      <c r="M1648" s="8">
        <v>2</v>
      </c>
      <c r="N1648" s="8">
        <v>0</v>
      </c>
      <c r="O1648" s="8">
        <v>2</v>
      </c>
      <c r="P1648" s="8">
        <v>2</v>
      </c>
      <c r="Q1648" s="8">
        <v>2</v>
      </c>
      <c r="R1648" s="8">
        <v>2</v>
      </c>
      <c r="S1648" s="8">
        <v>2</v>
      </c>
      <c r="T1648" s="8">
        <v>2</v>
      </c>
      <c r="U1648" s="8">
        <v>0</v>
      </c>
      <c r="V1648" s="8">
        <v>2</v>
      </c>
      <c r="W1648" s="8">
        <v>2</v>
      </c>
      <c r="X1648" s="8">
        <v>2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2</v>
      </c>
      <c r="AE1648" s="8">
        <v>0</v>
      </c>
      <c r="AF1648" s="8">
        <v>0</v>
      </c>
      <c r="AG1648" s="8">
        <v>1</v>
      </c>
      <c r="AH1648" s="8">
        <v>0</v>
      </c>
      <c r="AI1648" s="8">
        <v>0</v>
      </c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11" t="s">
        <v>252</v>
      </c>
    </row>
    <row r="1649" spans="1:46" ht="15.1" customHeight="1">
      <c r="A1649" s="8"/>
      <c r="B1649" s="9"/>
      <c r="C1649" s="8"/>
      <c r="D1649" s="9"/>
      <c r="E1649" s="8">
        <v>5</v>
      </c>
      <c r="F1649" s="8">
        <v>3</v>
      </c>
      <c r="G1649" s="8">
        <v>14</v>
      </c>
      <c r="H1649" s="8">
        <v>5</v>
      </c>
      <c r="I1649" s="8">
        <v>7</v>
      </c>
      <c r="J1649" s="8">
        <v>7</v>
      </c>
      <c r="K1649" s="8">
        <v>7</v>
      </c>
      <c r="L1649" s="8">
        <v>7</v>
      </c>
      <c r="M1649" s="8">
        <v>5</v>
      </c>
      <c r="N1649" s="8">
        <v>17</v>
      </c>
      <c r="O1649" s="8">
        <v>7</v>
      </c>
      <c r="P1649" s="8">
        <v>7</v>
      </c>
      <c r="Q1649" s="8">
        <v>5</v>
      </c>
      <c r="R1649" s="8">
        <v>7</v>
      </c>
      <c r="S1649" s="8">
        <v>7</v>
      </c>
      <c r="T1649" s="8">
        <v>3</v>
      </c>
      <c r="U1649" s="8">
        <v>13</v>
      </c>
      <c r="V1649" s="8">
        <v>7</v>
      </c>
      <c r="W1649" s="8">
        <v>7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3</v>
      </c>
      <c r="AE1649" s="8">
        <v>0</v>
      </c>
      <c r="AF1649" s="8">
        <v>0</v>
      </c>
      <c r="AG1649" s="8">
        <v>0</v>
      </c>
      <c r="AH1649" s="8">
        <v>0</v>
      </c>
      <c r="AI1649" s="8">
        <v>0</v>
      </c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11" t="s">
        <v>252</v>
      </c>
    </row>
    <row r="1650" spans="1:46" ht="15.1" customHeight="1">
      <c r="A1650" s="8">
        <v>549</v>
      </c>
      <c r="B1650" s="9" t="s">
        <v>1346</v>
      </c>
      <c r="C1650" s="8" t="s">
        <v>1347</v>
      </c>
      <c r="D1650" s="9" t="s">
        <v>451</v>
      </c>
      <c r="E1650" s="8" t="s">
        <v>54</v>
      </c>
      <c r="F1650" s="8" t="s">
        <v>54</v>
      </c>
      <c r="G1650" s="10" t="s">
        <v>67</v>
      </c>
      <c r="H1650" s="8" t="s">
        <v>54</v>
      </c>
      <c r="I1650" s="8" t="s">
        <v>54</v>
      </c>
      <c r="J1650" s="8" t="s">
        <v>54</v>
      </c>
      <c r="K1650" s="8" t="s">
        <v>54</v>
      </c>
      <c r="L1650" s="8" t="s">
        <v>54</v>
      </c>
      <c r="M1650" s="8" t="s">
        <v>54</v>
      </c>
      <c r="N1650" s="10" t="s">
        <v>67</v>
      </c>
      <c r="O1650" s="8" t="s">
        <v>54</v>
      </c>
      <c r="P1650" s="8" t="s">
        <v>54</v>
      </c>
      <c r="Q1650" s="8" t="s">
        <v>54</v>
      </c>
      <c r="R1650" s="8" t="s">
        <v>54</v>
      </c>
      <c r="S1650" s="8" t="s">
        <v>54</v>
      </c>
      <c r="T1650" s="8" t="s">
        <v>54</v>
      </c>
      <c r="U1650" s="10" t="s">
        <v>67</v>
      </c>
      <c r="V1650" s="8" t="s">
        <v>54</v>
      </c>
      <c r="W1650" s="8" t="s">
        <v>54</v>
      </c>
      <c r="X1650" s="8" t="s">
        <v>54</v>
      </c>
      <c r="Y1650" s="8" t="s">
        <v>54</v>
      </c>
      <c r="Z1650" s="8" t="s">
        <v>54</v>
      </c>
      <c r="AA1650" s="8" t="s">
        <v>54</v>
      </c>
      <c r="AB1650" s="10" t="s">
        <v>67</v>
      </c>
      <c r="AC1650" s="8" t="s">
        <v>54</v>
      </c>
      <c r="AD1650" s="8" t="s">
        <v>54</v>
      </c>
      <c r="AE1650" s="8" t="s">
        <v>54</v>
      </c>
      <c r="AF1650" s="8" t="s">
        <v>54</v>
      </c>
      <c r="AG1650" s="8" t="s">
        <v>54</v>
      </c>
      <c r="AH1650" s="8" t="s">
        <v>54</v>
      </c>
      <c r="AI1650" s="10" t="s">
        <v>67</v>
      </c>
      <c r="AJ1650" s="8">
        <f>COUNTIF($E$1650:$AI$1650,"P")</f>
        <v>26</v>
      </c>
      <c r="AK1650" s="8">
        <f>COUNTIF($E$1650:$AI$1650,"A")</f>
        <v>0</v>
      </c>
      <c r="AL1650" s="8">
        <f>SUM($E$1651:$AI$1651)</f>
        <v>38</v>
      </c>
      <c r="AM1650" s="8">
        <f>SUM($E$1652:$AI$1652)</f>
        <v>129.5</v>
      </c>
      <c r="AN1650" s="8">
        <f>AL1650+AM1650</f>
        <v>167.5</v>
      </c>
      <c r="AO1650" s="8">
        <f>COUNTIF($E$1650:$AI$1650,"CL")</f>
        <v>0</v>
      </c>
      <c r="AP1650" s="8">
        <f>COUNTIF($E$1650:$AI$1650,"SL")</f>
        <v>0</v>
      </c>
      <c r="AQ1650" s="8">
        <f>COUNTIF($E$1650:$AI$1650,"EL")</f>
        <v>0</v>
      </c>
      <c r="AR1650" s="8">
        <f>COUNTIF($E$1650:$AI$1650,"H")</f>
        <v>0</v>
      </c>
      <c r="AS1650" s="8"/>
      <c r="AT1650" s="11" t="s">
        <v>252</v>
      </c>
    </row>
    <row r="1651" spans="1:46" ht="15.1" customHeight="1">
      <c r="A1651" s="8"/>
      <c r="B1651" s="9"/>
      <c r="C1651" s="8"/>
      <c r="D1651" s="9"/>
      <c r="E1651" s="8">
        <v>2</v>
      </c>
      <c r="F1651" s="8">
        <v>2</v>
      </c>
      <c r="G1651" s="8">
        <v>0</v>
      </c>
      <c r="H1651" s="8">
        <v>2</v>
      </c>
      <c r="I1651" s="8">
        <v>2</v>
      </c>
      <c r="J1651" s="8">
        <v>2</v>
      </c>
      <c r="K1651" s="8">
        <v>2</v>
      </c>
      <c r="L1651" s="8">
        <v>2</v>
      </c>
      <c r="M1651" s="8">
        <v>2</v>
      </c>
      <c r="N1651" s="8">
        <v>0</v>
      </c>
      <c r="O1651" s="8">
        <v>2</v>
      </c>
      <c r="P1651" s="8">
        <v>2</v>
      </c>
      <c r="Q1651" s="8">
        <v>2</v>
      </c>
      <c r="R1651" s="8">
        <v>2</v>
      </c>
      <c r="S1651" s="8">
        <v>2</v>
      </c>
      <c r="T1651" s="8">
        <v>2</v>
      </c>
      <c r="U1651" s="8">
        <v>0</v>
      </c>
      <c r="V1651" s="8">
        <v>2</v>
      </c>
      <c r="W1651" s="8">
        <v>2</v>
      </c>
      <c r="X1651" s="8">
        <v>2</v>
      </c>
      <c r="Y1651" s="8">
        <v>0</v>
      </c>
      <c r="Z1651" s="8">
        <v>0</v>
      </c>
      <c r="AA1651" s="8">
        <v>0</v>
      </c>
      <c r="AB1651" s="8">
        <v>0</v>
      </c>
      <c r="AC1651" s="8">
        <v>2</v>
      </c>
      <c r="AD1651" s="8">
        <v>2</v>
      </c>
      <c r="AE1651" s="8">
        <v>0</v>
      </c>
      <c r="AF1651" s="8">
        <v>0</v>
      </c>
      <c r="AG1651" s="8">
        <v>0</v>
      </c>
      <c r="AH1651" s="8">
        <v>0</v>
      </c>
      <c r="AI1651" s="8">
        <v>0</v>
      </c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11" t="s">
        <v>252</v>
      </c>
    </row>
    <row r="1652" spans="1:46" ht="15.1" customHeight="1">
      <c r="A1652" s="8"/>
      <c r="B1652" s="9"/>
      <c r="C1652" s="8"/>
      <c r="D1652" s="9"/>
      <c r="E1652" s="8">
        <v>4</v>
      </c>
      <c r="F1652" s="8">
        <v>3</v>
      </c>
      <c r="G1652" s="8">
        <v>13.5</v>
      </c>
      <c r="H1652" s="8">
        <v>5</v>
      </c>
      <c r="I1652" s="8">
        <v>7</v>
      </c>
      <c r="J1652" s="8">
        <v>7</v>
      </c>
      <c r="K1652" s="8">
        <v>6.5</v>
      </c>
      <c r="L1652" s="8">
        <v>0</v>
      </c>
      <c r="M1652" s="8">
        <v>4.5</v>
      </c>
      <c r="N1652" s="8">
        <v>16.5</v>
      </c>
      <c r="O1652" s="8">
        <v>6.5</v>
      </c>
      <c r="P1652" s="8">
        <v>6.5</v>
      </c>
      <c r="Q1652" s="8">
        <v>5</v>
      </c>
      <c r="R1652" s="8">
        <v>6.5</v>
      </c>
      <c r="S1652" s="8">
        <v>6.5</v>
      </c>
      <c r="T1652" s="8">
        <v>3</v>
      </c>
      <c r="U1652" s="8">
        <v>12</v>
      </c>
      <c r="V1652" s="8">
        <v>7</v>
      </c>
      <c r="W1652" s="8">
        <v>6.5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3</v>
      </c>
      <c r="AE1652" s="8">
        <v>0</v>
      </c>
      <c r="AF1652" s="8">
        <v>0</v>
      </c>
      <c r="AG1652" s="8">
        <v>0</v>
      </c>
      <c r="AH1652" s="8">
        <v>0</v>
      </c>
      <c r="AI1652" s="8">
        <v>0</v>
      </c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11" t="s">
        <v>252</v>
      </c>
    </row>
    <row r="1653" spans="1:46" ht="15.1" customHeight="1">
      <c r="A1653" s="8">
        <v>550</v>
      </c>
      <c r="B1653" s="9" t="s">
        <v>1348</v>
      </c>
      <c r="C1653" s="8" t="s">
        <v>1349</v>
      </c>
      <c r="D1653" s="9" t="s">
        <v>451</v>
      </c>
      <c r="E1653" s="8" t="s">
        <v>54</v>
      </c>
      <c r="F1653" s="8" t="s">
        <v>54</v>
      </c>
      <c r="G1653" s="10" t="s">
        <v>67</v>
      </c>
      <c r="H1653" s="8" t="s">
        <v>54</v>
      </c>
      <c r="I1653" s="8" t="s">
        <v>54</v>
      </c>
      <c r="J1653" s="8" t="s">
        <v>54</v>
      </c>
      <c r="K1653" s="8" t="s">
        <v>54</v>
      </c>
      <c r="L1653" s="8" t="s">
        <v>54</v>
      </c>
      <c r="M1653" s="8" t="s">
        <v>54</v>
      </c>
      <c r="N1653" s="10" t="s">
        <v>67</v>
      </c>
      <c r="O1653" s="8" t="s">
        <v>54</v>
      </c>
      <c r="P1653" s="8" t="s">
        <v>54</v>
      </c>
      <c r="Q1653" s="8" t="s">
        <v>54</v>
      </c>
      <c r="R1653" s="8" t="s">
        <v>54</v>
      </c>
      <c r="S1653" s="8" t="s">
        <v>54</v>
      </c>
      <c r="T1653" s="8" t="s">
        <v>54</v>
      </c>
      <c r="U1653" s="10" t="s">
        <v>67</v>
      </c>
      <c r="V1653" s="8" t="s">
        <v>54</v>
      </c>
      <c r="W1653" s="8" t="s">
        <v>54</v>
      </c>
      <c r="X1653" s="8" t="s">
        <v>54</v>
      </c>
      <c r="Y1653" s="8" t="s">
        <v>54</v>
      </c>
      <c r="Z1653" s="8" t="s">
        <v>54</v>
      </c>
      <c r="AA1653" s="8" t="s">
        <v>54</v>
      </c>
      <c r="AB1653" s="10" t="s">
        <v>67</v>
      </c>
      <c r="AC1653" s="8" t="s">
        <v>54</v>
      </c>
      <c r="AD1653" s="8" t="s">
        <v>54</v>
      </c>
      <c r="AE1653" s="8" t="s">
        <v>54</v>
      </c>
      <c r="AF1653" s="8" t="s">
        <v>54</v>
      </c>
      <c r="AG1653" s="8" t="s">
        <v>54</v>
      </c>
      <c r="AH1653" s="8" t="s">
        <v>54</v>
      </c>
      <c r="AI1653" s="10" t="s">
        <v>67</v>
      </c>
      <c r="AJ1653" s="8">
        <f>COUNTIF($E$1653:$AI$1653,"P")</f>
        <v>26</v>
      </c>
      <c r="AK1653" s="8">
        <f>COUNTIF($E$1653:$AI$1653,"A")</f>
        <v>0</v>
      </c>
      <c r="AL1653" s="8">
        <f>SUM($E$1654:$AI$1654)</f>
        <v>39</v>
      </c>
      <c r="AM1653" s="8">
        <f>SUM($E$1655:$AI$1655)</f>
        <v>138</v>
      </c>
      <c r="AN1653" s="8">
        <f>AL1653+AM1653</f>
        <v>177</v>
      </c>
      <c r="AO1653" s="8">
        <f>COUNTIF($E$1653:$AI$1653,"CL")</f>
        <v>0</v>
      </c>
      <c r="AP1653" s="8">
        <f>COUNTIF($E$1653:$AI$1653,"SL")</f>
        <v>0</v>
      </c>
      <c r="AQ1653" s="8">
        <f>COUNTIF($E$1653:$AI$1653,"EL")</f>
        <v>0</v>
      </c>
      <c r="AR1653" s="8">
        <f>COUNTIF($E$1653:$AI$1653,"H")</f>
        <v>0</v>
      </c>
      <c r="AS1653" s="8"/>
      <c r="AT1653" s="11" t="s">
        <v>252</v>
      </c>
    </row>
    <row r="1654" spans="1:46" ht="15.1" customHeight="1">
      <c r="A1654" s="8"/>
      <c r="B1654" s="9"/>
      <c r="C1654" s="8"/>
      <c r="D1654" s="9"/>
      <c r="E1654" s="8">
        <v>2</v>
      </c>
      <c r="F1654" s="8">
        <v>2</v>
      </c>
      <c r="G1654" s="8">
        <v>0</v>
      </c>
      <c r="H1654" s="8">
        <v>2</v>
      </c>
      <c r="I1654" s="8">
        <v>2</v>
      </c>
      <c r="J1654" s="8">
        <v>2</v>
      </c>
      <c r="K1654" s="8">
        <v>2</v>
      </c>
      <c r="L1654" s="8">
        <v>2</v>
      </c>
      <c r="M1654" s="8">
        <v>2</v>
      </c>
      <c r="N1654" s="8">
        <v>0</v>
      </c>
      <c r="O1654" s="8">
        <v>2</v>
      </c>
      <c r="P1654" s="8">
        <v>2</v>
      </c>
      <c r="Q1654" s="8">
        <v>2</v>
      </c>
      <c r="R1654" s="8">
        <v>2</v>
      </c>
      <c r="S1654" s="8">
        <v>2</v>
      </c>
      <c r="T1654" s="8">
        <v>2</v>
      </c>
      <c r="U1654" s="8">
        <v>0</v>
      </c>
      <c r="V1654" s="8">
        <v>2</v>
      </c>
      <c r="W1654" s="8">
        <v>2</v>
      </c>
      <c r="X1654" s="8">
        <v>2</v>
      </c>
      <c r="Y1654" s="8">
        <v>0</v>
      </c>
      <c r="Z1654" s="8">
        <v>0</v>
      </c>
      <c r="AA1654" s="8">
        <v>0</v>
      </c>
      <c r="AB1654" s="8">
        <v>0</v>
      </c>
      <c r="AC1654" s="8">
        <v>2</v>
      </c>
      <c r="AD1654" s="8">
        <v>2</v>
      </c>
      <c r="AE1654" s="8">
        <v>0</v>
      </c>
      <c r="AF1654" s="8">
        <v>1</v>
      </c>
      <c r="AG1654" s="8">
        <v>0</v>
      </c>
      <c r="AH1654" s="8">
        <v>0</v>
      </c>
      <c r="AI1654" s="8">
        <v>0</v>
      </c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11" t="s">
        <v>252</v>
      </c>
    </row>
    <row r="1655" spans="1:46" ht="15.1" customHeight="1">
      <c r="A1655" s="8"/>
      <c r="B1655" s="9"/>
      <c r="C1655" s="8"/>
      <c r="D1655" s="9"/>
      <c r="E1655" s="8">
        <v>4</v>
      </c>
      <c r="F1655" s="8">
        <v>3</v>
      </c>
      <c r="G1655" s="8">
        <v>14</v>
      </c>
      <c r="H1655" s="8">
        <v>5</v>
      </c>
      <c r="I1655" s="8">
        <v>7</v>
      </c>
      <c r="J1655" s="8">
        <v>6</v>
      </c>
      <c r="K1655" s="8">
        <v>7</v>
      </c>
      <c r="L1655" s="8">
        <v>7</v>
      </c>
      <c r="M1655" s="8">
        <v>5</v>
      </c>
      <c r="N1655" s="8">
        <v>16</v>
      </c>
      <c r="O1655" s="8">
        <v>7</v>
      </c>
      <c r="P1655" s="8">
        <v>7</v>
      </c>
      <c r="Q1655" s="8">
        <v>5</v>
      </c>
      <c r="R1655" s="8">
        <v>7</v>
      </c>
      <c r="S1655" s="8">
        <v>5</v>
      </c>
      <c r="T1655" s="8">
        <v>3</v>
      </c>
      <c r="U1655" s="8">
        <v>13</v>
      </c>
      <c r="V1655" s="8">
        <v>7</v>
      </c>
      <c r="W1655" s="8">
        <v>7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3</v>
      </c>
      <c r="AE1655" s="8">
        <v>0</v>
      </c>
      <c r="AF1655" s="8">
        <v>0</v>
      </c>
      <c r="AG1655" s="8">
        <v>0</v>
      </c>
      <c r="AH1655" s="8">
        <v>0</v>
      </c>
      <c r="AI1655" s="8">
        <v>0</v>
      </c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11" t="s">
        <v>252</v>
      </c>
    </row>
    <row r="1656" spans="1:46" ht="15.1" customHeight="1">
      <c r="A1656" s="8">
        <v>551</v>
      </c>
      <c r="B1656" s="9" t="s">
        <v>1350</v>
      </c>
      <c r="C1656" s="8" t="s">
        <v>1351</v>
      </c>
      <c r="D1656" s="9" t="s">
        <v>451</v>
      </c>
      <c r="E1656" s="8" t="s">
        <v>54</v>
      </c>
      <c r="F1656" s="8" t="s">
        <v>54</v>
      </c>
      <c r="G1656" s="10" t="s">
        <v>67</v>
      </c>
      <c r="H1656" s="8" t="s">
        <v>54</v>
      </c>
      <c r="I1656" s="8" t="s">
        <v>54</v>
      </c>
      <c r="J1656" s="8" t="s">
        <v>54</v>
      </c>
      <c r="K1656" s="8" t="s">
        <v>54</v>
      </c>
      <c r="L1656" s="8" t="s">
        <v>54</v>
      </c>
      <c r="M1656" s="8" t="s">
        <v>54</v>
      </c>
      <c r="N1656" s="10" t="s">
        <v>67</v>
      </c>
      <c r="O1656" s="8" t="s">
        <v>54</v>
      </c>
      <c r="P1656" s="8" t="s">
        <v>54</v>
      </c>
      <c r="Q1656" s="8" t="s">
        <v>54</v>
      </c>
      <c r="R1656" s="8" t="s">
        <v>54</v>
      </c>
      <c r="S1656" s="8" t="s">
        <v>54</v>
      </c>
      <c r="T1656" s="8" t="s">
        <v>54</v>
      </c>
      <c r="U1656" s="10" t="s">
        <v>67</v>
      </c>
      <c r="V1656" s="8" t="s">
        <v>54</v>
      </c>
      <c r="W1656" s="12" t="s">
        <v>55</v>
      </c>
      <c r="X1656" s="8" t="s">
        <v>54</v>
      </c>
      <c r="Y1656" s="8" t="s">
        <v>54</v>
      </c>
      <c r="Z1656" s="8" t="s">
        <v>54</v>
      </c>
      <c r="AA1656" s="8" t="s">
        <v>54</v>
      </c>
      <c r="AB1656" s="10" t="s">
        <v>67</v>
      </c>
      <c r="AC1656" s="8" t="s">
        <v>54</v>
      </c>
      <c r="AD1656" s="8" t="s">
        <v>54</v>
      </c>
      <c r="AE1656" s="8" t="s">
        <v>54</v>
      </c>
      <c r="AF1656" s="8" t="s">
        <v>54</v>
      </c>
      <c r="AG1656" s="8" t="s">
        <v>54</v>
      </c>
      <c r="AH1656" s="8" t="s">
        <v>54</v>
      </c>
      <c r="AI1656" s="10" t="s">
        <v>67</v>
      </c>
      <c r="AJ1656" s="8">
        <f>COUNTIF($E$1656:$AI$1656,"P")</f>
        <v>25</v>
      </c>
      <c r="AK1656" s="8">
        <f>COUNTIF($E$1656:$AI$1656,"A")</f>
        <v>1</v>
      </c>
      <c r="AL1656" s="8">
        <f>SUM($E$1657:$AI$1657)</f>
        <v>34</v>
      </c>
      <c r="AM1656" s="8">
        <f>SUM($E$1658:$AI$1658)</f>
        <v>134.5</v>
      </c>
      <c r="AN1656" s="8">
        <f>AL1656+AM1656</f>
        <v>168.5</v>
      </c>
      <c r="AO1656" s="8">
        <f>COUNTIF($E$1656:$AI$1656,"CL")</f>
        <v>0</v>
      </c>
      <c r="AP1656" s="8">
        <f>COUNTIF($E$1656:$AI$1656,"SL")</f>
        <v>0</v>
      </c>
      <c r="AQ1656" s="8">
        <f>COUNTIF($E$1656:$AI$1656,"EL")</f>
        <v>0</v>
      </c>
      <c r="AR1656" s="8">
        <f>COUNTIF($E$1656:$AI$1656,"H")</f>
        <v>0</v>
      </c>
      <c r="AS1656" s="8"/>
      <c r="AT1656" s="11" t="s">
        <v>252</v>
      </c>
    </row>
    <row r="1657" spans="1:46" ht="15.1" customHeight="1">
      <c r="A1657" s="8"/>
      <c r="B1657" s="9"/>
      <c r="C1657" s="8"/>
      <c r="D1657" s="9"/>
      <c r="E1657" s="8">
        <v>2</v>
      </c>
      <c r="F1657" s="8">
        <v>2</v>
      </c>
      <c r="G1657" s="8">
        <v>0</v>
      </c>
      <c r="H1657" s="8">
        <v>2</v>
      </c>
      <c r="I1657" s="8">
        <v>2</v>
      </c>
      <c r="J1657" s="8">
        <v>0</v>
      </c>
      <c r="K1657" s="8">
        <v>2</v>
      </c>
      <c r="L1657" s="8">
        <v>2</v>
      </c>
      <c r="M1657" s="8">
        <v>2</v>
      </c>
      <c r="N1657" s="8">
        <v>0</v>
      </c>
      <c r="O1657" s="8">
        <v>2</v>
      </c>
      <c r="P1657" s="8">
        <v>2</v>
      </c>
      <c r="Q1657" s="8">
        <v>2</v>
      </c>
      <c r="R1657" s="8">
        <v>2</v>
      </c>
      <c r="S1657" s="8">
        <v>2</v>
      </c>
      <c r="T1657" s="8">
        <v>2</v>
      </c>
      <c r="U1657" s="8">
        <v>0</v>
      </c>
      <c r="V1657" s="8">
        <v>2</v>
      </c>
      <c r="W1657" s="8">
        <v>0</v>
      </c>
      <c r="X1657" s="8">
        <v>2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2</v>
      </c>
      <c r="AE1657" s="8">
        <v>0</v>
      </c>
      <c r="AF1657" s="8">
        <v>0</v>
      </c>
      <c r="AG1657" s="8">
        <v>0</v>
      </c>
      <c r="AH1657" s="8">
        <v>2</v>
      </c>
      <c r="AI1657" s="8">
        <v>0</v>
      </c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11" t="s">
        <v>252</v>
      </c>
    </row>
    <row r="1658" spans="1:46" ht="15.1" customHeight="1">
      <c r="A1658" s="8"/>
      <c r="B1658" s="9"/>
      <c r="C1658" s="8"/>
      <c r="D1658" s="9"/>
      <c r="E1658" s="8">
        <v>3</v>
      </c>
      <c r="F1658" s="8">
        <v>3</v>
      </c>
      <c r="G1658" s="8">
        <v>15</v>
      </c>
      <c r="H1658" s="8">
        <v>6</v>
      </c>
      <c r="I1658" s="8">
        <v>11</v>
      </c>
      <c r="J1658" s="8">
        <v>0</v>
      </c>
      <c r="K1658" s="8">
        <v>6</v>
      </c>
      <c r="L1658" s="8">
        <v>6</v>
      </c>
      <c r="M1658" s="8">
        <v>6.5</v>
      </c>
      <c r="N1658" s="8">
        <v>17</v>
      </c>
      <c r="O1658" s="8">
        <v>7</v>
      </c>
      <c r="P1658" s="8">
        <v>7</v>
      </c>
      <c r="Q1658" s="8">
        <v>5</v>
      </c>
      <c r="R1658" s="8">
        <v>11</v>
      </c>
      <c r="S1658" s="8">
        <v>0</v>
      </c>
      <c r="T1658" s="8">
        <v>3</v>
      </c>
      <c r="U1658" s="8">
        <v>13</v>
      </c>
      <c r="V1658" s="8">
        <v>6</v>
      </c>
      <c r="W1658" s="8">
        <v>0</v>
      </c>
      <c r="X1658" s="8">
        <v>6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8">
        <v>0</v>
      </c>
      <c r="AH1658" s="8">
        <v>3</v>
      </c>
      <c r="AI1658" s="8">
        <v>0</v>
      </c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11" t="s">
        <v>252</v>
      </c>
    </row>
    <row r="1659" spans="1:46" ht="15.1" customHeight="1">
      <c r="A1659" s="8">
        <v>552</v>
      </c>
      <c r="B1659" s="9" t="s">
        <v>1352</v>
      </c>
      <c r="C1659" s="8" t="s">
        <v>1353</v>
      </c>
      <c r="D1659" s="9" t="s">
        <v>451</v>
      </c>
      <c r="E1659" s="8" t="s">
        <v>54</v>
      </c>
      <c r="F1659" s="8" t="s">
        <v>54</v>
      </c>
      <c r="G1659" s="10" t="s">
        <v>67</v>
      </c>
      <c r="H1659" s="8" t="s">
        <v>54</v>
      </c>
      <c r="I1659" s="8" t="s">
        <v>54</v>
      </c>
      <c r="J1659" s="8" t="s">
        <v>54</v>
      </c>
      <c r="K1659" s="8" t="s">
        <v>54</v>
      </c>
      <c r="L1659" s="8" t="s">
        <v>54</v>
      </c>
      <c r="M1659" s="8" t="s">
        <v>54</v>
      </c>
      <c r="N1659" s="10" t="s">
        <v>67</v>
      </c>
      <c r="O1659" s="8" t="s">
        <v>54</v>
      </c>
      <c r="P1659" s="8" t="s">
        <v>54</v>
      </c>
      <c r="Q1659" s="8" t="s">
        <v>54</v>
      </c>
      <c r="R1659" s="8" t="s">
        <v>54</v>
      </c>
      <c r="S1659" s="8" t="s">
        <v>54</v>
      </c>
      <c r="T1659" s="8" t="s">
        <v>54</v>
      </c>
      <c r="U1659" s="10" t="s">
        <v>67</v>
      </c>
      <c r="V1659" s="8" t="s">
        <v>54</v>
      </c>
      <c r="W1659" s="8" t="s">
        <v>54</v>
      </c>
      <c r="X1659" s="8" t="s">
        <v>54</v>
      </c>
      <c r="Y1659" s="8" t="s">
        <v>54</v>
      </c>
      <c r="Z1659" s="8" t="s">
        <v>54</v>
      </c>
      <c r="AA1659" s="8" t="s">
        <v>54</v>
      </c>
      <c r="AB1659" s="10" t="s">
        <v>67</v>
      </c>
      <c r="AC1659" s="8" t="s">
        <v>54</v>
      </c>
      <c r="AD1659" s="8" t="s">
        <v>54</v>
      </c>
      <c r="AE1659" s="8" t="s">
        <v>54</v>
      </c>
      <c r="AF1659" s="8" t="s">
        <v>54</v>
      </c>
      <c r="AG1659" s="8" t="s">
        <v>54</v>
      </c>
      <c r="AH1659" s="8" t="s">
        <v>54</v>
      </c>
      <c r="AI1659" s="10" t="s">
        <v>67</v>
      </c>
      <c r="AJ1659" s="8">
        <f>COUNTIF($E$1659:$AI$1659,"P")</f>
        <v>26</v>
      </c>
      <c r="AK1659" s="8">
        <f>COUNTIF($E$1659:$AI$1659,"A")</f>
        <v>0</v>
      </c>
      <c r="AL1659" s="8">
        <f>SUM($E$1660:$AI$1660)</f>
        <v>39</v>
      </c>
      <c r="AM1659" s="8">
        <f>SUM($E$1661:$AI$1661)</f>
        <v>143</v>
      </c>
      <c r="AN1659" s="8">
        <f>AL1659+AM1659</f>
        <v>182</v>
      </c>
      <c r="AO1659" s="8">
        <f>COUNTIF($E$1659:$AI$1659,"CL")</f>
        <v>0</v>
      </c>
      <c r="AP1659" s="8">
        <f>COUNTIF($E$1659:$AI$1659,"SL")</f>
        <v>0</v>
      </c>
      <c r="AQ1659" s="8">
        <f>COUNTIF($E$1659:$AI$1659,"EL")</f>
        <v>0</v>
      </c>
      <c r="AR1659" s="8">
        <f>COUNTIF($E$1659:$AI$1659,"H")</f>
        <v>0</v>
      </c>
      <c r="AS1659" s="8"/>
      <c r="AT1659" s="11" t="s">
        <v>252</v>
      </c>
    </row>
    <row r="1660" spans="1:46" ht="15.1" customHeight="1">
      <c r="A1660" s="8"/>
      <c r="B1660" s="9"/>
      <c r="C1660" s="8"/>
      <c r="D1660" s="9"/>
      <c r="E1660" s="8">
        <v>2</v>
      </c>
      <c r="F1660" s="8">
        <v>2</v>
      </c>
      <c r="G1660" s="8">
        <v>0</v>
      </c>
      <c r="H1660" s="8">
        <v>2</v>
      </c>
      <c r="I1660" s="8">
        <v>2</v>
      </c>
      <c r="J1660" s="8">
        <v>2</v>
      </c>
      <c r="K1660" s="8">
        <v>2</v>
      </c>
      <c r="L1660" s="8">
        <v>2</v>
      </c>
      <c r="M1660" s="8">
        <v>2</v>
      </c>
      <c r="N1660" s="8">
        <v>0</v>
      </c>
      <c r="O1660" s="8">
        <v>2</v>
      </c>
      <c r="P1660" s="8">
        <v>2</v>
      </c>
      <c r="Q1660" s="8">
        <v>2</v>
      </c>
      <c r="R1660" s="8">
        <v>2</v>
      </c>
      <c r="S1660" s="8">
        <v>2</v>
      </c>
      <c r="T1660" s="8">
        <v>2</v>
      </c>
      <c r="U1660" s="8">
        <v>0</v>
      </c>
      <c r="V1660" s="8">
        <v>2</v>
      </c>
      <c r="W1660" s="8">
        <v>2</v>
      </c>
      <c r="X1660" s="8">
        <v>2</v>
      </c>
      <c r="Y1660" s="8">
        <v>0</v>
      </c>
      <c r="Z1660" s="8">
        <v>0</v>
      </c>
      <c r="AA1660" s="8">
        <v>0</v>
      </c>
      <c r="AB1660" s="8">
        <v>0</v>
      </c>
      <c r="AC1660" s="8">
        <v>2</v>
      </c>
      <c r="AD1660" s="8">
        <v>2</v>
      </c>
      <c r="AE1660" s="8">
        <v>0</v>
      </c>
      <c r="AF1660" s="8">
        <v>0</v>
      </c>
      <c r="AG1660" s="8">
        <v>1</v>
      </c>
      <c r="AH1660" s="8">
        <v>0</v>
      </c>
      <c r="AI1660" s="8">
        <v>0</v>
      </c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11" t="s">
        <v>252</v>
      </c>
    </row>
    <row r="1661" spans="1:46" ht="15.1" customHeight="1">
      <c r="A1661" s="8"/>
      <c r="B1661" s="9"/>
      <c r="C1661" s="8"/>
      <c r="D1661" s="9"/>
      <c r="E1661" s="8">
        <v>5</v>
      </c>
      <c r="F1661" s="8">
        <v>3</v>
      </c>
      <c r="G1661" s="8">
        <v>14</v>
      </c>
      <c r="H1661" s="8">
        <v>5</v>
      </c>
      <c r="I1661" s="8">
        <v>7</v>
      </c>
      <c r="J1661" s="8">
        <v>7</v>
      </c>
      <c r="K1661" s="8">
        <v>7</v>
      </c>
      <c r="L1661" s="8">
        <v>7</v>
      </c>
      <c r="M1661" s="8">
        <v>5</v>
      </c>
      <c r="N1661" s="8">
        <v>17</v>
      </c>
      <c r="O1661" s="8">
        <v>7</v>
      </c>
      <c r="P1661" s="8">
        <v>7</v>
      </c>
      <c r="Q1661" s="8">
        <v>5</v>
      </c>
      <c r="R1661" s="8">
        <v>7</v>
      </c>
      <c r="S1661" s="8">
        <v>7</v>
      </c>
      <c r="T1661" s="8">
        <v>3</v>
      </c>
      <c r="U1661" s="8">
        <v>13</v>
      </c>
      <c r="V1661" s="8">
        <v>7</v>
      </c>
      <c r="W1661" s="8">
        <v>7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3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11" t="s">
        <v>252</v>
      </c>
    </row>
    <row r="1662" spans="1:46" ht="15.1" customHeight="1">
      <c r="A1662" s="8">
        <v>553</v>
      </c>
      <c r="B1662" s="9" t="s">
        <v>1354</v>
      </c>
      <c r="C1662" s="8" t="s">
        <v>1355</v>
      </c>
      <c r="D1662" s="9" t="s">
        <v>451</v>
      </c>
      <c r="E1662" s="8" t="s">
        <v>54</v>
      </c>
      <c r="F1662" s="8" t="s">
        <v>54</v>
      </c>
      <c r="G1662" s="10" t="s">
        <v>67</v>
      </c>
      <c r="H1662" s="8" t="s">
        <v>54</v>
      </c>
      <c r="I1662" s="8" t="s">
        <v>54</v>
      </c>
      <c r="J1662" s="8" t="s">
        <v>54</v>
      </c>
      <c r="K1662" s="8" t="s">
        <v>54</v>
      </c>
      <c r="L1662" s="8" t="s">
        <v>54</v>
      </c>
      <c r="M1662" s="8" t="s">
        <v>54</v>
      </c>
      <c r="N1662" s="10" t="s">
        <v>67</v>
      </c>
      <c r="O1662" s="8" t="s">
        <v>54</v>
      </c>
      <c r="P1662" s="8" t="s">
        <v>54</v>
      </c>
      <c r="Q1662" s="8" t="s">
        <v>54</v>
      </c>
      <c r="R1662" s="8" t="s">
        <v>54</v>
      </c>
      <c r="S1662" s="8" t="s">
        <v>54</v>
      </c>
      <c r="T1662" s="8" t="s">
        <v>54</v>
      </c>
      <c r="U1662" s="10" t="s">
        <v>67</v>
      </c>
      <c r="V1662" s="8" t="s">
        <v>54</v>
      </c>
      <c r="W1662" s="8" t="s">
        <v>54</v>
      </c>
      <c r="X1662" s="8" t="s">
        <v>54</v>
      </c>
      <c r="Y1662" s="8" t="s">
        <v>54</v>
      </c>
      <c r="Z1662" s="8" t="s">
        <v>54</v>
      </c>
      <c r="AA1662" s="8" t="s">
        <v>54</v>
      </c>
      <c r="AB1662" s="10" t="s">
        <v>67</v>
      </c>
      <c r="AC1662" s="8" t="s">
        <v>54</v>
      </c>
      <c r="AD1662" s="8" t="s">
        <v>54</v>
      </c>
      <c r="AE1662" s="8" t="s">
        <v>54</v>
      </c>
      <c r="AF1662" s="8" t="s">
        <v>54</v>
      </c>
      <c r="AG1662" s="8" t="s">
        <v>54</v>
      </c>
      <c r="AH1662" s="8" t="s">
        <v>54</v>
      </c>
      <c r="AI1662" s="10" t="s">
        <v>67</v>
      </c>
      <c r="AJ1662" s="8">
        <f>COUNTIF($E$1662:$AI$1662,"P")</f>
        <v>26</v>
      </c>
      <c r="AK1662" s="8">
        <f>COUNTIF($E$1662:$AI$1662,"A")</f>
        <v>0</v>
      </c>
      <c r="AL1662" s="8">
        <f>SUM($E$1663:$AI$1663)</f>
        <v>38</v>
      </c>
      <c r="AM1662" s="8">
        <f>SUM($E$1664:$AI$1664)</f>
        <v>127</v>
      </c>
      <c r="AN1662" s="8">
        <f>AL1662+AM1662</f>
        <v>165</v>
      </c>
      <c r="AO1662" s="8">
        <f>COUNTIF($E$1662:$AI$1662,"CL")</f>
        <v>0</v>
      </c>
      <c r="AP1662" s="8">
        <f>COUNTIF($E$1662:$AI$1662,"SL")</f>
        <v>0</v>
      </c>
      <c r="AQ1662" s="8">
        <f>COUNTIF($E$1662:$AI$1662,"EL")</f>
        <v>0</v>
      </c>
      <c r="AR1662" s="8">
        <f>COUNTIF($E$1662:$AI$1662,"H")</f>
        <v>0</v>
      </c>
      <c r="AS1662" s="8"/>
      <c r="AT1662" s="11" t="s">
        <v>252</v>
      </c>
    </row>
    <row r="1663" spans="1:46" ht="15.1" customHeight="1">
      <c r="A1663" s="8"/>
      <c r="B1663" s="9"/>
      <c r="C1663" s="8"/>
      <c r="D1663" s="9"/>
      <c r="E1663" s="8">
        <v>2</v>
      </c>
      <c r="F1663" s="8">
        <v>2</v>
      </c>
      <c r="G1663" s="8">
        <v>0</v>
      </c>
      <c r="H1663" s="8">
        <v>2</v>
      </c>
      <c r="I1663" s="8">
        <v>2</v>
      </c>
      <c r="J1663" s="8">
        <v>2</v>
      </c>
      <c r="K1663" s="8">
        <v>2</v>
      </c>
      <c r="L1663" s="8">
        <v>2</v>
      </c>
      <c r="M1663" s="8">
        <v>2</v>
      </c>
      <c r="N1663" s="8">
        <v>0</v>
      </c>
      <c r="O1663" s="8">
        <v>2</v>
      </c>
      <c r="P1663" s="8">
        <v>2</v>
      </c>
      <c r="Q1663" s="8">
        <v>2</v>
      </c>
      <c r="R1663" s="8">
        <v>2</v>
      </c>
      <c r="S1663" s="8">
        <v>2</v>
      </c>
      <c r="T1663" s="8">
        <v>2</v>
      </c>
      <c r="U1663" s="8">
        <v>0</v>
      </c>
      <c r="V1663" s="8">
        <v>2</v>
      </c>
      <c r="W1663" s="8">
        <v>2</v>
      </c>
      <c r="X1663" s="8">
        <v>2</v>
      </c>
      <c r="Y1663" s="8">
        <v>0</v>
      </c>
      <c r="Z1663" s="8">
        <v>0</v>
      </c>
      <c r="AA1663" s="8">
        <v>0</v>
      </c>
      <c r="AB1663" s="8">
        <v>0</v>
      </c>
      <c r="AC1663" s="8">
        <v>2</v>
      </c>
      <c r="AD1663" s="8">
        <v>2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11" t="s">
        <v>252</v>
      </c>
    </row>
    <row r="1664" spans="1:46" ht="15.1" customHeight="1">
      <c r="A1664" s="8"/>
      <c r="B1664" s="9"/>
      <c r="C1664" s="8"/>
      <c r="D1664" s="9"/>
      <c r="E1664" s="8">
        <v>4</v>
      </c>
      <c r="F1664" s="8">
        <v>3</v>
      </c>
      <c r="G1664" s="8">
        <v>14</v>
      </c>
      <c r="H1664" s="8">
        <v>4</v>
      </c>
      <c r="I1664" s="8">
        <v>6</v>
      </c>
      <c r="J1664" s="8">
        <v>5</v>
      </c>
      <c r="K1664" s="8">
        <v>5</v>
      </c>
      <c r="L1664" s="8">
        <v>5</v>
      </c>
      <c r="M1664" s="8">
        <v>5</v>
      </c>
      <c r="N1664" s="8">
        <v>17</v>
      </c>
      <c r="O1664" s="8">
        <v>7</v>
      </c>
      <c r="P1664" s="8">
        <v>7</v>
      </c>
      <c r="Q1664" s="8">
        <v>5</v>
      </c>
      <c r="R1664" s="8">
        <v>5</v>
      </c>
      <c r="S1664" s="8">
        <v>3</v>
      </c>
      <c r="T1664" s="8">
        <v>3</v>
      </c>
      <c r="U1664" s="8">
        <v>13</v>
      </c>
      <c r="V1664" s="8">
        <v>7</v>
      </c>
      <c r="W1664" s="8">
        <v>6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3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11" t="s">
        <v>252</v>
      </c>
    </row>
    <row r="1665" spans="1:46" ht="15.1" customHeight="1">
      <c r="A1665" s="8">
        <v>554</v>
      </c>
      <c r="B1665" s="9" t="s">
        <v>1356</v>
      </c>
      <c r="C1665" s="8" t="s">
        <v>1357</v>
      </c>
      <c r="D1665" s="9" t="s">
        <v>451</v>
      </c>
      <c r="E1665" s="8" t="s">
        <v>54</v>
      </c>
      <c r="F1665" s="8" t="s">
        <v>54</v>
      </c>
      <c r="G1665" s="10" t="s">
        <v>67</v>
      </c>
      <c r="H1665" s="8" t="s">
        <v>54</v>
      </c>
      <c r="I1665" s="8" t="s">
        <v>54</v>
      </c>
      <c r="J1665" s="8" t="s">
        <v>54</v>
      </c>
      <c r="K1665" s="8" t="s">
        <v>54</v>
      </c>
      <c r="L1665" s="8" t="s">
        <v>54</v>
      </c>
      <c r="M1665" s="8" t="s">
        <v>54</v>
      </c>
      <c r="N1665" s="10" t="s">
        <v>67</v>
      </c>
      <c r="O1665" s="8" t="s">
        <v>54</v>
      </c>
      <c r="P1665" s="8" t="s">
        <v>54</v>
      </c>
      <c r="Q1665" s="8" t="s">
        <v>54</v>
      </c>
      <c r="R1665" s="8" t="s">
        <v>54</v>
      </c>
      <c r="S1665" s="8" t="s">
        <v>54</v>
      </c>
      <c r="T1665" s="8" t="s">
        <v>54</v>
      </c>
      <c r="U1665" s="10" t="s">
        <v>67</v>
      </c>
      <c r="V1665" s="8" t="s">
        <v>54</v>
      </c>
      <c r="W1665" s="8" t="s">
        <v>54</v>
      </c>
      <c r="X1665" s="8" t="s">
        <v>54</v>
      </c>
      <c r="Y1665" s="8" t="s">
        <v>54</v>
      </c>
      <c r="Z1665" s="8" t="s">
        <v>54</v>
      </c>
      <c r="AA1665" s="8" t="s">
        <v>54</v>
      </c>
      <c r="AB1665" s="10" t="s">
        <v>67</v>
      </c>
      <c r="AC1665" s="8" t="s">
        <v>54</v>
      </c>
      <c r="AD1665" s="8" t="s">
        <v>54</v>
      </c>
      <c r="AE1665" s="8" t="s">
        <v>54</v>
      </c>
      <c r="AF1665" s="8" t="s">
        <v>54</v>
      </c>
      <c r="AG1665" s="8" t="s">
        <v>54</v>
      </c>
      <c r="AH1665" s="8" t="s">
        <v>54</v>
      </c>
      <c r="AI1665" s="10" t="s">
        <v>67</v>
      </c>
      <c r="AJ1665" s="8">
        <f>COUNTIF($E$1665:$AI$1665,"P")</f>
        <v>26</v>
      </c>
      <c r="AK1665" s="8">
        <f>COUNTIF($E$1665:$AI$1665,"A")</f>
        <v>0</v>
      </c>
      <c r="AL1665" s="8">
        <f>SUM($E$1666:$AI$1666)</f>
        <v>37</v>
      </c>
      <c r="AM1665" s="8">
        <f>SUM($E$1667:$AI$1667)</f>
        <v>120.5</v>
      </c>
      <c r="AN1665" s="8">
        <f>AL1665+AM1665</f>
        <v>157.5</v>
      </c>
      <c r="AO1665" s="8">
        <f>COUNTIF($E$1665:$AI$1665,"CL")</f>
        <v>0</v>
      </c>
      <c r="AP1665" s="8">
        <f>COUNTIF($E$1665:$AI$1665,"SL")</f>
        <v>0</v>
      </c>
      <c r="AQ1665" s="8">
        <f>COUNTIF($E$1665:$AI$1665,"EL")</f>
        <v>0</v>
      </c>
      <c r="AR1665" s="8">
        <f>COUNTIF($E$1665:$AI$1665,"H")</f>
        <v>0</v>
      </c>
      <c r="AS1665" s="8"/>
      <c r="AT1665" s="11" t="s">
        <v>252</v>
      </c>
    </row>
    <row r="1666" spans="1:46" ht="15.1" customHeight="1">
      <c r="A1666" s="8"/>
      <c r="B1666" s="9"/>
      <c r="C1666" s="8"/>
      <c r="D1666" s="9"/>
      <c r="E1666" s="8">
        <v>2</v>
      </c>
      <c r="F1666" s="8">
        <v>2</v>
      </c>
      <c r="G1666" s="8">
        <v>0</v>
      </c>
      <c r="H1666" s="8">
        <v>2</v>
      </c>
      <c r="I1666" s="8">
        <v>2</v>
      </c>
      <c r="J1666" s="8">
        <v>2</v>
      </c>
      <c r="K1666" s="8">
        <v>2</v>
      </c>
      <c r="L1666" s="8">
        <v>2</v>
      </c>
      <c r="M1666" s="8">
        <v>2</v>
      </c>
      <c r="N1666" s="8">
        <v>0</v>
      </c>
      <c r="O1666" s="8">
        <v>2</v>
      </c>
      <c r="P1666" s="8">
        <v>2</v>
      </c>
      <c r="Q1666" s="8">
        <v>2</v>
      </c>
      <c r="R1666" s="8">
        <v>2</v>
      </c>
      <c r="S1666" s="8">
        <v>2</v>
      </c>
      <c r="T1666" s="8">
        <v>2</v>
      </c>
      <c r="U1666" s="8">
        <v>0</v>
      </c>
      <c r="V1666" s="8">
        <v>2</v>
      </c>
      <c r="W1666" s="8">
        <v>2</v>
      </c>
      <c r="X1666" s="8">
        <v>2</v>
      </c>
      <c r="Y1666" s="8">
        <v>0</v>
      </c>
      <c r="Z1666" s="8">
        <v>0</v>
      </c>
      <c r="AA1666" s="8">
        <v>0</v>
      </c>
      <c r="AB1666" s="8">
        <v>0</v>
      </c>
      <c r="AC1666" s="8">
        <v>2</v>
      </c>
      <c r="AD1666" s="8">
        <v>0</v>
      </c>
      <c r="AE1666" s="8">
        <v>0</v>
      </c>
      <c r="AF1666" s="8">
        <v>1</v>
      </c>
      <c r="AG1666" s="8">
        <v>0</v>
      </c>
      <c r="AH1666" s="8">
        <v>0</v>
      </c>
      <c r="AI1666" s="8">
        <v>0</v>
      </c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11" t="s">
        <v>252</v>
      </c>
    </row>
    <row r="1667" spans="1:46" ht="15.1" customHeight="1">
      <c r="A1667" s="8"/>
      <c r="B1667" s="9"/>
      <c r="C1667" s="8"/>
      <c r="D1667" s="9"/>
      <c r="E1667" s="8">
        <v>3.5</v>
      </c>
      <c r="F1667" s="8">
        <v>2.5</v>
      </c>
      <c r="G1667" s="8">
        <v>14</v>
      </c>
      <c r="H1667" s="8">
        <v>5</v>
      </c>
      <c r="I1667" s="8">
        <v>7</v>
      </c>
      <c r="J1667" s="8">
        <v>6</v>
      </c>
      <c r="K1667" s="8">
        <v>7</v>
      </c>
      <c r="L1667" s="8">
        <v>7</v>
      </c>
      <c r="M1667" s="8">
        <v>5</v>
      </c>
      <c r="N1667" s="8">
        <v>16.5</v>
      </c>
      <c r="O1667" s="8">
        <v>7</v>
      </c>
      <c r="P1667" s="8">
        <v>7</v>
      </c>
      <c r="Q1667" s="8">
        <v>5</v>
      </c>
      <c r="R1667" s="8">
        <v>5</v>
      </c>
      <c r="S1667" s="8">
        <v>7</v>
      </c>
      <c r="T1667" s="8">
        <v>2.5</v>
      </c>
      <c r="U1667" s="8">
        <v>0</v>
      </c>
      <c r="V1667" s="8">
        <v>7</v>
      </c>
      <c r="W1667" s="8">
        <v>6.5</v>
      </c>
      <c r="X1667" s="8">
        <v>0</v>
      </c>
      <c r="Y1667" s="8">
        <v>0</v>
      </c>
      <c r="Z1667" s="8">
        <v>0</v>
      </c>
      <c r="AA1667" s="8">
        <v>0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8">
        <v>0</v>
      </c>
      <c r="AH1667" s="8">
        <v>0</v>
      </c>
      <c r="AI1667" s="8">
        <v>0</v>
      </c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11" t="s">
        <v>252</v>
      </c>
    </row>
    <row r="1668" spans="1:46" ht="15.1" customHeight="1">
      <c r="A1668" s="8">
        <v>555</v>
      </c>
      <c r="B1668" s="9" t="s">
        <v>1358</v>
      </c>
      <c r="C1668" s="8" t="s">
        <v>1359</v>
      </c>
      <c r="D1668" s="9" t="s">
        <v>451</v>
      </c>
      <c r="E1668" s="8" t="s">
        <v>54</v>
      </c>
      <c r="F1668" s="8" t="s">
        <v>54</v>
      </c>
      <c r="G1668" s="10" t="s">
        <v>67</v>
      </c>
      <c r="H1668" s="8" t="s">
        <v>54</v>
      </c>
      <c r="I1668" s="8" t="s">
        <v>54</v>
      </c>
      <c r="J1668" s="8" t="s">
        <v>54</v>
      </c>
      <c r="K1668" s="8" t="s">
        <v>54</v>
      </c>
      <c r="L1668" s="8" t="s">
        <v>54</v>
      </c>
      <c r="M1668" s="8" t="s">
        <v>54</v>
      </c>
      <c r="N1668" s="10" t="s">
        <v>67</v>
      </c>
      <c r="O1668" s="8" t="s">
        <v>54</v>
      </c>
      <c r="P1668" s="8" t="s">
        <v>54</v>
      </c>
      <c r="Q1668" s="8" t="s">
        <v>54</v>
      </c>
      <c r="R1668" s="8" t="s">
        <v>54</v>
      </c>
      <c r="S1668" s="8" t="s">
        <v>54</v>
      </c>
      <c r="T1668" s="8" t="s">
        <v>54</v>
      </c>
      <c r="U1668" s="10" t="s">
        <v>67</v>
      </c>
      <c r="V1668" s="8" t="s">
        <v>54</v>
      </c>
      <c r="W1668" s="12" t="s">
        <v>55</v>
      </c>
      <c r="X1668" s="12" t="s">
        <v>55</v>
      </c>
      <c r="Y1668" s="8" t="s">
        <v>54</v>
      </c>
      <c r="Z1668" s="8" t="s">
        <v>54</v>
      </c>
      <c r="AA1668" s="8" t="s">
        <v>54</v>
      </c>
      <c r="AB1668" s="10" t="s">
        <v>67</v>
      </c>
      <c r="AC1668" s="8" t="s">
        <v>54</v>
      </c>
      <c r="AD1668" s="8" t="s">
        <v>54</v>
      </c>
      <c r="AE1668" s="8" t="s">
        <v>54</v>
      </c>
      <c r="AF1668" s="8" t="s">
        <v>54</v>
      </c>
      <c r="AG1668" s="8" t="s">
        <v>54</v>
      </c>
      <c r="AH1668" s="8" t="s">
        <v>54</v>
      </c>
      <c r="AI1668" s="10" t="s">
        <v>67</v>
      </c>
      <c r="AJ1668" s="8">
        <f>COUNTIF($E$1668:$AI$1668,"P")</f>
        <v>24</v>
      </c>
      <c r="AK1668" s="8">
        <f>COUNTIF($E$1668:$AI$1668,"A")</f>
        <v>2</v>
      </c>
      <c r="AL1668" s="8">
        <f>SUM($E$1669:$AI$1669)</f>
        <v>33</v>
      </c>
      <c r="AM1668" s="8">
        <f>SUM($E$1670:$AI$1670)</f>
        <v>109</v>
      </c>
      <c r="AN1668" s="8">
        <f>AL1668+AM1668</f>
        <v>142</v>
      </c>
      <c r="AO1668" s="8">
        <f>COUNTIF($E$1668:$AI$1668,"CL")</f>
        <v>0</v>
      </c>
      <c r="AP1668" s="8">
        <f>COUNTIF($E$1668:$AI$1668,"SL")</f>
        <v>0</v>
      </c>
      <c r="AQ1668" s="8">
        <f>COUNTIF($E$1668:$AI$1668,"EL")</f>
        <v>0</v>
      </c>
      <c r="AR1668" s="8">
        <f>COUNTIF($E$1668:$AI$1668,"H")</f>
        <v>0</v>
      </c>
      <c r="AS1668" s="8"/>
      <c r="AT1668" s="11" t="s">
        <v>252</v>
      </c>
    </row>
    <row r="1669" spans="1:46" ht="15.1" customHeight="1">
      <c r="A1669" s="8"/>
      <c r="B1669" s="9"/>
      <c r="C1669" s="8"/>
      <c r="D1669" s="9"/>
      <c r="E1669" s="8">
        <v>2</v>
      </c>
      <c r="F1669" s="8">
        <v>2</v>
      </c>
      <c r="G1669" s="8">
        <v>0</v>
      </c>
      <c r="H1669" s="8">
        <v>2</v>
      </c>
      <c r="I1669" s="8">
        <v>2</v>
      </c>
      <c r="J1669" s="8">
        <v>2</v>
      </c>
      <c r="K1669" s="8">
        <v>2</v>
      </c>
      <c r="L1669" s="8">
        <v>2</v>
      </c>
      <c r="M1669" s="8">
        <v>2</v>
      </c>
      <c r="N1669" s="8">
        <v>0</v>
      </c>
      <c r="O1669" s="8">
        <v>2</v>
      </c>
      <c r="P1669" s="8">
        <v>2</v>
      </c>
      <c r="Q1669" s="8">
        <v>2</v>
      </c>
      <c r="R1669" s="8">
        <v>2</v>
      </c>
      <c r="S1669" s="8">
        <v>2</v>
      </c>
      <c r="T1669" s="8">
        <v>2</v>
      </c>
      <c r="U1669" s="8">
        <v>0</v>
      </c>
      <c r="V1669" s="8">
        <v>2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2</v>
      </c>
      <c r="AD1669" s="8">
        <v>0</v>
      </c>
      <c r="AE1669" s="8">
        <v>0</v>
      </c>
      <c r="AF1669" s="8">
        <v>0</v>
      </c>
      <c r="AG1669" s="8">
        <v>1</v>
      </c>
      <c r="AH1669" s="8">
        <v>0</v>
      </c>
      <c r="AI1669" s="8">
        <v>0</v>
      </c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11" t="s">
        <v>252</v>
      </c>
    </row>
    <row r="1670" spans="1:46" ht="15.1" customHeight="1">
      <c r="A1670" s="8"/>
      <c r="B1670" s="9"/>
      <c r="C1670" s="8"/>
      <c r="D1670" s="9"/>
      <c r="E1670" s="8">
        <v>4.5</v>
      </c>
      <c r="F1670" s="8">
        <v>2.5</v>
      </c>
      <c r="G1670" s="8">
        <v>13.5</v>
      </c>
      <c r="H1670" s="8">
        <v>5</v>
      </c>
      <c r="I1670" s="8">
        <v>6.5</v>
      </c>
      <c r="J1670" s="8">
        <v>6.5</v>
      </c>
      <c r="K1670" s="8">
        <v>6.5</v>
      </c>
      <c r="L1670" s="8">
        <v>6</v>
      </c>
      <c r="M1670" s="8">
        <v>4.5</v>
      </c>
      <c r="N1670" s="8">
        <v>0</v>
      </c>
      <c r="O1670" s="8">
        <v>7</v>
      </c>
      <c r="P1670" s="8">
        <v>6.5</v>
      </c>
      <c r="Q1670" s="8">
        <v>4.5</v>
      </c>
      <c r="R1670" s="8">
        <v>7</v>
      </c>
      <c r="S1670" s="8">
        <v>6.5</v>
      </c>
      <c r="T1670" s="8">
        <v>3</v>
      </c>
      <c r="U1670" s="8">
        <v>12</v>
      </c>
      <c r="V1670" s="8">
        <v>7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11" t="s">
        <v>252</v>
      </c>
    </row>
    <row r="1671" spans="1:46" ht="15.1" customHeight="1">
      <c r="A1671" s="8">
        <v>556</v>
      </c>
      <c r="B1671" s="9" t="s">
        <v>1360</v>
      </c>
      <c r="C1671" s="8" t="s">
        <v>1361</v>
      </c>
      <c r="D1671" s="9" t="s">
        <v>451</v>
      </c>
      <c r="E1671" s="8" t="s">
        <v>54</v>
      </c>
      <c r="F1671" s="8" t="s">
        <v>54</v>
      </c>
      <c r="G1671" s="10" t="s">
        <v>67</v>
      </c>
      <c r="H1671" s="8" t="s">
        <v>54</v>
      </c>
      <c r="I1671" s="8" t="s">
        <v>54</v>
      </c>
      <c r="J1671" s="8" t="s">
        <v>54</v>
      </c>
      <c r="K1671" s="8" t="s">
        <v>54</v>
      </c>
      <c r="L1671" s="8" t="s">
        <v>54</v>
      </c>
      <c r="M1671" s="8" t="s">
        <v>54</v>
      </c>
      <c r="N1671" s="10" t="s">
        <v>67</v>
      </c>
      <c r="O1671" s="8" t="s">
        <v>54</v>
      </c>
      <c r="P1671" s="8" t="s">
        <v>54</v>
      </c>
      <c r="Q1671" s="8" t="s">
        <v>54</v>
      </c>
      <c r="R1671" s="8" t="s">
        <v>54</v>
      </c>
      <c r="S1671" s="8" t="s">
        <v>54</v>
      </c>
      <c r="T1671" s="8" t="s">
        <v>54</v>
      </c>
      <c r="U1671" s="10" t="s">
        <v>67</v>
      </c>
      <c r="V1671" s="8" t="s">
        <v>54</v>
      </c>
      <c r="W1671" s="8" t="s">
        <v>54</v>
      </c>
      <c r="X1671" s="8" t="s">
        <v>54</v>
      </c>
      <c r="Y1671" s="8" t="s">
        <v>54</v>
      </c>
      <c r="Z1671" s="8" t="s">
        <v>54</v>
      </c>
      <c r="AA1671" s="8" t="s">
        <v>54</v>
      </c>
      <c r="AB1671" s="10" t="s">
        <v>67</v>
      </c>
      <c r="AC1671" s="8" t="s">
        <v>54</v>
      </c>
      <c r="AD1671" s="8" t="s">
        <v>54</v>
      </c>
      <c r="AE1671" s="8" t="s">
        <v>54</v>
      </c>
      <c r="AF1671" s="8" t="s">
        <v>54</v>
      </c>
      <c r="AG1671" s="8" t="s">
        <v>54</v>
      </c>
      <c r="AH1671" s="8" t="s">
        <v>54</v>
      </c>
      <c r="AI1671" s="10" t="s">
        <v>67</v>
      </c>
      <c r="AJ1671" s="8">
        <f>COUNTIF($E$1671:$AI$1671,"P")</f>
        <v>26</v>
      </c>
      <c r="AK1671" s="8">
        <f>COUNTIF($E$1671:$AI$1671,"A")</f>
        <v>0</v>
      </c>
      <c r="AL1671" s="8">
        <f>SUM($E$1672:$AI$1672)</f>
        <v>38</v>
      </c>
      <c r="AM1671" s="8">
        <f>SUM($E$1673:$AI$1673)</f>
        <v>104.5</v>
      </c>
      <c r="AN1671" s="8">
        <f>AL1671+AM1671</f>
        <v>142.5</v>
      </c>
      <c r="AO1671" s="8">
        <f>COUNTIF($E$1671:$AI$1671,"CL")</f>
        <v>0</v>
      </c>
      <c r="AP1671" s="8">
        <f>COUNTIF($E$1671:$AI$1671,"SL")</f>
        <v>0</v>
      </c>
      <c r="AQ1671" s="8">
        <f>COUNTIF($E$1671:$AI$1671,"EL")</f>
        <v>0</v>
      </c>
      <c r="AR1671" s="8">
        <f>COUNTIF($E$1671:$AI$1671,"H")</f>
        <v>0</v>
      </c>
      <c r="AS1671" s="8"/>
      <c r="AT1671" s="11" t="s">
        <v>252</v>
      </c>
    </row>
    <row r="1672" spans="1:46" ht="15.1" customHeight="1">
      <c r="A1672" s="8"/>
      <c r="B1672" s="9"/>
      <c r="C1672" s="8"/>
      <c r="D1672" s="9"/>
      <c r="E1672" s="8">
        <v>2</v>
      </c>
      <c r="F1672" s="8">
        <v>2</v>
      </c>
      <c r="G1672" s="8">
        <v>0</v>
      </c>
      <c r="H1672" s="8">
        <v>2</v>
      </c>
      <c r="I1672" s="8">
        <v>2</v>
      </c>
      <c r="J1672" s="8">
        <v>2</v>
      </c>
      <c r="K1672" s="8">
        <v>2</v>
      </c>
      <c r="L1672" s="8">
        <v>2</v>
      </c>
      <c r="M1672" s="8">
        <v>2</v>
      </c>
      <c r="N1672" s="8">
        <v>0</v>
      </c>
      <c r="O1672" s="8">
        <v>2</v>
      </c>
      <c r="P1672" s="8">
        <v>2</v>
      </c>
      <c r="Q1672" s="8">
        <v>2</v>
      </c>
      <c r="R1672" s="8">
        <v>2</v>
      </c>
      <c r="S1672" s="8">
        <v>2</v>
      </c>
      <c r="T1672" s="8">
        <v>2</v>
      </c>
      <c r="U1672" s="8">
        <v>0</v>
      </c>
      <c r="V1672" s="8">
        <v>2</v>
      </c>
      <c r="W1672" s="8">
        <v>2</v>
      </c>
      <c r="X1672" s="8">
        <v>2</v>
      </c>
      <c r="Y1672" s="8">
        <v>0</v>
      </c>
      <c r="Z1672" s="8">
        <v>0</v>
      </c>
      <c r="AA1672" s="8">
        <v>0</v>
      </c>
      <c r="AB1672" s="8">
        <v>0</v>
      </c>
      <c r="AC1672" s="8">
        <v>2</v>
      </c>
      <c r="AD1672" s="8">
        <v>2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11" t="s">
        <v>252</v>
      </c>
    </row>
    <row r="1673" spans="1:46" ht="15.1" customHeight="1">
      <c r="A1673" s="8"/>
      <c r="B1673" s="9"/>
      <c r="C1673" s="8"/>
      <c r="D1673" s="9"/>
      <c r="E1673" s="8">
        <v>3.5</v>
      </c>
      <c r="F1673" s="8">
        <v>3</v>
      </c>
      <c r="G1673" s="8">
        <v>0</v>
      </c>
      <c r="H1673" s="8">
        <v>4.5</v>
      </c>
      <c r="I1673" s="8">
        <v>7</v>
      </c>
      <c r="J1673" s="8">
        <v>7</v>
      </c>
      <c r="K1673" s="8">
        <v>6.5</v>
      </c>
      <c r="L1673" s="8">
        <v>6.5</v>
      </c>
      <c r="M1673" s="8">
        <v>4.5</v>
      </c>
      <c r="N1673" s="8">
        <v>0</v>
      </c>
      <c r="O1673" s="8">
        <v>6.5</v>
      </c>
      <c r="P1673" s="8">
        <v>6.5</v>
      </c>
      <c r="Q1673" s="8">
        <v>4.5</v>
      </c>
      <c r="R1673" s="8">
        <v>6.5</v>
      </c>
      <c r="S1673" s="8">
        <v>6.5</v>
      </c>
      <c r="T1673" s="8">
        <v>2.5</v>
      </c>
      <c r="U1673" s="8">
        <v>12.5</v>
      </c>
      <c r="V1673" s="8">
        <v>6.5</v>
      </c>
      <c r="W1673" s="8">
        <v>7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0</v>
      </c>
      <c r="AD1673" s="8">
        <v>3</v>
      </c>
      <c r="AE1673" s="8">
        <v>0</v>
      </c>
      <c r="AF1673" s="8">
        <v>0</v>
      </c>
      <c r="AG1673" s="8">
        <v>0</v>
      </c>
      <c r="AH1673" s="8">
        <v>0</v>
      </c>
      <c r="AI1673" s="8">
        <v>0</v>
      </c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11" t="s">
        <v>252</v>
      </c>
    </row>
    <row r="1674" spans="1:46" ht="15.1" customHeight="1">
      <c r="A1674" s="8">
        <v>557</v>
      </c>
      <c r="B1674" s="9" t="s">
        <v>1362</v>
      </c>
      <c r="C1674" s="8" t="s">
        <v>1363</v>
      </c>
      <c r="D1674" s="9" t="s">
        <v>451</v>
      </c>
      <c r="E1674" s="12" t="s">
        <v>55</v>
      </c>
      <c r="F1674" s="8" t="s">
        <v>54</v>
      </c>
      <c r="G1674" s="10" t="s">
        <v>67</v>
      </c>
      <c r="H1674" s="12" t="s">
        <v>55</v>
      </c>
      <c r="I1674" s="12" t="s">
        <v>55</v>
      </c>
      <c r="J1674" s="8" t="s">
        <v>54</v>
      </c>
      <c r="K1674" s="8" t="s">
        <v>54</v>
      </c>
      <c r="L1674" s="12" t="s">
        <v>55</v>
      </c>
      <c r="M1674" s="12" t="s">
        <v>55</v>
      </c>
      <c r="N1674" s="10" t="s">
        <v>67</v>
      </c>
      <c r="O1674" s="8" t="s">
        <v>54</v>
      </c>
      <c r="P1674" s="8" t="s">
        <v>54</v>
      </c>
      <c r="Q1674" s="8" t="s">
        <v>54</v>
      </c>
      <c r="R1674" s="12" t="s">
        <v>55</v>
      </c>
      <c r="S1674" s="8" t="s">
        <v>54</v>
      </c>
      <c r="T1674" s="8" t="s">
        <v>54</v>
      </c>
      <c r="U1674" s="10" t="s">
        <v>67</v>
      </c>
      <c r="V1674" s="12" t="s">
        <v>55</v>
      </c>
      <c r="W1674" s="12" t="s">
        <v>55</v>
      </c>
      <c r="X1674" s="12" t="s">
        <v>55</v>
      </c>
      <c r="Y1674" s="12" t="s">
        <v>55</v>
      </c>
      <c r="Z1674" s="12" t="s">
        <v>55</v>
      </c>
      <c r="AA1674" s="12" t="s">
        <v>55</v>
      </c>
      <c r="AB1674" s="10" t="s">
        <v>67</v>
      </c>
      <c r="AC1674" s="12" t="s">
        <v>55</v>
      </c>
      <c r="AD1674" s="12" t="s">
        <v>55</v>
      </c>
      <c r="AE1674" s="8"/>
      <c r="AF1674" s="8"/>
      <c r="AG1674" s="8"/>
      <c r="AH1674" s="8"/>
      <c r="AI1674" s="10"/>
      <c r="AJ1674" s="8">
        <f>COUNTIF($E$1674:$AI$1674,"P")</f>
        <v>8</v>
      </c>
      <c r="AK1674" s="8">
        <f>COUNTIF($E$1674:$AI$1674,"A")</f>
        <v>14</v>
      </c>
      <c r="AL1674" s="8">
        <f>SUM($E$1675:$AI$1675)</f>
        <v>16</v>
      </c>
      <c r="AM1674" s="8">
        <f>SUM($E$1676:$AI$1676)</f>
        <v>58.5</v>
      </c>
      <c r="AN1674" s="8">
        <f>AL1674+AM1674</f>
        <v>74.5</v>
      </c>
      <c r="AO1674" s="8">
        <f>COUNTIF($E$1674:$AI$1674,"CL")</f>
        <v>0</v>
      </c>
      <c r="AP1674" s="8">
        <f>COUNTIF($E$1674:$AI$1674,"SL")</f>
        <v>0</v>
      </c>
      <c r="AQ1674" s="8">
        <f>COUNTIF($E$1674:$AI$1674,"EL")</f>
        <v>0</v>
      </c>
      <c r="AR1674" s="8">
        <f>COUNTIF($E$1674:$AI$1674,"H")</f>
        <v>0</v>
      </c>
      <c r="AS1674" s="8"/>
      <c r="AT1674" s="11" t="s">
        <v>252</v>
      </c>
    </row>
    <row r="1675" spans="1:46" ht="15.1" customHeight="1">
      <c r="A1675" s="8"/>
      <c r="B1675" s="9"/>
      <c r="C1675" s="8"/>
      <c r="D1675" s="9"/>
      <c r="E1675" s="8">
        <v>0</v>
      </c>
      <c r="F1675" s="8">
        <v>2</v>
      </c>
      <c r="G1675" s="8">
        <v>0</v>
      </c>
      <c r="H1675" s="8">
        <v>0</v>
      </c>
      <c r="I1675" s="8">
        <v>0</v>
      </c>
      <c r="J1675" s="8">
        <v>2</v>
      </c>
      <c r="K1675" s="8">
        <v>2</v>
      </c>
      <c r="L1675" s="8">
        <v>0</v>
      </c>
      <c r="M1675" s="8">
        <v>0</v>
      </c>
      <c r="N1675" s="8">
        <v>0</v>
      </c>
      <c r="O1675" s="8">
        <v>2</v>
      </c>
      <c r="P1675" s="8">
        <v>2</v>
      </c>
      <c r="Q1675" s="8">
        <v>2</v>
      </c>
      <c r="R1675" s="8">
        <v>0</v>
      </c>
      <c r="S1675" s="8">
        <v>2</v>
      </c>
      <c r="T1675" s="8">
        <v>2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8">
        <v>0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0</v>
      </c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11" t="s">
        <v>252</v>
      </c>
    </row>
    <row r="1676" spans="1:46" ht="15.1" customHeight="1">
      <c r="A1676" s="8"/>
      <c r="B1676" s="9"/>
      <c r="C1676" s="8"/>
      <c r="D1676" s="9"/>
      <c r="E1676" s="8">
        <v>0</v>
      </c>
      <c r="F1676" s="8">
        <v>3</v>
      </c>
      <c r="G1676" s="8">
        <v>13.5</v>
      </c>
      <c r="H1676" s="8">
        <v>0</v>
      </c>
      <c r="I1676" s="8">
        <v>0</v>
      </c>
      <c r="J1676" s="8">
        <v>7</v>
      </c>
      <c r="K1676" s="8">
        <v>7</v>
      </c>
      <c r="L1676" s="8">
        <v>0</v>
      </c>
      <c r="M1676" s="8">
        <v>0</v>
      </c>
      <c r="N1676" s="8">
        <v>0</v>
      </c>
      <c r="O1676" s="8">
        <v>7</v>
      </c>
      <c r="P1676" s="8">
        <v>6.5</v>
      </c>
      <c r="Q1676" s="8">
        <v>4.5</v>
      </c>
      <c r="R1676" s="8">
        <v>0</v>
      </c>
      <c r="S1676" s="8">
        <v>7</v>
      </c>
      <c r="T1676" s="8">
        <v>3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0</v>
      </c>
      <c r="AF1676" s="8">
        <v>0</v>
      </c>
      <c r="AG1676" s="8">
        <v>0</v>
      </c>
      <c r="AH1676" s="8">
        <v>0</v>
      </c>
      <c r="AI1676" s="8">
        <v>0</v>
      </c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11" t="s">
        <v>252</v>
      </c>
    </row>
    <row r="1677" spans="1:46" ht="15.1" customHeight="1">
      <c r="A1677" s="8">
        <v>558</v>
      </c>
      <c r="B1677" s="9" t="s">
        <v>1364</v>
      </c>
      <c r="C1677" s="8" t="s">
        <v>1365</v>
      </c>
      <c r="D1677" s="9" t="s">
        <v>451</v>
      </c>
      <c r="E1677" s="8" t="s">
        <v>54</v>
      </c>
      <c r="F1677" s="8" t="s">
        <v>54</v>
      </c>
      <c r="G1677" s="10" t="s">
        <v>67</v>
      </c>
      <c r="H1677" s="8" t="s">
        <v>54</v>
      </c>
      <c r="I1677" s="8" t="s">
        <v>54</v>
      </c>
      <c r="J1677" s="8" t="s">
        <v>54</v>
      </c>
      <c r="K1677" s="8" t="s">
        <v>54</v>
      </c>
      <c r="L1677" s="8" t="s">
        <v>54</v>
      </c>
      <c r="M1677" s="8" t="s">
        <v>54</v>
      </c>
      <c r="N1677" s="10" t="s">
        <v>67</v>
      </c>
      <c r="O1677" s="8" t="s">
        <v>54</v>
      </c>
      <c r="P1677" s="8" t="s">
        <v>54</v>
      </c>
      <c r="Q1677" s="8" t="s">
        <v>54</v>
      </c>
      <c r="R1677" s="8" t="s">
        <v>54</v>
      </c>
      <c r="S1677" s="8" t="s">
        <v>54</v>
      </c>
      <c r="T1677" s="8" t="s">
        <v>54</v>
      </c>
      <c r="U1677" s="10" t="s">
        <v>67</v>
      </c>
      <c r="V1677" s="8" t="s">
        <v>54</v>
      </c>
      <c r="W1677" s="8" t="s">
        <v>54</v>
      </c>
      <c r="X1677" s="8" t="s">
        <v>54</v>
      </c>
      <c r="Y1677" s="8" t="s">
        <v>54</v>
      </c>
      <c r="Z1677" s="8" t="s">
        <v>54</v>
      </c>
      <c r="AA1677" s="8" t="s">
        <v>54</v>
      </c>
      <c r="AB1677" s="10" t="s">
        <v>67</v>
      </c>
      <c r="AC1677" s="8" t="s">
        <v>54</v>
      </c>
      <c r="AD1677" s="8" t="s">
        <v>54</v>
      </c>
      <c r="AE1677" s="8" t="s">
        <v>54</v>
      </c>
      <c r="AF1677" s="8" t="s">
        <v>54</v>
      </c>
      <c r="AG1677" s="8" t="s">
        <v>54</v>
      </c>
      <c r="AH1677" s="8" t="s">
        <v>54</v>
      </c>
      <c r="AI1677" s="10" t="s">
        <v>67</v>
      </c>
      <c r="AJ1677" s="8">
        <f>COUNTIF($E$1677:$AI$1677,"P")</f>
        <v>26</v>
      </c>
      <c r="AK1677" s="8">
        <f>COUNTIF($E$1677:$AI$1677,"A")</f>
        <v>0</v>
      </c>
      <c r="AL1677" s="8">
        <f>SUM($E$1678:$AI$1678)</f>
        <v>35</v>
      </c>
      <c r="AM1677" s="8">
        <f>SUM($E$1679:$AI$1679)</f>
        <v>131.5</v>
      </c>
      <c r="AN1677" s="8">
        <f>AL1677+AM1677</f>
        <v>166.5</v>
      </c>
      <c r="AO1677" s="8">
        <f>COUNTIF($E$1677:$AI$1677,"CL")</f>
        <v>0</v>
      </c>
      <c r="AP1677" s="8">
        <f>COUNTIF($E$1677:$AI$1677,"SL")</f>
        <v>0</v>
      </c>
      <c r="AQ1677" s="8">
        <f>COUNTIF($E$1677:$AI$1677,"EL")</f>
        <v>0</v>
      </c>
      <c r="AR1677" s="8">
        <f>COUNTIF($E$1677:$AI$1677,"H")</f>
        <v>0</v>
      </c>
      <c r="AS1677" s="8"/>
      <c r="AT1677" s="11" t="s">
        <v>252</v>
      </c>
    </row>
    <row r="1678" spans="1:46" ht="15.1" customHeight="1">
      <c r="A1678" s="8"/>
      <c r="B1678" s="9"/>
      <c r="C1678" s="8"/>
      <c r="D1678" s="9"/>
      <c r="E1678" s="8">
        <v>2</v>
      </c>
      <c r="F1678" s="8">
        <v>2</v>
      </c>
      <c r="G1678" s="8">
        <v>0</v>
      </c>
      <c r="H1678" s="8">
        <v>2</v>
      </c>
      <c r="I1678" s="8">
        <v>2</v>
      </c>
      <c r="J1678" s="8">
        <v>2</v>
      </c>
      <c r="K1678" s="8">
        <v>2</v>
      </c>
      <c r="L1678" s="8">
        <v>2</v>
      </c>
      <c r="M1678" s="8">
        <v>2</v>
      </c>
      <c r="N1678" s="8">
        <v>0</v>
      </c>
      <c r="O1678" s="8">
        <v>2</v>
      </c>
      <c r="P1678" s="8">
        <v>2</v>
      </c>
      <c r="Q1678" s="8">
        <v>2</v>
      </c>
      <c r="R1678" s="8">
        <v>2</v>
      </c>
      <c r="S1678" s="8">
        <v>2</v>
      </c>
      <c r="T1678" s="8">
        <v>2</v>
      </c>
      <c r="U1678" s="8">
        <v>0</v>
      </c>
      <c r="V1678" s="8">
        <v>2</v>
      </c>
      <c r="W1678" s="8">
        <v>2</v>
      </c>
      <c r="X1678" s="8">
        <v>0</v>
      </c>
      <c r="Y1678" s="8">
        <v>0</v>
      </c>
      <c r="Z1678" s="8">
        <v>0</v>
      </c>
      <c r="AA1678" s="8">
        <v>0</v>
      </c>
      <c r="AB1678" s="8">
        <v>0</v>
      </c>
      <c r="AC1678" s="8">
        <v>2</v>
      </c>
      <c r="AD1678" s="8">
        <v>1</v>
      </c>
      <c r="AE1678" s="8">
        <v>0</v>
      </c>
      <c r="AF1678" s="8">
        <v>0</v>
      </c>
      <c r="AG1678" s="8">
        <v>0</v>
      </c>
      <c r="AH1678" s="8">
        <v>0</v>
      </c>
      <c r="AI1678" s="8">
        <v>0</v>
      </c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11" t="s">
        <v>252</v>
      </c>
    </row>
    <row r="1679" spans="1:46" ht="15.1" customHeight="1">
      <c r="A1679" s="8"/>
      <c r="B1679" s="9"/>
      <c r="C1679" s="8"/>
      <c r="D1679" s="9"/>
      <c r="E1679" s="8">
        <v>5</v>
      </c>
      <c r="F1679" s="8">
        <v>3</v>
      </c>
      <c r="G1679" s="8">
        <v>13.5</v>
      </c>
      <c r="H1679" s="8">
        <v>4.5</v>
      </c>
      <c r="I1679" s="8">
        <v>6</v>
      </c>
      <c r="J1679" s="8">
        <v>6.5</v>
      </c>
      <c r="K1679" s="8">
        <v>6</v>
      </c>
      <c r="L1679" s="8">
        <v>6.5</v>
      </c>
      <c r="M1679" s="8">
        <v>4.5</v>
      </c>
      <c r="N1679" s="8">
        <v>16</v>
      </c>
      <c r="O1679" s="8">
        <v>6.5</v>
      </c>
      <c r="P1679" s="8">
        <v>6.5</v>
      </c>
      <c r="Q1679" s="8">
        <v>5</v>
      </c>
      <c r="R1679" s="8">
        <v>7</v>
      </c>
      <c r="S1679" s="8">
        <v>6.5</v>
      </c>
      <c r="T1679" s="8">
        <v>2</v>
      </c>
      <c r="U1679" s="8">
        <v>13</v>
      </c>
      <c r="V1679" s="8">
        <v>7</v>
      </c>
      <c r="W1679" s="8">
        <v>6.5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8">
        <v>0</v>
      </c>
      <c r="AH1679" s="8">
        <v>0</v>
      </c>
      <c r="AI1679" s="8">
        <v>0</v>
      </c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11" t="s">
        <v>252</v>
      </c>
    </row>
    <row r="1680" spans="1:46" ht="15.1" customHeight="1">
      <c r="A1680" s="8">
        <v>559</v>
      </c>
      <c r="B1680" s="9" t="s">
        <v>1366</v>
      </c>
      <c r="C1680" s="8" t="s">
        <v>1367</v>
      </c>
      <c r="D1680" s="9" t="s">
        <v>451</v>
      </c>
      <c r="E1680" s="8" t="s">
        <v>54</v>
      </c>
      <c r="F1680" s="8" t="s">
        <v>54</v>
      </c>
      <c r="G1680" s="10" t="s">
        <v>67</v>
      </c>
      <c r="H1680" s="8" t="s">
        <v>54</v>
      </c>
      <c r="I1680" s="8" t="s">
        <v>54</v>
      </c>
      <c r="J1680" s="12" t="s">
        <v>55</v>
      </c>
      <c r="K1680" s="12" t="s">
        <v>55</v>
      </c>
      <c r="L1680" s="8" t="s">
        <v>54</v>
      </c>
      <c r="M1680" s="12" t="s">
        <v>55</v>
      </c>
      <c r="N1680" s="10" t="s">
        <v>67</v>
      </c>
      <c r="O1680" s="8" t="s">
        <v>54</v>
      </c>
      <c r="P1680" s="8" t="s">
        <v>54</v>
      </c>
      <c r="Q1680" s="8" t="s">
        <v>54</v>
      </c>
      <c r="R1680" s="8" t="s">
        <v>54</v>
      </c>
      <c r="S1680" s="8" t="s">
        <v>54</v>
      </c>
      <c r="T1680" s="8" t="s">
        <v>54</v>
      </c>
      <c r="U1680" s="10" t="s">
        <v>67</v>
      </c>
      <c r="V1680" s="8" t="s">
        <v>54</v>
      </c>
      <c r="W1680" s="8" t="s">
        <v>54</v>
      </c>
      <c r="X1680" s="8" t="s">
        <v>54</v>
      </c>
      <c r="Y1680" s="8" t="s">
        <v>54</v>
      </c>
      <c r="Z1680" s="8" t="s">
        <v>54</v>
      </c>
      <c r="AA1680" s="8" t="s">
        <v>54</v>
      </c>
      <c r="AB1680" s="10" t="s">
        <v>67</v>
      </c>
      <c r="AC1680" s="8" t="s">
        <v>54</v>
      </c>
      <c r="AD1680" s="8" t="s">
        <v>54</v>
      </c>
      <c r="AE1680" s="8" t="s">
        <v>54</v>
      </c>
      <c r="AF1680" s="8" t="s">
        <v>54</v>
      </c>
      <c r="AG1680" s="8" t="s">
        <v>54</v>
      </c>
      <c r="AH1680" s="8" t="s">
        <v>54</v>
      </c>
      <c r="AI1680" s="10" t="s">
        <v>67</v>
      </c>
      <c r="AJ1680" s="8">
        <f>COUNTIF($E$1680:$AI$1680,"P")</f>
        <v>23</v>
      </c>
      <c r="AK1680" s="8">
        <f>COUNTIF($E$1680:$AI$1680,"A")</f>
        <v>3</v>
      </c>
      <c r="AL1680" s="8">
        <f>SUM($E$1681:$AI$1681)</f>
        <v>28</v>
      </c>
      <c r="AM1680" s="8">
        <f>SUM($E$1682:$AI$1682)</f>
        <v>90.5</v>
      </c>
      <c r="AN1680" s="8">
        <f>AL1680+AM1680</f>
        <v>118</v>
      </c>
      <c r="AO1680" s="8">
        <f>COUNTIF($E$1680:$AI$1680,"CL")</f>
        <v>0</v>
      </c>
      <c r="AP1680" s="8">
        <f>COUNTIF($E$1680:$AI$1680,"SL")</f>
        <v>0</v>
      </c>
      <c r="AQ1680" s="8">
        <f>COUNTIF($E$1680:$AI$1680,"EL")</f>
        <v>0</v>
      </c>
      <c r="AR1680" s="8">
        <f>COUNTIF($E$1680:$AI$1680,"H")</f>
        <v>0</v>
      </c>
      <c r="AS1680" s="8"/>
      <c r="AT1680" s="11" t="s">
        <v>252</v>
      </c>
    </row>
    <row r="1681" spans="1:46" ht="15.1" customHeight="1">
      <c r="A1681" s="8"/>
      <c r="B1681" s="9"/>
      <c r="C1681" s="8"/>
      <c r="D1681" s="9"/>
      <c r="E1681" s="8">
        <v>2</v>
      </c>
      <c r="F1681" s="8">
        <v>2</v>
      </c>
      <c r="G1681" s="8">
        <v>0</v>
      </c>
      <c r="H1681" s="8">
        <v>2</v>
      </c>
      <c r="I1681" s="8">
        <v>2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2</v>
      </c>
      <c r="P1681" s="8">
        <v>2</v>
      </c>
      <c r="Q1681" s="8">
        <v>2</v>
      </c>
      <c r="R1681" s="8">
        <v>2</v>
      </c>
      <c r="S1681" s="8">
        <v>2</v>
      </c>
      <c r="T1681" s="8">
        <v>2</v>
      </c>
      <c r="U1681" s="8">
        <v>0</v>
      </c>
      <c r="V1681" s="8">
        <v>2</v>
      </c>
      <c r="W1681" s="8">
        <v>2</v>
      </c>
      <c r="X1681" s="8">
        <v>1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2</v>
      </c>
      <c r="AE1681" s="8">
        <v>0</v>
      </c>
      <c r="AF1681" s="8">
        <v>0</v>
      </c>
      <c r="AG1681" s="8">
        <v>1</v>
      </c>
      <c r="AH1681" s="8">
        <v>0</v>
      </c>
      <c r="AI1681" s="8">
        <v>0</v>
      </c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11" t="s">
        <v>252</v>
      </c>
    </row>
    <row r="1682" spans="1:46" ht="15.1" customHeight="1">
      <c r="A1682" s="8"/>
      <c r="B1682" s="9"/>
      <c r="C1682" s="8"/>
      <c r="D1682" s="9"/>
      <c r="E1682" s="8">
        <v>4</v>
      </c>
      <c r="F1682" s="8">
        <v>3</v>
      </c>
      <c r="G1682" s="8">
        <v>13.5</v>
      </c>
      <c r="H1682" s="8">
        <v>5</v>
      </c>
      <c r="I1682" s="8">
        <v>7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5</v>
      </c>
      <c r="P1682" s="8">
        <v>7</v>
      </c>
      <c r="Q1682" s="8">
        <v>4</v>
      </c>
      <c r="R1682" s="8">
        <v>7</v>
      </c>
      <c r="S1682" s="8">
        <v>5.5</v>
      </c>
      <c r="T1682" s="8">
        <v>1</v>
      </c>
      <c r="U1682" s="8">
        <v>12.5</v>
      </c>
      <c r="V1682" s="8">
        <v>7</v>
      </c>
      <c r="W1682" s="8">
        <v>6.5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2.5</v>
      </c>
      <c r="AE1682" s="8">
        <v>0</v>
      </c>
      <c r="AF1682" s="8">
        <v>0</v>
      </c>
      <c r="AG1682" s="8">
        <v>0</v>
      </c>
      <c r="AH1682" s="8">
        <v>0</v>
      </c>
      <c r="AI1682" s="8">
        <v>0</v>
      </c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11" t="s">
        <v>252</v>
      </c>
    </row>
    <row r="1683" spans="1:46" ht="15.1" customHeight="1">
      <c r="A1683" s="8">
        <v>560</v>
      </c>
      <c r="B1683" s="9" t="s">
        <v>977</v>
      </c>
      <c r="C1683" s="8" t="s">
        <v>1368</v>
      </c>
      <c r="D1683" s="9" t="s">
        <v>451</v>
      </c>
      <c r="E1683" s="12" t="s">
        <v>55</v>
      </c>
      <c r="F1683" s="8" t="s">
        <v>54</v>
      </c>
      <c r="G1683" s="10" t="s">
        <v>67</v>
      </c>
      <c r="H1683" s="8" t="s">
        <v>54</v>
      </c>
      <c r="I1683" s="8" t="s">
        <v>54</v>
      </c>
      <c r="J1683" s="8" t="s">
        <v>54</v>
      </c>
      <c r="K1683" s="8" t="s">
        <v>54</v>
      </c>
      <c r="L1683" s="12" t="s">
        <v>55</v>
      </c>
      <c r="M1683" s="8" t="s">
        <v>54</v>
      </c>
      <c r="N1683" s="10" t="s">
        <v>67</v>
      </c>
      <c r="O1683" s="12" t="s">
        <v>55</v>
      </c>
      <c r="P1683" s="8" t="s">
        <v>54</v>
      </c>
      <c r="Q1683" s="8" t="s">
        <v>54</v>
      </c>
      <c r="R1683" s="8" t="s">
        <v>54</v>
      </c>
      <c r="S1683" s="8" t="s">
        <v>54</v>
      </c>
      <c r="T1683" s="8" t="s">
        <v>54</v>
      </c>
      <c r="U1683" s="10" t="s">
        <v>67</v>
      </c>
      <c r="V1683" s="8" t="s">
        <v>54</v>
      </c>
      <c r="W1683" s="8" t="s">
        <v>54</v>
      </c>
      <c r="X1683" s="8" t="s">
        <v>54</v>
      </c>
      <c r="Y1683" s="8" t="s">
        <v>54</v>
      </c>
      <c r="Z1683" s="8" t="s">
        <v>54</v>
      </c>
      <c r="AA1683" s="8" t="s">
        <v>54</v>
      </c>
      <c r="AB1683" s="10" t="s">
        <v>67</v>
      </c>
      <c r="AC1683" s="8" t="s">
        <v>54</v>
      </c>
      <c r="AD1683" s="8" t="s">
        <v>54</v>
      </c>
      <c r="AE1683" s="8" t="s">
        <v>54</v>
      </c>
      <c r="AF1683" s="12" t="s">
        <v>55</v>
      </c>
      <c r="AG1683" s="8" t="s">
        <v>54</v>
      </c>
      <c r="AH1683" s="8" t="s">
        <v>54</v>
      </c>
      <c r="AI1683" s="10" t="s">
        <v>67</v>
      </c>
      <c r="AJ1683" s="8">
        <f>COUNTIF($E$1683:$AI$1683,"P")</f>
        <v>22</v>
      </c>
      <c r="AK1683" s="8">
        <f>COUNTIF($E$1683:$AI$1683,"A")</f>
        <v>4</v>
      </c>
      <c r="AL1683" s="8">
        <f>SUM($E$1684:$AI$1684)</f>
        <v>31</v>
      </c>
      <c r="AM1683" s="8">
        <f>SUM($E$1685:$AI$1685)</f>
        <v>109.5</v>
      </c>
      <c r="AN1683" s="8">
        <f>AL1683+AM1683</f>
        <v>140.5</v>
      </c>
      <c r="AO1683" s="8">
        <f>COUNTIF($E$1683:$AI$1683,"CL")</f>
        <v>0</v>
      </c>
      <c r="AP1683" s="8">
        <f>COUNTIF($E$1683:$AI$1683,"SL")</f>
        <v>0</v>
      </c>
      <c r="AQ1683" s="8">
        <f>COUNTIF($E$1683:$AI$1683,"EL")</f>
        <v>0</v>
      </c>
      <c r="AR1683" s="8">
        <f>COUNTIF($E$1683:$AI$1683,"H")</f>
        <v>0</v>
      </c>
      <c r="AS1683" s="8"/>
      <c r="AT1683" s="11" t="s">
        <v>252</v>
      </c>
    </row>
    <row r="1684" spans="1:46" ht="15.1" customHeight="1">
      <c r="A1684" s="8"/>
      <c r="B1684" s="9"/>
      <c r="C1684" s="8"/>
      <c r="D1684" s="9"/>
      <c r="E1684" s="8">
        <v>0</v>
      </c>
      <c r="F1684" s="8">
        <v>2</v>
      </c>
      <c r="G1684" s="8">
        <v>0</v>
      </c>
      <c r="H1684" s="8">
        <v>2</v>
      </c>
      <c r="I1684" s="8">
        <v>2</v>
      </c>
      <c r="J1684" s="8">
        <v>2</v>
      </c>
      <c r="K1684" s="8">
        <v>2</v>
      </c>
      <c r="L1684" s="8">
        <v>0</v>
      </c>
      <c r="M1684" s="8">
        <v>2</v>
      </c>
      <c r="N1684" s="8">
        <v>0</v>
      </c>
      <c r="O1684" s="8">
        <v>0</v>
      </c>
      <c r="P1684" s="8">
        <v>2</v>
      </c>
      <c r="Q1684" s="8">
        <v>2</v>
      </c>
      <c r="R1684" s="8">
        <v>2</v>
      </c>
      <c r="S1684" s="8">
        <v>2</v>
      </c>
      <c r="T1684" s="8">
        <v>2</v>
      </c>
      <c r="U1684" s="8">
        <v>0</v>
      </c>
      <c r="V1684" s="8">
        <v>2</v>
      </c>
      <c r="W1684" s="8">
        <v>2</v>
      </c>
      <c r="X1684" s="8">
        <v>2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2</v>
      </c>
      <c r="AE1684" s="8">
        <v>0</v>
      </c>
      <c r="AF1684" s="8">
        <v>0</v>
      </c>
      <c r="AG1684" s="8">
        <v>1</v>
      </c>
      <c r="AH1684" s="8">
        <v>0</v>
      </c>
      <c r="AI1684" s="8">
        <v>0</v>
      </c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11" t="s">
        <v>252</v>
      </c>
    </row>
    <row r="1685" spans="1:46" ht="15.1" customHeight="1">
      <c r="A1685" s="8"/>
      <c r="B1685" s="9"/>
      <c r="C1685" s="8"/>
      <c r="D1685" s="9"/>
      <c r="E1685" s="8">
        <v>0</v>
      </c>
      <c r="F1685" s="8">
        <v>3</v>
      </c>
      <c r="G1685" s="8">
        <v>14</v>
      </c>
      <c r="H1685" s="8">
        <v>5</v>
      </c>
      <c r="I1685" s="8">
        <v>7</v>
      </c>
      <c r="J1685" s="8">
        <v>7</v>
      </c>
      <c r="K1685" s="8">
        <v>7</v>
      </c>
      <c r="L1685" s="8">
        <v>0</v>
      </c>
      <c r="M1685" s="8">
        <v>5</v>
      </c>
      <c r="N1685" s="8">
        <v>16.5</v>
      </c>
      <c r="O1685" s="8">
        <v>0</v>
      </c>
      <c r="P1685" s="8">
        <v>7</v>
      </c>
      <c r="Q1685" s="8">
        <v>4.5</v>
      </c>
      <c r="R1685" s="8">
        <v>7</v>
      </c>
      <c r="S1685" s="8">
        <v>6.5</v>
      </c>
      <c r="T1685" s="8">
        <v>3</v>
      </c>
      <c r="U1685" s="8">
        <v>0</v>
      </c>
      <c r="V1685" s="8">
        <v>7</v>
      </c>
      <c r="W1685" s="8">
        <v>7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3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11" t="s">
        <v>252</v>
      </c>
    </row>
    <row r="1686" spans="1:46" ht="15.1" customHeight="1">
      <c r="A1686" s="8">
        <v>561</v>
      </c>
      <c r="B1686" s="9" t="s">
        <v>1369</v>
      </c>
      <c r="C1686" s="8" t="s">
        <v>1370</v>
      </c>
      <c r="D1686" s="9" t="s">
        <v>451</v>
      </c>
      <c r="E1686" s="8" t="s">
        <v>54</v>
      </c>
      <c r="F1686" s="8" t="s">
        <v>54</v>
      </c>
      <c r="G1686" s="10" t="s">
        <v>67</v>
      </c>
      <c r="H1686" s="8" t="s">
        <v>54</v>
      </c>
      <c r="I1686" s="8" t="s">
        <v>54</v>
      </c>
      <c r="J1686" s="8" t="s">
        <v>54</v>
      </c>
      <c r="K1686" s="8" t="s">
        <v>54</v>
      </c>
      <c r="L1686" s="8" t="s">
        <v>54</v>
      </c>
      <c r="M1686" s="8" t="s">
        <v>54</v>
      </c>
      <c r="N1686" s="10" t="s">
        <v>67</v>
      </c>
      <c r="O1686" s="8" t="s">
        <v>54</v>
      </c>
      <c r="P1686" s="8" t="s">
        <v>54</v>
      </c>
      <c r="Q1686" s="8" t="s">
        <v>54</v>
      </c>
      <c r="R1686" s="8" t="s">
        <v>54</v>
      </c>
      <c r="S1686" s="8" t="s">
        <v>54</v>
      </c>
      <c r="T1686" s="8" t="s">
        <v>54</v>
      </c>
      <c r="U1686" s="10" t="s">
        <v>67</v>
      </c>
      <c r="V1686" s="8" t="s">
        <v>54</v>
      </c>
      <c r="W1686" s="8" t="s">
        <v>54</v>
      </c>
      <c r="X1686" s="8" t="s">
        <v>54</v>
      </c>
      <c r="Y1686" s="8" t="s">
        <v>54</v>
      </c>
      <c r="Z1686" s="8" t="s">
        <v>54</v>
      </c>
      <c r="AA1686" s="8" t="s">
        <v>54</v>
      </c>
      <c r="AB1686" s="10" t="s">
        <v>67</v>
      </c>
      <c r="AC1686" s="8" t="s">
        <v>54</v>
      </c>
      <c r="AD1686" s="8" t="s">
        <v>54</v>
      </c>
      <c r="AE1686" s="8" t="s">
        <v>54</v>
      </c>
      <c r="AF1686" s="8" t="s">
        <v>54</v>
      </c>
      <c r="AG1686" s="8" t="s">
        <v>54</v>
      </c>
      <c r="AH1686" s="8" t="s">
        <v>54</v>
      </c>
      <c r="AI1686" s="10" t="s">
        <v>67</v>
      </c>
      <c r="AJ1686" s="8">
        <f>COUNTIF($E$1686:$AI$1686,"P")</f>
        <v>26</v>
      </c>
      <c r="AK1686" s="8">
        <f>COUNTIF($E$1686:$AI$1686,"A")</f>
        <v>0</v>
      </c>
      <c r="AL1686" s="8">
        <f>SUM($E$1687:$AI$1687)</f>
        <v>41</v>
      </c>
      <c r="AM1686" s="8">
        <f>SUM($E$1688:$AI$1688)</f>
        <v>126</v>
      </c>
      <c r="AN1686" s="8">
        <f>AL1686+AM1686</f>
        <v>167</v>
      </c>
      <c r="AO1686" s="8">
        <f>COUNTIF($E$1686:$AI$1686,"CL")</f>
        <v>0</v>
      </c>
      <c r="AP1686" s="8">
        <f>COUNTIF($E$1686:$AI$1686,"SL")</f>
        <v>0</v>
      </c>
      <c r="AQ1686" s="8">
        <f>COUNTIF($E$1686:$AI$1686,"EL")</f>
        <v>0</v>
      </c>
      <c r="AR1686" s="8">
        <f>COUNTIF($E$1686:$AI$1686,"H")</f>
        <v>0</v>
      </c>
      <c r="AS1686" s="8"/>
      <c r="AT1686" s="11" t="s">
        <v>252</v>
      </c>
    </row>
    <row r="1687" spans="1:46" ht="15.1" customHeight="1">
      <c r="A1687" s="8"/>
      <c r="B1687" s="9"/>
      <c r="C1687" s="8"/>
      <c r="D1687" s="9"/>
      <c r="E1687" s="8">
        <v>2</v>
      </c>
      <c r="F1687" s="8">
        <v>2</v>
      </c>
      <c r="G1687" s="8">
        <v>0</v>
      </c>
      <c r="H1687" s="8">
        <v>2</v>
      </c>
      <c r="I1687" s="8">
        <v>2</v>
      </c>
      <c r="J1687" s="8">
        <v>2</v>
      </c>
      <c r="K1687" s="8">
        <v>2</v>
      </c>
      <c r="L1687" s="8">
        <v>2</v>
      </c>
      <c r="M1687" s="8">
        <v>2</v>
      </c>
      <c r="N1687" s="8">
        <v>0</v>
      </c>
      <c r="O1687" s="8">
        <v>2</v>
      </c>
      <c r="P1687" s="8">
        <v>2</v>
      </c>
      <c r="Q1687" s="8">
        <v>2</v>
      </c>
      <c r="R1687" s="8">
        <v>2</v>
      </c>
      <c r="S1687" s="8">
        <v>2</v>
      </c>
      <c r="T1687" s="8">
        <v>2</v>
      </c>
      <c r="U1687" s="8">
        <v>0</v>
      </c>
      <c r="V1687" s="8">
        <v>2</v>
      </c>
      <c r="W1687" s="8">
        <v>2</v>
      </c>
      <c r="X1687" s="8">
        <v>2</v>
      </c>
      <c r="Y1687" s="8">
        <v>2</v>
      </c>
      <c r="Z1687" s="8">
        <v>0</v>
      </c>
      <c r="AA1687" s="8">
        <v>0</v>
      </c>
      <c r="AB1687" s="8">
        <v>0</v>
      </c>
      <c r="AC1687" s="8">
        <v>2</v>
      </c>
      <c r="AD1687" s="8">
        <v>2</v>
      </c>
      <c r="AE1687" s="8">
        <v>0</v>
      </c>
      <c r="AF1687" s="8">
        <v>1</v>
      </c>
      <c r="AG1687" s="8">
        <v>0</v>
      </c>
      <c r="AH1687" s="8">
        <v>0</v>
      </c>
      <c r="AI1687" s="8">
        <v>0</v>
      </c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11" t="s">
        <v>252</v>
      </c>
    </row>
    <row r="1688" spans="1:46" ht="15.1" customHeight="1">
      <c r="A1688" s="8"/>
      <c r="B1688" s="9"/>
      <c r="C1688" s="8"/>
      <c r="D1688" s="9"/>
      <c r="E1688" s="8">
        <v>3.5</v>
      </c>
      <c r="F1688" s="8">
        <v>3</v>
      </c>
      <c r="G1688" s="8">
        <v>0</v>
      </c>
      <c r="H1688" s="8">
        <v>5</v>
      </c>
      <c r="I1688" s="8">
        <v>7</v>
      </c>
      <c r="J1688" s="8">
        <v>6</v>
      </c>
      <c r="K1688" s="8">
        <v>6.5</v>
      </c>
      <c r="L1688" s="8">
        <v>6.5</v>
      </c>
      <c r="M1688" s="8">
        <v>4.5</v>
      </c>
      <c r="N1688" s="8">
        <v>16</v>
      </c>
      <c r="O1688" s="8">
        <v>6.5</v>
      </c>
      <c r="P1688" s="8">
        <v>6.5</v>
      </c>
      <c r="Q1688" s="8">
        <v>4.5</v>
      </c>
      <c r="R1688" s="8">
        <v>5</v>
      </c>
      <c r="S1688" s="8">
        <v>5</v>
      </c>
      <c r="T1688" s="8">
        <v>2.5</v>
      </c>
      <c r="U1688" s="8">
        <v>12</v>
      </c>
      <c r="V1688" s="8">
        <v>6.5</v>
      </c>
      <c r="W1688" s="8">
        <v>6.5</v>
      </c>
      <c r="X1688" s="8">
        <v>5</v>
      </c>
      <c r="Y1688" s="8">
        <v>5</v>
      </c>
      <c r="Z1688" s="8">
        <v>0</v>
      </c>
      <c r="AA1688" s="8">
        <v>0</v>
      </c>
      <c r="AB1688" s="8">
        <v>0</v>
      </c>
      <c r="AC1688" s="8">
        <v>0</v>
      </c>
      <c r="AD1688" s="8">
        <v>3</v>
      </c>
      <c r="AE1688" s="8">
        <v>0</v>
      </c>
      <c r="AF1688" s="8">
        <v>0</v>
      </c>
      <c r="AG1688" s="8">
        <v>0</v>
      </c>
      <c r="AH1688" s="8">
        <v>0</v>
      </c>
      <c r="AI1688" s="8">
        <v>0</v>
      </c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11" t="s">
        <v>252</v>
      </c>
    </row>
    <row r="1689" spans="1:46" ht="15.1" customHeight="1">
      <c r="A1689" s="8">
        <v>562</v>
      </c>
      <c r="B1689" s="9" t="s">
        <v>1371</v>
      </c>
      <c r="C1689" s="8" t="s">
        <v>1372</v>
      </c>
      <c r="D1689" s="9" t="s">
        <v>451</v>
      </c>
      <c r="E1689" s="8" t="s">
        <v>54</v>
      </c>
      <c r="F1689" s="8" t="s">
        <v>54</v>
      </c>
      <c r="G1689" s="10" t="s">
        <v>67</v>
      </c>
      <c r="H1689" s="8" t="s">
        <v>54</v>
      </c>
      <c r="I1689" s="8" t="s">
        <v>54</v>
      </c>
      <c r="J1689" s="8" t="s">
        <v>54</v>
      </c>
      <c r="K1689" s="8" t="s">
        <v>54</v>
      </c>
      <c r="L1689" s="8" t="s">
        <v>54</v>
      </c>
      <c r="M1689" s="8" t="s">
        <v>54</v>
      </c>
      <c r="N1689" s="10" t="s">
        <v>67</v>
      </c>
      <c r="O1689" s="8" t="s">
        <v>54</v>
      </c>
      <c r="P1689" s="8" t="s">
        <v>54</v>
      </c>
      <c r="Q1689" s="8" t="s">
        <v>54</v>
      </c>
      <c r="R1689" s="8" t="s">
        <v>54</v>
      </c>
      <c r="S1689" s="8" t="s">
        <v>54</v>
      </c>
      <c r="T1689" s="8" t="s">
        <v>54</v>
      </c>
      <c r="U1689" s="10" t="s">
        <v>67</v>
      </c>
      <c r="V1689" s="8" t="s">
        <v>54</v>
      </c>
      <c r="W1689" s="8" t="s">
        <v>54</v>
      </c>
      <c r="X1689" s="8" t="s">
        <v>54</v>
      </c>
      <c r="Y1689" s="12" t="s">
        <v>55</v>
      </c>
      <c r="Z1689" s="12" t="s">
        <v>55</v>
      </c>
      <c r="AA1689" s="12" t="s">
        <v>55</v>
      </c>
      <c r="AB1689" s="10" t="s">
        <v>67</v>
      </c>
      <c r="AC1689" s="8" t="s">
        <v>54</v>
      </c>
      <c r="AD1689" s="8" t="s">
        <v>54</v>
      </c>
      <c r="AE1689" s="8" t="s">
        <v>54</v>
      </c>
      <c r="AF1689" s="8" t="s">
        <v>54</v>
      </c>
      <c r="AG1689" s="12" t="s">
        <v>55</v>
      </c>
      <c r="AH1689" s="8" t="s">
        <v>54</v>
      </c>
      <c r="AI1689" s="10" t="s">
        <v>67</v>
      </c>
      <c r="AJ1689" s="8">
        <f>COUNTIF($E$1689:$AI$1689,"P")</f>
        <v>22</v>
      </c>
      <c r="AK1689" s="8">
        <f>COUNTIF($E$1689:$AI$1689,"A")</f>
        <v>4</v>
      </c>
      <c r="AL1689" s="8">
        <f>SUM($E$1690:$AI$1690)</f>
        <v>37</v>
      </c>
      <c r="AM1689" s="8">
        <f>SUM($E$1691:$AI$1691)</f>
        <v>137</v>
      </c>
      <c r="AN1689" s="8">
        <f>AL1689+AM1689</f>
        <v>174</v>
      </c>
      <c r="AO1689" s="8">
        <f>COUNTIF($E$1689:$AI$1689,"CL")</f>
        <v>0</v>
      </c>
      <c r="AP1689" s="8">
        <f>COUNTIF($E$1689:$AI$1689,"SL")</f>
        <v>0</v>
      </c>
      <c r="AQ1689" s="8">
        <f>COUNTIF($E$1689:$AI$1689,"EL")</f>
        <v>0</v>
      </c>
      <c r="AR1689" s="8">
        <f>COUNTIF($E$1689:$AI$1689,"H")</f>
        <v>0</v>
      </c>
      <c r="AS1689" s="8"/>
      <c r="AT1689" s="11" t="s">
        <v>252</v>
      </c>
    </row>
    <row r="1690" spans="1:46" ht="15.1" customHeight="1">
      <c r="A1690" s="8"/>
      <c r="B1690" s="9"/>
      <c r="C1690" s="8"/>
      <c r="D1690" s="9"/>
      <c r="E1690" s="8">
        <v>2</v>
      </c>
      <c r="F1690" s="8">
        <v>2</v>
      </c>
      <c r="G1690" s="8">
        <v>0</v>
      </c>
      <c r="H1690" s="8">
        <v>2</v>
      </c>
      <c r="I1690" s="8">
        <v>2</v>
      </c>
      <c r="J1690" s="8">
        <v>2</v>
      </c>
      <c r="K1690" s="8">
        <v>2</v>
      </c>
      <c r="L1690" s="8">
        <v>2</v>
      </c>
      <c r="M1690" s="8">
        <v>2</v>
      </c>
      <c r="N1690" s="8">
        <v>0</v>
      </c>
      <c r="O1690" s="8">
        <v>2</v>
      </c>
      <c r="P1690" s="8">
        <v>2</v>
      </c>
      <c r="Q1690" s="8">
        <v>2</v>
      </c>
      <c r="R1690" s="8">
        <v>2</v>
      </c>
      <c r="S1690" s="8">
        <v>2</v>
      </c>
      <c r="T1690" s="8">
        <v>2</v>
      </c>
      <c r="U1690" s="8">
        <v>0</v>
      </c>
      <c r="V1690" s="8">
        <v>2</v>
      </c>
      <c r="W1690" s="8">
        <v>2</v>
      </c>
      <c r="X1690" s="8">
        <v>1</v>
      </c>
      <c r="Y1690" s="8">
        <v>0</v>
      </c>
      <c r="Z1690" s="8">
        <v>0</v>
      </c>
      <c r="AA1690" s="8">
        <v>0</v>
      </c>
      <c r="AB1690" s="8">
        <v>0</v>
      </c>
      <c r="AC1690" s="8">
        <v>2</v>
      </c>
      <c r="AD1690" s="8">
        <v>0</v>
      </c>
      <c r="AE1690" s="8">
        <v>0</v>
      </c>
      <c r="AF1690" s="8">
        <v>0</v>
      </c>
      <c r="AG1690" s="8">
        <v>0</v>
      </c>
      <c r="AH1690" s="8">
        <v>2</v>
      </c>
      <c r="AI1690" s="8">
        <v>0</v>
      </c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11" t="s">
        <v>252</v>
      </c>
    </row>
    <row r="1691" spans="1:46" ht="15.1" customHeight="1">
      <c r="A1691" s="8"/>
      <c r="B1691" s="9"/>
      <c r="C1691" s="8"/>
      <c r="D1691" s="9"/>
      <c r="E1691" s="8">
        <v>4.5</v>
      </c>
      <c r="F1691" s="8">
        <v>3</v>
      </c>
      <c r="G1691" s="8">
        <v>13.5</v>
      </c>
      <c r="H1691" s="8">
        <v>5</v>
      </c>
      <c r="I1691" s="8">
        <v>7</v>
      </c>
      <c r="J1691" s="8">
        <v>7</v>
      </c>
      <c r="K1691" s="8">
        <v>7</v>
      </c>
      <c r="L1691" s="8">
        <v>6</v>
      </c>
      <c r="M1691" s="8">
        <v>5</v>
      </c>
      <c r="N1691" s="8">
        <v>16.5</v>
      </c>
      <c r="O1691" s="8">
        <v>7</v>
      </c>
      <c r="P1691" s="8">
        <v>6.5</v>
      </c>
      <c r="Q1691" s="8">
        <v>5</v>
      </c>
      <c r="R1691" s="8">
        <v>5.5</v>
      </c>
      <c r="S1691" s="8">
        <v>6</v>
      </c>
      <c r="T1691" s="8">
        <v>2.5</v>
      </c>
      <c r="U1691" s="8">
        <v>13</v>
      </c>
      <c r="V1691" s="8">
        <v>7</v>
      </c>
      <c r="W1691" s="8">
        <v>7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  <c r="AH1691" s="8">
        <v>3</v>
      </c>
      <c r="AI1691" s="8">
        <v>0</v>
      </c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11" t="s">
        <v>252</v>
      </c>
    </row>
    <row r="1692" spans="1:46" ht="15.1" customHeight="1">
      <c r="A1692" s="8">
        <v>563</v>
      </c>
      <c r="B1692" s="9" t="s">
        <v>1373</v>
      </c>
      <c r="C1692" s="8" t="s">
        <v>1374</v>
      </c>
      <c r="D1692" s="9" t="s">
        <v>451</v>
      </c>
      <c r="E1692" s="8" t="s">
        <v>54</v>
      </c>
      <c r="F1692" s="8" t="s">
        <v>54</v>
      </c>
      <c r="G1692" s="10" t="s">
        <v>67</v>
      </c>
      <c r="H1692" s="8" t="s">
        <v>54</v>
      </c>
      <c r="I1692" s="8" t="s">
        <v>54</v>
      </c>
      <c r="J1692" s="8" t="s">
        <v>54</v>
      </c>
      <c r="K1692" s="8" t="s">
        <v>54</v>
      </c>
      <c r="L1692" s="8" t="s">
        <v>54</v>
      </c>
      <c r="M1692" s="8" t="s">
        <v>54</v>
      </c>
      <c r="N1692" s="10" t="s">
        <v>67</v>
      </c>
      <c r="O1692" s="8" t="s">
        <v>54</v>
      </c>
      <c r="P1692" s="8" t="s">
        <v>54</v>
      </c>
      <c r="Q1692" s="12" t="s">
        <v>55</v>
      </c>
      <c r="R1692" s="8" t="s">
        <v>54</v>
      </c>
      <c r="S1692" s="8" t="s">
        <v>54</v>
      </c>
      <c r="T1692" s="8" t="s">
        <v>54</v>
      </c>
      <c r="U1692" s="10" t="s">
        <v>67</v>
      </c>
      <c r="V1692" s="8" t="s">
        <v>54</v>
      </c>
      <c r="W1692" s="12" t="s">
        <v>55</v>
      </c>
      <c r="X1692" s="8" t="s">
        <v>54</v>
      </c>
      <c r="Y1692" s="8" t="s">
        <v>54</v>
      </c>
      <c r="Z1692" s="8" t="s">
        <v>54</v>
      </c>
      <c r="AA1692" s="8" t="s">
        <v>54</v>
      </c>
      <c r="AB1692" s="10" t="s">
        <v>67</v>
      </c>
      <c r="AC1692" s="8" t="s">
        <v>54</v>
      </c>
      <c r="AD1692" s="8" t="s">
        <v>54</v>
      </c>
      <c r="AE1692" s="8" t="s">
        <v>54</v>
      </c>
      <c r="AF1692" s="8" t="s">
        <v>54</v>
      </c>
      <c r="AG1692" s="8" t="s">
        <v>54</v>
      </c>
      <c r="AH1692" s="8" t="s">
        <v>54</v>
      </c>
      <c r="AI1692" s="10" t="s">
        <v>67</v>
      </c>
      <c r="AJ1692" s="8">
        <f>COUNTIF($E$1692:$AI$1692,"P")</f>
        <v>24</v>
      </c>
      <c r="AK1692" s="8">
        <f>COUNTIF($E$1692:$AI$1692,"A")</f>
        <v>2</v>
      </c>
      <c r="AL1692" s="8">
        <f>SUM($E$1693:$AI$1693)</f>
        <v>34</v>
      </c>
      <c r="AM1692" s="8">
        <f>SUM($E$1694:$AI$1694)</f>
        <v>123.5</v>
      </c>
      <c r="AN1692" s="8">
        <f>AL1692+AM1692</f>
        <v>157</v>
      </c>
      <c r="AO1692" s="8">
        <f>COUNTIF($E$1692:$AI$1692,"CL")</f>
        <v>0</v>
      </c>
      <c r="AP1692" s="8">
        <f>COUNTIF($E$1692:$AI$1692,"SL")</f>
        <v>0</v>
      </c>
      <c r="AQ1692" s="8">
        <f>COUNTIF($E$1692:$AI$1692,"EL")</f>
        <v>0</v>
      </c>
      <c r="AR1692" s="8">
        <f>COUNTIF($E$1692:$AI$1692,"H")</f>
        <v>0</v>
      </c>
      <c r="AS1692" s="8"/>
      <c r="AT1692" s="11" t="s">
        <v>252</v>
      </c>
    </row>
    <row r="1693" spans="1:46" ht="15.1" customHeight="1">
      <c r="A1693" s="8"/>
      <c r="B1693" s="9"/>
      <c r="C1693" s="8"/>
      <c r="D1693" s="9"/>
      <c r="E1693" s="8">
        <v>2</v>
      </c>
      <c r="F1693" s="8">
        <v>2</v>
      </c>
      <c r="G1693" s="8">
        <v>0</v>
      </c>
      <c r="H1693" s="8">
        <v>2</v>
      </c>
      <c r="I1693" s="8">
        <v>2</v>
      </c>
      <c r="J1693" s="8">
        <v>2</v>
      </c>
      <c r="K1693" s="8">
        <v>2</v>
      </c>
      <c r="L1693" s="8">
        <v>2</v>
      </c>
      <c r="M1693" s="8">
        <v>2</v>
      </c>
      <c r="N1693" s="8">
        <v>0</v>
      </c>
      <c r="O1693" s="8">
        <v>2</v>
      </c>
      <c r="P1693" s="8">
        <v>2</v>
      </c>
      <c r="Q1693" s="8">
        <v>0</v>
      </c>
      <c r="R1693" s="8">
        <v>2</v>
      </c>
      <c r="S1693" s="8">
        <v>2</v>
      </c>
      <c r="T1693" s="8">
        <v>2</v>
      </c>
      <c r="U1693" s="8">
        <v>0</v>
      </c>
      <c r="V1693" s="8">
        <v>2</v>
      </c>
      <c r="W1693" s="8">
        <v>0</v>
      </c>
      <c r="X1693" s="8">
        <v>2</v>
      </c>
      <c r="Y1693" s="8">
        <v>0</v>
      </c>
      <c r="Z1693" s="8">
        <v>0</v>
      </c>
      <c r="AA1693" s="8">
        <v>0</v>
      </c>
      <c r="AB1693" s="8">
        <v>0</v>
      </c>
      <c r="AC1693" s="8">
        <v>2</v>
      </c>
      <c r="AD1693" s="8">
        <v>2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11" t="s">
        <v>252</v>
      </c>
    </row>
    <row r="1694" spans="1:46" ht="15.1" customHeight="1">
      <c r="A1694" s="8"/>
      <c r="B1694" s="9"/>
      <c r="C1694" s="8"/>
      <c r="D1694" s="9"/>
      <c r="E1694" s="8">
        <v>4.5</v>
      </c>
      <c r="F1694" s="8">
        <v>3</v>
      </c>
      <c r="G1694" s="8">
        <v>13.5</v>
      </c>
      <c r="H1694" s="8">
        <v>5</v>
      </c>
      <c r="I1694" s="8">
        <v>6.5</v>
      </c>
      <c r="J1694" s="8">
        <v>6.5</v>
      </c>
      <c r="K1694" s="8">
        <v>6</v>
      </c>
      <c r="L1694" s="8">
        <v>6.5</v>
      </c>
      <c r="M1694" s="8">
        <v>4.5</v>
      </c>
      <c r="N1694" s="8">
        <v>16</v>
      </c>
      <c r="O1694" s="8">
        <v>6.5</v>
      </c>
      <c r="P1694" s="8">
        <v>7</v>
      </c>
      <c r="Q1694" s="8">
        <v>0</v>
      </c>
      <c r="R1694" s="8">
        <v>7</v>
      </c>
      <c r="S1694" s="8">
        <v>6</v>
      </c>
      <c r="T1694" s="8">
        <v>3</v>
      </c>
      <c r="U1694" s="8">
        <v>12.5</v>
      </c>
      <c r="V1694" s="8">
        <v>6.5</v>
      </c>
      <c r="W1694" s="8">
        <v>0</v>
      </c>
      <c r="X1694" s="8">
        <v>0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3</v>
      </c>
      <c r="AE1694" s="8">
        <v>0</v>
      </c>
      <c r="AF1694" s="8">
        <v>0</v>
      </c>
      <c r="AG1694" s="8">
        <v>0</v>
      </c>
      <c r="AH1694" s="8">
        <v>0</v>
      </c>
      <c r="AI1694" s="8">
        <v>0</v>
      </c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11" t="s">
        <v>252</v>
      </c>
    </row>
    <row r="1695" spans="1:46" ht="15.1" customHeight="1">
      <c r="A1695" s="8">
        <v>564</v>
      </c>
      <c r="B1695" s="9" t="s">
        <v>1375</v>
      </c>
      <c r="C1695" s="8" t="s">
        <v>1376</v>
      </c>
      <c r="D1695" s="9" t="s">
        <v>451</v>
      </c>
      <c r="E1695" s="8" t="s">
        <v>54</v>
      </c>
      <c r="F1695" s="8" t="s">
        <v>54</v>
      </c>
      <c r="G1695" s="10" t="s">
        <v>67</v>
      </c>
      <c r="H1695" s="8" t="s">
        <v>54</v>
      </c>
      <c r="I1695" s="8" t="s">
        <v>54</v>
      </c>
      <c r="J1695" s="8" t="s">
        <v>54</v>
      </c>
      <c r="K1695" s="8" t="s">
        <v>54</v>
      </c>
      <c r="L1695" s="8" t="s">
        <v>54</v>
      </c>
      <c r="M1695" s="12" t="s">
        <v>55</v>
      </c>
      <c r="N1695" s="10" t="s">
        <v>67</v>
      </c>
      <c r="O1695" s="8" t="s">
        <v>54</v>
      </c>
      <c r="P1695" s="8" t="s">
        <v>54</v>
      </c>
      <c r="Q1695" s="12" t="s">
        <v>55</v>
      </c>
      <c r="R1695" s="8" t="s">
        <v>54</v>
      </c>
      <c r="S1695" s="8" t="s">
        <v>54</v>
      </c>
      <c r="T1695" s="8" t="s">
        <v>54</v>
      </c>
      <c r="U1695" s="10" t="s">
        <v>67</v>
      </c>
      <c r="V1695" s="12" t="s">
        <v>55</v>
      </c>
      <c r="W1695" s="8" t="s">
        <v>54</v>
      </c>
      <c r="X1695" s="8" t="s">
        <v>54</v>
      </c>
      <c r="Y1695" s="8" t="s">
        <v>54</v>
      </c>
      <c r="Z1695" s="8" t="s">
        <v>54</v>
      </c>
      <c r="AA1695" s="8" t="s">
        <v>54</v>
      </c>
      <c r="AB1695" s="10" t="s">
        <v>67</v>
      </c>
      <c r="AC1695" s="8" t="s">
        <v>54</v>
      </c>
      <c r="AD1695" s="12" t="s">
        <v>55</v>
      </c>
      <c r="AE1695" s="8" t="s">
        <v>54</v>
      </c>
      <c r="AF1695" s="8" t="s">
        <v>54</v>
      </c>
      <c r="AG1695" s="12" t="s">
        <v>55</v>
      </c>
      <c r="AH1695" s="8" t="s">
        <v>54</v>
      </c>
      <c r="AI1695" s="10" t="s">
        <v>67</v>
      </c>
      <c r="AJ1695" s="8">
        <f>COUNTIF($E$1695:$AI$1695,"P")</f>
        <v>21</v>
      </c>
      <c r="AK1695" s="8">
        <f>COUNTIF($E$1695:$AI$1695,"A")</f>
        <v>5</v>
      </c>
      <c r="AL1695" s="8">
        <f>SUM($E$1696:$AI$1696)</f>
        <v>27</v>
      </c>
      <c r="AM1695" s="8">
        <f>SUM($E$1697:$AI$1697)</f>
        <v>119</v>
      </c>
      <c r="AN1695" s="8">
        <f>AL1695+AM1695</f>
        <v>146</v>
      </c>
      <c r="AO1695" s="8">
        <f>COUNTIF($E$1695:$AI$1695,"CL")</f>
        <v>0</v>
      </c>
      <c r="AP1695" s="8">
        <f>COUNTIF($E$1695:$AI$1695,"SL")</f>
        <v>0</v>
      </c>
      <c r="AQ1695" s="8">
        <f>COUNTIF($E$1695:$AI$1695,"EL")</f>
        <v>0</v>
      </c>
      <c r="AR1695" s="8">
        <f>COUNTIF($E$1695:$AI$1695,"H")</f>
        <v>0</v>
      </c>
      <c r="AS1695" s="8"/>
      <c r="AT1695" s="11" t="s">
        <v>252</v>
      </c>
    </row>
    <row r="1696" spans="1:46" ht="15.1" customHeight="1">
      <c r="A1696" s="8"/>
      <c r="B1696" s="9"/>
      <c r="C1696" s="8"/>
      <c r="D1696" s="9"/>
      <c r="E1696" s="8">
        <v>2</v>
      </c>
      <c r="F1696" s="8">
        <v>2</v>
      </c>
      <c r="G1696" s="8">
        <v>0</v>
      </c>
      <c r="H1696" s="8">
        <v>2</v>
      </c>
      <c r="I1696" s="8">
        <v>2</v>
      </c>
      <c r="J1696" s="8">
        <v>2</v>
      </c>
      <c r="K1696" s="8">
        <v>2</v>
      </c>
      <c r="L1696" s="8">
        <v>2</v>
      </c>
      <c r="M1696" s="8">
        <v>0</v>
      </c>
      <c r="N1696" s="8">
        <v>0</v>
      </c>
      <c r="O1696" s="8">
        <v>2</v>
      </c>
      <c r="P1696" s="8">
        <v>2</v>
      </c>
      <c r="Q1696" s="8">
        <v>0</v>
      </c>
      <c r="R1696" s="8">
        <v>2</v>
      </c>
      <c r="S1696" s="8">
        <v>2</v>
      </c>
      <c r="T1696" s="8">
        <v>2</v>
      </c>
      <c r="U1696" s="8">
        <v>0</v>
      </c>
      <c r="V1696" s="8">
        <v>0</v>
      </c>
      <c r="W1696" s="8">
        <v>2</v>
      </c>
      <c r="X1696" s="8">
        <v>1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8">
        <v>0</v>
      </c>
      <c r="AH1696" s="8">
        <v>0</v>
      </c>
      <c r="AI1696" s="8">
        <v>0</v>
      </c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11" t="s">
        <v>252</v>
      </c>
    </row>
    <row r="1697" spans="1:46" ht="15.1" customHeight="1">
      <c r="A1697" s="8"/>
      <c r="B1697" s="9"/>
      <c r="C1697" s="8"/>
      <c r="D1697" s="9"/>
      <c r="E1697" s="8">
        <v>4.5</v>
      </c>
      <c r="F1697" s="8">
        <v>3</v>
      </c>
      <c r="G1697" s="8">
        <v>13.5</v>
      </c>
      <c r="H1697" s="8">
        <v>5</v>
      </c>
      <c r="I1697" s="8">
        <v>6.5</v>
      </c>
      <c r="J1697" s="8">
        <v>7</v>
      </c>
      <c r="K1697" s="8">
        <v>5</v>
      </c>
      <c r="L1697" s="8">
        <v>7</v>
      </c>
      <c r="M1697" s="8">
        <v>0</v>
      </c>
      <c r="N1697" s="8">
        <v>17</v>
      </c>
      <c r="O1697" s="8">
        <v>7</v>
      </c>
      <c r="P1697" s="8">
        <v>7</v>
      </c>
      <c r="Q1697" s="8">
        <v>0</v>
      </c>
      <c r="R1697" s="8">
        <v>7</v>
      </c>
      <c r="S1697" s="8">
        <v>7</v>
      </c>
      <c r="T1697" s="8">
        <v>3</v>
      </c>
      <c r="U1697" s="8">
        <v>12.5</v>
      </c>
      <c r="V1697" s="8">
        <v>0</v>
      </c>
      <c r="W1697" s="8">
        <v>7</v>
      </c>
      <c r="X1697" s="8">
        <v>0</v>
      </c>
      <c r="Y1697" s="8">
        <v>0</v>
      </c>
      <c r="Z1697" s="8">
        <v>0</v>
      </c>
      <c r="AA1697" s="8">
        <v>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  <c r="AH1697" s="8">
        <v>0</v>
      </c>
      <c r="AI1697" s="8">
        <v>0</v>
      </c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11" t="s">
        <v>252</v>
      </c>
    </row>
    <row r="1698" spans="1:46" ht="15.1" customHeight="1">
      <c r="A1698" s="8">
        <v>565</v>
      </c>
      <c r="B1698" s="9" t="s">
        <v>1377</v>
      </c>
      <c r="C1698" s="8" t="s">
        <v>1378</v>
      </c>
      <c r="D1698" s="9" t="s">
        <v>451</v>
      </c>
      <c r="E1698" s="8" t="s">
        <v>54</v>
      </c>
      <c r="F1698" s="12" t="s">
        <v>55</v>
      </c>
      <c r="G1698" s="10" t="s">
        <v>67</v>
      </c>
      <c r="H1698" s="8" t="s">
        <v>54</v>
      </c>
      <c r="I1698" s="8" t="s">
        <v>54</v>
      </c>
      <c r="J1698" s="8" t="s">
        <v>54</v>
      </c>
      <c r="K1698" s="8" t="s">
        <v>54</v>
      </c>
      <c r="L1698" s="8" t="s">
        <v>54</v>
      </c>
      <c r="M1698" s="8" t="s">
        <v>54</v>
      </c>
      <c r="N1698" s="10" t="s">
        <v>67</v>
      </c>
      <c r="O1698" s="12" t="s">
        <v>55</v>
      </c>
      <c r="P1698" s="8" t="s">
        <v>54</v>
      </c>
      <c r="Q1698" s="8" t="s">
        <v>54</v>
      </c>
      <c r="R1698" s="8" t="s">
        <v>54</v>
      </c>
      <c r="S1698" s="8" t="s">
        <v>54</v>
      </c>
      <c r="T1698" s="8" t="s">
        <v>54</v>
      </c>
      <c r="U1698" s="10" t="s">
        <v>67</v>
      </c>
      <c r="V1698" s="8" t="s">
        <v>54</v>
      </c>
      <c r="W1698" s="8" t="s">
        <v>54</v>
      </c>
      <c r="X1698" s="8" t="s">
        <v>54</v>
      </c>
      <c r="Y1698" s="8" t="s">
        <v>54</v>
      </c>
      <c r="Z1698" s="8" t="s">
        <v>54</v>
      </c>
      <c r="AA1698" s="8" t="s">
        <v>54</v>
      </c>
      <c r="AB1698" s="10" t="s">
        <v>67</v>
      </c>
      <c r="AC1698" s="8" t="s">
        <v>54</v>
      </c>
      <c r="AD1698" s="8" t="s">
        <v>54</v>
      </c>
      <c r="AE1698" s="8" t="s">
        <v>54</v>
      </c>
      <c r="AF1698" s="8" t="s">
        <v>54</v>
      </c>
      <c r="AG1698" s="8" t="s">
        <v>54</v>
      </c>
      <c r="AH1698" s="8" t="s">
        <v>54</v>
      </c>
      <c r="AI1698" s="10" t="s">
        <v>67</v>
      </c>
      <c r="AJ1698" s="8">
        <f>COUNTIF($E$1698:$AI$1698,"P")</f>
        <v>24</v>
      </c>
      <c r="AK1698" s="8">
        <f>COUNTIF($E$1698:$AI$1698,"A")</f>
        <v>2</v>
      </c>
      <c r="AL1698" s="8">
        <f>SUM($E$1699:$AI$1699)</f>
        <v>37</v>
      </c>
      <c r="AM1698" s="8">
        <f>SUM($E$1700:$AI$1700)</f>
        <v>111.5</v>
      </c>
      <c r="AN1698" s="8">
        <f>AL1698+AM1698</f>
        <v>148.5</v>
      </c>
      <c r="AO1698" s="8">
        <f>COUNTIF($E$1698:$AI$1698,"CL")</f>
        <v>0</v>
      </c>
      <c r="AP1698" s="8">
        <f>COUNTIF($E$1698:$AI$1698,"SL")</f>
        <v>0</v>
      </c>
      <c r="AQ1698" s="8">
        <f>COUNTIF($E$1698:$AI$1698,"EL")</f>
        <v>0</v>
      </c>
      <c r="AR1698" s="8">
        <f>COUNTIF($E$1698:$AI$1698,"H")</f>
        <v>0</v>
      </c>
      <c r="AS1698" s="8"/>
      <c r="AT1698" s="11" t="s">
        <v>252</v>
      </c>
    </row>
    <row r="1699" spans="1:46" ht="15.1" customHeight="1">
      <c r="A1699" s="8"/>
      <c r="B1699" s="9"/>
      <c r="C1699" s="8"/>
      <c r="D1699" s="9"/>
      <c r="E1699" s="8">
        <v>2</v>
      </c>
      <c r="F1699" s="8">
        <v>0</v>
      </c>
      <c r="G1699" s="8">
        <v>0</v>
      </c>
      <c r="H1699" s="8">
        <v>2</v>
      </c>
      <c r="I1699" s="8">
        <v>2</v>
      </c>
      <c r="J1699" s="8">
        <v>2</v>
      </c>
      <c r="K1699" s="8">
        <v>2</v>
      </c>
      <c r="L1699" s="8">
        <v>2</v>
      </c>
      <c r="M1699" s="8">
        <v>2</v>
      </c>
      <c r="N1699" s="8">
        <v>0</v>
      </c>
      <c r="O1699" s="8">
        <v>0</v>
      </c>
      <c r="P1699" s="8">
        <v>2</v>
      </c>
      <c r="Q1699" s="8">
        <v>2</v>
      </c>
      <c r="R1699" s="8">
        <v>2</v>
      </c>
      <c r="S1699" s="8">
        <v>2</v>
      </c>
      <c r="T1699" s="8">
        <v>2</v>
      </c>
      <c r="U1699" s="8">
        <v>0</v>
      </c>
      <c r="V1699" s="8">
        <v>2</v>
      </c>
      <c r="W1699" s="8">
        <v>2</v>
      </c>
      <c r="X1699" s="8">
        <v>2</v>
      </c>
      <c r="Y1699" s="8">
        <v>0</v>
      </c>
      <c r="Z1699" s="8">
        <v>0</v>
      </c>
      <c r="AA1699" s="8">
        <v>0</v>
      </c>
      <c r="AB1699" s="8">
        <v>0</v>
      </c>
      <c r="AC1699" s="8">
        <v>2</v>
      </c>
      <c r="AD1699" s="8">
        <v>2</v>
      </c>
      <c r="AE1699" s="8">
        <v>0</v>
      </c>
      <c r="AF1699" s="8">
        <v>1</v>
      </c>
      <c r="AG1699" s="8">
        <v>0</v>
      </c>
      <c r="AH1699" s="8">
        <v>2</v>
      </c>
      <c r="AI1699" s="8">
        <v>0</v>
      </c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11" t="s">
        <v>252</v>
      </c>
    </row>
    <row r="1700" spans="1:46" ht="15.1" customHeight="1">
      <c r="A1700" s="8"/>
      <c r="B1700" s="9"/>
      <c r="C1700" s="8"/>
      <c r="D1700" s="9"/>
      <c r="E1700" s="8">
        <v>3.5</v>
      </c>
      <c r="F1700" s="8">
        <v>0</v>
      </c>
      <c r="G1700" s="8">
        <v>0</v>
      </c>
      <c r="H1700" s="8">
        <v>5</v>
      </c>
      <c r="I1700" s="8">
        <v>7</v>
      </c>
      <c r="J1700" s="8">
        <v>6</v>
      </c>
      <c r="K1700" s="8">
        <v>7</v>
      </c>
      <c r="L1700" s="8">
        <v>7</v>
      </c>
      <c r="M1700" s="8">
        <v>5</v>
      </c>
      <c r="N1700" s="8">
        <v>17</v>
      </c>
      <c r="O1700" s="8">
        <v>0</v>
      </c>
      <c r="P1700" s="8">
        <v>3</v>
      </c>
      <c r="Q1700" s="8">
        <v>5</v>
      </c>
      <c r="R1700" s="8">
        <v>5</v>
      </c>
      <c r="S1700" s="8">
        <v>5</v>
      </c>
      <c r="T1700" s="8">
        <v>3</v>
      </c>
      <c r="U1700" s="8">
        <v>13</v>
      </c>
      <c r="V1700" s="8">
        <v>7</v>
      </c>
      <c r="W1700" s="8">
        <v>7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3</v>
      </c>
      <c r="AE1700" s="8">
        <v>0</v>
      </c>
      <c r="AF1700" s="8">
        <v>0</v>
      </c>
      <c r="AG1700" s="8">
        <v>0</v>
      </c>
      <c r="AH1700" s="8">
        <v>3</v>
      </c>
      <c r="AI1700" s="8">
        <v>0</v>
      </c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11" t="s">
        <v>252</v>
      </c>
    </row>
    <row r="1701" spans="1:46" ht="15.1" customHeight="1">
      <c r="A1701" s="8">
        <v>566</v>
      </c>
      <c r="B1701" s="9" t="s">
        <v>1332</v>
      </c>
      <c r="C1701" s="8" t="s">
        <v>1379</v>
      </c>
      <c r="D1701" s="9" t="s">
        <v>451</v>
      </c>
      <c r="E1701" s="8" t="s">
        <v>54</v>
      </c>
      <c r="F1701" s="8" t="s">
        <v>54</v>
      </c>
      <c r="G1701" s="10" t="s">
        <v>67</v>
      </c>
      <c r="H1701" s="12" t="s">
        <v>55</v>
      </c>
      <c r="I1701" s="12" t="s">
        <v>55</v>
      </c>
      <c r="J1701" s="8" t="s">
        <v>54</v>
      </c>
      <c r="K1701" s="8" t="s">
        <v>54</v>
      </c>
      <c r="L1701" s="8" t="s">
        <v>54</v>
      </c>
      <c r="M1701" s="8" t="s">
        <v>54</v>
      </c>
      <c r="N1701" s="10" t="s">
        <v>67</v>
      </c>
      <c r="O1701" s="8" t="s">
        <v>54</v>
      </c>
      <c r="P1701" s="8" t="s">
        <v>54</v>
      </c>
      <c r="Q1701" s="8" t="s">
        <v>54</v>
      </c>
      <c r="R1701" s="8" t="s">
        <v>54</v>
      </c>
      <c r="S1701" s="12" t="s">
        <v>55</v>
      </c>
      <c r="T1701" s="8" t="s">
        <v>54</v>
      </c>
      <c r="U1701" s="10" t="s">
        <v>67</v>
      </c>
      <c r="V1701" s="8" t="s">
        <v>54</v>
      </c>
      <c r="W1701" s="8" t="s">
        <v>54</v>
      </c>
      <c r="X1701" s="8" t="s">
        <v>54</v>
      </c>
      <c r="Y1701" s="12" t="s">
        <v>55</v>
      </c>
      <c r="Z1701" s="8" t="s">
        <v>54</v>
      </c>
      <c r="AA1701" s="8" t="s">
        <v>54</v>
      </c>
      <c r="AB1701" s="10" t="s">
        <v>67</v>
      </c>
      <c r="AC1701" s="8" t="s">
        <v>54</v>
      </c>
      <c r="AD1701" s="8" t="s">
        <v>54</v>
      </c>
      <c r="AE1701" s="8" t="s">
        <v>54</v>
      </c>
      <c r="AF1701" s="8" t="s">
        <v>54</v>
      </c>
      <c r="AG1701" s="8" t="s">
        <v>54</v>
      </c>
      <c r="AH1701" s="8" t="s">
        <v>54</v>
      </c>
      <c r="AI1701" s="10" t="s">
        <v>67</v>
      </c>
      <c r="AJ1701" s="8">
        <f>COUNTIF($E$1701:$AI$1701,"P")</f>
        <v>22</v>
      </c>
      <c r="AK1701" s="8">
        <f>COUNTIF($E$1701:$AI$1701,"A")</f>
        <v>4</v>
      </c>
      <c r="AL1701" s="8">
        <f>SUM($E$1702:$AI$1702)</f>
        <v>29</v>
      </c>
      <c r="AM1701" s="8">
        <f>SUM($E$1703:$AI$1703)</f>
        <v>95.5</v>
      </c>
      <c r="AN1701" s="8">
        <f>AL1701+AM1701</f>
        <v>124.5</v>
      </c>
      <c r="AO1701" s="8">
        <f>COUNTIF($E$1701:$AI$1701,"CL")</f>
        <v>0</v>
      </c>
      <c r="AP1701" s="8">
        <f>COUNTIF($E$1701:$AI$1701,"SL")</f>
        <v>0</v>
      </c>
      <c r="AQ1701" s="8">
        <f>COUNTIF($E$1701:$AI$1701,"EL")</f>
        <v>0</v>
      </c>
      <c r="AR1701" s="8">
        <f>COUNTIF($E$1701:$AI$1701,"H")</f>
        <v>0</v>
      </c>
      <c r="AS1701" s="8"/>
      <c r="AT1701" s="11" t="s">
        <v>252</v>
      </c>
    </row>
    <row r="1702" spans="1:46" ht="15.1" customHeight="1">
      <c r="A1702" s="8"/>
      <c r="B1702" s="9"/>
      <c r="C1702" s="8"/>
      <c r="D1702" s="9"/>
      <c r="E1702" s="8">
        <v>2</v>
      </c>
      <c r="F1702" s="8">
        <v>2</v>
      </c>
      <c r="G1702" s="8">
        <v>0</v>
      </c>
      <c r="H1702" s="8">
        <v>0</v>
      </c>
      <c r="I1702" s="8">
        <v>0</v>
      </c>
      <c r="J1702" s="8">
        <v>2</v>
      </c>
      <c r="K1702" s="8">
        <v>2</v>
      </c>
      <c r="L1702" s="8">
        <v>2</v>
      </c>
      <c r="M1702" s="8">
        <v>2</v>
      </c>
      <c r="N1702" s="8">
        <v>0</v>
      </c>
      <c r="O1702" s="8">
        <v>2</v>
      </c>
      <c r="P1702" s="8">
        <v>2</v>
      </c>
      <c r="Q1702" s="8">
        <v>2</v>
      </c>
      <c r="R1702" s="8">
        <v>2</v>
      </c>
      <c r="S1702" s="8">
        <v>0</v>
      </c>
      <c r="T1702" s="8">
        <v>2</v>
      </c>
      <c r="U1702" s="8">
        <v>0</v>
      </c>
      <c r="V1702" s="8">
        <v>2</v>
      </c>
      <c r="W1702" s="8">
        <v>2</v>
      </c>
      <c r="X1702" s="8">
        <v>2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8">
        <v>1</v>
      </c>
      <c r="AH1702" s="8">
        <v>0</v>
      </c>
      <c r="AI1702" s="8">
        <v>0</v>
      </c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11" t="s">
        <v>252</v>
      </c>
    </row>
    <row r="1703" spans="1:46" ht="15.1" customHeight="1">
      <c r="A1703" s="8"/>
      <c r="B1703" s="9"/>
      <c r="C1703" s="8"/>
      <c r="D1703" s="9"/>
      <c r="E1703" s="8">
        <v>4.5</v>
      </c>
      <c r="F1703" s="8">
        <v>0</v>
      </c>
      <c r="G1703" s="8">
        <v>0</v>
      </c>
      <c r="H1703" s="8">
        <v>0</v>
      </c>
      <c r="I1703" s="8">
        <v>0</v>
      </c>
      <c r="J1703" s="8">
        <v>6.5</v>
      </c>
      <c r="K1703" s="8">
        <v>7</v>
      </c>
      <c r="L1703" s="8">
        <v>7</v>
      </c>
      <c r="M1703" s="8">
        <v>5</v>
      </c>
      <c r="N1703" s="8">
        <v>16.5</v>
      </c>
      <c r="O1703" s="8">
        <v>7</v>
      </c>
      <c r="P1703" s="8">
        <v>6.5</v>
      </c>
      <c r="Q1703" s="8">
        <v>4.5</v>
      </c>
      <c r="R1703" s="8">
        <v>7</v>
      </c>
      <c r="S1703" s="8">
        <v>0</v>
      </c>
      <c r="T1703" s="8">
        <v>3</v>
      </c>
      <c r="U1703" s="8">
        <v>8</v>
      </c>
      <c r="V1703" s="8">
        <v>6.5</v>
      </c>
      <c r="W1703" s="8">
        <v>6.5</v>
      </c>
      <c r="X1703" s="8">
        <v>0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8">
        <v>0</v>
      </c>
      <c r="AH1703" s="8">
        <v>0</v>
      </c>
      <c r="AI1703" s="8">
        <v>0</v>
      </c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11" t="s">
        <v>252</v>
      </c>
    </row>
    <row r="1704" spans="1:46" ht="15.1" customHeight="1">
      <c r="A1704" s="8">
        <v>567</v>
      </c>
      <c r="B1704" s="9" t="s">
        <v>1380</v>
      </c>
      <c r="C1704" s="8" t="s">
        <v>1381</v>
      </c>
      <c r="D1704" s="9" t="s">
        <v>451</v>
      </c>
      <c r="E1704" s="8" t="s">
        <v>54</v>
      </c>
      <c r="F1704" s="8" t="s">
        <v>54</v>
      </c>
      <c r="G1704" s="10" t="s">
        <v>67</v>
      </c>
      <c r="H1704" s="8" t="s">
        <v>54</v>
      </c>
      <c r="I1704" s="8" t="s">
        <v>54</v>
      </c>
      <c r="J1704" s="8" t="s">
        <v>54</v>
      </c>
      <c r="K1704" s="8" t="s">
        <v>54</v>
      </c>
      <c r="L1704" s="8" t="s">
        <v>54</v>
      </c>
      <c r="M1704" s="8" t="s">
        <v>54</v>
      </c>
      <c r="N1704" s="10" t="s">
        <v>67</v>
      </c>
      <c r="O1704" s="8" t="s">
        <v>54</v>
      </c>
      <c r="P1704" s="8" t="s">
        <v>54</v>
      </c>
      <c r="Q1704" s="8" t="s">
        <v>54</v>
      </c>
      <c r="R1704" s="8" t="s">
        <v>54</v>
      </c>
      <c r="S1704" s="8" t="s">
        <v>54</v>
      </c>
      <c r="T1704" s="8" t="s">
        <v>54</v>
      </c>
      <c r="U1704" s="10" t="s">
        <v>67</v>
      </c>
      <c r="V1704" s="8" t="s">
        <v>54</v>
      </c>
      <c r="W1704" s="8" t="s">
        <v>54</v>
      </c>
      <c r="X1704" s="8" t="s">
        <v>54</v>
      </c>
      <c r="Y1704" s="8" t="s">
        <v>54</v>
      </c>
      <c r="Z1704" s="8" t="s">
        <v>54</v>
      </c>
      <c r="AA1704" s="8" t="s">
        <v>54</v>
      </c>
      <c r="AB1704" s="10" t="s">
        <v>67</v>
      </c>
      <c r="AC1704" s="8" t="s">
        <v>54</v>
      </c>
      <c r="AD1704" s="8" t="s">
        <v>54</v>
      </c>
      <c r="AE1704" s="8" t="s">
        <v>54</v>
      </c>
      <c r="AF1704" s="8" t="s">
        <v>54</v>
      </c>
      <c r="AG1704" s="8" t="s">
        <v>54</v>
      </c>
      <c r="AH1704" s="8" t="s">
        <v>54</v>
      </c>
      <c r="AI1704" s="10" t="s">
        <v>67</v>
      </c>
      <c r="AJ1704" s="8">
        <f>COUNTIF($E$1704:$AI$1704,"P")</f>
        <v>26</v>
      </c>
      <c r="AK1704" s="8">
        <f>COUNTIF($E$1704:$AI$1704,"A")</f>
        <v>0</v>
      </c>
      <c r="AL1704" s="8">
        <f>SUM($E$1705:$AI$1705)</f>
        <v>34</v>
      </c>
      <c r="AM1704" s="8">
        <f>SUM($E$1706:$AI$1706)</f>
        <v>117.5</v>
      </c>
      <c r="AN1704" s="8">
        <f>AL1704+AM1704</f>
        <v>151</v>
      </c>
      <c r="AO1704" s="8">
        <f>COUNTIF($E$1704:$AI$1704,"CL")</f>
        <v>0</v>
      </c>
      <c r="AP1704" s="8">
        <f>COUNTIF($E$1704:$AI$1704,"SL")</f>
        <v>0</v>
      </c>
      <c r="AQ1704" s="8">
        <f>COUNTIF($E$1704:$AI$1704,"EL")</f>
        <v>0</v>
      </c>
      <c r="AR1704" s="8">
        <f>COUNTIF($E$1704:$AI$1704,"H")</f>
        <v>0</v>
      </c>
      <c r="AS1704" s="8"/>
      <c r="AT1704" s="11" t="s">
        <v>252</v>
      </c>
    </row>
    <row r="1705" spans="1:46" ht="15.1" customHeight="1">
      <c r="A1705" s="8"/>
      <c r="B1705" s="9"/>
      <c r="C1705" s="8"/>
      <c r="D1705" s="9"/>
      <c r="E1705" s="8">
        <v>2</v>
      </c>
      <c r="F1705" s="8">
        <v>2</v>
      </c>
      <c r="G1705" s="8">
        <v>0</v>
      </c>
      <c r="H1705" s="8">
        <v>2</v>
      </c>
      <c r="I1705" s="8">
        <v>2</v>
      </c>
      <c r="J1705" s="8">
        <v>2</v>
      </c>
      <c r="K1705" s="8">
        <v>2</v>
      </c>
      <c r="L1705" s="8">
        <v>2</v>
      </c>
      <c r="M1705" s="8">
        <v>2</v>
      </c>
      <c r="N1705" s="8">
        <v>0</v>
      </c>
      <c r="O1705" s="8">
        <v>2</v>
      </c>
      <c r="P1705" s="8">
        <v>2</v>
      </c>
      <c r="Q1705" s="8">
        <v>2</v>
      </c>
      <c r="R1705" s="8">
        <v>2</v>
      </c>
      <c r="S1705" s="8">
        <v>2</v>
      </c>
      <c r="T1705" s="8">
        <v>2</v>
      </c>
      <c r="U1705" s="8">
        <v>0</v>
      </c>
      <c r="V1705" s="8">
        <v>2</v>
      </c>
      <c r="W1705" s="8">
        <v>2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2</v>
      </c>
      <c r="AE1705" s="8">
        <v>0</v>
      </c>
      <c r="AF1705" s="8">
        <v>0</v>
      </c>
      <c r="AG1705" s="8">
        <v>0</v>
      </c>
      <c r="AH1705" s="8">
        <v>0</v>
      </c>
      <c r="AI1705" s="8">
        <v>0</v>
      </c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11" t="s">
        <v>252</v>
      </c>
    </row>
    <row r="1706" spans="1:46" ht="15.1" customHeight="1">
      <c r="A1706" s="8"/>
      <c r="B1706" s="9"/>
      <c r="C1706" s="8"/>
      <c r="D1706" s="9"/>
      <c r="E1706" s="8">
        <v>5</v>
      </c>
      <c r="F1706" s="8">
        <v>5</v>
      </c>
      <c r="G1706" s="8">
        <v>13.5</v>
      </c>
      <c r="H1706" s="8">
        <v>5</v>
      </c>
      <c r="I1706" s="8">
        <v>0</v>
      </c>
      <c r="J1706" s="8">
        <v>7</v>
      </c>
      <c r="K1706" s="8">
        <v>6.5</v>
      </c>
      <c r="L1706" s="8">
        <v>6.5</v>
      </c>
      <c r="M1706" s="8">
        <v>4.5</v>
      </c>
      <c r="N1706" s="8">
        <v>16.5</v>
      </c>
      <c r="O1706" s="8">
        <v>6.5</v>
      </c>
      <c r="P1706" s="8">
        <v>0</v>
      </c>
      <c r="Q1706" s="8">
        <v>5</v>
      </c>
      <c r="R1706" s="8">
        <v>6.5</v>
      </c>
      <c r="S1706" s="8">
        <v>6.5</v>
      </c>
      <c r="T1706" s="8">
        <v>2.5</v>
      </c>
      <c r="U1706" s="8">
        <v>12</v>
      </c>
      <c r="V1706" s="8">
        <v>7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2</v>
      </c>
      <c r="AE1706" s="8">
        <v>0</v>
      </c>
      <c r="AF1706" s="8">
        <v>0</v>
      </c>
      <c r="AG1706" s="8">
        <v>0</v>
      </c>
      <c r="AH1706" s="8">
        <v>0</v>
      </c>
      <c r="AI1706" s="8">
        <v>0</v>
      </c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11" t="s">
        <v>252</v>
      </c>
    </row>
    <row r="1707" spans="1:46" ht="15.1" customHeight="1">
      <c r="A1707" s="8">
        <v>568</v>
      </c>
      <c r="B1707" s="9" t="s">
        <v>1382</v>
      </c>
      <c r="C1707" s="8" t="s">
        <v>1383</v>
      </c>
      <c r="D1707" s="9" t="s">
        <v>451</v>
      </c>
      <c r="E1707" s="8" t="s">
        <v>54</v>
      </c>
      <c r="F1707" s="8" t="s">
        <v>54</v>
      </c>
      <c r="G1707" s="10" t="s">
        <v>67</v>
      </c>
      <c r="H1707" s="8" t="s">
        <v>54</v>
      </c>
      <c r="I1707" s="8" t="s">
        <v>54</v>
      </c>
      <c r="J1707" s="8" t="s">
        <v>54</v>
      </c>
      <c r="K1707" s="8" t="s">
        <v>54</v>
      </c>
      <c r="L1707" s="8" t="s">
        <v>54</v>
      </c>
      <c r="M1707" s="8" t="s">
        <v>54</v>
      </c>
      <c r="N1707" s="10" t="s">
        <v>67</v>
      </c>
      <c r="O1707" s="8" t="s">
        <v>54</v>
      </c>
      <c r="P1707" s="8" t="s">
        <v>54</v>
      </c>
      <c r="Q1707" s="8" t="s">
        <v>54</v>
      </c>
      <c r="R1707" s="8" t="s">
        <v>54</v>
      </c>
      <c r="S1707" s="8" t="s">
        <v>54</v>
      </c>
      <c r="T1707" s="8" t="s">
        <v>54</v>
      </c>
      <c r="U1707" s="10" t="s">
        <v>67</v>
      </c>
      <c r="V1707" s="8" t="s">
        <v>54</v>
      </c>
      <c r="W1707" s="8" t="s">
        <v>54</v>
      </c>
      <c r="X1707" s="8" t="s">
        <v>54</v>
      </c>
      <c r="Y1707" s="8" t="s">
        <v>54</v>
      </c>
      <c r="Z1707" s="8" t="s">
        <v>54</v>
      </c>
      <c r="AA1707" s="8" t="s">
        <v>54</v>
      </c>
      <c r="AB1707" s="10" t="s">
        <v>67</v>
      </c>
      <c r="AC1707" s="8" t="s">
        <v>54</v>
      </c>
      <c r="AD1707" s="8" t="s">
        <v>54</v>
      </c>
      <c r="AE1707" s="8" t="s">
        <v>54</v>
      </c>
      <c r="AF1707" s="8" t="s">
        <v>54</v>
      </c>
      <c r="AG1707" s="8" t="s">
        <v>54</v>
      </c>
      <c r="AH1707" s="8" t="s">
        <v>54</v>
      </c>
      <c r="AI1707" s="10" t="s">
        <v>67</v>
      </c>
      <c r="AJ1707" s="8">
        <f>COUNTIF($E$1707:$AI$1707,"P")</f>
        <v>26</v>
      </c>
      <c r="AK1707" s="8">
        <f>COUNTIF($E$1707:$AI$1707,"A")</f>
        <v>0</v>
      </c>
      <c r="AL1707" s="8">
        <f>SUM($E$1708:$AI$1708)</f>
        <v>36</v>
      </c>
      <c r="AM1707" s="8">
        <f>SUM($E$1709:$AI$1709)</f>
        <v>118.5</v>
      </c>
      <c r="AN1707" s="8">
        <f>AL1707+AM1707</f>
        <v>154.5</v>
      </c>
      <c r="AO1707" s="8">
        <f>COUNTIF($E$1707:$AI$1707,"CL")</f>
        <v>0</v>
      </c>
      <c r="AP1707" s="8">
        <f>COUNTIF($E$1707:$AI$1707,"SL")</f>
        <v>0</v>
      </c>
      <c r="AQ1707" s="8">
        <f>COUNTIF($E$1707:$AI$1707,"EL")</f>
        <v>0</v>
      </c>
      <c r="AR1707" s="8">
        <f>COUNTIF($E$1707:$AI$1707,"H")</f>
        <v>0</v>
      </c>
      <c r="AS1707" s="8"/>
      <c r="AT1707" s="11" t="s">
        <v>252</v>
      </c>
    </row>
    <row r="1708" spans="1:46" ht="15.1" customHeight="1">
      <c r="A1708" s="8"/>
      <c r="B1708" s="9"/>
      <c r="C1708" s="8"/>
      <c r="D1708" s="9"/>
      <c r="E1708" s="8">
        <v>2</v>
      </c>
      <c r="F1708" s="8">
        <v>2</v>
      </c>
      <c r="G1708" s="8">
        <v>0</v>
      </c>
      <c r="H1708" s="8">
        <v>2</v>
      </c>
      <c r="I1708" s="8">
        <v>2</v>
      </c>
      <c r="J1708" s="8">
        <v>2</v>
      </c>
      <c r="K1708" s="8">
        <v>2</v>
      </c>
      <c r="L1708" s="8">
        <v>2</v>
      </c>
      <c r="M1708" s="8">
        <v>2</v>
      </c>
      <c r="N1708" s="8">
        <v>0</v>
      </c>
      <c r="O1708" s="8">
        <v>2</v>
      </c>
      <c r="P1708" s="8">
        <v>2</v>
      </c>
      <c r="Q1708" s="8">
        <v>2</v>
      </c>
      <c r="R1708" s="8">
        <v>2</v>
      </c>
      <c r="S1708" s="8">
        <v>2</v>
      </c>
      <c r="T1708" s="8">
        <v>2</v>
      </c>
      <c r="U1708" s="8">
        <v>0</v>
      </c>
      <c r="V1708" s="8">
        <v>2</v>
      </c>
      <c r="W1708" s="8">
        <v>2</v>
      </c>
      <c r="X1708" s="8">
        <v>1</v>
      </c>
      <c r="Y1708" s="8">
        <v>0</v>
      </c>
      <c r="Z1708" s="8">
        <v>0</v>
      </c>
      <c r="AA1708" s="8">
        <v>0</v>
      </c>
      <c r="AB1708" s="8">
        <v>0</v>
      </c>
      <c r="AC1708" s="8">
        <v>1</v>
      </c>
      <c r="AD1708" s="8">
        <v>2</v>
      </c>
      <c r="AE1708" s="8">
        <v>0</v>
      </c>
      <c r="AF1708" s="8">
        <v>0</v>
      </c>
      <c r="AG1708" s="8">
        <v>0</v>
      </c>
      <c r="AH1708" s="8">
        <v>0</v>
      </c>
      <c r="AI1708" s="8">
        <v>0</v>
      </c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11" t="s">
        <v>252</v>
      </c>
    </row>
    <row r="1709" spans="1:46" ht="15.1" customHeight="1">
      <c r="A1709" s="8"/>
      <c r="B1709" s="9"/>
      <c r="C1709" s="8"/>
      <c r="D1709" s="9"/>
      <c r="E1709" s="8">
        <v>3</v>
      </c>
      <c r="F1709" s="8">
        <v>2.5</v>
      </c>
      <c r="G1709" s="8">
        <v>13</v>
      </c>
      <c r="H1709" s="8">
        <v>3.5</v>
      </c>
      <c r="I1709" s="8">
        <v>5</v>
      </c>
      <c r="J1709" s="8">
        <v>4</v>
      </c>
      <c r="K1709" s="8">
        <v>4.5</v>
      </c>
      <c r="L1709" s="8">
        <v>5</v>
      </c>
      <c r="M1709" s="8">
        <v>5</v>
      </c>
      <c r="N1709" s="8">
        <v>16</v>
      </c>
      <c r="O1709" s="8">
        <v>7</v>
      </c>
      <c r="P1709" s="8">
        <v>7</v>
      </c>
      <c r="Q1709" s="8">
        <v>5</v>
      </c>
      <c r="R1709" s="8">
        <v>4</v>
      </c>
      <c r="S1709" s="8">
        <v>3.5</v>
      </c>
      <c r="T1709" s="8">
        <v>2.5</v>
      </c>
      <c r="U1709" s="8">
        <v>12.5</v>
      </c>
      <c r="V1709" s="8">
        <v>7</v>
      </c>
      <c r="W1709" s="8">
        <v>5.5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3</v>
      </c>
      <c r="AE1709" s="8">
        <v>0</v>
      </c>
      <c r="AF1709" s="8">
        <v>0</v>
      </c>
      <c r="AG1709" s="8">
        <v>0</v>
      </c>
      <c r="AH1709" s="8">
        <v>0</v>
      </c>
      <c r="AI1709" s="8">
        <v>0</v>
      </c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11" t="s">
        <v>252</v>
      </c>
    </row>
    <row r="1710" spans="1:46" ht="15.1" customHeight="1">
      <c r="A1710" s="8">
        <v>569</v>
      </c>
      <c r="B1710" s="9" t="s">
        <v>1384</v>
      </c>
      <c r="C1710" s="8" t="s">
        <v>1385</v>
      </c>
      <c r="D1710" s="9" t="s">
        <v>451</v>
      </c>
      <c r="E1710" s="8" t="s">
        <v>54</v>
      </c>
      <c r="F1710" s="8" t="s">
        <v>54</v>
      </c>
      <c r="G1710" s="10" t="s">
        <v>67</v>
      </c>
      <c r="H1710" s="8" t="s">
        <v>54</v>
      </c>
      <c r="I1710" s="8" t="s">
        <v>54</v>
      </c>
      <c r="J1710" s="8" t="s">
        <v>54</v>
      </c>
      <c r="K1710" s="8" t="s">
        <v>54</v>
      </c>
      <c r="L1710" s="8" t="s">
        <v>54</v>
      </c>
      <c r="M1710" s="8" t="s">
        <v>54</v>
      </c>
      <c r="N1710" s="10" t="s">
        <v>67</v>
      </c>
      <c r="O1710" s="8" t="s">
        <v>54</v>
      </c>
      <c r="P1710" s="8" t="s">
        <v>54</v>
      </c>
      <c r="Q1710" s="8" t="s">
        <v>54</v>
      </c>
      <c r="R1710" s="8" t="s">
        <v>54</v>
      </c>
      <c r="S1710" s="8" t="s">
        <v>54</v>
      </c>
      <c r="T1710" s="8" t="s">
        <v>54</v>
      </c>
      <c r="U1710" s="10" t="s">
        <v>67</v>
      </c>
      <c r="V1710" s="8" t="s">
        <v>54</v>
      </c>
      <c r="W1710" s="8" t="s">
        <v>54</v>
      </c>
      <c r="X1710" s="8" t="s">
        <v>54</v>
      </c>
      <c r="Y1710" s="8" t="s">
        <v>54</v>
      </c>
      <c r="Z1710" s="8" t="s">
        <v>54</v>
      </c>
      <c r="AA1710" s="8" t="s">
        <v>59</v>
      </c>
      <c r="AB1710" s="10" t="s">
        <v>67</v>
      </c>
      <c r="AC1710" s="8" t="s">
        <v>59</v>
      </c>
      <c r="AD1710" s="8" t="s">
        <v>54</v>
      </c>
      <c r="AE1710" s="8" t="s">
        <v>54</v>
      </c>
      <c r="AF1710" s="8" t="s">
        <v>54</v>
      </c>
      <c r="AG1710" s="8" t="s">
        <v>54</v>
      </c>
      <c r="AH1710" s="8" t="s">
        <v>54</v>
      </c>
      <c r="AI1710" s="10" t="s">
        <v>67</v>
      </c>
      <c r="AJ1710" s="8">
        <f>COUNTIF($E$1710:$AI$1710,"P")</f>
        <v>24</v>
      </c>
      <c r="AK1710" s="8">
        <f>COUNTIF($E$1710:$AI$1710,"A")</f>
        <v>0</v>
      </c>
      <c r="AL1710" s="8">
        <f>SUM($E$1711:$AI$1711)</f>
        <v>35</v>
      </c>
      <c r="AM1710" s="8">
        <f>SUM($E$1712:$AI$1712)</f>
        <v>149</v>
      </c>
      <c r="AN1710" s="8">
        <f>AL1710+AM1710</f>
        <v>184</v>
      </c>
      <c r="AO1710" s="8">
        <f>COUNTIF($E$1710:$AI$1710,"CL")</f>
        <v>2</v>
      </c>
      <c r="AP1710" s="8">
        <f>COUNTIF($E$1710:$AI$1710,"SL")</f>
        <v>0</v>
      </c>
      <c r="AQ1710" s="8">
        <f>COUNTIF($E$1710:$AI$1710,"EL")</f>
        <v>0</v>
      </c>
      <c r="AR1710" s="8">
        <f>COUNTIF($E$1710:$AI$1710,"H")</f>
        <v>0</v>
      </c>
      <c r="AS1710" s="8"/>
      <c r="AT1710" s="11" t="s">
        <v>252</v>
      </c>
    </row>
    <row r="1711" spans="1:46" ht="15.1" customHeight="1">
      <c r="A1711" s="8"/>
      <c r="B1711" s="9"/>
      <c r="C1711" s="8"/>
      <c r="D1711" s="9"/>
      <c r="E1711" s="8">
        <v>2</v>
      </c>
      <c r="F1711" s="8">
        <v>2</v>
      </c>
      <c r="G1711" s="8">
        <v>0</v>
      </c>
      <c r="H1711" s="8">
        <v>2</v>
      </c>
      <c r="I1711" s="8">
        <v>2</v>
      </c>
      <c r="J1711" s="8">
        <v>2</v>
      </c>
      <c r="K1711" s="8">
        <v>2</v>
      </c>
      <c r="L1711" s="8">
        <v>2</v>
      </c>
      <c r="M1711" s="8">
        <v>2</v>
      </c>
      <c r="N1711" s="8">
        <v>0</v>
      </c>
      <c r="O1711" s="8">
        <v>2</v>
      </c>
      <c r="P1711" s="8">
        <v>2</v>
      </c>
      <c r="Q1711" s="8">
        <v>2</v>
      </c>
      <c r="R1711" s="8">
        <v>2</v>
      </c>
      <c r="S1711" s="8">
        <v>2</v>
      </c>
      <c r="T1711" s="8">
        <v>2</v>
      </c>
      <c r="U1711" s="8">
        <v>0</v>
      </c>
      <c r="V1711" s="8">
        <v>2</v>
      </c>
      <c r="W1711" s="8">
        <v>2</v>
      </c>
      <c r="X1711" s="8">
        <v>2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1</v>
      </c>
      <c r="AE1711" s="8">
        <v>0</v>
      </c>
      <c r="AF1711" s="8">
        <v>0</v>
      </c>
      <c r="AG1711" s="8">
        <v>0</v>
      </c>
      <c r="AH1711" s="8">
        <v>0</v>
      </c>
      <c r="AI1711" s="8">
        <v>0</v>
      </c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11" t="s">
        <v>252</v>
      </c>
    </row>
    <row r="1712" spans="1:46" ht="15.1" customHeight="1">
      <c r="A1712" s="8"/>
      <c r="B1712" s="9"/>
      <c r="C1712" s="8"/>
      <c r="D1712" s="9"/>
      <c r="E1712" s="8">
        <v>3.5</v>
      </c>
      <c r="F1712" s="8">
        <v>3</v>
      </c>
      <c r="G1712" s="8">
        <v>13</v>
      </c>
      <c r="H1712" s="8">
        <v>6</v>
      </c>
      <c r="I1712" s="8">
        <v>7</v>
      </c>
      <c r="J1712" s="8">
        <v>5</v>
      </c>
      <c r="K1712" s="8">
        <v>7</v>
      </c>
      <c r="L1712" s="8">
        <v>7</v>
      </c>
      <c r="M1712" s="8">
        <v>11</v>
      </c>
      <c r="N1712" s="8">
        <v>20.5</v>
      </c>
      <c r="O1712" s="8">
        <v>11</v>
      </c>
      <c r="P1712" s="8">
        <v>11</v>
      </c>
      <c r="Q1712" s="8">
        <v>2.5</v>
      </c>
      <c r="R1712" s="8">
        <v>7.5</v>
      </c>
      <c r="S1712" s="8">
        <v>6</v>
      </c>
      <c r="T1712" s="8">
        <v>3</v>
      </c>
      <c r="U1712" s="8">
        <v>8</v>
      </c>
      <c r="V1712" s="8">
        <v>7</v>
      </c>
      <c r="W1712" s="8">
        <v>7</v>
      </c>
      <c r="X1712" s="8">
        <v>3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  <c r="AH1712" s="8">
        <v>0</v>
      </c>
      <c r="AI1712" s="8">
        <v>0</v>
      </c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11" t="s">
        <v>252</v>
      </c>
    </row>
    <row r="1713" spans="1:46" ht="15.1" customHeight="1">
      <c r="A1713" s="8">
        <v>570</v>
      </c>
      <c r="B1713" s="9" t="s">
        <v>1386</v>
      </c>
      <c r="C1713" s="8" t="s">
        <v>1387</v>
      </c>
      <c r="D1713" s="9" t="s">
        <v>451</v>
      </c>
      <c r="E1713" s="12" t="s">
        <v>55</v>
      </c>
      <c r="F1713" s="8" t="s">
        <v>54</v>
      </c>
      <c r="G1713" s="10" t="s">
        <v>67</v>
      </c>
      <c r="H1713" s="8" t="s">
        <v>54</v>
      </c>
      <c r="I1713" s="8" t="s">
        <v>54</v>
      </c>
      <c r="J1713" s="8" t="s">
        <v>54</v>
      </c>
      <c r="K1713" s="8" t="s">
        <v>54</v>
      </c>
      <c r="L1713" s="8" t="s">
        <v>54</v>
      </c>
      <c r="M1713" s="12" t="s">
        <v>55</v>
      </c>
      <c r="N1713" s="10" t="s">
        <v>67</v>
      </c>
      <c r="O1713" s="8" t="s">
        <v>54</v>
      </c>
      <c r="P1713" s="8" t="s">
        <v>54</v>
      </c>
      <c r="Q1713" s="8" t="s">
        <v>54</v>
      </c>
      <c r="R1713" s="8" t="s">
        <v>54</v>
      </c>
      <c r="S1713" s="8" t="s">
        <v>54</v>
      </c>
      <c r="T1713" s="8" t="s">
        <v>54</v>
      </c>
      <c r="U1713" s="10" t="s">
        <v>67</v>
      </c>
      <c r="V1713" s="12" t="s">
        <v>55</v>
      </c>
      <c r="W1713" s="12" t="s">
        <v>55</v>
      </c>
      <c r="X1713" s="8" t="s">
        <v>54</v>
      </c>
      <c r="Y1713" s="8" t="s">
        <v>54</v>
      </c>
      <c r="Z1713" s="8" t="s">
        <v>54</v>
      </c>
      <c r="AA1713" s="8" t="s">
        <v>54</v>
      </c>
      <c r="AB1713" s="10" t="s">
        <v>67</v>
      </c>
      <c r="AC1713" s="8" t="s">
        <v>54</v>
      </c>
      <c r="AD1713" s="8" t="s">
        <v>54</v>
      </c>
      <c r="AE1713" s="8" t="s">
        <v>54</v>
      </c>
      <c r="AF1713" s="8" t="s">
        <v>54</v>
      </c>
      <c r="AG1713" s="8" t="s">
        <v>54</v>
      </c>
      <c r="AH1713" s="8" t="s">
        <v>54</v>
      </c>
      <c r="AI1713" s="10" t="s">
        <v>67</v>
      </c>
      <c r="AJ1713" s="8">
        <f>COUNTIF($E$1713:$AI$1713,"P")</f>
        <v>22</v>
      </c>
      <c r="AK1713" s="8">
        <f>COUNTIF($E$1713:$AI$1713,"A")</f>
        <v>4</v>
      </c>
      <c r="AL1713" s="8">
        <f>SUM($E$1714:$AI$1714)</f>
        <v>30</v>
      </c>
      <c r="AM1713" s="8">
        <f>SUM($E$1715:$AI$1715)</f>
        <v>85.5</v>
      </c>
      <c r="AN1713" s="8">
        <f>AL1713+AM1713</f>
        <v>115.5</v>
      </c>
      <c r="AO1713" s="8">
        <f>COUNTIF($E$1713:$AI$1713,"CL")</f>
        <v>0</v>
      </c>
      <c r="AP1713" s="8">
        <f>COUNTIF($E$1713:$AI$1713,"SL")</f>
        <v>0</v>
      </c>
      <c r="AQ1713" s="8">
        <f>COUNTIF($E$1713:$AI$1713,"EL")</f>
        <v>0</v>
      </c>
      <c r="AR1713" s="8">
        <f>COUNTIF($E$1713:$AI$1713,"H")</f>
        <v>0</v>
      </c>
      <c r="AS1713" s="8"/>
      <c r="AT1713" s="11" t="s">
        <v>252</v>
      </c>
    </row>
    <row r="1714" spans="1:46" ht="15.1" customHeight="1">
      <c r="A1714" s="8"/>
      <c r="B1714" s="9"/>
      <c r="C1714" s="8"/>
      <c r="D1714" s="9"/>
      <c r="E1714" s="8">
        <v>0</v>
      </c>
      <c r="F1714" s="8">
        <v>2</v>
      </c>
      <c r="G1714" s="8">
        <v>0</v>
      </c>
      <c r="H1714" s="8">
        <v>2</v>
      </c>
      <c r="I1714" s="8">
        <v>2</v>
      </c>
      <c r="J1714" s="8">
        <v>2</v>
      </c>
      <c r="K1714" s="8">
        <v>2</v>
      </c>
      <c r="L1714" s="8">
        <v>2</v>
      </c>
      <c r="M1714" s="8">
        <v>0</v>
      </c>
      <c r="N1714" s="8">
        <v>0</v>
      </c>
      <c r="O1714" s="8">
        <v>2</v>
      </c>
      <c r="P1714" s="8">
        <v>2</v>
      </c>
      <c r="Q1714" s="8">
        <v>2</v>
      </c>
      <c r="R1714" s="8">
        <v>2</v>
      </c>
      <c r="S1714" s="8">
        <v>2</v>
      </c>
      <c r="T1714" s="8">
        <v>2</v>
      </c>
      <c r="U1714" s="8">
        <v>0</v>
      </c>
      <c r="V1714" s="8">
        <v>0</v>
      </c>
      <c r="W1714" s="8">
        <v>0</v>
      </c>
      <c r="X1714" s="8">
        <v>2</v>
      </c>
      <c r="Y1714" s="8">
        <v>2</v>
      </c>
      <c r="Z1714" s="8">
        <v>0</v>
      </c>
      <c r="AA1714" s="8">
        <v>0</v>
      </c>
      <c r="AB1714" s="8">
        <v>0</v>
      </c>
      <c r="AC1714" s="8">
        <v>2</v>
      </c>
      <c r="AD1714" s="8">
        <v>0</v>
      </c>
      <c r="AE1714" s="8">
        <v>0</v>
      </c>
      <c r="AF1714" s="8">
        <v>0</v>
      </c>
      <c r="AG1714" s="8">
        <v>0</v>
      </c>
      <c r="AH1714" s="8">
        <v>0</v>
      </c>
      <c r="AI1714" s="8">
        <v>0</v>
      </c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11" t="s">
        <v>252</v>
      </c>
    </row>
    <row r="1715" spans="1:46" ht="15.1" customHeight="1">
      <c r="A1715" s="8"/>
      <c r="B1715" s="9"/>
      <c r="C1715" s="8"/>
      <c r="D1715" s="9"/>
      <c r="E1715" s="8">
        <v>0</v>
      </c>
      <c r="F1715" s="8">
        <v>3</v>
      </c>
      <c r="G1715" s="8">
        <v>14</v>
      </c>
      <c r="H1715" s="8">
        <v>4</v>
      </c>
      <c r="I1715" s="8">
        <v>5</v>
      </c>
      <c r="J1715" s="8">
        <v>5</v>
      </c>
      <c r="K1715" s="8">
        <v>4</v>
      </c>
      <c r="L1715" s="8">
        <v>5</v>
      </c>
      <c r="M1715" s="8">
        <v>0</v>
      </c>
      <c r="N1715" s="8">
        <v>16.5</v>
      </c>
      <c r="O1715" s="8">
        <v>7</v>
      </c>
      <c r="P1715" s="8">
        <v>5</v>
      </c>
      <c r="Q1715" s="8">
        <v>5</v>
      </c>
      <c r="R1715" s="8">
        <v>5</v>
      </c>
      <c r="S1715" s="8">
        <v>3</v>
      </c>
      <c r="T1715" s="8">
        <v>1</v>
      </c>
      <c r="U1715" s="8">
        <v>0</v>
      </c>
      <c r="V1715" s="8">
        <v>0</v>
      </c>
      <c r="W1715" s="8">
        <v>0</v>
      </c>
      <c r="X1715" s="8">
        <v>0</v>
      </c>
      <c r="Y1715" s="8">
        <v>3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8">
        <v>0</v>
      </c>
      <c r="AH1715" s="8">
        <v>0</v>
      </c>
      <c r="AI1715" s="8">
        <v>0</v>
      </c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11" t="s">
        <v>252</v>
      </c>
    </row>
    <row r="1716" spans="1:46" ht="15.1" customHeight="1">
      <c r="A1716" s="8">
        <v>571</v>
      </c>
      <c r="B1716" s="9" t="s">
        <v>1388</v>
      </c>
      <c r="C1716" s="8" t="s">
        <v>1389</v>
      </c>
      <c r="D1716" s="9" t="s">
        <v>451</v>
      </c>
      <c r="E1716" s="8" t="s">
        <v>54</v>
      </c>
      <c r="F1716" s="8" t="s">
        <v>54</v>
      </c>
      <c r="G1716" s="10" t="s">
        <v>67</v>
      </c>
      <c r="H1716" s="8" t="s">
        <v>54</v>
      </c>
      <c r="I1716" s="8" t="s">
        <v>54</v>
      </c>
      <c r="J1716" s="8" t="s">
        <v>54</v>
      </c>
      <c r="K1716" s="8" t="s">
        <v>54</v>
      </c>
      <c r="L1716" s="8" t="s">
        <v>54</v>
      </c>
      <c r="M1716" s="8" t="s">
        <v>54</v>
      </c>
      <c r="N1716" s="10" t="s">
        <v>67</v>
      </c>
      <c r="O1716" s="8" t="s">
        <v>54</v>
      </c>
      <c r="P1716" s="8" t="s">
        <v>54</v>
      </c>
      <c r="Q1716" s="8" t="s">
        <v>54</v>
      </c>
      <c r="R1716" s="8" t="s">
        <v>54</v>
      </c>
      <c r="S1716" s="8" t="s">
        <v>54</v>
      </c>
      <c r="T1716" s="8" t="s">
        <v>54</v>
      </c>
      <c r="U1716" s="10" t="s">
        <v>67</v>
      </c>
      <c r="V1716" s="8" t="s">
        <v>54</v>
      </c>
      <c r="W1716" s="8" t="s">
        <v>54</v>
      </c>
      <c r="X1716" s="8" t="s">
        <v>54</v>
      </c>
      <c r="Y1716" s="8" t="s">
        <v>54</v>
      </c>
      <c r="Z1716" s="8" t="s">
        <v>54</v>
      </c>
      <c r="AA1716" s="8" t="s">
        <v>54</v>
      </c>
      <c r="AB1716" s="10" t="s">
        <v>67</v>
      </c>
      <c r="AC1716" s="8" t="s">
        <v>54</v>
      </c>
      <c r="AD1716" s="8" t="s">
        <v>54</v>
      </c>
      <c r="AE1716" s="8" t="s">
        <v>54</v>
      </c>
      <c r="AF1716" s="8" t="s">
        <v>54</v>
      </c>
      <c r="AG1716" s="8" t="s">
        <v>54</v>
      </c>
      <c r="AH1716" s="8" t="s">
        <v>54</v>
      </c>
      <c r="AI1716" s="10" t="s">
        <v>67</v>
      </c>
      <c r="AJ1716" s="8">
        <f>COUNTIF($E$1716:$AI$1716,"P")</f>
        <v>26</v>
      </c>
      <c r="AK1716" s="8">
        <f>COUNTIF($E$1716:$AI$1716,"A")</f>
        <v>0</v>
      </c>
      <c r="AL1716" s="8">
        <f>SUM($E$1717:$AI$1717)</f>
        <v>39</v>
      </c>
      <c r="AM1716" s="8">
        <f>SUM($E$1718:$AI$1718)</f>
        <v>134.5</v>
      </c>
      <c r="AN1716" s="8">
        <f>AL1716+AM1716</f>
        <v>173.5</v>
      </c>
      <c r="AO1716" s="8">
        <f>COUNTIF($E$1716:$AI$1716,"CL")</f>
        <v>0</v>
      </c>
      <c r="AP1716" s="8">
        <f>COUNTIF($E$1716:$AI$1716,"SL")</f>
        <v>0</v>
      </c>
      <c r="AQ1716" s="8">
        <f>COUNTIF($E$1716:$AI$1716,"EL")</f>
        <v>0</v>
      </c>
      <c r="AR1716" s="8">
        <f>COUNTIF($E$1716:$AI$1716,"H")</f>
        <v>0</v>
      </c>
      <c r="AS1716" s="8"/>
      <c r="AT1716" s="11" t="s">
        <v>252</v>
      </c>
    </row>
    <row r="1717" spans="1:46" ht="15.1" customHeight="1">
      <c r="A1717" s="8"/>
      <c r="B1717" s="9"/>
      <c r="C1717" s="8"/>
      <c r="D1717" s="9"/>
      <c r="E1717" s="8">
        <v>2</v>
      </c>
      <c r="F1717" s="8">
        <v>2</v>
      </c>
      <c r="G1717" s="8">
        <v>0</v>
      </c>
      <c r="H1717" s="8">
        <v>2</v>
      </c>
      <c r="I1717" s="8">
        <v>2</v>
      </c>
      <c r="J1717" s="8">
        <v>2</v>
      </c>
      <c r="K1717" s="8">
        <v>2</v>
      </c>
      <c r="L1717" s="8">
        <v>2</v>
      </c>
      <c r="M1717" s="8">
        <v>2</v>
      </c>
      <c r="N1717" s="8">
        <v>0</v>
      </c>
      <c r="O1717" s="8">
        <v>2</v>
      </c>
      <c r="P1717" s="8">
        <v>2</v>
      </c>
      <c r="Q1717" s="8">
        <v>2</v>
      </c>
      <c r="R1717" s="8">
        <v>2</v>
      </c>
      <c r="S1717" s="8">
        <v>2</v>
      </c>
      <c r="T1717" s="8">
        <v>2</v>
      </c>
      <c r="U1717" s="8">
        <v>0</v>
      </c>
      <c r="V1717" s="8">
        <v>2</v>
      </c>
      <c r="W1717" s="8">
        <v>2</v>
      </c>
      <c r="X1717" s="8">
        <v>2</v>
      </c>
      <c r="Y1717" s="8">
        <v>0</v>
      </c>
      <c r="Z1717" s="8">
        <v>0</v>
      </c>
      <c r="AA1717" s="8">
        <v>0</v>
      </c>
      <c r="AB1717" s="8">
        <v>0</v>
      </c>
      <c r="AC1717" s="8">
        <v>2</v>
      </c>
      <c r="AD1717" s="8">
        <v>2</v>
      </c>
      <c r="AE1717" s="8">
        <v>0</v>
      </c>
      <c r="AF1717" s="8">
        <v>0</v>
      </c>
      <c r="AG1717" s="8">
        <v>1</v>
      </c>
      <c r="AH1717" s="8">
        <v>0</v>
      </c>
      <c r="AI1717" s="8">
        <v>0</v>
      </c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11" t="s">
        <v>252</v>
      </c>
    </row>
    <row r="1718" spans="1:46" ht="15.1" customHeight="1">
      <c r="A1718" s="8"/>
      <c r="B1718" s="9"/>
      <c r="C1718" s="8"/>
      <c r="D1718" s="9"/>
      <c r="E1718" s="8">
        <v>4.5</v>
      </c>
      <c r="F1718" s="8">
        <v>3</v>
      </c>
      <c r="G1718" s="8">
        <v>13.5</v>
      </c>
      <c r="H1718" s="8">
        <v>5</v>
      </c>
      <c r="I1718" s="8">
        <v>7</v>
      </c>
      <c r="J1718" s="8">
        <v>7</v>
      </c>
      <c r="K1718" s="8">
        <v>7</v>
      </c>
      <c r="L1718" s="8">
        <v>7</v>
      </c>
      <c r="M1718" s="8">
        <v>4.5</v>
      </c>
      <c r="N1718" s="8">
        <v>16.5</v>
      </c>
      <c r="O1718" s="8">
        <v>7</v>
      </c>
      <c r="P1718" s="8">
        <v>6.5</v>
      </c>
      <c r="Q1718" s="8">
        <v>2.5</v>
      </c>
      <c r="R1718" s="8">
        <v>6.5</v>
      </c>
      <c r="S1718" s="8">
        <v>6</v>
      </c>
      <c r="T1718" s="8">
        <v>2.5</v>
      </c>
      <c r="U1718" s="8">
        <v>12.5</v>
      </c>
      <c r="V1718" s="8">
        <v>6.5</v>
      </c>
      <c r="W1718" s="8">
        <v>6.5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3</v>
      </c>
      <c r="AE1718" s="8">
        <v>0</v>
      </c>
      <c r="AF1718" s="8">
        <v>0</v>
      </c>
      <c r="AG1718" s="8">
        <v>0</v>
      </c>
      <c r="AH1718" s="8">
        <v>0</v>
      </c>
      <c r="AI1718" s="8">
        <v>0</v>
      </c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11" t="s">
        <v>252</v>
      </c>
    </row>
    <row r="1719" spans="1:46" ht="15.1" customHeight="1">
      <c r="A1719" s="8">
        <v>572</v>
      </c>
      <c r="B1719" s="9" t="s">
        <v>1390</v>
      </c>
      <c r="C1719" s="8" t="s">
        <v>1391</v>
      </c>
      <c r="D1719" s="9" t="s">
        <v>451</v>
      </c>
      <c r="E1719" s="8" t="s">
        <v>54</v>
      </c>
      <c r="F1719" s="8" t="s">
        <v>54</v>
      </c>
      <c r="G1719" s="10" t="s">
        <v>67</v>
      </c>
      <c r="H1719" s="8" t="s">
        <v>54</v>
      </c>
      <c r="I1719" s="12" t="s">
        <v>55</v>
      </c>
      <c r="J1719" s="8" t="s">
        <v>54</v>
      </c>
      <c r="K1719" s="8" t="s">
        <v>54</v>
      </c>
      <c r="L1719" s="8" t="s">
        <v>54</v>
      </c>
      <c r="M1719" s="8" t="s">
        <v>54</v>
      </c>
      <c r="N1719" s="10" t="s">
        <v>67</v>
      </c>
      <c r="O1719" s="8" t="s">
        <v>54</v>
      </c>
      <c r="P1719" s="12" t="s">
        <v>55</v>
      </c>
      <c r="Q1719" s="8" t="s">
        <v>54</v>
      </c>
      <c r="R1719" s="8" t="s">
        <v>54</v>
      </c>
      <c r="S1719" s="8" t="s">
        <v>54</v>
      </c>
      <c r="T1719" s="8" t="s">
        <v>54</v>
      </c>
      <c r="U1719" s="10" t="s">
        <v>67</v>
      </c>
      <c r="V1719" s="8" t="s">
        <v>54</v>
      </c>
      <c r="W1719" s="12" t="s">
        <v>55</v>
      </c>
      <c r="X1719" s="8" t="s">
        <v>54</v>
      </c>
      <c r="Y1719" s="8" t="s">
        <v>54</v>
      </c>
      <c r="Z1719" s="8" t="s">
        <v>54</v>
      </c>
      <c r="AA1719" s="8" t="s">
        <v>54</v>
      </c>
      <c r="AB1719" s="10" t="s">
        <v>67</v>
      </c>
      <c r="AC1719" s="8" t="s">
        <v>54</v>
      </c>
      <c r="AD1719" s="8" t="s">
        <v>54</v>
      </c>
      <c r="AE1719" s="8" t="s">
        <v>54</v>
      </c>
      <c r="AF1719" s="8" t="s">
        <v>54</v>
      </c>
      <c r="AG1719" s="8" t="s">
        <v>54</v>
      </c>
      <c r="AH1719" s="8" t="s">
        <v>54</v>
      </c>
      <c r="AI1719" s="10" t="s">
        <v>67</v>
      </c>
      <c r="AJ1719" s="8">
        <f>COUNTIF($E$1719:$AI$1719,"P")</f>
        <v>23</v>
      </c>
      <c r="AK1719" s="8">
        <f>COUNTIF($E$1719:$AI$1719,"A")</f>
        <v>3</v>
      </c>
      <c r="AL1719" s="8">
        <f>SUM($E$1720:$AI$1720)</f>
        <v>32</v>
      </c>
      <c r="AM1719" s="8">
        <f>SUM($E$1721:$AI$1721)</f>
        <v>113.5</v>
      </c>
      <c r="AN1719" s="8">
        <f>AL1719+AM1719</f>
        <v>145.5</v>
      </c>
      <c r="AO1719" s="8">
        <f>COUNTIF($E$1719:$AI$1719,"CL")</f>
        <v>0</v>
      </c>
      <c r="AP1719" s="8">
        <f>COUNTIF($E$1719:$AI$1719,"SL")</f>
        <v>0</v>
      </c>
      <c r="AQ1719" s="8">
        <f>COUNTIF($E$1719:$AI$1719,"EL")</f>
        <v>0</v>
      </c>
      <c r="AR1719" s="8">
        <f>COUNTIF($E$1719:$AI$1719,"H")</f>
        <v>0</v>
      </c>
      <c r="AS1719" s="8"/>
      <c r="AT1719" s="11" t="s">
        <v>252</v>
      </c>
    </row>
    <row r="1720" spans="1:46" ht="15.1" customHeight="1">
      <c r="A1720" s="8"/>
      <c r="B1720" s="9"/>
      <c r="C1720" s="8"/>
      <c r="D1720" s="9"/>
      <c r="E1720" s="8">
        <v>2</v>
      </c>
      <c r="F1720" s="8">
        <v>2</v>
      </c>
      <c r="G1720" s="8">
        <v>0</v>
      </c>
      <c r="H1720" s="8">
        <v>2</v>
      </c>
      <c r="I1720" s="8">
        <v>0</v>
      </c>
      <c r="J1720" s="8">
        <v>2</v>
      </c>
      <c r="K1720" s="8">
        <v>2</v>
      </c>
      <c r="L1720" s="8">
        <v>2</v>
      </c>
      <c r="M1720" s="8">
        <v>2</v>
      </c>
      <c r="N1720" s="8">
        <v>0</v>
      </c>
      <c r="O1720" s="8">
        <v>2</v>
      </c>
      <c r="P1720" s="8">
        <v>0</v>
      </c>
      <c r="Q1720" s="8">
        <v>2</v>
      </c>
      <c r="R1720" s="8">
        <v>2</v>
      </c>
      <c r="S1720" s="8">
        <v>2</v>
      </c>
      <c r="T1720" s="8">
        <v>2</v>
      </c>
      <c r="U1720" s="8">
        <v>0</v>
      </c>
      <c r="V1720" s="8">
        <v>2</v>
      </c>
      <c r="W1720" s="8">
        <v>0</v>
      </c>
      <c r="X1720" s="8">
        <v>2</v>
      </c>
      <c r="Y1720" s="8">
        <v>0</v>
      </c>
      <c r="Z1720" s="8">
        <v>0</v>
      </c>
      <c r="AA1720" s="8">
        <v>0</v>
      </c>
      <c r="AB1720" s="8">
        <v>0</v>
      </c>
      <c r="AC1720" s="8">
        <v>2</v>
      </c>
      <c r="AD1720" s="8">
        <v>2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11" t="s">
        <v>252</v>
      </c>
    </row>
    <row r="1721" spans="1:46" ht="15.1" customHeight="1">
      <c r="A1721" s="8"/>
      <c r="B1721" s="9"/>
      <c r="C1721" s="8"/>
      <c r="D1721" s="9"/>
      <c r="E1721" s="8">
        <v>3</v>
      </c>
      <c r="F1721" s="8">
        <v>3</v>
      </c>
      <c r="G1721" s="8">
        <v>13.5</v>
      </c>
      <c r="H1721" s="8">
        <v>5</v>
      </c>
      <c r="I1721" s="8">
        <v>0</v>
      </c>
      <c r="J1721" s="8">
        <v>6.5</v>
      </c>
      <c r="K1721" s="8">
        <v>6.5</v>
      </c>
      <c r="L1721" s="8">
        <v>6.5</v>
      </c>
      <c r="M1721" s="8">
        <v>4.5</v>
      </c>
      <c r="N1721" s="8">
        <v>16</v>
      </c>
      <c r="O1721" s="8">
        <v>6.5</v>
      </c>
      <c r="P1721" s="8">
        <v>0</v>
      </c>
      <c r="Q1721" s="8">
        <v>4.5</v>
      </c>
      <c r="R1721" s="8">
        <v>7</v>
      </c>
      <c r="S1721" s="8">
        <v>6</v>
      </c>
      <c r="T1721" s="8">
        <v>2.5</v>
      </c>
      <c r="U1721" s="8">
        <v>13</v>
      </c>
      <c r="V1721" s="8">
        <v>6.5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3</v>
      </c>
      <c r="AE1721" s="8">
        <v>0</v>
      </c>
      <c r="AF1721" s="8">
        <v>0</v>
      </c>
      <c r="AG1721" s="8">
        <v>0</v>
      </c>
      <c r="AH1721" s="8">
        <v>0</v>
      </c>
      <c r="AI1721" s="8">
        <v>0</v>
      </c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11" t="s">
        <v>252</v>
      </c>
    </row>
    <row r="1722" spans="1:46" ht="15.1" customHeight="1">
      <c r="A1722" s="8">
        <v>573</v>
      </c>
      <c r="B1722" s="9" t="s">
        <v>1392</v>
      </c>
      <c r="C1722" s="8" t="s">
        <v>1393</v>
      </c>
      <c r="D1722" s="9" t="s">
        <v>451</v>
      </c>
      <c r="E1722" s="8" t="s">
        <v>54</v>
      </c>
      <c r="F1722" s="8" t="s">
        <v>54</v>
      </c>
      <c r="G1722" s="10" t="s">
        <v>67</v>
      </c>
      <c r="H1722" s="8" t="s">
        <v>54</v>
      </c>
      <c r="I1722" s="8" t="s">
        <v>54</v>
      </c>
      <c r="J1722" s="8" t="s">
        <v>54</v>
      </c>
      <c r="K1722" s="8" t="s">
        <v>54</v>
      </c>
      <c r="L1722" s="8" t="s">
        <v>54</v>
      </c>
      <c r="M1722" s="8" t="s">
        <v>54</v>
      </c>
      <c r="N1722" s="10" t="s">
        <v>67</v>
      </c>
      <c r="O1722" s="12" t="s">
        <v>55</v>
      </c>
      <c r="P1722" s="12" t="s">
        <v>55</v>
      </c>
      <c r="Q1722" s="8" t="s">
        <v>54</v>
      </c>
      <c r="R1722" s="8" t="s">
        <v>54</v>
      </c>
      <c r="S1722" s="12" t="s">
        <v>55</v>
      </c>
      <c r="T1722" s="8" t="s">
        <v>54</v>
      </c>
      <c r="U1722" s="10" t="s">
        <v>67</v>
      </c>
      <c r="V1722" s="8" t="s">
        <v>54</v>
      </c>
      <c r="W1722" s="8" t="s">
        <v>54</v>
      </c>
      <c r="X1722" s="8" t="s">
        <v>54</v>
      </c>
      <c r="Y1722" s="8" t="s">
        <v>54</v>
      </c>
      <c r="Z1722" s="8" t="s">
        <v>54</v>
      </c>
      <c r="AA1722" s="8" t="s">
        <v>54</v>
      </c>
      <c r="AB1722" s="10" t="s">
        <v>67</v>
      </c>
      <c r="AC1722" s="8" t="s">
        <v>54</v>
      </c>
      <c r="AD1722" s="8" t="s">
        <v>54</v>
      </c>
      <c r="AE1722" s="8" t="s">
        <v>54</v>
      </c>
      <c r="AF1722" s="8" t="s">
        <v>54</v>
      </c>
      <c r="AG1722" s="8" t="s">
        <v>54</v>
      </c>
      <c r="AH1722" s="8" t="s">
        <v>54</v>
      </c>
      <c r="AI1722" s="10" t="s">
        <v>67</v>
      </c>
      <c r="AJ1722" s="8">
        <f>COUNTIF($E$1722:$AI$1722,"P")</f>
        <v>23</v>
      </c>
      <c r="AK1722" s="8">
        <f>COUNTIF($E$1722:$AI$1722,"A")</f>
        <v>3</v>
      </c>
      <c r="AL1722" s="8">
        <f>SUM($E$1723:$AI$1723)</f>
        <v>32</v>
      </c>
      <c r="AM1722" s="8">
        <f>SUM($E$1724:$AI$1724)</f>
        <v>89</v>
      </c>
      <c r="AN1722" s="8">
        <f>AL1722+AM1722</f>
        <v>120.5</v>
      </c>
      <c r="AO1722" s="8">
        <f>COUNTIF($E$1722:$AI$1722,"CL")</f>
        <v>0</v>
      </c>
      <c r="AP1722" s="8">
        <f>COUNTIF($E$1722:$AI$1722,"SL")</f>
        <v>0</v>
      </c>
      <c r="AQ1722" s="8">
        <f>COUNTIF($E$1722:$AI$1722,"EL")</f>
        <v>0</v>
      </c>
      <c r="AR1722" s="8">
        <f>COUNTIF($E$1722:$AI$1722,"H")</f>
        <v>0</v>
      </c>
      <c r="AS1722" s="8"/>
      <c r="AT1722" s="11" t="s">
        <v>252</v>
      </c>
    </row>
    <row r="1723" spans="1:46" ht="15.1" customHeight="1">
      <c r="A1723" s="8"/>
      <c r="B1723" s="9"/>
      <c r="C1723" s="8"/>
      <c r="D1723" s="9"/>
      <c r="E1723" s="8">
        <v>2</v>
      </c>
      <c r="F1723" s="8">
        <v>2</v>
      </c>
      <c r="G1723" s="8">
        <v>0</v>
      </c>
      <c r="H1723" s="8">
        <v>2</v>
      </c>
      <c r="I1723" s="8">
        <v>2</v>
      </c>
      <c r="J1723" s="8">
        <v>2</v>
      </c>
      <c r="K1723" s="8">
        <v>2</v>
      </c>
      <c r="L1723" s="8">
        <v>2</v>
      </c>
      <c r="M1723" s="8">
        <v>2</v>
      </c>
      <c r="N1723" s="8">
        <v>0</v>
      </c>
      <c r="O1723" s="8">
        <v>0</v>
      </c>
      <c r="P1723" s="8">
        <v>0</v>
      </c>
      <c r="Q1723" s="8">
        <v>2</v>
      </c>
      <c r="R1723" s="8">
        <v>2</v>
      </c>
      <c r="S1723" s="8">
        <v>0</v>
      </c>
      <c r="T1723" s="8">
        <v>2</v>
      </c>
      <c r="U1723" s="8">
        <v>0</v>
      </c>
      <c r="V1723" s="8">
        <v>2</v>
      </c>
      <c r="W1723" s="8">
        <v>2</v>
      </c>
      <c r="X1723" s="8">
        <v>2</v>
      </c>
      <c r="Y1723" s="8">
        <v>0</v>
      </c>
      <c r="Z1723" s="8">
        <v>0</v>
      </c>
      <c r="AA1723" s="8">
        <v>0</v>
      </c>
      <c r="AB1723" s="8">
        <v>0</v>
      </c>
      <c r="AC1723" s="8">
        <v>2</v>
      </c>
      <c r="AD1723" s="8">
        <v>2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11" t="s">
        <v>252</v>
      </c>
    </row>
    <row r="1724" spans="1:46" ht="15.1" customHeight="1">
      <c r="A1724" s="8"/>
      <c r="B1724" s="9"/>
      <c r="C1724" s="8"/>
      <c r="D1724" s="9"/>
      <c r="E1724" s="8">
        <v>3.5</v>
      </c>
      <c r="F1724" s="8">
        <v>3</v>
      </c>
      <c r="G1724" s="8">
        <v>0</v>
      </c>
      <c r="H1724" s="8">
        <v>5</v>
      </c>
      <c r="I1724" s="8">
        <v>6.5</v>
      </c>
      <c r="J1724" s="8">
        <v>6.5</v>
      </c>
      <c r="K1724" s="8">
        <v>6.5</v>
      </c>
      <c r="L1724" s="8">
        <v>6.5</v>
      </c>
      <c r="M1724" s="8">
        <v>4.5</v>
      </c>
      <c r="N1724" s="8">
        <v>16</v>
      </c>
      <c r="O1724" s="8">
        <v>0</v>
      </c>
      <c r="P1724" s="8">
        <v>0</v>
      </c>
      <c r="Q1724" s="8">
        <v>4.5</v>
      </c>
      <c r="R1724" s="8">
        <v>6.5</v>
      </c>
      <c r="S1724" s="8">
        <v>0</v>
      </c>
      <c r="T1724" s="8">
        <v>3</v>
      </c>
      <c r="U1724" s="8">
        <v>0</v>
      </c>
      <c r="V1724" s="8">
        <v>7</v>
      </c>
      <c r="W1724" s="8">
        <v>7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0</v>
      </c>
      <c r="AD1724" s="8">
        <v>3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11" t="s">
        <v>252</v>
      </c>
    </row>
    <row r="1725" spans="1:46" ht="15.1" customHeight="1">
      <c r="A1725" s="8">
        <v>574</v>
      </c>
      <c r="B1725" s="9" t="s">
        <v>1394</v>
      </c>
      <c r="C1725" s="8" t="s">
        <v>1395</v>
      </c>
      <c r="D1725" s="9" t="s">
        <v>451</v>
      </c>
      <c r="E1725" s="8" t="s">
        <v>54</v>
      </c>
      <c r="F1725" s="8" t="s">
        <v>54</v>
      </c>
      <c r="G1725" s="10" t="s">
        <v>67</v>
      </c>
      <c r="H1725" s="8" t="s">
        <v>54</v>
      </c>
      <c r="I1725" s="8" t="s">
        <v>54</v>
      </c>
      <c r="J1725" s="8" t="s">
        <v>54</v>
      </c>
      <c r="K1725" s="8" t="s">
        <v>54</v>
      </c>
      <c r="L1725" s="8" t="s">
        <v>54</v>
      </c>
      <c r="M1725" s="8" t="s">
        <v>54</v>
      </c>
      <c r="N1725" s="10" t="s">
        <v>67</v>
      </c>
      <c r="O1725" s="8" t="s">
        <v>54</v>
      </c>
      <c r="P1725" s="8" t="s">
        <v>54</v>
      </c>
      <c r="Q1725" s="8" t="s">
        <v>54</v>
      </c>
      <c r="R1725" s="8" t="s">
        <v>54</v>
      </c>
      <c r="S1725" s="8" t="s">
        <v>54</v>
      </c>
      <c r="T1725" s="8" t="s">
        <v>54</v>
      </c>
      <c r="U1725" s="10" t="s">
        <v>67</v>
      </c>
      <c r="V1725" s="8" t="s">
        <v>54</v>
      </c>
      <c r="W1725" s="8" t="s">
        <v>54</v>
      </c>
      <c r="X1725" s="8" t="s">
        <v>54</v>
      </c>
      <c r="Y1725" s="8" t="s">
        <v>54</v>
      </c>
      <c r="Z1725" s="8" t="s">
        <v>54</v>
      </c>
      <c r="AA1725" s="8" t="s">
        <v>54</v>
      </c>
      <c r="AB1725" s="10" t="s">
        <v>67</v>
      </c>
      <c r="AC1725" s="8" t="s">
        <v>54</v>
      </c>
      <c r="AD1725" s="8" t="s">
        <v>54</v>
      </c>
      <c r="AE1725" s="8" t="s">
        <v>54</v>
      </c>
      <c r="AF1725" s="8" t="s">
        <v>54</v>
      </c>
      <c r="AG1725" s="8" t="s">
        <v>54</v>
      </c>
      <c r="AH1725" s="8" t="s">
        <v>54</v>
      </c>
      <c r="AI1725" s="10" t="s">
        <v>67</v>
      </c>
      <c r="AJ1725" s="8">
        <f>COUNTIF($E$1725:$AI$1725,"P")</f>
        <v>26</v>
      </c>
      <c r="AK1725" s="8">
        <f>COUNTIF($E$1725:$AI$1725,"A")</f>
        <v>0</v>
      </c>
      <c r="AL1725" s="8">
        <f>SUM($E$1726:$AI$1726)</f>
        <v>38</v>
      </c>
      <c r="AM1725" s="8">
        <f>SUM($E$1727:$AI$1727)</f>
        <v>104.5</v>
      </c>
      <c r="AN1725" s="8">
        <f>AL1725+AM1725</f>
        <v>142</v>
      </c>
      <c r="AO1725" s="8">
        <f>COUNTIF($E$1725:$AI$1725,"CL")</f>
        <v>0</v>
      </c>
      <c r="AP1725" s="8">
        <f>COUNTIF($E$1725:$AI$1725,"SL")</f>
        <v>0</v>
      </c>
      <c r="AQ1725" s="8">
        <f>COUNTIF($E$1725:$AI$1725,"EL")</f>
        <v>0</v>
      </c>
      <c r="AR1725" s="8">
        <f>COUNTIF($E$1725:$AI$1725,"H")</f>
        <v>0</v>
      </c>
      <c r="AS1725" s="8"/>
      <c r="AT1725" s="11" t="s">
        <v>252</v>
      </c>
    </row>
    <row r="1726" spans="1:46" ht="15.1" customHeight="1">
      <c r="A1726" s="8"/>
      <c r="B1726" s="9"/>
      <c r="C1726" s="8"/>
      <c r="D1726" s="9"/>
      <c r="E1726" s="8">
        <v>2</v>
      </c>
      <c r="F1726" s="8">
        <v>2</v>
      </c>
      <c r="G1726" s="8">
        <v>0</v>
      </c>
      <c r="H1726" s="8">
        <v>2</v>
      </c>
      <c r="I1726" s="8">
        <v>2</v>
      </c>
      <c r="J1726" s="8">
        <v>2</v>
      </c>
      <c r="K1726" s="8">
        <v>2</v>
      </c>
      <c r="L1726" s="8">
        <v>2</v>
      </c>
      <c r="M1726" s="8">
        <v>2</v>
      </c>
      <c r="N1726" s="8">
        <v>0</v>
      </c>
      <c r="O1726" s="8">
        <v>2</v>
      </c>
      <c r="P1726" s="8">
        <v>2</v>
      </c>
      <c r="Q1726" s="8">
        <v>2</v>
      </c>
      <c r="R1726" s="8">
        <v>2</v>
      </c>
      <c r="S1726" s="8">
        <v>2</v>
      </c>
      <c r="T1726" s="8">
        <v>2</v>
      </c>
      <c r="U1726" s="8">
        <v>0</v>
      </c>
      <c r="V1726" s="8">
        <v>2</v>
      </c>
      <c r="W1726" s="8">
        <v>2</v>
      </c>
      <c r="X1726" s="8">
        <v>2</v>
      </c>
      <c r="Y1726" s="8">
        <v>0</v>
      </c>
      <c r="Z1726" s="8">
        <v>0</v>
      </c>
      <c r="AA1726" s="8">
        <v>0</v>
      </c>
      <c r="AB1726" s="8">
        <v>0</v>
      </c>
      <c r="AC1726" s="8">
        <v>2</v>
      </c>
      <c r="AD1726" s="8">
        <v>2</v>
      </c>
      <c r="AE1726" s="8">
        <v>0</v>
      </c>
      <c r="AF1726" s="8">
        <v>0</v>
      </c>
      <c r="AG1726" s="8">
        <v>0</v>
      </c>
      <c r="AH1726" s="8">
        <v>0</v>
      </c>
      <c r="AI1726" s="8">
        <v>0</v>
      </c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11" t="s">
        <v>252</v>
      </c>
    </row>
    <row r="1727" spans="1:46" ht="15.1" customHeight="1">
      <c r="A1727" s="8"/>
      <c r="B1727" s="9"/>
      <c r="C1727" s="8"/>
      <c r="D1727" s="9"/>
      <c r="E1727" s="8">
        <v>3.5</v>
      </c>
      <c r="F1727" s="8">
        <v>3</v>
      </c>
      <c r="G1727" s="8">
        <v>13.5</v>
      </c>
      <c r="H1727" s="8">
        <v>4</v>
      </c>
      <c r="I1727" s="8">
        <v>6</v>
      </c>
      <c r="J1727" s="8">
        <v>4.5</v>
      </c>
      <c r="K1727" s="8">
        <v>4</v>
      </c>
      <c r="L1727" s="8">
        <v>4.5</v>
      </c>
      <c r="M1727" s="8">
        <v>5</v>
      </c>
      <c r="N1727" s="8">
        <v>0</v>
      </c>
      <c r="O1727" s="8">
        <v>7</v>
      </c>
      <c r="P1727" s="8">
        <v>7</v>
      </c>
      <c r="Q1727" s="8">
        <v>4.5</v>
      </c>
      <c r="R1727" s="8">
        <v>4.5</v>
      </c>
      <c r="S1727" s="8">
        <v>3</v>
      </c>
      <c r="T1727" s="8">
        <v>2.5</v>
      </c>
      <c r="U1727" s="8">
        <v>12.5</v>
      </c>
      <c r="V1727" s="8">
        <v>7</v>
      </c>
      <c r="W1727" s="8">
        <v>5.5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3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11" t="s">
        <v>252</v>
      </c>
    </row>
    <row r="1728" spans="1:46" ht="15.1" customHeight="1">
      <c r="A1728" s="8">
        <v>575</v>
      </c>
      <c r="B1728" s="9" t="s">
        <v>1396</v>
      </c>
      <c r="C1728" s="8" t="s">
        <v>1397</v>
      </c>
      <c r="D1728" s="9" t="s">
        <v>451</v>
      </c>
      <c r="E1728" s="8" t="s">
        <v>54</v>
      </c>
      <c r="F1728" s="8" t="s">
        <v>54</v>
      </c>
      <c r="G1728" s="10" t="s">
        <v>67</v>
      </c>
      <c r="H1728" s="8" t="s">
        <v>54</v>
      </c>
      <c r="I1728" s="8" t="s">
        <v>54</v>
      </c>
      <c r="J1728" s="8" t="s">
        <v>54</v>
      </c>
      <c r="K1728" s="8" t="s">
        <v>54</v>
      </c>
      <c r="L1728" s="8" t="s">
        <v>54</v>
      </c>
      <c r="M1728" s="8" t="s">
        <v>54</v>
      </c>
      <c r="N1728" s="10" t="s">
        <v>67</v>
      </c>
      <c r="O1728" s="8" t="s">
        <v>54</v>
      </c>
      <c r="P1728" s="8" t="s">
        <v>54</v>
      </c>
      <c r="Q1728" s="8" t="s">
        <v>54</v>
      </c>
      <c r="R1728" s="8" t="s">
        <v>54</v>
      </c>
      <c r="S1728" s="8" t="s">
        <v>54</v>
      </c>
      <c r="T1728" s="8" t="s">
        <v>54</v>
      </c>
      <c r="U1728" s="10" t="s">
        <v>67</v>
      </c>
      <c r="V1728" s="8" t="s">
        <v>54</v>
      </c>
      <c r="W1728" s="8" t="s">
        <v>54</v>
      </c>
      <c r="X1728" s="8" t="s">
        <v>54</v>
      </c>
      <c r="Y1728" s="8" t="s">
        <v>54</v>
      </c>
      <c r="Z1728" s="8" t="s">
        <v>54</v>
      </c>
      <c r="AA1728" s="8" t="s">
        <v>54</v>
      </c>
      <c r="AB1728" s="10" t="s">
        <v>67</v>
      </c>
      <c r="AC1728" s="8" t="s">
        <v>54</v>
      </c>
      <c r="AD1728" s="8" t="s">
        <v>54</v>
      </c>
      <c r="AE1728" s="8" t="s">
        <v>54</v>
      </c>
      <c r="AF1728" s="8" t="s">
        <v>54</v>
      </c>
      <c r="AG1728" s="8" t="s">
        <v>54</v>
      </c>
      <c r="AH1728" s="8" t="s">
        <v>54</v>
      </c>
      <c r="AI1728" s="10" t="s">
        <v>67</v>
      </c>
      <c r="AJ1728" s="8">
        <f>COUNTIF($E$1728:$AI$1728,"P")</f>
        <v>26</v>
      </c>
      <c r="AK1728" s="8">
        <f>COUNTIF($E$1728:$AI$1728,"A")</f>
        <v>0</v>
      </c>
      <c r="AL1728" s="8">
        <f>SUM($E$1729:$AI$1729)</f>
        <v>35</v>
      </c>
      <c r="AM1728" s="8">
        <f>SUM($E$1730:$AI$1730)</f>
        <v>115</v>
      </c>
      <c r="AN1728" s="8">
        <f>AL1728+AM1728</f>
        <v>150</v>
      </c>
      <c r="AO1728" s="8">
        <f>COUNTIF($E$1728:$AI$1728,"CL")</f>
        <v>0</v>
      </c>
      <c r="AP1728" s="8">
        <f>COUNTIF($E$1728:$AI$1728,"SL")</f>
        <v>0</v>
      </c>
      <c r="AQ1728" s="8">
        <f>COUNTIF($E$1728:$AI$1728,"EL")</f>
        <v>0</v>
      </c>
      <c r="AR1728" s="8">
        <f>COUNTIF($E$1728:$AI$1728,"H")</f>
        <v>0</v>
      </c>
      <c r="AS1728" s="8"/>
      <c r="AT1728" s="11" t="s">
        <v>252</v>
      </c>
    </row>
    <row r="1729" spans="1:46" ht="15.1" customHeight="1">
      <c r="A1729" s="8"/>
      <c r="B1729" s="9"/>
      <c r="C1729" s="8"/>
      <c r="D1729" s="9"/>
      <c r="E1729" s="8">
        <v>2</v>
      </c>
      <c r="F1729" s="8">
        <v>2</v>
      </c>
      <c r="G1729" s="8">
        <v>0</v>
      </c>
      <c r="H1729" s="8">
        <v>0</v>
      </c>
      <c r="I1729" s="8">
        <v>2</v>
      </c>
      <c r="J1729" s="8">
        <v>2</v>
      </c>
      <c r="K1729" s="8">
        <v>2</v>
      </c>
      <c r="L1729" s="8">
        <v>2</v>
      </c>
      <c r="M1729" s="8">
        <v>2</v>
      </c>
      <c r="N1729" s="8">
        <v>0</v>
      </c>
      <c r="O1729" s="8">
        <v>2</v>
      </c>
      <c r="P1729" s="8">
        <v>2</v>
      </c>
      <c r="Q1729" s="8">
        <v>2</v>
      </c>
      <c r="R1729" s="8">
        <v>2</v>
      </c>
      <c r="S1729" s="8">
        <v>2</v>
      </c>
      <c r="T1729" s="8">
        <v>2</v>
      </c>
      <c r="U1729" s="8">
        <v>0</v>
      </c>
      <c r="V1729" s="8">
        <v>2</v>
      </c>
      <c r="W1729" s="8">
        <v>2</v>
      </c>
      <c r="X1729" s="8">
        <v>2</v>
      </c>
      <c r="Y1729" s="8">
        <v>0</v>
      </c>
      <c r="Z1729" s="8">
        <v>0</v>
      </c>
      <c r="AA1729" s="8">
        <v>0</v>
      </c>
      <c r="AB1729" s="8">
        <v>0</v>
      </c>
      <c r="AC1729" s="8">
        <v>2</v>
      </c>
      <c r="AD1729" s="8">
        <v>0</v>
      </c>
      <c r="AE1729" s="8">
        <v>0</v>
      </c>
      <c r="AF1729" s="8">
        <v>1</v>
      </c>
      <c r="AG1729" s="8">
        <v>0</v>
      </c>
      <c r="AH1729" s="8">
        <v>0</v>
      </c>
      <c r="AI1729" s="8">
        <v>0</v>
      </c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11" t="s">
        <v>252</v>
      </c>
    </row>
    <row r="1730" spans="1:46" ht="15.1" customHeight="1">
      <c r="A1730" s="8"/>
      <c r="B1730" s="9"/>
      <c r="C1730" s="8"/>
      <c r="D1730" s="9"/>
      <c r="E1730" s="8">
        <v>3.5</v>
      </c>
      <c r="F1730" s="8">
        <v>3</v>
      </c>
      <c r="G1730" s="8">
        <v>14</v>
      </c>
      <c r="H1730" s="8">
        <v>0</v>
      </c>
      <c r="I1730" s="8">
        <v>7</v>
      </c>
      <c r="J1730" s="8">
        <v>6</v>
      </c>
      <c r="K1730" s="8">
        <v>3</v>
      </c>
      <c r="L1730" s="8">
        <v>7</v>
      </c>
      <c r="M1730" s="8">
        <v>5</v>
      </c>
      <c r="N1730" s="8">
        <v>16.5</v>
      </c>
      <c r="O1730" s="8">
        <v>7</v>
      </c>
      <c r="P1730" s="8">
        <v>3</v>
      </c>
      <c r="Q1730" s="8">
        <v>5</v>
      </c>
      <c r="R1730" s="8">
        <v>5</v>
      </c>
      <c r="S1730" s="8">
        <v>5</v>
      </c>
      <c r="T1730" s="8">
        <v>2.5</v>
      </c>
      <c r="U1730" s="8">
        <v>12.5</v>
      </c>
      <c r="V1730" s="8">
        <v>7</v>
      </c>
      <c r="W1730" s="8">
        <v>3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8">
        <v>0</v>
      </c>
      <c r="AH1730" s="8">
        <v>0</v>
      </c>
      <c r="AI1730" s="8">
        <v>0</v>
      </c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11" t="s">
        <v>252</v>
      </c>
    </row>
    <row r="1731" spans="1:46" ht="15.1" customHeight="1">
      <c r="A1731" s="8">
        <v>576</v>
      </c>
      <c r="B1731" s="9" t="s">
        <v>1398</v>
      </c>
      <c r="C1731" s="8" t="s">
        <v>1399</v>
      </c>
      <c r="D1731" s="9" t="s">
        <v>451</v>
      </c>
      <c r="E1731" s="8" t="s">
        <v>54</v>
      </c>
      <c r="F1731" s="8" t="s">
        <v>54</v>
      </c>
      <c r="G1731" s="10" t="s">
        <v>67</v>
      </c>
      <c r="H1731" s="12" t="s">
        <v>55</v>
      </c>
      <c r="I1731" s="8" t="s">
        <v>54</v>
      </c>
      <c r="J1731" s="8" t="s">
        <v>54</v>
      </c>
      <c r="K1731" s="8" t="s">
        <v>54</v>
      </c>
      <c r="L1731" s="8" t="s">
        <v>54</v>
      </c>
      <c r="M1731" s="8" t="s">
        <v>54</v>
      </c>
      <c r="N1731" s="10" t="s">
        <v>67</v>
      </c>
      <c r="O1731" s="12" t="s">
        <v>55</v>
      </c>
      <c r="P1731" s="8" t="s">
        <v>54</v>
      </c>
      <c r="Q1731" s="8" t="s">
        <v>54</v>
      </c>
      <c r="R1731" s="8" t="s">
        <v>54</v>
      </c>
      <c r="S1731" s="8" t="s">
        <v>54</v>
      </c>
      <c r="T1731" s="8" t="s">
        <v>54</v>
      </c>
      <c r="U1731" s="10" t="s">
        <v>67</v>
      </c>
      <c r="V1731" s="8" t="s">
        <v>54</v>
      </c>
      <c r="W1731" s="8" t="s">
        <v>54</v>
      </c>
      <c r="X1731" s="8" t="s">
        <v>54</v>
      </c>
      <c r="Y1731" s="8" t="s">
        <v>54</v>
      </c>
      <c r="Z1731" s="8" t="s">
        <v>54</v>
      </c>
      <c r="AA1731" s="8" t="s">
        <v>54</v>
      </c>
      <c r="AB1731" s="10" t="s">
        <v>67</v>
      </c>
      <c r="AC1731" s="8" t="s">
        <v>54</v>
      </c>
      <c r="AD1731" s="8" t="s">
        <v>54</v>
      </c>
      <c r="AE1731" s="8" t="s">
        <v>54</v>
      </c>
      <c r="AF1731" s="8" t="s">
        <v>54</v>
      </c>
      <c r="AG1731" s="8" t="s">
        <v>54</v>
      </c>
      <c r="AH1731" s="8" t="s">
        <v>54</v>
      </c>
      <c r="AI1731" s="10" t="s">
        <v>67</v>
      </c>
      <c r="AJ1731" s="8">
        <f>COUNTIF($E$1731:$AI$1731,"P")</f>
        <v>24</v>
      </c>
      <c r="AK1731" s="8">
        <f>COUNTIF($E$1731:$AI$1731,"A")</f>
        <v>2</v>
      </c>
      <c r="AL1731" s="8">
        <f>SUM($E$1732:$AI$1732)</f>
        <v>40</v>
      </c>
      <c r="AM1731" s="8">
        <f>SUM($E$1733:$AI$1733)</f>
        <v>129.5</v>
      </c>
      <c r="AN1731" s="8">
        <f>AL1731+AM1731</f>
        <v>169.5</v>
      </c>
      <c r="AO1731" s="8">
        <f>COUNTIF($E$1731:$AI$1731,"CL")</f>
        <v>0</v>
      </c>
      <c r="AP1731" s="8">
        <f>COUNTIF($E$1731:$AI$1731,"SL")</f>
        <v>0</v>
      </c>
      <c r="AQ1731" s="8">
        <f>COUNTIF($E$1731:$AI$1731,"EL")</f>
        <v>0</v>
      </c>
      <c r="AR1731" s="8">
        <f>COUNTIF($E$1731:$AI$1731,"H")</f>
        <v>0</v>
      </c>
      <c r="AS1731" s="8"/>
      <c r="AT1731" s="11" t="s">
        <v>252</v>
      </c>
    </row>
    <row r="1732" spans="1:46" ht="15.1" customHeight="1">
      <c r="A1732" s="8"/>
      <c r="B1732" s="9"/>
      <c r="C1732" s="8"/>
      <c r="D1732" s="9"/>
      <c r="E1732" s="8">
        <v>2</v>
      </c>
      <c r="F1732" s="8">
        <v>2</v>
      </c>
      <c r="G1732" s="8">
        <v>0</v>
      </c>
      <c r="H1732" s="8">
        <v>0</v>
      </c>
      <c r="I1732" s="8">
        <v>2</v>
      </c>
      <c r="J1732" s="8">
        <v>2</v>
      </c>
      <c r="K1732" s="8">
        <v>2</v>
      </c>
      <c r="L1732" s="8">
        <v>2</v>
      </c>
      <c r="M1732" s="8">
        <v>2</v>
      </c>
      <c r="N1732" s="8">
        <v>0</v>
      </c>
      <c r="O1732" s="8">
        <v>0</v>
      </c>
      <c r="P1732" s="8">
        <v>2</v>
      </c>
      <c r="Q1732" s="8">
        <v>2</v>
      </c>
      <c r="R1732" s="8">
        <v>2</v>
      </c>
      <c r="S1732" s="8">
        <v>2</v>
      </c>
      <c r="T1732" s="8">
        <v>2</v>
      </c>
      <c r="U1732" s="8">
        <v>0</v>
      </c>
      <c r="V1732" s="8">
        <v>2</v>
      </c>
      <c r="W1732" s="8">
        <v>2</v>
      </c>
      <c r="X1732" s="8">
        <v>2</v>
      </c>
      <c r="Y1732" s="8">
        <v>2</v>
      </c>
      <c r="Z1732" s="8">
        <v>0</v>
      </c>
      <c r="AA1732" s="8">
        <v>0</v>
      </c>
      <c r="AB1732" s="8">
        <v>0</v>
      </c>
      <c r="AC1732" s="8">
        <v>2</v>
      </c>
      <c r="AD1732" s="8">
        <v>2</v>
      </c>
      <c r="AE1732" s="8">
        <v>2</v>
      </c>
      <c r="AF1732" s="8">
        <v>0</v>
      </c>
      <c r="AG1732" s="8">
        <v>0</v>
      </c>
      <c r="AH1732" s="8">
        <v>2</v>
      </c>
      <c r="AI1732" s="8">
        <v>0</v>
      </c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11" t="s">
        <v>252</v>
      </c>
    </row>
    <row r="1733" spans="1:46" ht="15.1" customHeight="1">
      <c r="A1733" s="8"/>
      <c r="B1733" s="9"/>
      <c r="C1733" s="8"/>
      <c r="D1733" s="9"/>
      <c r="E1733" s="8">
        <v>0</v>
      </c>
      <c r="F1733" s="8">
        <v>3.5</v>
      </c>
      <c r="G1733" s="8">
        <v>12.5</v>
      </c>
      <c r="H1733" s="8">
        <v>0</v>
      </c>
      <c r="I1733" s="8">
        <v>4.5</v>
      </c>
      <c r="J1733" s="8">
        <v>5</v>
      </c>
      <c r="K1733" s="8">
        <v>5</v>
      </c>
      <c r="L1733" s="8">
        <v>7</v>
      </c>
      <c r="M1733" s="8">
        <v>4</v>
      </c>
      <c r="N1733" s="8">
        <v>17</v>
      </c>
      <c r="O1733" s="8">
        <v>0</v>
      </c>
      <c r="P1733" s="8">
        <v>7</v>
      </c>
      <c r="Q1733" s="8">
        <v>7</v>
      </c>
      <c r="R1733" s="8">
        <v>7</v>
      </c>
      <c r="S1733" s="8">
        <v>7</v>
      </c>
      <c r="T1733" s="8">
        <v>3</v>
      </c>
      <c r="U1733" s="8">
        <v>10</v>
      </c>
      <c r="V1733" s="8">
        <v>7</v>
      </c>
      <c r="W1733" s="8">
        <v>3</v>
      </c>
      <c r="X1733" s="8">
        <v>8</v>
      </c>
      <c r="Y1733" s="8">
        <v>3</v>
      </c>
      <c r="Z1733" s="8">
        <v>0</v>
      </c>
      <c r="AA1733" s="8">
        <v>0</v>
      </c>
      <c r="AB1733" s="8">
        <v>0</v>
      </c>
      <c r="AC1733" s="8">
        <v>3</v>
      </c>
      <c r="AD1733" s="8">
        <v>3</v>
      </c>
      <c r="AE1733" s="8">
        <v>3</v>
      </c>
      <c r="AF1733" s="8">
        <v>0</v>
      </c>
      <c r="AG1733" s="8">
        <v>0</v>
      </c>
      <c r="AH1733" s="8">
        <v>0</v>
      </c>
      <c r="AI1733" s="8">
        <v>0</v>
      </c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11" t="s">
        <v>252</v>
      </c>
    </row>
    <row r="1734" spans="1:46" ht="15.1" customHeight="1">
      <c r="A1734" s="8">
        <v>577</v>
      </c>
      <c r="B1734" s="9" t="s">
        <v>1400</v>
      </c>
      <c r="C1734" s="8" t="s">
        <v>1401</v>
      </c>
      <c r="D1734" s="9" t="s">
        <v>451</v>
      </c>
      <c r="E1734" s="8" t="s">
        <v>54</v>
      </c>
      <c r="F1734" s="8" t="s">
        <v>54</v>
      </c>
      <c r="G1734" s="10" t="s">
        <v>67</v>
      </c>
      <c r="H1734" s="8" t="s">
        <v>54</v>
      </c>
      <c r="I1734" s="8" t="s">
        <v>54</v>
      </c>
      <c r="J1734" s="8" t="s">
        <v>54</v>
      </c>
      <c r="K1734" s="8" t="s">
        <v>54</v>
      </c>
      <c r="L1734" s="8" t="s">
        <v>54</v>
      </c>
      <c r="M1734" s="8" t="s">
        <v>54</v>
      </c>
      <c r="N1734" s="10" t="s">
        <v>67</v>
      </c>
      <c r="O1734" s="8" t="s">
        <v>54</v>
      </c>
      <c r="P1734" s="8" t="s">
        <v>54</v>
      </c>
      <c r="Q1734" s="8" t="s">
        <v>54</v>
      </c>
      <c r="R1734" s="8" t="s">
        <v>54</v>
      </c>
      <c r="S1734" s="8" t="s">
        <v>54</v>
      </c>
      <c r="T1734" s="8" t="s">
        <v>54</v>
      </c>
      <c r="U1734" s="10" t="s">
        <v>67</v>
      </c>
      <c r="V1734" s="8" t="s">
        <v>54</v>
      </c>
      <c r="W1734" s="8" t="s">
        <v>54</v>
      </c>
      <c r="X1734" s="8" t="s">
        <v>54</v>
      </c>
      <c r="Y1734" s="8" t="s">
        <v>54</v>
      </c>
      <c r="Z1734" s="8" t="s">
        <v>54</v>
      </c>
      <c r="AA1734" s="8" t="s">
        <v>54</v>
      </c>
      <c r="AB1734" s="10" t="s">
        <v>67</v>
      </c>
      <c r="AC1734" s="8" t="s">
        <v>54</v>
      </c>
      <c r="AD1734" s="8" t="s">
        <v>54</v>
      </c>
      <c r="AE1734" s="8" t="s">
        <v>54</v>
      </c>
      <c r="AF1734" s="8" t="s">
        <v>54</v>
      </c>
      <c r="AG1734" s="8" t="s">
        <v>54</v>
      </c>
      <c r="AH1734" s="8" t="s">
        <v>54</v>
      </c>
      <c r="AI1734" s="10" t="s">
        <v>67</v>
      </c>
      <c r="AJ1734" s="8">
        <f>COUNTIF($E$1734:$AI$1734,"P")</f>
        <v>26</v>
      </c>
      <c r="AK1734" s="8">
        <f>COUNTIF($E$1734:$AI$1734,"A")</f>
        <v>0</v>
      </c>
      <c r="AL1734" s="8">
        <f>SUM($E$1735:$AI$1735)</f>
        <v>40</v>
      </c>
      <c r="AM1734" s="8">
        <f>SUM($E$1736:$AI$1736)</f>
        <v>99</v>
      </c>
      <c r="AN1734" s="8">
        <f>AL1734+AM1734</f>
        <v>139</v>
      </c>
      <c r="AO1734" s="8">
        <f>COUNTIF($E$1734:$AI$1734,"CL")</f>
        <v>0</v>
      </c>
      <c r="AP1734" s="8">
        <f>COUNTIF($E$1734:$AI$1734,"SL")</f>
        <v>0</v>
      </c>
      <c r="AQ1734" s="8">
        <f>COUNTIF($E$1734:$AI$1734,"EL")</f>
        <v>0</v>
      </c>
      <c r="AR1734" s="8">
        <f>COUNTIF($E$1734:$AI$1734,"H")</f>
        <v>0</v>
      </c>
      <c r="AS1734" s="8"/>
      <c r="AT1734" s="11" t="s">
        <v>252</v>
      </c>
    </row>
    <row r="1735" spans="1:46" ht="15.1" customHeight="1">
      <c r="A1735" s="8"/>
      <c r="B1735" s="9"/>
      <c r="C1735" s="8"/>
      <c r="D1735" s="9"/>
      <c r="E1735" s="8">
        <v>2</v>
      </c>
      <c r="F1735" s="8">
        <v>2</v>
      </c>
      <c r="G1735" s="8">
        <v>0</v>
      </c>
      <c r="H1735" s="8">
        <v>2</v>
      </c>
      <c r="I1735" s="8">
        <v>2</v>
      </c>
      <c r="J1735" s="8">
        <v>2</v>
      </c>
      <c r="K1735" s="8">
        <v>2</v>
      </c>
      <c r="L1735" s="8">
        <v>2</v>
      </c>
      <c r="M1735" s="8">
        <v>2</v>
      </c>
      <c r="N1735" s="8">
        <v>0</v>
      </c>
      <c r="O1735" s="8">
        <v>2</v>
      </c>
      <c r="P1735" s="8">
        <v>2</v>
      </c>
      <c r="Q1735" s="8">
        <v>2</v>
      </c>
      <c r="R1735" s="8">
        <v>2</v>
      </c>
      <c r="S1735" s="8">
        <v>2</v>
      </c>
      <c r="T1735" s="8">
        <v>2</v>
      </c>
      <c r="U1735" s="8">
        <v>0</v>
      </c>
      <c r="V1735" s="8">
        <v>2</v>
      </c>
      <c r="W1735" s="8">
        <v>2</v>
      </c>
      <c r="X1735" s="8">
        <v>2</v>
      </c>
      <c r="Y1735" s="8">
        <v>0</v>
      </c>
      <c r="Z1735" s="8">
        <v>0</v>
      </c>
      <c r="AA1735" s="8">
        <v>0</v>
      </c>
      <c r="AB1735" s="8">
        <v>0</v>
      </c>
      <c r="AC1735" s="8">
        <v>2</v>
      </c>
      <c r="AD1735" s="8">
        <v>2</v>
      </c>
      <c r="AE1735" s="8">
        <v>0</v>
      </c>
      <c r="AF1735" s="8">
        <v>2</v>
      </c>
      <c r="AG1735" s="8">
        <v>0</v>
      </c>
      <c r="AH1735" s="8">
        <v>0</v>
      </c>
      <c r="AI1735" s="8">
        <v>0</v>
      </c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11" t="s">
        <v>252</v>
      </c>
    </row>
    <row r="1736" spans="1:46" ht="15.1" customHeight="1">
      <c r="A1736" s="8"/>
      <c r="B1736" s="9"/>
      <c r="C1736" s="8"/>
      <c r="D1736" s="9"/>
      <c r="E1736" s="8">
        <v>4</v>
      </c>
      <c r="F1736" s="8">
        <v>3</v>
      </c>
      <c r="G1736" s="8">
        <v>14</v>
      </c>
      <c r="H1736" s="8">
        <v>4</v>
      </c>
      <c r="I1736" s="8">
        <v>6</v>
      </c>
      <c r="J1736" s="8">
        <v>3</v>
      </c>
      <c r="K1736" s="8">
        <v>3</v>
      </c>
      <c r="L1736" s="8">
        <v>4.5</v>
      </c>
      <c r="M1736" s="8">
        <v>3.5</v>
      </c>
      <c r="N1736" s="8">
        <v>13</v>
      </c>
      <c r="O1736" s="8">
        <v>5</v>
      </c>
      <c r="P1736" s="8">
        <v>5</v>
      </c>
      <c r="Q1736" s="8">
        <v>4.5</v>
      </c>
      <c r="R1736" s="8">
        <v>5</v>
      </c>
      <c r="S1736" s="8">
        <v>5</v>
      </c>
      <c r="T1736" s="8">
        <v>3</v>
      </c>
      <c r="U1736" s="8">
        <v>7.5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3</v>
      </c>
      <c r="AE1736" s="8">
        <v>0</v>
      </c>
      <c r="AF1736" s="8">
        <v>3</v>
      </c>
      <c r="AG1736" s="8">
        <v>0</v>
      </c>
      <c r="AH1736" s="8">
        <v>0</v>
      </c>
      <c r="AI1736" s="8">
        <v>0</v>
      </c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11" t="s">
        <v>252</v>
      </c>
    </row>
    <row r="1737" spans="1:46" ht="15.1" customHeight="1">
      <c r="A1737" s="8">
        <v>578</v>
      </c>
      <c r="B1737" s="9" t="s">
        <v>1402</v>
      </c>
      <c r="C1737" s="8" t="s">
        <v>1403</v>
      </c>
      <c r="D1737" s="9" t="s">
        <v>451</v>
      </c>
      <c r="E1737" s="12" t="s">
        <v>55</v>
      </c>
      <c r="F1737" s="12" t="s">
        <v>55</v>
      </c>
      <c r="G1737" s="10" t="s">
        <v>67</v>
      </c>
      <c r="H1737" s="8" t="s">
        <v>54</v>
      </c>
      <c r="I1737" s="8" t="s">
        <v>54</v>
      </c>
      <c r="J1737" s="8" t="s">
        <v>54</v>
      </c>
      <c r="K1737" s="8" t="s">
        <v>54</v>
      </c>
      <c r="L1737" s="8" t="s">
        <v>54</v>
      </c>
      <c r="M1737" s="8" t="s">
        <v>54</v>
      </c>
      <c r="N1737" s="10" t="s">
        <v>67</v>
      </c>
      <c r="O1737" s="8" t="s">
        <v>54</v>
      </c>
      <c r="P1737" s="8" t="s">
        <v>54</v>
      </c>
      <c r="Q1737" s="8" t="s">
        <v>54</v>
      </c>
      <c r="R1737" s="8" t="s">
        <v>54</v>
      </c>
      <c r="S1737" s="8" t="s">
        <v>54</v>
      </c>
      <c r="T1737" s="8" t="s">
        <v>54</v>
      </c>
      <c r="U1737" s="10" t="s">
        <v>67</v>
      </c>
      <c r="V1737" s="8" t="s">
        <v>54</v>
      </c>
      <c r="W1737" s="8" t="s">
        <v>54</v>
      </c>
      <c r="X1737" s="8" t="s">
        <v>54</v>
      </c>
      <c r="Y1737" s="8" t="s">
        <v>54</v>
      </c>
      <c r="Z1737" s="8" t="s">
        <v>54</v>
      </c>
      <c r="AA1737" s="8" t="s">
        <v>54</v>
      </c>
      <c r="AB1737" s="10" t="s">
        <v>67</v>
      </c>
      <c r="AC1737" s="8" t="s">
        <v>54</v>
      </c>
      <c r="AD1737" s="8" t="s">
        <v>54</v>
      </c>
      <c r="AE1737" s="8" t="s">
        <v>54</v>
      </c>
      <c r="AF1737" s="8" t="s">
        <v>54</v>
      </c>
      <c r="AG1737" s="8" t="s">
        <v>54</v>
      </c>
      <c r="AH1737" s="8" t="s">
        <v>54</v>
      </c>
      <c r="AI1737" s="10" t="s">
        <v>67</v>
      </c>
      <c r="AJ1737" s="8">
        <f>COUNTIF($E$1737:$AI$1737,"P")</f>
        <v>24</v>
      </c>
      <c r="AK1737" s="8">
        <f>COUNTIF($E$1737:$AI$1737,"A")</f>
        <v>2</v>
      </c>
      <c r="AL1737" s="8">
        <f>SUM($E$1738:$AI$1738)</f>
        <v>34</v>
      </c>
      <c r="AM1737" s="8">
        <f>SUM($E$1739:$AI$1739)</f>
        <v>121</v>
      </c>
      <c r="AN1737" s="8">
        <f>AL1737+AM1737</f>
        <v>155</v>
      </c>
      <c r="AO1737" s="8">
        <f>COUNTIF($E$1737:$AI$1737,"CL")</f>
        <v>0</v>
      </c>
      <c r="AP1737" s="8">
        <f>COUNTIF($E$1737:$AI$1737,"SL")</f>
        <v>0</v>
      </c>
      <c r="AQ1737" s="8">
        <f>COUNTIF($E$1737:$AI$1737,"EL")</f>
        <v>0</v>
      </c>
      <c r="AR1737" s="8">
        <f>COUNTIF($E$1737:$AI$1737,"H")</f>
        <v>0</v>
      </c>
      <c r="AS1737" s="8"/>
      <c r="AT1737" s="11" t="s">
        <v>252</v>
      </c>
    </row>
    <row r="1738" spans="1:46" ht="15.1" customHeight="1">
      <c r="A1738" s="8"/>
      <c r="B1738" s="9"/>
      <c r="C1738" s="8"/>
      <c r="D1738" s="9"/>
      <c r="E1738" s="8">
        <v>0</v>
      </c>
      <c r="F1738" s="8">
        <v>0</v>
      </c>
      <c r="G1738" s="8">
        <v>0</v>
      </c>
      <c r="H1738" s="8">
        <v>2</v>
      </c>
      <c r="I1738" s="8">
        <v>2</v>
      </c>
      <c r="J1738" s="8">
        <v>2</v>
      </c>
      <c r="K1738" s="8">
        <v>2</v>
      </c>
      <c r="L1738" s="8">
        <v>2</v>
      </c>
      <c r="M1738" s="8">
        <v>2</v>
      </c>
      <c r="N1738" s="8">
        <v>0</v>
      </c>
      <c r="O1738" s="8">
        <v>2</v>
      </c>
      <c r="P1738" s="8">
        <v>2</v>
      </c>
      <c r="Q1738" s="8">
        <v>2</v>
      </c>
      <c r="R1738" s="8">
        <v>2</v>
      </c>
      <c r="S1738" s="8">
        <v>2</v>
      </c>
      <c r="T1738" s="8">
        <v>2</v>
      </c>
      <c r="U1738" s="8">
        <v>0</v>
      </c>
      <c r="V1738" s="8">
        <v>2</v>
      </c>
      <c r="W1738" s="8">
        <v>2</v>
      </c>
      <c r="X1738" s="8">
        <v>2</v>
      </c>
      <c r="Y1738" s="8">
        <v>0</v>
      </c>
      <c r="Z1738" s="8">
        <v>0</v>
      </c>
      <c r="AA1738" s="8">
        <v>0</v>
      </c>
      <c r="AB1738" s="8">
        <v>0</v>
      </c>
      <c r="AC1738" s="8">
        <v>2</v>
      </c>
      <c r="AD1738" s="8">
        <v>2</v>
      </c>
      <c r="AE1738" s="8">
        <v>0</v>
      </c>
      <c r="AF1738" s="8">
        <v>0</v>
      </c>
      <c r="AG1738" s="8">
        <v>0</v>
      </c>
      <c r="AH1738" s="8">
        <v>0</v>
      </c>
      <c r="AI1738" s="8">
        <v>0</v>
      </c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11" t="s">
        <v>252</v>
      </c>
    </row>
    <row r="1739" spans="1:46" ht="15.1" customHeight="1">
      <c r="A1739" s="8"/>
      <c r="B1739" s="9"/>
      <c r="C1739" s="8"/>
      <c r="D1739" s="9"/>
      <c r="E1739" s="8">
        <v>0</v>
      </c>
      <c r="F1739" s="8">
        <v>0</v>
      </c>
      <c r="G1739" s="8">
        <v>0</v>
      </c>
      <c r="H1739" s="8">
        <v>5</v>
      </c>
      <c r="I1739" s="8">
        <v>7</v>
      </c>
      <c r="J1739" s="8">
        <v>7</v>
      </c>
      <c r="K1739" s="8">
        <v>7</v>
      </c>
      <c r="L1739" s="8">
        <v>7</v>
      </c>
      <c r="M1739" s="8">
        <v>5</v>
      </c>
      <c r="N1739" s="8">
        <v>17</v>
      </c>
      <c r="O1739" s="8">
        <v>7</v>
      </c>
      <c r="P1739" s="8">
        <v>7</v>
      </c>
      <c r="Q1739" s="8">
        <v>5</v>
      </c>
      <c r="R1739" s="8">
        <v>7</v>
      </c>
      <c r="S1739" s="8">
        <v>7</v>
      </c>
      <c r="T1739" s="8">
        <v>3</v>
      </c>
      <c r="U1739" s="8">
        <v>13</v>
      </c>
      <c r="V1739" s="8">
        <v>7</v>
      </c>
      <c r="W1739" s="8">
        <v>7</v>
      </c>
      <c r="X1739" s="8">
        <v>0</v>
      </c>
      <c r="Y1739" s="8">
        <v>0</v>
      </c>
      <c r="Z1739" s="8">
        <v>0</v>
      </c>
      <c r="AA1739" s="8">
        <v>0</v>
      </c>
      <c r="AB1739" s="8">
        <v>0</v>
      </c>
      <c r="AC1739" s="8">
        <v>0</v>
      </c>
      <c r="AD1739" s="8">
        <v>3</v>
      </c>
      <c r="AE1739" s="8">
        <v>0</v>
      </c>
      <c r="AF1739" s="8">
        <v>0</v>
      </c>
      <c r="AG1739" s="8">
        <v>0</v>
      </c>
      <c r="AH1739" s="8">
        <v>0</v>
      </c>
      <c r="AI1739" s="8">
        <v>0</v>
      </c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11" t="s">
        <v>252</v>
      </c>
    </row>
    <row r="1740" spans="1:46" ht="15.1" customHeight="1">
      <c r="A1740" s="8">
        <v>579</v>
      </c>
      <c r="B1740" s="9" t="s">
        <v>1404</v>
      </c>
      <c r="C1740" s="8" t="s">
        <v>1405</v>
      </c>
      <c r="D1740" s="9" t="s">
        <v>451</v>
      </c>
      <c r="E1740" s="8" t="s">
        <v>54</v>
      </c>
      <c r="F1740" s="8" t="s">
        <v>54</v>
      </c>
      <c r="G1740" s="10" t="s">
        <v>67</v>
      </c>
      <c r="H1740" s="8" t="s">
        <v>54</v>
      </c>
      <c r="I1740" s="8" t="s">
        <v>54</v>
      </c>
      <c r="J1740" s="12" t="s">
        <v>55</v>
      </c>
      <c r="K1740" s="8" t="s">
        <v>54</v>
      </c>
      <c r="L1740" s="8" t="s">
        <v>54</v>
      </c>
      <c r="M1740" s="8" t="s">
        <v>54</v>
      </c>
      <c r="N1740" s="10" t="s">
        <v>67</v>
      </c>
      <c r="O1740" s="8" t="s">
        <v>54</v>
      </c>
      <c r="P1740" s="8" t="s">
        <v>54</v>
      </c>
      <c r="Q1740" s="8" t="s">
        <v>54</v>
      </c>
      <c r="R1740" s="8" t="s">
        <v>54</v>
      </c>
      <c r="S1740" s="8" t="s">
        <v>54</v>
      </c>
      <c r="T1740" s="8" t="s">
        <v>54</v>
      </c>
      <c r="U1740" s="10" t="s">
        <v>67</v>
      </c>
      <c r="V1740" s="8" t="s">
        <v>54</v>
      </c>
      <c r="W1740" s="12" t="s">
        <v>55</v>
      </c>
      <c r="X1740" s="8" t="s">
        <v>54</v>
      </c>
      <c r="Y1740" s="8" t="s">
        <v>54</v>
      </c>
      <c r="Z1740" s="8" t="s">
        <v>54</v>
      </c>
      <c r="AA1740" s="8" t="s">
        <v>54</v>
      </c>
      <c r="AB1740" s="10" t="s">
        <v>67</v>
      </c>
      <c r="AC1740" s="8" t="s">
        <v>54</v>
      </c>
      <c r="AD1740" s="8" t="s">
        <v>54</v>
      </c>
      <c r="AE1740" s="8" t="s">
        <v>54</v>
      </c>
      <c r="AF1740" s="8" t="s">
        <v>54</v>
      </c>
      <c r="AG1740" s="8" t="s">
        <v>54</v>
      </c>
      <c r="AH1740" s="8" t="s">
        <v>54</v>
      </c>
      <c r="AI1740" s="10" t="s">
        <v>67</v>
      </c>
      <c r="AJ1740" s="8">
        <f>COUNTIF($E$1740:$AI$1740,"P")</f>
        <v>24</v>
      </c>
      <c r="AK1740" s="8">
        <f>COUNTIF($E$1740:$AI$1740,"A")</f>
        <v>2</v>
      </c>
      <c r="AL1740" s="8">
        <f>SUM($E$1741:$AI$1741)</f>
        <v>34</v>
      </c>
      <c r="AM1740" s="8">
        <f>SUM($E$1742:$AI$1742)</f>
        <v>125.5</v>
      </c>
      <c r="AN1740" s="8">
        <f>AL1740+AM1740</f>
        <v>159.5</v>
      </c>
      <c r="AO1740" s="8">
        <f>COUNTIF($E$1740:$AI$1740,"CL")</f>
        <v>0</v>
      </c>
      <c r="AP1740" s="8">
        <f>COUNTIF($E$1740:$AI$1740,"SL")</f>
        <v>0</v>
      </c>
      <c r="AQ1740" s="8">
        <f>COUNTIF($E$1740:$AI$1740,"EL")</f>
        <v>0</v>
      </c>
      <c r="AR1740" s="8">
        <f>COUNTIF($E$1740:$AI$1740,"H")</f>
        <v>0</v>
      </c>
      <c r="AS1740" s="8"/>
      <c r="AT1740" s="11" t="s">
        <v>252</v>
      </c>
    </row>
    <row r="1741" spans="1:46" ht="15.1" customHeight="1">
      <c r="A1741" s="8"/>
      <c r="B1741" s="9"/>
      <c r="C1741" s="8"/>
      <c r="D1741" s="9"/>
      <c r="E1741" s="8">
        <v>2</v>
      </c>
      <c r="F1741" s="8">
        <v>2</v>
      </c>
      <c r="G1741" s="8">
        <v>0</v>
      </c>
      <c r="H1741" s="8">
        <v>2</v>
      </c>
      <c r="I1741" s="8">
        <v>2</v>
      </c>
      <c r="J1741" s="8">
        <v>0</v>
      </c>
      <c r="K1741" s="8">
        <v>2</v>
      </c>
      <c r="L1741" s="8">
        <v>2</v>
      </c>
      <c r="M1741" s="8">
        <v>2</v>
      </c>
      <c r="N1741" s="8">
        <v>0</v>
      </c>
      <c r="O1741" s="8">
        <v>2</v>
      </c>
      <c r="P1741" s="8">
        <v>2</v>
      </c>
      <c r="Q1741" s="8">
        <v>2</v>
      </c>
      <c r="R1741" s="8">
        <v>2</v>
      </c>
      <c r="S1741" s="8">
        <v>2</v>
      </c>
      <c r="T1741" s="8">
        <v>2</v>
      </c>
      <c r="U1741" s="8">
        <v>0</v>
      </c>
      <c r="V1741" s="8">
        <v>2</v>
      </c>
      <c r="W1741" s="8">
        <v>0</v>
      </c>
      <c r="X1741" s="8">
        <v>2</v>
      </c>
      <c r="Y1741" s="8">
        <v>0</v>
      </c>
      <c r="Z1741" s="8">
        <v>0</v>
      </c>
      <c r="AA1741" s="8">
        <v>0</v>
      </c>
      <c r="AB1741" s="8">
        <v>0</v>
      </c>
      <c r="AC1741" s="8">
        <v>2</v>
      </c>
      <c r="AD1741" s="8">
        <v>2</v>
      </c>
      <c r="AE1741" s="8">
        <v>0</v>
      </c>
      <c r="AF1741" s="8">
        <v>0</v>
      </c>
      <c r="AG1741" s="8">
        <v>0</v>
      </c>
      <c r="AH1741" s="8">
        <v>0</v>
      </c>
      <c r="AI1741" s="8">
        <v>0</v>
      </c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11" t="s">
        <v>252</v>
      </c>
    </row>
    <row r="1742" spans="1:46" ht="15.1" customHeight="1">
      <c r="A1742" s="8"/>
      <c r="B1742" s="9"/>
      <c r="C1742" s="8"/>
      <c r="D1742" s="9"/>
      <c r="E1742" s="8">
        <v>4</v>
      </c>
      <c r="F1742" s="8">
        <v>3</v>
      </c>
      <c r="G1742" s="8">
        <v>14</v>
      </c>
      <c r="H1742" s="8">
        <v>5</v>
      </c>
      <c r="I1742" s="8">
        <v>7</v>
      </c>
      <c r="J1742" s="8">
        <v>0</v>
      </c>
      <c r="K1742" s="8">
        <v>7</v>
      </c>
      <c r="L1742" s="8">
        <v>7</v>
      </c>
      <c r="M1742" s="8">
        <v>5</v>
      </c>
      <c r="N1742" s="8">
        <v>17</v>
      </c>
      <c r="O1742" s="8">
        <v>7</v>
      </c>
      <c r="P1742" s="8">
        <v>7</v>
      </c>
      <c r="Q1742" s="8">
        <v>5</v>
      </c>
      <c r="R1742" s="8">
        <v>7</v>
      </c>
      <c r="S1742" s="8">
        <v>5</v>
      </c>
      <c r="T1742" s="8">
        <v>3</v>
      </c>
      <c r="U1742" s="8">
        <v>12.5</v>
      </c>
      <c r="V1742" s="8">
        <v>7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3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11" t="s">
        <v>252</v>
      </c>
    </row>
    <row r="1743" spans="1:46" ht="15.1" customHeight="1">
      <c r="A1743" s="8">
        <v>580</v>
      </c>
      <c r="B1743" s="9" t="s">
        <v>1406</v>
      </c>
      <c r="C1743" s="8" t="s">
        <v>1407</v>
      </c>
      <c r="D1743" s="9" t="s">
        <v>451</v>
      </c>
      <c r="E1743" s="8" t="s">
        <v>54</v>
      </c>
      <c r="F1743" s="12" t="s">
        <v>55</v>
      </c>
      <c r="G1743" s="10" t="s">
        <v>67</v>
      </c>
      <c r="H1743" s="8" t="s">
        <v>54</v>
      </c>
      <c r="I1743" s="8" t="s">
        <v>54</v>
      </c>
      <c r="J1743" s="8" t="s">
        <v>54</v>
      </c>
      <c r="K1743" s="8" t="s">
        <v>54</v>
      </c>
      <c r="L1743" s="12" t="s">
        <v>55</v>
      </c>
      <c r="M1743" s="8" t="s">
        <v>54</v>
      </c>
      <c r="N1743" s="10" t="s">
        <v>67</v>
      </c>
      <c r="O1743" s="8" t="s">
        <v>54</v>
      </c>
      <c r="P1743" s="8" t="s">
        <v>54</v>
      </c>
      <c r="Q1743" s="8" t="s">
        <v>54</v>
      </c>
      <c r="R1743" s="12" t="s">
        <v>55</v>
      </c>
      <c r="S1743" s="8" t="s">
        <v>54</v>
      </c>
      <c r="T1743" s="8" t="s">
        <v>54</v>
      </c>
      <c r="U1743" s="10" t="s">
        <v>67</v>
      </c>
      <c r="V1743" s="8" t="s">
        <v>54</v>
      </c>
      <c r="W1743" s="8" t="s">
        <v>54</v>
      </c>
      <c r="X1743" s="12" t="s">
        <v>55</v>
      </c>
      <c r="Y1743" s="8" t="s">
        <v>54</v>
      </c>
      <c r="Z1743" s="8" t="s">
        <v>54</v>
      </c>
      <c r="AA1743" s="8" t="s">
        <v>54</v>
      </c>
      <c r="AB1743" s="10" t="s">
        <v>67</v>
      </c>
      <c r="AC1743" s="8" t="s">
        <v>54</v>
      </c>
      <c r="AD1743" s="12" t="s">
        <v>55</v>
      </c>
      <c r="AE1743" s="8" t="s">
        <v>54</v>
      </c>
      <c r="AF1743" s="8" t="s">
        <v>54</v>
      </c>
      <c r="AG1743" s="8" t="s">
        <v>54</v>
      </c>
      <c r="AH1743" s="8" t="s">
        <v>54</v>
      </c>
      <c r="AI1743" s="10" t="s">
        <v>67</v>
      </c>
      <c r="AJ1743" s="8">
        <f>COUNTIF($E$1743:$AI$1743,"P")</f>
        <v>21</v>
      </c>
      <c r="AK1743" s="8">
        <f>COUNTIF($E$1743:$AI$1743,"A")</f>
        <v>5</v>
      </c>
      <c r="AL1743" s="8">
        <f>SUM($E$1744:$AI$1744)</f>
        <v>27</v>
      </c>
      <c r="AM1743" s="8">
        <f>SUM($E$1745:$AI$1745)</f>
        <v>75</v>
      </c>
      <c r="AN1743" s="8">
        <f>AL1743+AM1743</f>
        <v>102</v>
      </c>
      <c r="AO1743" s="8">
        <f>COUNTIF($E$1743:$AI$1743,"CL")</f>
        <v>0</v>
      </c>
      <c r="AP1743" s="8">
        <f>COUNTIF($E$1743:$AI$1743,"SL")</f>
        <v>0</v>
      </c>
      <c r="AQ1743" s="8">
        <f>COUNTIF($E$1743:$AI$1743,"EL")</f>
        <v>0</v>
      </c>
      <c r="AR1743" s="8">
        <f>COUNTIF($E$1743:$AI$1743,"H")</f>
        <v>0</v>
      </c>
      <c r="AS1743" s="8"/>
      <c r="AT1743" s="11" t="s">
        <v>252</v>
      </c>
    </row>
    <row r="1744" spans="1:46" ht="15.1" customHeight="1">
      <c r="A1744" s="8"/>
      <c r="B1744" s="9"/>
      <c r="C1744" s="8"/>
      <c r="D1744" s="9"/>
      <c r="E1744" s="8">
        <v>2</v>
      </c>
      <c r="F1744" s="8">
        <v>0</v>
      </c>
      <c r="G1744" s="8">
        <v>0</v>
      </c>
      <c r="H1744" s="8">
        <v>2</v>
      </c>
      <c r="I1744" s="8">
        <v>2</v>
      </c>
      <c r="J1744" s="8">
        <v>2</v>
      </c>
      <c r="K1744" s="8">
        <v>2</v>
      </c>
      <c r="L1744" s="8">
        <v>0</v>
      </c>
      <c r="M1744" s="8">
        <v>2</v>
      </c>
      <c r="N1744" s="8">
        <v>0</v>
      </c>
      <c r="O1744" s="8">
        <v>2</v>
      </c>
      <c r="P1744" s="8">
        <v>2</v>
      </c>
      <c r="Q1744" s="8">
        <v>2</v>
      </c>
      <c r="R1744" s="8">
        <v>0</v>
      </c>
      <c r="S1744" s="8">
        <v>2</v>
      </c>
      <c r="T1744" s="8">
        <v>2</v>
      </c>
      <c r="U1744" s="8">
        <v>0</v>
      </c>
      <c r="V1744" s="8">
        <v>2</v>
      </c>
      <c r="W1744" s="8">
        <v>2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8">
        <v>1</v>
      </c>
      <c r="AH1744" s="8">
        <v>0</v>
      </c>
      <c r="AI1744" s="8">
        <v>0</v>
      </c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11" t="s">
        <v>252</v>
      </c>
    </row>
    <row r="1745" spans="1:46" ht="15.1" customHeight="1">
      <c r="A1745" s="8"/>
      <c r="B1745" s="9"/>
      <c r="C1745" s="8"/>
      <c r="D1745" s="9"/>
      <c r="E1745" s="8">
        <v>5</v>
      </c>
      <c r="F1745" s="8">
        <v>0</v>
      </c>
      <c r="G1745" s="8">
        <v>0</v>
      </c>
      <c r="H1745" s="8">
        <v>5</v>
      </c>
      <c r="I1745" s="8">
        <v>5</v>
      </c>
      <c r="J1745" s="8">
        <v>5</v>
      </c>
      <c r="K1745" s="8">
        <v>5</v>
      </c>
      <c r="L1745" s="8">
        <v>0</v>
      </c>
      <c r="M1745" s="8">
        <v>5</v>
      </c>
      <c r="N1745" s="8">
        <v>14</v>
      </c>
      <c r="O1745" s="8">
        <v>5</v>
      </c>
      <c r="P1745" s="8">
        <v>4</v>
      </c>
      <c r="Q1745" s="8">
        <v>5</v>
      </c>
      <c r="R1745" s="8">
        <v>0</v>
      </c>
      <c r="S1745" s="8">
        <v>5</v>
      </c>
      <c r="T1745" s="8">
        <v>2.5</v>
      </c>
      <c r="U1745" s="8">
        <v>0</v>
      </c>
      <c r="V1745" s="8">
        <v>5</v>
      </c>
      <c r="W1745" s="8">
        <v>4.5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8">
        <v>0</v>
      </c>
      <c r="AH1745" s="8">
        <v>0</v>
      </c>
      <c r="AI1745" s="8">
        <v>0</v>
      </c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11" t="s">
        <v>252</v>
      </c>
    </row>
    <row r="1746" spans="1:46" ht="15.1" customHeight="1">
      <c r="A1746" s="8">
        <v>581</v>
      </c>
      <c r="B1746" s="9" t="s">
        <v>1408</v>
      </c>
      <c r="C1746" s="8" t="s">
        <v>1409</v>
      </c>
      <c r="D1746" s="9" t="s">
        <v>451</v>
      </c>
      <c r="E1746" s="8" t="s">
        <v>54</v>
      </c>
      <c r="F1746" s="8" t="s">
        <v>54</v>
      </c>
      <c r="G1746" s="10" t="s">
        <v>67</v>
      </c>
      <c r="H1746" s="12" t="s">
        <v>55</v>
      </c>
      <c r="I1746" s="8" t="s">
        <v>54</v>
      </c>
      <c r="J1746" s="8" t="s">
        <v>54</v>
      </c>
      <c r="K1746" s="8" t="s">
        <v>54</v>
      </c>
      <c r="L1746" s="8" t="s">
        <v>54</v>
      </c>
      <c r="M1746" s="8" t="s">
        <v>54</v>
      </c>
      <c r="N1746" s="10" t="s">
        <v>67</v>
      </c>
      <c r="O1746" s="8" t="s">
        <v>54</v>
      </c>
      <c r="P1746" s="8" t="s">
        <v>54</v>
      </c>
      <c r="Q1746" s="8" t="s">
        <v>54</v>
      </c>
      <c r="R1746" s="8" t="s">
        <v>54</v>
      </c>
      <c r="S1746" s="8" t="s">
        <v>54</v>
      </c>
      <c r="T1746" s="8" t="s">
        <v>54</v>
      </c>
      <c r="U1746" s="10" t="s">
        <v>67</v>
      </c>
      <c r="V1746" s="8" t="s">
        <v>54</v>
      </c>
      <c r="W1746" s="8" t="s">
        <v>54</v>
      </c>
      <c r="X1746" s="12" t="s">
        <v>55</v>
      </c>
      <c r="Y1746" s="8" t="s">
        <v>54</v>
      </c>
      <c r="Z1746" s="8" t="s">
        <v>54</v>
      </c>
      <c r="AA1746" s="8" t="s">
        <v>54</v>
      </c>
      <c r="AB1746" s="10" t="s">
        <v>67</v>
      </c>
      <c r="AC1746" s="8" t="s">
        <v>54</v>
      </c>
      <c r="AD1746" s="8" t="s">
        <v>54</v>
      </c>
      <c r="AE1746" s="8" t="s">
        <v>54</v>
      </c>
      <c r="AF1746" s="8" t="s">
        <v>54</v>
      </c>
      <c r="AG1746" s="8" t="s">
        <v>54</v>
      </c>
      <c r="AH1746" s="8" t="s">
        <v>54</v>
      </c>
      <c r="AI1746" s="10" t="s">
        <v>67</v>
      </c>
      <c r="AJ1746" s="8">
        <f>COUNTIF($E$1746:$AI$1746,"P")</f>
        <v>24</v>
      </c>
      <c r="AK1746" s="8">
        <f>COUNTIF($E$1746:$AI$1746,"A")</f>
        <v>2</v>
      </c>
      <c r="AL1746" s="8">
        <f>SUM($E$1747:$AI$1747)</f>
        <v>34</v>
      </c>
      <c r="AM1746" s="8">
        <f>SUM($E$1748:$AI$1748)</f>
        <v>107.5</v>
      </c>
      <c r="AN1746" s="8">
        <f>AL1746+AM1746</f>
        <v>141.5</v>
      </c>
      <c r="AO1746" s="8">
        <f>COUNTIF($E$1746:$AI$1746,"CL")</f>
        <v>0</v>
      </c>
      <c r="AP1746" s="8">
        <f>COUNTIF($E$1746:$AI$1746,"SL")</f>
        <v>0</v>
      </c>
      <c r="AQ1746" s="8">
        <f>COUNTIF($E$1746:$AI$1746,"EL")</f>
        <v>0</v>
      </c>
      <c r="AR1746" s="8">
        <f>COUNTIF($E$1746:$AI$1746,"H")</f>
        <v>0</v>
      </c>
      <c r="AS1746" s="8"/>
      <c r="AT1746" s="11" t="s">
        <v>252</v>
      </c>
    </row>
    <row r="1747" spans="1:46" ht="15.1" customHeight="1">
      <c r="A1747" s="8"/>
      <c r="B1747" s="9"/>
      <c r="C1747" s="8"/>
      <c r="D1747" s="9"/>
      <c r="E1747" s="8">
        <v>2</v>
      </c>
      <c r="F1747" s="8">
        <v>2</v>
      </c>
      <c r="G1747" s="8">
        <v>0</v>
      </c>
      <c r="H1747" s="8">
        <v>0</v>
      </c>
      <c r="I1747" s="8">
        <v>2</v>
      </c>
      <c r="J1747" s="8">
        <v>2</v>
      </c>
      <c r="K1747" s="8">
        <v>2</v>
      </c>
      <c r="L1747" s="8">
        <v>2</v>
      </c>
      <c r="M1747" s="8">
        <v>2</v>
      </c>
      <c r="N1747" s="8">
        <v>0</v>
      </c>
      <c r="O1747" s="8">
        <v>2</v>
      </c>
      <c r="P1747" s="8">
        <v>2</v>
      </c>
      <c r="Q1747" s="8">
        <v>2</v>
      </c>
      <c r="R1747" s="8">
        <v>2</v>
      </c>
      <c r="S1747" s="8">
        <v>2</v>
      </c>
      <c r="T1747" s="8">
        <v>2</v>
      </c>
      <c r="U1747" s="8">
        <v>0</v>
      </c>
      <c r="V1747" s="8">
        <v>2</v>
      </c>
      <c r="W1747" s="8">
        <v>2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2</v>
      </c>
      <c r="AD1747" s="8">
        <v>2</v>
      </c>
      <c r="AE1747" s="8">
        <v>0</v>
      </c>
      <c r="AF1747" s="8">
        <v>0</v>
      </c>
      <c r="AG1747" s="8">
        <v>0</v>
      </c>
      <c r="AH1747" s="8">
        <v>0</v>
      </c>
      <c r="AI1747" s="8">
        <v>0</v>
      </c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11" t="s">
        <v>252</v>
      </c>
    </row>
    <row r="1748" spans="1:46" ht="15.1" customHeight="1">
      <c r="A1748" s="8"/>
      <c r="B1748" s="9"/>
      <c r="C1748" s="8"/>
      <c r="D1748" s="9"/>
      <c r="E1748" s="8">
        <v>3</v>
      </c>
      <c r="F1748" s="8">
        <v>2.5</v>
      </c>
      <c r="G1748" s="8">
        <v>13.5</v>
      </c>
      <c r="H1748" s="8">
        <v>0</v>
      </c>
      <c r="I1748" s="8">
        <v>7</v>
      </c>
      <c r="J1748" s="8">
        <v>7</v>
      </c>
      <c r="K1748" s="8">
        <v>7</v>
      </c>
      <c r="L1748" s="8">
        <v>6.5</v>
      </c>
      <c r="M1748" s="8">
        <v>4.5</v>
      </c>
      <c r="N1748" s="8">
        <v>0</v>
      </c>
      <c r="O1748" s="8">
        <v>7</v>
      </c>
      <c r="P1748" s="8">
        <v>7</v>
      </c>
      <c r="Q1748" s="8">
        <v>5</v>
      </c>
      <c r="R1748" s="8">
        <v>7</v>
      </c>
      <c r="S1748" s="8">
        <v>6.5</v>
      </c>
      <c r="T1748" s="8">
        <v>3</v>
      </c>
      <c r="U1748" s="8">
        <v>11.5</v>
      </c>
      <c r="V1748" s="8">
        <v>0</v>
      </c>
      <c r="W1748" s="8">
        <v>6.5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3</v>
      </c>
      <c r="AE1748" s="8">
        <v>0</v>
      </c>
      <c r="AF1748" s="8">
        <v>0</v>
      </c>
      <c r="AG1748" s="8">
        <v>0</v>
      </c>
      <c r="AH1748" s="8">
        <v>0</v>
      </c>
      <c r="AI1748" s="8">
        <v>0</v>
      </c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11" t="s">
        <v>252</v>
      </c>
    </row>
    <row r="1749" spans="1:46" ht="15.1" customHeight="1">
      <c r="A1749" s="8">
        <v>582</v>
      </c>
      <c r="B1749" s="9" t="s">
        <v>1410</v>
      </c>
      <c r="C1749" s="8" t="s">
        <v>1411</v>
      </c>
      <c r="D1749" s="9" t="s">
        <v>451</v>
      </c>
      <c r="E1749" s="8" t="s">
        <v>54</v>
      </c>
      <c r="F1749" s="8" t="s">
        <v>54</v>
      </c>
      <c r="G1749" s="10" t="s">
        <v>67</v>
      </c>
      <c r="H1749" s="8" t="s">
        <v>54</v>
      </c>
      <c r="I1749" s="8" t="s">
        <v>54</v>
      </c>
      <c r="J1749" s="8" t="s">
        <v>54</v>
      </c>
      <c r="K1749" s="12" t="s">
        <v>55</v>
      </c>
      <c r="L1749" s="8" t="s">
        <v>54</v>
      </c>
      <c r="M1749" s="8" t="s">
        <v>54</v>
      </c>
      <c r="N1749" s="10" t="s">
        <v>67</v>
      </c>
      <c r="O1749" s="8" t="s">
        <v>54</v>
      </c>
      <c r="P1749" s="8" t="s">
        <v>54</v>
      </c>
      <c r="Q1749" s="8" t="s">
        <v>54</v>
      </c>
      <c r="R1749" s="8" t="s">
        <v>54</v>
      </c>
      <c r="S1749" s="12" t="s">
        <v>55</v>
      </c>
      <c r="T1749" s="8" t="s">
        <v>54</v>
      </c>
      <c r="U1749" s="10" t="s">
        <v>67</v>
      </c>
      <c r="V1749" s="8" t="s">
        <v>54</v>
      </c>
      <c r="W1749" s="8" t="s">
        <v>54</v>
      </c>
      <c r="X1749" s="8" t="s">
        <v>54</v>
      </c>
      <c r="Y1749" s="8" t="s">
        <v>54</v>
      </c>
      <c r="Z1749" s="8" t="s">
        <v>54</v>
      </c>
      <c r="AA1749" s="12" t="s">
        <v>55</v>
      </c>
      <c r="AB1749" s="10" t="s">
        <v>67</v>
      </c>
      <c r="AC1749" s="12" t="s">
        <v>55</v>
      </c>
      <c r="AD1749" s="12" t="s">
        <v>55</v>
      </c>
      <c r="AE1749" s="8" t="s">
        <v>54</v>
      </c>
      <c r="AF1749" s="8" t="s">
        <v>54</v>
      </c>
      <c r="AG1749" s="8" t="s">
        <v>54</v>
      </c>
      <c r="AH1749" s="8" t="s">
        <v>54</v>
      </c>
      <c r="AI1749" s="10" t="s">
        <v>67</v>
      </c>
      <c r="AJ1749" s="8">
        <f>COUNTIF($E$1749:$AI$1749,"P")</f>
        <v>21</v>
      </c>
      <c r="AK1749" s="8">
        <f>COUNTIF($E$1749:$AI$1749,"A")</f>
        <v>5</v>
      </c>
      <c r="AL1749" s="8">
        <f>SUM($E$1750:$AI$1750)</f>
        <v>31</v>
      </c>
      <c r="AM1749" s="8">
        <f>SUM($E$1751:$AI$1751)</f>
        <v>125.5</v>
      </c>
      <c r="AN1749" s="8">
        <f>AL1749+AM1749</f>
        <v>156.5</v>
      </c>
      <c r="AO1749" s="8">
        <f>COUNTIF($E$1749:$AI$1749,"CL")</f>
        <v>0</v>
      </c>
      <c r="AP1749" s="8">
        <f>COUNTIF($E$1749:$AI$1749,"SL")</f>
        <v>0</v>
      </c>
      <c r="AQ1749" s="8">
        <f>COUNTIF($E$1749:$AI$1749,"EL")</f>
        <v>0</v>
      </c>
      <c r="AR1749" s="8">
        <f>COUNTIF($E$1749:$AI$1749,"H")</f>
        <v>0</v>
      </c>
      <c r="AS1749" s="8"/>
      <c r="AT1749" s="11" t="s">
        <v>252</v>
      </c>
    </row>
    <row r="1750" spans="1:46" ht="15.1" customHeight="1">
      <c r="A1750" s="8"/>
      <c r="B1750" s="9"/>
      <c r="C1750" s="8"/>
      <c r="D1750" s="9"/>
      <c r="E1750" s="8">
        <v>2</v>
      </c>
      <c r="F1750" s="8">
        <v>2</v>
      </c>
      <c r="G1750" s="8">
        <v>0</v>
      </c>
      <c r="H1750" s="8">
        <v>2</v>
      </c>
      <c r="I1750" s="8">
        <v>2</v>
      </c>
      <c r="J1750" s="8">
        <v>2</v>
      </c>
      <c r="K1750" s="8">
        <v>0</v>
      </c>
      <c r="L1750" s="8">
        <v>2</v>
      </c>
      <c r="M1750" s="8">
        <v>2</v>
      </c>
      <c r="N1750" s="8">
        <v>0</v>
      </c>
      <c r="O1750" s="8">
        <v>2</v>
      </c>
      <c r="P1750" s="8">
        <v>2</v>
      </c>
      <c r="Q1750" s="8">
        <v>2</v>
      </c>
      <c r="R1750" s="8">
        <v>2</v>
      </c>
      <c r="S1750" s="8">
        <v>0</v>
      </c>
      <c r="T1750" s="8">
        <v>2</v>
      </c>
      <c r="U1750" s="8">
        <v>0</v>
      </c>
      <c r="V1750" s="8">
        <v>2</v>
      </c>
      <c r="W1750" s="8">
        <v>2</v>
      </c>
      <c r="X1750" s="8">
        <v>2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1</v>
      </c>
      <c r="AH1750" s="8">
        <v>0</v>
      </c>
      <c r="AI1750" s="8">
        <v>0</v>
      </c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11" t="s">
        <v>252</v>
      </c>
    </row>
    <row r="1751" spans="1:46" ht="15.1" customHeight="1">
      <c r="A1751" s="8"/>
      <c r="B1751" s="9"/>
      <c r="C1751" s="8"/>
      <c r="D1751" s="9"/>
      <c r="E1751" s="8">
        <v>5</v>
      </c>
      <c r="F1751" s="8">
        <v>3</v>
      </c>
      <c r="G1751" s="8">
        <v>14</v>
      </c>
      <c r="H1751" s="8">
        <v>5</v>
      </c>
      <c r="I1751" s="8">
        <v>7</v>
      </c>
      <c r="J1751" s="8">
        <v>7</v>
      </c>
      <c r="K1751" s="8">
        <v>0</v>
      </c>
      <c r="L1751" s="8">
        <v>7</v>
      </c>
      <c r="M1751" s="8">
        <v>5</v>
      </c>
      <c r="N1751" s="8">
        <v>17</v>
      </c>
      <c r="O1751" s="8">
        <v>7</v>
      </c>
      <c r="P1751" s="8">
        <v>7</v>
      </c>
      <c r="Q1751" s="8">
        <v>5</v>
      </c>
      <c r="R1751" s="8">
        <v>7</v>
      </c>
      <c r="S1751" s="8">
        <v>0</v>
      </c>
      <c r="T1751" s="8">
        <v>3</v>
      </c>
      <c r="U1751" s="8">
        <v>12.5</v>
      </c>
      <c r="V1751" s="8">
        <v>7</v>
      </c>
      <c r="W1751" s="8">
        <v>7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11" t="s">
        <v>252</v>
      </c>
    </row>
    <row r="1752" spans="1:46" ht="15.1" customHeight="1">
      <c r="A1752" s="8">
        <v>583</v>
      </c>
      <c r="B1752" s="9" t="s">
        <v>1412</v>
      </c>
      <c r="C1752" s="8" t="s">
        <v>1413</v>
      </c>
      <c r="D1752" s="9" t="s">
        <v>451</v>
      </c>
      <c r="E1752" s="8" t="s">
        <v>54</v>
      </c>
      <c r="F1752" s="8" t="s">
        <v>54</v>
      </c>
      <c r="G1752" s="10" t="s">
        <v>67</v>
      </c>
      <c r="H1752" s="8" t="s">
        <v>54</v>
      </c>
      <c r="I1752" s="8" t="s">
        <v>54</v>
      </c>
      <c r="J1752" s="8" t="s">
        <v>54</v>
      </c>
      <c r="K1752" s="8" t="s">
        <v>54</v>
      </c>
      <c r="L1752" s="8" t="s">
        <v>54</v>
      </c>
      <c r="M1752" s="8" t="s">
        <v>54</v>
      </c>
      <c r="N1752" s="10" t="s">
        <v>67</v>
      </c>
      <c r="O1752" s="8" t="s">
        <v>54</v>
      </c>
      <c r="P1752" s="8" t="s">
        <v>54</v>
      </c>
      <c r="Q1752" s="8" t="s">
        <v>54</v>
      </c>
      <c r="R1752" s="8" t="s">
        <v>54</v>
      </c>
      <c r="S1752" s="8" t="s">
        <v>54</v>
      </c>
      <c r="T1752" s="8" t="s">
        <v>54</v>
      </c>
      <c r="U1752" s="10" t="s">
        <v>67</v>
      </c>
      <c r="V1752" s="8" t="s">
        <v>54</v>
      </c>
      <c r="W1752" s="8" t="s">
        <v>54</v>
      </c>
      <c r="X1752" s="8" t="s">
        <v>54</v>
      </c>
      <c r="Y1752" s="8" t="s">
        <v>54</v>
      </c>
      <c r="Z1752" s="8" t="s">
        <v>54</v>
      </c>
      <c r="AA1752" s="8" t="s">
        <v>54</v>
      </c>
      <c r="AB1752" s="10" t="s">
        <v>67</v>
      </c>
      <c r="AC1752" s="12" t="s">
        <v>55</v>
      </c>
      <c r="AD1752" s="12" t="s">
        <v>55</v>
      </c>
      <c r="AE1752" s="8" t="s">
        <v>54</v>
      </c>
      <c r="AF1752" s="8" t="s">
        <v>54</v>
      </c>
      <c r="AG1752" s="8" t="s">
        <v>54</v>
      </c>
      <c r="AH1752" s="8" t="s">
        <v>54</v>
      </c>
      <c r="AI1752" s="10" t="s">
        <v>67</v>
      </c>
      <c r="AJ1752" s="8">
        <f>COUNTIF($E$1752:$AI$1752,"P")</f>
        <v>24</v>
      </c>
      <c r="AK1752" s="8">
        <f>COUNTIF($E$1752:$AI$1752,"A")</f>
        <v>2</v>
      </c>
      <c r="AL1752" s="8">
        <f>SUM($E$1753:$AI$1753)</f>
        <v>35</v>
      </c>
      <c r="AM1752" s="8">
        <f>SUM($E$1754:$AI$1754)</f>
        <v>132.5</v>
      </c>
      <c r="AN1752" s="8">
        <f>AL1752+AM1752</f>
        <v>167.5</v>
      </c>
      <c r="AO1752" s="8">
        <f>COUNTIF($E$1752:$AI$1752,"CL")</f>
        <v>0</v>
      </c>
      <c r="AP1752" s="8">
        <f>COUNTIF($E$1752:$AI$1752,"SL")</f>
        <v>0</v>
      </c>
      <c r="AQ1752" s="8">
        <f>COUNTIF($E$1752:$AI$1752,"EL")</f>
        <v>0</v>
      </c>
      <c r="AR1752" s="8">
        <f>COUNTIF($E$1752:$AI$1752,"H")</f>
        <v>0</v>
      </c>
      <c r="AS1752" s="8"/>
      <c r="AT1752" s="11" t="s">
        <v>252</v>
      </c>
    </row>
    <row r="1753" spans="1:46" ht="15.1" customHeight="1">
      <c r="A1753" s="8"/>
      <c r="B1753" s="9"/>
      <c r="C1753" s="8"/>
      <c r="D1753" s="9"/>
      <c r="E1753" s="8">
        <v>2</v>
      </c>
      <c r="F1753" s="8">
        <v>2</v>
      </c>
      <c r="G1753" s="8">
        <v>0</v>
      </c>
      <c r="H1753" s="8">
        <v>2</v>
      </c>
      <c r="I1753" s="8">
        <v>2</v>
      </c>
      <c r="J1753" s="8">
        <v>2</v>
      </c>
      <c r="K1753" s="8">
        <v>2</v>
      </c>
      <c r="L1753" s="8">
        <v>2</v>
      </c>
      <c r="M1753" s="8">
        <v>2</v>
      </c>
      <c r="N1753" s="8">
        <v>0</v>
      </c>
      <c r="O1753" s="8">
        <v>2</v>
      </c>
      <c r="P1753" s="8">
        <v>2</v>
      </c>
      <c r="Q1753" s="8">
        <v>2</v>
      </c>
      <c r="R1753" s="8">
        <v>2</v>
      </c>
      <c r="S1753" s="8">
        <v>2</v>
      </c>
      <c r="T1753" s="8">
        <v>2</v>
      </c>
      <c r="U1753" s="8">
        <v>0</v>
      </c>
      <c r="V1753" s="8">
        <v>2</v>
      </c>
      <c r="W1753" s="8">
        <v>2</v>
      </c>
      <c r="X1753" s="8">
        <v>2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>
        <v>1</v>
      </c>
      <c r="AG1753" s="8">
        <v>0</v>
      </c>
      <c r="AH1753" s="8">
        <v>0</v>
      </c>
      <c r="AI1753" s="8">
        <v>0</v>
      </c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11" t="s">
        <v>252</v>
      </c>
    </row>
    <row r="1754" spans="1:46" ht="15.1" customHeight="1">
      <c r="A1754" s="8"/>
      <c r="B1754" s="9"/>
      <c r="C1754" s="8"/>
      <c r="D1754" s="9"/>
      <c r="E1754" s="8">
        <v>3.5</v>
      </c>
      <c r="F1754" s="8">
        <v>3</v>
      </c>
      <c r="G1754" s="8">
        <v>14</v>
      </c>
      <c r="H1754" s="8">
        <v>5</v>
      </c>
      <c r="I1754" s="8">
        <v>7</v>
      </c>
      <c r="J1754" s="8">
        <v>6</v>
      </c>
      <c r="K1754" s="8">
        <v>7</v>
      </c>
      <c r="L1754" s="8">
        <v>7</v>
      </c>
      <c r="M1754" s="8">
        <v>5</v>
      </c>
      <c r="N1754" s="8">
        <v>16.5</v>
      </c>
      <c r="O1754" s="8">
        <v>7</v>
      </c>
      <c r="P1754" s="8">
        <v>7</v>
      </c>
      <c r="Q1754" s="8">
        <v>5</v>
      </c>
      <c r="R1754" s="8">
        <v>5</v>
      </c>
      <c r="S1754" s="8">
        <v>5</v>
      </c>
      <c r="T1754" s="8">
        <v>3</v>
      </c>
      <c r="U1754" s="8">
        <v>12.5</v>
      </c>
      <c r="V1754" s="8">
        <v>7</v>
      </c>
      <c r="W1754" s="8">
        <v>7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  <c r="AH1754" s="8">
        <v>0</v>
      </c>
      <c r="AI1754" s="8">
        <v>0</v>
      </c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11" t="s">
        <v>252</v>
      </c>
    </row>
    <row r="1755" spans="1:46" ht="15.1" customHeight="1">
      <c r="A1755" s="8">
        <v>584</v>
      </c>
      <c r="B1755" s="9" t="s">
        <v>1414</v>
      </c>
      <c r="C1755" s="8" t="s">
        <v>1415</v>
      </c>
      <c r="D1755" s="9" t="s">
        <v>451</v>
      </c>
      <c r="E1755" s="8" t="s">
        <v>54</v>
      </c>
      <c r="F1755" s="8" t="s">
        <v>54</v>
      </c>
      <c r="G1755" s="10" t="s">
        <v>67</v>
      </c>
      <c r="H1755" s="8" t="s">
        <v>54</v>
      </c>
      <c r="I1755" s="8" t="s">
        <v>54</v>
      </c>
      <c r="J1755" s="8" t="s">
        <v>54</v>
      </c>
      <c r="K1755" s="8" t="s">
        <v>54</v>
      </c>
      <c r="L1755" s="8" t="s">
        <v>54</v>
      </c>
      <c r="M1755" s="8" t="s">
        <v>54</v>
      </c>
      <c r="N1755" s="10" t="s">
        <v>67</v>
      </c>
      <c r="O1755" s="8" t="s">
        <v>54</v>
      </c>
      <c r="P1755" s="8" t="s">
        <v>54</v>
      </c>
      <c r="Q1755" s="8" t="s">
        <v>54</v>
      </c>
      <c r="R1755" s="8" t="s">
        <v>54</v>
      </c>
      <c r="S1755" s="8" t="s">
        <v>54</v>
      </c>
      <c r="T1755" s="8" t="s">
        <v>54</v>
      </c>
      <c r="U1755" s="10" t="s">
        <v>67</v>
      </c>
      <c r="V1755" s="8" t="s">
        <v>54</v>
      </c>
      <c r="W1755" s="8" t="s">
        <v>54</v>
      </c>
      <c r="X1755" s="8" t="s">
        <v>54</v>
      </c>
      <c r="Y1755" s="8" t="s">
        <v>54</v>
      </c>
      <c r="Z1755" s="8" t="s">
        <v>54</v>
      </c>
      <c r="AA1755" s="8" t="s">
        <v>54</v>
      </c>
      <c r="AB1755" s="10" t="s">
        <v>67</v>
      </c>
      <c r="AC1755" s="8" t="s">
        <v>54</v>
      </c>
      <c r="AD1755" s="8" t="s">
        <v>54</v>
      </c>
      <c r="AE1755" s="8" t="s">
        <v>54</v>
      </c>
      <c r="AF1755" s="8" t="s">
        <v>54</v>
      </c>
      <c r="AG1755" s="8" t="s">
        <v>54</v>
      </c>
      <c r="AH1755" s="8" t="s">
        <v>54</v>
      </c>
      <c r="AI1755" s="10" t="s">
        <v>67</v>
      </c>
      <c r="AJ1755" s="8">
        <f>COUNTIF($E$1755:$AI$1755,"P")</f>
        <v>26</v>
      </c>
      <c r="AK1755" s="8">
        <f>COUNTIF($E$1755:$AI$1755,"A")</f>
        <v>0</v>
      </c>
      <c r="AL1755" s="8">
        <f>SUM($E$1756:$AI$1756)</f>
        <v>37</v>
      </c>
      <c r="AM1755" s="8">
        <f>SUM($E$1757:$AI$1757)</f>
        <v>128.5</v>
      </c>
      <c r="AN1755" s="8">
        <f>AL1755+AM1755</f>
        <v>165.5</v>
      </c>
      <c r="AO1755" s="8">
        <f>COUNTIF($E$1755:$AI$1755,"CL")</f>
        <v>0</v>
      </c>
      <c r="AP1755" s="8">
        <f>COUNTIF($E$1755:$AI$1755,"SL")</f>
        <v>0</v>
      </c>
      <c r="AQ1755" s="8">
        <f>COUNTIF($E$1755:$AI$1755,"EL")</f>
        <v>0</v>
      </c>
      <c r="AR1755" s="8">
        <f>COUNTIF($E$1755:$AI$1755,"H")</f>
        <v>0</v>
      </c>
      <c r="AS1755" s="8"/>
      <c r="AT1755" s="11" t="s">
        <v>252</v>
      </c>
    </row>
    <row r="1756" spans="1:46" ht="15.1" customHeight="1">
      <c r="A1756" s="8"/>
      <c r="B1756" s="9"/>
      <c r="C1756" s="8"/>
      <c r="D1756" s="9"/>
      <c r="E1756" s="8">
        <v>2</v>
      </c>
      <c r="F1756" s="8">
        <v>2</v>
      </c>
      <c r="G1756" s="8">
        <v>0</v>
      </c>
      <c r="H1756" s="8">
        <v>2</v>
      </c>
      <c r="I1756" s="8">
        <v>2</v>
      </c>
      <c r="J1756" s="8">
        <v>2</v>
      </c>
      <c r="K1756" s="8">
        <v>2</v>
      </c>
      <c r="L1756" s="8">
        <v>0</v>
      </c>
      <c r="M1756" s="8">
        <v>2</v>
      </c>
      <c r="N1756" s="8">
        <v>0</v>
      </c>
      <c r="O1756" s="8">
        <v>2</v>
      </c>
      <c r="P1756" s="8">
        <v>2</v>
      </c>
      <c r="Q1756" s="8">
        <v>2</v>
      </c>
      <c r="R1756" s="8">
        <v>2</v>
      </c>
      <c r="S1756" s="8">
        <v>2</v>
      </c>
      <c r="T1756" s="8">
        <v>2</v>
      </c>
      <c r="U1756" s="8">
        <v>0</v>
      </c>
      <c r="V1756" s="8">
        <v>2</v>
      </c>
      <c r="W1756" s="8">
        <v>2</v>
      </c>
      <c r="X1756" s="8">
        <v>2</v>
      </c>
      <c r="Y1756" s="8">
        <v>0</v>
      </c>
      <c r="Z1756" s="8">
        <v>0</v>
      </c>
      <c r="AA1756" s="8">
        <v>0</v>
      </c>
      <c r="AB1756" s="8">
        <v>0</v>
      </c>
      <c r="AC1756" s="8">
        <v>2</v>
      </c>
      <c r="AD1756" s="8">
        <v>2</v>
      </c>
      <c r="AE1756" s="8">
        <v>0</v>
      </c>
      <c r="AF1756" s="8">
        <v>1</v>
      </c>
      <c r="AG1756" s="8">
        <v>0</v>
      </c>
      <c r="AH1756" s="8">
        <v>0</v>
      </c>
      <c r="AI1756" s="8">
        <v>0</v>
      </c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11" t="s">
        <v>252</v>
      </c>
    </row>
    <row r="1757" spans="1:46" ht="15.1" customHeight="1">
      <c r="A1757" s="8"/>
      <c r="B1757" s="9"/>
      <c r="C1757" s="8"/>
      <c r="D1757" s="9"/>
      <c r="E1757" s="8">
        <v>4</v>
      </c>
      <c r="F1757" s="8">
        <v>3</v>
      </c>
      <c r="G1757" s="8">
        <v>13</v>
      </c>
      <c r="H1757" s="8">
        <v>5</v>
      </c>
      <c r="I1757" s="8">
        <v>7</v>
      </c>
      <c r="J1757" s="8">
        <v>6</v>
      </c>
      <c r="K1757" s="8">
        <v>7</v>
      </c>
      <c r="L1757" s="8">
        <v>0</v>
      </c>
      <c r="M1757" s="8">
        <v>5</v>
      </c>
      <c r="N1757" s="8">
        <v>17</v>
      </c>
      <c r="O1757" s="8">
        <v>7</v>
      </c>
      <c r="P1757" s="8">
        <v>7</v>
      </c>
      <c r="Q1757" s="8">
        <v>5</v>
      </c>
      <c r="R1757" s="8">
        <v>5</v>
      </c>
      <c r="S1757" s="8">
        <v>5</v>
      </c>
      <c r="T1757" s="8">
        <v>2.5</v>
      </c>
      <c r="U1757" s="8">
        <v>13</v>
      </c>
      <c r="V1757" s="8">
        <v>7</v>
      </c>
      <c r="W1757" s="8">
        <v>7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3</v>
      </c>
      <c r="AE1757" s="8">
        <v>0</v>
      </c>
      <c r="AF1757" s="8">
        <v>0</v>
      </c>
      <c r="AG1757" s="8">
        <v>0</v>
      </c>
      <c r="AH1757" s="8">
        <v>0</v>
      </c>
      <c r="AI1757" s="8">
        <v>0</v>
      </c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11" t="s">
        <v>252</v>
      </c>
    </row>
    <row r="1758" spans="1:46" ht="15.1" customHeight="1">
      <c r="A1758" s="8">
        <v>585</v>
      </c>
      <c r="B1758" s="9" t="s">
        <v>1416</v>
      </c>
      <c r="C1758" s="8" t="s">
        <v>1417</v>
      </c>
      <c r="D1758" s="9" t="s">
        <v>451</v>
      </c>
      <c r="E1758" s="8" t="s">
        <v>54</v>
      </c>
      <c r="F1758" s="8" t="s">
        <v>54</v>
      </c>
      <c r="G1758" s="10" t="s">
        <v>67</v>
      </c>
      <c r="H1758" s="8" t="s">
        <v>54</v>
      </c>
      <c r="I1758" s="8" t="s">
        <v>54</v>
      </c>
      <c r="J1758" s="8" t="s">
        <v>54</v>
      </c>
      <c r="K1758" s="8" t="s">
        <v>54</v>
      </c>
      <c r="L1758" s="8" t="s">
        <v>54</v>
      </c>
      <c r="M1758" s="8" t="s">
        <v>54</v>
      </c>
      <c r="N1758" s="10" t="s">
        <v>67</v>
      </c>
      <c r="O1758" s="8" t="s">
        <v>54</v>
      </c>
      <c r="P1758" s="8" t="s">
        <v>54</v>
      </c>
      <c r="Q1758" s="8" t="s">
        <v>54</v>
      </c>
      <c r="R1758" s="8" t="s">
        <v>54</v>
      </c>
      <c r="S1758" s="8" t="s">
        <v>54</v>
      </c>
      <c r="T1758" s="8" t="s">
        <v>54</v>
      </c>
      <c r="U1758" s="10" t="s">
        <v>67</v>
      </c>
      <c r="V1758" s="8" t="s">
        <v>54</v>
      </c>
      <c r="W1758" s="12" t="s">
        <v>55</v>
      </c>
      <c r="X1758" s="12" t="s">
        <v>55</v>
      </c>
      <c r="Y1758" s="8" t="s">
        <v>54</v>
      </c>
      <c r="Z1758" s="8" t="s">
        <v>54</v>
      </c>
      <c r="AA1758" s="8" t="s">
        <v>54</v>
      </c>
      <c r="AB1758" s="10" t="s">
        <v>67</v>
      </c>
      <c r="AC1758" s="8" t="s">
        <v>54</v>
      </c>
      <c r="AD1758" s="8" t="s">
        <v>54</v>
      </c>
      <c r="AE1758" s="8" t="s">
        <v>54</v>
      </c>
      <c r="AF1758" s="8" t="s">
        <v>54</v>
      </c>
      <c r="AG1758" s="8" t="s">
        <v>54</v>
      </c>
      <c r="AH1758" s="8" t="s">
        <v>54</v>
      </c>
      <c r="AI1758" s="10" t="s">
        <v>67</v>
      </c>
      <c r="AJ1758" s="8">
        <f>COUNTIF($E$1758:$AI$1758,"P")</f>
        <v>24</v>
      </c>
      <c r="AK1758" s="8">
        <f>COUNTIF($E$1758:$AI$1758,"A")</f>
        <v>2</v>
      </c>
      <c r="AL1758" s="8">
        <f>SUM($E$1759:$AI$1759)</f>
        <v>32</v>
      </c>
      <c r="AM1758" s="8">
        <f>SUM($E$1760:$AI$1760)</f>
        <v>91</v>
      </c>
      <c r="AN1758" s="8">
        <f>AL1758+AM1758</f>
        <v>123</v>
      </c>
      <c r="AO1758" s="8">
        <f>COUNTIF($E$1758:$AI$1758,"CL")</f>
        <v>0</v>
      </c>
      <c r="AP1758" s="8">
        <f>COUNTIF($E$1758:$AI$1758,"SL")</f>
        <v>0</v>
      </c>
      <c r="AQ1758" s="8">
        <f>COUNTIF($E$1758:$AI$1758,"EL")</f>
        <v>0</v>
      </c>
      <c r="AR1758" s="8">
        <f>COUNTIF($E$1758:$AI$1758,"H")</f>
        <v>0</v>
      </c>
      <c r="AS1758" s="8"/>
      <c r="AT1758" s="11" t="s">
        <v>252</v>
      </c>
    </row>
    <row r="1759" spans="1:46" ht="15.1" customHeight="1">
      <c r="A1759" s="8"/>
      <c r="B1759" s="9"/>
      <c r="C1759" s="8"/>
      <c r="D1759" s="9"/>
      <c r="E1759" s="8">
        <v>2</v>
      </c>
      <c r="F1759" s="8">
        <v>2</v>
      </c>
      <c r="G1759" s="8">
        <v>0</v>
      </c>
      <c r="H1759" s="8">
        <v>2</v>
      </c>
      <c r="I1759" s="8">
        <v>2</v>
      </c>
      <c r="J1759" s="8">
        <v>2</v>
      </c>
      <c r="K1759" s="8">
        <v>2</v>
      </c>
      <c r="L1759" s="8">
        <v>2</v>
      </c>
      <c r="M1759" s="8">
        <v>2</v>
      </c>
      <c r="N1759" s="8">
        <v>0</v>
      </c>
      <c r="O1759" s="8">
        <v>2</v>
      </c>
      <c r="P1759" s="8">
        <v>2</v>
      </c>
      <c r="Q1759" s="8">
        <v>2</v>
      </c>
      <c r="R1759" s="8">
        <v>2</v>
      </c>
      <c r="S1759" s="8">
        <v>2</v>
      </c>
      <c r="T1759" s="8">
        <v>2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2</v>
      </c>
      <c r="AD1759" s="8">
        <v>2</v>
      </c>
      <c r="AE1759" s="8">
        <v>0</v>
      </c>
      <c r="AF1759" s="8">
        <v>0</v>
      </c>
      <c r="AG1759" s="8">
        <v>0</v>
      </c>
      <c r="AH1759" s="8">
        <v>0</v>
      </c>
      <c r="AI1759" s="8">
        <v>0</v>
      </c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11" t="s">
        <v>252</v>
      </c>
    </row>
    <row r="1760" spans="1:46" ht="15.1" customHeight="1">
      <c r="A1760" s="8"/>
      <c r="B1760" s="9"/>
      <c r="C1760" s="8"/>
      <c r="D1760" s="9"/>
      <c r="E1760" s="8">
        <v>4</v>
      </c>
      <c r="F1760" s="8">
        <v>2.5</v>
      </c>
      <c r="G1760" s="8">
        <v>0</v>
      </c>
      <c r="H1760" s="8">
        <v>4</v>
      </c>
      <c r="I1760" s="8">
        <v>6</v>
      </c>
      <c r="J1760" s="8">
        <v>3</v>
      </c>
      <c r="K1760" s="8">
        <v>4</v>
      </c>
      <c r="L1760" s="8">
        <v>5</v>
      </c>
      <c r="M1760" s="8">
        <v>5</v>
      </c>
      <c r="N1760" s="8">
        <v>16</v>
      </c>
      <c r="O1760" s="8">
        <v>7</v>
      </c>
      <c r="P1760" s="8">
        <v>7</v>
      </c>
      <c r="Q1760" s="8">
        <v>4.5</v>
      </c>
      <c r="R1760" s="8">
        <v>4.5</v>
      </c>
      <c r="S1760" s="8">
        <v>3</v>
      </c>
      <c r="T1760" s="8">
        <v>3</v>
      </c>
      <c r="U1760" s="8">
        <v>9.5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3</v>
      </c>
      <c r="AE1760" s="8">
        <v>0</v>
      </c>
      <c r="AF1760" s="8">
        <v>0</v>
      </c>
      <c r="AG1760" s="8">
        <v>0</v>
      </c>
      <c r="AH1760" s="8">
        <v>0</v>
      </c>
      <c r="AI1760" s="8">
        <v>0</v>
      </c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11" t="s">
        <v>252</v>
      </c>
    </row>
    <row r="1761" spans="1:46" ht="15.1" customHeight="1">
      <c r="A1761" s="8">
        <v>586</v>
      </c>
      <c r="B1761" s="9" t="s">
        <v>1418</v>
      </c>
      <c r="C1761" s="8" t="s">
        <v>1419</v>
      </c>
      <c r="D1761" s="9" t="s">
        <v>451</v>
      </c>
      <c r="E1761" s="8" t="s">
        <v>54</v>
      </c>
      <c r="F1761" s="8" t="s">
        <v>54</v>
      </c>
      <c r="G1761" s="10" t="s">
        <v>67</v>
      </c>
      <c r="H1761" s="8" t="s">
        <v>54</v>
      </c>
      <c r="I1761" s="8" t="s">
        <v>54</v>
      </c>
      <c r="J1761" s="8" t="s">
        <v>54</v>
      </c>
      <c r="K1761" s="8" t="s">
        <v>54</v>
      </c>
      <c r="L1761" s="8" t="s">
        <v>54</v>
      </c>
      <c r="M1761" s="8" t="s">
        <v>54</v>
      </c>
      <c r="N1761" s="10" t="s">
        <v>67</v>
      </c>
      <c r="O1761" s="8" t="s">
        <v>54</v>
      </c>
      <c r="P1761" s="8" t="s">
        <v>54</v>
      </c>
      <c r="Q1761" s="8" t="s">
        <v>54</v>
      </c>
      <c r="R1761" s="8" t="s">
        <v>54</v>
      </c>
      <c r="S1761" s="8" t="s">
        <v>54</v>
      </c>
      <c r="T1761" s="8" t="s">
        <v>54</v>
      </c>
      <c r="U1761" s="10" t="s">
        <v>67</v>
      </c>
      <c r="V1761" s="8" t="s">
        <v>54</v>
      </c>
      <c r="W1761" s="8" t="s">
        <v>54</v>
      </c>
      <c r="X1761" s="8" t="s">
        <v>54</v>
      </c>
      <c r="Y1761" s="8" t="s">
        <v>54</v>
      </c>
      <c r="Z1761" s="8" t="s">
        <v>54</v>
      </c>
      <c r="AA1761" s="8" t="s">
        <v>54</v>
      </c>
      <c r="AB1761" s="10" t="s">
        <v>67</v>
      </c>
      <c r="AC1761" s="8" t="s">
        <v>54</v>
      </c>
      <c r="AD1761" s="8" t="s">
        <v>54</v>
      </c>
      <c r="AE1761" s="8" t="s">
        <v>54</v>
      </c>
      <c r="AF1761" s="8" t="s">
        <v>54</v>
      </c>
      <c r="AG1761" s="8" t="s">
        <v>54</v>
      </c>
      <c r="AH1761" s="8" t="s">
        <v>54</v>
      </c>
      <c r="AI1761" s="10" t="s">
        <v>67</v>
      </c>
      <c r="AJ1761" s="8">
        <f>COUNTIF($E$1761:$AI$1761,"P")</f>
        <v>26</v>
      </c>
      <c r="AK1761" s="8">
        <f>COUNTIF($E$1761:$AI$1761,"A")</f>
        <v>0</v>
      </c>
      <c r="AL1761" s="8">
        <f>SUM($E$1762:$AI$1762)</f>
        <v>36</v>
      </c>
      <c r="AM1761" s="8">
        <f>SUM($E$1763:$AI$1763)</f>
        <v>134</v>
      </c>
      <c r="AN1761" s="8">
        <f>AL1761+AM1761</f>
        <v>170</v>
      </c>
      <c r="AO1761" s="8">
        <f>COUNTIF($E$1761:$AI$1761,"CL")</f>
        <v>0</v>
      </c>
      <c r="AP1761" s="8">
        <f>COUNTIF($E$1761:$AI$1761,"SL")</f>
        <v>0</v>
      </c>
      <c r="AQ1761" s="8">
        <f>COUNTIF($E$1761:$AI$1761,"EL")</f>
        <v>0</v>
      </c>
      <c r="AR1761" s="8">
        <f>COUNTIF($E$1761:$AI$1761,"H")</f>
        <v>0</v>
      </c>
      <c r="AS1761" s="8"/>
      <c r="AT1761" s="11" t="s">
        <v>253</v>
      </c>
    </row>
    <row r="1762" spans="1:46" ht="15.1" customHeight="1">
      <c r="A1762" s="8"/>
      <c r="B1762" s="9"/>
      <c r="C1762" s="8"/>
      <c r="D1762" s="9"/>
      <c r="E1762" s="8">
        <v>2</v>
      </c>
      <c r="F1762" s="8">
        <v>2</v>
      </c>
      <c r="G1762" s="8">
        <v>0</v>
      </c>
      <c r="H1762" s="8">
        <v>2</v>
      </c>
      <c r="I1762" s="8">
        <v>2</v>
      </c>
      <c r="J1762" s="8">
        <v>2</v>
      </c>
      <c r="K1762" s="8">
        <v>0</v>
      </c>
      <c r="L1762" s="8">
        <v>2</v>
      </c>
      <c r="M1762" s="8">
        <v>2</v>
      </c>
      <c r="N1762" s="8">
        <v>0</v>
      </c>
      <c r="O1762" s="8">
        <v>2</v>
      </c>
      <c r="P1762" s="8">
        <v>2</v>
      </c>
      <c r="Q1762" s="8">
        <v>2</v>
      </c>
      <c r="R1762" s="8">
        <v>2</v>
      </c>
      <c r="S1762" s="8">
        <v>2</v>
      </c>
      <c r="T1762" s="8">
        <v>2</v>
      </c>
      <c r="U1762" s="8">
        <v>0</v>
      </c>
      <c r="V1762" s="8">
        <v>2</v>
      </c>
      <c r="W1762" s="8">
        <v>2</v>
      </c>
      <c r="X1762" s="8">
        <v>2</v>
      </c>
      <c r="Y1762" s="8">
        <v>0</v>
      </c>
      <c r="Z1762" s="8">
        <v>0</v>
      </c>
      <c r="AA1762" s="8">
        <v>0</v>
      </c>
      <c r="AB1762" s="8">
        <v>0</v>
      </c>
      <c r="AC1762" s="8">
        <v>2</v>
      </c>
      <c r="AD1762" s="8">
        <v>2</v>
      </c>
      <c r="AE1762" s="8">
        <v>0</v>
      </c>
      <c r="AF1762" s="8">
        <v>0</v>
      </c>
      <c r="AG1762" s="8">
        <v>0</v>
      </c>
      <c r="AH1762" s="8">
        <v>0</v>
      </c>
      <c r="AI1762" s="8">
        <v>0</v>
      </c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11" t="s">
        <v>253</v>
      </c>
    </row>
    <row r="1763" spans="1:46" ht="15.1" customHeight="1">
      <c r="A1763" s="8"/>
      <c r="B1763" s="9"/>
      <c r="C1763" s="8"/>
      <c r="D1763" s="9"/>
      <c r="E1763" s="8">
        <v>4</v>
      </c>
      <c r="F1763" s="8">
        <v>3</v>
      </c>
      <c r="G1763" s="8">
        <v>14</v>
      </c>
      <c r="H1763" s="8">
        <v>5</v>
      </c>
      <c r="I1763" s="8">
        <v>7</v>
      </c>
      <c r="J1763" s="8">
        <v>7</v>
      </c>
      <c r="K1763" s="8">
        <v>0</v>
      </c>
      <c r="L1763" s="8">
        <v>7</v>
      </c>
      <c r="M1763" s="8">
        <v>5</v>
      </c>
      <c r="N1763" s="8">
        <v>16.5</v>
      </c>
      <c r="O1763" s="8">
        <v>7</v>
      </c>
      <c r="P1763" s="8">
        <v>7</v>
      </c>
      <c r="Q1763" s="8">
        <v>5</v>
      </c>
      <c r="R1763" s="8">
        <v>7</v>
      </c>
      <c r="S1763" s="8">
        <v>7</v>
      </c>
      <c r="T1763" s="8">
        <v>3</v>
      </c>
      <c r="U1763" s="8">
        <v>12.5</v>
      </c>
      <c r="V1763" s="8">
        <v>7</v>
      </c>
      <c r="W1763" s="8">
        <v>7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3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11" t="s">
        <v>253</v>
      </c>
    </row>
    <row r="1764" spans="1:46" ht="15.1" customHeight="1">
      <c r="A1764" s="8">
        <v>587</v>
      </c>
      <c r="B1764" s="9" t="s">
        <v>1420</v>
      </c>
      <c r="C1764" s="8" t="s">
        <v>1421</v>
      </c>
      <c r="D1764" s="9" t="s">
        <v>451</v>
      </c>
      <c r="E1764" s="8" t="s">
        <v>54</v>
      </c>
      <c r="F1764" s="8" t="s">
        <v>54</v>
      </c>
      <c r="G1764" s="10" t="s">
        <v>67</v>
      </c>
      <c r="H1764" s="8" t="s">
        <v>54</v>
      </c>
      <c r="I1764" s="8" t="s">
        <v>54</v>
      </c>
      <c r="J1764" s="8" t="s">
        <v>54</v>
      </c>
      <c r="K1764" s="8" t="s">
        <v>54</v>
      </c>
      <c r="L1764" s="8" t="s">
        <v>54</v>
      </c>
      <c r="M1764" s="8" t="s">
        <v>54</v>
      </c>
      <c r="N1764" s="10" t="s">
        <v>67</v>
      </c>
      <c r="O1764" s="8" t="s">
        <v>54</v>
      </c>
      <c r="P1764" s="8" t="s">
        <v>54</v>
      </c>
      <c r="Q1764" s="8" t="s">
        <v>54</v>
      </c>
      <c r="R1764" s="8" t="s">
        <v>54</v>
      </c>
      <c r="S1764" s="8" t="s">
        <v>54</v>
      </c>
      <c r="T1764" s="8" t="s">
        <v>54</v>
      </c>
      <c r="U1764" s="10" t="s">
        <v>67</v>
      </c>
      <c r="V1764" s="8" t="s">
        <v>54</v>
      </c>
      <c r="W1764" s="8" t="s">
        <v>54</v>
      </c>
      <c r="X1764" s="8" t="s">
        <v>54</v>
      </c>
      <c r="Y1764" s="8" t="s">
        <v>54</v>
      </c>
      <c r="Z1764" s="8" t="s">
        <v>54</v>
      </c>
      <c r="AA1764" s="8" t="s">
        <v>54</v>
      </c>
      <c r="AB1764" s="10" t="s">
        <v>67</v>
      </c>
      <c r="AC1764" s="8" t="s">
        <v>54</v>
      </c>
      <c r="AD1764" s="8" t="s">
        <v>54</v>
      </c>
      <c r="AE1764" s="8" t="s">
        <v>54</v>
      </c>
      <c r="AF1764" s="8" t="s">
        <v>54</v>
      </c>
      <c r="AG1764" s="8" t="s">
        <v>54</v>
      </c>
      <c r="AH1764" s="8" t="s">
        <v>54</v>
      </c>
      <c r="AI1764" s="10" t="s">
        <v>67</v>
      </c>
      <c r="AJ1764" s="8">
        <f>COUNTIF($E$1764:$AI$1764,"P")</f>
        <v>26</v>
      </c>
      <c r="AK1764" s="8">
        <f>COUNTIF($E$1764:$AI$1764,"A")</f>
        <v>0</v>
      </c>
      <c r="AL1764" s="8">
        <f>SUM($E$1765:$AI$1765)</f>
        <v>38</v>
      </c>
      <c r="AM1764" s="8">
        <f>SUM($E$1766:$AI$1766)</f>
        <v>142</v>
      </c>
      <c r="AN1764" s="8">
        <f>AL1764+AM1764</f>
        <v>180</v>
      </c>
      <c r="AO1764" s="8">
        <f>COUNTIF($E$1764:$AI$1764,"CL")</f>
        <v>0</v>
      </c>
      <c r="AP1764" s="8">
        <f>COUNTIF($E$1764:$AI$1764,"SL")</f>
        <v>0</v>
      </c>
      <c r="AQ1764" s="8">
        <f>COUNTIF($E$1764:$AI$1764,"EL")</f>
        <v>0</v>
      </c>
      <c r="AR1764" s="8">
        <f>COUNTIF($E$1764:$AI$1764,"H")</f>
        <v>0</v>
      </c>
      <c r="AS1764" s="8"/>
      <c r="AT1764" s="11" t="s">
        <v>253</v>
      </c>
    </row>
    <row r="1765" spans="1:46" ht="15.1" customHeight="1">
      <c r="A1765" s="8"/>
      <c r="B1765" s="9"/>
      <c r="C1765" s="8"/>
      <c r="D1765" s="9"/>
      <c r="E1765" s="8">
        <v>2</v>
      </c>
      <c r="F1765" s="8">
        <v>2</v>
      </c>
      <c r="G1765" s="8">
        <v>0</v>
      </c>
      <c r="H1765" s="8">
        <v>2</v>
      </c>
      <c r="I1765" s="8">
        <v>2</v>
      </c>
      <c r="J1765" s="8">
        <v>2</v>
      </c>
      <c r="K1765" s="8">
        <v>2</v>
      </c>
      <c r="L1765" s="8">
        <v>2</v>
      </c>
      <c r="M1765" s="8">
        <v>2</v>
      </c>
      <c r="N1765" s="8">
        <v>0</v>
      </c>
      <c r="O1765" s="8">
        <v>2</v>
      </c>
      <c r="P1765" s="8">
        <v>2</v>
      </c>
      <c r="Q1765" s="8">
        <v>2</v>
      </c>
      <c r="R1765" s="8">
        <v>2</v>
      </c>
      <c r="S1765" s="8">
        <v>2</v>
      </c>
      <c r="T1765" s="8">
        <v>2</v>
      </c>
      <c r="U1765" s="8">
        <v>0</v>
      </c>
      <c r="V1765" s="8">
        <v>2</v>
      </c>
      <c r="W1765" s="8">
        <v>2</v>
      </c>
      <c r="X1765" s="8">
        <v>2</v>
      </c>
      <c r="Y1765" s="8">
        <v>0</v>
      </c>
      <c r="Z1765" s="8">
        <v>0</v>
      </c>
      <c r="AA1765" s="8">
        <v>0</v>
      </c>
      <c r="AB1765" s="8">
        <v>0</v>
      </c>
      <c r="AC1765" s="8">
        <v>2</v>
      </c>
      <c r="AD1765" s="8">
        <v>2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11" t="s">
        <v>253</v>
      </c>
    </row>
    <row r="1766" spans="1:46" ht="15.1" customHeight="1">
      <c r="A1766" s="8"/>
      <c r="B1766" s="9"/>
      <c r="C1766" s="8"/>
      <c r="D1766" s="9"/>
      <c r="E1766" s="8">
        <v>4</v>
      </c>
      <c r="F1766" s="8">
        <v>3</v>
      </c>
      <c r="G1766" s="8">
        <v>14</v>
      </c>
      <c r="H1766" s="8">
        <v>5</v>
      </c>
      <c r="I1766" s="8">
        <v>7</v>
      </c>
      <c r="J1766" s="8">
        <v>7</v>
      </c>
      <c r="K1766" s="8">
        <v>7</v>
      </c>
      <c r="L1766" s="8">
        <v>7</v>
      </c>
      <c r="M1766" s="8">
        <v>5</v>
      </c>
      <c r="N1766" s="8">
        <v>17</v>
      </c>
      <c r="O1766" s="8">
        <v>7</v>
      </c>
      <c r="P1766" s="8">
        <v>7</v>
      </c>
      <c r="Q1766" s="8">
        <v>5</v>
      </c>
      <c r="R1766" s="8">
        <v>7</v>
      </c>
      <c r="S1766" s="8">
        <v>7</v>
      </c>
      <c r="T1766" s="8">
        <v>3</v>
      </c>
      <c r="U1766" s="8">
        <v>13</v>
      </c>
      <c r="V1766" s="8">
        <v>7</v>
      </c>
      <c r="W1766" s="8">
        <v>7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3</v>
      </c>
      <c r="AE1766" s="8">
        <v>0</v>
      </c>
      <c r="AF1766" s="8">
        <v>0</v>
      </c>
      <c r="AG1766" s="8">
        <v>0</v>
      </c>
      <c r="AH1766" s="8">
        <v>0</v>
      </c>
      <c r="AI1766" s="8">
        <v>0</v>
      </c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11" t="s">
        <v>253</v>
      </c>
    </row>
    <row r="1767" spans="1:46" ht="15.1" customHeight="1">
      <c r="A1767" s="8">
        <v>588</v>
      </c>
      <c r="B1767" s="9" t="s">
        <v>1422</v>
      </c>
      <c r="C1767" s="8" t="s">
        <v>1423</v>
      </c>
      <c r="D1767" s="9" t="s">
        <v>451</v>
      </c>
      <c r="E1767" s="8" t="s">
        <v>54</v>
      </c>
      <c r="F1767" s="8" t="s">
        <v>54</v>
      </c>
      <c r="G1767" s="10" t="s">
        <v>67</v>
      </c>
      <c r="H1767" s="8" t="s">
        <v>54</v>
      </c>
      <c r="I1767" s="8" t="s">
        <v>54</v>
      </c>
      <c r="J1767" s="8" t="s">
        <v>54</v>
      </c>
      <c r="K1767" s="8" t="s">
        <v>54</v>
      </c>
      <c r="L1767" s="8" t="s">
        <v>54</v>
      </c>
      <c r="M1767" s="8" t="s">
        <v>54</v>
      </c>
      <c r="N1767" s="10" t="s">
        <v>67</v>
      </c>
      <c r="O1767" s="8" t="s">
        <v>54</v>
      </c>
      <c r="P1767" s="8" t="s">
        <v>54</v>
      </c>
      <c r="Q1767" s="8" t="s">
        <v>54</v>
      </c>
      <c r="R1767" s="8" t="s">
        <v>54</v>
      </c>
      <c r="S1767" s="8" t="s">
        <v>54</v>
      </c>
      <c r="T1767" s="8" t="s">
        <v>54</v>
      </c>
      <c r="U1767" s="10" t="s">
        <v>67</v>
      </c>
      <c r="V1767" s="8" t="s">
        <v>54</v>
      </c>
      <c r="W1767" s="8" t="s">
        <v>54</v>
      </c>
      <c r="X1767" s="8" t="s">
        <v>54</v>
      </c>
      <c r="Y1767" s="8" t="s">
        <v>54</v>
      </c>
      <c r="Z1767" s="8" t="s">
        <v>54</v>
      </c>
      <c r="AA1767" s="8" t="s">
        <v>54</v>
      </c>
      <c r="AB1767" s="10" t="s">
        <v>67</v>
      </c>
      <c r="AC1767" s="8" t="s">
        <v>54</v>
      </c>
      <c r="AD1767" s="8" t="s">
        <v>54</v>
      </c>
      <c r="AE1767" s="8" t="s">
        <v>54</v>
      </c>
      <c r="AF1767" s="8" t="s">
        <v>54</v>
      </c>
      <c r="AG1767" s="8" t="s">
        <v>54</v>
      </c>
      <c r="AH1767" s="8" t="s">
        <v>54</v>
      </c>
      <c r="AI1767" s="10" t="s">
        <v>67</v>
      </c>
      <c r="AJ1767" s="8">
        <f>COUNTIF($E$1767:$AI$1767,"P")</f>
        <v>26</v>
      </c>
      <c r="AK1767" s="8">
        <f>COUNTIF($E$1767:$AI$1767,"A")</f>
        <v>0</v>
      </c>
      <c r="AL1767" s="8">
        <f>SUM($E$1768:$AI$1768)</f>
        <v>38</v>
      </c>
      <c r="AM1767" s="8">
        <f>SUM($E$1769:$AI$1769)</f>
        <v>141.5</v>
      </c>
      <c r="AN1767" s="8">
        <f>AL1767+AM1767</f>
        <v>179.5</v>
      </c>
      <c r="AO1767" s="8">
        <f>COUNTIF($E$1767:$AI$1767,"CL")</f>
        <v>0</v>
      </c>
      <c r="AP1767" s="8">
        <f>COUNTIF($E$1767:$AI$1767,"SL")</f>
        <v>0</v>
      </c>
      <c r="AQ1767" s="8">
        <f>COUNTIF($E$1767:$AI$1767,"EL")</f>
        <v>0</v>
      </c>
      <c r="AR1767" s="8">
        <f>COUNTIF($E$1767:$AI$1767,"H")</f>
        <v>0</v>
      </c>
      <c r="AS1767" s="8"/>
      <c r="AT1767" s="11" t="s">
        <v>253</v>
      </c>
    </row>
    <row r="1768" spans="1:46" ht="15.1" customHeight="1">
      <c r="A1768" s="8"/>
      <c r="B1768" s="9"/>
      <c r="C1768" s="8"/>
      <c r="D1768" s="9"/>
      <c r="E1768" s="8">
        <v>2</v>
      </c>
      <c r="F1768" s="8">
        <v>2</v>
      </c>
      <c r="G1768" s="8">
        <v>0</v>
      </c>
      <c r="H1768" s="8">
        <v>2</v>
      </c>
      <c r="I1768" s="8">
        <v>2</v>
      </c>
      <c r="J1768" s="8">
        <v>2</v>
      </c>
      <c r="K1768" s="8">
        <v>2</v>
      </c>
      <c r="L1768" s="8">
        <v>2</v>
      </c>
      <c r="M1768" s="8">
        <v>2</v>
      </c>
      <c r="N1768" s="8">
        <v>0</v>
      </c>
      <c r="O1768" s="8">
        <v>2</v>
      </c>
      <c r="P1768" s="8">
        <v>2</v>
      </c>
      <c r="Q1768" s="8">
        <v>2</v>
      </c>
      <c r="R1768" s="8">
        <v>2</v>
      </c>
      <c r="S1768" s="8">
        <v>2</v>
      </c>
      <c r="T1768" s="8">
        <v>2</v>
      </c>
      <c r="U1768" s="8">
        <v>0</v>
      </c>
      <c r="V1768" s="8">
        <v>2</v>
      </c>
      <c r="W1768" s="8">
        <v>2</v>
      </c>
      <c r="X1768" s="8">
        <v>2</v>
      </c>
      <c r="Y1768" s="8">
        <v>0</v>
      </c>
      <c r="Z1768" s="8">
        <v>0</v>
      </c>
      <c r="AA1768" s="8">
        <v>0</v>
      </c>
      <c r="AB1768" s="8">
        <v>0</v>
      </c>
      <c r="AC1768" s="8">
        <v>2</v>
      </c>
      <c r="AD1768" s="8">
        <v>2</v>
      </c>
      <c r="AE1768" s="8">
        <v>0</v>
      </c>
      <c r="AF1768" s="8">
        <v>0</v>
      </c>
      <c r="AG1768" s="8">
        <v>0</v>
      </c>
      <c r="AH1768" s="8">
        <v>0</v>
      </c>
      <c r="AI1768" s="8">
        <v>0</v>
      </c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11" t="s">
        <v>253</v>
      </c>
    </row>
    <row r="1769" spans="1:46" ht="15.1" customHeight="1">
      <c r="A1769" s="8"/>
      <c r="B1769" s="9"/>
      <c r="C1769" s="8"/>
      <c r="D1769" s="9"/>
      <c r="E1769" s="8">
        <v>4</v>
      </c>
      <c r="F1769" s="8">
        <v>3</v>
      </c>
      <c r="G1769" s="8">
        <v>14</v>
      </c>
      <c r="H1769" s="8">
        <v>5</v>
      </c>
      <c r="I1769" s="8">
        <v>7</v>
      </c>
      <c r="J1769" s="8">
        <v>7</v>
      </c>
      <c r="K1769" s="8">
        <v>7</v>
      </c>
      <c r="L1769" s="8">
        <v>7</v>
      </c>
      <c r="M1769" s="8">
        <v>5</v>
      </c>
      <c r="N1769" s="8">
        <v>17</v>
      </c>
      <c r="O1769" s="8">
        <v>7</v>
      </c>
      <c r="P1769" s="8">
        <v>7</v>
      </c>
      <c r="Q1769" s="8">
        <v>5</v>
      </c>
      <c r="R1769" s="8">
        <v>7</v>
      </c>
      <c r="S1769" s="8">
        <v>7</v>
      </c>
      <c r="T1769" s="8">
        <v>3</v>
      </c>
      <c r="U1769" s="8">
        <v>13</v>
      </c>
      <c r="V1769" s="8">
        <v>6.5</v>
      </c>
      <c r="W1769" s="8">
        <v>7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3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11" t="s">
        <v>253</v>
      </c>
    </row>
    <row r="1770" spans="1:46" ht="15.1" customHeight="1">
      <c r="A1770" s="8">
        <v>589</v>
      </c>
      <c r="B1770" s="9" t="s">
        <v>1424</v>
      </c>
      <c r="C1770" s="8" t="s">
        <v>1425</v>
      </c>
      <c r="D1770" s="9" t="s">
        <v>451</v>
      </c>
      <c r="E1770" s="8" t="s">
        <v>54</v>
      </c>
      <c r="F1770" s="8" t="s">
        <v>54</v>
      </c>
      <c r="G1770" s="10" t="s">
        <v>67</v>
      </c>
      <c r="H1770" s="8" t="s">
        <v>54</v>
      </c>
      <c r="I1770" s="8" t="s">
        <v>54</v>
      </c>
      <c r="J1770" s="8" t="s">
        <v>54</v>
      </c>
      <c r="K1770" s="8" t="s">
        <v>54</v>
      </c>
      <c r="L1770" s="8" t="s">
        <v>54</v>
      </c>
      <c r="M1770" s="8" t="s">
        <v>54</v>
      </c>
      <c r="N1770" s="10" t="s">
        <v>67</v>
      </c>
      <c r="O1770" s="8" t="s">
        <v>54</v>
      </c>
      <c r="P1770" s="8" t="s">
        <v>54</v>
      </c>
      <c r="Q1770" s="12" t="s">
        <v>55</v>
      </c>
      <c r="R1770" s="8" t="s">
        <v>54</v>
      </c>
      <c r="S1770" s="8" t="s">
        <v>54</v>
      </c>
      <c r="T1770" s="8" t="s">
        <v>54</v>
      </c>
      <c r="U1770" s="10" t="s">
        <v>67</v>
      </c>
      <c r="V1770" s="8" t="s">
        <v>54</v>
      </c>
      <c r="W1770" s="8" t="s">
        <v>54</v>
      </c>
      <c r="X1770" s="8" t="s">
        <v>54</v>
      </c>
      <c r="Y1770" s="8" t="s">
        <v>54</v>
      </c>
      <c r="Z1770" s="8" t="s">
        <v>54</v>
      </c>
      <c r="AA1770" s="8" t="s">
        <v>54</v>
      </c>
      <c r="AB1770" s="10" t="s">
        <v>67</v>
      </c>
      <c r="AC1770" s="8" t="s">
        <v>54</v>
      </c>
      <c r="AD1770" s="8" t="s">
        <v>54</v>
      </c>
      <c r="AE1770" s="12" t="s">
        <v>55</v>
      </c>
      <c r="AF1770" s="8" t="s">
        <v>54</v>
      </c>
      <c r="AG1770" s="8" t="s">
        <v>54</v>
      </c>
      <c r="AH1770" s="8" t="s">
        <v>54</v>
      </c>
      <c r="AI1770" s="10" t="s">
        <v>67</v>
      </c>
      <c r="AJ1770" s="8">
        <f>COUNTIF($E$1770:$AI$1770,"P")</f>
        <v>24</v>
      </c>
      <c r="AK1770" s="8">
        <f>COUNTIF($E$1770:$AI$1770,"A")</f>
        <v>2</v>
      </c>
      <c r="AL1770" s="8">
        <f>SUM($E$1771:$AI$1771)</f>
        <v>34</v>
      </c>
      <c r="AM1770" s="8">
        <f>SUM($E$1772:$AI$1772)</f>
        <v>136.5</v>
      </c>
      <c r="AN1770" s="8">
        <f>AL1770+AM1770</f>
        <v>170.5</v>
      </c>
      <c r="AO1770" s="8">
        <f>COUNTIF($E$1770:$AI$1770,"CL")</f>
        <v>0</v>
      </c>
      <c r="AP1770" s="8">
        <f>COUNTIF($E$1770:$AI$1770,"SL")</f>
        <v>0</v>
      </c>
      <c r="AQ1770" s="8">
        <f>COUNTIF($E$1770:$AI$1770,"EL")</f>
        <v>0</v>
      </c>
      <c r="AR1770" s="8">
        <f>COUNTIF($E$1770:$AI$1770,"H")</f>
        <v>0</v>
      </c>
      <c r="AS1770" s="8"/>
      <c r="AT1770" s="11" t="s">
        <v>253</v>
      </c>
    </row>
    <row r="1771" spans="1:46" ht="15.1" customHeight="1">
      <c r="A1771" s="8"/>
      <c r="B1771" s="9"/>
      <c r="C1771" s="8"/>
      <c r="D1771" s="9"/>
      <c r="E1771" s="8">
        <v>2</v>
      </c>
      <c r="F1771" s="8">
        <v>2</v>
      </c>
      <c r="G1771" s="8">
        <v>0</v>
      </c>
      <c r="H1771" s="8">
        <v>2</v>
      </c>
      <c r="I1771" s="8">
        <v>2</v>
      </c>
      <c r="J1771" s="8">
        <v>2</v>
      </c>
      <c r="K1771" s="8">
        <v>2</v>
      </c>
      <c r="L1771" s="8">
        <v>2</v>
      </c>
      <c r="M1771" s="8">
        <v>2</v>
      </c>
      <c r="N1771" s="8">
        <v>0</v>
      </c>
      <c r="O1771" s="8">
        <v>2</v>
      </c>
      <c r="P1771" s="8">
        <v>2</v>
      </c>
      <c r="Q1771" s="8">
        <v>0</v>
      </c>
      <c r="R1771" s="8">
        <v>2</v>
      </c>
      <c r="S1771" s="8">
        <v>2</v>
      </c>
      <c r="T1771" s="8">
        <v>2</v>
      </c>
      <c r="U1771" s="8">
        <v>0</v>
      </c>
      <c r="V1771" s="8">
        <v>2</v>
      </c>
      <c r="W1771" s="8">
        <v>2</v>
      </c>
      <c r="X1771" s="8">
        <v>2</v>
      </c>
      <c r="Y1771" s="8">
        <v>0</v>
      </c>
      <c r="Z1771" s="8">
        <v>0</v>
      </c>
      <c r="AA1771" s="8">
        <v>0</v>
      </c>
      <c r="AB1771" s="8">
        <v>0</v>
      </c>
      <c r="AC1771" s="8">
        <v>2</v>
      </c>
      <c r="AD1771" s="8">
        <v>0</v>
      </c>
      <c r="AE1771" s="8">
        <v>0</v>
      </c>
      <c r="AF1771" s="8">
        <v>0</v>
      </c>
      <c r="AG1771" s="8">
        <v>0</v>
      </c>
      <c r="AH1771" s="8">
        <v>0</v>
      </c>
      <c r="AI1771" s="8">
        <v>0</v>
      </c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11" t="s">
        <v>253</v>
      </c>
    </row>
    <row r="1772" spans="1:46" ht="15.1" customHeight="1">
      <c r="A1772" s="8"/>
      <c r="B1772" s="9"/>
      <c r="C1772" s="8"/>
      <c r="D1772" s="9"/>
      <c r="E1772" s="8">
        <v>3.5</v>
      </c>
      <c r="F1772" s="8">
        <v>3</v>
      </c>
      <c r="G1772" s="8">
        <v>13.5</v>
      </c>
      <c r="H1772" s="8">
        <v>5</v>
      </c>
      <c r="I1772" s="8">
        <v>7</v>
      </c>
      <c r="J1772" s="8">
        <v>7</v>
      </c>
      <c r="K1772" s="8">
        <v>7</v>
      </c>
      <c r="L1772" s="8">
        <v>6.5</v>
      </c>
      <c r="M1772" s="8">
        <v>5</v>
      </c>
      <c r="N1772" s="8">
        <v>16.5</v>
      </c>
      <c r="O1772" s="8">
        <v>7</v>
      </c>
      <c r="P1772" s="8">
        <v>7</v>
      </c>
      <c r="Q1772" s="8">
        <v>0</v>
      </c>
      <c r="R1772" s="8">
        <v>6.5</v>
      </c>
      <c r="S1772" s="8">
        <v>6.5</v>
      </c>
      <c r="T1772" s="8">
        <v>5</v>
      </c>
      <c r="U1772" s="8">
        <v>12.5</v>
      </c>
      <c r="V1772" s="8">
        <v>7</v>
      </c>
      <c r="W1772" s="8">
        <v>7</v>
      </c>
      <c r="X1772" s="8">
        <v>4</v>
      </c>
      <c r="Y1772" s="8">
        <v>0</v>
      </c>
      <c r="Z1772" s="8">
        <v>0</v>
      </c>
      <c r="AA1772" s="8">
        <v>0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8">
        <v>0</v>
      </c>
      <c r="AH1772" s="8">
        <v>0</v>
      </c>
      <c r="AI1772" s="8">
        <v>0</v>
      </c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11" t="s">
        <v>253</v>
      </c>
    </row>
    <row r="1773" spans="1:46" ht="15.1" customHeight="1">
      <c r="A1773" s="8">
        <v>590</v>
      </c>
      <c r="B1773" s="9" t="s">
        <v>1426</v>
      </c>
      <c r="C1773" s="8" t="s">
        <v>1427</v>
      </c>
      <c r="D1773" s="9" t="s">
        <v>451</v>
      </c>
      <c r="E1773" s="8" t="s">
        <v>54</v>
      </c>
      <c r="F1773" s="8" t="s">
        <v>54</v>
      </c>
      <c r="G1773" s="10" t="s">
        <v>67</v>
      </c>
      <c r="H1773" s="8" t="s">
        <v>54</v>
      </c>
      <c r="I1773" s="8" t="s">
        <v>54</v>
      </c>
      <c r="J1773" s="8" t="s">
        <v>54</v>
      </c>
      <c r="K1773" s="8" t="s">
        <v>54</v>
      </c>
      <c r="L1773" s="8" t="s">
        <v>54</v>
      </c>
      <c r="M1773" s="8" t="s">
        <v>54</v>
      </c>
      <c r="N1773" s="10" t="s">
        <v>67</v>
      </c>
      <c r="O1773" s="8" t="s">
        <v>54</v>
      </c>
      <c r="P1773" s="8" t="s">
        <v>54</v>
      </c>
      <c r="Q1773" s="8" t="s">
        <v>54</v>
      </c>
      <c r="R1773" s="8" t="s">
        <v>54</v>
      </c>
      <c r="S1773" s="8" t="s">
        <v>54</v>
      </c>
      <c r="T1773" s="8" t="s">
        <v>54</v>
      </c>
      <c r="U1773" s="10" t="s">
        <v>67</v>
      </c>
      <c r="V1773" s="8" t="s">
        <v>54</v>
      </c>
      <c r="W1773" s="8" t="s">
        <v>54</v>
      </c>
      <c r="X1773" s="8" t="s">
        <v>54</v>
      </c>
      <c r="Y1773" s="8" t="s">
        <v>54</v>
      </c>
      <c r="Z1773" s="8" t="s">
        <v>54</v>
      </c>
      <c r="AA1773" s="8" t="s">
        <v>54</v>
      </c>
      <c r="AB1773" s="10" t="s">
        <v>67</v>
      </c>
      <c r="AC1773" s="8" t="s">
        <v>54</v>
      </c>
      <c r="AD1773" s="8" t="s">
        <v>54</v>
      </c>
      <c r="AE1773" s="8" t="s">
        <v>54</v>
      </c>
      <c r="AF1773" s="8" t="s">
        <v>54</v>
      </c>
      <c r="AG1773" s="8" t="s">
        <v>54</v>
      </c>
      <c r="AH1773" s="8" t="s">
        <v>54</v>
      </c>
      <c r="AI1773" s="10" t="s">
        <v>67</v>
      </c>
      <c r="AJ1773" s="8">
        <f>COUNTIF($E$1773:$AI$1773,"P")</f>
        <v>26</v>
      </c>
      <c r="AK1773" s="8">
        <f>COUNTIF($E$1773:$AI$1773,"A")</f>
        <v>0</v>
      </c>
      <c r="AL1773" s="8">
        <f>SUM($E$1774:$AI$1774)</f>
        <v>38</v>
      </c>
      <c r="AM1773" s="8">
        <f>SUM($E$1775:$AI$1775)</f>
        <v>141.5</v>
      </c>
      <c r="AN1773" s="8">
        <f>AL1773+AM1773</f>
        <v>179.5</v>
      </c>
      <c r="AO1773" s="8">
        <f>COUNTIF($E$1773:$AI$1773,"CL")</f>
        <v>0</v>
      </c>
      <c r="AP1773" s="8">
        <f>COUNTIF($E$1773:$AI$1773,"SL")</f>
        <v>0</v>
      </c>
      <c r="AQ1773" s="8">
        <f>COUNTIF($E$1773:$AI$1773,"EL")</f>
        <v>0</v>
      </c>
      <c r="AR1773" s="8">
        <f>COUNTIF($E$1773:$AI$1773,"H")</f>
        <v>0</v>
      </c>
      <c r="AS1773" s="8"/>
      <c r="AT1773" s="11" t="s">
        <v>253</v>
      </c>
    </row>
    <row r="1774" spans="1:46" ht="15.1" customHeight="1">
      <c r="A1774" s="8"/>
      <c r="B1774" s="9"/>
      <c r="C1774" s="8"/>
      <c r="D1774" s="9"/>
      <c r="E1774" s="8">
        <v>2</v>
      </c>
      <c r="F1774" s="8">
        <v>2</v>
      </c>
      <c r="G1774" s="8">
        <v>0</v>
      </c>
      <c r="H1774" s="8">
        <v>2</v>
      </c>
      <c r="I1774" s="8">
        <v>2</v>
      </c>
      <c r="J1774" s="8">
        <v>2</v>
      </c>
      <c r="K1774" s="8">
        <v>2</v>
      </c>
      <c r="L1774" s="8">
        <v>2</v>
      </c>
      <c r="M1774" s="8">
        <v>2</v>
      </c>
      <c r="N1774" s="8">
        <v>0</v>
      </c>
      <c r="O1774" s="8">
        <v>2</v>
      </c>
      <c r="P1774" s="8">
        <v>2</v>
      </c>
      <c r="Q1774" s="8">
        <v>2</v>
      </c>
      <c r="R1774" s="8">
        <v>2</v>
      </c>
      <c r="S1774" s="8">
        <v>2</v>
      </c>
      <c r="T1774" s="8">
        <v>2</v>
      </c>
      <c r="U1774" s="8">
        <v>0</v>
      </c>
      <c r="V1774" s="8">
        <v>2</v>
      </c>
      <c r="W1774" s="8">
        <v>2</v>
      </c>
      <c r="X1774" s="8">
        <v>2</v>
      </c>
      <c r="Y1774" s="8">
        <v>0</v>
      </c>
      <c r="Z1774" s="8">
        <v>0</v>
      </c>
      <c r="AA1774" s="8">
        <v>0</v>
      </c>
      <c r="AB1774" s="8">
        <v>0</v>
      </c>
      <c r="AC1774" s="8">
        <v>2</v>
      </c>
      <c r="AD1774" s="8">
        <v>2</v>
      </c>
      <c r="AE1774" s="8">
        <v>0</v>
      </c>
      <c r="AF1774" s="8">
        <v>0</v>
      </c>
      <c r="AG1774" s="8">
        <v>0</v>
      </c>
      <c r="AH1774" s="8">
        <v>0</v>
      </c>
      <c r="AI1774" s="8">
        <v>0</v>
      </c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11" t="s">
        <v>253</v>
      </c>
    </row>
    <row r="1775" spans="1:46" ht="15.1" customHeight="1">
      <c r="A1775" s="8"/>
      <c r="B1775" s="9"/>
      <c r="C1775" s="8"/>
      <c r="D1775" s="9"/>
      <c r="E1775" s="8">
        <v>4</v>
      </c>
      <c r="F1775" s="8">
        <v>3</v>
      </c>
      <c r="G1775" s="8">
        <v>14</v>
      </c>
      <c r="H1775" s="8">
        <v>5</v>
      </c>
      <c r="I1775" s="8">
        <v>7</v>
      </c>
      <c r="J1775" s="8">
        <v>7</v>
      </c>
      <c r="K1775" s="8">
        <v>7</v>
      </c>
      <c r="L1775" s="8">
        <v>7</v>
      </c>
      <c r="M1775" s="8">
        <v>5</v>
      </c>
      <c r="N1775" s="8">
        <v>17</v>
      </c>
      <c r="O1775" s="8">
        <v>7</v>
      </c>
      <c r="P1775" s="8">
        <v>7</v>
      </c>
      <c r="Q1775" s="8">
        <v>5</v>
      </c>
      <c r="R1775" s="8">
        <v>7</v>
      </c>
      <c r="S1775" s="8">
        <v>7</v>
      </c>
      <c r="T1775" s="8">
        <v>3</v>
      </c>
      <c r="U1775" s="8">
        <v>12.5</v>
      </c>
      <c r="V1775" s="8">
        <v>7</v>
      </c>
      <c r="W1775" s="8">
        <v>7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3</v>
      </c>
      <c r="AE1775" s="8">
        <v>0</v>
      </c>
      <c r="AF1775" s="8">
        <v>0</v>
      </c>
      <c r="AG1775" s="8">
        <v>0</v>
      </c>
      <c r="AH1775" s="8">
        <v>0</v>
      </c>
      <c r="AI1775" s="8">
        <v>0</v>
      </c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11" t="s">
        <v>253</v>
      </c>
    </row>
    <row r="1776" spans="1:46" ht="15.1" customHeight="1">
      <c r="A1776" s="8">
        <v>591</v>
      </c>
      <c r="B1776" s="9" t="s">
        <v>1428</v>
      </c>
      <c r="C1776" s="8" t="s">
        <v>1429</v>
      </c>
      <c r="D1776" s="9" t="s">
        <v>888</v>
      </c>
      <c r="E1776" s="8" t="s">
        <v>54</v>
      </c>
      <c r="F1776" s="8" t="s">
        <v>54</v>
      </c>
      <c r="G1776" s="10" t="s">
        <v>67</v>
      </c>
      <c r="H1776" s="12" t="s">
        <v>55</v>
      </c>
      <c r="I1776" s="12" t="s">
        <v>55</v>
      </c>
      <c r="J1776" s="12" t="s">
        <v>55</v>
      </c>
      <c r="K1776" s="8" t="s">
        <v>54</v>
      </c>
      <c r="L1776" s="8" t="s">
        <v>54</v>
      </c>
      <c r="M1776" s="8" t="s">
        <v>54</v>
      </c>
      <c r="N1776" s="10" t="s">
        <v>67</v>
      </c>
      <c r="O1776" s="8" t="s">
        <v>54</v>
      </c>
      <c r="P1776" s="8" t="s">
        <v>54</v>
      </c>
      <c r="Q1776" s="8" t="s">
        <v>54</v>
      </c>
      <c r="R1776" s="8" t="s">
        <v>54</v>
      </c>
      <c r="S1776" s="8" t="s">
        <v>54</v>
      </c>
      <c r="T1776" s="8" t="s">
        <v>54</v>
      </c>
      <c r="U1776" s="10" t="s">
        <v>67</v>
      </c>
      <c r="V1776" s="12" t="s">
        <v>55</v>
      </c>
      <c r="W1776" s="12" t="s">
        <v>55</v>
      </c>
      <c r="X1776" s="12" t="s">
        <v>55</v>
      </c>
      <c r="Y1776" s="12" t="s">
        <v>55</v>
      </c>
      <c r="Z1776" s="8" t="s">
        <v>54</v>
      </c>
      <c r="AA1776" s="8" t="s">
        <v>54</v>
      </c>
      <c r="AB1776" s="10" t="s">
        <v>67</v>
      </c>
      <c r="AC1776" s="8" t="s">
        <v>54</v>
      </c>
      <c r="AD1776" s="8" t="s">
        <v>54</v>
      </c>
      <c r="AE1776" s="8" t="s">
        <v>54</v>
      </c>
      <c r="AF1776" s="8" t="s">
        <v>54</v>
      </c>
      <c r="AG1776" s="8" t="s">
        <v>54</v>
      </c>
      <c r="AH1776" s="8" t="s">
        <v>54</v>
      </c>
      <c r="AI1776" s="10" t="s">
        <v>67</v>
      </c>
      <c r="AJ1776" s="8">
        <f>COUNTIF($E$1776:$AI$1776,"P")</f>
        <v>19</v>
      </c>
      <c r="AK1776" s="8">
        <f>COUNTIF($E$1776:$AI$1776,"A")</f>
        <v>7</v>
      </c>
      <c r="AL1776" s="8">
        <f>SUM($E$1777:$AI$1777)</f>
        <v>24</v>
      </c>
      <c r="AM1776" s="8">
        <f>SUM($E$1778:$AI$1778)</f>
        <v>87.5</v>
      </c>
      <c r="AN1776" s="8">
        <f>AL1776+AM1776</f>
        <v>111.5</v>
      </c>
      <c r="AO1776" s="8">
        <f>COUNTIF($E$1776:$AI$1776,"CL")</f>
        <v>0</v>
      </c>
      <c r="AP1776" s="8">
        <f>COUNTIF($E$1776:$AI$1776,"SL")</f>
        <v>0</v>
      </c>
      <c r="AQ1776" s="8">
        <f>COUNTIF($E$1776:$AI$1776,"EL")</f>
        <v>0</v>
      </c>
      <c r="AR1776" s="8">
        <f>COUNTIF($E$1776:$AI$1776,"H")</f>
        <v>0</v>
      </c>
      <c r="AS1776" s="8"/>
      <c r="AT1776" s="11" t="s">
        <v>253</v>
      </c>
    </row>
    <row r="1777" spans="1:46" ht="15.1" customHeight="1">
      <c r="A1777" s="8"/>
      <c r="B1777" s="9"/>
      <c r="C1777" s="8"/>
      <c r="D1777" s="9"/>
      <c r="E1777" s="8">
        <v>2</v>
      </c>
      <c r="F1777" s="8">
        <v>2</v>
      </c>
      <c r="G1777" s="8">
        <v>0</v>
      </c>
      <c r="H1777" s="8">
        <v>0</v>
      </c>
      <c r="I1777" s="8">
        <v>0</v>
      </c>
      <c r="J1777" s="8">
        <v>0</v>
      </c>
      <c r="K1777" s="8">
        <v>2</v>
      </c>
      <c r="L1777" s="8">
        <v>2</v>
      </c>
      <c r="M1777" s="8">
        <v>2</v>
      </c>
      <c r="N1777" s="8">
        <v>0</v>
      </c>
      <c r="O1777" s="8">
        <v>0</v>
      </c>
      <c r="P1777" s="8">
        <v>2</v>
      </c>
      <c r="Q1777" s="8">
        <v>2</v>
      </c>
      <c r="R1777" s="8">
        <v>2</v>
      </c>
      <c r="S1777" s="8">
        <v>2</v>
      </c>
      <c r="T1777" s="8">
        <v>2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2</v>
      </c>
      <c r="AD1777" s="8">
        <v>2</v>
      </c>
      <c r="AE1777" s="8">
        <v>0</v>
      </c>
      <c r="AF1777" s="8">
        <v>0</v>
      </c>
      <c r="AG1777" s="8">
        <v>0</v>
      </c>
      <c r="AH1777" s="8">
        <v>0</v>
      </c>
      <c r="AI1777" s="8">
        <v>0</v>
      </c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11" t="s">
        <v>253</v>
      </c>
    </row>
    <row r="1778" spans="1:46" ht="15.1" customHeight="1">
      <c r="A1778" s="8"/>
      <c r="B1778" s="9"/>
      <c r="C1778" s="8"/>
      <c r="D1778" s="9"/>
      <c r="E1778" s="8">
        <v>3.5</v>
      </c>
      <c r="F1778" s="8">
        <v>3</v>
      </c>
      <c r="G1778" s="8">
        <v>13.5</v>
      </c>
      <c r="H1778" s="8">
        <v>0</v>
      </c>
      <c r="I1778" s="8">
        <v>0</v>
      </c>
      <c r="J1778" s="8">
        <v>0</v>
      </c>
      <c r="K1778" s="8">
        <v>7</v>
      </c>
      <c r="L1778" s="8">
        <v>7</v>
      </c>
      <c r="M1778" s="8">
        <v>5</v>
      </c>
      <c r="N1778" s="8">
        <v>16.5</v>
      </c>
      <c r="O1778" s="8">
        <v>0</v>
      </c>
      <c r="P1778" s="8">
        <v>7</v>
      </c>
      <c r="Q1778" s="8">
        <v>5</v>
      </c>
      <c r="R1778" s="8">
        <v>7</v>
      </c>
      <c r="S1778" s="8">
        <v>7</v>
      </c>
      <c r="T1778" s="8">
        <v>3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3</v>
      </c>
      <c r="AE1778" s="8">
        <v>0</v>
      </c>
      <c r="AF1778" s="8">
        <v>0</v>
      </c>
      <c r="AG1778" s="8">
        <v>0</v>
      </c>
      <c r="AH1778" s="8">
        <v>0</v>
      </c>
      <c r="AI1778" s="8">
        <v>0</v>
      </c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11" t="s">
        <v>253</v>
      </c>
    </row>
    <row r="1779" spans="1:46" ht="15.1" customHeight="1">
      <c r="A1779" s="8">
        <v>592</v>
      </c>
      <c r="B1779" s="9" t="s">
        <v>1430</v>
      </c>
      <c r="C1779" s="8" t="s">
        <v>1431</v>
      </c>
      <c r="D1779" s="9" t="s">
        <v>451</v>
      </c>
      <c r="E1779" s="8" t="s">
        <v>54</v>
      </c>
      <c r="F1779" s="8" t="s">
        <v>54</v>
      </c>
      <c r="G1779" s="10" t="s">
        <v>67</v>
      </c>
      <c r="H1779" s="8" t="s">
        <v>54</v>
      </c>
      <c r="I1779" s="8" t="s">
        <v>54</v>
      </c>
      <c r="J1779" s="8" t="s">
        <v>54</v>
      </c>
      <c r="K1779" s="8" t="s">
        <v>54</v>
      </c>
      <c r="L1779" s="8" t="s">
        <v>54</v>
      </c>
      <c r="M1779" s="8" t="s">
        <v>54</v>
      </c>
      <c r="N1779" s="10" t="s">
        <v>67</v>
      </c>
      <c r="O1779" s="8" t="s">
        <v>54</v>
      </c>
      <c r="P1779" s="8" t="s">
        <v>54</v>
      </c>
      <c r="Q1779" s="8" t="s">
        <v>54</v>
      </c>
      <c r="R1779" s="8" t="s">
        <v>54</v>
      </c>
      <c r="S1779" s="8" t="s">
        <v>54</v>
      </c>
      <c r="T1779" s="8" t="s">
        <v>54</v>
      </c>
      <c r="U1779" s="10" t="s">
        <v>67</v>
      </c>
      <c r="V1779" s="8" t="s">
        <v>54</v>
      </c>
      <c r="W1779" s="8" t="s">
        <v>54</v>
      </c>
      <c r="X1779" s="8" t="s">
        <v>54</v>
      </c>
      <c r="Y1779" s="8" t="s">
        <v>54</v>
      </c>
      <c r="Z1779" s="12" t="s">
        <v>55</v>
      </c>
      <c r="AA1779" s="12" t="s">
        <v>55</v>
      </c>
      <c r="AB1779" s="10" t="s">
        <v>67</v>
      </c>
      <c r="AC1779" s="8" t="s">
        <v>54</v>
      </c>
      <c r="AD1779" s="8" t="s">
        <v>54</v>
      </c>
      <c r="AE1779" s="8" t="s">
        <v>54</v>
      </c>
      <c r="AF1779" s="12" t="s">
        <v>55</v>
      </c>
      <c r="AG1779" s="12" t="s">
        <v>55</v>
      </c>
      <c r="AH1779" s="12" t="s">
        <v>55</v>
      </c>
      <c r="AI1779" s="10" t="s">
        <v>67</v>
      </c>
      <c r="AJ1779" s="8">
        <f>COUNTIF($E$1779:$AI$1779,"P")</f>
        <v>21</v>
      </c>
      <c r="AK1779" s="8">
        <f>COUNTIF($E$1779:$AI$1779,"A")</f>
        <v>5</v>
      </c>
      <c r="AL1779" s="8">
        <f>SUM($E$1780:$AI$1780)</f>
        <v>38</v>
      </c>
      <c r="AM1779" s="8">
        <f>SUM($E$1781:$AI$1781)</f>
        <v>142</v>
      </c>
      <c r="AN1779" s="8">
        <f>AL1779+AM1779</f>
        <v>180</v>
      </c>
      <c r="AO1779" s="8">
        <f>COUNTIF($E$1779:$AI$1779,"CL")</f>
        <v>0</v>
      </c>
      <c r="AP1779" s="8">
        <f>COUNTIF($E$1779:$AI$1779,"SL")</f>
        <v>0</v>
      </c>
      <c r="AQ1779" s="8">
        <f>COUNTIF($E$1779:$AI$1779,"EL")</f>
        <v>0</v>
      </c>
      <c r="AR1779" s="8">
        <f>COUNTIF($E$1779:$AI$1779,"H")</f>
        <v>0</v>
      </c>
      <c r="AS1779" s="8"/>
      <c r="AT1779" s="11" t="s">
        <v>253</v>
      </c>
    </row>
    <row r="1780" spans="1:46" ht="15.1" customHeight="1">
      <c r="A1780" s="8"/>
      <c r="B1780" s="9"/>
      <c r="C1780" s="8"/>
      <c r="D1780" s="9"/>
      <c r="E1780" s="8">
        <v>2</v>
      </c>
      <c r="F1780" s="8">
        <v>2</v>
      </c>
      <c r="G1780" s="8">
        <v>0</v>
      </c>
      <c r="H1780" s="8">
        <v>2</v>
      </c>
      <c r="I1780" s="8">
        <v>2</v>
      </c>
      <c r="J1780" s="8">
        <v>2</v>
      </c>
      <c r="K1780" s="8">
        <v>2</v>
      </c>
      <c r="L1780" s="8">
        <v>2</v>
      </c>
      <c r="M1780" s="8">
        <v>2</v>
      </c>
      <c r="N1780" s="8">
        <v>0</v>
      </c>
      <c r="O1780" s="8">
        <v>2</v>
      </c>
      <c r="P1780" s="8">
        <v>2</v>
      </c>
      <c r="Q1780" s="8">
        <v>2</v>
      </c>
      <c r="R1780" s="8">
        <v>2</v>
      </c>
      <c r="S1780" s="8">
        <v>2</v>
      </c>
      <c r="T1780" s="8">
        <v>2</v>
      </c>
      <c r="U1780" s="8">
        <v>0</v>
      </c>
      <c r="V1780" s="8">
        <v>2</v>
      </c>
      <c r="W1780" s="8">
        <v>2</v>
      </c>
      <c r="X1780" s="8">
        <v>2</v>
      </c>
      <c r="Y1780" s="8">
        <v>0</v>
      </c>
      <c r="Z1780" s="8">
        <v>0</v>
      </c>
      <c r="AA1780" s="8">
        <v>0</v>
      </c>
      <c r="AB1780" s="8">
        <v>0</v>
      </c>
      <c r="AC1780" s="8">
        <v>2</v>
      </c>
      <c r="AD1780" s="8">
        <v>2</v>
      </c>
      <c r="AE1780" s="8">
        <v>0</v>
      </c>
      <c r="AF1780" s="8">
        <v>0</v>
      </c>
      <c r="AG1780" s="8">
        <v>0</v>
      </c>
      <c r="AH1780" s="8">
        <v>0</v>
      </c>
      <c r="AI1780" s="8">
        <v>0</v>
      </c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11" t="s">
        <v>253</v>
      </c>
    </row>
    <row r="1781" spans="1:46" ht="15.1" customHeight="1">
      <c r="A1781" s="8"/>
      <c r="B1781" s="9"/>
      <c r="C1781" s="8"/>
      <c r="D1781" s="9"/>
      <c r="E1781" s="8">
        <v>4</v>
      </c>
      <c r="F1781" s="8">
        <v>3</v>
      </c>
      <c r="G1781" s="8">
        <v>14</v>
      </c>
      <c r="H1781" s="8">
        <v>5</v>
      </c>
      <c r="I1781" s="8">
        <v>7</v>
      </c>
      <c r="J1781" s="8">
        <v>7</v>
      </c>
      <c r="K1781" s="8">
        <v>7</v>
      </c>
      <c r="L1781" s="8">
        <v>7</v>
      </c>
      <c r="M1781" s="8">
        <v>5</v>
      </c>
      <c r="N1781" s="8">
        <v>17</v>
      </c>
      <c r="O1781" s="8">
        <v>7</v>
      </c>
      <c r="P1781" s="8">
        <v>7</v>
      </c>
      <c r="Q1781" s="8">
        <v>5</v>
      </c>
      <c r="R1781" s="8">
        <v>7</v>
      </c>
      <c r="S1781" s="8">
        <v>7</v>
      </c>
      <c r="T1781" s="8">
        <v>3</v>
      </c>
      <c r="U1781" s="8">
        <v>13</v>
      </c>
      <c r="V1781" s="8">
        <v>7</v>
      </c>
      <c r="W1781" s="8">
        <v>7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3</v>
      </c>
      <c r="AE1781" s="8">
        <v>0</v>
      </c>
      <c r="AF1781" s="8">
        <v>0</v>
      </c>
      <c r="AG1781" s="8">
        <v>0</v>
      </c>
      <c r="AH1781" s="8">
        <v>0</v>
      </c>
      <c r="AI1781" s="8">
        <v>0</v>
      </c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11" t="s">
        <v>253</v>
      </c>
    </row>
    <row r="1782" spans="1:46" ht="15.1" customHeight="1">
      <c r="A1782" s="8">
        <v>593</v>
      </c>
      <c r="B1782" s="9" t="s">
        <v>1432</v>
      </c>
      <c r="C1782" s="8" t="s">
        <v>1433</v>
      </c>
      <c r="D1782" s="9" t="s">
        <v>451</v>
      </c>
      <c r="E1782" s="8" t="s">
        <v>54</v>
      </c>
      <c r="F1782" s="8" t="s">
        <v>54</v>
      </c>
      <c r="G1782" s="10" t="s">
        <v>67</v>
      </c>
      <c r="H1782" s="8" t="s">
        <v>54</v>
      </c>
      <c r="I1782" s="8" t="s">
        <v>54</v>
      </c>
      <c r="J1782" s="8" t="s">
        <v>54</v>
      </c>
      <c r="K1782" s="8" t="s">
        <v>54</v>
      </c>
      <c r="L1782" s="8" t="s">
        <v>54</v>
      </c>
      <c r="M1782" s="8" t="s">
        <v>54</v>
      </c>
      <c r="N1782" s="10" t="s">
        <v>67</v>
      </c>
      <c r="O1782" s="8" t="s">
        <v>54</v>
      </c>
      <c r="P1782" s="8" t="s">
        <v>54</v>
      </c>
      <c r="Q1782" s="8" t="s">
        <v>54</v>
      </c>
      <c r="R1782" s="8" t="s">
        <v>54</v>
      </c>
      <c r="S1782" s="8" t="s">
        <v>54</v>
      </c>
      <c r="T1782" s="8" t="s">
        <v>54</v>
      </c>
      <c r="U1782" s="10" t="s">
        <v>67</v>
      </c>
      <c r="V1782" s="8" t="s">
        <v>54</v>
      </c>
      <c r="W1782" s="8" t="s">
        <v>54</v>
      </c>
      <c r="X1782" s="8" t="s">
        <v>54</v>
      </c>
      <c r="Y1782" s="8" t="s">
        <v>54</v>
      </c>
      <c r="Z1782" s="8" t="s">
        <v>54</v>
      </c>
      <c r="AA1782" s="8" t="s">
        <v>54</v>
      </c>
      <c r="AB1782" s="10" t="s">
        <v>67</v>
      </c>
      <c r="AC1782" s="8" t="s">
        <v>54</v>
      </c>
      <c r="AD1782" s="8" t="s">
        <v>54</v>
      </c>
      <c r="AE1782" s="8" t="s">
        <v>54</v>
      </c>
      <c r="AF1782" s="8" t="s">
        <v>54</v>
      </c>
      <c r="AG1782" s="8" t="s">
        <v>54</v>
      </c>
      <c r="AH1782" s="8" t="s">
        <v>54</v>
      </c>
      <c r="AI1782" s="10" t="s">
        <v>67</v>
      </c>
      <c r="AJ1782" s="8">
        <f>COUNTIF($E$1782:$AI$1782,"P")</f>
        <v>26</v>
      </c>
      <c r="AK1782" s="8">
        <f>COUNTIF($E$1782:$AI$1782,"A")</f>
        <v>0</v>
      </c>
      <c r="AL1782" s="8">
        <f>SUM($E$1783:$AI$1783)</f>
        <v>38</v>
      </c>
      <c r="AM1782" s="8">
        <f>SUM($E$1784:$AI$1784)</f>
        <v>143.5</v>
      </c>
      <c r="AN1782" s="8">
        <f>AL1782+AM1782</f>
        <v>181.5</v>
      </c>
      <c r="AO1782" s="8">
        <f>COUNTIF($E$1782:$AI$1782,"CL")</f>
        <v>0</v>
      </c>
      <c r="AP1782" s="8">
        <f>COUNTIF($E$1782:$AI$1782,"SL")</f>
        <v>0</v>
      </c>
      <c r="AQ1782" s="8">
        <f>COUNTIF($E$1782:$AI$1782,"EL")</f>
        <v>0</v>
      </c>
      <c r="AR1782" s="8">
        <f>COUNTIF($E$1782:$AI$1782,"H")</f>
        <v>0</v>
      </c>
      <c r="AS1782" s="8"/>
      <c r="AT1782" s="11" t="s">
        <v>253</v>
      </c>
    </row>
    <row r="1783" spans="1:46" ht="15.1" customHeight="1">
      <c r="A1783" s="8"/>
      <c r="B1783" s="9"/>
      <c r="C1783" s="8"/>
      <c r="D1783" s="9"/>
      <c r="E1783" s="8">
        <v>2</v>
      </c>
      <c r="F1783" s="8">
        <v>2</v>
      </c>
      <c r="G1783" s="8">
        <v>0</v>
      </c>
      <c r="H1783" s="8">
        <v>2</v>
      </c>
      <c r="I1783" s="8">
        <v>2</v>
      </c>
      <c r="J1783" s="8">
        <v>2</v>
      </c>
      <c r="K1783" s="8">
        <v>2</v>
      </c>
      <c r="L1783" s="8">
        <v>2</v>
      </c>
      <c r="M1783" s="8">
        <v>2</v>
      </c>
      <c r="N1783" s="8">
        <v>0</v>
      </c>
      <c r="O1783" s="8">
        <v>2</v>
      </c>
      <c r="P1783" s="8">
        <v>2</v>
      </c>
      <c r="Q1783" s="8">
        <v>2</v>
      </c>
      <c r="R1783" s="8">
        <v>2</v>
      </c>
      <c r="S1783" s="8">
        <v>2</v>
      </c>
      <c r="T1783" s="8">
        <v>2</v>
      </c>
      <c r="U1783" s="8">
        <v>0</v>
      </c>
      <c r="V1783" s="8">
        <v>2</v>
      </c>
      <c r="W1783" s="8">
        <v>2</v>
      </c>
      <c r="X1783" s="8">
        <v>2</v>
      </c>
      <c r="Y1783" s="8">
        <v>0</v>
      </c>
      <c r="Z1783" s="8">
        <v>0</v>
      </c>
      <c r="AA1783" s="8">
        <v>0</v>
      </c>
      <c r="AB1783" s="8">
        <v>0</v>
      </c>
      <c r="AC1783" s="8">
        <v>2</v>
      </c>
      <c r="AD1783" s="8">
        <v>2</v>
      </c>
      <c r="AE1783" s="8">
        <v>0</v>
      </c>
      <c r="AF1783" s="8">
        <v>0</v>
      </c>
      <c r="AG1783" s="8">
        <v>0</v>
      </c>
      <c r="AH1783" s="8">
        <v>0</v>
      </c>
      <c r="AI1783" s="8">
        <v>0</v>
      </c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11" t="s">
        <v>253</v>
      </c>
    </row>
    <row r="1784" spans="1:46" ht="15.1" customHeight="1">
      <c r="A1784" s="8"/>
      <c r="B1784" s="9"/>
      <c r="C1784" s="8"/>
      <c r="D1784" s="9"/>
      <c r="E1784" s="8">
        <v>4</v>
      </c>
      <c r="F1784" s="8">
        <v>3</v>
      </c>
      <c r="G1784" s="8">
        <v>14</v>
      </c>
      <c r="H1784" s="8">
        <v>5</v>
      </c>
      <c r="I1784" s="8">
        <v>7</v>
      </c>
      <c r="J1784" s="8">
        <v>7</v>
      </c>
      <c r="K1784" s="8">
        <v>7</v>
      </c>
      <c r="L1784" s="8">
        <v>7</v>
      </c>
      <c r="M1784" s="8">
        <v>5</v>
      </c>
      <c r="N1784" s="8">
        <v>16.5</v>
      </c>
      <c r="O1784" s="8">
        <v>7</v>
      </c>
      <c r="P1784" s="8">
        <v>7</v>
      </c>
      <c r="Q1784" s="8">
        <v>5</v>
      </c>
      <c r="R1784" s="8">
        <v>7</v>
      </c>
      <c r="S1784" s="8">
        <v>7</v>
      </c>
      <c r="T1784" s="8">
        <v>5</v>
      </c>
      <c r="U1784" s="8">
        <v>13</v>
      </c>
      <c r="V1784" s="8">
        <v>7</v>
      </c>
      <c r="W1784" s="8">
        <v>7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3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11" t="s">
        <v>253</v>
      </c>
    </row>
    <row r="1785" spans="1:46" ht="15.1" customHeight="1">
      <c r="A1785" s="8">
        <v>594</v>
      </c>
      <c r="B1785" s="9" t="s">
        <v>1434</v>
      </c>
      <c r="C1785" s="8" t="s">
        <v>1435</v>
      </c>
      <c r="D1785" s="9" t="s">
        <v>451</v>
      </c>
      <c r="E1785" s="8" t="s">
        <v>54</v>
      </c>
      <c r="F1785" s="8" t="s">
        <v>54</v>
      </c>
      <c r="G1785" s="10" t="s">
        <v>67</v>
      </c>
      <c r="H1785" s="8" t="s">
        <v>54</v>
      </c>
      <c r="I1785" s="8" t="s">
        <v>54</v>
      </c>
      <c r="J1785" s="8" t="s">
        <v>54</v>
      </c>
      <c r="K1785" s="8" t="s">
        <v>54</v>
      </c>
      <c r="L1785" s="8" t="s">
        <v>54</v>
      </c>
      <c r="M1785" s="8" t="s">
        <v>54</v>
      </c>
      <c r="N1785" s="10" t="s">
        <v>67</v>
      </c>
      <c r="O1785" s="8" t="s">
        <v>54</v>
      </c>
      <c r="P1785" s="8" t="s">
        <v>54</v>
      </c>
      <c r="Q1785" s="8" t="s">
        <v>54</v>
      </c>
      <c r="R1785" s="8" t="s">
        <v>54</v>
      </c>
      <c r="S1785" s="8" t="s">
        <v>54</v>
      </c>
      <c r="T1785" s="8" t="s">
        <v>54</v>
      </c>
      <c r="U1785" s="10" t="s">
        <v>67</v>
      </c>
      <c r="V1785" s="8" t="s">
        <v>54</v>
      </c>
      <c r="W1785" s="8" t="s">
        <v>54</v>
      </c>
      <c r="X1785" s="8" t="s">
        <v>54</v>
      </c>
      <c r="Y1785" s="8" t="s">
        <v>54</v>
      </c>
      <c r="Z1785" s="8" t="s">
        <v>54</v>
      </c>
      <c r="AA1785" s="8" t="s">
        <v>54</v>
      </c>
      <c r="AB1785" s="10" t="s">
        <v>67</v>
      </c>
      <c r="AC1785" s="8" t="s">
        <v>54</v>
      </c>
      <c r="AD1785" s="8" t="s">
        <v>54</v>
      </c>
      <c r="AE1785" s="8" t="s">
        <v>54</v>
      </c>
      <c r="AF1785" s="8" t="s">
        <v>54</v>
      </c>
      <c r="AG1785" s="8" t="s">
        <v>54</v>
      </c>
      <c r="AH1785" s="8" t="s">
        <v>54</v>
      </c>
      <c r="AI1785" s="10" t="s">
        <v>67</v>
      </c>
      <c r="AJ1785" s="8">
        <f>COUNTIF($E$1785:$AI$1785,"P")</f>
        <v>26</v>
      </c>
      <c r="AK1785" s="8">
        <f>COUNTIF($E$1785:$AI$1785,"A")</f>
        <v>0</v>
      </c>
      <c r="AL1785" s="8">
        <f>SUM($E$1786:$AI$1786)</f>
        <v>36</v>
      </c>
      <c r="AM1785" s="8">
        <f>SUM($E$1787:$AI$1787)</f>
        <v>110.5</v>
      </c>
      <c r="AN1785" s="8">
        <f>AL1785+AM1785</f>
        <v>146.5</v>
      </c>
      <c r="AO1785" s="8">
        <f>COUNTIF($E$1785:$AI$1785,"CL")</f>
        <v>0</v>
      </c>
      <c r="AP1785" s="8">
        <f>COUNTIF($E$1785:$AI$1785,"SL")</f>
        <v>0</v>
      </c>
      <c r="AQ1785" s="8">
        <f>COUNTIF($E$1785:$AI$1785,"EL")</f>
        <v>0</v>
      </c>
      <c r="AR1785" s="8">
        <f>COUNTIF($E$1785:$AI$1785,"H")</f>
        <v>0</v>
      </c>
      <c r="AS1785" s="8"/>
      <c r="AT1785" s="11" t="s">
        <v>253</v>
      </c>
    </row>
    <row r="1786" spans="1:46" ht="15.1" customHeight="1">
      <c r="A1786" s="8"/>
      <c r="B1786" s="9"/>
      <c r="C1786" s="8"/>
      <c r="D1786" s="9"/>
      <c r="E1786" s="8">
        <v>2</v>
      </c>
      <c r="F1786" s="8">
        <v>2</v>
      </c>
      <c r="G1786" s="8">
        <v>0</v>
      </c>
      <c r="H1786" s="8">
        <v>2</v>
      </c>
      <c r="I1786" s="8">
        <v>2</v>
      </c>
      <c r="J1786" s="8">
        <v>2</v>
      </c>
      <c r="K1786" s="8">
        <v>2</v>
      </c>
      <c r="L1786" s="8">
        <v>2</v>
      </c>
      <c r="M1786" s="8">
        <v>2</v>
      </c>
      <c r="N1786" s="8">
        <v>0</v>
      </c>
      <c r="O1786" s="8">
        <v>2</v>
      </c>
      <c r="P1786" s="8">
        <v>2</v>
      </c>
      <c r="Q1786" s="8">
        <v>2</v>
      </c>
      <c r="R1786" s="8">
        <v>2</v>
      </c>
      <c r="S1786" s="8">
        <v>2</v>
      </c>
      <c r="T1786" s="8">
        <v>2</v>
      </c>
      <c r="U1786" s="8">
        <v>0</v>
      </c>
      <c r="V1786" s="8">
        <v>2</v>
      </c>
      <c r="W1786" s="8">
        <v>2</v>
      </c>
      <c r="X1786" s="8">
        <v>2</v>
      </c>
      <c r="Y1786" s="8">
        <v>0</v>
      </c>
      <c r="Z1786" s="8">
        <v>0</v>
      </c>
      <c r="AA1786" s="8">
        <v>0</v>
      </c>
      <c r="AB1786" s="8">
        <v>0</v>
      </c>
      <c r="AC1786" s="8">
        <v>2</v>
      </c>
      <c r="AD1786" s="8">
        <v>0</v>
      </c>
      <c r="AE1786" s="8">
        <v>0</v>
      </c>
      <c r="AF1786" s="8">
        <v>0</v>
      </c>
      <c r="AG1786" s="8">
        <v>0</v>
      </c>
      <c r="AH1786" s="8">
        <v>0</v>
      </c>
      <c r="AI1786" s="8">
        <v>0</v>
      </c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11" t="s">
        <v>253</v>
      </c>
    </row>
    <row r="1787" spans="1:46" ht="15.1" customHeight="1">
      <c r="A1787" s="8"/>
      <c r="B1787" s="9"/>
      <c r="C1787" s="8"/>
      <c r="D1787" s="9"/>
      <c r="E1787" s="8">
        <v>4</v>
      </c>
      <c r="F1787" s="8">
        <v>3</v>
      </c>
      <c r="G1787" s="8">
        <v>14</v>
      </c>
      <c r="H1787" s="8">
        <v>5</v>
      </c>
      <c r="I1787" s="8">
        <v>7</v>
      </c>
      <c r="J1787" s="8">
        <v>7</v>
      </c>
      <c r="K1787" s="8">
        <v>7</v>
      </c>
      <c r="L1787" s="8">
        <v>7</v>
      </c>
      <c r="M1787" s="8">
        <v>5</v>
      </c>
      <c r="N1787" s="8">
        <v>0</v>
      </c>
      <c r="O1787" s="8">
        <v>7</v>
      </c>
      <c r="P1787" s="8">
        <v>7</v>
      </c>
      <c r="Q1787" s="8">
        <v>5</v>
      </c>
      <c r="R1787" s="8">
        <v>7</v>
      </c>
      <c r="S1787" s="8">
        <v>7</v>
      </c>
      <c r="T1787" s="8">
        <v>4.5</v>
      </c>
      <c r="U1787" s="8">
        <v>0</v>
      </c>
      <c r="V1787" s="8">
        <v>7</v>
      </c>
      <c r="W1787" s="8">
        <v>7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0</v>
      </c>
      <c r="AG1787" s="8">
        <v>0</v>
      </c>
      <c r="AH1787" s="8">
        <v>0</v>
      </c>
      <c r="AI1787" s="8">
        <v>0</v>
      </c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11" t="s">
        <v>253</v>
      </c>
    </row>
    <row r="1788" spans="1:46" ht="15.1" customHeight="1">
      <c r="A1788" s="8">
        <v>595</v>
      </c>
      <c r="B1788" s="9" t="s">
        <v>1436</v>
      </c>
      <c r="C1788" s="8" t="s">
        <v>1437</v>
      </c>
      <c r="D1788" s="9" t="s">
        <v>888</v>
      </c>
      <c r="E1788" s="8" t="s">
        <v>54</v>
      </c>
      <c r="F1788" s="8" t="s">
        <v>54</v>
      </c>
      <c r="G1788" s="10" t="s">
        <v>67</v>
      </c>
      <c r="H1788" s="8" t="s">
        <v>54</v>
      </c>
      <c r="I1788" s="8" t="s">
        <v>54</v>
      </c>
      <c r="J1788" s="8" t="s">
        <v>54</v>
      </c>
      <c r="K1788" s="8" t="s">
        <v>54</v>
      </c>
      <c r="L1788" s="8" t="s">
        <v>54</v>
      </c>
      <c r="M1788" s="8" t="s">
        <v>54</v>
      </c>
      <c r="N1788" s="10" t="s">
        <v>67</v>
      </c>
      <c r="O1788" s="8" t="s">
        <v>54</v>
      </c>
      <c r="P1788" s="8" t="s">
        <v>54</v>
      </c>
      <c r="Q1788" s="8" t="s">
        <v>54</v>
      </c>
      <c r="R1788" s="8" t="s">
        <v>54</v>
      </c>
      <c r="S1788" s="8" t="s">
        <v>54</v>
      </c>
      <c r="T1788" s="8" t="s">
        <v>54</v>
      </c>
      <c r="U1788" s="10" t="s">
        <v>67</v>
      </c>
      <c r="V1788" s="8" t="s">
        <v>54</v>
      </c>
      <c r="W1788" s="8" t="s">
        <v>54</v>
      </c>
      <c r="X1788" s="8" t="s">
        <v>54</v>
      </c>
      <c r="Y1788" s="12" t="s">
        <v>55</v>
      </c>
      <c r="Z1788" s="8" t="s">
        <v>54</v>
      </c>
      <c r="AA1788" s="8" t="s">
        <v>54</v>
      </c>
      <c r="AB1788" s="10" t="s">
        <v>67</v>
      </c>
      <c r="AC1788" s="8" t="s">
        <v>54</v>
      </c>
      <c r="AD1788" s="8" t="s">
        <v>54</v>
      </c>
      <c r="AE1788" s="8" t="s">
        <v>54</v>
      </c>
      <c r="AF1788" s="8" t="s">
        <v>54</v>
      </c>
      <c r="AG1788" s="8" t="s">
        <v>54</v>
      </c>
      <c r="AH1788" s="8" t="s">
        <v>54</v>
      </c>
      <c r="AI1788" s="10" t="s">
        <v>67</v>
      </c>
      <c r="AJ1788" s="8">
        <f>COUNTIF($E$1788:$AI$1788,"P")</f>
        <v>25</v>
      </c>
      <c r="AK1788" s="8">
        <f>COUNTIF($E$1788:$AI$1788,"A")</f>
        <v>1</v>
      </c>
      <c r="AL1788" s="8">
        <f>SUM($E$1789:$AI$1789)</f>
        <v>38</v>
      </c>
      <c r="AM1788" s="8">
        <f>SUM($E$1790:$AI$1790)</f>
        <v>130</v>
      </c>
      <c r="AN1788" s="8">
        <f>AL1788+AM1788</f>
        <v>168</v>
      </c>
      <c r="AO1788" s="8">
        <f>COUNTIF($E$1788:$AI$1788,"CL")</f>
        <v>0</v>
      </c>
      <c r="AP1788" s="8">
        <f>COUNTIF($E$1788:$AI$1788,"SL")</f>
        <v>0</v>
      </c>
      <c r="AQ1788" s="8">
        <f>COUNTIF($E$1788:$AI$1788,"EL")</f>
        <v>0</v>
      </c>
      <c r="AR1788" s="8">
        <f>COUNTIF($E$1788:$AI$1788,"H")</f>
        <v>0</v>
      </c>
      <c r="AS1788" s="8"/>
      <c r="AT1788" s="11" t="s">
        <v>253</v>
      </c>
    </row>
    <row r="1789" spans="1:46" ht="15.1" customHeight="1">
      <c r="A1789" s="8"/>
      <c r="B1789" s="9"/>
      <c r="C1789" s="8"/>
      <c r="D1789" s="9"/>
      <c r="E1789" s="8">
        <v>2</v>
      </c>
      <c r="F1789" s="8">
        <v>2</v>
      </c>
      <c r="G1789" s="8">
        <v>0</v>
      </c>
      <c r="H1789" s="8">
        <v>2</v>
      </c>
      <c r="I1789" s="8">
        <v>2</v>
      </c>
      <c r="J1789" s="8">
        <v>2</v>
      </c>
      <c r="K1789" s="8">
        <v>2</v>
      </c>
      <c r="L1789" s="8">
        <v>2</v>
      </c>
      <c r="M1789" s="8">
        <v>2</v>
      </c>
      <c r="N1789" s="8">
        <v>0</v>
      </c>
      <c r="O1789" s="8">
        <v>2</v>
      </c>
      <c r="P1789" s="8">
        <v>2</v>
      </c>
      <c r="Q1789" s="8">
        <v>2</v>
      </c>
      <c r="R1789" s="8">
        <v>2</v>
      </c>
      <c r="S1789" s="8">
        <v>2</v>
      </c>
      <c r="T1789" s="8">
        <v>2</v>
      </c>
      <c r="U1789" s="8">
        <v>0</v>
      </c>
      <c r="V1789" s="8">
        <v>2</v>
      </c>
      <c r="W1789" s="8">
        <v>2</v>
      </c>
      <c r="X1789" s="8">
        <v>2</v>
      </c>
      <c r="Y1789" s="8">
        <v>0</v>
      </c>
      <c r="Z1789" s="8">
        <v>0</v>
      </c>
      <c r="AA1789" s="8">
        <v>0</v>
      </c>
      <c r="AB1789" s="8">
        <v>0</v>
      </c>
      <c r="AC1789" s="8">
        <v>2</v>
      </c>
      <c r="AD1789" s="8">
        <v>2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11" t="s">
        <v>253</v>
      </c>
    </row>
    <row r="1790" spans="1:46" ht="15.1" customHeight="1">
      <c r="A1790" s="8"/>
      <c r="B1790" s="9"/>
      <c r="C1790" s="8"/>
      <c r="D1790" s="9"/>
      <c r="E1790" s="8">
        <v>2</v>
      </c>
      <c r="F1790" s="8">
        <v>3</v>
      </c>
      <c r="G1790" s="8">
        <v>14</v>
      </c>
      <c r="H1790" s="8">
        <v>5</v>
      </c>
      <c r="I1790" s="8">
        <v>7</v>
      </c>
      <c r="J1790" s="8">
        <v>7</v>
      </c>
      <c r="K1790" s="8">
        <v>7</v>
      </c>
      <c r="L1790" s="8">
        <v>7</v>
      </c>
      <c r="M1790" s="8">
        <v>5</v>
      </c>
      <c r="N1790" s="8">
        <v>16.5</v>
      </c>
      <c r="O1790" s="8">
        <v>7</v>
      </c>
      <c r="P1790" s="8">
        <v>0</v>
      </c>
      <c r="Q1790" s="8">
        <v>5</v>
      </c>
      <c r="R1790" s="8">
        <v>6.5</v>
      </c>
      <c r="S1790" s="8">
        <v>6.5</v>
      </c>
      <c r="T1790" s="8">
        <v>3</v>
      </c>
      <c r="U1790" s="8">
        <v>12.5</v>
      </c>
      <c r="V1790" s="8">
        <v>6.5</v>
      </c>
      <c r="W1790" s="8">
        <v>6.5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3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11" t="s">
        <v>253</v>
      </c>
    </row>
    <row r="1791" spans="1:46" ht="15.1" customHeight="1">
      <c r="A1791" s="8">
        <v>596</v>
      </c>
      <c r="B1791" s="9" t="s">
        <v>1438</v>
      </c>
      <c r="C1791" s="8" t="s">
        <v>1439</v>
      </c>
      <c r="D1791" s="9" t="s">
        <v>451</v>
      </c>
      <c r="E1791" s="12" t="s">
        <v>55</v>
      </c>
      <c r="F1791" s="8" t="s">
        <v>54</v>
      </c>
      <c r="G1791" s="10" t="s">
        <v>67</v>
      </c>
      <c r="H1791" s="8" t="s">
        <v>54</v>
      </c>
      <c r="I1791" s="8" t="s">
        <v>54</v>
      </c>
      <c r="J1791" s="8" t="s">
        <v>54</v>
      </c>
      <c r="K1791" s="12" t="s">
        <v>55</v>
      </c>
      <c r="L1791" s="8" t="s">
        <v>54</v>
      </c>
      <c r="M1791" s="8" t="s">
        <v>54</v>
      </c>
      <c r="N1791" s="10" t="s">
        <v>67</v>
      </c>
      <c r="O1791" s="8" t="s">
        <v>54</v>
      </c>
      <c r="P1791" s="8" t="s">
        <v>54</v>
      </c>
      <c r="Q1791" s="8" t="s">
        <v>54</v>
      </c>
      <c r="R1791" s="8" t="s">
        <v>54</v>
      </c>
      <c r="S1791" s="8" t="s">
        <v>54</v>
      </c>
      <c r="T1791" s="8" t="s">
        <v>54</v>
      </c>
      <c r="U1791" s="10" t="s">
        <v>67</v>
      </c>
      <c r="V1791" s="8" t="s">
        <v>54</v>
      </c>
      <c r="W1791" s="8" t="s">
        <v>54</v>
      </c>
      <c r="X1791" s="8" t="s">
        <v>54</v>
      </c>
      <c r="Y1791" s="8" t="s">
        <v>54</v>
      </c>
      <c r="Z1791" s="8" t="s">
        <v>54</v>
      </c>
      <c r="AA1791" s="8" t="s">
        <v>54</v>
      </c>
      <c r="AB1791" s="10" t="s">
        <v>67</v>
      </c>
      <c r="AC1791" s="8" t="s">
        <v>54</v>
      </c>
      <c r="AD1791" s="8" t="s">
        <v>54</v>
      </c>
      <c r="AE1791" s="8" t="s">
        <v>54</v>
      </c>
      <c r="AF1791" s="8" t="s">
        <v>54</v>
      </c>
      <c r="AG1791" s="8" t="s">
        <v>54</v>
      </c>
      <c r="AH1791" s="8" t="s">
        <v>54</v>
      </c>
      <c r="AI1791" s="10" t="s">
        <v>67</v>
      </c>
      <c r="AJ1791" s="8">
        <f>COUNTIF($E$1791:$AI$1791,"P")</f>
        <v>24</v>
      </c>
      <c r="AK1791" s="8">
        <f>COUNTIF($E$1791:$AI$1791,"A")</f>
        <v>2</v>
      </c>
      <c r="AL1791" s="8">
        <f>SUM($E$1792:$AI$1792)</f>
        <v>32</v>
      </c>
      <c r="AM1791" s="8">
        <f>SUM($E$1793:$AI$1793)</f>
        <v>111</v>
      </c>
      <c r="AN1791" s="8">
        <f>AL1791+AM1791</f>
        <v>143</v>
      </c>
      <c r="AO1791" s="8">
        <f>COUNTIF($E$1791:$AI$1791,"CL")</f>
        <v>0</v>
      </c>
      <c r="AP1791" s="8">
        <f>COUNTIF($E$1791:$AI$1791,"SL")</f>
        <v>0</v>
      </c>
      <c r="AQ1791" s="8">
        <f>COUNTIF($E$1791:$AI$1791,"EL")</f>
        <v>0</v>
      </c>
      <c r="AR1791" s="8">
        <f>COUNTIF($E$1791:$AI$1791,"H")</f>
        <v>0</v>
      </c>
      <c r="AS1791" s="8"/>
      <c r="AT1791" s="11" t="s">
        <v>253</v>
      </c>
    </row>
    <row r="1792" spans="1:46" ht="15.1" customHeight="1">
      <c r="A1792" s="8"/>
      <c r="B1792" s="9"/>
      <c r="C1792" s="8"/>
      <c r="D1792" s="9"/>
      <c r="E1792" s="8">
        <v>0</v>
      </c>
      <c r="F1792" s="8">
        <v>2</v>
      </c>
      <c r="G1792" s="8">
        <v>0</v>
      </c>
      <c r="H1792" s="8">
        <v>2</v>
      </c>
      <c r="I1792" s="8">
        <v>2</v>
      </c>
      <c r="J1792" s="8">
        <v>2</v>
      </c>
      <c r="K1792" s="8">
        <v>0</v>
      </c>
      <c r="L1792" s="8">
        <v>2</v>
      </c>
      <c r="M1792" s="8">
        <v>2</v>
      </c>
      <c r="N1792" s="8">
        <v>0</v>
      </c>
      <c r="O1792" s="8">
        <v>2</v>
      </c>
      <c r="P1792" s="8">
        <v>2</v>
      </c>
      <c r="Q1792" s="8">
        <v>2</v>
      </c>
      <c r="R1792" s="8">
        <v>2</v>
      </c>
      <c r="S1792" s="8">
        <v>2</v>
      </c>
      <c r="T1792" s="8">
        <v>2</v>
      </c>
      <c r="U1792" s="8">
        <v>0</v>
      </c>
      <c r="V1792" s="8">
        <v>2</v>
      </c>
      <c r="W1792" s="8">
        <v>2</v>
      </c>
      <c r="X1792" s="8">
        <v>2</v>
      </c>
      <c r="Y1792" s="8">
        <v>0</v>
      </c>
      <c r="Z1792" s="8">
        <v>0</v>
      </c>
      <c r="AA1792" s="8">
        <v>0</v>
      </c>
      <c r="AB1792" s="8">
        <v>0</v>
      </c>
      <c r="AC1792" s="8">
        <v>2</v>
      </c>
      <c r="AD1792" s="8">
        <v>0</v>
      </c>
      <c r="AE1792" s="8">
        <v>0</v>
      </c>
      <c r="AF1792" s="8">
        <v>0</v>
      </c>
      <c r="AG1792" s="8">
        <v>0</v>
      </c>
      <c r="AH1792" s="8">
        <v>0</v>
      </c>
      <c r="AI1792" s="8">
        <v>0</v>
      </c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11" t="s">
        <v>253</v>
      </c>
    </row>
    <row r="1793" spans="1:46" ht="15.1" customHeight="1">
      <c r="A1793" s="8"/>
      <c r="B1793" s="9"/>
      <c r="C1793" s="8"/>
      <c r="D1793" s="9"/>
      <c r="E1793" s="8">
        <v>0</v>
      </c>
      <c r="F1793" s="8">
        <v>3</v>
      </c>
      <c r="G1793" s="8">
        <v>0</v>
      </c>
      <c r="H1793" s="8">
        <v>5</v>
      </c>
      <c r="I1793" s="8">
        <v>7</v>
      </c>
      <c r="J1793" s="8">
        <v>7</v>
      </c>
      <c r="K1793" s="8">
        <v>0</v>
      </c>
      <c r="L1793" s="8">
        <v>7</v>
      </c>
      <c r="M1793" s="8">
        <v>5</v>
      </c>
      <c r="N1793" s="8">
        <v>16.5</v>
      </c>
      <c r="O1793" s="8">
        <v>6.5</v>
      </c>
      <c r="P1793" s="8">
        <v>7</v>
      </c>
      <c r="Q1793" s="8">
        <v>5</v>
      </c>
      <c r="R1793" s="8">
        <v>6.5</v>
      </c>
      <c r="S1793" s="8">
        <v>6.5</v>
      </c>
      <c r="T1793" s="8">
        <v>3</v>
      </c>
      <c r="U1793" s="8">
        <v>12.5</v>
      </c>
      <c r="V1793" s="8">
        <v>6.5</v>
      </c>
      <c r="W1793" s="8">
        <v>7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  <c r="AH1793" s="8">
        <v>0</v>
      </c>
      <c r="AI1793" s="8">
        <v>0</v>
      </c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11" t="s">
        <v>253</v>
      </c>
    </row>
    <row r="1794" spans="1:46" ht="15.1" customHeight="1">
      <c r="A1794" s="8">
        <v>597</v>
      </c>
      <c r="B1794" s="9" t="s">
        <v>1440</v>
      </c>
      <c r="C1794" s="8" t="s">
        <v>1441</v>
      </c>
      <c r="D1794" s="9" t="s">
        <v>451</v>
      </c>
      <c r="E1794" s="8" t="s">
        <v>54</v>
      </c>
      <c r="F1794" s="8" t="s">
        <v>54</v>
      </c>
      <c r="G1794" s="10" t="s">
        <v>67</v>
      </c>
      <c r="H1794" s="8" t="s">
        <v>54</v>
      </c>
      <c r="I1794" s="8" t="s">
        <v>54</v>
      </c>
      <c r="J1794" s="8" t="s">
        <v>54</v>
      </c>
      <c r="K1794" s="8" t="s">
        <v>54</v>
      </c>
      <c r="L1794" s="8" t="s">
        <v>54</v>
      </c>
      <c r="M1794" s="8" t="s">
        <v>54</v>
      </c>
      <c r="N1794" s="10" t="s">
        <v>67</v>
      </c>
      <c r="O1794" s="8" t="s">
        <v>54</v>
      </c>
      <c r="P1794" s="8" t="s">
        <v>54</v>
      </c>
      <c r="Q1794" s="8" t="s">
        <v>54</v>
      </c>
      <c r="R1794" s="8" t="s">
        <v>54</v>
      </c>
      <c r="S1794" s="8" t="s">
        <v>54</v>
      </c>
      <c r="T1794" s="8" t="s">
        <v>54</v>
      </c>
      <c r="U1794" s="10" t="s">
        <v>67</v>
      </c>
      <c r="V1794" s="8" t="s">
        <v>54</v>
      </c>
      <c r="W1794" s="8" t="s">
        <v>54</v>
      </c>
      <c r="X1794" s="8" t="s">
        <v>54</v>
      </c>
      <c r="Y1794" s="8" t="s">
        <v>54</v>
      </c>
      <c r="Z1794" s="8" t="s">
        <v>54</v>
      </c>
      <c r="AA1794" s="8" t="s">
        <v>54</v>
      </c>
      <c r="AB1794" s="10" t="s">
        <v>67</v>
      </c>
      <c r="AC1794" s="8" t="s">
        <v>54</v>
      </c>
      <c r="AD1794" s="8" t="s">
        <v>54</v>
      </c>
      <c r="AE1794" s="8" t="s">
        <v>54</v>
      </c>
      <c r="AF1794" s="8" t="s">
        <v>54</v>
      </c>
      <c r="AG1794" s="8" t="s">
        <v>54</v>
      </c>
      <c r="AH1794" s="8" t="s">
        <v>54</v>
      </c>
      <c r="AI1794" s="10" t="s">
        <v>67</v>
      </c>
      <c r="AJ1794" s="8">
        <f>COUNTIF($E$1794:$AI$1794,"P")</f>
        <v>26</v>
      </c>
      <c r="AK1794" s="8">
        <f>COUNTIF($E$1794:$AI$1794,"A")</f>
        <v>0</v>
      </c>
      <c r="AL1794" s="8">
        <f>SUM($E$1795:$AI$1795)</f>
        <v>38</v>
      </c>
      <c r="AM1794" s="8">
        <f>SUM($E$1796:$AI$1796)</f>
        <v>145.5</v>
      </c>
      <c r="AN1794" s="8">
        <f>AL1794+AM1794</f>
        <v>183.5</v>
      </c>
      <c r="AO1794" s="8">
        <f>COUNTIF($E$1794:$AI$1794,"CL")</f>
        <v>0</v>
      </c>
      <c r="AP1794" s="8">
        <f>COUNTIF($E$1794:$AI$1794,"SL")</f>
        <v>0</v>
      </c>
      <c r="AQ1794" s="8">
        <f>COUNTIF($E$1794:$AI$1794,"EL")</f>
        <v>0</v>
      </c>
      <c r="AR1794" s="8">
        <f>COUNTIF($E$1794:$AI$1794,"H")</f>
        <v>0</v>
      </c>
      <c r="AS1794" s="8"/>
      <c r="AT1794" s="11" t="s">
        <v>253</v>
      </c>
    </row>
    <row r="1795" spans="1:46" ht="15.1" customHeight="1">
      <c r="A1795" s="8"/>
      <c r="B1795" s="9"/>
      <c r="C1795" s="8"/>
      <c r="D1795" s="9"/>
      <c r="E1795" s="8">
        <v>2</v>
      </c>
      <c r="F1795" s="8">
        <v>2</v>
      </c>
      <c r="G1795" s="8">
        <v>0</v>
      </c>
      <c r="H1795" s="8">
        <v>2</v>
      </c>
      <c r="I1795" s="8">
        <v>2</v>
      </c>
      <c r="J1795" s="8">
        <v>2</v>
      </c>
      <c r="K1795" s="8">
        <v>2</v>
      </c>
      <c r="L1795" s="8">
        <v>2</v>
      </c>
      <c r="M1795" s="8">
        <v>2</v>
      </c>
      <c r="N1795" s="8">
        <v>0</v>
      </c>
      <c r="O1795" s="8">
        <v>2</v>
      </c>
      <c r="P1795" s="8">
        <v>2</v>
      </c>
      <c r="Q1795" s="8">
        <v>2</v>
      </c>
      <c r="R1795" s="8">
        <v>2</v>
      </c>
      <c r="S1795" s="8">
        <v>2</v>
      </c>
      <c r="T1795" s="8">
        <v>2</v>
      </c>
      <c r="U1795" s="8">
        <v>0</v>
      </c>
      <c r="V1795" s="8">
        <v>2</v>
      </c>
      <c r="W1795" s="8">
        <v>2</v>
      </c>
      <c r="X1795" s="8">
        <v>2</v>
      </c>
      <c r="Y1795" s="8">
        <v>0</v>
      </c>
      <c r="Z1795" s="8">
        <v>0</v>
      </c>
      <c r="AA1795" s="8">
        <v>0</v>
      </c>
      <c r="AB1795" s="8">
        <v>0</v>
      </c>
      <c r="AC1795" s="8">
        <v>2</v>
      </c>
      <c r="AD1795" s="8">
        <v>2</v>
      </c>
      <c r="AE1795" s="8">
        <v>0</v>
      </c>
      <c r="AF1795" s="8">
        <v>0</v>
      </c>
      <c r="AG1795" s="8">
        <v>0</v>
      </c>
      <c r="AH1795" s="8">
        <v>0</v>
      </c>
      <c r="AI1795" s="8">
        <v>0</v>
      </c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11" t="s">
        <v>253</v>
      </c>
    </row>
    <row r="1796" spans="1:46" ht="15.1" customHeight="1">
      <c r="A1796" s="8"/>
      <c r="B1796" s="9"/>
      <c r="C1796" s="8"/>
      <c r="D1796" s="9"/>
      <c r="E1796" s="8">
        <v>4</v>
      </c>
      <c r="F1796" s="8">
        <v>3</v>
      </c>
      <c r="G1796" s="8">
        <v>14</v>
      </c>
      <c r="H1796" s="8">
        <v>5</v>
      </c>
      <c r="I1796" s="8">
        <v>7</v>
      </c>
      <c r="J1796" s="8">
        <v>7</v>
      </c>
      <c r="K1796" s="8">
        <v>7</v>
      </c>
      <c r="L1796" s="8">
        <v>7</v>
      </c>
      <c r="M1796" s="8">
        <v>5</v>
      </c>
      <c r="N1796" s="8">
        <v>17</v>
      </c>
      <c r="O1796" s="8">
        <v>7</v>
      </c>
      <c r="P1796" s="8">
        <v>7</v>
      </c>
      <c r="Q1796" s="8">
        <v>5</v>
      </c>
      <c r="R1796" s="8">
        <v>7</v>
      </c>
      <c r="S1796" s="8">
        <v>7</v>
      </c>
      <c r="T1796" s="8">
        <v>3</v>
      </c>
      <c r="U1796" s="8">
        <v>12.5</v>
      </c>
      <c r="V1796" s="8">
        <v>7</v>
      </c>
      <c r="W1796" s="8">
        <v>7</v>
      </c>
      <c r="X1796" s="8">
        <v>4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3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11" t="s">
        <v>253</v>
      </c>
    </row>
    <row r="1797" spans="1:46" ht="15.1" customHeight="1">
      <c r="A1797" s="8">
        <v>598</v>
      </c>
      <c r="B1797" s="9" t="s">
        <v>1442</v>
      </c>
      <c r="C1797" s="8" t="s">
        <v>1443</v>
      </c>
      <c r="D1797" s="9" t="s">
        <v>451</v>
      </c>
      <c r="E1797" s="8" t="s">
        <v>54</v>
      </c>
      <c r="F1797" s="8" t="s">
        <v>54</v>
      </c>
      <c r="G1797" s="10" t="s">
        <v>67</v>
      </c>
      <c r="H1797" s="8" t="s">
        <v>54</v>
      </c>
      <c r="I1797" s="8" t="s">
        <v>54</v>
      </c>
      <c r="J1797" s="8" t="s">
        <v>54</v>
      </c>
      <c r="K1797" s="8" t="s">
        <v>54</v>
      </c>
      <c r="L1797" s="8" t="s">
        <v>54</v>
      </c>
      <c r="M1797" s="8" t="s">
        <v>54</v>
      </c>
      <c r="N1797" s="10" t="s">
        <v>67</v>
      </c>
      <c r="O1797" s="8" t="s">
        <v>54</v>
      </c>
      <c r="P1797" s="8" t="s">
        <v>54</v>
      </c>
      <c r="Q1797" s="8" t="s">
        <v>54</v>
      </c>
      <c r="R1797" s="8" t="s">
        <v>54</v>
      </c>
      <c r="S1797" s="8" t="s">
        <v>54</v>
      </c>
      <c r="T1797" s="8" t="s">
        <v>54</v>
      </c>
      <c r="U1797" s="10" t="s">
        <v>67</v>
      </c>
      <c r="V1797" s="8" t="s">
        <v>54</v>
      </c>
      <c r="W1797" s="8" t="s">
        <v>54</v>
      </c>
      <c r="X1797" s="8" t="s">
        <v>54</v>
      </c>
      <c r="Y1797" s="8" t="s">
        <v>54</v>
      </c>
      <c r="Z1797" s="8" t="s">
        <v>54</v>
      </c>
      <c r="AA1797" s="8" t="s">
        <v>54</v>
      </c>
      <c r="AB1797" s="10" t="s">
        <v>67</v>
      </c>
      <c r="AC1797" s="8" t="s">
        <v>54</v>
      </c>
      <c r="AD1797" s="8" t="s">
        <v>54</v>
      </c>
      <c r="AE1797" s="8" t="s">
        <v>54</v>
      </c>
      <c r="AF1797" s="8" t="s">
        <v>54</v>
      </c>
      <c r="AG1797" s="8" t="s">
        <v>54</v>
      </c>
      <c r="AH1797" s="8" t="s">
        <v>54</v>
      </c>
      <c r="AI1797" s="10" t="s">
        <v>67</v>
      </c>
      <c r="AJ1797" s="8">
        <f>COUNTIF($E$1797:$AI$1797,"P")</f>
        <v>26</v>
      </c>
      <c r="AK1797" s="8">
        <f>COUNTIF($E$1797:$AI$1797,"A")</f>
        <v>0</v>
      </c>
      <c r="AL1797" s="8">
        <f>SUM($E$1798:$AI$1798)</f>
        <v>36</v>
      </c>
      <c r="AM1797" s="8">
        <f>SUM($E$1799:$AI$1799)</f>
        <v>133</v>
      </c>
      <c r="AN1797" s="8">
        <f>AL1797+AM1797</f>
        <v>169</v>
      </c>
      <c r="AO1797" s="8">
        <f>COUNTIF($E$1797:$AI$1797,"CL")</f>
        <v>0</v>
      </c>
      <c r="AP1797" s="8">
        <f>COUNTIF($E$1797:$AI$1797,"SL")</f>
        <v>0</v>
      </c>
      <c r="AQ1797" s="8">
        <f>COUNTIF($E$1797:$AI$1797,"EL")</f>
        <v>0</v>
      </c>
      <c r="AR1797" s="8">
        <f>COUNTIF($E$1797:$AI$1797,"H")</f>
        <v>0</v>
      </c>
      <c r="AS1797" s="8"/>
      <c r="AT1797" s="11" t="s">
        <v>253</v>
      </c>
    </row>
    <row r="1798" spans="1:46" ht="15.1" customHeight="1">
      <c r="A1798" s="8"/>
      <c r="B1798" s="9"/>
      <c r="C1798" s="8"/>
      <c r="D1798" s="9"/>
      <c r="E1798" s="8">
        <v>2</v>
      </c>
      <c r="F1798" s="8">
        <v>2</v>
      </c>
      <c r="G1798" s="8">
        <v>0</v>
      </c>
      <c r="H1798" s="8">
        <v>2</v>
      </c>
      <c r="I1798" s="8">
        <v>2</v>
      </c>
      <c r="J1798" s="8">
        <v>2</v>
      </c>
      <c r="K1798" s="8">
        <v>2</v>
      </c>
      <c r="L1798" s="8">
        <v>0</v>
      </c>
      <c r="M1798" s="8">
        <v>2</v>
      </c>
      <c r="N1798" s="8">
        <v>0</v>
      </c>
      <c r="O1798" s="8">
        <v>2</v>
      </c>
      <c r="P1798" s="8">
        <v>2</v>
      </c>
      <c r="Q1798" s="8">
        <v>2</v>
      </c>
      <c r="R1798" s="8">
        <v>2</v>
      </c>
      <c r="S1798" s="8">
        <v>2</v>
      </c>
      <c r="T1798" s="8">
        <v>2</v>
      </c>
      <c r="U1798" s="8">
        <v>0</v>
      </c>
      <c r="V1798" s="8">
        <v>2</v>
      </c>
      <c r="W1798" s="8">
        <v>2</v>
      </c>
      <c r="X1798" s="8">
        <v>2</v>
      </c>
      <c r="Y1798" s="8">
        <v>0</v>
      </c>
      <c r="Z1798" s="8">
        <v>0</v>
      </c>
      <c r="AA1798" s="8">
        <v>0</v>
      </c>
      <c r="AB1798" s="8">
        <v>0</v>
      </c>
      <c r="AC1798" s="8">
        <v>2</v>
      </c>
      <c r="AD1798" s="8">
        <v>2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11" t="s">
        <v>253</v>
      </c>
    </row>
    <row r="1799" spans="1:46" ht="15.1" customHeight="1">
      <c r="A1799" s="8"/>
      <c r="B1799" s="9"/>
      <c r="C1799" s="8"/>
      <c r="D1799" s="9"/>
      <c r="E1799" s="8">
        <v>4</v>
      </c>
      <c r="F1799" s="8">
        <v>3</v>
      </c>
      <c r="G1799" s="8">
        <v>14</v>
      </c>
      <c r="H1799" s="8">
        <v>5</v>
      </c>
      <c r="I1799" s="8">
        <v>7</v>
      </c>
      <c r="J1799" s="8">
        <v>7</v>
      </c>
      <c r="K1799" s="8">
        <v>7</v>
      </c>
      <c r="L1799" s="8">
        <v>0</v>
      </c>
      <c r="M1799" s="8">
        <v>5</v>
      </c>
      <c r="N1799" s="8">
        <v>16.5</v>
      </c>
      <c r="O1799" s="8">
        <v>7</v>
      </c>
      <c r="P1799" s="8">
        <v>7</v>
      </c>
      <c r="Q1799" s="8">
        <v>5</v>
      </c>
      <c r="R1799" s="8">
        <v>7</v>
      </c>
      <c r="S1799" s="8">
        <v>6.5</v>
      </c>
      <c r="T1799" s="8">
        <v>3</v>
      </c>
      <c r="U1799" s="8">
        <v>12.5</v>
      </c>
      <c r="V1799" s="8">
        <v>6.5</v>
      </c>
      <c r="W1799" s="8">
        <v>7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3</v>
      </c>
      <c r="AE1799" s="8">
        <v>0</v>
      </c>
      <c r="AF1799" s="8">
        <v>0</v>
      </c>
      <c r="AG1799" s="8">
        <v>0</v>
      </c>
      <c r="AH1799" s="8">
        <v>0</v>
      </c>
      <c r="AI1799" s="8">
        <v>0</v>
      </c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11" t="s">
        <v>253</v>
      </c>
    </row>
    <row r="1800" spans="1:46" ht="15.1" customHeight="1">
      <c r="A1800" s="8">
        <v>599</v>
      </c>
      <c r="B1800" s="9" t="s">
        <v>1444</v>
      </c>
      <c r="C1800" s="8" t="s">
        <v>1445</v>
      </c>
      <c r="D1800" s="9" t="s">
        <v>451</v>
      </c>
      <c r="E1800" s="8" t="s">
        <v>54</v>
      </c>
      <c r="F1800" s="8" t="s">
        <v>54</v>
      </c>
      <c r="G1800" s="10" t="s">
        <v>67</v>
      </c>
      <c r="H1800" s="8" t="s">
        <v>54</v>
      </c>
      <c r="I1800" s="8" t="s">
        <v>54</v>
      </c>
      <c r="J1800" s="8" t="s">
        <v>54</v>
      </c>
      <c r="K1800" s="8" t="s">
        <v>54</v>
      </c>
      <c r="L1800" s="8" t="s">
        <v>54</v>
      </c>
      <c r="M1800" s="8" t="s">
        <v>54</v>
      </c>
      <c r="N1800" s="10" t="s">
        <v>67</v>
      </c>
      <c r="O1800" s="8" t="s">
        <v>54</v>
      </c>
      <c r="P1800" s="8" t="s">
        <v>54</v>
      </c>
      <c r="Q1800" s="8" t="s">
        <v>54</v>
      </c>
      <c r="R1800" s="8" t="s">
        <v>54</v>
      </c>
      <c r="S1800" s="8" t="s">
        <v>54</v>
      </c>
      <c r="T1800" s="8" t="s">
        <v>54</v>
      </c>
      <c r="U1800" s="10" t="s">
        <v>67</v>
      </c>
      <c r="V1800" s="8" t="s">
        <v>54</v>
      </c>
      <c r="W1800" s="8" t="s">
        <v>54</v>
      </c>
      <c r="X1800" s="8" t="s">
        <v>54</v>
      </c>
      <c r="Y1800" s="8" t="s">
        <v>54</v>
      </c>
      <c r="Z1800" s="8" t="s">
        <v>54</v>
      </c>
      <c r="AA1800" s="8" t="s">
        <v>54</v>
      </c>
      <c r="AB1800" s="10" t="s">
        <v>67</v>
      </c>
      <c r="AC1800" s="8" t="s">
        <v>54</v>
      </c>
      <c r="AD1800" s="8" t="s">
        <v>54</v>
      </c>
      <c r="AE1800" s="8" t="s">
        <v>54</v>
      </c>
      <c r="AF1800" s="8" t="s">
        <v>54</v>
      </c>
      <c r="AG1800" s="8" t="s">
        <v>54</v>
      </c>
      <c r="AH1800" s="8" t="s">
        <v>54</v>
      </c>
      <c r="AI1800" s="10" t="s">
        <v>67</v>
      </c>
      <c r="AJ1800" s="8">
        <f>COUNTIF($E$1800:$AI$1800,"P")</f>
        <v>26</v>
      </c>
      <c r="AK1800" s="8">
        <f>COUNTIF($E$1800:$AI$1800,"A")</f>
        <v>0</v>
      </c>
      <c r="AL1800" s="8">
        <f>SUM($E$1801:$AI$1801)</f>
        <v>36</v>
      </c>
      <c r="AM1800" s="8">
        <f>SUM($E$1802:$AI$1802)</f>
        <v>137.5</v>
      </c>
      <c r="AN1800" s="8">
        <f>AL1800+AM1800</f>
        <v>173.5</v>
      </c>
      <c r="AO1800" s="8">
        <f>COUNTIF($E$1800:$AI$1800,"CL")</f>
        <v>0</v>
      </c>
      <c r="AP1800" s="8">
        <f>COUNTIF($E$1800:$AI$1800,"SL")</f>
        <v>0</v>
      </c>
      <c r="AQ1800" s="8">
        <f>COUNTIF($E$1800:$AI$1800,"EL")</f>
        <v>0</v>
      </c>
      <c r="AR1800" s="8">
        <f>COUNTIF($E$1800:$AI$1800,"H")</f>
        <v>0</v>
      </c>
      <c r="AS1800" s="8"/>
      <c r="AT1800" s="11" t="s">
        <v>253</v>
      </c>
    </row>
    <row r="1801" spans="1:46" ht="15.1" customHeight="1">
      <c r="A1801" s="8"/>
      <c r="B1801" s="9"/>
      <c r="C1801" s="8"/>
      <c r="D1801" s="9"/>
      <c r="E1801" s="8">
        <v>2</v>
      </c>
      <c r="F1801" s="8">
        <v>2</v>
      </c>
      <c r="G1801" s="8">
        <v>0</v>
      </c>
      <c r="H1801" s="8">
        <v>2</v>
      </c>
      <c r="I1801" s="8">
        <v>2</v>
      </c>
      <c r="J1801" s="8">
        <v>0</v>
      </c>
      <c r="K1801" s="8">
        <v>2</v>
      </c>
      <c r="L1801" s="8">
        <v>2</v>
      </c>
      <c r="M1801" s="8">
        <v>2</v>
      </c>
      <c r="N1801" s="8">
        <v>0</v>
      </c>
      <c r="O1801" s="8">
        <v>2</v>
      </c>
      <c r="P1801" s="8">
        <v>2</v>
      </c>
      <c r="Q1801" s="8">
        <v>2</v>
      </c>
      <c r="R1801" s="8">
        <v>2</v>
      </c>
      <c r="S1801" s="8">
        <v>2</v>
      </c>
      <c r="T1801" s="8">
        <v>2</v>
      </c>
      <c r="U1801" s="8">
        <v>0</v>
      </c>
      <c r="V1801" s="8">
        <v>2</v>
      </c>
      <c r="W1801" s="8">
        <v>2</v>
      </c>
      <c r="X1801" s="8">
        <v>2</v>
      </c>
      <c r="Y1801" s="8">
        <v>0</v>
      </c>
      <c r="Z1801" s="8">
        <v>0</v>
      </c>
      <c r="AA1801" s="8">
        <v>0</v>
      </c>
      <c r="AB1801" s="8">
        <v>0</v>
      </c>
      <c r="AC1801" s="8">
        <v>2</v>
      </c>
      <c r="AD1801" s="8">
        <v>2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11" t="s">
        <v>253</v>
      </c>
    </row>
    <row r="1802" spans="1:46" ht="15.1" customHeight="1">
      <c r="A1802" s="8"/>
      <c r="B1802" s="9"/>
      <c r="C1802" s="8"/>
      <c r="D1802" s="9"/>
      <c r="E1802" s="8">
        <v>4</v>
      </c>
      <c r="F1802" s="8">
        <v>3</v>
      </c>
      <c r="G1802" s="8">
        <v>13.5</v>
      </c>
      <c r="H1802" s="8">
        <v>5</v>
      </c>
      <c r="I1802" s="8">
        <v>7</v>
      </c>
      <c r="J1802" s="8">
        <v>0</v>
      </c>
      <c r="K1802" s="8">
        <v>7</v>
      </c>
      <c r="L1802" s="8">
        <v>7</v>
      </c>
      <c r="M1802" s="8">
        <v>5</v>
      </c>
      <c r="N1802" s="8">
        <v>16.5</v>
      </c>
      <c r="O1802" s="8">
        <v>7</v>
      </c>
      <c r="P1802" s="8">
        <v>7</v>
      </c>
      <c r="Q1802" s="8">
        <v>5</v>
      </c>
      <c r="R1802" s="8">
        <v>6.5</v>
      </c>
      <c r="S1802" s="8">
        <v>6.5</v>
      </c>
      <c r="T1802" s="8">
        <v>4.5</v>
      </c>
      <c r="U1802" s="8">
        <v>12.5</v>
      </c>
      <c r="V1802" s="8">
        <v>6.5</v>
      </c>
      <c r="W1802" s="8">
        <v>7</v>
      </c>
      <c r="X1802" s="8">
        <v>4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3</v>
      </c>
      <c r="AE1802" s="8">
        <v>0</v>
      </c>
      <c r="AF1802" s="8">
        <v>0</v>
      </c>
      <c r="AG1802" s="8">
        <v>0</v>
      </c>
      <c r="AH1802" s="8">
        <v>0</v>
      </c>
      <c r="AI1802" s="8">
        <v>0</v>
      </c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11" t="s">
        <v>253</v>
      </c>
    </row>
    <row r="1803" spans="1:46" ht="15.1" customHeight="1">
      <c r="A1803" s="8">
        <v>600</v>
      </c>
      <c r="B1803" s="9" t="s">
        <v>1446</v>
      </c>
      <c r="C1803" s="8" t="s">
        <v>1447</v>
      </c>
      <c r="D1803" s="9" t="s">
        <v>451</v>
      </c>
      <c r="E1803" s="8" t="s">
        <v>54</v>
      </c>
      <c r="F1803" s="8" t="s">
        <v>54</v>
      </c>
      <c r="G1803" s="10" t="s">
        <v>67</v>
      </c>
      <c r="H1803" s="8" t="s">
        <v>54</v>
      </c>
      <c r="I1803" s="8" t="s">
        <v>54</v>
      </c>
      <c r="J1803" s="8" t="s">
        <v>54</v>
      </c>
      <c r="K1803" s="8" t="s">
        <v>54</v>
      </c>
      <c r="L1803" s="8" t="s">
        <v>54</v>
      </c>
      <c r="M1803" s="8" t="s">
        <v>54</v>
      </c>
      <c r="N1803" s="10" t="s">
        <v>67</v>
      </c>
      <c r="O1803" s="8" t="s">
        <v>54</v>
      </c>
      <c r="P1803" s="8" t="s">
        <v>54</v>
      </c>
      <c r="Q1803" s="8" t="s">
        <v>54</v>
      </c>
      <c r="R1803" s="8" t="s">
        <v>54</v>
      </c>
      <c r="S1803" s="8" t="s">
        <v>54</v>
      </c>
      <c r="T1803" s="8" t="s">
        <v>54</v>
      </c>
      <c r="U1803" s="10" t="s">
        <v>67</v>
      </c>
      <c r="V1803" s="8" t="s">
        <v>54</v>
      </c>
      <c r="W1803" s="8" t="s">
        <v>54</v>
      </c>
      <c r="X1803" s="8" t="s">
        <v>54</v>
      </c>
      <c r="Y1803" s="8" t="s">
        <v>54</v>
      </c>
      <c r="Z1803" s="8" t="s">
        <v>54</v>
      </c>
      <c r="AA1803" s="8" t="s">
        <v>54</v>
      </c>
      <c r="AB1803" s="10" t="s">
        <v>67</v>
      </c>
      <c r="AC1803" s="8" t="s">
        <v>54</v>
      </c>
      <c r="AD1803" s="8" t="s">
        <v>54</v>
      </c>
      <c r="AE1803" s="8" t="s">
        <v>54</v>
      </c>
      <c r="AF1803" s="8" t="s">
        <v>54</v>
      </c>
      <c r="AG1803" s="8" t="s">
        <v>54</v>
      </c>
      <c r="AH1803" s="8" t="s">
        <v>54</v>
      </c>
      <c r="AI1803" s="10" t="s">
        <v>67</v>
      </c>
      <c r="AJ1803" s="8">
        <f>COUNTIF($E$1803:$AI$1803,"P")</f>
        <v>26</v>
      </c>
      <c r="AK1803" s="8">
        <f>COUNTIF($E$1803:$AI$1803,"A")</f>
        <v>0</v>
      </c>
      <c r="AL1803" s="8">
        <f>SUM($E$1804:$AI$1804)</f>
        <v>38</v>
      </c>
      <c r="AM1803" s="8">
        <f>SUM($E$1805:$AI$1805)</f>
        <v>137</v>
      </c>
      <c r="AN1803" s="8">
        <f>AL1803+AM1803</f>
        <v>175</v>
      </c>
      <c r="AO1803" s="8">
        <f>COUNTIF($E$1803:$AI$1803,"CL")</f>
        <v>0</v>
      </c>
      <c r="AP1803" s="8">
        <f>COUNTIF($E$1803:$AI$1803,"SL")</f>
        <v>0</v>
      </c>
      <c r="AQ1803" s="8">
        <f>COUNTIF($E$1803:$AI$1803,"EL")</f>
        <v>0</v>
      </c>
      <c r="AR1803" s="8">
        <f>COUNTIF($E$1803:$AI$1803,"H")</f>
        <v>0</v>
      </c>
      <c r="AS1803" s="8"/>
      <c r="AT1803" s="11" t="s">
        <v>253</v>
      </c>
    </row>
    <row r="1804" spans="1:46" ht="15.1" customHeight="1">
      <c r="A1804" s="8"/>
      <c r="B1804" s="9"/>
      <c r="C1804" s="8"/>
      <c r="D1804" s="9"/>
      <c r="E1804" s="8">
        <v>2</v>
      </c>
      <c r="F1804" s="8">
        <v>2</v>
      </c>
      <c r="G1804" s="8">
        <v>0</v>
      </c>
      <c r="H1804" s="8">
        <v>2</v>
      </c>
      <c r="I1804" s="8">
        <v>2</v>
      </c>
      <c r="J1804" s="8">
        <v>2</v>
      </c>
      <c r="K1804" s="8">
        <v>2</v>
      </c>
      <c r="L1804" s="8">
        <v>2</v>
      </c>
      <c r="M1804" s="8">
        <v>2</v>
      </c>
      <c r="N1804" s="8">
        <v>0</v>
      </c>
      <c r="O1804" s="8">
        <v>2</v>
      </c>
      <c r="P1804" s="8">
        <v>2</v>
      </c>
      <c r="Q1804" s="8">
        <v>2</v>
      </c>
      <c r="R1804" s="8">
        <v>2</v>
      </c>
      <c r="S1804" s="8">
        <v>2</v>
      </c>
      <c r="T1804" s="8">
        <v>2</v>
      </c>
      <c r="U1804" s="8">
        <v>0</v>
      </c>
      <c r="V1804" s="8">
        <v>2</v>
      </c>
      <c r="W1804" s="8">
        <v>2</v>
      </c>
      <c r="X1804" s="8">
        <v>2</v>
      </c>
      <c r="Y1804" s="8">
        <v>0</v>
      </c>
      <c r="Z1804" s="8">
        <v>0</v>
      </c>
      <c r="AA1804" s="8">
        <v>0</v>
      </c>
      <c r="AB1804" s="8">
        <v>0</v>
      </c>
      <c r="AC1804" s="8">
        <v>2</v>
      </c>
      <c r="AD1804" s="8">
        <v>2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11" t="s">
        <v>253</v>
      </c>
    </row>
    <row r="1805" spans="1:46" ht="15.1" customHeight="1">
      <c r="A1805" s="8"/>
      <c r="B1805" s="9"/>
      <c r="C1805" s="8"/>
      <c r="D1805" s="9"/>
      <c r="E1805" s="8">
        <v>3.5</v>
      </c>
      <c r="F1805" s="8">
        <v>3</v>
      </c>
      <c r="G1805" s="8">
        <v>13.5</v>
      </c>
      <c r="H1805" s="8">
        <v>0</v>
      </c>
      <c r="I1805" s="8">
        <v>7</v>
      </c>
      <c r="J1805" s="8">
        <v>6.5</v>
      </c>
      <c r="K1805" s="8">
        <v>7</v>
      </c>
      <c r="L1805" s="8">
        <v>6.5</v>
      </c>
      <c r="M1805" s="8">
        <v>4.5</v>
      </c>
      <c r="N1805" s="8">
        <v>16.5</v>
      </c>
      <c r="O1805" s="8">
        <v>7</v>
      </c>
      <c r="P1805" s="8">
        <v>6.5</v>
      </c>
      <c r="Q1805" s="8">
        <v>5</v>
      </c>
      <c r="R1805" s="8">
        <v>7</v>
      </c>
      <c r="S1805" s="8">
        <v>7</v>
      </c>
      <c r="T1805" s="8">
        <v>3</v>
      </c>
      <c r="U1805" s="8">
        <v>12.5</v>
      </c>
      <c r="V1805" s="8">
        <v>7</v>
      </c>
      <c r="W1805" s="8">
        <v>7</v>
      </c>
      <c r="X1805" s="8">
        <v>4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3</v>
      </c>
      <c r="AE1805" s="8">
        <v>0</v>
      </c>
      <c r="AF1805" s="8">
        <v>0</v>
      </c>
      <c r="AG1805" s="8">
        <v>0</v>
      </c>
      <c r="AH1805" s="8">
        <v>0</v>
      </c>
      <c r="AI1805" s="8">
        <v>0</v>
      </c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11" t="s">
        <v>253</v>
      </c>
    </row>
    <row r="1806" spans="1:46" ht="15.1" customHeight="1">
      <c r="A1806" s="8">
        <v>601</v>
      </c>
      <c r="B1806" s="9" t="s">
        <v>1448</v>
      </c>
      <c r="C1806" s="8" t="s">
        <v>1449</v>
      </c>
      <c r="D1806" s="9" t="s">
        <v>451</v>
      </c>
      <c r="E1806" s="8" t="s">
        <v>54</v>
      </c>
      <c r="F1806" s="8" t="s">
        <v>54</v>
      </c>
      <c r="G1806" s="10" t="s">
        <v>67</v>
      </c>
      <c r="H1806" s="8" t="s">
        <v>54</v>
      </c>
      <c r="I1806" s="8" t="s">
        <v>54</v>
      </c>
      <c r="J1806" s="12" t="s">
        <v>55</v>
      </c>
      <c r="K1806" s="12" t="s">
        <v>55</v>
      </c>
      <c r="L1806" s="12" t="s">
        <v>55</v>
      </c>
      <c r="M1806" s="8" t="s">
        <v>54</v>
      </c>
      <c r="N1806" s="10" t="s">
        <v>67</v>
      </c>
      <c r="O1806" s="8" t="s">
        <v>54</v>
      </c>
      <c r="P1806" s="8" t="s">
        <v>54</v>
      </c>
      <c r="Q1806" s="8" t="s">
        <v>54</v>
      </c>
      <c r="R1806" s="8" t="s">
        <v>54</v>
      </c>
      <c r="S1806" s="8" t="s">
        <v>54</v>
      </c>
      <c r="T1806" s="8" t="s">
        <v>54</v>
      </c>
      <c r="U1806" s="10" t="s">
        <v>67</v>
      </c>
      <c r="V1806" s="12" t="s">
        <v>55</v>
      </c>
      <c r="W1806" s="12" t="s">
        <v>55</v>
      </c>
      <c r="X1806" s="8" t="s">
        <v>54</v>
      </c>
      <c r="Y1806" s="8" t="s">
        <v>54</v>
      </c>
      <c r="Z1806" s="8" t="s">
        <v>54</v>
      </c>
      <c r="AA1806" s="8" t="s">
        <v>54</v>
      </c>
      <c r="AB1806" s="10" t="s">
        <v>67</v>
      </c>
      <c r="AC1806" s="8" t="s">
        <v>54</v>
      </c>
      <c r="AD1806" s="8" t="s">
        <v>54</v>
      </c>
      <c r="AE1806" s="8" t="s">
        <v>54</v>
      </c>
      <c r="AF1806" s="8" t="s">
        <v>54</v>
      </c>
      <c r="AG1806" s="8" t="s">
        <v>54</v>
      </c>
      <c r="AH1806" s="8" t="s">
        <v>54</v>
      </c>
      <c r="AI1806" s="10" t="s">
        <v>67</v>
      </c>
      <c r="AJ1806" s="8">
        <f>COUNTIF($E$1806:$AI$1806,"P")</f>
        <v>21</v>
      </c>
      <c r="AK1806" s="8">
        <f>COUNTIF($E$1806:$AI$1806,"A")</f>
        <v>5</v>
      </c>
      <c r="AL1806" s="8">
        <f>SUM($E$1807:$AI$1807)</f>
        <v>27</v>
      </c>
      <c r="AM1806" s="8">
        <f>SUM($E$1808:$AI$1808)</f>
        <v>101</v>
      </c>
      <c r="AN1806" s="8">
        <f>AL1806+AM1806</f>
        <v>128</v>
      </c>
      <c r="AO1806" s="8">
        <f>COUNTIF($E$1806:$AI$1806,"CL")</f>
        <v>0</v>
      </c>
      <c r="AP1806" s="8">
        <f>COUNTIF($E$1806:$AI$1806,"SL")</f>
        <v>0</v>
      </c>
      <c r="AQ1806" s="8">
        <f>COUNTIF($E$1806:$AI$1806,"EL")</f>
        <v>0</v>
      </c>
      <c r="AR1806" s="8">
        <f>COUNTIF($E$1806:$AI$1806,"H")</f>
        <v>0</v>
      </c>
      <c r="AS1806" s="8"/>
      <c r="AT1806" s="11" t="s">
        <v>253</v>
      </c>
    </row>
    <row r="1807" spans="1:46" ht="15.1" customHeight="1">
      <c r="A1807" s="8"/>
      <c r="B1807" s="9"/>
      <c r="C1807" s="8"/>
      <c r="D1807" s="9"/>
      <c r="E1807" s="8">
        <v>2</v>
      </c>
      <c r="F1807" s="8">
        <v>2</v>
      </c>
      <c r="G1807" s="8">
        <v>0</v>
      </c>
      <c r="H1807" s="8">
        <v>2</v>
      </c>
      <c r="I1807" s="8">
        <v>2</v>
      </c>
      <c r="J1807" s="8">
        <v>0</v>
      </c>
      <c r="K1807" s="8">
        <v>0</v>
      </c>
      <c r="L1807" s="8">
        <v>0</v>
      </c>
      <c r="M1807" s="8">
        <v>2</v>
      </c>
      <c r="N1807" s="8">
        <v>0</v>
      </c>
      <c r="O1807" s="8">
        <v>2</v>
      </c>
      <c r="P1807" s="8">
        <v>2</v>
      </c>
      <c r="Q1807" s="8">
        <v>2</v>
      </c>
      <c r="R1807" s="8">
        <v>2</v>
      </c>
      <c r="S1807" s="8">
        <v>2</v>
      </c>
      <c r="T1807" s="8">
        <v>2</v>
      </c>
      <c r="U1807" s="8">
        <v>0</v>
      </c>
      <c r="V1807" s="8">
        <v>0</v>
      </c>
      <c r="W1807" s="8">
        <v>0</v>
      </c>
      <c r="X1807" s="8">
        <v>2</v>
      </c>
      <c r="Y1807" s="8">
        <v>0</v>
      </c>
      <c r="Z1807" s="8">
        <v>0</v>
      </c>
      <c r="AA1807" s="8">
        <v>0</v>
      </c>
      <c r="AB1807" s="8">
        <v>0</v>
      </c>
      <c r="AC1807" s="8">
        <v>2</v>
      </c>
      <c r="AD1807" s="8">
        <v>0</v>
      </c>
      <c r="AE1807" s="8">
        <v>0</v>
      </c>
      <c r="AF1807" s="8">
        <v>0</v>
      </c>
      <c r="AG1807" s="8">
        <v>1</v>
      </c>
      <c r="AH1807" s="8">
        <v>0</v>
      </c>
      <c r="AI1807" s="8">
        <v>0</v>
      </c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11" t="s">
        <v>253</v>
      </c>
    </row>
    <row r="1808" spans="1:46" ht="15.1" customHeight="1">
      <c r="A1808" s="8"/>
      <c r="B1808" s="9"/>
      <c r="C1808" s="8"/>
      <c r="D1808" s="9"/>
      <c r="E1808" s="8">
        <v>4.5</v>
      </c>
      <c r="F1808" s="8">
        <v>3</v>
      </c>
      <c r="G1808" s="8">
        <v>13.5</v>
      </c>
      <c r="H1808" s="8">
        <v>5</v>
      </c>
      <c r="I1808" s="8">
        <v>7</v>
      </c>
      <c r="J1808" s="8">
        <v>0</v>
      </c>
      <c r="K1808" s="8">
        <v>0</v>
      </c>
      <c r="L1808" s="8">
        <v>0</v>
      </c>
      <c r="M1808" s="8">
        <v>5</v>
      </c>
      <c r="N1808" s="8">
        <v>16.5</v>
      </c>
      <c r="O1808" s="8">
        <v>7</v>
      </c>
      <c r="P1808" s="8">
        <v>6.5</v>
      </c>
      <c r="Q1808" s="8">
        <v>4.5</v>
      </c>
      <c r="R1808" s="8">
        <v>7</v>
      </c>
      <c r="S1808" s="8">
        <v>6.5</v>
      </c>
      <c r="T1808" s="8">
        <v>2.5</v>
      </c>
      <c r="U1808" s="8">
        <v>12.5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8">
        <v>0</v>
      </c>
      <c r="AH1808" s="8">
        <v>0</v>
      </c>
      <c r="AI1808" s="8">
        <v>0</v>
      </c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11" t="s">
        <v>253</v>
      </c>
    </row>
    <row r="1809" spans="1:46" ht="15.1" customHeight="1">
      <c r="A1809" s="8">
        <v>602</v>
      </c>
      <c r="B1809" s="9" t="s">
        <v>1450</v>
      </c>
      <c r="C1809" s="8" t="s">
        <v>1451</v>
      </c>
      <c r="D1809" s="9" t="s">
        <v>451</v>
      </c>
      <c r="E1809" s="8" t="s">
        <v>54</v>
      </c>
      <c r="F1809" s="8" t="s">
        <v>54</v>
      </c>
      <c r="G1809" s="10" t="s">
        <v>67</v>
      </c>
      <c r="H1809" s="8" t="s">
        <v>54</v>
      </c>
      <c r="I1809" s="8" t="s">
        <v>54</v>
      </c>
      <c r="J1809" s="8" t="s">
        <v>54</v>
      </c>
      <c r="K1809" s="8" t="s">
        <v>54</v>
      </c>
      <c r="L1809" s="8" t="s">
        <v>54</v>
      </c>
      <c r="M1809" s="8" t="s">
        <v>54</v>
      </c>
      <c r="N1809" s="10" t="s">
        <v>67</v>
      </c>
      <c r="O1809" s="8" t="s">
        <v>54</v>
      </c>
      <c r="P1809" s="8" t="s">
        <v>54</v>
      </c>
      <c r="Q1809" s="8" t="s">
        <v>54</v>
      </c>
      <c r="R1809" s="8" t="s">
        <v>54</v>
      </c>
      <c r="S1809" s="8" t="s">
        <v>54</v>
      </c>
      <c r="T1809" s="8" t="s">
        <v>54</v>
      </c>
      <c r="U1809" s="10" t="s">
        <v>67</v>
      </c>
      <c r="V1809" s="8" t="s">
        <v>54</v>
      </c>
      <c r="W1809" s="8" t="s">
        <v>54</v>
      </c>
      <c r="X1809" s="8" t="s">
        <v>54</v>
      </c>
      <c r="Y1809" s="8" t="s">
        <v>54</v>
      </c>
      <c r="Z1809" s="8" t="s">
        <v>54</v>
      </c>
      <c r="AA1809" s="8" t="s">
        <v>54</v>
      </c>
      <c r="AB1809" s="10" t="s">
        <v>67</v>
      </c>
      <c r="AC1809" s="8" t="s">
        <v>54</v>
      </c>
      <c r="AD1809" s="8" t="s">
        <v>54</v>
      </c>
      <c r="AE1809" s="8" t="s">
        <v>54</v>
      </c>
      <c r="AF1809" s="8" t="s">
        <v>54</v>
      </c>
      <c r="AG1809" s="8" t="s">
        <v>54</v>
      </c>
      <c r="AH1809" s="8" t="s">
        <v>54</v>
      </c>
      <c r="AI1809" s="10" t="s">
        <v>67</v>
      </c>
      <c r="AJ1809" s="8">
        <f>COUNTIF($E$1809:$AI$1809,"P")</f>
        <v>26</v>
      </c>
      <c r="AK1809" s="8">
        <f>COUNTIF($E$1809:$AI$1809,"A")</f>
        <v>0</v>
      </c>
      <c r="AL1809" s="8">
        <f>SUM($E$1810:$AI$1810)</f>
        <v>38</v>
      </c>
      <c r="AM1809" s="8">
        <f>SUM($E$1811:$AI$1811)</f>
        <v>131</v>
      </c>
      <c r="AN1809" s="8">
        <f>AL1809+AM1809</f>
        <v>168</v>
      </c>
      <c r="AO1809" s="8">
        <f>COUNTIF($E$1809:$AI$1809,"CL")</f>
        <v>0</v>
      </c>
      <c r="AP1809" s="8">
        <f>COUNTIF($E$1809:$AI$1809,"SL")</f>
        <v>0</v>
      </c>
      <c r="AQ1809" s="8">
        <f>COUNTIF($E$1809:$AI$1809,"EL")</f>
        <v>0</v>
      </c>
      <c r="AR1809" s="8">
        <f>COUNTIF($E$1809:$AI$1809,"H")</f>
        <v>0</v>
      </c>
      <c r="AS1809" s="8"/>
      <c r="AT1809" s="11" t="s">
        <v>253</v>
      </c>
    </row>
    <row r="1810" spans="1:46" ht="15.1" customHeight="1">
      <c r="A1810" s="8"/>
      <c r="B1810" s="9"/>
      <c r="C1810" s="8"/>
      <c r="D1810" s="9"/>
      <c r="E1810" s="8">
        <v>2</v>
      </c>
      <c r="F1810" s="8">
        <v>2</v>
      </c>
      <c r="G1810" s="8">
        <v>0</v>
      </c>
      <c r="H1810" s="8">
        <v>2</v>
      </c>
      <c r="I1810" s="8">
        <v>2</v>
      </c>
      <c r="J1810" s="8">
        <v>2</v>
      </c>
      <c r="K1810" s="8">
        <v>2</v>
      </c>
      <c r="L1810" s="8">
        <v>2</v>
      </c>
      <c r="M1810" s="8">
        <v>2</v>
      </c>
      <c r="N1810" s="8">
        <v>0</v>
      </c>
      <c r="O1810" s="8">
        <v>2</v>
      </c>
      <c r="P1810" s="8">
        <v>2</v>
      </c>
      <c r="Q1810" s="8">
        <v>2</v>
      </c>
      <c r="R1810" s="8">
        <v>2</v>
      </c>
      <c r="S1810" s="8">
        <v>2</v>
      </c>
      <c r="T1810" s="8">
        <v>2</v>
      </c>
      <c r="U1810" s="8">
        <v>0</v>
      </c>
      <c r="V1810" s="8">
        <v>2</v>
      </c>
      <c r="W1810" s="8">
        <v>2</v>
      </c>
      <c r="X1810" s="8">
        <v>2</v>
      </c>
      <c r="Y1810" s="8">
        <v>0</v>
      </c>
      <c r="Z1810" s="8">
        <v>0</v>
      </c>
      <c r="AA1810" s="8">
        <v>0</v>
      </c>
      <c r="AB1810" s="8">
        <v>0</v>
      </c>
      <c r="AC1810" s="8">
        <v>2</v>
      </c>
      <c r="AD1810" s="8">
        <v>2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11" t="s">
        <v>253</v>
      </c>
    </row>
    <row r="1811" spans="1:46" ht="15.1" customHeight="1">
      <c r="A1811" s="8"/>
      <c r="B1811" s="9"/>
      <c r="C1811" s="8"/>
      <c r="D1811" s="9"/>
      <c r="E1811" s="8">
        <v>3.5</v>
      </c>
      <c r="F1811" s="8">
        <v>3</v>
      </c>
      <c r="G1811" s="8">
        <v>13.5</v>
      </c>
      <c r="H1811" s="8">
        <v>5</v>
      </c>
      <c r="I1811" s="8">
        <v>7</v>
      </c>
      <c r="J1811" s="8">
        <v>7</v>
      </c>
      <c r="K1811" s="8">
        <v>7</v>
      </c>
      <c r="L1811" s="8">
        <v>0</v>
      </c>
      <c r="M1811" s="8">
        <v>5</v>
      </c>
      <c r="N1811" s="8">
        <v>16.5</v>
      </c>
      <c r="O1811" s="8">
        <v>6.5</v>
      </c>
      <c r="P1811" s="8">
        <v>6.5</v>
      </c>
      <c r="Q1811" s="8">
        <v>4.5</v>
      </c>
      <c r="R1811" s="8">
        <v>7</v>
      </c>
      <c r="S1811" s="8">
        <v>6.5</v>
      </c>
      <c r="T1811" s="8">
        <v>4.5</v>
      </c>
      <c r="U1811" s="8">
        <v>12</v>
      </c>
      <c r="V1811" s="8">
        <v>7</v>
      </c>
      <c r="W1811" s="8">
        <v>6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3</v>
      </c>
      <c r="AE1811" s="8">
        <v>0</v>
      </c>
      <c r="AF1811" s="8">
        <v>0</v>
      </c>
      <c r="AG1811" s="8">
        <v>0</v>
      </c>
      <c r="AH1811" s="8">
        <v>0</v>
      </c>
      <c r="AI1811" s="8">
        <v>0</v>
      </c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11" t="s">
        <v>253</v>
      </c>
    </row>
    <row r="1812" spans="1:46" ht="15.1" customHeight="1">
      <c r="A1812" s="8">
        <v>603</v>
      </c>
      <c r="B1812" s="9" t="s">
        <v>1452</v>
      </c>
      <c r="C1812" s="8" t="s">
        <v>1453</v>
      </c>
      <c r="D1812" s="9" t="s">
        <v>451</v>
      </c>
      <c r="E1812" s="8" t="s">
        <v>54</v>
      </c>
      <c r="F1812" s="8" t="s">
        <v>54</v>
      </c>
      <c r="G1812" s="10" t="s">
        <v>67</v>
      </c>
      <c r="H1812" s="8" t="s">
        <v>54</v>
      </c>
      <c r="I1812" s="8" t="s">
        <v>54</v>
      </c>
      <c r="J1812" s="8" t="s">
        <v>54</v>
      </c>
      <c r="K1812" s="8" t="s">
        <v>54</v>
      </c>
      <c r="L1812" s="8" t="s">
        <v>54</v>
      </c>
      <c r="M1812" s="8" t="s">
        <v>54</v>
      </c>
      <c r="N1812" s="10" t="s">
        <v>67</v>
      </c>
      <c r="O1812" s="8" t="s">
        <v>54</v>
      </c>
      <c r="P1812" s="8" t="s">
        <v>54</v>
      </c>
      <c r="Q1812" s="12" t="s">
        <v>55</v>
      </c>
      <c r="R1812" s="12" t="s">
        <v>55</v>
      </c>
      <c r="S1812" s="8" t="s">
        <v>54</v>
      </c>
      <c r="T1812" s="8" t="s">
        <v>54</v>
      </c>
      <c r="U1812" s="10" t="s">
        <v>67</v>
      </c>
      <c r="V1812" s="8" t="s">
        <v>54</v>
      </c>
      <c r="W1812" s="8" t="s">
        <v>54</v>
      </c>
      <c r="X1812" s="8" t="s">
        <v>54</v>
      </c>
      <c r="Y1812" s="8" t="s">
        <v>54</v>
      </c>
      <c r="Z1812" s="8" t="s">
        <v>54</v>
      </c>
      <c r="AA1812" s="8" t="s">
        <v>54</v>
      </c>
      <c r="AB1812" s="10" t="s">
        <v>67</v>
      </c>
      <c r="AC1812" s="8" t="s">
        <v>54</v>
      </c>
      <c r="AD1812" s="8" t="s">
        <v>54</v>
      </c>
      <c r="AE1812" s="8" t="s">
        <v>54</v>
      </c>
      <c r="AF1812" s="8" t="s">
        <v>54</v>
      </c>
      <c r="AG1812" s="8" t="s">
        <v>54</v>
      </c>
      <c r="AH1812" s="8" t="s">
        <v>54</v>
      </c>
      <c r="AI1812" s="10" t="s">
        <v>67</v>
      </c>
      <c r="AJ1812" s="8">
        <f>COUNTIF($E$1812:$AI$1812,"P")</f>
        <v>24</v>
      </c>
      <c r="AK1812" s="8">
        <f>COUNTIF($E$1812:$AI$1812,"A")</f>
        <v>2</v>
      </c>
      <c r="AL1812" s="8">
        <f>SUM($E$1813:$AI$1813)</f>
        <v>34</v>
      </c>
      <c r="AM1812" s="8">
        <f>SUM($E$1814:$AI$1814)</f>
        <v>129</v>
      </c>
      <c r="AN1812" s="8">
        <f>AL1812+AM1812</f>
        <v>163</v>
      </c>
      <c r="AO1812" s="8">
        <f>COUNTIF($E$1812:$AI$1812,"CL")</f>
        <v>0</v>
      </c>
      <c r="AP1812" s="8">
        <f>COUNTIF($E$1812:$AI$1812,"SL")</f>
        <v>0</v>
      </c>
      <c r="AQ1812" s="8">
        <f>COUNTIF($E$1812:$AI$1812,"EL")</f>
        <v>0</v>
      </c>
      <c r="AR1812" s="8">
        <f>COUNTIF($E$1812:$AI$1812,"H")</f>
        <v>0</v>
      </c>
      <c r="AS1812" s="8"/>
      <c r="AT1812" s="11" t="s">
        <v>253</v>
      </c>
    </row>
    <row r="1813" spans="1:46" ht="15.1" customHeight="1">
      <c r="A1813" s="8"/>
      <c r="B1813" s="9"/>
      <c r="C1813" s="8"/>
      <c r="D1813" s="9"/>
      <c r="E1813" s="8">
        <v>2</v>
      </c>
      <c r="F1813" s="8">
        <v>2</v>
      </c>
      <c r="G1813" s="8">
        <v>0</v>
      </c>
      <c r="H1813" s="8">
        <v>2</v>
      </c>
      <c r="I1813" s="8">
        <v>2</v>
      </c>
      <c r="J1813" s="8">
        <v>2</v>
      </c>
      <c r="K1813" s="8">
        <v>2</v>
      </c>
      <c r="L1813" s="8">
        <v>2</v>
      </c>
      <c r="M1813" s="8">
        <v>2</v>
      </c>
      <c r="N1813" s="8">
        <v>0</v>
      </c>
      <c r="O1813" s="8">
        <v>2</v>
      </c>
      <c r="P1813" s="8">
        <v>2</v>
      </c>
      <c r="Q1813" s="8">
        <v>0</v>
      </c>
      <c r="R1813" s="8">
        <v>0</v>
      </c>
      <c r="S1813" s="8">
        <v>2</v>
      </c>
      <c r="T1813" s="8">
        <v>2</v>
      </c>
      <c r="U1813" s="8">
        <v>0</v>
      </c>
      <c r="V1813" s="8">
        <v>2</v>
      </c>
      <c r="W1813" s="8">
        <v>2</v>
      </c>
      <c r="X1813" s="8">
        <v>2</v>
      </c>
      <c r="Y1813" s="8">
        <v>0</v>
      </c>
      <c r="Z1813" s="8">
        <v>0</v>
      </c>
      <c r="AA1813" s="8">
        <v>0</v>
      </c>
      <c r="AB1813" s="8">
        <v>0</v>
      </c>
      <c r="AC1813" s="8">
        <v>2</v>
      </c>
      <c r="AD1813" s="8">
        <v>2</v>
      </c>
      <c r="AE1813" s="8">
        <v>0</v>
      </c>
      <c r="AF1813" s="8">
        <v>0</v>
      </c>
      <c r="AG1813" s="8">
        <v>0</v>
      </c>
      <c r="AH1813" s="8">
        <v>0</v>
      </c>
      <c r="AI1813" s="8">
        <v>0</v>
      </c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11" t="s">
        <v>253</v>
      </c>
    </row>
    <row r="1814" spans="1:46" ht="15.1" customHeight="1">
      <c r="A1814" s="8"/>
      <c r="B1814" s="9"/>
      <c r="C1814" s="8"/>
      <c r="D1814" s="9"/>
      <c r="E1814" s="8">
        <v>4</v>
      </c>
      <c r="F1814" s="8">
        <v>3</v>
      </c>
      <c r="G1814" s="8">
        <v>13.5</v>
      </c>
      <c r="H1814" s="8">
        <v>5</v>
      </c>
      <c r="I1814" s="8">
        <v>7</v>
      </c>
      <c r="J1814" s="8">
        <v>7</v>
      </c>
      <c r="K1814" s="8">
        <v>7</v>
      </c>
      <c r="L1814" s="8">
        <v>7</v>
      </c>
      <c r="M1814" s="8">
        <v>4.5</v>
      </c>
      <c r="N1814" s="8">
        <v>16.5</v>
      </c>
      <c r="O1814" s="8">
        <v>7</v>
      </c>
      <c r="P1814" s="8">
        <v>7</v>
      </c>
      <c r="Q1814" s="8">
        <v>0</v>
      </c>
      <c r="R1814" s="8">
        <v>0</v>
      </c>
      <c r="S1814" s="8">
        <v>6.5</v>
      </c>
      <c r="T1814" s="8">
        <v>5</v>
      </c>
      <c r="U1814" s="8">
        <v>12.5</v>
      </c>
      <c r="V1814" s="8">
        <v>6.5</v>
      </c>
      <c r="W1814" s="8">
        <v>7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3</v>
      </c>
      <c r="AE1814" s="8">
        <v>0</v>
      </c>
      <c r="AF1814" s="8">
        <v>0</v>
      </c>
      <c r="AG1814" s="8">
        <v>0</v>
      </c>
      <c r="AH1814" s="8">
        <v>0</v>
      </c>
      <c r="AI1814" s="8">
        <v>0</v>
      </c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11" t="s">
        <v>253</v>
      </c>
    </row>
    <row r="1815" spans="1:46" ht="15.1" customHeight="1">
      <c r="A1815" s="8">
        <v>604</v>
      </c>
      <c r="B1815" s="9" t="s">
        <v>1454</v>
      </c>
      <c r="C1815" s="8" t="s">
        <v>1455</v>
      </c>
      <c r="D1815" s="9" t="s">
        <v>451</v>
      </c>
      <c r="E1815" s="8" t="s">
        <v>54</v>
      </c>
      <c r="F1815" s="8" t="s">
        <v>54</v>
      </c>
      <c r="G1815" s="10" t="s">
        <v>67</v>
      </c>
      <c r="H1815" s="8" t="s">
        <v>54</v>
      </c>
      <c r="I1815" s="8" t="s">
        <v>54</v>
      </c>
      <c r="J1815" s="8" t="s">
        <v>54</v>
      </c>
      <c r="K1815" s="8" t="s">
        <v>54</v>
      </c>
      <c r="L1815" s="8" t="s">
        <v>54</v>
      </c>
      <c r="M1815" s="8" t="s">
        <v>54</v>
      </c>
      <c r="N1815" s="10" t="s">
        <v>67</v>
      </c>
      <c r="O1815" s="8" t="s">
        <v>54</v>
      </c>
      <c r="P1815" s="8" t="s">
        <v>54</v>
      </c>
      <c r="Q1815" s="8" t="s">
        <v>54</v>
      </c>
      <c r="R1815" s="8" t="s">
        <v>54</v>
      </c>
      <c r="S1815" s="8" t="s">
        <v>54</v>
      </c>
      <c r="T1815" s="8" t="s">
        <v>54</v>
      </c>
      <c r="U1815" s="10" t="s">
        <v>67</v>
      </c>
      <c r="V1815" s="8" t="s">
        <v>54</v>
      </c>
      <c r="W1815" s="8" t="s">
        <v>54</v>
      </c>
      <c r="X1815" s="8" t="s">
        <v>54</v>
      </c>
      <c r="Y1815" s="8" t="s">
        <v>54</v>
      </c>
      <c r="Z1815" s="8" t="s">
        <v>54</v>
      </c>
      <c r="AA1815" s="8" t="s">
        <v>54</v>
      </c>
      <c r="AB1815" s="10" t="s">
        <v>67</v>
      </c>
      <c r="AC1815" s="8" t="s">
        <v>54</v>
      </c>
      <c r="AD1815" s="8" t="s">
        <v>54</v>
      </c>
      <c r="AE1815" s="8" t="s">
        <v>54</v>
      </c>
      <c r="AF1815" s="8" t="s">
        <v>54</v>
      </c>
      <c r="AG1815" s="8" t="s">
        <v>54</v>
      </c>
      <c r="AH1815" s="8" t="s">
        <v>54</v>
      </c>
      <c r="AI1815" s="10" t="s">
        <v>67</v>
      </c>
      <c r="AJ1815" s="8">
        <f>COUNTIF($E$1815:$AI$1815,"P")</f>
        <v>26</v>
      </c>
      <c r="AK1815" s="8">
        <f>COUNTIF($E$1815:$AI$1815,"A")</f>
        <v>0</v>
      </c>
      <c r="AL1815" s="8">
        <f>SUM($E$1816:$AI$1816)</f>
        <v>2</v>
      </c>
      <c r="AM1815" s="8">
        <f>SUM($E$1817:$AI$1817)</f>
        <v>1</v>
      </c>
      <c r="AN1815" s="8">
        <f>AL1815+AM1815</f>
        <v>3</v>
      </c>
      <c r="AO1815" s="8">
        <f>COUNTIF($E$1815:$AI$1815,"CL")</f>
        <v>0</v>
      </c>
      <c r="AP1815" s="8">
        <f>COUNTIF($E$1815:$AI$1815,"SL")</f>
        <v>0</v>
      </c>
      <c r="AQ1815" s="8">
        <f>COUNTIF($E$1815:$AI$1815,"EL")</f>
        <v>0</v>
      </c>
      <c r="AR1815" s="8">
        <f>COUNTIF($E$1815:$AI$1815,"H")</f>
        <v>0</v>
      </c>
      <c r="AS1815" s="8"/>
      <c r="AT1815" s="11" t="s">
        <v>253</v>
      </c>
    </row>
    <row r="1816" spans="1:46" ht="15.1" customHeight="1">
      <c r="A1816" s="8"/>
      <c r="B1816" s="9"/>
      <c r="C1816" s="8"/>
      <c r="D1816" s="9"/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2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  <c r="AH1816" s="8">
        <v>0</v>
      </c>
      <c r="AI1816" s="8">
        <v>0</v>
      </c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11" t="s">
        <v>253</v>
      </c>
    </row>
    <row r="1817" spans="1:46" ht="15.1" customHeight="1">
      <c r="A1817" s="8"/>
      <c r="B1817" s="9"/>
      <c r="C1817" s="8"/>
      <c r="D1817" s="9"/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1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0</v>
      </c>
      <c r="AH1817" s="8">
        <v>0</v>
      </c>
      <c r="AI1817" s="8">
        <v>0</v>
      </c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11" t="s">
        <v>253</v>
      </c>
    </row>
    <row r="1818" spans="1:46" ht="15.1" customHeight="1">
      <c r="A1818" s="8">
        <v>605</v>
      </c>
      <c r="B1818" s="9" t="s">
        <v>1456</v>
      </c>
      <c r="C1818" s="8" t="s">
        <v>1457</v>
      </c>
      <c r="D1818" s="9" t="s">
        <v>451</v>
      </c>
      <c r="E1818" s="8" t="s">
        <v>54</v>
      </c>
      <c r="F1818" s="8" t="s">
        <v>54</v>
      </c>
      <c r="G1818" s="10" t="s">
        <v>67</v>
      </c>
      <c r="H1818" s="8" t="s">
        <v>54</v>
      </c>
      <c r="I1818" s="8" t="s">
        <v>54</v>
      </c>
      <c r="J1818" s="8" t="s">
        <v>54</v>
      </c>
      <c r="K1818" s="8" t="s">
        <v>54</v>
      </c>
      <c r="L1818" s="8" t="s">
        <v>54</v>
      </c>
      <c r="M1818" s="8" t="s">
        <v>54</v>
      </c>
      <c r="N1818" s="10" t="s">
        <v>67</v>
      </c>
      <c r="O1818" s="8" t="s">
        <v>54</v>
      </c>
      <c r="P1818" s="8" t="s">
        <v>54</v>
      </c>
      <c r="Q1818" s="8" t="s">
        <v>54</v>
      </c>
      <c r="R1818" s="8" t="s">
        <v>54</v>
      </c>
      <c r="S1818" s="8" t="s">
        <v>54</v>
      </c>
      <c r="T1818" s="8" t="s">
        <v>54</v>
      </c>
      <c r="U1818" s="10" t="s">
        <v>67</v>
      </c>
      <c r="V1818" s="8" t="s">
        <v>54</v>
      </c>
      <c r="W1818" s="8" t="s">
        <v>54</v>
      </c>
      <c r="X1818" s="8" t="s">
        <v>54</v>
      </c>
      <c r="Y1818" s="12" t="s">
        <v>55</v>
      </c>
      <c r="Z1818" s="12" t="s">
        <v>55</v>
      </c>
      <c r="AA1818" s="12" t="s">
        <v>55</v>
      </c>
      <c r="AB1818" s="10" t="s">
        <v>67</v>
      </c>
      <c r="AC1818" s="8" t="s">
        <v>54</v>
      </c>
      <c r="AD1818" s="8" t="s">
        <v>54</v>
      </c>
      <c r="AE1818" s="8" t="s">
        <v>54</v>
      </c>
      <c r="AF1818" s="8" t="s">
        <v>54</v>
      </c>
      <c r="AG1818" s="8" t="s">
        <v>54</v>
      </c>
      <c r="AH1818" s="8" t="s">
        <v>54</v>
      </c>
      <c r="AI1818" s="10" t="s">
        <v>67</v>
      </c>
      <c r="AJ1818" s="8">
        <f>COUNTIF($E$1818:$AI$1818,"P")</f>
        <v>23</v>
      </c>
      <c r="AK1818" s="8">
        <f>COUNTIF($E$1818:$AI$1818,"A")</f>
        <v>3</v>
      </c>
      <c r="AL1818" s="8">
        <f>SUM($E$1819:$AI$1819)</f>
        <v>38</v>
      </c>
      <c r="AM1818" s="8">
        <f>SUM($E$1820:$AI$1820)</f>
        <v>141.5</v>
      </c>
      <c r="AN1818" s="8">
        <f>AL1818+AM1818</f>
        <v>179.5</v>
      </c>
      <c r="AO1818" s="8">
        <f>COUNTIF($E$1818:$AI$1818,"CL")</f>
        <v>0</v>
      </c>
      <c r="AP1818" s="8">
        <f>COUNTIF($E$1818:$AI$1818,"SL")</f>
        <v>0</v>
      </c>
      <c r="AQ1818" s="8">
        <f>COUNTIF($E$1818:$AI$1818,"EL")</f>
        <v>0</v>
      </c>
      <c r="AR1818" s="8">
        <f>COUNTIF($E$1818:$AI$1818,"H")</f>
        <v>0</v>
      </c>
      <c r="AS1818" s="8"/>
      <c r="AT1818" s="11" t="s">
        <v>253</v>
      </c>
    </row>
    <row r="1819" spans="1:46" ht="15.1" customHeight="1">
      <c r="A1819" s="8"/>
      <c r="B1819" s="9"/>
      <c r="C1819" s="8"/>
      <c r="D1819" s="9"/>
      <c r="E1819" s="8">
        <v>2</v>
      </c>
      <c r="F1819" s="8">
        <v>2</v>
      </c>
      <c r="G1819" s="8">
        <v>0</v>
      </c>
      <c r="H1819" s="8">
        <v>2</v>
      </c>
      <c r="I1819" s="8">
        <v>2</v>
      </c>
      <c r="J1819" s="8">
        <v>2</v>
      </c>
      <c r="K1819" s="8">
        <v>2</v>
      </c>
      <c r="L1819" s="8">
        <v>2</v>
      </c>
      <c r="M1819" s="8">
        <v>2</v>
      </c>
      <c r="N1819" s="8">
        <v>0</v>
      </c>
      <c r="O1819" s="8">
        <v>2</v>
      </c>
      <c r="P1819" s="8">
        <v>2</v>
      </c>
      <c r="Q1819" s="8">
        <v>2</v>
      </c>
      <c r="R1819" s="8">
        <v>2</v>
      </c>
      <c r="S1819" s="8">
        <v>2</v>
      </c>
      <c r="T1819" s="8">
        <v>2</v>
      </c>
      <c r="U1819" s="8">
        <v>0</v>
      </c>
      <c r="V1819" s="8">
        <v>2</v>
      </c>
      <c r="W1819" s="8">
        <v>2</v>
      </c>
      <c r="X1819" s="8">
        <v>2</v>
      </c>
      <c r="Y1819" s="8">
        <v>0</v>
      </c>
      <c r="Z1819" s="8">
        <v>0</v>
      </c>
      <c r="AA1819" s="8">
        <v>0</v>
      </c>
      <c r="AB1819" s="8">
        <v>0</v>
      </c>
      <c r="AC1819" s="8">
        <v>2</v>
      </c>
      <c r="AD1819" s="8">
        <v>2</v>
      </c>
      <c r="AE1819" s="8">
        <v>0</v>
      </c>
      <c r="AF1819" s="8">
        <v>0</v>
      </c>
      <c r="AG1819" s="8">
        <v>0</v>
      </c>
      <c r="AH1819" s="8">
        <v>0</v>
      </c>
      <c r="AI1819" s="8">
        <v>0</v>
      </c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11" t="s">
        <v>253</v>
      </c>
    </row>
    <row r="1820" spans="1:46" ht="15.1" customHeight="1">
      <c r="A1820" s="8"/>
      <c r="B1820" s="9"/>
      <c r="C1820" s="8"/>
      <c r="D1820" s="9"/>
      <c r="E1820" s="8">
        <v>4</v>
      </c>
      <c r="F1820" s="8">
        <v>3</v>
      </c>
      <c r="G1820" s="8">
        <v>14</v>
      </c>
      <c r="H1820" s="8">
        <v>5</v>
      </c>
      <c r="I1820" s="8">
        <v>7</v>
      </c>
      <c r="J1820" s="8">
        <v>7</v>
      </c>
      <c r="K1820" s="8">
        <v>7</v>
      </c>
      <c r="L1820" s="8">
        <v>7</v>
      </c>
      <c r="M1820" s="8">
        <v>5</v>
      </c>
      <c r="N1820" s="8">
        <v>17</v>
      </c>
      <c r="O1820" s="8">
        <v>7</v>
      </c>
      <c r="P1820" s="8">
        <v>7</v>
      </c>
      <c r="Q1820" s="8">
        <v>5</v>
      </c>
      <c r="R1820" s="8">
        <v>7</v>
      </c>
      <c r="S1820" s="8">
        <v>7</v>
      </c>
      <c r="T1820" s="8">
        <v>3</v>
      </c>
      <c r="U1820" s="8">
        <v>12.5</v>
      </c>
      <c r="V1820" s="8">
        <v>7</v>
      </c>
      <c r="W1820" s="8">
        <v>7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3</v>
      </c>
      <c r="AE1820" s="8">
        <v>0</v>
      </c>
      <c r="AF1820" s="8">
        <v>0</v>
      </c>
      <c r="AG1820" s="8">
        <v>0</v>
      </c>
      <c r="AH1820" s="8">
        <v>0</v>
      </c>
      <c r="AI1820" s="8">
        <v>0</v>
      </c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11" t="s">
        <v>253</v>
      </c>
    </row>
    <row r="1821" spans="1:46" ht="15.1" customHeight="1">
      <c r="A1821" s="8">
        <v>606</v>
      </c>
      <c r="B1821" s="9" t="s">
        <v>520</v>
      </c>
      <c r="C1821" s="8" t="s">
        <v>1458</v>
      </c>
      <c r="D1821" s="9" t="s">
        <v>451</v>
      </c>
      <c r="E1821" s="8" t="s">
        <v>54</v>
      </c>
      <c r="F1821" s="8" t="s">
        <v>54</v>
      </c>
      <c r="G1821" s="10" t="s">
        <v>67</v>
      </c>
      <c r="H1821" s="8" t="s">
        <v>54</v>
      </c>
      <c r="I1821" s="8" t="s">
        <v>54</v>
      </c>
      <c r="J1821" s="8" t="s">
        <v>54</v>
      </c>
      <c r="K1821" s="8" t="s">
        <v>54</v>
      </c>
      <c r="L1821" s="8" t="s">
        <v>54</v>
      </c>
      <c r="M1821" s="8" t="s">
        <v>54</v>
      </c>
      <c r="N1821" s="10" t="s">
        <v>67</v>
      </c>
      <c r="O1821" s="8" t="s">
        <v>54</v>
      </c>
      <c r="P1821" s="8" t="s">
        <v>54</v>
      </c>
      <c r="Q1821" s="8" t="s">
        <v>54</v>
      </c>
      <c r="R1821" s="8" t="s">
        <v>54</v>
      </c>
      <c r="S1821" s="8" t="s">
        <v>54</v>
      </c>
      <c r="T1821" s="8" t="s">
        <v>54</v>
      </c>
      <c r="U1821" s="10" t="s">
        <v>67</v>
      </c>
      <c r="V1821" s="8" t="s">
        <v>54</v>
      </c>
      <c r="W1821" s="8" t="s">
        <v>54</v>
      </c>
      <c r="X1821" s="8" t="s">
        <v>54</v>
      </c>
      <c r="Y1821" s="8" t="s">
        <v>54</v>
      </c>
      <c r="Z1821" s="8" t="s">
        <v>54</v>
      </c>
      <c r="AA1821" s="8" t="s">
        <v>54</v>
      </c>
      <c r="AB1821" s="10" t="s">
        <v>67</v>
      </c>
      <c r="AC1821" s="8" t="s">
        <v>54</v>
      </c>
      <c r="AD1821" s="8" t="s">
        <v>54</v>
      </c>
      <c r="AE1821" s="8" t="s">
        <v>54</v>
      </c>
      <c r="AF1821" s="8" t="s">
        <v>54</v>
      </c>
      <c r="AG1821" s="8" t="s">
        <v>54</v>
      </c>
      <c r="AH1821" s="8" t="s">
        <v>54</v>
      </c>
      <c r="AI1821" s="10" t="s">
        <v>67</v>
      </c>
      <c r="AJ1821" s="8">
        <f>COUNTIF($E$1821:$AI$1821,"P")</f>
        <v>26</v>
      </c>
      <c r="AK1821" s="8">
        <f>COUNTIF($E$1821:$AI$1821,"A")</f>
        <v>0</v>
      </c>
      <c r="AL1821" s="8">
        <f>SUM($E$1822:$AI$1822)</f>
        <v>38</v>
      </c>
      <c r="AM1821" s="8">
        <f>SUM($E$1823:$AI$1823)</f>
        <v>140.5</v>
      </c>
      <c r="AN1821" s="8">
        <f>AL1821+AM1821</f>
        <v>178.5</v>
      </c>
      <c r="AO1821" s="8">
        <f>COUNTIF($E$1821:$AI$1821,"CL")</f>
        <v>0</v>
      </c>
      <c r="AP1821" s="8">
        <f>COUNTIF($E$1821:$AI$1821,"SL")</f>
        <v>0</v>
      </c>
      <c r="AQ1821" s="8">
        <f>COUNTIF($E$1821:$AI$1821,"EL")</f>
        <v>0</v>
      </c>
      <c r="AR1821" s="8">
        <f>COUNTIF($E$1821:$AI$1821,"H")</f>
        <v>0</v>
      </c>
      <c r="AS1821" s="8"/>
      <c r="AT1821" s="11" t="s">
        <v>253</v>
      </c>
    </row>
    <row r="1822" spans="1:46" ht="15.1" customHeight="1">
      <c r="A1822" s="8"/>
      <c r="B1822" s="9"/>
      <c r="C1822" s="8"/>
      <c r="D1822" s="9"/>
      <c r="E1822" s="8">
        <v>2</v>
      </c>
      <c r="F1822" s="8">
        <v>2</v>
      </c>
      <c r="G1822" s="8">
        <v>0</v>
      </c>
      <c r="H1822" s="8">
        <v>2</v>
      </c>
      <c r="I1822" s="8">
        <v>2</v>
      </c>
      <c r="J1822" s="8">
        <v>2</v>
      </c>
      <c r="K1822" s="8">
        <v>2</v>
      </c>
      <c r="L1822" s="8">
        <v>2</v>
      </c>
      <c r="M1822" s="8">
        <v>2</v>
      </c>
      <c r="N1822" s="8">
        <v>0</v>
      </c>
      <c r="O1822" s="8">
        <v>2</v>
      </c>
      <c r="P1822" s="8">
        <v>2</v>
      </c>
      <c r="Q1822" s="8">
        <v>2</v>
      </c>
      <c r="R1822" s="8">
        <v>2</v>
      </c>
      <c r="S1822" s="8">
        <v>2</v>
      </c>
      <c r="T1822" s="8">
        <v>2</v>
      </c>
      <c r="U1822" s="8">
        <v>0</v>
      </c>
      <c r="V1822" s="8">
        <v>2</v>
      </c>
      <c r="W1822" s="8">
        <v>2</v>
      </c>
      <c r="X1822" s="8">
        <v>2</v>
      </c>
      <c r="Y1822" s="8">
        <v>0</v>
      </c>
      <c r="Z1822" s="8">
        <v>0</v>
      </c>
      <c r="AA1822" s="8">
        <v>0</v>
      </c>
      <c r="AB1822" s="8">
        <v>0</v>
      </c>
      <c r="AC1822" s="8">
        <v>2</v>
      </c>
      <c r="AD1822" s="8">
        <v>2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11" t="s">
        <v>253</v>
      </c>
    </row>
    <row r="1823" spans="1:46" ht="15.1" customHeight="1">
      <c r="A1823" s="8"/>
      <c r="B1823" s="9"/>
      <c r="C1823" s="8"/>
      <c r="D1823" s="9"/>
      <c r="E1823" s="8">
        <v>4</v>
      </c>
      <c r="F1823" s="8">
        <v>3</v>
      </c>
      <c r="G1823" s="8">
        <v>13.5</v>
      </c>
      <c r="H1823" s="8">
        <v>5</v>
      </c>
      <c r="I1823" s="8">
        <v>7</v>
      </c>
      <c r="J1823" s="8">
        <v>7</v>
      </c>
      <c r="K1823" s="8">
        <v>7</v>
      </c>
      <c r="L1823" s="8">
        <v>7</v>
      </c>
      <c r="M1823" s="8">
        <v>5</v>
      </c>
      <c r="N1823" s="8">
        <v>16.5</v>
      </c>
      <c r="O1823" s="8">
        <v>7</v>
      </c>
      <c r="P1823" s="8">
        <v>7</v>
      </c>
      <c r="Q1823" s="8">
        <v>5</v>
      </c>
      <c r="R1823" s="8">
        <v>7</v>
      </c>
      <c r="S1823" s="8">
        <v>7</v>
      </c>
      <c r="T1823" s="8">
        <v>3</v>
      </c>
      <c r="U1823" s="8">
        <v>12.5</v>
      </c>
      <c r="V1823" s="8">
        <v>7</v>
      </c>
      <c r="W1823" s="8">
        <v>7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3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11" t="s">
        <v>253</v>
      </c>
    </row>
    <row r="1824" spans="1:46" ht="15.1" customHeight="1">
      <c r="A1824" s="8">
        <v>607</v>
      </c>
      <c r="B1824" s="9" t="s">
        <v>1459</v>
      </c>
      <c r="C1824" s="8" t="s">
        <v>1460</v>
      </c>
      <c r="D1824" s="9" t="s">
        <v>451</v>
      </c>
      <c r="E1824" s="8" t="s">
        <v>54</v>
      </c>
      <c r="F1824" s="8" t="s">
        <v>54</v>
      </c>
      <c r="G1824" s="10" t="s">
        <v>67</v>
      </c>
      <c r="H1824" s="12" t="s">
        <v>55</v>
      </c>
      <c r="I1824" s="12" t="s">
        <v>55</v>
      </c>
      <c r="J1824" s="8" t="s">
        <v>54</v>
      </c>
      <c r="K1824" s="8" t="s">
        <v>54</v>
      </c>
      <c r="L1824" s="8" t="s">
        <v>54</v>
      </c>
      <c r="M1824" s="8" t="s">
        <v>54</v>
      </c>
      <c r="N1824" s="10" t="s">
        <v>67</v>
      </c>
      <c r="O1824" s="8" t="s">
        <v>54</v>
      </c>
      <c r="P1824" s="8" t="s">
        <v>54</v>
      </c>
      <c r="Q1824" s="8" t="s">
        <v>54</v>
      </c>
      <c r="R1824" s="8" t="s">
        <v>54</v>
      </c>
      <c r="S1824" s="12" t="s">
        <v>55</v>
      </c>
      <c r="T1824" s="8" t="s">
        <v>54</v>
      </c>
      <c r="U1824" s="10" t="s">
        <v>67</v>
      </c>
      <c r="V1824" s="8" t="s">
        <v>54</v>
      </c>
      <c r="W1824" s="8" t="s">
        <v>54</v>
      </c>
      <c r="X1824" s="8" t="s">
        <v>54</v>
      </c>
      <c r="Y1824" s="8" t="s">
        <v>54</v>
      </c>
      <c r="Z1824" s="8" t="s">
        <v>54</v>
      </c>
      <c r="AA1824" s="8" t="s">
        <v>54</v>
      </c>
      <c r="AB1824" s="10" t="s">
        <v>67</v>
      </c>
      <c r="AC1824" s="8" t="s">
        <v>54</v>
      </c>
      <c r="AD1824" s="8" t="s">
        <v>54</v>
      </c>
      <c r="AE1824" s="8" t="s">
        <v>54</v>
      </c>
      <c r="AF1824" s="8" t="s">
        <v>54</v>
      </c>
      <c r="AG1824" s="8" t="s">
        <v>54</v>
      </c>
      <c r="AH1824" s="8" t="s">
        <v>54</v>
      </c>
      <c r="AI1824" s="10" t="s">
        <v>67</v>
      </c>
      <c r="AJ1824" s="8">
        <f>COUNTIF($E$1824:$AI$1824,"P")</f>
        <v>23</v>
      </c>
      <c r="AK1824" s="8">
        <f>COUNTIF($E$1824:$AI$1824,"A")</f>
        <v>3</v>
      </c>
      <c r="AL1824" s="8">
        <f>SUM($E$1825:$AI$1825)</f>
        <v>32</v>
      </c>
      <c r="AM1824" s="8">
        <f>SUM($E$1826:$AI$1826)</f>
        <v>116.5</v>
      </c>
      <c r="AN1824" s="8">
        <f>AL1824+AM1824</f>
        <v>148.5</v>
      </c>
      <c r="AO1824" s="8">
        <f>COUNTIF($E$1824:$AI$1824,"CL")</f>
        <v>0</v>
      </c>
      <c r="AP1824" s="8">
        <f>COUNTIF($E$1824:$AI$1824,"SL")</f>
        <v>0</v>
      </c>
      <c r="AQ1824" s="8">
        <f>COUNTIF($E$1824:$AI$1824,"EL")</f>
        <v>0</v>
      </c>
      <c r="AR1824" s="8">
        <f>COUNTIF($E$1824:$AI$1824,"H")</f>
        <v>0</v>
      </c>
      <c r="AS1824" s="8"/>
      <c r="AT1824" s="11" t="s">
        <v>253</v>
      </c>
    </row>
    <row r="1825" spans="1:46" ht="15.1" customHeight="1">
      <c r="A1825" s="8"/>
      <c r="B1825" s="9"/>
      <c r="C1825" s="8"/>
      <c r="D1825" s="9"/>
      <c r="E1825" s="8">
        <v>2</v>
      </c>
      <c r="F1825" s="8">
        <v>2</v>
      </c>
      <c r="G1825" s="8">
        <v>0</v>
      </c>
      <c r="H1825" s="8">
        <v>0</v>
      </c>
      <c r="I1825" s="8">
        <v>0</v>
      </c>
      <c r="J1825" s="8">
        <v>2</v>
      </c>
      <c r="K1825" s="8">
        <v>2</v>
      </c>
      <c r="L1825" s="8">
        <v>2</v>
      </c>
      <c r="M1825" s="8">
        <v>2</v>
      </c>
      <c r="N1825" s="8">
        <v>0</v>
      </c>
      <c r="O1825" s="8">
        <v>2</v>
      </c>
      <c r="P1825" s="8">
        <v>2</v>
      </c>
      <c r="Q1825" s="8">
        <v>2</v>
      </c>
      <c r="R1825" s="8">
        <v>2</v>
      </c>
      <c r="S1825" s="8">
        <v>0</v>
      </c>
      <c r="T1825" s="8">
        <v>2</v>
      </c>
      <c r="U1825" s="8">
        <v>0</v>
      </c>
      <c r="V1825" s="8">
        <v>2</v>
      </c>
      <c r="W1825" s="8">
        <v>2</v>
      </c>
      <c r="X1825" s="8">
        <v>2</v>
      </c>
      <c r="Y1825" s="8">
        <v>0</v>
      </c>
      <c r="Z1825" s="8">
        <v>0</v>
      </c>
      <c r="AA1825" s="8">
        <v>0</v>
      </c>
      <c r="AB1825" s="8">
        <v>0</v>
      </c>
      <c r="AC1825" s="8">
        <v>2</v>
      </c>
      <c r="AD1825" s="8">
        <v>2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11" t="s">
        <v>253</v>
      </c>
    </row>
    <row r="1826" spans="1:46" ht="15.1" customHeight="1">
      <c r="A1826" s="8"/>
      <c r="B1826" s="9"/>
      <c r="C1826" s="8"/>
      <c r="D1826" s="9"/>
      <c r="E1826" s="8">
        <v>4</v>
      </c>
      <c r="F1826" s="8">
        <v>3</v>
      </c>
      <c r="G1826" s="8">
        <v>14</v>
      </c>
      <c r="H1826" s="8">
        <v>0</v>
      </c>
      <c r="I1826" s="8">
        <v>0</v>
      </c>
      <c r="J1826" s="8">
        <v>7</v>
      </c>
      <c r="K1826" s="8">
        <v>7</v>
      </c>
      <c r="L1826" s="8">
        <v>7</v>
      </c>
      <c r="M1826" s="8">
        <v>5</v>
      </c>
      <c r="N1826" s="8">
        <v>16.5</v>
      </c>
      <c r="O1826" s="8">
        <v>7</v>
      </c>
      <c r="P1826" s="8">
        <v>7</v>
      </c>
      <c r="Q1826" s="8">
        <v>5</v>
      </c>
      <c r="R1826" s="8">
        <v>7</v>
      </c>
      <c r="S1826" s="8">
        <v>0</v>
      </c>
      <c r="T1826" s="8">
        <v>5</v>
      </c>
      <c r="U1826" s="8">
        <v>5</v>
      </c>
      <c r="V1826" s="8">
        <v>7</v>
      </c>
      <c r="W1826" s="8">
        <v>7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3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11" t="s">
        <v>253</v>
      </c>
    </row>
    <row r="1827" spans="1:46" ht="15.1" customHeight="1">
      <c r="A1827" s="8">
        <v>608</v>
      </c>
      <c r="B1827" s="9" t="s">
        <v>1461</v>
      </c>
      <c r="C1827" s="8" t="s">
        <v>1462</v>
      </c>
      <c r="D1827" s="9" t="s">
        <v>451</v>
      </c>
      <c r="E1827" s="8" t="s">
        <v>54</v>
      </c>
      <c r="F1827" s="12" t="s">
        <v>55</v>
      </c>
      <c r="G1827" s="10" t="s">
        <v>67</v>
      </c>
      <c r="H1827" s="8" t="s">
        <v>54</v>
      </c>
      <c r="I1827" s="12" t="s">
        <v>55</v>
      </c>
      <c r="J1827" s="12" t="s">
        <v>55</v>
      </c>
      <c r="K1827" s="8" t="s">
        <v>54</v>
      </c>
      <c r="L1827" s="8" t="s">
        <v>54</v>
      </c>
      <c r="M1827" s="8" t="s">
        <v>54</v>
      </c>
      <c r="N1827" s="10" t="s">
        <v>67</v>
      </c>
      <c r="O1827" s="8" t="s">
        <v>54</v>
      </c>
      <c r="P1827" s="8" t="s">
        <v>54</v>
      </c>
      <c r="Q1827" s="8" t="s">
        <v>54</v>
      </c>
      <c r="R1827" s="8" t="s">
        <v>54</v>
      </c>
      <c r="S1827" s="8" t="s">
        <v>54</v>
      </c>
      <c r="T1827" s="8" t="s">
        <v>54</v>
      </c>
      <c r="U1827" s="10" t="s">
        <v>67</v>
      </c>
      <c r="V1827" s="8" t="s">
        <v>54</v>
      </c>
      <c r="W1827" s="12" t="s">
        <v>55</v>
      </c>
      <c r="X1827" s="12" t="s">
        <v>55</v>
      </c>
      <c r="Y1827" s="8" t="s">
        <v>54</v>
      </c>
      <c r="Z1827" s="8" t="s">
        <v>54</v>
      </c>
      <c r="AA1827" s="8" t="s">
        <v>54</v>
      </c>
      <c r="AB1827" s="10" t="s">
        <v>67</v>
      </c>
      <c r="AC1827" s="8" t="s">
        <v>54</v>
      </c>
      <c r="AD1827" s="8" t="s">
        <v>54</v>
      </c>
      <c r="AE1827" s="8" t="s">
        <v>54</v>
      </c>
      <c r="AF1827" s="8" t="s">
        <v>54</v>
      </c>
      <c r="AG1827" s="8" t="s">
        <v>54</v>
      </c>
      <c r="AH1827" s="8" t="s">
        <v>54</v>
      </c>
      <c r="AI1827" s="10" t="s">
        <v>67</v>
      </c>
      <c r="AJ1827" s="8">
        <f>COUNTIF($E$1827:$AI$1827,"P")</f>
        <v>21</v>
      </c>
      <c r="AK1827" s="8">
        <f>COUNTIF($E$1827:$AI$1827,"A")</f>
        <v>5</v>
      </c>
      <c r="AL1827" s="8">
        <f>SUM($E$1828:$AI$1828)</f>
        <v>28</v>
      </c>
      <c r="AM1827" s="8">
        <f>SUM($E$1829:$AI$1829)</f>
        <v>73.5</v>
      </c>
      <c r="AN1827" s="8">
        <f>AL1827+AM1827</f>
        <v>101.5</v>
      </c>
      <c r="AO1827" s="8">
        <f>COUNTIF($E$1827:$AI$1827,"CL")</f>
        <v>0</v>
      </c>
      <c r="AP1827" s="8">
        <f>COUNTIF($E$1827:$AI$1827,"SL")</f>
        <v>0</v>
      </c>
      <c r="AQ1827" s="8">
        <f>COUNTIF($E$1827:$AI$1827,"EL")</f>
        <v>0</v>
      </c>
      <c r="AR1827" s="8">
        <f>COUNTIF($E$1827:$AI$1827,"H")</f>
        <v>0</v>
      </c>
      <c r="AS1827" s="8"/>
      <c r="AT1827" s="11" t="s">
        <v>253</v>
      </c>
    </row>
    <row r="1828" spans="1:46" ht="15.1" customHeight="1">
      <c r="A1828" s="8"/>
      <c r="B1828" s="9"/>
      <c r="C1828" s="8"/>
      <c r="D1828" s="9"/>
      <c r="E1828" s="8">
        <v>2</v>
      </c>
      <c r="F1828" s="8">
        <v>0</v>
      </c>
      <c r="G1828" s="8">
        <v>0</v>
      </c>
      <c r="H1828" s="8">
        <v>2</v>
      </c>
      <c r="I1828" s="8">
        <v>0</v>
      </c>
      <c r="J1828" s="8">
        <v>0</v>
      </c>
      <c r="K1828" s="8">
        <v>2</v>
      </c>
      <c r="L1828" s="8">
        <v>2</v>
      </c>
      <c r="M1828" s="8">
        <v>2</v>
      </c>
      <c r="N1828" s="8">
        <v>0</v>
      </c>
      <c r="O1828" s="8">
        <v>2</v>
      </c>
      <c r="P1828" s="8">
        <v>2</v>
      </c>
      <c r="Q1828" s="8">
        <v>2</v>
      </c>
      <c r="R1828" s="8">
        <v>2</v>
      </c>
      <c r="S1828" s="8">
        <v>2</v>
      </c>
      <c r="T1828" s="8">
        <v>2</v>
      </c>
      <c r="U1828" s="8">
        <v>0</v>
      </c>
      <c r="V1828" s="8">
        <v>2</v>
      </c>
      <c r="W1828" s="8">
        <v>0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2</v>
      </c>
      <c r="AD1828" s="8">
        <v>2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11" t="s">
        <v>253</v>
      </c>
    </row>
    <row r="1829" spans="1:46" ht="15.1" customHeight="1">
      <c r="A1829" s="8"/>
      <c r="B1829" s="9"/>
      <c r="C1829" s="8"/>
      <c r="D1829" s="9"/>
      <c r="E1829" s="8">
        <v>3.5</v>
      </c>
      <c r="F1829" s="8">
        <v>0</v>
      </c>
      <c r="G1829" s="8">
        <v>0</v>
      </c>
      <c r="H1829" s="8">
        <v>5</v>
      </c>
      <c r="I1829" s="8">
        <v>0</v>
      </c>
      <c r="J1829" s="8">
        <v>0</v>
      </c>
      <c r="K1829" s="8">
        <v>7</v>
      </c>
      <c r="L1829" s="8">
        <v>7</v>
      </c>
      <c r="M1829" s="8">
        <v>5</v>
      </c>
      <c r="N1829" s="8">
        <v>0</v>
      </c>
      <c r="O1829" s="8">
        <v>7</v>
      </c>
      <c r="P1829" s="8">
        <v>7</v>
      </c>
      <c r="Q1829" s="8">
        <v>5</v>
      </c>
      <c r="R1829" s="8">
        <v>7</v>
      </c>
      <c r="S1829" s="8">
        <v>7</v>
      </c>
      <c r="T1829" s="8">
        <v>3</v>
      </c>
      <c r="U1829" s="8">
        <v>0</v>
      </c>
      <c r="V1829" s="8">
        <v>7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3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11" t="s">
        <v>253</v>
      </c>
    </row>
    <row r="1830" spans="1:46" ht="15.1" customHeight="1">
      <c r="A1830" s="8">
        <v>609</v>
      </c>
      <c r="B1830" s="9" t="s">
        <v>1463</v>
      </c>
      <c r="C1830" s="8" t="s">
        <v>1464</v>
      </c>
      <c r="D1830" s="9" t="s">
        <v>451</v>
      </c>
      <c r="E1830" s="12" t="s">
        <v>55</v>
      </c>
      <c r="F1830" s="12" t="s">
        <v>55</v>
      </c>
      <c r="G1830" s="10" t="s">
        <v>67</v>
      </c>
      <c r="H1830" s="8" t="s">
        <v>54</v>
      </c>
      <c r="I1830" s="8" t="s">
        <v>54</v>
      </c>
      <c r="J1830" s="8" t="s">
        <v>54</v>
      </c>
      <c r="K1830" s="8" t="s">
        <v>54</v>
      </c>
      <c r="L1830" s="8" t="s">
        <v>54</v>
      </c>
      <c r="M1830" s="8" t="s">
        <v>54</v>
      </c>
      <c r="N1830" s="10" t="s">
        <v>67</v>
      </c>
      <c r="O1830" s="12" t="s">
        <v>55</v>
      </c>
      <c r="P1830" s="12" t="s">
        <v>55</v>
      </c>
      <c r="Q1830" s="8" t="s">
        <v>54</v>
      </c>
      <c r="R1830" s="8" t="s">
        <v>54</v>
      </c>
      <c r="S1830" s="8" t="s">
        <v>54</v>
      </c>
      <c r="T1830" s="8" t="s">
        <v>54</v>
      </c>
      <c r="U1830" s="10" t="s">
        <v>67</v>
      </c>
      <c r="V1830" s="8" t="s">
        <v>54</v>
      </c>
      <c r="W1830" s="8" t="s">
        <v>54</v>
      </c>
      <c r="X1830" s="8" t="s">
        <v>54</v>
      </c>
      <c r="Y1830" s="8" t="s">
        <v>54</v>
      </c>
      <c r="Z1830" s="8" t="s">
        <v>54</v>
      </c>
      <c r="AA1830" s="8" t="s">
        <v>54</v>
      </c>
      <c r="AB1830" s="10" t="s">
        <v>67</v>
      </c>
      <c r="AC1830" s="8" t="s">
        <v>54</v>
      </c>
      <c r="AD1830" s="8" t="s">
        <v>54</v>
      </c>
      <c r="AE1830" s="8" t="s">
        <v>54</v>
      </c>
      <c r="AF1830" s="8" t="s">
        <v>54</v>
      </c>
      <c r="AG1830" s="8" t="s">
        <v>54</v>
      </c>
      <c r="AH1830" s="8" t="s">
        <v>54</v>
      </c>
      <c r="AI1830" s="10" t="s">
        <v>67</v>
      </c>
      <c r="AJ1830" s="8">
        <f>COUNTIF($E$1830:$AI$1830,"P")</f>
        <v>22</v>
      </c>
      <c r="AK1830" s="8">
        <f>COUNTIF($E$1830:$AI$1830,"A")</f>
        <v>4</v>
      </c>
      <c r="AL1830" s="8">
        <f>SUM($E$1831:$AI$1831)</f>
        <v>30</v>
      </c>
      <c r="AM1830" s="8">
        <f>SUM($E$1832:$AI$1832)</f>
        <v>118.5</v>
      </c>
      <c r="AN1830" s="8">
        <f>AL1830+AM1830</f>
        <v>148.5</v>
      </c>
      <c r="AO1830" s="8">
        <f>COUNTIF($E$1830:$AI$1830,"CL")</f>
        <v>0</v>
      </c>
      <c r="AP1830" s="8">
        <f>COUNTIF($E$1830:$AI$1830,"SL")</f>
        <v>0</v>
      </c>
      <c r="AQ1830" s="8">
        <f>COUNTIF($E$1830:$AI$1830,"EL")</f>
        <v>0</v>
      </c>
      <c r="AR1830" s="8">
        <f>COUNTIF($E$1830:$AI$1830,"H")</f>
        <v>0</v>
      </c>
      <c r="AS1830" s="8"/>
      <c r="AT1830" s="11" t="s">
        <v>253</v>
      </c>
    </row>
    <row r="1831" spans="1:46" ht="15.1" customHeight="1">
      <c r="A1831" s="8"/>
      <c r="B1831" s="9"/>
      <c r="C1831" s="8"/>
      <c r="D1831" s="9"/>
      <c r="E1831" s="8">
        <v>0</v>
      </c>
      <c r="F1831" s="8">
        <v>0</v>
      </c>
      <c r="G1831" s="8">
        <v>0</v>
      </c>
      <c r="H1831" s="8">
        <v>2</v>
      </c>
      <c r="I1831" s="8">
        <v>2</v>
      </c>
      <c r="J1831" s="8">
        <v>2</v>
      </c>
      <c r="K1831" s="8">
        <v>2</v>
      </c>
      <c r="L1831" s="8">
        <v>2</v>
      </c>
      <c r="M1831" s="8">
        <v>2</v>
      </c>
      <c r="N1831" s="8">
        <v>0</v>
      </c>
      <c r="O1831" s="8">
        <v>0</v>
      </c>
      <c r="P1831" s="8">
        <v>0</v>
      </c>
      <c r="Q1831" s="8">
        <v>2</v>
      </c>
      <c r="R1831" s="8">
        <v>2</v>
      </c>
      <c r="S1831" s="8">
        <v>2</v>
      </c>
      <c r="T1831" s="8">
        <v>2</v>
      </c>
      <c r="U1831" s="8">
        <v>0</v>
      </c>
      <c r="V1831" s="8">
        <v>2</v>
      </c>
      <c r="W1831" s="8">
        <v>2</v>
      </c>
      <c r="X1831" s="8">
        <v>2</v>
      </c>
      <c r="Y1831" s="8">
        <v>0</v>
      </c>
      <c r="Z1831" s="8">
        <v>0</v>
      </c>
      <c r="AA1831" s="8">
        <v>0</v>
      </c>
      <c r="AB1831" s="8">
        <v>0</v>
      </c>
      <c r="AC1831" s="8">
        <v>2</v>
      </c>
      <c r="AD1831" s="8">
        <v>2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11" t="s">
        <v>253</v>
      </c>
    </row>
    <row r="1832" spans="1:46" ht="15.1" customHeight="1">
      <c r="A1832" s="8"/>
      <c r="B1832" s="9"/>
      <c r="C1832" s="8"/>
      <c r="D1832" s="9"/>
      <c r="E1832" s="8">
        <v>0</v>
      </c>
      <c r="F1832" s="8">
        <v>0</v>
      </c>
      <c r="G1832" s="8">
        <v>14</v>
      </c>
      <c r="H1832" s="8">
        <v>5</v>
      </c>
      <c r="I1832" s="8">
        <v>7</v>
      </c>
      <c r="J1832" s="8">
        <v>7</v>
      </c>
      <c r="K1832" s="8">
        <v>7</v>
      </c>
      <c r="L1832" s="8">
        <v>7</v>
      </c>
      <c r="M1832" s="8">
        <v>5</v>
      </c>
      <c r="N1832" s="8">
        <v>16.5</v>
      </c>
      <c r="O1832" s="8">
        <v>0</v>
      </c>
      <c r="P1832" s="8">
        <v>0</v>
      </c>
      <c r="Q1832" s="8">
        <v>5</v>
      </c>
      <c r="R1832" s="8">
        <v>6.5</v>
      </c>
      <c r="S1832" s="8">
        <v>6.5</v>
      </c>
      <c r="T1832" s="8">
        <v>3</v>
      </c>
      <c r="U1832" s="8">
        <v>13</v>
      </c>
      <c r="V1832" s="8">
        <v>6.5</v>
      </c>
      <c r="W1832" s="8">
        <v>6.5</v>
      </c>
      <c r="X1832" s="8">
        <v>0</v>
      </c>
      <c r="Y1832" s="8">
        <v>0</v>
      </c>
      <c r="Z1832" s="8">
        <v>0</v>
      </c>
      <c r="AA1832" s="8">
        <v>0</v>
      </c>
      <c r="AB1832" s="8">
        <v>0</v>
      </c>
      <c r="AC1832" s="8">
        <v>0</v>
      </c>
      <c r="AD1832" s="8">
        <v>3</v>
      </c>
      <c r="AE1832" s="8">
        <v>0</v>
      </c>
      <c r="AF1832" s="8">
        <v>0</v>
      </c>
      <c r="AG1832" s="8">
        <v>0</v>
      </c>
      <c r="AH1832" s="8">
        <v>0</v>
      </c>
      <c r="AI1832" s="8">
        <v>0</v>
      </c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11" t="s">
        <v>253</v>
      </c>
    </row>
    <row r="1833" spans="1:46" ht="15.1" customHeight="1">
      <c r="A1833" s="8">
        <v>610</v>
      </c>
      <c r="B1833" s="9" t="s">
        <v>1465</v>
      </c>
      <c r="C1833" s="8" t="s">
        <v>1466</v>
      </c>
      <c r="D1833" s="9" t="s">
        <v>451</v>
      </c>
      <c r="E1833" s="12" t="s">
        <v>55</v>
      </c>
      <c r="F1833" s="12" t="s">
        <v>55</v>
      </c>
      <c r="G1833" s="10" t="s">
        <v>67</v>
      </c>
      <c r="H1833" s="8" t="s">
        <v>54</v>
      </c>
      <c r="I1833" s="8" t="s">
        <v>54</v>
      </c>
      <c r="J1833" s="8" t="s">
        <v>54</v>
      </c>
      <c r="K1833" s="8" t="s">
        <v>54</v>
      </c>
      <c r="L1833" s="12" t="s">
        <v>55</v>
      </c>
      <c r="M1833" s="12" t="s">
        <v>55</v>
      </c>
      <c r="N1833" s="10" t="s">
        <v>67</v>
      </c>
      <c r="O1833" s="8" t="s">
        <v>54</v>
      </c>
      <c r="P1833" s="8" t="s">
        <v>54</v>
      </c>
      <c r="Q1833" s="8" t="s">
        <v>54</v>
      </c>
      <c r="R1833" s="8" t="s">
        <v>54</v>
      </c>
      <c r="S1833" s="8" t="s">
        <v>54</v>
      </c>
      <c r="T1833" s="8" t="s">
        <v>54</v>
      </c>
      <c r="U1833" s="10" t="s">
        <v>67</v>
      </c>
      <c r="V1833" s="12" t="s">
        <v>55</v>
      </c>
      <c r="W1833" s="12" t="s">
        <v>55</v>
      </c>
      <c r="X1833" s="8" t="s">
        <v>54</v>
      </c>
      <c r="Y1833" s="8" t="s">
        <v>54</v>
      </c>
      <c r="Z1833" s="8" t="s">
        <v>54</v>
      </c>
      <c r="AA1833" s="8" t="s">
        <v>54</v>
      </c>
      <c r="AB1833" s="10" t="s">
        <v>67</v>
      </c>
      <c r="AC1833" s="12" t="s">
        <v>55</v>
      </c>
      <c r="AD1833" s="8" t="s">
        <v>54</v>
      </c>
      <c r="AE1833" s="8" t="s">
        <v>54</v>
      </c>
      <c r="AF1833" s="8" t="s">
        <v>54</v>
      </c>
      <c r="AG1833" s="8" t="s">
        <v>54</v>
      </c>
      <c r="AH1833" s="8" t="s">
        <v>54</v>
      </c>
      <c r="AI1833" s="10" t="s">
        <v>67</v>
      </c>
      <c r="AJ1833" s="8">
        <f>COUNTIF($E$1833:$AI$1833,"P")</f>
        <v>19</v>
      </c>
      <c r="AK1833" s="8">
        <f>COUNTIF($E$1833:$AI$1833,"A")</f>
        <v>7</v>
      </c>
      <c r="AL1833" s="8">
        <f>SUM($E$1834:$AI$1834)</f>
        <v>24</v>
      </c>
      <c r="AM1833" s="8">
        <f>SUM($E$1835:$AI$1835)</f>
        <v>62.5</v>
      </c>
      <c r="AN1833" s="8">
        <f>AL1833+AM1833</f>
        <v>86.5</v>
      </c>
      <c r="AO1833" s="8">
        <f>COUNTIF($E$1833:$AI$1833,"CL")</f>
        <v>0</v>
      </c>
      <c r="AP1833" s="8">
        <f>COUNTIF($E$1833:$AI$1833,"SL")</f>
        <v>0</v>
      </c>
      <c r="AQ1833" s="8">
        <f>COUNTIF($E$1833:$AI$1833,"EL")</f>
        <v>0</v>
      </c>
      <c r="AR1833" s="8">
        <f>COUNTIF($E$1833:$AI$1833,"H")</f>
        <v>0</v>
      </c>
      <c r="AS1833" s="8"/>
      <c r="AT1833" s="11" t="s">
        <v>253</v>
      </c>
    </row>
    <row r="1834" spans="1:46" ht="15.1" customHeight="1">
      <c r="A1834" s="8"/>
      <c r="B1834" s="9"/>
      <c r="C1834" s="8"/>
      <c r="D1834" s="9"/>
      <c r="E1834" s="8">
        <v>0</v>
      </c>
      <c r="F1834" s="8">
        <v>0</v>
      </c>
      <c r="G1834" s="8">
        <v>0</v>
      </c>
      <c r="H1834" s="8">
        <v>2</v>
      </c>
      <c r="I1834" s="8">
        <v>2</v>
      </c>
      <c r="J1834" s="8">
        <v>2</v>
      </c>
      <c r="K1834" s="8">
        <v>2</v>
      </c>
      <c r="L1834" s="8">
        <v>0</v>
      </c>
      <c r="M1834" s="8">
        <v>0</v>
      </c>
      <c r="N1834" s="8">
        <v>0</v>
      </c>
      <c r="O1834" s="8">
        <v>2</v>
      </c>
      <c r="P1834" s="8">
        <v>2</v>
      </c>
      <c r="Q1834" s="8">
        <v>2</v>
      </c>
      <c r="R1834" s="8">
        <v>2</v>
      </c>
      <c r="S1834" s="8">
        <v>2</v>
      </c>
      <c r="T1834" s="8">
        <v>2</v>
      </c>
      <c r="U1834" s="8">
        <v>0</v>
      </c>
      <c r="V1834" s="8">
        <v>0</v>
      </c>
      <c r="W1834" s="8">
        <v>0</v>
      </c>
      <c r="X1834" s="8">
        <v>2</v>
      </c>
      <c r="Y1834" s="8">
        <v>0</v>
      </c>
      <c r="Z1834" s="8">
        <v>0</v>
      </c>
      <c r="AA1834" s="8">
        <v>0</v>
      </c>
      <c r="AB1834" s="8">
        <v>0</v>
      </c>
      <c r="AC1834" s="8">
        <v>0</v>
      </c>
      <c r="AD1834" s="8">
        <v>2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11" t="s">
        <v>253</v>
      </c>
    </row>
    <row r="1835" spans="1:46" ht="15.1" customHeight="1">
      <c r="A1835" s="8"/>
      <c r="B1835" s="9"/>
      <c r="C1835" s="8"/>
      <c r="D1835" s="9"/>
      <c r="E1835" s="8">
        <v>0</v>
      </c>
      <c r="F1835" s="8">
        <v>0</v>
      </c>
      <c r="G1835" s="8">
        <v>0</v>
      </c>
      <c r="H1835" s="8">
        <v>5</v>
      </c>
      <c r="I1835" s="8">
        <v>7</v>
      </c>
      <c r="J1835" s="8">
        <v>7</v>
      </c>
      <c r="K1835" s="8">
        <v>6.5</v>
      </c>
      <c r="L1835" s="8">
        <v>0</v>
      </c>
      <c r="M1835" s="8">
        <v>0</v>
      </c>
      <c r="N1835" s="8">
        <v>0</v>
      </c>
      <c r="O1835" s="8">
        <v>7</v>
      </c>
      <c r="P1835" s="8">
        <v>7</v>
      </c>
      <c r="Q1835" s="8">
        <v>4.5</v>
      </c>
      <c r="R1835" s="8">
        <v>6.5</v>
      </c>
      <c r="S1835" s="8">
        <v>6.5</v>
      </c>
      <c r="T1835" s="8">
        <v>2.5</v>
      </c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3</v>
      </c>
      <c r="AE1835" s="8">
        <v>0</v>
      </c>
      <c r="AF1835" s="8">
        <v>0</v>
      </c>
      <c r="AG1835" s="8">
        <v>0</v>
      </c>
      <c r="AH1835" s="8">
        <v>0</v>
      </c>
      <c r="AI1835" s="8">
        <v>0</v>
      </c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11" t="s">
        <v>253</v>
      </c>
    </row>
    <row r="1836" spans="1:46" ht="15.1" customHeight="1">
      <c r="A1836" s="8">
        <v>611</v>
      </c>
      <c r="B1836" s="9" t="s">
        <v>1467</v>
      </c>
      <c r="C1836" s="8" t="s">
        <v>1468</v>
      </c>
      <c r="D1836" s="9" t="s">
        <v>451</v>
      </c>
      <c r="E1836" s="8" t="s">
        <v>54</v>
      </c>
      <c r="F1836" s="8" t="s">
        <v>54</v>
      </c>
      <c r="G1836" s="10" t="s">
        <v>67</v>
      </c>
      <c r="H1836" s="8" t="s">
        <v>54</v>
      </c>
      <c r="I1836" s="8" t="s">
        <v>54</v>
      </c>
      <c r="J1836" s="8" t="s">
        <v>54</v>
      </c>
      <c r="K1836" s="8" t="s">
        <v>54</v>
      </c>
      <c r="L1836" s="8" t="s">
        <v>54</v>
      </c>
      <c r="M1836" s="8" t="s">
        <v>54</v>
      </c>
      <c r="N1836" s="10" t="s">
        <v>67</v>
      </c>
      <c r="O1836" s="8" t="s">
        <v>54</v>
      </c>
      <c r="P1836" s="8" t="s">
        <v>54</v>
      </c>
      <c r="Q1836" s="8" t="s">
        <v>54</v>
      </c>
      <c r="R1836" s="8" t="s">
        <v>54</v>
      </c>
      <c r="S1836" s="8" t="s">
        <v>54</v>
      </c>
      <c r="T1836" s="8" t="s">
        <v>54</v>
      </c>
      <c r="U1836" s="10" t="s">
        <v>67</v>
      </c>
      <c r="V1836" s="8" t="s">
        <v>54</v>
      </c>
      <c r="W1836" s="8" t="s">
        <v>54</v>
      </c>
      <c r="X1836" s="8" t="s">
        <v>54</v>
      </c>
      <c r="Y1836" s="8" t="s">
        <v>54</v>
      </c>
      <c r="Z1836" s="8" t="s">
        <v>54</v>
      </c>
      <c r="AA1836" s="8" t="s">
        <v>54</v>
      </c>
      <c r="AB1836" s="10" t="s">
        <v>67</v>
      </c>
      <c r="AC1836" s="8" t="s">
        <v>54</v>
      </c>
      <c r="AD1836" s="8" t="s">
        <v>54</v>
      </c>
      <c r="AE1836" s="8" t="s">
        <v>54</v>
      </c>
      <c r="AF1836" s="8" t="s">
        <v>54</v>
      </c>
      <c r="AG1836" s="8" t="s">
        <v>54</v>
      </c>
      <c r="AH1836" s="8" t="s">
        <v>54</v>
      </c>
      <c r="AI1836" s="10" t="s">
        <v>67</v>
      </c>
      <c r="AJ1836" s="8">
        <f>COUNTIF($E$1836:$AI$1836,"P")</f>
        <v>26</v>
      </c>
      <c r="AK1836" s="8">
        <f>COUNTIF($E$1836:$AI$1836,"A")</f>
        <v>0</v>
      </c>
      <c r="AL1836" s="8">
        <f>SUM($E$1837:$AI$1837)</f>
        <v>38</v>
      </c>
      <c r="AM1836" s="8">
        <f>SUM($E$1838:$AI$1838)</f>
        <v>141</v>
      </c>
      <c r="AN1836" s="8">
        <f>AL1836+AM1836</f>
        <v>179</v>
      </c>
      <c r="AO1836" s="8">
        <f>COUNTIF($E$1836:$AI$1836,"CL")</f>
        <v>0</v>
      </c>
      <c r="AP1836" s="8">
        <f>COUNTIF($E$1836:$AI$1836,"SL")</f>
        <v>0</v>
      </c>
      <c r="AQ1836" s="8">
        <f>COUNTIF($E$1836:$AI$1836,"EL")</f>
        <v>0</v>
      </c>
      <c r="AR1836" s="8">
        <f>COUNTIF($E$1836:$AI$1836,"H")</f>
        <v>0</v>
      </c>
      <c r="AS1836" s="8"/>
      <c r="AT1836" s="11" t="s">
        <v>253</v>
      </c>
    </row>
    <row r="1837" spans="1:46" ht="15.1" customHeight="1">
      <c r="A1837" s="8"/>
      <c r="B1837" s="9"/>
      <c r="C1837" s="8"/>
      <c r="D1837" s="9"/>
      <c r="E1837" s="8">
        <v>2</v>
      </c>
      <c r="F1837" s="8">
        <v>2</v>
      </c>
      <c r="G1837" s="8">
        <v>0</v>
      </c>
      <c r="H1837" s="8">
        <v>2</v>
      </c>
      <c r="I1837" s="8">
        <v>2</v>
      </c>
      <c r="J1837" s="8">
        <v>2</v>
      </c>
      <c r="K1837" s="8">
        <v>2</v>
      </c>
      <c r="L1837" s="8">
        <v>2</v>
      </c>
      <c r="M1837" s="8">
        <v>2</v>
      </c>
      <c r="N1837" s="8">
        <v>0</v>
      </c>
      <c r="O1837" s="8">
        <v>2</v>
      </c>
      <c r="P1837" s="8">
        <v>2</v>
      </c>
      <c r="Q1837" s="8">
        <v>2</v>
      </c>
      <c r="R1837" s="8">
        <v>2</v>
      </c>
      <c r="S1837" s="8">
        <v>2</v>
      </c>
      <c r="T1837" s="8">
        <v>2</v>
      </c>
      <c r="U1837" s="8">
        <v>0</v>
      </c>
      <c r="V1837" s="8">
        <v>2</v>
      </c>
      <c r="W1837" s="8">
        <v>2</v>
      </c>
      <c r="X1837" s="8">
        <v>2</v>
      </c>
      <c r="Y1837" s="8">
        <v>0</v>
      </c>
      <c r="Z1837" s="8">
        <v>0</v>
      </c>
      <c r="AA1837" s="8">
        <v>0</v>
      </c>
      <c r="AB1837" s="8">
        <v>0</v>
      </c>
      <c r="AC1837" s="8">
        <v>2</v>
      </c>
      <c r="AD1837" s="8">
        <v>2</v>
      </c>
      <c r="AE1837" s="8">
        <v>0</v>
      </c>
      <c r="AF1837" s="8">
        <v>0</v>
      </c>
      <c r="AG1837" s="8">
        <v>0</v>
      </c>
      <c r="AH1837" s="8">
        <v>0</v>
      </c>
      <c r="AI1837" s="8">
        <v>0</v>
      </c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11" t="s">
        <v>253</v>
      </c>
    </row>
    <row r="1838" spans="1:46" ht="15.1" customHeight="1">
      <c r="A1838" s="8"/>
      <c r="B1838" s="9"/>
      <c r="C1838" s="8"/>
      <c r="D1838" s="9"/>
      <c r="E1838" s="8">
        <v>4</v>
      </c>
      <c r="F1838" s="8">
        <v>3</v>
      </c>
      <c r="G1838" s="8">
        <v>14</v>
      </c>
      <c r="H1838" s="8">
        <v>5</v>
      </c>
      <c r="I1838" s="8">
        <v>7</v>
      </c>
      <c r="J1838" s="8">
        <v>7</v>
      </c>
      <c r="K1838" s="8">
        <v>7</v>
      </c>
      <c r="L1838" s="8">
        <v>7</v>
      </c>
      <c r="M1838" s="8">
        <v>5</v>
      </c>
      <c r="N1838" s="8">
        <v>16</v>
      </c>
      <c r="O1838" s="8">
        <v>7</v>
      </c>
      <c r="P1838" s="8">
        <v>7</v>
      </c>
      <c r="Q1838" s="8">
        <v>5</v>
      </c>
      <c r="R1838" s="8">
        <v>7</v>
      </c>
      <c r="S1838" s="8">
        <v>7</v>
      </c>
      <c r="T1838" s="8">
        <v>3</v>
      </c>
      <c r="U1838" s="8">
        <v>13</v>
      </c>
      <c r="V1838" s="8">
        <v>7</v>
      </c>
      <c r="W1838" s="8">
        <v>7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3</v>
      </c>
      <c r="AE1838" s="8">
        <v>0</v>
      </c>
      <c r="AF1838" s="8">
        <v>0</v>
      </c>
      <c r="AG1838" s="8">
        <v>0</v>
      </c>
      <c r="AH1838" s="8">
        <v>0</v>
      </c>
      <c r="AI1838" s="8">
        <v>0</v>
      </c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11" t="s">
        <v>253</v>
      </c>
    </row>
    <row r="1839" spans="1:46" ht="15.1" customHeight="1">
      <c r="A1839" s="8">
        <v>612</v>
      </c>
      <c r="B1839" s="9" t="s">
        <v>1469</v>
      </c>
      <c r="C1839" s="8" t="s">
        <v>1470</v>
      </c>
      <c r="D1839" s="9" t="s">
        <v>451</v>
      </c>
      <c r="E1839" s="8" t="s">
        <v>54</v>
      </c>
      <c r="F1839" s="8" t="s">
        <v>54</v>
      </c>
      <c r="G1839" s="10" t="s">
        <v>67</v>
      </c>
      <c r="H1839" s="8" t="s">
        <v>54</v>
      </c>
      <c r="I1839" s="8" t="s">
        <v>54</v>
      </c>
      <c r="J1839" s="8" t="s">
        <v>54</v>
      </c>
      <c r="K1839" s="8" t="s">
        <v>54</v>
      </c>
      <c r="L1839" s="8" t="s">
        <v>54</v>
      </c>
      <c r="M1839" s="8" t="s">
        <v>54</v>
      </c>
      <c r="N1839" s="10" t="s">
        <v>67</v>
      </c>
      <c r="O1839" s="8" t="s">
        <v>54</v>
      </c>
      <c r="P1839" s="8" t="s">
        <v>54</v>
      </c>
      <c r="Q1839" s="8" t="s">
        <v>54</v>
      </c>
      <c r="R1839" s="8" t="s">
        <v>54</v>
      </c>
      <c r="S1839" s="8" t="s">
        <v>54</v>
      </c>
      <c r="T1839" s="8" t="s">
        <v>54</v>
      </c>
      <c r="U1839" s="10" t="s">
        <v>67</v>
      </c>
      <c r="V1839" s="8" t="s">
        <v>54</v>
      </c>
      <c r="W1839" s="8" t="s">
        <v>54</v>
      </c>
      <c r="X1839" s="8" t="s">
        <v>54</v>
      </c>
      <c r="Y1839" s="8" t="s">
        <v>54</v>
      </c>
      <c r="Z1839" s="8" t="s">
        <v>54</v>
      </c>
      <c r="AA1839" s="8" t="s">
        <v>54</v>
      </c>
      <c r="AB1839" s="10" t="s">
        <v>67</v>
      </c>
      <c r="AC1839" s="8" t="s">
        <v>54</v>
      </c>
      <c r="AD1839" s="8" t="s">
        <v>54</v>
      </c>
      <c r="AE1839" s="8" t="s">
        <v>54</v>
      </c>
      <c r="AF1839" s="8" t="s">
        <v>54</v>
      </c>
      <c r="AG1839" s="8" t="s">
        <v>54</v>
      </c>
      <c r="AH1839" s="8" t="s">
        <v>54</v>
      </c>
      <c r="AI1839" s="10" t="s">
        <v>67</v>
      </c>
      <c r="AJ1839" s="8">
        <f>COUNTIF($E$1839:$AI$1839,"P")</f>
        <v>26</v>
      </c>
      <c r="AK1839" s="8">
        <f>COUNTIF($E$1839:$AI$1839,"A")</f>
        <v>0</v>
      </c>
      <c r="AL1839" s="8">
        <f>SUM($E$1840:$AI$1840)</f>
        <v>38</v>
      </c>
      <c r="AM1839" s="8">
        <f>SUM($E$1841:$AI$1841)</f>
        <v>146</v>
      </c>
      <c r="AN1839" s="8">
        <f>AL1839+AM1839</f>
        <v>184</v>
      </c>
      <c r="AO1839" s="8">
        <f>COUNTIF($E$1839:$AI$1839,"CL")</f>
        <v>0</v>
      </c>
      <c r="AP1839" s="8">
        <f>COUNTIF($E$1839:$AI$1839,"SL")</f>
        <v>0</v>
      </c>
      <c r="AQ1839" s="8">
        <f>COUNTIF($E$1839:$AI$1839,"EL")</f>
        <v>0</v>
      </c>
      <c r="AR1839" s="8">
        <f>COUNTIF($E$1839:$AI$1839,"H")</f>
        <v>0</v>
      </c>
      <c r="AS1839" s="8"/>
      <c r="AT1839" s="11" t="s">
        <v>253</v>
      </c>
    </row>
    <row r="1840" spans="1:46" ht="15.1" customHeight="1">
      <c r="A1840" s="8"/>
      <c r="B1840" s="9"/>
      <c r="C1840" s="8"/>
      <c r="D1840" s="9"/>
      <c r="E1840" s="8">
        <v>2</v>
      </c>
      <c r="F1840" s="8">
        <v>2</v>
      </c>
      <c r="G1840" s="8">
        <v>0</v>
      </c>
      <c r="H1840" s="8">
        <v>2</v>
      </c>
      <c r="I1840" s="8">
        <v>2</v>
      </c>
      <c r="J1840" s="8">
        <v>2</v>
      </c>
      <c r="K1840" s="8">
        <v>2</v>
      </c>
      <c r="L1840" s="8">
        <v>2</v>
      </c>
      <c r="M1840" s="8">
        <v>2</v>
      </c>
      <c r="N1840" s="8">
        <v>0</v>
      </c>
      <c r="O1840" s="8">
        <v>2</v>
      </c>
      <c r="P1840" s="8">
        <v>2</v>
      </c>
      <c r="Q1840" s="8">
        <v>2</v>
      </c>
      <c r="R1840" s="8">
        <v>2</v>
      </c>
      <c r="S1840" s="8">
        <v>2</v>
      </c>
      <c r="T1840" s="8">
        <v>2</v>
      </c>
      <c r="U1840" s="8">
        <v>0</v>
      </c>
      <c r="V1840" s="8">
        <v>2</v>
      </c>
      <c r="W1840" s="8">
        <v>2</v>
      </c>
      <c r="X1840" s="8">
        <v>2</v>
      </c>
      <c r="Y1840" s="8">
        <v>0</v>
      </c>
      <c r="Z1840" s="8">
        <v>0</v>
      </c>
      <c r="AA1840" s="8">
        <v>0</v>
      </c>
      <c r="AB1840" s="8">
        <v>0</v>
      </c>
      <c r="AC1840" s="8">
        <v>2</v>
      </c>
      <c r="AD1840" s="8">
        <v>2</v>
      </c>
      <c r="AE1840" s="8">
        <v>0</v>
      </c>
      <c r="AF1840" s="8">
        <v>0</v>
      </c>
      <c r="AG1840" s="8">
        <v>0</v>
      </c>
      <c r="AH1840" s="8">
        <v>0</v>
      </c>
      <c r="AI1840" s="8">
        <v>0</v>
      </c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11" t="s">
        <v>253</v>
      </c>
    </row>
    <row r="1841" spans="1:46" ht="15.1" customHeight="1">
      <c r="A1841" s="8"/>
      <c r="B1841" s="9"/>
      <c r="C1841" s="8"/>
      <c r="D1841" s="9"/>
      <c r="E1841" s="8">
        <v>4</v>
      </c>
      <c r="F1841" s="8">
        <v>3</v>
      </c>
      <c r="G1841" s="8">
        <v>13.5</v>
      </c>
      <c r="H1841" s="8">
        <v>5</v>
      </c>
      <c r="I1841" s="8">
        <v>7</v>
      </c>
      <c r="J1841" s="8">
        <v>7</v>
      </c>
      <c r="K1841" s="8">
        <v>7</v>
      </c>
      <c r="L1841" s="8">
        <v>7</v>
      </c>
      <c r="M1841" s="8">
        <v>4.5</v>
      </c>
      <c r="N1841" s="8">
        <v>16.5</v>
      </c>
      <c r="O1841" s="8">
        <v>7</v>
      </c>
      <c r="P1841" s="8">
        <v>7</v>
      </c>
      <c r="Q1841" s="8">
        <v>5</v>
      </c>
      <c r="R1841" s="8">
        <v>7</v>
      </c>
      <c r="S1841" s="8">
        <v>7</v>
      </c>
      <c r="T1841" s="8">
        <v>5</v>
      </c>
      <c r="U1841" s="8">
        <v>12.5</v>
      </c>
      <c r="V1841" s="8">
        <v>7</v>
      </c>
      <c r="W1841" s="8">
        <v>7</v>
      </c>
      <c r="X1841" s="8">
        <v>4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3</v>
      </c>
      <c r="AE1841" s="8">
        <v>0</v>
      </c>
      <c r="AF1841" s="8">
        <v>0</v>
      </c>
      <c r="AG1841" s="8">
        <v>0</v>
      </c>
      <c r="AH1841" s="8">
        <v>0</v>
      </c>
      <c r="AI1841" s="8">
        <v>0</v>
      </c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11" t="s">
        <v>253</v>
      </c>
    </row>
    <row r="1842" spans="1:46" ht="15.1" customHeight="1">
      <c r="A1842" s="8">
        <v>613</v>
      </c>
      <c r="B1842" s="9" t="s">
        <v>1471</v>
      </c>
      <c r="C1842" s="8" t="s">
        <v>1472</v>
      </c>
      <c r="D1842" s="9" t="s">
        <v>451</v>
      </c>
      <c r="E1842" s="8" t="s">
        <v>54</v>
      </c>
      <c r="F1842" s="8" t="s">
        <v>54</v>
      </c>
      <c r="G1842" s="10" t="s">
        <v>67</v>
      </c>
      <c r="H1842" s="8" t="s">
        <v>54</v>
      </c>
      <c r="I1842" s="8" t="s">
        <v>54</v>
      </c>
      <c r="J1842" s="8" t="s">
        <v>54</v>
      </c>
      <c r="K1842" s="8" t="s">
        <v>54</v>
      </c>
      <c r="L1842" s="8" t="s">
        <v>54</v>
      </c>
      <c r="M1842" s="8" t="s">
        <v>54</v>
      </c>
      <c r="N1842" s="10" t="s">
        <v>67</v>
      </c>
      <c r="O1842" s="8" t="s">
        <v>54</v>
      </c>
      <c r="P1842" s="8" t="s">
        <v>54</v>
      </c>
      <c r="Q1842" s="8" t="s">
        <v>54</v>
      </c>
      <c r="R1842" s="12" t="s">
        <v>55</v>
      </c>
      <c r="S1842" s="8" t="s">
        <v>54</v>
      </c>
      <c r="T1842" s="8" t="s">
        <v>54</v>
      </c>
      <c r="U1842" s="10" t="s">
        <v>67</v>
      </c>
      <c r="V1842" s="8" t="s">
        <v>54</v>
      </c>
      <c r="W1842" s="8" t="s">
        <v>54</v>
      </c>
      <c r="X1842" s="8" t="s">
        <v>54</v>
      </c>
      <c r="Y1842" s="8" t="s">
        <v>54</v>
      </c>
      <c r="Z1842" s="8" t="s">
        <v>54</v>
      </c>
      <c r="AA1842" s="8" t="s">
        <v>54</v>
      </c>
      <c r="AB1842" s="10" t="s">
        <v>67</v>
      </c>
      <c r="AC1842" s="8" t="s">
        <v>54</v>
      </c>
      <c r="AD1842" s="8" t="s">
        <v>54</v>
      </c>
      <c r="AE1842" s="8" t="s">
        <v>54</v>
      </c>
      <c r="AF1842" s="8" t="s">
        <v>54</v>
      </c>
      <c r="AG1842" s="8" t="s">
        <v>54</v>
      </c>
      <c r="AH1842" s="8" t="s">
        <v>54</v>
      </c>
      <c r="AI1842" s="10" t="s">
        <v>67</v>
      </c>
      <c r="AJ1842" s="8">
        <f>COUNTIF($E$1842:$AI$1842,"P")</f>
        <v>25</v>
      </c>
      <c r="AK1842" s="8">
        <f>COUNTIF($E$1842:$AI$1842,"A")</f>
        <v>1</v>
      </c>
      <c r="AL1842" s="8">
        <f>SUM($E$1843:$AI$1843)</f>
        <v>36</v>
      </c>
      <c r="AM1842" s="8">
        <f>SUM($E$1844:$AI$1844)</f>
        <v>136.5</v>
      </c>
      <c r="AN1842" s="8">
        <f>AL1842+AM1842</f>
        <v>172.5</v>
      </c>
      <c r="AO1842" s="8">
        <f>COUNTIF($E$1842:$AI$1842,"CL")</f>
        <v>0</v>
      </c>
      <c r="AP1842" s="8">
        <f>COUNTIF($E$1842:$AI$1842,"SL")</f>
        <v>0</v>
      </c>
      <c r="AQ1842" s="8">
        <f>COUNTIF($E$1842:$AI$1842,"EL")</f>
        <v>0</v>
      </c>
      <c r="AR1842" s="8">
        <f>COUNTIF($E$1842:$AI$1842,"H")</f>
        <v>0</v>
      </c>
      <c r="AS1842" s="8"/>
      <c r="AT1842" s="11" t="s">
        <v>253</v>
      </c>
    </row>
    <row r="1843" spans="1:46" ht="15.1" customHeight="1">
      <c r="A1843" s="8"/>
      <c r="B1843" s="9"/>
      <c r="C1843" s="8"/>
      <c r="D1843" s="9"/>
      <c r="E1843" s="8">
        <v>2</v>
      </c>
      <c r="F1843" s="8">
        <v>2</v>
      </c>
      <c r="G1843" s="8">
        <v>0</v>
      </c>
      <c r="H1843" s="8">
        <v>2</v>
      </c>
      <c r="I1843" s="8">
        <v>2</v>
      </c>
      <c r="J1843" s="8">
        <v>2</v>
      </c>
      <c r="K1843" s="8">
        <v>2</v>
      </c>
      <c r="L1843" s="8">
        <v>2</v>
      </c>
      <c r="M1843" s="8">
        <v>2</v>
      </c>
      <c r="N1843" s="8">
        <v>0</v>
      </c>
      <c r="O1843" s="8">
        <v>2</v>
      </c>
      <c r="P1843" s="8">
        <v>2</v>
      </c>
      <c r="Q1843" s="8">
        <v>2</v>
      </c>
      <c r="R1843" s="8">
        <v>0</v>
      </c>
      <c r="S1843" s="8">
        <v>2</v>
      </c>
      <c r="T1843" s="8">
        <v>2</v>
      </c>
      <c r="U1843" s="8">
        <v>0</v>
      </c>
      <c r="V1843" s="8">
        <v>2</v>
      </c>
      <c r="W1843" s="8">
        <v>2</v>
      </c>
      <c r="X1843" s="8">
        <v>2</v>
      </c>
      <c r="Y1843" s="8">
        <v>0</v>
      </c>
      <c r="Z1843" s="8">
        <v>0</v>
      </c>
      <c r="AA1843" s="8">
        <v>0</v>
      </c>
      <c r="AB1843" s="8">
        <v>0</v>
      </c>
      <c r="AC1843" s="8">
        <v>2</v>
      </c>
      <c r="AD1843" s="8">
        <v>2</v>
      </c>
      <c r="AE1843" s="8">
        <v>0</v>
      </c>
      <c r="AF1843" s="8">
        <v>0</v>
      </c>
      <c r="AG1843" s="8">
        <v>0</v>
      </c>
      <c r="AH1843" s="8">
        <v>0</v>
      </c>
      <c r="AI1843" s="8">
        <v>0</v>
      </c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11" t="s">
        <v>253</v>
      </c>
    </row>
    <row r="1844" spans="1:46" ht="15.1" customHeight="1">
      <c r="A1844" s="8"/>
      <c r="B1844" s="9"/>
      <c r="C1844" s="8"/>
      <c r="D1844" s="9"/>
      <c r="E1844" s="8">
        <v>4</v>
      </c>
      <c r="F1844" s="8">
        <v>3</v>
      </c>
      <c r="G1844" s="8">
        <v>14</v>
      </c>
      <c r="H1844" s="8">
        <v>5</v>
      </c>
      <c r="I1844" s="8">
        <v>7</v>
      </c>
      <c r="J1844" s="8">
        <v>7</v>
      </c>
      <c r="K1844" s="8">
        <v>7</v>
      </c>
      <c r="L1844" s="8">
        <v>7</v>
      </c>
      <c r="M1844" s="8">
        <v>5</v>
      </c>
      <c r="N1844" s="8">
        <v>17</v>
      </c>
      <c r="O1844" s="8">
        <v>7</v>
      </c>
      <c r="P1844" s="8">
        <v>7</v>
      </c>
      <c r="Q1844" s="8">
        <v>5</v>
      </c>
      <c r="R1844" s="8">
        <v>0</v>
      </c>
      <c r="S1844" s="8">
        <v>7</v>
      </c>
      <c r="T1844" s="8">
        <v>4.5</v>
      </c>
      <c r="U1844" s="8">
        <v>13</v>
      </c>
      <c r="V1844" s="8">
        <v>7</v>
      </c>
      <c r="W1844" s="8">
        <v>7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3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11" t="s">
        <v>253</v>
      </c>
    </row>
    <row r="1845" spans="1:46" ht="15.1" customHeight="1">
      <c r="A1845" s="8">
        <v>614</v>
      </c>
      <c r="B1845" s="9" t="s">
        <v>1473</v>
      </c>
      <c r="C1845" s="8" t="s">
        <v>1474</v>
      </c>
      <c r="D1845" s="9" t="s">
        <v>451</v>
      </c>
      <c r="E1845" s="8" t="s">
        <v>54</v>
      </c>
      <c r="F1845" s="8" t="s">
        <v>54</v>
      </c>
      <c r="G1845" s="10" t="s">
        <v>67</v>
      </c>
      <c r="H1845" s="8" t="s">
        <v>54</v>
      </c>
      <c r="I1845" s="8" t="s">
        <v>54</v>
      </c>
      <c r="J1845" s="8" t="s">
        <v>54</v>
      </c>
      <c r="K1845" s="8" t="s">
        <v>54</v>
      </c>
      <c r="L1845" s="8" t="s">
        <v>54</v>
      </c>
      <c r="M1845" s="8" t="s">
        <v>54</v>
      </c>
      <c r="N1845" s="10" t="s">
        <v>67</v>
      </c>
      <c r="O1845" s="12" t="s">
        <v>55</v>
      </c>
      <c r="P1845" s="12" t="s">
        <v>55</v>
      </c>
      <c r="Q1845" s="8" t="s">
        <v>54</v>
      </c>
      <c r="R1845" s="8" t="s">
        <v>54</v>
      </c>
      <c r="S1845" s="8" t="s">
        <v>54</v>
      </c>
      <c r="T1845" s="8" t="s">
        <v>54</v>
      </c>
      <c r="U1845" s="10" t="s">
        <v>67</v>
      </c>
      <c r="V1845" s="8" t="s">
        <v>54</v>
      </c>
      <c r="W1845" s="8" t="s">
        <v>54</v>
      </c>
      <c r="X1845" s="8" t="s">
        <v>54</v>
      </c>
      <c r="Y1845" s="8" t="s">
        <v>54</v>
      </c>
      <c r="Z1845" s="8" t="s">
        <v>54</v>
      </c>
      <c r="AA1845" s="8" t="s">
        <v>54</v>
      </c>
      <c r="AB1845" s="10" t="s">
        <v>67</v>
      </c>
      <c r="AC1845" s="8" t="s">
        <v>54</v>
      </c>
      <c r="AD1845" s="8" t="s">
        <v>54</v>
      </c>
      <c r="AE1845" s="8" t="s">
        <v>54</v>
      </c>
      <c r="AF1845" s="8" t="s">
        <v>54</v>
      </c>
      <c r="AG1845" s="8" t="s">
        <v>54</v>
      </c>
      <c r="AH1845" s="8" t="s">
        <v>54</v>
      </c>
      <c r="AI1845" s="10" t="s">
        <v>67</v>
      </c>
      <c r="AJ1845" s="8">
        <f>COUNTIF($E$1845:$AI$1845,"P")</f>
        <v>24</v>
      </c>
      <c r="AK1845" s="8">
        <f>COUNTIF($E$1845:$AI$1845,"A")</f>
        <v>2</v>
      </c>
      <c r="AL1845" s="8">
        <f>SUM($E$1846:$AI$1846)</f>
        <v>0</v>
      </c>
      <c r="AM1845" s="8">
        <f>SUM($E$1847:$AI$1847)</f>
        <v>0</v>
      </c>
      <c r="AN1845" s="8">
        <f>AL1845+AM1845</f>
        <v>0</v>
      </c>
      <c r="AO1845" s="8">
        <f>COUNTIF($E$1845:$AI$1845,"CL")</f>
        <v>0</v>
      </c>
      <c r="AP1845" s="8">
        <f>COUNTIF($E$1845:$AI$1845,"SL")</f>
        <v>0</v>
      </c>
      <c r="AQ1845" s="8">
        <f>COUNTIF($E$1845:$AI$1845,"EL")</f>
        <v>0</v>
      </c>
      <c r="AR1845" s="8">
        <f>COUNTIF($E$1845:$AI$1845,"H")</f>
        <v>0</v>
      </c>
      <c r="AS1845" s="8"/>
      <c r="AT1845" s="11" t="s">
        <v>253</v>
      </c>
    </row>
    <row r="1846" spans="1:46" ht="15.1" customHeight="1">
      <c r="A1846" s="8"/>
      <c r="B1846" s="9"/>
      <c r="C1846" s="8"/>
      <c r="D1846" s="9"/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8">
        <v>0</v>
      </c>
      <c r="AH1846" s="8">
        <v>0</v>
      </c>
      <c r="AI1846" s="8">
        <v>0</v>
      </c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11" t="s">
        <v>253</v>
      </c>
    </row>
    <row r="1847" spans="1:46" ht="15.1" customHeight="1">
      <c r="A1847" s="8"/>
      <c r="B1847" s="9"/>
      <c r="C1847" s="8"/>
      <c r="D1847" s="9"/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  <c r="AH1847" s="8">
        <v>0</v>
      </c>
      <c r="AI1847" s="8">
        <v>0</v>
      </c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11" t="s">
        <v>253</v>
      </c>
    </row>
    <row r="1848" spans="1:46" ht="15.1" customHeight="1">
      <c r="A1848" s="8">
        <v>615</v>
      </c>
      <c r="B1848" s="9" t="s">
        <v>1475</v>
      </c>
      <c r="C1848" s="8" t="s">
        <v>1476</v>
      </c>
      <c r="D1848" s="9" t="s">
        <v>451</v>
      </c>
      <c r="E1848" s="8" t="s">
        <v>54</v>
      </c>
      <c r="F1848" s="8" t="s">
        <v>54</v>
      </c>
      <c r="G1848" s="10" t="s">
        <v>67</v>
      </c>
      <c r="H1848" s="8" t="s">
        <v>54</v>
      </c>
      <c r="I1848" s="8" t="s">
        <v>54</v>
      </c>
      <c r="J1848" s="8" t="s">
        <v>54</v>
      </c>
      <c r="K1848" s="8" t="s">
        <v>54</v>
      </c>
      <c r="L1848" s="12" t="s">
        <v>55</v>
      </c>
      <c r="M1848" s="12" t="s">
        <v>55</v>
      </c>
      <c r="N1848" s="10" t="s">
        <v>67</v>
      </c>
      <c r="O1848" s="12" t="s">
        <v>55</v>
      </c>
      <c r="P1848" s="12" t="s">
        <v>55</v>
      </c>
      <c r="Q1848" s="12" t="s">
        <v>55</v>
      </c>
      <c r="R1848" s="12" t="s">
        <v>55</v>
      </c>
      <c r="S1848" s="8" t="s">
        <v>54</v>
      </c>
      <c r="T1848" s="8" t="s">
        <v>54</v>
      </c>
      <c r="U1848" s="10" t="s">
        <v>67</v>
      </c>
      <c r="V1848" s="8" t="s">
        <v>54</v>
      </c>
      <c r="W1848" s="8" t="s">
        <v>54</v>
      </c>
      <c r="X1848" s="8" t="s">
        <v>54</v>
      </c>
      <c r="Y1848" s="8" t="s">
        <v>54</v>
      </c>
      <c r="Z1848" s="8" t="s">
        <v>54</v>
      </c>
      <c r="AA1848" s="8" t="s">
        <v>54</v>
      </c>
      <c r="AB1848" s="10" t="s">
        <v>67</v>
      </c>
      <c r="AC1848" s="8" t="s">
        <v>54</v>
      </c>
      <c r="AD1848" s="12" t="s">
        <v>55</v>
      </c>
      <c r="AE1848" s="8" t="s">
        <v>54</v>
      </c>
      <c r="AF1848" s="8" t="s">
        <v>54</v>
      </c>
      <c r="AG1848" s="8" t="s">
        <v>54</v>
      </c>
      <c r="AH1848" s="12" t="s">
        <v>55</v>
      </c>
      <c r="AI1848" s="10" t="s">
        <v>67</v>
      </c>
      <c r="AJ1848" s="8">
        <f>COUNTIF($E$1848:$AI$1848,"P")</f>
        <v>18</v>
      </c>
      <c r="AK1848" s="8">
        <f>COUNTIF($E$1848:$AI$1848,"A")</f>
        <v>8</v>
      </c>
      <c r="AL1848" s="8">
        <f>SUM($E$1849:$AI$1849)</f>
        <v>24</v>
      </c>
      <c r="AM1848" s="8">
        <f>SUM($E$1850:$AI$1850)</f>
        <v>54</v>
      </c>
      <c r="AN1848" s="8">
        <f>AL1848+AM1848</f>
        <v>78</v>
      </c>
      <c r="AO1848" s="8">
        <f>COUNTIF($E$1848:$AI$1848,"CL")</f>
        <v>0</v>
      </c>
      <c r="AP1848" s="8">
        <f>COUNTIF($E$1848:$AI$1848,"SL")</f>
        <v>0</v>
      </c>
      <c r="AQ1848" s="8">
        <f>COUNTIF($E$1848:$AI$1848,"EL")</f>
        <v>0</v>
      </c>
      <c r="AR1848" s="8">
        <f>COUNTIF($E$1848:$AI$1848,"H")</f>
        <v>0</v>
      </c>
      <c r="AS1848" s="8"/>
      <c r="AT1848" s="11" t="s">
        <v>253</v>
      </c>
    </row>
    <row r="1849" spans="1:46" ht="15.1" customHeight="1">
      <c r="A1849" s="8"/>
      <c r="B1849" s="9"/>
      <c r="C1849" s="8"/>
      <c r="D1849" s="9"/>
      <c r="E1849" s="8">
        <v>2</v>
      </c>
      <c r="F1849" s="8">
        <v>2</v>
      </c>
      <c r="G1849" s="8">
        <v>0</v>
      </c>
      <c r="H1849" s="8">
        <v>2</v>
      </c>
      <c r="I1849" s="8">
        <v>2</v>
      </c>
      <c r="J1849" s="8">
        <v>2</v>
      </c>
      <c r="K1849" s="8">
        <v>2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2</v>
      </c>
      <c r="T1849" s="8">
        <v>2</v>
      </c>
      <c r="U1849" s="8">
        <v>0</v>
      </c>
      <c r="V1849" s="8">
        <v>2</v>
      </c>
      <c r="W1849" s="8">
        <v>2</v>
      </c>
      <c r="X1849" s="8">
        <v>2</v>
      </c>
      <c r="Y1849" s="8">
        <v>0</v>
      </c>
      <c r="Z1849" s="8">
        <v>0</v>
      </c>
      <c r="AA1849" s="8">
        <v>0</v>
      </c>
      <c r="AB1849" s="8">
        <v>0</v>
      </c>
      <c r="AC1849" s="8">
        <v>2</v>
      </c>
      <c r="AD1849" s="8">
        <v>0</v>
      </c>
      <c r="AE1849" s="8">
        <v>0</v>
      </c>
      <c r="AF1849" s="8">
        <v>0</v>
      </c>
      <c r="AG1849" s="8">
        <v>0</v>
      </c>
      <c r="AH1849" s="8">
        <v>0</v>
      </c>
      <c r="AI1849" s="8">
        <v>0</v>
      </c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11" t="s">
        <v>253</v>
      </c>
    </row>
    <row r="1850" spans="1:46" ht="15.1" customHeight="1">
      <c r="A1850" s="8"/>
      <c r="B1850" s="9"/>
      <c r="C1850" s="8"/>
      <c r="D1850" s="9"/>
      <c r="E1850" s="8">
        <v>3</v>
      </c>
      <c r="F1850" s="8">
        <v>3</v>
      </c>
      <c r="G1850" s="8">
        <v>12.5</v>
      </c>
      <c r="H1850" s="8">
        <v>3</v>
      </c>
      <c r="I1850" s="8">
        <v>3</v>
      </c>
      <c r="J1850" s="8">
        <v>2.5</v>
      </c>
      <c r="K1850" s="8">
        <v>2.5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3</v>
      </c>
      <c r="T1850" s="8">
        <v>3</v>
      </c>
      <c r="U1850" s="8">
        <v>12.5</v>
      </c>
      <c r="V1850" s="8">
        <v>3</v>
      </c>
      <c r="W1850" s="8">
        <v>3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11" t="s">
        <v>253</v>
      </c>
    </row>
    <row r="1851" spans="1:46" ht="15.1" customHeight="1">
      <c r="A1851" s="8">
        <v>616</v>
      </c>
      <c r="B1851" s="9" t="s">
        <v>1477</v>
      </c>
      <c r="C1851" s="8" t="s">
        <v>1478</v>
      </c>
      <c r="D1851" s="9" t="s">
        <v>451</v>
      </c>
      <c r="E1851" s="8" t="s">
        <v>54</v>
      </c>
      <c r="F1851" s="8" t="s">
        <v>54</v>
      </c>
      <c r="G1851" s="10" t="s">
        <v>67</v>
      </c>
      <c r="H1851" s="8" t="s">
        <v>54</v>
      </c>
      <c r="I1851" s="8" t="s">
        <v>54</v>
      </c>
      <c r="J1851" s="8" t="s">
        <v>54</v>
      </c>
      <c r="K1851" s="8" t="s">
        <v>54</v>
      </c>
      <c r="L1851" s="8" t="s">
        <v>54</v>
      </c>
      <c r="M1851" s="8" t="s">
        <v>54</v>
      </c>
      <c r="N1851" s="10" t="s">
        <v>67</v>
      </c>
      <c r="O1851" s="8" t="s">
        <v>54</v>
      </c>
      <c r="P1851" s="8" t="s">
        <v>54</v>
      </c>
      <c r="Q1851" s="8" t="s">
        <v>54</v>
      </c>
      <c r="R1851" s="8" t="s">
        <v>54</v>
      </c>
      <c r="S1851" s="8" t="s">
        <v>54</v>
      </c>
      <c r="T1851" s="8" t="s">
        <v>54</v>
      </c>
      <c r="U1851" s="10" t="s">
        <v>67</v>
      </c>
      <c r="V1851" s="8" t="s">
        <v>54</v>
      </c>
      <c r="W1851" s="8" t="s">
        <v>54</v>
      </c>
      <c r="X1851" s="8" t="s">
        <v>54</v>
      </c>
      <c r="Y1851" s="8" t="s">
        <v>54</v>
      </c>
      <c r="Z1851" s="8" t="s">
        <v>54</v>
      </c>
      <c r="AA1851" s="8" t="s">
        <v>54</v>
      </c>
      <c r="AB1851" s="10" t="s">
        <v>67</v>
      </c>
      <c r="AC1851" s="8" t="s">
        <v>54</v>
      </c>
      <c r="AD1851" s="8" t="s">
        <v>54</v>
      </c>
      <c r="AE1851" s="8" t="s">
        <v>54</v>
      </c>
      <c r="AF1851" s="8" t="s">
        <v>54</v>
      </c>
      <c r="AG1851" s="8" t="s">
        <v>54</v>
      </c>
      <c r="AH1851" s="8" t="s">
        <v>54</v>
      </c>
      <c r="AI1851" s="10" t="s">
        <v>67</v>
      </c>
      <c r="AJ1851" s="8">
        <f>COUNTIF($E$1851:$AI$1851,"P")</f>
        <v>26</v>
      </c>
      <c r="AK1851" s="8">
        <f>COUNTIF($E$1851:$AI$1851,"A")</f>
        <v>0</v>
      </c>
      <c r="AL1851" s="8">
        <f>SUM($E$1852:$AI$1852)</f>
        <v>38</v>
      </c>
      <c r="AM1851" s="8">
        <f>SUM($E$1853:$AI$1853)</f>
        <v>142</v>
      </c>
      <c r="AN1851" s="8">
        <f>AL1851+AM1851</f>
        <v>180</v>
      </c>
      <c r="AO1851" s="8">
        <f>COUNTIF($E$1851:$AI$1851,"CL")</f>
        <v>0</v>
      </c>
      <c r="AP1851" s="8">
        <f>COUNTIF($E$1851:$AI$1851,"SL")</f>
        <v>0</v>
      </c>
      <c r="AQ1851" s="8">
        <f>COUNTIF($E$1851:$AI$1851,"EL")</f>
        <v>0</v>
      </c>
      <c r="AR1851" s="8">
        <f>COUNTIF($E$1851:$AI$1851,"H")</f>
        <v>0</v>
      </c>
      <c r="AS1851" s="8"/>
      <c r="AT1851" s="11" t="s">
        <v>253</v>
      </c>
    </row>
    <row r="1852" spans="1:46" ht="15.1" customHeight="1">
      <c r="A1852" s="8"/>
      <c r="B1852" s="9"/>
      <c r="C1852" s="8"/>
      <c r="D1852" s="9"/>
      <c r="E1852" s="8">
        <v>2</v>
      </c>
      <c r="F1852" s="8">
        <v>2</v>
      </c>
      <c r="G1852" s="8">
        <v>0</v>
      </c>
      <c r="H1852" s="8">
        <v>2</v>
      </c>
      <c r="I1852" s="8">
        <v>2</v>
      </c>
      <c r="J1852" s="8">
        <v>2</v>
      </c>
      <c r="K1852" s="8">
        <v>2</v>
      </c>
      <c r="L1852" s="8">
        <v>2</v>
      </c>
      <c r="M1852" s="8">
        <v>2</v>
      </c>
      <c r="N1852" s="8">
        <v>0</v>
      </c>
      <c r="O1852" s="8">
        <v>2</v>
      </c>
      <c r="P1852" s="8">
        <v>2</v>
      </c>
      <c r="Q1852" s="8">
        <v>2</v>
      </c>
      <c r="R1852" s="8">
        <v>2</v>
      </c>
      <c r="S1852" s="8">
        <v>2</v>
      </c>
      <c r="T1852" s="8">
        <v>2</v>
      </c>
      <c r="U1852" s="8">
        <v>0</v>
      </c>
      <c r="V1852" s="8">
        <v>2</v>
      </c>
      <c r="W1852" s="8">
        <v>2</v>
      </c>
      <c r="X1852" s="8">
        <v>2</v>
      </c>
      <c r="Y1852" s="8">
        <v>0</v>
      </c>
      <c r="Z1852" s="8">
        <v>0</v>
      </c>
      <c r="AA1852" s="8">
        <v>0</v>
      </c>
      <c r="AB1852" s="8">
        <v>0</v>
      </c>
      <c r="AC1852" s="8">
        <v>2</v>
      </c>
      <c r="AD1852" s="8">
        <v>2</v>
      </c>
      <c r="AE1852" s="8">
        <v>0</v>
      </c>
      <c r="AF1852" s="8">
        <v>0</v>
      </c>
      <c r="AG1852" s="8">
        <v>0</v>
      </c>
      <c r="AH1852" s="8">
        <v>0</v>
      </c>
      <c r="AI1852" s="8">
        <v>0</v>
      </c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11" t="s">
        <v>253</v>
      </c>
    </row>
    <row r="1853" spans="1:46" ht="15.1" customHeight="1">
      <c r="A1853" s="8"/>
      <c r="B1853" s="9"/>
      <c r="C1853" s="8"/>
      <c r="D1853" s="9"/>
      <c r="E1853" s="8">
        <v>3.5</v>
      </c>
      <c r="F1853" s="8">
        <v>3</v>
      </c>
      <c r="G1853" s="8">
        <v>14</v>
      </c>
      <c r="H1853" s="8">
        <v>5</v>
      </c>
      <c r="I1853" s="8">
        <v>7</v>
      </c>
      <c r="J1853" s="8">
        <v>7</v>
      </c>
      <c r="K1853" s="8">
        <v>7</v>
      </c>
      <c r="L1853" s="8">
        <v>7</v>
      </c>
      <c r="M1853" s="8">
        <v>5</v>
      </c>
      <c r="N1853" s="8">
        <v>16.5</v>
      </c>
      <c r="O1853" s="8">
        <v>7</v>
      </c>
      <c r="P1853" s="8">
        <v>6.5</v>
      </c>
      <c r="Q1853" s="8">
        <v>4.5</v>
      </c>
      <c r="R1853" s="8">
        <v>6.5</v>
      </c>
      <c r="S1853" s="8">
        <v>7</v>
      </c>
      <c r="T1853" s="8">
        <v>2.5</v>
      </c>
      <c r="U1853" s="8">
        <v>12.5</v>
      </c>
      <c r="V1853" s="8">
        <v>6.5</v>
      </c>
      <c r="W1853" s="8">
        <v>7</v>
      </c>
      <c r="X1853" s="8">
        <v>4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3</v>
      </c>
      <c r="AE1853" s="8">
        <v>0</v>
      </c>
      <c r="AF1853" s="8">
        <v>0</v>
      </c>
      <c r="AG1853" s="8">
        <v>0</v>
      </c>
      <c r="AH1853" s="8">
        <v>0</v>
      </c>
      <c r="AI1853" s="8">
        <v>0</v>
      </c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11" t="s">
        <v>253</v>
      </c>
    </row>
    <row r="1854" spans="1:46" ht="15.1" customHeight="1">
      <c r="A1854" s="8">
        <v>617</v>
      </c>
      <c r="B1854" s="9" t="s">
        <v>1479</v>
      </c>
      <c r="C1854" s="8" t="s">
        <v>1480</v>
      </c>
      <c r="D1854" s="9" t="s">
        <v>451</v>
      </c>
      <c r="E1854" s="8" t="s">
        <v>54</v>
      </c>
      <c r="F1854" s="8" t="s">
        <v>54</v>
      </c>
      <c r="G1854" s="10" t="s">
        <v>67</v>
      </c>
      <c r="H1854" s="8" t="s">
        <v>54</v>
      </c>
      <c r="I1854" s="8" t="s">
        <v>54</v>
      </c>
      <c r="J1854" s="8" t="s">
        <v>54</v>
      </c>
      <c r="K1854" s="8" t="s">
        <v>54</v>
      </c>
      <c r="L1854" s="12" t="s">
        <v>55</v>
      </c>
      <c r="M1854" s="12" t="s">
        <v>55</v>
      </c>
      <c r="N1854" s="10" t="s">
        <v>67</v>
      </c>
      <c r="O1854" s="8" t="s">
        <v>54</v>
      </c>
      <c r="P1854" s="8" t="s">
        <v>54</v>
      </c>
      <c r="Q1854" s="8" t="s">
        <v>54</v>
      </c>
      <c r="R1854" s="8" t="s">
        <v>54</v>
      </c>
      <c r="S1854" s="8" t="s">
        <v>54</v>
      </c>
      <c r="T1854" s="8" t="s">
        <v>54</v>
      </c>
      <c r="U1854" s="10" t="s">
        <v>67</v>
      </c>
      <c r="V1854" s="12" t="s">
        <v>55</v>
      </c>
      <c r="W1854" s="8" t="s">
        <v>54</v>
      </c>
      <c r="X1854" s="8" t="s">
        <v>54</v>
      </c>
      <c r="Y1854" s="8" t="s">
        <v>54</v>
      </c>
      <c r="Z1854" s="8" t="s">
        <v>54</v>
      </c>
      <c r="AA1854" s="8" t="s">
        <v>54</v>
      </c>
      <c r="AB1854" s="10" t="s">
        <v>67</v>
      </c>
      <c r="AC1854" s="8" t="s">
        <v>54</v>
      </c>
      <c r="AD1854" s="8" t="s">
        <v>54</v>
      </c>
      <c r="AE1854" s="8" t="s">
        <v>54</v>
      </c>
      <c r="AF1854" s="8" t="s">
        <v>54</v>
      </c>
      <c r="AG1854" s="8" t="s">
        <v>54</v>
      </c>
      <c r="AH1854" s="8" t="s">
        <v>54</v>
      </c>
      <c r="AI1854" s="10" t="s">
        <v>67</v>
      </c>
      <c r="AJ1854" s="8">
        <f>COUNTIF($E$1854:$AI$1854,"P")</f>
        <v>23</v>
      </c>
      <c r="AK1854" s="8">
        <f>COUNTIF($E$1854:$AI$1854,"A")</f>
        <v>3</v>
      </c>
      <c r="AL1854" s="8">
        <f>SUM($E$1855:$AI$1855)</f>
        <v>30</v>
      </c>
      <c r="AM1854" s="8">
        <f>SUM($E$1856:$AI$1856)</f>
        <v>113</v>
      </c>
      <c r="AN1854" s="8">
        <f>AL1854+AM1854</f>
        <v>143</v>
      </c>
      <c r="AO1854" s="8">
        <f>COUNTIF($E$1854:$AI$1854,"CL")</f>
        <v>0</v>
      </c>
      <c r="AP1854" s="8">
        <f>COUNTIF($E$1854:$AI$1854,"SL")</f>
        <v>0</v>
      </c>
      <c r="AQ1854" s="8">
        <f>COUNTIF($E$1854:$AI$1854,"EL")</f>
        <v>0</v>
      </c>
      <c r="AR1854" s="8">
        <f>COUNTIF($E$1854:$AI$1854,"H")</f>
        <v>0</v>
      </c>
      <c r="AS1854" s="8"/>
      <c r="AT1854" s="11" t="s">
        <v>253</v>
      </c>
    </row>
    <row r="1855" spans="1:46" ht="15.1" customHeight="1">
      <c r="A1855" s="8"/>
      <c r="B1855" s="9"/>
      <c r="C1855" s="8"/>
      <c r="D1855" s="9"/>
      <c r="E1855" s="8">
        <v>2</v>
      </c>
      <c r="F1855" s="8">
        <v>2</v>
      </c>
      <c r="G1855" s="8">
        <v>0</v>
      </c>
      <c r="H1855" s="8">
        <v>2</v>
      </c>
      <c r="I1855" s="8">
        <v>0</v>
      </c>
      <c r="J1855" s="8">
        <v>2</v>
      </c>
      <c r="K1855" s="8">
        <v>2</v>
      </c>
      <c r="L1855" s="8">
        <v>0</v>
      </c>
      <c r="M1855" s="8">
        <v>0</v>
      </c>
      <c r="N1855" s="8">
        <v>0</v>
      </c>
      <c r="O1855" s="8">
        <v>2</v>
      </c>
      <c r="P1855" s="8">
        <v>2</v>
      </c>
      <c r="Q1855" s="8">
        <v>2</v>
      </c>
      <c r="R1855" s="8">
        <v>2</v>
      </c>
      <c r="S1855" s="8">
        <v>2</v>
      </c>
      <c r="T1855" s="8">
        <v>2</v>
      </c>
      <c r="U1855" s="8">
        <v>0</v>
      </c>
      <c r="V1855" s="8">
        <v>0</v>
      </c>
      <c r="W1855" s="8">
        <v>2</v>
      </c>
      <c r="X1855" s="8">
        <v>2</v>
      </c>
      <c r="Y1855" s="8">
        <v>0</v>
      </c>
      <c r="Z1855" s="8">
        <v>0</v>
      </c>
      <c r="AA1855" s="8">
        <v>0</v>
      </c>
      <c r="AB1855" s="8">
        <v>0</v>
      </c>
      <c r="AC1855" s="8">
        <v>2</v>
      </c>
      <c r="AD1855" s="8">
        <v>2</v>
      </c>
      <c r="AE1855" s="8">
        <v>0</v>
      </c>
      <c r="AF1855" s="8">
        <v>0</v>
      </c>
      <c r="AG1855" s="8">
        <v>0</v>
      </c>
      <c r="AH1855" s="8">
        <v>0</v>
      </c>
      <c r="AI1855" s="8">
        <v>0</v>
      </c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11" t="s">
        <v>253</v>
      </c>
    </row>
    <row r="1856" spans="1:46" ht="15.1" customHeight="1">
      <c r="A1856" s="8"/>
      <c r="B1856" s="9"/>
      <c r="C1856" s="8"/>
      <c r="D1856" s="9"/>
      <c r="E1856" s="8">
        <v>4</v>
      </c>
      <c r="F1856" s="8">
        <v>3</v>
      </c>
      <c r="G1856" s="8">
        <v>13.5</v>
      </c>
      <c r="H1856" s="8">
        <v>5</v>
      </c>
      <c r="I1856" s="8">
        <v>0</v>
      </c>
      <c r="J1856" s="8">
        <v>7</v>
      </c>
      <c r="K1856" s="8">
        <v>7</v>
      </c>
      <c r="L1856" s="8">
        <v>0</v>
      </c>
      <c r="M1856" s="8">
        <v>0</v>
      </c>
      <c r="N1856" s="8">
        <v>16.5</v>
      </c>
      <c r="O1856" s="8">
        <v>7</v>
      </c>
      <c r="P1856" s="8">
        <v>6.5</v>
      </c>
      <c r="Q1856" s="8">
        <v>5</v>
      </c>
      <c r="R1856" s="8">
        <v>7</v>
      </c>
      <c r="S1856" s="8">
        <v>7</v>
      </c>
      <c r="T1856" s="8">
        <v>2.5</v>
      </c>
      <c r="U1856" s="8">
        <v>12</v>
      </c>
      <c r="V1856" s="8">
        <v>0</v>
      </c>
      <c r="W1856" s="8">
        <v>7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3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11" t="s">
        <v>253</v>
      </c>
    </row>
    <row r="1857" spans="1:46" ht="15.1" customHeight="1">
      <c r="A1857" s="8">
        <v>618</v>
      </c>
      <c r="B1857" s="9" t="s">
        <v>1481</v>
      </c>
      <c r="C1857" s="8" t="s">
        <v>1482</v>
      </c>
      <c r="D1857" s="9" t="s">
        <v>451</v>
      </c>
      <c r="E1857" s="8" t="s">
        <v>54</v>
      </c>
      <c r="F1857" s="8" t="s">
        <v>54</v>
      </c>
      <c r="G1857" s="10" t="s">
        <v>67</v>
      </c>
      <c r="H1857" s="8" t="s">
        <v>54</v>
      </c>
      <c r="I1857" s="8" t="s">
        <v>54</v>
      </c>
      <c r="J1857" s="8" t="s">
        <v>54</v>
      </c>
      <c r="K1857" s="8" t="s">
        <v>54</v>
      </c>
      <c r="L1857" s="8" t="s">
        <v>54</v>
      </c>
      <c r="M1857" s="8" t="s">
        <v>54</v>
      </c>
      <c r="N1857" s="10" t="s">
        <v>67</v>
      </c>
      <c r="O1857" s="8" t="s">
        <v>54</v>
      </c>
      <c r="P1857" s="12" t="s">
        <v>55</v>
      </c>
      <c r="Q1857" s="8" t="s">
        <v>54</v>
      </c>
      <c r="R1857" s="8" t="s">
        <v>54</v>
      </c>
      <c r="S1857" s="8" t="s">
        <v>54</v>
      </c>
      <c r="T1857" s="8" t="s">
        <v>54</v>
      </c>
      <c r="U1857" s="10" t="s">
        <v>67</v>
      </c>
      <c r="V1857" s="12" t="s">
        <v>55</v>
      </c>
      <c r="W1857" s="12" t="s">
        <v>55</v>
      </c>
      <c r="X1857" s="8" t="s">
        <v>54</v>
      </c>
      <c r="Y1857" s="8" t="s">
        <v>54</v>
      </c>
      <c r="Z1857" s="8" t="s">
        <v>54</v>
      </c>
      <c r="AA1857" s="8" t="s">
        <v>54</v>
      </c>
      <c r="AB1857" s="10" t="s">
        <v>67</v>
      </c>
      <c r="AC1857" s="8" t="s">
        <v>54</v>
      </c>
      <c r="AD1857" s="8" t="s">
        <v>54</v>
      </c>
      <c r="AE1857" s="8" t="s">
        <v>54</v>
      </c>
      <c r="AF1857" s="8" t="s">
        <v>54</v>
      </c>
      <c r="AG1857" s="8" t="s">
        <v>54</v>
      </c>
      <c r="AH1857" s="8" t="s">
        <v>54</v>
      </c>
      <c r="AI1857" s="10" t="s">
        <v>67</v>
      </c>
      <c r="AJ1857" s="8">
        <f>COUNTIF($E$1857:$AI$1857,"P")</f>
        <v>23</v>
      </c>
      <c r="AK1857" s="8">
        <f>COUNTIF($E$1857:$AI$1857,"A")</f>
        <v>3</v>
      </c>
      <c r="AL1857" s="8">
        <f>SUM($E$1858:$AI$1858)</f>
        <v>30</v>
      </c>
      <c r="AM1857" s="8">
        <f>SUM($E$1859:$AI$1859)</f>
        <v>106.5</v>
      </c>
      <c r="AN1857" s="8">
        <f>AL1857+AM1857</f>
        <v>136.5</v>
      </c>
      <c r="AO1857" s="8">
        <f>COUNTIF($E$1857:$AI$1857,"CL")</f>
        <v>0</v>
      </c>
      <c r="AP1857" s="8">
        <f>COUNTIF($E$1857:$AI$1857,"SL")</f>
        <v>0</v>
      </c>
      <c r="AQ1857" s="8">
        <f>COUNTIF($E$1857:$AI$1857,"EL")</f>
        <v>0</v>
      </c>
      <c r="AR1857" s="8">
        <f>COUNTIF($E$1857:$AI$1857,"H")</f>
        <v>0</v>
      </c>
      <c r="AS1857" s="8"/>
      <c r="AT1857" s="11" t="s">
        <v>253</v>
      </c>
    </row>
    <row r="1858" spans="1:46" ht="15.1" customHeight="1">
      <c r="A1858" s="8"/>
      <c r="B1858" s="9"/>
      <c r="C1858" s="8"/>
      <c r="D1858" s="9"/>
      <c r="E1858" s="8">
        <v>2</v>
      </c>
      <c r="F1858" s="8">
        <v>2</v>
      </c>
      <c r="G1858" s="8">
        <v>0</v>
      </c>
      <c r="H1858" s="8">
        <v>2</v>
      </c>
      <c r="I1858" s="8">
        <v>2</v>
      </c>
      <c r="J1858" s="8">
        <v>0</v>
      </c>
      <c r="K1858" s="8">
        <v>2</v>
      </c>
      <c r="L1858" s="8">
        <v>2</v>
      </c>
      <c r="M1858" s="8">
        <v>2</v>
      </c>
      <c r="N1858" s="8">
        <v>0</v>
      </c>
      <c r="O1858" s="8">
        <v>2</v>
      </c>
      <c r="P1858" s="8">
        <v>0</v>
      </c>
      <c r="Q1858" s="8">
        <v>2</v>
      </c>
      <c r="R1858" s="8">
        <v>2</v>
      </c>
      <c r="S1858" s="8">
        <v>2</v>
      </c>
      <c r="T1858" s="8">
        <v>2</v>
      </c>
      <c r="U1858" s="8">
        <v>0</v>
      </c>
      <c r="V1858" s="8">
        <v>0</v>
      </c>
      <c r="W1858" s="8">
        <v>0</v>
      </c>
      <c r="X1858" s="8">
        <v>2</v>
      </c>
      <c r="Y1858" s="8">
        <v>0</v>
      </c>
      <c r="Z1858" s="8">
        <v>0</v>
      </c>
      <c r="AA1858" s="8">
        <v>0</v>
      </c>
      <c r="AB1858" s="8">
        <v>0</v>
      </c>
      <c r="AC1858" s="8">
        <v>2</v>
      </c>
      <c r="AD1858" s="8">
        <v>2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11" t="s">
        <v>253</v>
      </c>
    </row>
    <row r="1859" spans="1:46" ht="15.1" customHeight="1">
      <c r="A1859" s="8"/>
      <c r="B1859" s="9"/>
      <c r="C1859" s="8"/>
      <c r="D1859" s="9"/>
      <c r="E1859" s="8">
        <v>3.5</v>
      </c>
      <c r="F1859" s="8">
        <v>3</v>
      </c>
      <c r="G1859" s="8">
        <v>13.5</v>
      </c>
      <c r="H1859" s="8">
        <v>5</v>
      </c>
      <c r="I1859" s="8">
        <v>7</v>
      </c>
      <c r="J1859" s="8">
        <v>0</v>
      </c>
      <c r="K1859" s="8">
        <v>7</v>
      </c>
      <c r="L1859" s="8">
        <v>7</v>
      </c>
      <c r="M1859" s="8">
        <v>5</v>
      </c>
      <c r="N1859" s="8">
        <v>16.5</v>
      </c>
      <c r="O1859" s="8">
        <v>6.5</v>
      </c>
      <c r="P1859" s="8">
        <v>0</v>
      </c>
      <c r="Q1859" s="8">
        <v>0</v>
      </c>
      <c r="R1859" s="8">
        <v>7</v>
      </c>
      <c r="S1859" s="8">
        <v>7</v>
      </c>
      <c r="T1859" s="8">
        <v>3</v>
      </c>
      <c r="U1859" s="8">
        <v>12.5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3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11" t="s">
        <v>253</v>
      </c>
    </row>
    <row r="1860" spans="1:46" ht="15.1" customHeight="1">
      <c r="A1860" s="8">
        <v>619</v>
      </c>
      <c r="B1860" s="9" t="s">
        <v>1483</v>
      </c>
      <c r="C1860" s="8" t="s">
        <v>1484</v>
      </c>
      <c r="D1860" s="9" t="s">
        <v>451</v>
      </c>
      <c r="E1860" s="12" t="s">
        <v>55</v>
      </c>
      <c r="F1860" s="12" t="s">
        <v>55</v>
      </c>
      <c r="G1860" s="10" t="s">
        <v>67</v>
      </c>
      <c r="H1860" s="8" t="s">
        <v>54</v>
      </c>
      <c r="I1860" s="8" t="s">
        <v>54</v>
      </c>
      <c r="J1860" s="8" t="s">
        <v>54</v>
      </c>
      <c r="K1860" s="8" t="s">
        <v>54</v>
      </c>
      <c r="L1860" s="8" t="s">
        <v>54</v>
      </c>
      <c r="M1860" s="8" t="s">
        <v>54</v>
      </c>
      <c r="N1860" s="10" t="s">
        <v>67</v>
      </c>
      <c r="O1860" s="8" t="s">
        <v>54</v>
      </c>
      <c r="P1860" s="8" t="s">
        <v>54</v>
      </c>
      <c r="Q1860" s="8" t="s">
        <v>54</v>
      </c>
      <c r="R1860" s="8" t="s">
        <v>54</v>
      </c>
      <c r="S1860" s="8" t="s">
        <v>54</v>
      </c>
      <c r="T1860" s="8" t="s">
        <v>54</v>
      </c>
      <c r="U1860" s="10" t="s">
        <v>67</v>
      </c>
      <c r="V1860" s="8" t="s">
        <v>54</v>
      </c>
      <c r="W1860" s="8" t="s">
        <v>54</v>
      </c>
      <c r="X1860" s="8" t="s">
        <v>54</v>
      </c>
      <c r="Y1860" s="8" t="s">
        <v>54</v>
      </c>
      <c r="Z1860" s="8" t="s">
        <v>54</v>
      </c>
      <c r="AA1860" s="8" t="s">
        <v>54</v>
      </c>
      <c r="AB1860" s="10" t="s">
        <v>67</v>
      </c>
      <c r="AC1860" s="8" t="s">
        <v>54</v>
      </c>
      <c r="AD1860" s="8" t="s">
        <v>54</v>
      </c>
      <c r="AE1860" s="12" t="s">
        <v>55</v>
      </c>
      <c r="AF1860" s="8" t="s">
        <v>54</v>
      </c>
      <c r="AG1860" s="8" t="s">
        <v>54</v>
      </c>
      <c r="AH1860" s="8" t="s">
        <v>54</v>
      </c>
      <c r="AI1860" s="10" t="s">
        <v>67</v>
      </c>
      <c r="AJ1860" s="8">
        <f>COUNTIF($E$1860:$AI$1860,"P")</f>
        <v>23</v>
      </c>
      <c r="AK1860" s="8">
        <f>COUNTIF($E$1860:$AI$1860,"A")</f>
        <v>3</v>
      </c>
      <c r="AL1860" s="8">
        <f>SUM($E$1861:$AI$1861)</f>
        <v>32</v>
      </c>
      <c r="AM1860" s="8">
        <f>SUM($E$1862:$AI$1862)</f>
        <v>122.5</v>
      </c>
      <c r="AN1860" s="8">
        <f>AL1860+AM1860</f>
        <v>154.5</v>
      </c>
      <c r="AO1860" s="8">
        <f>COUNTIF($E$1860:$AI$1860,"CL")</f>
        <v>0</v>
      </c>
      <c r="AP1860" s="8">
        <f>COUNTIF($E$1860:$AI$1860,"SL")</f>
        <v>0</v>
      </c>
      <c r="AQ1860" s="8">
        <f>COUNTIF($E$1860:$AI$1860,"EL")</f>
        <v>0</v>
      </c>
      <c r="AR1860" s="8">
        <f>COUNTIF($E$1860:$AI$1860,"H")</f>
        <v>0</v>
      </c>
      <c r="AS1860" s="8"/>
      <c r="AT1860" s="11" t="s">
        <v>253</v>
      </c>
    </row>
    <row r="1861" spans="1:46" ht="15.1" customHeight="1">
      <c r="A1861" s="8"/>
      <c r="B1861" s="9"/>
      <c r="C1861" s="8"/>
      <c r="D1861" s="9"/>
      <c r="E1861" s="8">
        <v>0</v>
      </c>
      <c r="F1861" s="8">
        <v>0</v>
      </c>
      <c r="G1861" s="8">
        <v>0</v>
      </c>
      <c r="H1861" s="8">
        <v>2</v>
      </c>
      <c r="I1861" s="8">
        <v>2</v>
      </c>
      <c r="J1861" s="8">
        <v>2</v>
      </c>
      <c r="K1861" s="8">
        <v>2</v>
      </c>
      <c r="L1861" s="8">
        <v>2</v>
      </c>
      <c r="M1861" s="8">
        <v>2</v>
      </c>
      <c r="N1861" s="8">
        <v>0</v>
      </c>
      <c r="O1861" s="8">
        <v>2</v>
      </c>
      <c r="P1861" s="8">
        <v>2</v>
      </c>
      <c r="Q1861" s="8">
        <v>2</v>
      </c>
      <c r="R1861" s="8">
        <v>2</v>
      </c>
      <c r="S1861" s="8">
        <v>2</v>
      </c>
      <c r="T1861" s="8">
        <v>2</v>
      </c>
      <c r="U1861" s="8">
        <v>0</v>
      </c>
      <c r="V1861" s="8">
        <v>2</v>
      </c>
      <c r="W1861" s="8">
        <v>2</v>
      </c>
      <c r="X1861" s="8">
        <v>2</v>
      </c>
      <c r="Y1861" s="8">
        <v>0</v>
      </c>
      <c r="Z1861" s="8">
        <v>0</v>
      </c>
      <c r="AA1861" s="8">
        <v>0</v>
      </c>
      <c r="AB1861" s="8">
        <v>0</v>
      </c>
      <c r="AC1861" s="8">
        <v>2</v>
      </c>
      <c r="AD1861" s="8">
        <v>0</v>
      </c>
      <c r="AE1861" s="8">
        <v>0</v>
      </c>
      <c r="AF1861" s="8">
        <v>0</v>
      </c>
      <c r="AG1861" s="8">
        <v>0</v>
      </c>
      <c r="AH1861" s="8">
        <v>0</v>
      </c>
      <c r="AI1861" s="8">
        <v>0</v>
      </c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11" t="s">
        <v>253</v>
      </c>
    </row>
    <row r="1862" spans="1:46" ht="15.1" customHeight="1">
      <c r="A1862" s="8"/>
      <c r="B1862" s="9"/>
      <c r="C1862" s="8"/>
      <c r="D1862" s="9"/>
      <c r="E1862" s="8">
        <v>0</v>
      </c>
      <c r="F1862" s="8">
        <v>0</v>
      </c>
      <c r="G1862" s="8">
        <v>0</v>
      </c>
      <c r="H1862" s="8">
        <v>5</v>
      </c>
      <c r="I1862" s="8">
        <v>7</v>
      </c>
      <c r="J1862" s="8">
        <v>7</v>
      </c>
      <c r="K1862" s="8">
        <v>7</v>
      </c>
      <c r="L1862" s="8">
        <v>7</v>
      </c>
      <c r="M1862" s="8">
        <v>5</v>
      </c>
      <c r="N1862" s="8">
        <v>16.5</v>
      </c>
      <c r="O1862" s="8">
        <v>7</v>
      </c>
      <c r="P1862" s="8">
        <v>7</v>
      </c>
      <c r="Q1862" s="8">
        <v>5</v>
      </c>
      <c r="R1862" s="8">
        <v>7</v>
      </c>
      <c r="S1862" s="8">
        <v>7</v>
      </c>
      <c r="T1862" s="8">
        <v>4.5</v>
      </c>
      <c r="U1862" s="8">
        <v>12.5</v>
      </c>
      <c r="V1862" s="8">
        <v>7</v>
      </c>
      <c r="W1862" s="8">
        <v>7</v>
      </c>
      <c r="X1862" s="8">
        <v>4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  <c r="AH1862" s="8">
        <v>0</v>
      </c>
      <c r="AI1862" s="8">
        <v>0</v>
      </c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11" t="s">
        <v>253</v>
      </c>
    </row>
    <row r="1863" spans="1:46" ht="15.1" customHeight="1">
      <c r="A1863" s="8">
        <v>620</v>
      </c>
      <c r="B1863" s="9" t="s">
        <v>1485</v>
      </c>
      <c r="C1863" s="8" t="s">
        <v>1486</v>
      </c>
      <c r="D1863" s="9" t="s">
        <v>451</v>
      </c>
      <c r="E1863" s="12" t="s">
        <v>55</v>
      </c>
      <c r="F1863" s="8" t="s">
        <v>54</v>
      </c>
      <c r="G1863" s="10" t="s">
        <v>67</v>
      </c>
      <c r="H1863" s="8" t="s">
        <v>54</v>
      </c>
      <c r="I1863" s="8" t="s">
        <v>54</v>
      </c>
      <c r="J1863" s="8" t="s">
        <v>54</v>
      </c>
      <c r="K1863" s="8" t="s">
        <v>54</v>
      </c>
      <c r="L1863" s="8" t="s">
        <v>54</v>
      </c>
      <c r="M1863" s="8" t="s">
        <v>54</v>
      </c>
      <c r="N1863" s="10" t="s">
        <v>67</v>
      </c>
      <c r="O1863" s="12" t="s">
        <v>55</v>
      </c>
      <c r="P1863" s="12" t="s">
        <v>55</v>
      </c>
      <c r="Q1863" s="8" t="s">
        <v>54</v>
      </c>
      <c r="R1863" s="8" t="s">
        <v>54</v>
      </c>
      <c r="S1863" s="12" t="s">
        <v>55</v>
      </c>
      <c r="T1863" s="8" t="s">
        <v>54</v>
      </c>
      <c r="U1863" s="10" t="s">
        <v>67</v>
      </c>
      <c r="V1863" s="8" t="s">
        <v>54</v>
      </c>
      <c r="W1863" s="8" t="s">
        <v>54</v>
      </c>
      <c r="X1863" s="8" t="s">
        <v>54</v>
      </c>
      <c r="Y1863" s="12" t="s">
        <v>55</v>
      </c>
      <c r="Z1863" s="8" t="s">
        <v>54</v>
      </c>
      <c r="AA1863" s="8" t="s">
        <v>54</v>
      </c>
      <c r="AB1863" s="10" t="s">
        <v>67</v>
      </c>
      <c r="AC1863" s="8" t="s">
        <v>54</v>
      </c>
      <c r="AD1863" s="12" t="s">
        <v>55</v>
      </c>
      <c r="AE1863" s="8" t="s">
        <v>54</v>
      </c>
      <c r="AF1863" s="8" t="s">
        <v>54</v>
      </c>
      <c r="AG1863" s="8" t="s">
        <v>54</v>
      </c>
      <c r="AH1863" s="8" t="s">
        <v>54</v>
      </c>
      <c r="AI1863" s="10" t="s">
        <v>67</v>
      </c>
      <c r="AJ1863" s="8">
        <f>COUNTIF($E$1863:$AI$1863,"P")</f>
        <v>20</v>
      </c>
      <c r="AK1863" s="8">
        <f>COUNTIF($E$1863:$AI$1863,"A")</f>
        <v>6</v>
      </c>
      <c r="AL1863" s="8">
        <f>SUM($E$1864:$AI$1864)</f>
        <v>0</v>
      </c>
      <c r="AM1863" s="8">
        <f>SUM($E$1865:$AI$1865)</f>
        <v>0</v>
      </c>
      <c r="AN1863" s="8">
        <f>AL1863+AM1863</f>
        <v>0</v>
      </c>
      <c r="AO1863" s="8">
        <f>COUNTIF($E$1863:$AI$1863,"CL")</f>
        <v>0</v>
      </c>
      <c r="AP1863" s="8">
        <f>COUNTIF($E$1863:$AI$1863,"SL")</f>
        <v>0</v>
      </c>
      <c r="AQ1863" s="8">
        <f>COUNTIF($E$1863:$AI$1863,"EL")</f>
        <v>0</v>
      </c>
      <c r="AR1863" s="8">
        <f>COUNTIF($E$1863:$AI$1863,"H")</f>
        <v>0</v>
      </c>
      <c r="AS1863" s="8"/>
      <c r="AT1863" s="11" t="s">
        <v>253</v>
      </c>
    </row>
    <row r="1864" spans="1:46" ht="15.1" customHeight="1">
      <c r="A1864" s="8"/>
      <c r="B1864" s="9"/>
      <c r="C1864" s="8"/>
      <c r="D1864" s="9"/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11" t="s">
        <v>253</v>
      </c>
    </row>
    <row r="1865" spans="1:46" ht="15.1" customHeight="1">
      <c r="A1865" s="8"/>
      <c r="B1865" s="9"/>
      <c r="C1865" s="8"/>
      <c r="D1865" s="9"/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11" t="s">
        <v>253</v>
      </c>
    </row>
    <row r="1866" spans="1:46" ht="15.1" customHeight="1">
      <c r="A1866" s="8">
        <v>621</v>
      </c>
      <c r="B1866" s="9" t="s">
        <v>1487</v>
      </c>
      <c r="C1866" s="8" t="s">
        <v>1488</v>
      </c>
      <c r="D1866" s="9" t="s">
        <v>451</v>
      </c>
      <c r="E1866" s="8" t="s">
        <v>54</v>
      </c>
      <c r="F1866" s="8" t="s">
        <v>54</v>
      </c>
      <c r="G1866" s="10" t="s">
        <v>67</v>
      </c>
      <c r="H1866" s="8" t="s">
        <v>54</v>
      </c>
      <c r="I1866" s="8" t="s">
        <v>54</v>
      </c>
      <c r="J1866" s="8" t="s">
        <v>54</v>
      </c>
      <c r="K1866" s="8" t="s">
        <v>54</v>
      </c>
      <c r="L1866" s="8" t="s">
        <v>54</v>
      </c>
      <c r="M1866" s="8" t="s">
        <v>54</v>
      </c>
      <c r="N1866" s="10" t="s">
        <v>67</v>
      </c>
      <c r="O1866" s="8" t="s">
        <v>54</v>
      </c>
      <c r="P1866" s="8" t="s">
        <v>54</v>
      </c>
      <c r="Q1866" s="8" t="s">
        <v>54</v>
      </c>
      <c r="R1866" s="8" t="s">
        <v>54</v>
      </c>
      <c r="S1866" s="8" t="s">
        <v>54</v>
      </c>
      <c r="T1866" s="8" t="s">
        <v>54</v>
      </c>
      <c r="U1866" s="10" t="s">
        <v>67</v>
      </c>
      <c r="V1866" s="8" t="s">
        <v>54</v>
      </c>
      <c r="W1866" s="8" t="s">
        <v>54</v>
      </c>
      <c r="X1866" s="8" t="s">
        <v>54</v>
      </c>
      <c r="Y1866" s="8" t="s">
        <v>54</v>
      </c>
      <c r="Z1866" s="8" t="s">
        <v>54</v>
      </c>
      <c r="AA1866" s="8" t="s">
        <v>54</v>
      </c>
      <c r="AB1866" s="10" t="s">
        <v>67</v>
      </c>
      <c r="AC1866" s="8" t="s">
        <v>54</v>
      </c>
      <c r="AD1866" s="8" t="s">
        <v>54</v>
      </c>
      <c r="AE1866" s="8" t="s">
        <v>54</v>
      </c>
      <c r="AF1866" s="8" t="s">
        <v>54</v>
      </c>
      <c r="AG1866" s="8" t="s">
        <v>54</v>
      </c>
      <c r="AH1866" s="8" t="s">
        <v>54</v>
      </c>
      <c r="AI1866" s="10" t="s">
        <v>67</v>
      </c>
      <c r="AJ1866" s="8">
        <f>COUNTIF($E$1866:$AI$1866,"P")</f>
        <v>26</v>
      </c>
      <c r="AK1866" s="8">
        <f>COUNTIF($E$1866:$AI$1866,"A")</f>
        <v>0</v>
      </c>
      <c r="AL1866" s="8">
        <f>SUM($E$1867:$AI$1867)</f>
        <v>38</v>
      </c>
      <c r="AM1866" s="8">
        <f>SUM($E$1868:$AI$1868)</f>
        <v>138.5</v>
      </c>
      <c r="AN1866" s="8">
        <f>AL1866+AM1866</f>
        <v>176.5</v>
      </c>
      <c r="AO1866" s="8">
        <f>COUNTIF($E$1866:$AI$1866,"CL")</f>
        <v>0</v>
      </c>
      <c r="AP1866" s="8">
        <f>COUNTIF($E$1866:$AI$1866,"SL")</f>
        <v>0</v>
      </c>
      <c r="AQ1866" s="8">
        <f>COUNTIF($E$1866:$AI$1866,"EL")</f>
        <v>0</v>
      </c>
      <c r="AR1866" s="8">
        <f>COUNTIF($E$1866:$AI$1866,"H")</f>
        <v>0</v>
      </c>
      <c r="AS1866" s="8"/>
      <c r="AT1866" s="11" t="s">
        <v>253</v>
      </c>
    </row>
    <row r="1867" spans="1:46" ht="15.1" customHeight="1">
      <c r="A1867" s="8"/>
      <c r="B1867" s="9"/>
      <c r="C1867" s="8"/>
      <c r="D1867" s="9"/>
      <c r="E1867" s="8">
        <v>2</v>
      </c>
      <c r="F1867" s="8">
        <v>2</v>
      </c>
      <c r="G1867" s="8">
        <v>0</v>
      </c>
      <c r="H1867" s="8">
        <v>2</v>
      </c>
      <c r="I1867" s="8">
        <v>2</v>
      </c>
      <c r="J1867" s="8">
        <v>2</v>
      </c>
      <c r="K1867" s="8">
        <v>2</v>
      </c>
      <c r="L1867" s="8">
        <v>2</v>
      </c>
      <c r="M1867" s="8">
        <v>2</v>
      </c>
      <c r="N1867" s="8">
        <v>0</v>
      </c>
      <c r="O1867" s="8">
        <v>2</v>
      </c>
      <c r="P1867" s="8">
        <v>2</v>
      </c>
      <c r="Q1867" s="8">
        <v>2</v>
      </c>
      <c r="R1867" s="8">
        <v>2</v>
      </c>
      <c r="S1867" s="8">
        <v>2</v>
      </c>
      <c r="T1867" s="8">
        <v>2</v>
      </c>
      <c r="U1867" s="8">
        <v>0</v>
      </c>
      <c r="V1867" s="8">
        <v>2</v>
      </c>
      <c r="W1867" s="8">
        <v>2</v>
      </c>
      <c r="X1867" s="8">
        <v>2</v>
      </c>
      <c r="Y1867" s="8">
        <v>0</v>
      </c>
      <c r="Z1867" s="8">
        <v>0</v>
      </c>
      <c r="AA1867" s="8">
        <v>0</v>
      </c>
      <c r="AB1867" s="8">
        <v>0</v>
      </c>
      <c r="AC1867" s="8">
        <v>2</v>
      </c>
      <c r="AD1867" s="8">
        <v>2</v>
      </c>
      <c r="AE1867" s="8">
        <v>0</v>
      </c>
      <c r="AF1867" s="8">
        <v>0</v>
      </c>
      <c r="AG1867" s="8">
        <v>0</v>
      </c>
      <c r="AH1867" s="8">
        <v>0</v>
      </c>
      <c r="AI1867" s="8">
        <v>0</v>
      </c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11" t="s">
        <v>253</v>
      </c>
    </row>
    <row r="1868" spans="1:46" ht="15.1" customHeight="1">
      <c r="A1868" s="8"/>
      <c r="B1868" s="9"/>
      <c r="C1868" s="8"/>
      <c r="D1868" s="9"/>
      <c r="E1868" s="8">
        <v>4</v>
      </c>
      <c r="F1868" s="8">
        <v>3</v>
      </c>
      <c r="G1868" s="8">
        <v>14</v>
      </c>
      <c r="H1868" s="8">
        <v>5</v>
      </c>
      <c r="I1868" s="8">
        <v>6</v>
      </c>
      <c r="J1868" s="8">
        <v>7</v>
      </c>
      <c r="K1868" s="8">
        <v>7</v>
      </c>
      <c r="L1868" s="8">
        <v>7</v>
      </c>
      <c r="M1868" s="8">
        <v>5</v>
      </c>
      <c r="N1868" s="8">
        <v>16.5</v>
      </c>
      <c r="O1868" s="8">
        <v>7</v>
      </c>
      <c r="P1868" s="8">
        <v>7</v>
      </c>
      <c r="Q1868" s="8">
        <v>3</v>
      </c>
      <c r="R1868" s="8">
        <v>7</v>
      </c>
      <c r="S1868" s="8">
        <v>7</v>
      </c>
      <c r="T1868" s="8">
        <v>3</v>
      </c>
      <c r="U1868" s="8">
        <v>13</v>
      </c>
      <c r="V1868" s="8">
        <v>7</v>
      </c>
      <c r="W1868" s="8">
        <v>7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3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11" t="s">
        <v>253</v>
      </c>
    </row>
    <row r="1869" spans="1:46" ht="15.1" customHeight="1">
      <c r="A1869" s="8">
        <v>622</v>
      </c>
      <c r="B1869" s="9" t="s">
        <v>1489</v>
      </c>
      <c r="C1869" s="8" t="s">
        <v>1490</v>
      </c>
      <c r="D1869" s="9" t="s">
        <v>451</v>
      </c>
      <c r="E1869" s="8" t="s">
        <v>54</v>
      </c>
      <c r="F1869" s="8" t="s">
        <v>54</v>
      </c>
      <c r="G1869" s="10" t="s">
        <v>67</v>
      </c>
      <c r="H1869" s="8" t="s">
        <v>54</v>
      </c>
      <c r="I1869" s="8" t="s">
        <v>54</v>
      </c>
      <c r="J1869" s="8" t="s">
        <v>54</v>
      </c>
      <c r="K1869" s="8" t="s">
        <v>54</v>
      </c>
      <c r="L1869" s="8" t="s">
        <v>54</v>
      </c>
      <c r="M1869" s="8" t="s">
        <v>54</v>
      </c>
      <c r="N1869" s="10" t="s">
        <v>67</v>
      </c>
      <c r="O1869" s="8" t="s">
        <v>54</v>
      </c>
      <c r="P1869" s="8" t="s">
        <v>54</v>
      </c>
      <c r="Q1869" s="8" t="s">
        <v>54</v>
      </c>
      <c r="R1869" s="8" t="s">
        <v>54</v>
      </c>
      <c r="S1869" s="8" t="s">
        <v>54</v>
      </c>
      <c r="T1869" s="8" t="s">
        <v>54</v>
      </c>
      <c r="U1869" s="10" t="s">
        <v>67</v>
      </c>
      <c r="V1869" s="8" t="s">
        <v>54</v>
      </c>
      <c r="W1869" s="8" t="s">
        <v>54</v>
      </c>
      <c r="X1869" s="8" t="s">
        <v>54</v>
      </c>
      <c r="Y1869" s="8" t="s">
        <v>54</v>
      </c>
      <c r="Z1869" s="8" t="s">
        <v>54</v>
      </c>
      <c r="AA1869" s="8" t="s">
        <v>54</v>
      </c>
      <c r="AB1869" s="10" t="s">
        <v>67</v>
      </c>
      <c r="AC1869" s="8" t="s">
        <v>54</v>
      </c>
      <c r="AD1869" s="8" t="s">
        <v>54</v>
      </c>
      <c r="AE1869" s="8" t="s">
        <v>54</v>
      </c>
      <c r="AF1869" s="8" t="s">
        <v>54</v>
      </c>
      <c r="AG1869" s="8" t="s">
        <v>54</v>
      </c>
      <c r="AH1869" s="8" t="s">
        <v>54</v>
      </c>
      <c r="AI1869" s="10" t="s">
        <v>67</v>
      </c>
      <c r="AJ1869" s="8">
        <f>COUNTIF($E$1869:$AI$1869,"P")</f>
        <v>26</v>
      </c>
      <c r="AK1869" s="8">
        <f>COUNTIF($E$1869:$AI$1869,"A")</f>
        <v>0</v>
      </c>
      <c r="AL1869" s="8">
        <f>SUM($E$1870:$AI$1870)</f>
        <v>38</v>
      </c>
      <c r="AM1869" s="8">
        <f>SUM($E$1871:$AI$1871)</f>
        <v>136.5</v>
      </c>
      <c r="AN1869" s="8">
        <f>AL1869+AM1869</f>
        <v>174.5</v>
      </c>
      <c r="AO1869" s="8">
        <f>COUNTIF($E$1869:$AI$1869,"CL")</f>
        <v>0</v>
      </c>
      <c r="AP1869" s="8">
        <f>COUNTIF($E$1869:$AI$1869,"SL")</f>
        <v>0</v>
      </c>
      <c r="AQ1869" s="8">
        <f>COUNTIF($E$1869:$AI$1869,"EL")</f>
        <v>0</v>
      </c>
      <c r="AR1869" s="8">
        <f>COUNTIF($E$1869:$AI$1869,"H")</f>
        <v>0</v>
      </c>
      <c r="AS1869" s="8"/>
      <c r="AT1869" s="11" t="s">
        <v>253</v>
      </c>
    </row>
    <row r="1870" spans="1:46" ht="15.1" customHeight="1">
      <c r="A1870" s="8"/>
      <c r="B1870" s="9"/>
      <c r="C1870" s="8"/>
      <c r="D1870" s="9"/>
      <c r="E1870" s="8">
        <v>2</v>
      </c>
      <c r="F1870" s="8">
        <v>2</v>
      </c>
      <c r="G1870" s="8">
        <v>0</v>
      </c>
      <c r="H1870" s="8">
        <v>2</v>
      </c>
      <c r="I1870" s="8">
        <v>2</v>
      </c>
      <c r="J1870" s="8">
        <v>2</v>
      </c>
      <c r="K1870" s="8">
        <v>2</v>
      </c>
      <c r="L1870" s="8">
        <v>2</v>
      </c>
      <c r="M1870" s="8">
        <v>2</v>
      </c>
      <c r="N1870" s="8">
        <v>0</v>
      </c>
      <c r="O1870" s="8">
        <v>2</v>
      </c>
      <c r="P1870" s="8">
        <v>2</v>
      </c>
      <c r="Q1870" s="8">
        <v>2</v>
      </c>
      <c r="R1870" s="8">
        <v>2</v>
      </c>
      <c r="S1870" s="8">
        <v>2</v>
      </c>
      <c r="T1870" s="8">
        <v>2</v>
      </c>
      <c r="U1870" s="8">
        <v>0</v>
      </c>
      <c r="V1870" s="8">
        <v>2</v>
      </c>
      <c r="W1870" s="8">
        <v>2</v>
      </c>
      <c r="X1870" s="8">
        <v>2</v>
      </c>
      <c r="Y1870" s="8">
        <v>0</v>
      </c>
      <c r="Z1870" s="8">
        <v>0</v>
      </c>
      <c r="AA1870" s="8">
        <v>0</v>
      </c>
      <c r="AB1870" s="8">
        <v>0</v>
      </c>
      <c r="AC1870" s="8">
        <v>2</v>
      </c>
      <c r="AD1870" s="8">
        <v>2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11" t="s">
        <v>253</v>
      </c>
    </row>
    <row r="1871" spans="1:46" ht="15.1" customHeight="1">
      <c r="A1871" s="8"/>
      <c r="B1871" s="9"/>
      <c r="C1871" s="8"/>
      <c r="D1871" s="9"/>
      <c r="E1871" s="8">
        <v>3.5</v>
      </c>
      <c r="F1871" s="8">
        <v>3</v>
      </c>
      <c r="G1871" s="8">
        <v>13.5</v>
      </c>
      <c r="H1871" s="8">
        <v>5</v>
      </c>
      <c r="I1871" s="8">
        <v>7</v>
      </c>
      <c r="J1871" s="8">
        <v>6.5</v>
      </c>
      <c r="K1871" s="8">
        <v>7</v>
      </c>
      <c r="L1871" s="8">
        <v>7</v>
      </c>
      <c r="M1871" s="8">
        <v>5</v>
      </c>
      <c r="N1871" s="8">
        <v>16</v>
      </c>
      <c r="O1871" s="8">
        <v>7</v>
      </c>
      <c r="P1871" s="8">
        <v>4.5</v>
      </c>
      <c r="Q1871" s="8">
        <v>5</v>
      </c>
      <c r="R1871" s="8">
        <v>6.5</v>
      </c>
      <c r="S1871" s="8">
        <v>6.5</v>
      </c>
      <c r="T1871" s="8">
        <v>4.5</v>
      </c>
      <c r="U1871" s="8">
        <v>12</v>
      </c>
      <c r="V1871" s="8">
        <v>7</v>
      </c>
      <c r="W1871" s="8">
        <v>7</v>
      </c>
      <c r="X1871" s="8">
        <v>0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3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11" t="s">
        <v>253</v>
      </c>
    </row>
    <row r="1872" spans="1:46" ht="15.1" customHeight="1">
      <c r="A1872" s="8">
        <v>623</v>
      </c>
      <c r="B1872" s="9" t="s">
        <v>1491</v>
      </c>
      <c r="C1872" s="8" t="s">
        <v>1492</v>
      </c>
      <c r="D1872" s="9" t="s">
        <v>451</v>
      </c>
      <c r="E1872" s="8" t="s">
        <v>54</v>
      </c>
      <c r="F1872" s="8" t="s">
        <v>54</v>
      </c>
      <c r="G1872" s="10" t="s">
        <v>67</v>
      </c>
      <c r="H1872" s="8" t="s">
        <v>54</v>
      </c>
      <c r="I1872" s="8" t="s">
        <v>54</v>
      </c>
      <c r="J1872" s="8" t="s">
        <v>54</v>
      </c>
      <c r="K1872" s="12" t="s">
        <v>55</v>
      </c>
      <c r="L1872" s="12" t="s">
        <v>55</v>
      </c>
      <c r="M1872" s="12" t="s">
        <v>55</v>
      </c>
      <c r="N1872" s="10" t="s">
        <v>67</v>
      </c>
      <c r="O1872" s="12" t="s">
        <v>55</v>
      </c>
      <c r="P1872" s="8" t="s">
        <v>54</v>
      </c>
      <c r="Q1872" s="8" t="s">
        <v>54</v>
      </c>
      <c r="R1872" s="8" t="s">
        <v>54</v>
      </c>
      <c r="S1872" s="8" t="s">
        <v>54</v>
      </c>
      <c r="T1872" s="8" t="s">
        <v>54</v>
      </c>
      <c r="U1872" s="10" t="s">
        <v>67</v>
      </c>
      <c r="V1872" s="8" t="s">
        <v>54</v>
      </c>
      <c r="W1872" s="12" t="s">
        <v>55</v>
      </c>
      <c r="X1872" s="8" t="s">
        <v>54</v>
      </c>
      <c r="Y1872" s="8" t="s">
        <v>54</v>
      </c>
      <c r="Z1872" s="8" t="s">
        <v>54</v>
      </c>
      <c r="AA1872" s="8" t="s">
        <v>54</v>
      </c>
      <c r="AB1872" s="10" t="s">
        <v>67</v>
      </c>
      <c r="AC1872" s="8" t="s">
        <v>54</v>
      </c>
      <c r="AD1872" s="12" t="s">
        <v>55</v>
      </c>
      <c r="AE1872" s="12" t="s">
        <v>55</v>
      </c>
      <c r="AF1872" s="8" t="s">
        <v>54</v>
      </c>
      <c r="AG1872" s="8" t="s">
        <v>54</v>
      </c>
      <c r="AH1872" s="12" t="s">
        <v>55</v>
      </c>
      <c r="AI1872" s="10" t="s">
        <v>67</v>
      </c>
      <c r="AJ1872" s="8">
        <f>COUNTIF($E$1872:$AI$1872,"P")</f>
        <v>18</v>
      </c>
      <c r="AK1872" s="8">
        <f>COUNTIF($E$1872:$AI$1872,"A")</f>
        <v>8</v>
      </c>
      <c r="AL1872" s="8">
        <f>SUM($E$1873:$AI$1873)</f>
        <v>24</v>
      </c>
      <c r="AM1872" s="8">
        <f>SUM($E$1874:$AI$1874)</f>
        <v>80</v>
      </c>
      <c r="AN1872" s="8">
        <f>AL1872+AM1872</f>
        <v>104</v>
      </c>
      <c r="AO1872" s="8">
        <f>COUNTIF($E$1872:$AI$1872,"CL")</f>
        <v>0</v>
      </c>
      <c r="AP1872" s="8">
        <f>COUNTIF($E$1872:$AI$1872,"SL")</f>
        <v>0</v>
      </c>
      <c r="AQ1872" s="8">
        <f>COUNTIF($E$1872:$AI$1872,"EL")</f>
        <v>0</v>
      </c>
      <c r="AR1872" s="8">
        <f>COUNTIF($E$1872:$AI$1872,"H")</f>
        <v>0</v>
      </c>
      <c r="AS1872" s="8"/>
      <c r="AT1872" s="11" t="s">
        <v>253</v>
      </c>
    </row>
    <row r="1873" spans="1:46" ht="15.1" customHeight="1">
      <c r="A1873" s="8"/>
      <c r="B1873" s="9"/>
      <c r="C1873" s="8"/>
      <c r="D1873" s="9"/>
      <c r="E1873" s="8">
        <v>2</v>
      </c>
      <c r="F1873" s="8">
        <v>2</v>
      </c>
      <c r="G1873" s="8">
        <v>0</v>
      </c>
      <c r="H1873" s="8">
        <v>2</v>
      </c>
      <c r="I1873" s="8">
        <v>2</v>
      </c>
      <c r="J1873" s="8">
        <v>0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2</v>
      </c>
      <c r="Q1873" s="8">
        <v>2</v>
      </c>
      <c r="R1873" s="8">
        <v>2</v>
      </c>
      <c r="S1873" s="8">
        <v>2</v>
      </c>
      <c r="T1873" s="8">
        <v>2</v>
      </c>
      <c r="U1873" s="8">
        <v>0</v>
      </c>
      <c r="V1873" s="8">
        <v>2</v>
      </c>
      <c r="W1873" s="8">
        <v>0</v>
      </c>
      <c r="X1873" s="8">
        <v>2</v>
      </c>
      <c r="Y1873" s="8">
        <v>0</v>
      </c>
      <c r="Z1873" s="8">
        <v>0</v>
      </c>
      <c r="AA1873" s="8">
        <v>0</v>
      </c>
      <c r="AB1873" s="8">
        <v>0</v>
      </c>
      <c r="AC1873" s="8">
        <v>2</v>
      </c>
      <c r="AD1873" s="8">
        <v>0</v>
      </c>
      <c r="AE1873" s="8">
        <v>0</v>
      </c>
      <c r="AF1873" s="8">
        <v>0</v>
      </c>
      <c r="AG1873" s="8">
        <v>0</v>
      </c>
      <c r="AH1873" s="8">
        <v>0</v>
      </c>
      <c r="AI1873" s="8">
        <v>0</v>
      </c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11" t="s">
        <v>253</v>
      </c>
    </row>
    <row r="1874" spans="1:46" ht="15.1" customHeight="1">
      <c r="A1874" s="8"/>
      <c r="B1874" s="9"/>
      <c r="C1874" s="8"/>
      <c r="D1874" s="9"/>
      <c r="E1874" s="8">
        <v>3</v>
      </c>
      <c r="F1874" s="8">
        <v>3</v>
      </c>
      <c r="G1874" s="8">
        <v>13.5</v>
      </c>
      <c r="H1874" s="8">
        <v>5</v>
      </c>
      <c r="I1874" s="8">
        <v>7</v>
      </c>
      <c r="J1874" s="8">
        <v>0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7</v>
      </c>
      <c r="Q1874" s="8">
        <v>5</v>
      </c>
      <c r="R1874" s="8">
        <v>7</v>
      </c>
      <c r="S1874" s="8">
        <v>6.5</v>
      </c>
      <c r="T1874" s="8">
        <v>3.5</v>
      </c>
      <c r="U1874" s="8">
        <v>12.5</v>
      </c>
      <c r="V1874" s="8">
        <v>7</v>
      </c>
      <c r="W1874" s="8">
        <v>0</v>
      </c>
      <c r="X1874" s="8">
        <v>0</v>
      </c>
      <c r="Y1874" s="8">
        <v>0</v>
      </c>
      <c r="Z1874" s="8">
        <v>0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0</v>
      </c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11" t="s">
        <v>253</v>
      </c>
    </row>
    <row r="1875" spans="1:46" ht="15.1" customHeight="1">
      <c r="A1875" s="8">
        <v>624</v>
      </c>
      <c r="B1875" s="9" t="s">
        <v>1493</v>
      </c>
      <c r="C1875" s="8" t="s">
        <v>1494</v>
      </c>
      <c r="D1875" s="9" t="s">
        <v>451</v>
      </c>
      <c r="E1875" s="8" t="s">
        <v>54</v>
      </c>
      <c r="F1875" s="8" t="s">
        <v>54</v>
      </c>
      <c r="G1875" s="10" t="s">
        <v>67</v>
      </c>
      <c r="H1875" s="8" t="s">
        <v>54</v>
      </c>
      <c r="I1875" s="8" t="s">
        <v>54</v>
      </c>
      <c r="J1875" s="8" t="s">
        <v>54</v>
      </c>
      <c r="K1875" s="8" t="s">
        <v>54</v>
      </c>
      <c r="L1875" s="8" t="s">
        <v>54</v>
      </c>
      <c r="M1875" s="8" t="s">
        <v>54</v>
      </c>
      <c r="N1875" s="10" t="s">
        <v>67</v>
      </c>
      <c r="O1875" s="8" t="s">
        <v>54</v>
      </c>
      <c r="P1875" s="8" t="s">
        <v>54</v>
      </c>
      <c r="Q1875" s="8" t="s">
        <v>54</v>
      </c>
      <c r="R1875" s="8" t="s">
        <v>54</v>
      </c>
      <c r="S1875" s="12" t="s">
        <v>55</v>
      </c>
      <c r="T1875" s="8" t="s">
        <v>54</v>
      </c>
      <c r="U1875" s="10" t="s">
        <v>67</v>
      </c>
      <c r="V1875" s="8" t="s">
        <v>54</v>
      </c>
      <c r="W1875" s="12" t="s">
        <v>55</v>
      </c>
      <c r="X1875" s="8" t="s">
        <v>54</v>
      </c>
      <c r="Y1875" s="8" t="s">
        <v>54</v>
      </c>
      <c r="Z1875" s="8" t="s">
        <v>54</v>
      </c>
      <c r="AA1875" s="8" t="s">
        <v>54</v>
      </c>
      <c r="AB1875" s="10" t="s">
        <v>67</v>
      </c>
      <c r="AC1875" s="8" t="s">
        <v>54</v>
      </c>
      <c r="AD1875" s="8" t="s">
        <v>54</v>
      </c>
      <c r="AE1875" s="8" t="s">
        <v>54</v>
      </c>
      <c r="AF1875" s="8" t="s">
        <v>54</v>
      </c>
      <c r="AG1875" s="8" t="s">
        <v>54</v>
      </c>
      <c r="AH1875" s="8" t="s">
        <v>54</v>
      </c>
      <c r="AI1875" s="10" t="s">
        <v>67</v>
      </c>
      <c r="AJ1875" s="8">
        <f>COUNTIF($E$1875:$AI$1875,"P")</f>
        <v>24</v>
      </c>
      <c r="AK1875" s="8">
        <f>COUNTIF($E$1875:$AI$1875,"A")</f>
        <v>2</v>
      </c>
      <c r="AL1875" s="8">
        <f>SUM($E$1876:$AI$1876)</f>
        <v>34</v>
      </c>
      <c r="AM1875" s="8">
        <f>SUM($E$1877:$AI$1877)</f>
        <v>131.5</v>
      </c>
      <c r="AN1875" s="8">
        <f>AL1875+AM1875</f>
        <v>165.5</v>
      </c>
      <c r="AO1875" s="8">
        <f>COUNTIF($E$1875:$AI$1875,"CL")</f>
        <v>0</v>
      </c>
      <c r="AP1875" s="8">
        <f>COUNTIF($E$1875:$AI$1875,"SL")</f>
        <v>0</v>
      </c>
      <c r="AQ1875" s="8">
        <f>COUNTIF($E$1875:$AI$1875,"EL")</f>
        <v>0</v>
      </c>
      <c r="AR1875" s="8">
        <f>COUNTIF($E$1875:$AI$1875,"H")</f>
        <v>0</v>
      </c>
      <c r="AS1875" s="8"/>
      <c r="AT1875" s="11" t="s">
        <v>253</v>
      </c>
    </row>
    <row r="1876" spans="1:46" ht="15.1" customHeight="1">
      <c r="A1876" s="8"/>
      <c r="B1876" s="9"/>
      <c r="C1876" s="8"/>
      <c r="D1876" s="9"/>
      <c r="E1876" s="8">
        <v>2</v>
      </c>
      <c r="F1876" s="8">
        <v>2</v>
      </c>
      <c r="G1876" s="8">
        <v>0</v>
      </c>
      <c r="H1876" s="8">
        <v>2</v>
      </c>
      <c r="I1876" s="8">
        <v>2</v>
      </c>
      <c r="J1876" s="8">
        <v>2</v>
      </c>
      <c r="K1876" s="8">
        <v>2</v>
      </c>
      <c r="L1876" s="8">
        <v>2</v>
      </c>
      <c r="M1876" s="8">
        <v>2</v>
      </c>
      <c r="N1876" s="8">
        <v>0</v>
      </c>
      <c r="O1876" s="8">
        <v>2</v>
      </c>
      <c r="P1876" s="8">
        <v>2</v>
      </c>
      <c r="Q1876" s="8">
        <v>2</v>
      </c>
      <c r="R1876" s="8">
        <v>2</v>
      </c>
      <c r="S1876" s="8">
        <v>0</v>
      </c>
      <c r="T1876" s="8">
        <v>2</v>
      </c>
      <c r="U1876" s="8">
        <v>0</v>
      </c>
      <c r="V1876" s="8">
        <v>2</v>
      </c>
      <c r="W1876" s="8">
        <v>0</v>
      </c>
      <c r="X1876" s="8">
        <v>2</v>
      </c>
      <c r="Y1876" s="8">
        <v>0</v>
      </c>
      <c r="Z1876" s="8">
        <v>0</v>
      </c>
      <c r="AA1876" s="8">
        <v>0</v>
      </c>
      <c r="AB1876" s="8">
        <v>0</v>
      </c>
      <c r="AC1876" s="8">
        <v>2</v>
      </c>
      <c r="AD1876" s="8">
        <v>2</v>
      </c>
      <c r="AE1876" s="8">
        <v>0</v>
      </c>
      <c r="AF1876" s="8">
        <v>0</v>
      </c>
      <c r="AG1876" s="8">
        <v>0</v>
      </c>
      <c r="AH1876" s="8">
        <v>0</v>
      </c>
      <c r="AI1876" s="8">
        <v>0</v>
      </c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11" t="s">
        <v>253</v>
      </c>
    </row>
    <row r="1877" spans="1:46" ht="15.1" customHeight="1">
      <c r="A1877" s="8"/>
      <c r="B1877" s="9"/>
      <c r="C1877" s="8"/>
      <c r="D1877" s="9"/>
      <c r="E1877" s="8">
        <v>3.5</v>
      </c>
      <c r="F1877" s="8">
        <v>3</v>
      </c>
      <c r="G1877" s="8">
        <v>14</v>
      </c>
      <c r="H1877" s="8">
        <v>5</v>
      </c>
      <c r="I1877" s="8">
        <v>7</v>
      </c>
      <c r="J1877" s="8">
        <v>6.5</v>
      </c>
      <c r="K1877" s="8">
        <v>7</v>
      </c>
      <c r="L1877" s="8">
        <v>7</v>
      </c>
      <c r="M1877" s="8">
        <v>5</v>
      </c>
      <c r="N1877" s="8">
        <v>17</v>
      </c>
      <c r="O1877" s="8">
        <v>7</v>
      </c>
      <c r="P1877" s="8">
        <v>7</v>
      </c>
      <c r="Q1877" s="8">
        <v>4.5</v>
      </c>
      <c r="R1877" s="8">
        <v>7</v>
      </c>
      <c r="S1877" s="8">
        <v>0</v>
      </c>
      <c r="T1877" s="8">
        <v>4.5</v>
      </c>
      <c r="U1877" s="8">
        <v>12.5</v>
      </c>
      <c r="V1877" s="8">
        <v>7</v>
      </c>
      <c r="W1877" s="8">
        <v>0</v>
      </c>
      <c r="X1877" s="8">
        <v>4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3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11" t="s">
        <v>253</v>
      </c>
    </row>
    <row r="1878" spans="1:46" ht="15.1" customHeight="1">
      <c r="A1878" s="8">
        <v>625</v>
      </c>
      <c r="B1878" s="9" t="s">
        <v>1495</v>
      </c>
      <c r="C1878" s="8" t="s">
        <v>1496</v>
      </c>
      <c r="D1878" s="9" t="s">
        <v>451</v>
      </c>
      <c r="E1878" s="8" t="s">
        <v>54</v>
      </c>
      <c r="F1878" s="8" t="s">
        <v>54</v>
      </c>
      <c r="G1878" s="10" t="s">
        <v>67</v>
      </c>
      <c r="H1878" s="8" t="s">
        <v>54</v>
      </c>
      <c r="I1878" s="8" t="s">
        <v>54</v>
      </c>
      <c r="J1878" s="8" t="s">
        <v>54</v>
      </c>
      <c r="K1878" s="8" t="s">
        <v>54</v>
      </c>
      <c r="L1878" s="8" t="s">
        <v>54</v>
      </c>
      <c r="M1878" s="8" t="s">
        <v>54</v>
      </c>
      <c r="N1878" s="10" t="s">
        <v>67</v>
      </c>
      <c r="O1878" s="8" t="s">
        <v>54</v>
      </c>
      <c r="P1878" s="8" t="s">
        <v>54</v>
      </c>
      <c r="Q1878" s="8" t="s">
        <v>54</v>
      </c>
      <c r="R1878" s="8" t="s">
        <v>54</v>
      </c>
      <c r="S1878" s="8" t="s">
        <v>54</v>
      </c>
      <c r="T1878" s="8" t="s">
        <v>54</v>
      </c>
      <c r="U1878" s="10" t="s">
        <v>67</v>
      </c>
      <c r="V1878" s="8" t="s">
        <v>54</v>
      </c>
      <c r="W1878" s="8" t="s">
        <v>54</v>
      </c>
      <c r="X1878" s="8" t="s">
        <v>54</v>
      </c>
      <c r="Y1878" s="8" t="s">
        <v>54</v>
      </c>
      <c r="Z1878" s="8" t="s">
        <v>54</v>
      </c>
      <c r="AA1878" s="8" t="s">
        <v>54</v>
      </c>
      <c r="AB1878" s="10" t="s">
        <v>67</v>
      </c>
      <c r="AC1878" s="8" t="s">
        <v>54</v>
      </c>
      <c r="AD1878" s="8" t="s">
        <v>54</v>
      </c>
      <c r="AE1878" s="8" t="s">
        <v>54</v>
      </c>
      <c r="AF1878" s="8" t="s">
        <v>54</v>
      </c>
      <c r="AG1878" s="8" t="s">
        <v>54</v>
      </c>
      <c r="AH1878" s="8" t="s">
        <v>54</v>
      </c>
      <c r="AI1878" s="10" t="s">
        <v>67</v>
      </c>
      <c r="AJ1878" s="8">
        <f>COUNTIF($E$1878:$AI$1878,"P")</f>
        <v>26</v>
      </c>
      <c r="AK1878" s="8">
        <f>COUNTIF($E$1878:$AI$1878,"A")</f>
        <v>0</v>
      </c>
      <c r="AL1878" s="8">
        <f>SUM($E$1879:$AI$1879)</f>
        <v>38</v>
      </c>
      <c r="AM1878" s="8">
        <f>SUM($E$1880:$AI$1880)</f>
        <v>142</v>
      </c>
      <c r="AN1878" s="8">
        <f>AL1878+AM1878</f>
        <v>180</v>
      </c>
      <c r="AO1878" s="8">
        <f>COUNTIF($E$1878:$AI$1878,"CL")</f>
        <v>0</v>
      </c>
      <c r="AP1878" s="8">
        <f>COUNTIF($E$1878:$AI$1878,"SL")</f>
        <v>0</v>
      </c>
      <c r="AQ1878" s="8">
        <f>COUNTIF($E$1878:$AI$1878,"EL")</f>
        <v>0</v>
      </c>
      <c r="AR1878" s="8">
        <f>COUNTIF($E$1878:$AI$1878,"H")</f>
        <v>0</v>
      </c>
      <c r="AS1878" s="8"/>
      <c r="AT1878" s="11" t="s">
        <v>253</v>
      </c>
    </row>
    <row r="1879" spans="1:46" ht="15.1" customHeight="1">
      <c r="A1879" s="8"/>
      <c r="B1879" s="9"/>
      <c r="C1879" s="8"/>
      <c r="D1879" s="9"/>
      <c r="E1879" s="8">
        <v>2</v>
      </c>
      <c r="F1879" s="8">
        <v>2</v>
      </c>
      <c r="G1879" s="8">
        <v>0</v>
      </c>
      <c r="H1879" s="8">
        <v>2</v>
      </c>
      <c r="I1879" s="8">
        <v>2</v>
      </c>
      <c r="J1879" s="8">
        <v>2</v>
      </c>
      <c r="K1879" s="8">
        <v>2</v>
      </c>
      <c r="L1879" s="8">
        <v>2</v>
      </c>
      <c r="M1879" s="8">
        <v>2</v>
      </c>
      <c r="N1879" s="8">
        <v>0</v>
      </c>
      <c r="O1879" s="8">
        <v>2</v>
      </c>
      <c r="P1879" s="8">
        <v>2</v>
      </c>
      <c r="Q1879" s="8">
        <v>2</v>
      </c>
      <c r="R1879" s="8">
        <v>2</v>
      </c>
      <c r="S1879" s="8">
        <v>2</v>
      </c>
      <c r="T1879" s="8">
        <v>2</v>
      </c>
      <c r="U1879" s="8">
        <v>0</v>
      </c>
      <c r="V1879" s="8">
        <v>2</v>
      </c>
      <c r="W1879" s="8">
        <v>2</v>
      </c>
      <c r="X1879" s="8">
        <v>2</v>
      </c>
      <c r="Y1879" s="8">
        <v>0</v>
      </c>
      <c r="Z1879" s="8">
        <v>0</v>
      </c>
      <c r="AA1879" s="8">
        <v>0</v>
      </c>
      <c r="AB1879" s="8">
        <v>0</v>
      </c>
      <c r="AC1879" s="8">
        <v>2</v>
      </c>
      <c r="AD1879" s="8">
        <v>2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11" t="s">
        <v>253</v>
      </c>
    </row>
    <row r="1880" spans="1:46" ht="15.1" customHeight="1">
      <c r="A1880" s="8"/>
      <c r="B1880" s="9"/>
      <c r="C1880" s="8"/>
      <c r="D1880" s="9"/>
      <c r="E1880" s="8">
        <v>3.5</v>
      </c>
      <c r="F1880" s="8">
        <v>3</v>
      </c>
      <c r="G1880" s="8">
        <v>13.5</v>
      </c>
      <c r="H1880" s="8">
        <v>4.5</v>
      </c>
      <c r="I1880" s="8">
        <v>7</v>
      </c>
      <c r="J1880" s="8">
        <v>7</v>
      </c>
      <c r="K1880" s="8">
        <v>7</v>
      </c>
      <c r="L1880" s="8">
        <v>6.5</v>
      </c>
      <c r="M1880" s="8">
        <v>5</v>
      </c>
      <c r="N1880" s="8">
        <v>16.5</v>
      </c>
      <c r="O1880" s="8">
        <v>6.5</v>
      </c>
      <c r="P1880" s="8">
        <v>6.5</v>
      </c>
      <c r="Q1880" s="8">
        <v>4.5</v>
      </c>
      <c r="R1880" s="8">
        <v>7</v>
      </c>
      <c r="S1880" s="8">
        <v>6.5</v>
      </c>
      <c r="T1880" s="8">
        <v>4.5</v>
      </c>
      <c r="U1880" s="8">
        <v>12.5</v>
      </c>
      <c r="V1880" s="8">
        <v>6.5</v>
      </c>
      <c r="W1880" s="8">
        <v>7</v>
      </c>
      <c r="X1880" s="8">
        <v>4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3</v>
      </c>
      <c r="AE1880" s="8">
        <v>0</v>
      </c>
      <c r="AF1880" s="8">
        <v>0</v>
      </c>
      <c r="AG1880" s="8">
        <v>0</v>
      </c>
      <c r="AH1880" s="8">
        <v>0</v>
      </c>
      <c r="AI1880" s="8">
        <v>0</v>
      </c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11" t="s">
        <v>253</v>
      </c>
    </row>
    <row r="1881" spans="1:46" ht="15.1" customHeight="1">
      <c r="A1881" s="8">
        <v>626</v>
      </c>
      <c r="B1881" s="9" t="s">
        <v>1497</v>
      </c>
      <c r="C1881" s="8" t="s">
        <v>1498</v>
      </c>
      <c r="D1881" s="9" t="s">
        <v>451</v>
      </c>
      <c r="E1881" s="8" t="s">
        <v>54</v>
      </c>
      <c r="F1881" s="8" t="s">
        <v>54</v>
      </c>
      <c r="G1881" s="10" t="s">
        <v>67</v>
      </c>
      <c r="H1881" s="8" t="s">
        <v>54</v>
      </c>
      <c r="I1881" s="8" t="s">
        <v>54</v>
      </c>
      <c r="J1881" s="8" t="s">
        <v>54</v>
      </c>
      <c r="K1881" s="8" t="s">
        <v>54</v>
      </c>
      <c r="L1881" s="8" t="s">
        <v>54</v>
      </c>
      <c r="M1881" s="8" t="s">
        <v>54</v>
      </c>
      <c r="N1881" s="10" t="s">
        <v>67</v>
      </c>
      <c r="O1881" s="8" t="s">
        <v>54</v>
      </c>
      <c r="P1881" s="8" t="s">
        <v>54</v>
      </c>
      <c r="Q1881" s="8" t="s">
        <v>54</v>
      </c>
      <c r="R1881" s="8" t="s">
        <v>54</v>
      </c>
      <c r="S1881" s="8" t="s">
        <v>54</v>
      </c>
      <c r="T1881" s="8" t="s">
        <v>54</v>
      </c>
      <c r="U1881" s="10" t="s">
        <v>67</v>
      </c>
      <c r="V1881" s="8" t="s">
        <v>54</v>
      </c>
      <c r="W1881" s="8" t="s">
        <v>54</v>
      </c>
      <c r="X1881" s="8" t="s">
        <v>54</v>
      </c>
      <c r="Y1881" s="8" t="s">
        <v>54</v>
      </c>
      <c r="Z1881" s="8" t="s">
        <v>54</v>
      </c>
      <c r="AA1881" s="8" t="s">
        <v>54</v>
      </c>
      <c r="AB1881" s="10" t="s">
        <v>67</v>
      </c>
      <c r="AC1881" s="8" t="s">
        <v>54</v>
      </c>
      <c r="AD1881" s="8" t="s">
        <v>54</v>
      </c>
      <c r="AE1881" s="8" t="s">
        <v>54</v>
      </c>
      <c r="AF1881" s="8" t="s">
        <v>54</v>
      </c>
      <c r="AG1881" s="8" t="s">
        <v>54</v>
      </c>
      <c r="AH1881" s="8" t="s">
        <v>54</v>
      </c>
      <c r="AI1881" s="10" t="s">
        <v>67</v>
      </c>
      <c r="AJ1881" s="8">
        <f>COUNTIF($E$1881:$AI$1881,"P")</f>
        <v>26</v>
      </c>
      <c r="AK1881" s="8">
        <f>COUNTIF($E$1881:$AI$1881,"A")</f>
        <v>0</v>
      </c>
      <c r="AL1881" s="8">
        <f>SUM($E$1882:$AI$1882)</f>
        <v>38</v>
      </c>
      <c r="AM1881" s="8">
        <f>SUM($E$1883:$AI$1883)</f>
        <v>138.5</v>
      </c>
      <c r="AN1881" s="8">
        <f>AL1881+AM1881</f>
        <v>176.5</v>
      </c>
      <c r="AO1881" s="8">
        <f>COUNTIF($E$1881:$AI$1881,"CL")</f>
        <v>0</v>
      </c>
      <c r="AP1881" s="8">
        <f>COUNTIF($E$1881:$AI$1881,"SL")</f>
        <v>0</v>
      </c>
      <c r="AQ1881" s="8">
        <f>COUNTIF($E$1881:$AI$1881,"EL")</f>
        <v>0</v>
      </c>
      <c r="AR1881" s="8">
        <f>COUNTIF($E$1881:$AI$1881,"H")</f>
        <v>0</v>
      </c>
      <c r="AS1881" s="8"/>
      <c r="AT1881" s="11" t="s">
        <v>253</v>
      </c>
    </row>
    <row r="1882" spans="1:46" ht="15.1" customHeight="1">
      <c r="A1882" s="8"/>
      <c r="B1882" s="9"/>
      <c r="C1882" s="8"/>
      <c r="D1882" s="9"/>
      <c r="E1882" s="8">
        <v>2</v>
      </c>
      <c r="F1882" s="8">
        <v>2</v>
      </c>
      <c r="G1882" s="8">
        <v>0</v>
      </c>
      <c r="H1882" s="8">
        <v>2</v>
      </c>
      <c r="I1882" s="8">
        <v>2</v>
      </c>
      <c r="J1882" s="8">
        <v>2</v>
      </c>
      <c r="K1882" s="8">
        <v>2</v>
      </c>
      <c r="L1882" s="8">
        <v>2</v>
      </c>
      <c r="M1882" s="8">
        <v>2</v>
      </c>
      <c r="N1882" s="8">
        <v>0</v>
      </c>
      <c r="O1882" s="8">
        <v>2</v>
      </c>
      <c r="P1882" s="8">
        <v>2</v>
      </c>
      <c r="Q1882" s="8">
        <v>2</v>
      </c>
      <c r="R1882" s="8">
        <v>2</v>
      </c>
      <c r="S1882" s="8">
        <v>2</v>
      </c>
      <c r="T1882" s="8">
        <v>2</v>
      </c>
      <c r="U1882" s="8">
        <v>0</v>
      </c>
      <c r="V1882" s="8">
        <v>2</v>
      </c>
      <c r="W1882" s="8">
        <v>2</v>
      </c>
      <c r="X1882" s="8">
        <v>2</v>
      </c>
      <c r="Y1882" s="8">
        <v>0</v>
      </c>
      <c r="Z1882" s="8">
        <v>0</v>
      </c>
      <c r="AA1882" s="8">
        <v>0</v>
      </c>
      <c r="AB1882" s="8">
        <v>0</v>
      </c>
      <c r="AC1882" s="8">
        <v>2</v>
      </c>
      <c r="AD1882" s="8">
        <v>2</v>
      </c>
      <c r="AE1882" s="8">
        <v>0</v>
      </c>
      <c r="AF1882" s="8">
        <v>0</v>
      </c>
      <c r="AG1882" s="8">
        <v>0</v>
      </c>
      <c r="AH1882" s="8">
        <v>0</v>
      </c>
      <c r="AI1882" s="8">
        <v>0</v>
      </c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11" t="s">
        <v>253</v>
      </c>
    </row>
    <row r="1883" spans="1:46" ht="15.1" customHeight="1">
      <c r="A1883" s="8"/>
      <c r="B1883" s="9"/>
      <c r="C1883" s="8"/>
      <c r="D1883" s="9"/>
      <c r="E1883" s="8">
        <v>4</v>
      </c>
      <c r="F1883" s="8">
        <v>3</v>
      </c>
      <c r="G1883" s="8">
        <v>13.5</v>
      </c>
      <c r="H1883" s="8">
        <v>5</v>
      </c>
      <c r="I1883" s="8">
        <v>7</v>
      </c>
      <c r="J1883" s="8">
        <v>7</v>
      </c>
      <c r="K1883" s="8">
        <v>7</v>
      </c>
      <c r="L1883" s="8">
        <v>7</v>
      </c>
      <c r="M1883" s="8">
        <v>4</v>
      </c>
      <c r="N1883" s="8">
        <v>16.5</v>
      </c>
      <c r="O1883" s="8">
        <v>6.5</v>
      </c>
      <c r="P1883" s="8">
        <v>7</v>
      </c>
      <c r="Q1883" s="8">
        <v>4.5</v>
      </c>
      <c r="R1883" s="8">
        <v>7</v>
      </c>
      <c r="S1883" s="8">
        <v>6.5</v>
      </c>
      <c r="T1883" s="8">
        <v>4.5</v>
      </c>
      <c r="U1883" s="8">
        <v>12.5</v>
      </c>
      <c r="V1883" s="8">
        <v>6.5</v>
      </c>
      <c r="W1883" s="8">
        <v>6.5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3</v>
      </c>
      <c r="AE1883" s="8">
        <v>0</v>
      </c>
      <c r="AF1883" s="8">
        <v>0</v>
      </c>
      <c r="AG1883" s="8">
        <v>0</v>
      </c>
      <c r="AH1883" s="8">
        <v>0</v>
      </c>
      <c r="AI1883" s="8">
        <v>0</v>
      </c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11" t="s">
        <v>253</v>
      </c>
    </row>
    <row r="1884" spans="1:46" ht="15.1" customHeight="1">
      <c r="A1884" s="8">
        <v>627</v>
      </c>
      <c r="B1884" s="9" t="s">
        <v>1499</v>
      </c>
      <c r="C1884" s="8" t="s">
        <v>1500</v>
      </c>
      <c r="D1884" s="9" t="s">
        <v>451</v>
      </c>
      <c r="E1884" s="8" t="s">
        <v>54</v>
      </c>
      <c r="F1884" s="8" t="s">
        <v>54</v>
      </c>
      <c r="G1884" s="10" t="s">
        <v>67</v>
      </c>
      <c r="H1884" s="8" t="s">
        <v>54</v>
      </c>
      <c r="I1884" s="8" t="s">
        <v>54</v>
      </c>
      <c r="J1884" s="8" t="s">
        <v>54</v>
      </c>
      <c r="K1884" s="8" t="s">
        <v>54</v>
      </c>
      <c r="L1884" s="8" t="s">
        <v>54</v>
      </c>
      <c r="M1884" s="8" t="s">
        <v>54</v>
      </c>
      <c r="N1884" s="10" t="s">
        <v>67</v>
      </c>
      <c r="O1884" s="8" t="s">
        <v>54</v>
      </c>
      <c r="P1884" s="8" t="s">
        <v>54</v>
      </c>
      <c r="Q1884" s="8" t="s">
        <v>54</v>
      </c>
      <c r="R1884" s="8" t="s">
        <v>54</v>
      </c>
      <c r="S1884" s="8" t="s">
        <v>54</v>
      </c>
      <c r="T1884" s="8" t="s">
        <v>54</v>
      </c>
      <c r="U1884" s="10" t="s">
        <v>67</v>
      </c>
      <c r="V1884" s="8" t="s">
        <v>54</v>
      </c>
      <c r="W1884" s="8" t="s">
        <v>54</v>
      </c>
      <c r="X1884" s="8" t="s">
        <v>54</v>
      </c>
      <c r="Y1884" s="8" t="s">
        <v>54</v>
      </c>
      <c r="Z1884" s="8" t="s">
        <v>54</v>
      </c>
      <c r="AA1884" s="8" t="s">
        <v>54</v>
      </c>
      <c r="AB1884" s="10" t="s">
        <v>67</v>
      </c>
      <c r="AC1884" s="8" t="s">
        <v>54</v>
      </c>
      <c r="AD1884" s="8" t="s">
        <v>54</v>
      </c>
      <c r="AE1884" s="8" t="s">
        <v>54</v>
      </c>
      <c r="AF1884" s="8" t="s">
        <v>54</v>
      </c>
      <c r="AG1884" s="8" t="s">
        <v>54</v>
      </c>
      <c r="AH1884" s="8" t="s">
        <v>54</v>
      </c>
      <c r="AI1884" s="10" t="s">
        <v>67</v>
      </c>
      <c r="AJ1884" s="8">
        <f>COUNTIF($E$1884:$AI$1884,"P")</f>
        <v>26</v>
      </c>
      <c r="AK1884" s="8">
        <f>COUNTIF($E$1884:$AI$1884,"A")</f>
        <v>0</v>
      </c>
      <c r="AL1884" s="8">
        <f>SUM($E$1885:$AI$1885)</f>
        <v>38</v>
      </c>
      <c r="AM1884" s="8">
        <f>SUM($E$1886:$AI$1886)</f>
        <v>76</v>
      </c>
      <c r="AN1884" s="8">
        <f>AL1884+AM1884</f>
        <v>114</v>
      </c>
      <c r="AO1884" s="8">
        <f>COUNTIF($E$1884:$AI$1884,"CL")</f>
        <v>0</v>
      </c>
      <c r="AP1884" s="8">
        <f>COUNTIF($E$1884:$AI$1884,"SL")</f>
        <v>0</v>
      </c>
      <c r="AQ1884" s="8">
        <f>COUNTIF($E$1884:$AI$1884,"EL")</f>
        <v>0</v>
      </c>
      <c r="AR1884" s="8">
        <f>COUNTIF($E$1884:$AI$1884,"H")</f>
        <v>0</v>
      </c>
      <c r="AS1884" s="8"/>
      <c r="AT1884" s="11" t="s">
        <v>253</v>
      </c>
    </row>
    <row r="1885" spans="1:46" ht="15.1" customHeight="1">
      <c r="A1885" s="8"/>
      <c r="B1885" s="9"/>
      <c r="C1885" s="8"/>
      <c r="D1885" s="9"/>
      <c r="E1885" s="8">
        <v>2</v>
      </c>
      <c r="F1885" s="8">
        <v>2</v>
      </c>
      <c r="G1885" s="8">
        <v>0</v>
      </c>
      <c r="H1885" s="8">
        <v>2</v>
      </c>
      <c r="I1885" s="8">
        <v>2</v>
      </c>
      <c r="J1885" s="8">
        <v>2</v>
      </c>
      <c r="K1885" s="8">
        <v>2</v>
      </c>
      <c r="L1885" s="8">
        <v>2</v>
      </c>
      <c r="M1885" s="8">
        <v>2</v>
      </c>
      <c r="N1885" s="8">
        <v>0</v>
      </c>
      <c r="O1885" s="8">
        <v>2</v>
      </c>
      <c r="P1885" s="8">
        <v>2</v>
      </c>
      <c r="Q1885" s="8">
        <v>2</v>
      </c>
      <c r="R1885" s="8">
        <v>2</v>
      </c>
      <c r="S1885" s="8">
        <v>2</v>
      </c>
      <c r="T1885" s="8">
        <v>2</v>
      </c>
      <c r="U1885" s="8">
        <v>0</v>
      </c>
      <c r="V1885" s="8">
        <v>2</v>
      </c>
      <c r="W1885" s="8">
        <v>2</v>
      </c>
      <c r="X1885" s="8">
        <v>2</v>
      </c>
      <c r="Y1885" s="8">
        <v>0</v>
      </c>
      <c r="Z1885" s="8">
        <v>0</v>
      </c>
      <c r="AA1885" s="8">
        <v>0</v>
      </c>
      <c r="AB1885" s="8">
        <v>0</v>
      </c>
      <c r="AC1885" s="8">
        <v>2</v>
      </c>
      <c r="AD1885" s="8">
        <v>2</v>
      </c>
      <c r="AE1885" s="8">
        <v>0</v>
      </c>
      <c r="AF1885" s="8">
        <v>0</v>
      </c>
      <c r="AG1885" s="8">
        <v>0</v>
      </c>
      <c r="AH1885" s="8">
        <v>0</v>
      </c>
      <c r="AI1885" s="8">
        <v>0</v>
      </c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11" t="s">
        <v>253</v>
      </c>
    </row>
    <row r="1886" spans="1:46" ht="15.1" customHeight="1">
      <c r="A1886" s="8"/>
      <c r="B1886" s="9"/>
      <c r="C1886" s="8"/>
      <c r="D1886" s="9"/>
      <c r="E1886" s="8">
        <v>2.5</v>
      </c>
      <c r="F1886" s="8">
        <v>3</v>
      </c>
      <c r="G1886" s="8">
        <v>13</v>
      </c>
      <c r="H1886" s="8">
        <v>3</v>
      </c>
      <c r="I1886" s="8">
        <v>3</v>
      </c>
      <c r="J1886" s="8">
        <v>3</v>
      </c>
      <c r="K1886" s="8">
        <v>3</v>
      </c>
      <c r="L1886" s="8">
        <v>3</v>
      </c>
      <c r="M1886" s="8">
        <v>3</v>
      </c>
      <c r="N1886" s="8">
        <v>0</v>
      </c>
      <c r="O1886" s="8">
        <v>3</v>
      </c>
      <c r="P1886" s="8">
        <v>3</v>
      </c>
      <c r="Q1886" s="8">
        <v>3</v>
      </c>
      <c r="R1886" s="8">
        <v>3</v>
      </c>
      <c r="S1886" s="8">
        <v>3</v>
      </c>
      <c r="T1886" s="8">
        <v>3</v>
      </c>
      <c r="U1886" s="8">
        <v>12.5</v>
      </c>
      <c r="V1886" s="8">
        <v>3</v>
      </c>
      <c r="W1886" s="8">
        <v>3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3</v>
      </c>
      <c r="AE1886" s="8">
        <v>0</v>
      </c>
      <c r="AF1886" s="8">
        <v>0</v>
      </c>
      <c r="AG1886" s="8">
        <v>0</v>
      </c>
      <c r="AH1886" s="8">
        <v>0</v>
      </c>
      <c r="AI1886" s="8">
        <v>0</v>
      </c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11" t="s">
        <v>253</v>
      </c>
    </row>
    <row r="1887" spans="1:46" ht="15.1" customHeight="1">
      <c r="A1887" s="8">
        <v>628</v>
      </c>
      <c r="B1887" s="9" t="s">
        <v>1501</v>
      </c>
      <c r="C1887" s="8" t="s">
        <v>1502</v>
      </c>
      <c r="D1887" s="9" t="s">
        <v>451</v>
      </c>
      <c r="E1887" s="8" t="s">
        <v>54</v>
      </c>
      <c r="F1887" s="8" t="s">
        <v>54</v>
      </c>
      <c r="G1887" s="10" t="s">
        <v>67</v>
      </c>
      <c r="H1887" s="8" t="s">
        <v>54</v>
      </c>
      <c r="I1887" s="8" t="s">
        <v>54</v>
      </c>
      <c r="J1887" s="8" t="s">
        <v>54</v>
      </c>
      <c r="K1887" s="8" t="s">
        <v>54</v>
      </c>
      <c r="L1887" s="8" t="s">
        <v>54</v>
      </c>
      <c r="M1887" s="8" t="s">
        <v>54</v>
      </c>
      <c r="N1887" s="10" t="s">
        <v>67</v>
      </c>
      <c r="O1887" s="8" t="s">
        <v>54</v>
      </c>
      <c r="P1887" s="8" t="s">
        <v>54</v>
      </c>
      <c r="Q1887" s="8" t="s">
        <v>54</v>
      </c>
      <c r="R1887" s="8" t="s">
        <v>54</v>
      </c>
      <c r="S1887" s="8" t="s">
        <v>54</v>
      </c>
      <c r="T1887" s="8" t="s">
        <v>54</v>
      </c>
      <c r="U1887" s="10" t="s">
        <v>67</v>
      </c>
      <c r="V1887" s="12" t="s">
        <v>55</v>
      </c>
      <c r="W1887" s="12" t="s">
        <v>55</v>
      </c>
      <c r="X1887" s="12" t="s">
        <v>55</v>
      </c>
      <c r="Y1887" s="8" t="s">
        <v>54</v>
      </c>
      <c r="Z1887" s="8" t="s">
        <v>54</v>
      </c>
      <c r="AA1887" s="8" t="s">
        <v>54</v>
      </c>
      <c r="AB1887" s="10" t="s">
        <v>67</v>
      </c>
      <c r="AC1887" s="8" t="s">
        <v>54</v>
      </c>
      <c r="AD1887" s="8" t="s">
        <v>54</v>
      </c>
      <c r="AE1887" s="12" t="s">
        <v>55</v>
      </c>
      <c r="AF1887" s="12" t="s">
        <v>55</v>
      </c>
      <c r="AG1887" s="8" t="s">
        <v>54</v>
      </c>
      <c r="AH1887" s="8" t="s">
        <v>54</v>
      </c>
      <c r="AI1887" s="10" t="s">
        <v>67</v>
      </c>
      <c r="AJ1887" s="8">
        <f>COUNTIF($E$1887:$AI$1887,"P")</f>
        <v>21</v>
      </c>
      <c r="AK1887" s="8">
        <f>COUNTIF($E$1887:$AI$1887,"A")</f>
        <v>5</v>
      </c>
      <c r="AL1887" s="8">
        <f>SUM($E$1888:$AI$1888)</f>
        <v>30</v>
      </c>
      <c r="AM1887" s="8">
        <f>SUM($E$1889:$AI$1889)</f>
        <v>123</v>
      </c>
      <c r="AN1887" s="8">
        <f>AL1887+AM1887</f>
        <v>153</v>
      </c>
      <c r="AO1887" s="8">
        <f>COUNTIF($E$1887:$AI$1887,"CL")</f>
        <v>0</v>
      </c>
      <c r="AP1887" s="8">
        <f>COUNTIF($E$1887:$AI$1887,"SL")</f>
        <v>0</v>
      </c>
      <c r="AQ1887" s="8">
        <f>COUNTIF($E$1887:$AI$1887,"EL")</f>
        <v>0</v>
      </c>
      <c r="AR1887" s="8">
        <f>COUNTIF($E$1887:$AI$1887,"H")</f>
        <v>0</v>
      </c>
      <c r="AS1887" s="8"/>
      <c r="AT1887" s="11" t="s">
        <v>253</v>
      </c>
    </row>
    <row r="1888" spans="1:46" ht="15.1" customHeight="1">
      <c r="A1888" s="8"/>
      <c r="B1888" s="9"/>
      <c r="C1888" s="8"/>
      <c r="D1888" s="9"/>
      <c r="E1888" s="8">
        <v>2</v>
      </c>
      <c r="F1888" s="8">
        <v>2</v>
      </c>
      <c r="G1888" s="8">
        <v>0</v>
      </c>
      <c r="H1888" s="8">
        <v>2</v>
      </c>
      <c r="I1888" s="8">
        <v>2</v>
      </c>
      <c r="J1888" s="8">
        <v>2</v>
      </c>
      <c r="K1888" s="8">
        <v>2</v>
      </c>
      <c r="L1888" s="8">
        <v>2</v>
      </c>
      <c r="M1888" s="8">
        <v>2</v>
      </c>
      <c r="N1888" s="8">
        <v>0</v>
      </c>
      <c r="O1888" s="8">
        <v>2</v>
      </c>
      <c r="P1888" s="8">
        <v>2</v>
      </c>
      <c r="Q1888" s="8">
        <v>2</v>
      </c>
      <c r="R1888" s="8">
        <v>2</v>
      </c>
      <c r="S1888" s="8">
        <v>2</v>
      </c>
      <c r="T1888" s="8">
        <v>2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2</v>
      </c>
      <c r="AD1888" s="8">
        <v>0</v>
      </c>
      <c r="AE1888" s="8">
        <v>0</v>
      </c>
      <c r="AF1888" s="8">
        <v>0</v>
      </c>
      <c r="AG1888" s="8">
        <v>0</v>
      </c>
      <c r="AH1888" s="8">
        <v>0</v>
      </c>
      <c r="AI1888" s="8">
        <v>0</v>
      </c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11" t="s">
        <v>253</v>
      </c>
    </row>
    <row r="1889" spans="1:46" ht="15.1" customHeight="1">
      <c r="A1889" s="8"/>
      <c r="B1889" s="9"/>
      <c r="C1889" s="8"/>
      <c r="D1889" s="9"/>
      <c r="E1889" s="8">
        <v>3.5</v>
      </c>
      <c r="F1889" s="8">
        <v>3</v>
      </c>
      <c r="G1889" s="8">
        <v>13.5</v>
      </c>
      <c r="H1889" s="8">
        <v>5</v>
      </c>
      <c r="I1889" s="8">
        <v>7</v>
      </c>
      <c r="J1889" s="8">
        <v>7</v>
      </c>
      <c r="K1889" s="8">
        <v>7</v>
      </c>
      <c r="L1889" s="8">
        <v>7</v>
      </c>
      <c r="M1889" s="8">
        <v>5</v>
      </c>
      <c r="N1889" s="8">
        <v>16.5</v>
      </c>
      <c r="O1889" s="8">
        <v>7</v>
      </c>
      <c r="P1889" s="8">
        <v>7</v>
      </c>
      <c r="Q1889" s="8">
        <v>5</v>
      </c>
      <c r="R1889" s="8">
        <v>7</v>
      </c>
      <c r="S1889" s="8">
        <v>7</v>
      </c>
      <c r="T1889" s="8">
        <v>3</v>
      </c>
      <c r="U1889" s="8">
        <v>12.5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11" t="s">
        <v>253</v>
      </c>
    </row>
    <row r="1890" spans="1:46" ht="15.1" customHeight="1">
      <c r="A1890" s="8">
        <v>629</v>
      </c>
      <c r="B1890" s="9" t="s">
        <v>1503</v>
      </c>
      <c r="C1890" s="8" t="s">
        <v>1504</v>
      </c>
      <c r="D1890" s="9" t="s">
        <v>451</v>
      </c>
      <c r="E1890" s="8" t="s">
        <v>54</v>
      </c>
      <c r="F1890" s="8" t="s">
        <v>54</v>
      </c>
      <c r="G1890" s="10" t="s">
        <v>67</v>
      </c>
      <c r="H1890" s="8" t="s">
        <v>54</v>
      </c>
      <c r="I1890" s="8" t="s">
        <v>54</v>
      </c>
      <c r="J1890" s="8" t="s">
        <v>54</v>
      </c>
      <c r="K1890" s="12" t="s">
        <v>55</v>
      </c>
      <c r="L1890" s="12" t="s">
        <v>55</v>
      </c>
      <c r="M1890" s="8" t="s">
        <v>54</v>
      </c>
      <c r="N1890" s="10" t="s">
        <v>67</v>
      </c>
      <c r="O1890" s="8" t="s">
        <v>54</v>
      </c>
      <c r="P1890" s="8" t="s">
        <v>54</v>
      </c>
      <c r="Q1890" s="8" t="s">
        <v>54</v>
      </c>
      <c r="R1890" s="8" t="s">
        <v>54</v>
      </c>
      <c r="S1890" s="8" t="s">
        <v>54</v>
      </c>
      <c r="T1890" s="8" t="s">
        <v>54</v>
      </c>
      <c r="U1890" s="10" t="s">
        <v>67</v>
      </c>
      <c r="V1890" s="8" t="s">
        <v>54</v>
      </c>
      <c r="W1890" s="8" t="s">
        <v>54</v>
      </c>
      <c r="X1890" s="8" t="s">
        <v>54</v>
      </c>
      <c r="Y1890" s="8" t="s">
        <v>54</v>
      </c>
      <c r="Z1890" s="8" t="s">
        <v>54</v>
      </c>
      <c r="AA1890" s="8" t="s">
        <v>54</v>
      </c>
      <c r="AB1890" s="10" t="s">
        <v>67</v>
      </c>
      <c r="AC1890" s="8" t="s">
        <v>54</v>
      </c>
      <c r="AD1890" s="8" t="s">
        <v>54</v>
      </c>
      <c r="AE1890" s="8" t="s">
        <v>54</v>
      </c>
      <c r="AF1890" s="8" t="s">
        <v>54</v>
      </c>
      <c r="AG1890" s="8" t="s">
        <v>54</v>
      </c>
      <c r="AH1890" s="8" t="s">
        <v>54</v>
      </c>
      <c r="AI1890" s="10" t="s">
        <v>67</v>
      </c>
      <c r="AJ1890" s="8">
        <f>COUNTIF($E$1890:$AI$1890,"P")</f>
        <v>24</v>
      </c>
      <c r="AK1890" s="8">
        <f>COUNTIF($E$1890:$AI$1890,"A")</f>
        <v>2</v>
      </c>
      <c r="AL1890" s="8">
        <f>SUM($E$1891:$AI$1891)</f>
        <v>34</v>
      </c>
      <c r="AM1890" s="8">
        <f>SUM($E$1892:$AI$1892)</f>
        <v>112</v>
      </c>
      <c r="AN1890" s="8">
        <f>AL1890+AM1890</f>
        <v>146</v>
      </c>
      <c r="AO1890" s="8">
        <f>COUNTIF($E$1890:$AI$1890,"CL")</f>
        <v>0</v>
      </c>
      <c r="AP1890" s="8">
        <f>COUNTIF($E$1890:$AI$1890,"SL")</f>
        <v>0</v>
      </c>
      <c r="AQ1890" s="8">
        <f>COUNTIF($E$1890:$AI$1890,"EL")</f>
        <v>0</v>
      </c>
      <c r="AR1890" s="8">
        <f>COUNTIF($E$1890:$AI$1890,"H")</f>
        <v>0</v>
      </c>
      <c r="AS1890" s="8"/>
      <c r="AT1890" s="11" t="s">
        <v>253</v>
      </c>
    </row>
    <row r="1891" spans="1:46" ht="15.1" customHeight="1">
      <c r="A1891" s="8"/>
      <c r="B1891" s="9"/>
      <c r="C1891" s="8"/>
      <c r="D1891" s="9"/>
      <c r="E1891" s="8">
        <v>2</v>
      </c>
      <c r="F1891" s="8">
        <v>2</v>
      </c>
      <c r="G1891" s="8">
        <v>0</v>
      </c>
      <c r="H1891" s="8">
        <v>2</v>
      </c>
      <c r="I1891" s="8">
        <v>2</v>
      </c>
      <c r="J1891" s="8">
        <v>2</v>
      </c>
      <c r="K1891" s="8">
        <v>0</v>
      </c>
      <c r="L1891" s="8">
        <v>0</v>
      </c>
      <c r="M1891" s="8">
        <v>2</v>
      </c>
      <c r="N1891" s="8">
        <v>0</v>
      </c>
      <c r="O1891" s="8">
        <v>2</v>
      </c>
      <c r="P1891" s="8">
        <v>2</v>
      </c>
      <c r="Q1891" s="8">
        <v>2</v>
      </c>
      <c r="R1891" s="8">
        <v>2</v>
      </c>
      <c r="S1891" s="8">
        <v>2</v>
      </c>
      <c r="T1891" s="8">
        <v>2</v>
      </c>
      <c r="U1891" s="8">
        <v>0</v>
      </c>
      <c r="V1891" s="8">
        <v>2</v>
      </c>
      <c r="W1891" s="8">
        <v>2</v>
      </c>
      <c r="X1891" s="8">
        <v>2</v>
      </c>
      <c r="Y1891" s="8">
        <v>0</v>
      </c>
      <c r="Z1891" s="8">
        <v>0</v>
      </c>
      <c r="AA1891" s="8">
        <v>0</v>
      </c>
      <c r="AB1891" s="8">
        <v>0</v>
      </c>
      <c r="AC1891" s="8">
        <v>2</v>
      </c>
      <c r="AD1891" s="8">
        <v>2</v>
      </c>
      <c r="AE1891" s="8">
        <v>0</v>
      </c>
      <c r="AF1891" s="8">
        <v>0</v>
      </c>
      <c r="AG1891" s="8">
        <v>0</v>
      </c>
      <c r="AH1891" s="8">
        <v>0</v>
      </c>
      <c r="AI1891" s="8">
        <v>0</v>
      </c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11" t="s">
        <v>253</v>
      </c>
    </row>
    <row r="1892" spans="1:46" ht="15.1" customHeight="1">
      <c r="A1892" s="8"/>
      <c r="B1892" s="9"/>
      <c r="C1892" s="8"/>
      <c r="D1892" s="9"/>
      <c r="E1892" s="8">
        <v>3.5</v>
      </c>
      <c r="F1892" s="8">
        <v>3</v>
      </c>
      <c r="G1892" s="8">
        <v>13.5</v>
      </c>
      <c r="H1892" s="8">
        <v>5</v>
      </c>
      <c r="I1892" s="8">
        <v>7</v>
      </c>
      <c r="J1892" s="8">
        <v>7</v>
      </c>
      <c r="K1892" s="8">
        <v>0</v>
      </c>
      <c r="L1892" s="8">
        <v>0</v>
      </c>
      <c r="M1892" s="8">
        <v>5</v>
      </c>
      <c r="N1892" s="8">
        <v>16.5</v>
      </c>
      <c r="O1892" s="8">
        <v>6.5</v>
      </c>
      <c r="P1892" s="8">
        <v>6.5</v>
      </c>
      <c r="Q1892" s="8">
        <v>4</v>
      </c>
      <c r="R1892" s="8">
        <v>6.5</v>
      </c>
      <c r="S1892" s="8">
        <v>6.5</v>
      </c>
      <c r="T1892" s="8">
        <v>4.5</v>
      </c>
      <c r="U1892" s="8">
        <v>0</v>
      </c>
      <c r="V1892" s="8">
        <v>7</v>
      </c>
      <c r="W1892" s="8">
        <v>7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3</v>
      </c>
      <c r="AE1892" s="8">
        <v>0</v>
      </c>
      <c r="AF1892" s="8">
        <v>0</v>
      </c>
      <c r="AG1892" s="8">
        <v>0</v>
      </c>
      <c r="AH1892" s="8">
        <v>0</v>
      </c>
      <c r="AI1892" s="8">
        <v>0</v>
      </c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11" t="s">
        <v>253</v>
      </c>
    </row>
    <row r="1893" spans="1:46" ht="15.1" customHeight="1">
      <c r="A1893" s="8">
        <v>630</v>
      </c>
      <c r="B1893" s="9" t="s">
        <v>1505</v>
      </c>
      <c r="C1893" s="8" t="s">
        <v>1506</v>
      </c>
      <c r="D1893" s="9" t="s">
        <v>451</v>
      </c>
      <c r="E1893" s="8" t="s">
        <v>54</v>
      </c>
      <c r="F1893" s="8" t="s">
        <v>54</v>
      </c>
      <c r="G1893" s="10" t="s">
        <v>67</v>
      </c>
      <c r="H1893" s="8" t="s">
        <v>54</v>
      </c>
      <c r="I1893" s="8" t="s">
        <v>54</v>
      </c>
      <c r="J1893" s="8" t="s">
        <v>54</v>
      </c>
      <c r="K1893" s="8" t="s">
        <v>54</v>
      </c>
      <c r="L1893" s="8" t="s">
        <v>54</v>
      </c>
      <c r="M1893" s="8" t="s">
        <v>54</v>
      </c>
      <c r="N1893" s="10" t="s">
        <v>67</v>
      </c>
      <c r="O1893" s="8" t="s">
        <v>54</v>
      </c>
      <c r="P1893" s="8" t="s">
        <v>54</v>
      </c>
      <c r="Q1893" s="8" t="s">
        <v>54</v>
      </c>
      <c r="R1893" s="8" t="s">
        <v>54</v>
      </c>
      <c r="S1893" s="8" t="s">
        <v>54</v>
      </c>
      <c r="T1893" s="8" t="s">
        <v>54</v>
      </c>
      <c r="U1893" s="10" t="s">
        <v>67</v>
      </c>
      <c r="V1893" s="8" t="s">
        <v>54</v>
      </c>
      <c r="W1893" s="8" t="s">
        <v>54</v>
      </c>
      <c r="X1893" s="8" t="s">
        <v>54</v>
      </c>
      <c r="Y1893" s="8" t="s">
        <v>54</v>
      </c>
      <c r="Z1893" s="12" t="s">
        <v>55</v>
      </c>
      <c r="AA1893" s="12" t="s">
        <v>55</v>
      </c>
      <c r="AB1893" s="10" t="s">
        <v>67</v>
      </c>
      <c r="AC1893" s="8" t="s">
        <v>54</v>
      </c>
      <c r="AD1893" s="8" t="s">
        <v>54</v>
      </c>
      <c r="AE1893" s="8" t="s">
        <v>54</v>
      </c>
      <c r="AF1893" s="8" t="s">
        <v>54</v>
      </c>
      <c r="AG1893" s="8" t="s">
        <v>54</v>
      </c>
      <c r="AH1893" s="8" t="s">
        <v>54</v>
      </c>
      <c r="AI1893" s="10" t="s">
        <v>67</v>
      </c>
      <c r="AJ1893" s="8">
        <f>COUNTIF($E$1893:$AI$1893,"P")</f>
        <v>24</v>
      </c>
      <c r="AK1893" s="8">
        <f>COUNTIF($E$1893:$AI$1893,"A")</f>
        <v>2</v>
      </c>
      <c r="AL1893" s="8">
        <f>SUM($E$1894:$AI$1894)</f>
        <v>36</v>
      </c>
      <c r="AM1893" s="8">
        <f>SUM($E$1895:$AI$1895)</f>
        <v>120.5</v>
      </c>
      <c r="AN1893" s="8">
        <f>AL1893+AM1893</f>
        <v>156.5</v>
      </c>
      <c r="AO1893" s="8">
        <f>COUNTIF($E$1893:$AI$1893,"CL")</f>
        <v>0</v>
      </c>
      <c r="AP1893" s="8">
        <f>COUNTIF($E$1893:$AI$1893,"SL")</f>
        <v>0</v>
      </c>
      <c r="AQ1893" s="8">
        <f>COUNTIF($E$1893:$AI$1893,"EL")</f>
        <v>0</v>
      </c>
      <c r="AR1893" s="8">
        <f>COUNTIF($E$1893:$AI$1893,"H")</f>
        <v>0</v>
      </c>
      <c r="AS1893" s="8"/>
      <c r="AT1893" s="11" t="s">
        <v>253</v>
      </c>
    </row>
    <row r="1894" spans="1:46" ht="15.1" customHeight="1">
      <c r="A1894" s="8"/>
      <c r="B1894" s="9"/>
      <c r="C1894" s="8"/>
      <c r="D1894" s="9"/>
      <c r="E1894" s="8">
        <v>2</v>
      </c>
      <c r="F1894" s="8">
        <v>2</v>
      </c>
      <c r="G1894" s="8">
        <v>0</v>
      </c>
      <c r="H1894" s="8">
        <v>2</v>
      </c>
      <c r="I1894" s="8">
        <v>2</v>
      </c>
      <c r="J1894" s="8">
        <v>2</v>
      </c>
      <c r="K1894" s="8">
        <v>2</v>
      </c>
      <c r="L1894" s="8">
        <v>2</v>
      </c>
      <c r="M1894" s="8">
        <v>2</v>
      </c>
      <c r="N1894" s="8">
        <v>0</v>
      </c>
      <c r="O1894" s="8">
        <v>2</v>
      </c>
      <c r="P1894" s="8">
        <v>2</v>
      </c>
      <c r="Q1894" s="8">
        <v>0</v>
      </c>
      <c r="R1894" s="8">
        <v>2</v>
      </c>
      <c r="S1894" s="8">
        <v>2</v>
      </c>
      <c r="T1894" s="8">
        <v>2</v>
      </c>
      <c r="U1894" s="8">
        <v>0</v>
      </c>
      <c r="V1894" s="8">
        <v>2</v>
      </c>
      <c r="W1894" s="8">
        <v>2</v>
      </c>
      <c r="X1894" s="8">
        <v>2</v>
      </c>
      <c r="Y1894" s="8">
        <v>0</v>
      </c>
      <c r="Z1894" s="8">
        <v>0</v>
      </c>
      <c r="AA1894" s="8">
        <v>0</v>
      </c>
      <c r="AB1894" s="8">
        <v>0</v>
      </c>
      <c r="AC1894" s="8">
        <v>2</v>
      </c>
      <c r="AD1894" s="8">
        <v>2</v>
      </c>
      <c r="AE1894" s="8">
        <v>0</v>
      </c>
      <c r="AF1894" s="8">
        <v>0</v>
      </c>
      <c r="AG1894" s="8">
        <v>0</v>
      </c>
      <c r="AH1894" s="8">
        <v>0</v>
      </c>
      <c r="AI1894" s="8">
        <v>0</v>
      </c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11" t="s">
        <v>253</v>
      </c>
    </row>
    <row r="1895" spans="1:46" ht="15.1" customHeight="1">
      <c r="A1895" s="8"/>
      <c r="B1895" s="9"/>
      <c r="C1895" s="8"/>
      <c r="D1895" s="9"/>
      <c r="E1895" s="8">
        <v>4</v>
      </c>
      <c r="F1895" s="8">
        <v>3</v>
      </c>
      <c r="G1895" s="8">
        <v>0</v>
      </c>
      <c r="H1895" s="8">
        <v>5</v>
      </c>
      <c r="I1895" s="8">
        <v>7</v>
      </c>
      <c r="J1895" s="8">
        <v>7</v>
      </c>
      <c r="K1895" s="8">
        <v>7</v>
      </c>
      <c r="L1895" s="8">
        <v>7</v>
      </c>
      <c r="M1895" s="8">
        <v>5</v>
      </c>
      <c r="N1895" s="8">
        <v>17</v>
      </c>
      <c r="O1895" s="8">
        <v>7</v>
      </c>
      <c r="P1895" s="8">
        <v>7</v>
      </c>
      <c r="Q1895" s="8">
        <v>0</v>
      </c>
      <c r="R1895" s="8">
        <v>5</v>
      </c>
      <c r="S1895" s="8">
        <v>7</v>
      </c>
      <c r="T1895" s="8">
        <v>3</v>
      </c>
      <c r="U1895" s="8">
        <v>12.5</v>
      </c>
      <c r="V1895" s="8">
        <v>7</v>
      </c>
      <c r="W1895" s="8">
        <v>7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0</v>
      </c>
      <c r="AD1895" s="8">
        <v>3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11" t="s">
        <v>253</v>
      </c>
    </row>
    <row r="1896" spans="1:46" ht="15.1" customHeight="1">
      <c r="A1896" s="8">
        <v>631</v>
      </c>
      <c r="B1896" s="9" t="s">
        <v>1507</v>
      </c>
      <c r="C1896" s="8" t="s">
        <v>1508</v>
      </c>
      <c r="D1896" s="9" t="s">
        <v>451</v>
      </c>
      <c r="E1896" s="8" t="s">
        <v>54</v>
      </c>
      <c r="F1896" s="8" t="s">
        <v>54</v>
      </c>
      <c r="G1896" s="10" t="s">
        <v>67</v>
      </c>
      <c r="H1896" s="8" t="s">
        <v>54</v>
      </c>
      <c r="I1896" s="8" t="s">
        <v>54</v>
      </c>
      <c r="J1896" s="8" t="s">
        <v>54</v>
      </c>
      <c r="K1896" s="8" t="s">
        <v>54</v>
      </c>
      <c r="L1896" s="8" t="s">
        <v>54</v>
      </c>
      <c r="M1896" s="8" t="s">
        <v>54</v>
      </c>
      <c r="N1896" s="10" t="s">
        <v>67</v>
      </c>
      <c r="O1896" s="8" t="s">
        <v>54</v>
      </c>
      <c r="P1896" s="8" t="s">
        <v>54</v>
      </c>
      <c r="Q1896" s="8" t="s">
        <v>54</v>
      </c>
      <c r="R1896" s="8" t="s">
        <v>54</v>
      </c>
      <c r="S1896" s="8" t="s">
        <v>54</v>
      </c>
      <c r="T1896" s="8" t="s">
        <v>54</v>
      </c>
      <c r="U1896" s="10" t="s">
        <v>67</v>
      </c>
      <c r="V1896" s="8" t="s">
        <v>54</v>
      </c>
      <c r="W1896" s="8" t="s">
        <v>54</v>
      </c>
      <c r="X1896" s="8" t="s">
        <v>54</v>
      </c>
      <c r="Y1896" s="8" t="s">
        <v>54</v>
      </c>
      <c r="Z1896" s="8" t="s">
        <v>54</v>
      </c>
      <c r="AA1896" s="8" t="s">
        <v>54</v>
      </c>
      <c r="AB1896" s="10" t="s">
        <v>67</v>
      </c>
      <c r="AC1896" s="8" t="s">
        <v>54</v>
      </c>
      <c r="AD1896" s="8" t="s">
        <v>54</v>
      </c>
      <c r="AE1896" s="8" t="s">
        <v>54</v>
      </c>
      <c r="AF1896" s="8" t="s">
        <v>54</v>
      </c>
      <c r="AG1896" s="8" t="s">
        <v>54</v>
      </c>
      <c r="AH1896" s="8" t="s">
        <v>54</v>
      </c>
      <c r="AI1896" s="10" t="s">
        <v>67</v>
      </c>
      <c r="AJ1896" s="8">
        <f>COUNTIF($E$1896:$AI$1896,"P")</f>
        <v>26</v>
      </c>
      <c r="AK1896" s="8">
        <f>COUNTIF($E$1896:$AI$1896,"A")</f>
        <v>0</v>
      </c>
      <c r="AL1896" s="8">
        <f>SUM($E$1897:$AI$1897)</f>
        <v>38</v>
      </c>
      <c r="AM1896" s="8">
        <f>SUM($E$1898:$AI$1898)</f>
        <v>145.5</v>
      </c>
      <c r="AN1896" s="8">
        <f>AL1896+AM1896</f>
        <v>183.5</v>
      </c>
      <c r="AO1896" s="8">
        <f>COUNTIF($E$1896:$AI$1896,"CL")</f>
        <v>0</v>
      </c>
      <c r="AP1896" s="8">
        <f>COUNTIF($E$1896:$AI$1896,"SL")</f>
        <v>0</v>
      </c>
      <c r="AQ1896" s="8">
        <f>COUNTIF($E$1896:$AI$1896,"EL")</f>
        <v>0</v>
      </c>
      <c r="AR1896" s="8">
        <f>COUNTIF($E$1896:$AI$1896,"H")</f>
        <v>0</v>
      </c>
      <c r="AS1896" s="8"/>
      <c r="AT1896" s="11" t="s">
        <v>253</v>
      </c>
    </row>
    <row r="1897" spans="1:46" ht="15.1" customHeight="1">
      <c r="A1897" s="8"/>
      <c r="B1897" s="9"/>
      <c r="C1897" s="8"/>
      <c r="D1897" s="9"/>
      <c r="E1897" s="8">
        <v>2</v>
      </c>
      <c r="F1897" s="8">
        <v>2</v>
      </c>
      <c r="G1897" s="8">
        <v>0</v>
      </c>
      <c r="H1897" s="8">
        <v>2</v>
      </c>
      <c r="I1897" s="8">
        <v>2</v>
      </c>
      <c r="J1897" s="8">
        <v>2</v>
      </c>
      <c r="K1897" s="8">
        <v>2</v>
      </c>
      <c r="L1897" s="8">
        <v>2</v>
      </c>
      <c r="M1897" s="8">
        <v>2</v>
      </c>
      <c r="N1897" s="8">
        <v>0</v>
      </c>
      <c r="O1897" s="8">
        <v>2</v>
      </c>
      <c r="P1897" s="8">
        <v>2</v>
      </c>
      <c r="Q1897" s="8">
        <v>2</v>
      </c>
      <c r="R1897" s="8">
        <v>2</v>
      </c>
      <c r="S1897" s="8">
        <v>2</v>
      </c>
      <c r="T1897" s="8">
        <v>2</v>
      </c>
      <c r="U1897" s="8">
        <v>0</v>
      </c>
      <c r="V1897" s="8">
        <v>2</v>
      </c>
      <c r="W1897" s="8">
        <v>2</v>
      </c>
      <c r="X1897" s="8">
        <v>2</v>
      </c>
      <c r="Y1897" s="8">
        <v>0</v>
      </c>
      <c r="Z1897" s="8">
        <v>0</v>
      </c>
      <c r="AA1897" s="8">
        <v>0</v>
      </c>
      <c r="AB1897" s="8">
        <v>0</v>
      </c>
      <c r="AC1897" s="8">
        <v>2</v>
      </c>
      <c r="AD1897" s="8">
        <v>2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11" t="s">
        <v>253</v>
      </c>
    </row>
    <row r="1898" spans="1:46" ht="15.1" customHeight="1">
      <c r="A1898" s="8"/>
      <c r="B1898" s="9"/>
      <c r="C1898" s="8"/>
      <c r="D1898" s="9"/>
      <c r="E1898" s="8">
        <v>3.5</v>
      </c>
      <c r="F1898" s="8">
        <v>3</v>
      </c>
      <c r="G1898" s="8">
        <v>13.5</v>
      </c>
      <c r="H1898" s="8">
        <v>5</v>
      </c>
      <c r="I1898" s="8">
        <v>7</v>
      </c>
      <c r="J1898" s="8">
        <v>7</v>
      </c>
      <c r="K1898" s="8">
        <v>7</v>
      </c>
      <c r="L1898" s="8">
        <v>7</v>
      </c>
      <c r="M1898" s="8">
        <v>5</v>
      </c>
      <c r="N1898" s="8">
        <v>16.5</v>
      </c>
      <c r="O1898" s="8">
        <v>7</v>
      </c>
      <c r="P1898" s="8">
        <v>7</v>
      </c>
      <c r="Q1898" s="8">
        <v>5</v>
      </c>
      <c r="R1898" s="8">
        <v>7</v>
      </c>
      <c r="S1898" s="8">
        <v>6.5</v>
      </c>
      <c r="T1898" s="8">
        <v>5</v>
      </c>
      <c r="U1898" s="8">
        <v>12.5</v>
      </c>
      <c r="V1898" s="8">
        <v>7</v>
      </c>
      <c r="W1898" s="8">
        <v>7</v>
      </c>
      <c r="X1898" s="8">
        <v>4</v>
      </c>
      <c r="Y1898" s="8">
        <v>0</v>
      </c>
      <c r="Z1898" s="8">
        <v>0</v>
      </c>
      <c r="AA1898" s="8">
        <v>0</v>
      </c>
      <c r="AB1898" s="8">
        <v>0</v>
      </c>
      <c r="AC1898" s="8">
        <v>0</v>
      </c>
      <c r="AD1898" s="8">
        <v>3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11" t="s">
        <v>253</v>
      </c>
    </row>
    <row r="1899" spans="1:46" ht="15.1" customHeight="1">
      <c r="A1899" s="8">
        <v>632</v>
      </c>
      <c r="B1899" s="9" t="s">
        <v>1509</v>
      </c>
      <c r="C1899" s="8" t="s">
        <v>1510</v>
      </c>
      <c r="D1899" s="9" t="s">
        <v>451</v>
      </c>
      <c r="E1899" s="8" t="s">
        <v>54</v>
      </c>
      <c r="F1899" s="8" t="s">
        <v>54</v>
      </c>
      <c r="G1899" s="10" t="s">
        <v>67</v>
      </c>
      <c r="H1899" s="8" t="s">
        <v>54</v>
      </c>
      <c r="I1899" s="8" t="s">
        <v>54</v>
      </c>
      <c r="J1899" s="8" t="s">
        <v>54</v>
      </c>
      <c r="K1899" s="8" t="s">
        <v>54</v>
      </c>
      <c r="L1899" s="8" t="s">
        <v>54</v>
      </c>
      <c r="M1899" s="8" t="s">
        <v>54</v>
      </c>
      <c r="N1899" s="10" t="s">
        <v>67</v>
      </c>
      <c r="O1899" s="8" t="s">
        <v>54</v>
      </c>
      <c r="P1899" s="8" t="s">
        <v>54</v>
      </c>
      <c r="Q1899" s="8" t="s">
        <v>54</v>
      </c>
      <c r="R1899" s="8" t="s">
        <v>54</v>
      </c>
      <c r="S1899" s="8" t="s">
        <v>54</v>
      </c>
      <c r="T1899" s="8" t="s">
        <v>54</v>
      </c>
      <c r="U1899" s="10" t="s">
        <v>67</v>
      </c>
      <c r="V1899" s="8" t="s">
        <v>54</v>
      </c>
      <c r="W1899" s="8" t="s">
        <v>54</v>
      </c>
      <c r="X1899" s="8" t="s">
        <v>54</v>
      </c>
      <c r="Y1899" s="8" t="s">
        <v>54</v>
      </c>
      <c r="Z1899" s="8" t="s">
        <v>54</v>
      </c>
      <c r="AA1899" s="8" t="s">
        <v>54</v>
      </c>
      <c r="AB1899" s="10" t="s">
        <v>67</v>
      </c>
      <c r="AC1899" s="8" t="s">
        <v>54</v>
      </c>
      <c r="AD1899" s="8" t="s">
        <v>54</v>
      </c>
      <c r="AE1899" s="8" t="s">
        <v>54</v>
      </c>
      <c r="AF1899" s="8" t="s">
        <v>54</v>
      </c>
      <c r="AG1899" s="8" t="s">
        <v>54</v>
      </c>
      <c r="AH1899" s="8" t="s">
        <v>54</v>
      </c>
      <c r="AI1899" s="10" t="s">
        <v>67</v>
      </c>
      <c r="AJ1899" s="8">
        <f>COUNTIF($E$1899:$AI$1899,"P")</f>
        <v>26</v>
      </c>
      <c r="AK1899" s="8">
        <f>COUNTIF($E$1899:$AI$1899,"A")</f>
        <v>0</v>
      </c>
      <c r="AL1899" s="8">
        <f>SUM($E$1900:$AI$1900)</f>
        <v>38</v>
      </c>
      <c r="AM1899" s="8">
        <f>SUM($E$1901:$AI$1901)</f>
        <v>139.5</v>
      </c>
      <c r="AN1899" s="8">
        <f>AL1899+AM1899</f>
        <v>177.5</v>
      </c>
      <c r="AO1899" s="8">
        <f>COUNTIF($E$1899:$AI$1899,"CL")</f>
        <v>0</v>
      </c>
      <c r="AP1899" s="8">
        <f>COUNTIF($E$1899:$AI$1899,"SL")</f>
        <v>0</v>
      </c>
      <c r="AQ1899" s="8">
        <f>COUNTIF($E$1899:$AI$1899,"EL")</f>
        <v>0</v>
      </c>
      <c r="AR1899" s="8">
        <f>COUNTIF($E$1899:$AI$1899,"H")</f>
        <v>0</v>
      </c>
      <c r="AS1899" s="8"/>
      <c r="AT1899" s="11" t="s">
        <v>253</v>
      </c>
    </row>
    <row r="1900" spans="1:46" ht="15.1" customHeight="1">
      <c r="A1900" s="8"/>
      <c r="B1900" s="9"/>
      <c r="C1900" s="8"/>
      <c r="D1900" s="9"/>
      <c r="E1900" s="8">
        <v>2</v>
      </c>
      <c r="F1900" s="8">
        <v>2</v>
      </c>
      <c r="G1900" s="8">
        <v>0</v>
      </c>
      <c r="H1900" s="8">
        <v>2</v>
      </c>
      <c r="I1900" s="8">
        <v>2</v>
      </c>
      <c r="J1900" s="8">
        <v>2</v>
      </c>
      <c r="K1900" s="8">
        <v>2</v>
      </c>
      <c r="L1900" s="8">
        <v>2</v>
      </c>
      <c r="M1900" s="8">
        <v>2</v>
      </c>
      <c r="N1900" s="8">
        <v>0</v>
      </c>
      <c r="O1900" s="8">
        <v>2</v>
      </c>
      <c r="P1900" s="8">
        <v>2</v>
      </c>
      <c r="Q1900" s="8">
        <v>2</v>
      </c>
      <c r="R1900" s="8">
        <v>2</v>
      </c>
      <c r="S1900" s="8">
        <v>2</v>
      </c>
      <c r="T1900" s="8">
        <v>2</v>
      </c>
      <c r="U1900" s="8">
        <v>0</v>
      </c>
      <c r="V1900" s="8">
        <v>2</v>
      </c>
      <c r="W1900" s="8">
        <v>2</v>
      </c>
      <c r="X1900" s="8">
        <v>2</v>
      </c>
      <c r="Y1900" s="8">
        <v>0</v>
      </c>
      <c r="Z1900" s="8">
        <v>0</v>
      </c>
      <c r="AA1900" s="8">
        <v>0</v>
      </c>
      <c r="AB1900" s="8">
        <v>0</v>
      </c>
      <c r="AC1900" s="8">
        <v>2</v>
      </c>
      <c r="AD1900" s="8">
        <v>2</v>
      </c>
      <c r="AE1900" s="8">
        <v>0</v>
      </c>
      <c r="AF1900" s="8">
        <v>0</v>
      </c>
      <c r="AG1900" s="8">
        <v>0</v>
      </c>
      <c r="AH1900" s="8">
        <v>0</v>
      </c>
      <c r="AI1900" s="8">
        <v>0</v>
      </c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11" t="s">
        <v>253</v>
      </c>
    </row>
    <row r="1901" spans="1:46" ht="15.1" customHeight="1">
      <c r="A1901" s="8"/>
      <c r="B1901" s="9"/>
      <c r="C1901" s="8"/>
      <c r="D1901" s="9"/>
      <c r="E1901" s="8">
        <v>4</v>
      </c>
      <c r="F1901" s="8">
        <v>3</v>
      </c>
      <c r="G1901" s="8">
        <v>14</v>
      </c>
      <c r="H1901" s="8">
        <v>5</v>
      </c>
      <c r="I1901" s="8">
        <v>6</v>
      </c>
      <c r="J1901" s="8">
        <v>7</v>
      </c>
      <c r="K1901" s="8">
        <v>7</v>
      </c>
      <c r="L1901" s="8">
        <v>7</v>
      </c>
      <c r="M1901" s="8">
        <v>5</v>
      </c>
      <c r="N1901" s="8">
        <v>16.5</v>
      </c>
      <c r="O1901" s="8">
        <v>7</v>
      </c>
      <c r="P1901" s="8">
        <v>7</v>
      </c>
      <c r="Q1901" s="8">
        <v>4.5</v>
      </c>
      <c r="R1901" s="8">
        <v>7</v>
      </c>
      <c r="S1901" s="8">
        <v>7</v>
      </c>
      <c r="T1901" s="8">
        <v>3</v>
      </c>
      <c r="U1901" s="8">
        <v>12.5</v>
      </c>
      <c r="V1901" s="8">
        <v>7</v>
      </c>
      <c r="W1901" s="8">
        <v>7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3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11" t="s">
        <v>253</v>
      </c>
    </row>
    <row r="1902" spans="1:46" ht="15.1" customHeight="1">
      <c r="A1902" s="8">
        <v>633</v>
      </c>
      <c r="B1902" s="9" t="s">
        <v>1511</v>
      </c>
      <c r="C1902" s="8" t="s">
        <v>1512</v>
      </c>
      <c r="D1902" s="9" t="s">
        <v>888</v>
      </c>
      <c r="E1902" s="8" t="s">
        <v>54</v>
      </c>
      <c r="F1902" s="8" t="s">
        <v>54</v>
      </c>
      <c r="G1902" s="10" t="s">
        <v>67</v>
      </c>
      <c r="H1902" s="8" t="s">
        <v>54</v>
      </c>
      <c r="I1902" s="8" t="s">
        <v>54</v>
      </c>
      <c r="J1902" s="8" t="s">
        <v>54</v>
      </c>
      <c r="K1902" s="8" t="s">
        <v>54</v>
      </c>
      <c r="L1902" s="8" t="s">
        <v>54</v>
      </c>
      <c r="M1902" s="12" t="s">
        <v>55</v>
      </c>
      <c r="N1902" s="10" t="s">
        <v>67</v>
      </c>
      <c r="O1902" s="8" t="s">
        <v>54</v>
      </c>
      <c r="P1902" s="8" t="s">
        <v>54</v>
      </c>
      <c r="Q1902" s="8" t="s">
        <v>54</v>
      </c>
      <c r="R1902" s="8" t="s">
        <v>54</v>
      </c>
      <c r="S1902" s="8" t="s">
        <v>54</v>
      </c>
      <c r="T1902" s="8" t="s">
        <v>54</v>
      </c>
      <c r="U1902" s="10" t="s">
        <v>67</v>
      </c>
      <c r="V1902" s="8" t="s">
        <v>54</v>
      </c>
      <c r="W1902" s="8" t="s">
        <v>54</v>
      </c>
      <c r="X1902" s="8" t="s">
        <v>54</v>
      </c>
      <c r="Y1902" s="8" t="s">
        <v>54</v>
      </c>
      <c r="Z1902" s="8" t="s">
        <v>54</v>
      </c>
      <c r="AA1902" s="8" t="s">
        <v>54</v>
      </c>
      <c r="AB1902" s="10" t="s">
        <v>67</v>
      </c>
      <c r="AC1902" s="8" t="s">
        <v>54</v>
      </c>
      <c r="AD1902" s="8" t="s">
        <v>54</v>
      </c>
      <c r="AE1902" s="8" t="s">
        <v>54</v>
      </c>
      <c r="AF1902" s="8" t="s">
        <v>54</v>
      </c>
      <c r="AG1902" s="8" t="s">
        <v>54</v>
      </c>
      <c r="AH1902" s="8" t="s">
        <v>54</v>
      </c>
      <c r="AI1902" s="10" t="s">
        <v>67</v>
      </c>
      <c r="AJ1902" s="8">
        <f>COUNTIF($E$1902:$AI$1902,"P")</f>
        <v>25</v>
      </c>
      <c r="AK1902" s="8">
        <f>COUNTIF($E$1902:$AI$1902,"A")</f>
        <v>1</v>
      </c>
      <c r="AL1902" s="8">
        <f>SUM($E$1903:$AI$1903)</f>
        <v>46</v>
      </c>
      <c r="AM1902" s="8">
        <f>SUM($E$1904:$AI$1904)</f>
        <v>124</v>
      </c>
      <c r="AN1902" s="8">
        <f>AL1902+AM1902</f>
        <v>170</v>
      </c>
      <c r="AO1902" s="8">
        <f>COUNTIF($E$1902:$AI$1902,"CL")</f>
        <v>0</v>
      </c>
      <c r="AP1902" s="8">
        <f>COUNTIF($E$1902:$AI$1902,"SL")</f>
        <v>0</v>
      </c>
      <c r="AQ1902" s="8">
        <f>COUNTIF($E$1902:$AI$1902,"EL")</f>
        <v>0</v>
      </c>
      <c r="AR1902" s="8">
        <f>COUNTIF($E$1902:$AI$1902,"H")</f>
        <v>0</v>
      </c>
      <c r="AS1902" s="8"/>
      <c r="AT1902" s="11" t="s">
        <v>254</v>
      </c>
    </row>
    <row r="1903" spans="1:46" ht="15.1" customHeight="1">
      <c r="A1903" s="8"/>
      <c r="B1903" s="9"/>
      <c r="C1903" s="8"/>
      <c r="D1903" s="9"/>
      <c r="E1903" s="8">
        <v>2</v>
      </c>
      <c r="F1903" s="8">
        <v>2</v>
      </c>
      <c r="G1903" s="8">
        <v>0</v>
      </c>
      <c r="H1903" s="8">
        <v>2</v>
      </c>
      <c r="I1903" s="8">
        <v>2</v>
      </c>
      <c r="J1903" s="8">
        <v>2</v>
      </c>
      <c r="K1903" s="8">
        <v>2</v>
      </c>
      <c r="L1903" s="8">
        <v>2</v>
      </c>
      <c r="M1903" s="8">
        <v>0</v>
      </c>
      <c r="N1903" s="8">
        <v>0</v>
      </c>
      <c r="O1903" s="8">
        <v>2</v>
      </c>
      <c r="P1903" s="8">
        <v>2</v>
      </c>
      <c r="Q1903" s="8">
        <v>2</v>
      </c>
      <c r="R1903" s="8">
        <v>2</v>
      </c>
      <c r="S1903" s="8">
        <v>2</v>
      </c>
      <c r="T1903" s="8">
        <v>2</v>
      </c>
      <c r="U1903" s="8">
        <v>0</v>
      </c>
      <c r="V1903" s="8">
        <v>2</v>
      </c>
      <c r="W1903" s="8">
        <v>2</v>
      </c>
      <c r="X1903" s="8">
        <v>2</v>
      </c>
      <c r="Y1903" s="8">
        <v>2</v>
      </c>
      <c r="Z1903" s="8">
        <v>0</v>
      </c>
      <c r="AA1903" s="8">
        <v>0</v>
      </c>
      <c r="AB1903" s="8">
        <v>0</v>
      </c>
      <c r="AC1903" s="8">
        <v>2</v>
      </c>
      <c r="AD1903" s="8">
        <v>2</v>
      </c>
      <c r="AE1903" s="8">
        <v>2</v>
      </c>
      <c r="AF1903" s="8">
        <v>2</v>
      </c>
      <c r="AG1903" s="8">
        <v>2</v>
      </c>
      <c r="AH1903" s="8">
        <v>2</v>
      </c>
      <c r="AI1903" s="8">
        <v>0</v>
      </c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11" t="s">
        <v>254</v>
      </c>
    </row>
    <row r="1904" spans="1:46" ht="15.1" customHeight="1">
      <c r="A1904" s="8"/>
      <c r="B1904" s="9"/>
      <c r="C1904" s="8"/>
      <c r="D1904" s="9"/>
      <c r="E1904" s="8">
        <v>5</v>
      </c>
      <c r="F1904" s="8">
        <v>3</v>
      </c>
      <c r="G1904" s="8">
        <v>0</v>
      </c>
      <c r="H1904" s="8">
        <v>3</v>
      </c>
      <c r="I1904" s="8">
        <v>7</v>
      </c>
      <c r="J1904" s="8">
        <v>5</v>
      </c>
      <c r="K1904" s="8">
        <v>7</v>
      </c>
      <c r="L1904" s="8">
        <v>10</v>
      </c>
      <c r="M1904" s="8">
        <v>0</v>
      </c>
      <c r="N1904" s="8">
        <v>0</v>
      </c>
      <c r="O1904" s="8">
        <v>5</v>
      </c>
      <c r="P1904" s="8">
        <v>7</v>
      </c>
      <c r="Q1904" s="8">
        <v>7</v>
      </c>
      <c r="R1904" s="8">
        <v>7</v>
      </c>
      <c r="S1904" s="8">
        <v>7</v>
      </c>
      <c r="T1904" s="8">
        <v>5</v>
      </c>
      <c r="U1904" s="8">
        <v>13</v>
      </c>
      <c r="V1904" s="8">
        <v>7</v>
      </c>
      <c r="W1904" s="8">
        <v>7</v>
      </c>
      <c r="X1904" s="8">
        <v>7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3</v>
      </c>
      <c r="AE1904" s="8">
        <v>3</v>
      </c>
      <c r="AF1904" s="8">
        <v>3</v>
      </c>
      <c r="AG1904" s="8">
        <v>3</v>
      </c>
      <c r="AH1904" s="8">
        <v>0</v>
      </c>
      <c r="AI1904" s="8">
        <v>0</v>
      </c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11" t="s">
        <v>254</v>
      </c>
    </row>
    <row r="1905" spans="1:46" ht="15.1" customHeight="1">
      <c r="A1905" s="8">
        <v>634</v>
      </c>
      <c r="B1905" s="9" t="s">
        <v>1513</v>
      </c>
      <c r="C1905" s="8" t="s">
        <v>1514</v>
      </c>
      <c r="D1905" s="9" t="s">
        <v>888</v>
      </c>
      <c r="E1905" s="8" t="s">
        <v>54</v>
      </c>
      <c r="F1905" s="8" t="s">
        <v>54</v>
      </c>
      <c r="G1905" s="10" t="s">
        <v>67</v>
      </c>
      <c r="H1905" s="8" t="s">
        <v>54</v>
      </c>
      <c r="I1905" s="8" t="s">
        <v>54</v>
      </c>
      <c r="J1905" s="8" t="s">
        <v>54</v>
      </c>
      <c r="K1905" s="8" t="s">
        <v>54</v>
      </c>
      <c r="L1905" s="8" t="s">
        <v>54</v>
      </c>
      <c r="M1905" s="8" t="s">
        <v>54</v>
      </c>
      <c r="N1905" s="10" t="s">
        <v>67</v>
      </c>
      <c r="O1905" s="8" t="s">
        <v>54</v>
      </c>
      <c r="P1905" s="8" t="s">
        <v>54</v>
      </c>
      <c r="Q1905" s="8" t="s">
        <v>54</v>
      </c>
      <c r="R1905" s="8" t="s">
        <v>54</v>
      </c>
      <c r="S1905" s="8" t="s">
        <v>54</v>
      </c>
      <c r="T1905" s="8" t="s">
        <v>54</v>
      </c>
      <c r="U1905" s="10" t="s">
        <v>67</v>
      </c>
      <c r="V1905" s="8" t="s">
        <v>54</v>
      </c>
      <c r="W1905" s="8" t="s">
        <v>54</v>
      </c>
      <c r="X1905" s="8" t="s">
        <v>54</v>
      </c>
      <c r="Y1905" s="8" t="s">
        <v>54</v>
      </c>
      <c r="Z1905" s="8" t="s">
        <v>54</v>
      </c>
      <c r="AA1905" s="8" t="s">
        <v>54</v>
      </c>
      <c r="AB1905" s="10" t="s">
        <v>67</v>
      </c>
      <c r="AC1905" s="8" t="s">
        <v>54</v>
      </c>
      <c r="AD1905" s="8" t="s">
        <v>54</v>
      </c>
      <c r="AE1905" s="8" t="s">
        <v>54</v>
      </c>
      <c r="AF1905" s="8" t="s">
        <v>54</v>
      </c>
      <c r="AG1905" s="8" t="s">
        <v>54</v>
      </c>
      <c r="AH1905" s="8" t="s">
        <v>54</v>
      </c>
      <c r="AI1905" s="10" t="s">
        <v>67</v>
      </c>
      <c r="AJ1905" s="8">
        <f>COUNTIF($E$1905:$AI$1905,"P")</f>
        <v>26</v>
      </c>
      <c r="AK1905" s="8">
        <f>COUNTIF($E$1905:$AI$1905,"A")</f>
        <v>0</v>
      </c>
      <c r="AL1905" s="8">
        <f>SUM($E$1906:$AI$1906)</f>
        <v>48</v>
      </c>
      <c r="AM1905" s="8">
        <f>SUM($E$1907:$AI$1907)</f>
        <v>158</v>
      </c>
      <c r="AN1905" s="8">
        <f>AL1905+AM1905</f>
        <v>206</v>
      </c>
      <c r="AO1905" s="8">
        <f>COUNTIF($E$1905:$AI$1905,"CL")</f>
        <v>0</v>
      </c>
      <c r="AP1905" s="8">
        <f>COUNTIF($E$1905:$AI$1905,"SL")</f>
        <v>0</v>
      </c>
      <c r="AQ1905" s="8">
        <f>COUNTIF($E$1905:$AI$1905,"EL")</f>
        <v>0</v>
      </c>
      <c r="AR1905" s="8">
        <f>COUNTIF($E$1905:$AI$1905,"H")</f>
        <v>0</v>
      </c>
      <c r="AS1905" s="8"/>
      <c r="AT1905" s="11" t="s">
        <v>254</v>
      </c>
    </row>
    <row r="1906" spans="1:46" ht="15.1" customHeight="1">
      <c r="A1906" s="8"/>
      <c r="B1906" s="9"/>
      <c r="C1906" s="8"/>
      <c r="D1906" s="9"/>
      <c r="E1906" s="8">
        <v>2</v>
      </c>
      <c r="F1906" s="8">
        <v>2</v>
      </c>
      <c r="G1906" s="8">
        <v>0</v>
      </c>
      <c r="H1906" s="8">
        <v>2</v>
      </c>
      <c r="I1906" s="8">
        <v>2</v>
      </c>
      <c r="J1906" s="8">
        <v>2</v>
      </c>
      <c r="K1906" s="8">
        <v>2</v>
      </c>
      <c r="L1906" s="8">
        <v>2</v>
      </c>
      <c r="M1906" s="8">
        <v>2</v>
      </c>
      <c r="N1906" s="8">
        <v>0</v>
      </c>
      <c r="O1906" s="8">
        <v>2</v>
      </c>
      <c r="P1906" s="8">
        <v>2</v>
      </c>
      <c r="Q1906" s="8">
        <v>2</v>
      </c>
      <c r="R1906" s="8">
        <v>2</v>
      </c>
      <c r="S1906" s="8">
        <v>2</v>
      </c>
      <c r="T1906" s="8">
        <v>2</v>
      </c>
      <c r="U1906" s="8">
        <v>0</v>
      </c>
      <c r="V1906" s="8">
        <v>2</v>
      </c>
      <c r="W1906" s="8">
        <v>2</v>
      </c>
      <c r="X1906" s="8">
        <v>2</v>
      </c>
      <c r="Y1906" s="8">
        <v>2</v>
      </c>
      <c r="Z1906" s="8">
        <v>0</v>
      </c>
      <c r="AA1906" s="8">
        <v>0</v>
      </c>
      <c r="AB1906" s="8">
        <v>0</v>
      </c>
      <c r="AC1906" s="8">
        <v>2</v>
      </c>
      <c r="AD1906" s="8">
        <v>2</v>
      </c>
      <c r="AE1906" s="8">
        <v>2</v>
      </c>
      <c r="AF1906" s="8">
        <v>2</v>
      </c>
      <c r="AG1906" s="8">
        <v>2</v>
      </c>
      <c r="AH1906" s="8">
        <v>2</v>
      </c>
      <c r="AI1906" s="8">
        <v>0</v>
      </c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11" t="s">
        <v>254</v>
      </c>
    </row>
    <row r="1907" spans="1:46" ht="15.1" customHeight="1">
      <c r="A1907" s="8"/>
      <c r="B1907" s="9"/>
      <c r="C1907" s="8"/>
      <c r="D1907" s="9"/>
      <c r="E1907" s="8">
        <v>5</v>
      </c>
      <c r="F1907" s="8">
        <v>3</v>
      </c>
      <c r="G1907" s="8">
        <v>13</v>
      </c>
      <c r="H1907" s="8">
        <v>3</v>
      </c>
      <c r="I1907" s="8">
        <v>7</v>
      </c>
      <c r="J1907" s="8">
        <v>5</v>
      </c>
      <c r="K1907" s="8">
        <v>7</v>
      </c>
      <c r="L1907" s="8">
        <v>7</v>
      </c>
      <c r="M1907" s="8">
        <v>5</v>
      </c>
      <c r="N1907" s="8">
        <v>17</v>
      </c>
      <c r="O1907" s="8">
        <v>7</v>
      </c>
      <c r="P1907" s="8">
        <v>7</v>
      </c>
      <c r="Q1907" s="8">
        <v>7</v>
      </c>
      <c r="R1907" s="8">
        <v>7</v>
      </c>
      <c r="S1907" s="8">
        <v>7</v>
      </c>
      <c r="T1907" s="8">
        <v>5</v>
      </c>
      <c r="U1907" s="8">
        <v>13</v>
      </c>
      <c r="V1907" s="8">
        <v>7</v>
      </c>
      <c r="W1907" s="8">
        <v>7</v>
      </c>
      <c r="X1907" s="8">
        <v>7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3</v>
      </c>
      <c r="AE1907" s="8">
        <v>3</v>
      </c>
      <c r="AF1907" s="8">
        <v>3</v>
      </c>
      <c r="AG1907" s="8">
        <v>3</v>
      </c>
      <c r="AH1907" s="8">
        <v>0</v>
      </c>
      <c r="AI1907" s="8">
        <v>0</v>
      </c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11" t="s">
        <v>254</v>
      </c>
    </row>
    <row r="1908" spans="1:46" ht="15.1" customHeight="1">
      <c r="A1908" s="8">
        <v>635</v>
      </c>
      <c r="B1908" s="9" t="s">
        <v>1515</v>
      </c>
      <c r="C1908" s="8" t="s">
        <v>1516</v>
      </c>
      <c r="D1908" s="9" t="s">
        <v>451</v>
      </c>
      <c r="E1908" s="8" t="s">
        <v>54</v>
      </c>
      <c r="F1908" s="8" t="s">
        <v>54</v>
      </c>
      <c r="G1908" s="10" t="s">
        <v>67</v>
      </c>
      <c r="H1908" s="8" t="s">
        <v>54</v>
      </c>
      <c r="I1908" s="8" t="s">
        <v>54</v>
      </c>
      <c r="J1908" s="8" t="s">
        <v>54</v>
      </c>
      <c r="K1908" s="8" t="s">
        <v>54</v>
      </c>
      <c r="L1908" s="8" t="s">
        <v>54</v>
      </c>
      <c r="M1908" s="8" t="s">
        <v>54</v>
      </c>
      <c r="N1908" s="10" t="s">
        <v>67</v>
      </c>
      <c r="O1908" s="8" t="s">
        <v>54</v>
      </c>
      <c r="P1908" s="8" t="s">
        <v>54</v>
      </c>
      <c r="Q1908" s="8" t="s">
        <v>54</v>
      </c>
      <c r="R1908" s="8" t="s">
        <v>54</v>
      </c>
      <c r="S1908" s="8" t="s">
        <v>54</v>
      </c>
      <c r="T1908" s="8" t="s">
        <v>54</v>
      </c>
      <c r="U1908" s="10" t="s">
        <v>67</v>
      </c>
      <c r="V1908" s="8" t="s">
        <v>54</v>
      </c>
      <c r="W1908" s="8" t="s">
        <v>54</v>
      </c>
      <c r="X1908" s="8" t="s">
        <v>54</v>
      </c>
      <c r="Y1908" s="8" t="s">
        <v>54</v>
      </c>
      <c r="Z1908" s="8" t="s">
        <v>54</v>
      </c>
      <c r="AA1908" s="8" t="s">
        <v>54</v>
      </c>
      <c r="AB1908" s="10" t="s">
        <v>67</v>
      </c>
      <c r="AC1908" s="8" t="s">
        <v>54</v>
      </c>
      <c r="AD1908" s="8" t="s">
        <v>54</v>
      </c>
      <c r="AE1908" s="8" t="s">
        <v>54</v>
      </c>
      <c r="AF1908" s="8" t="s">
        <v>54</v>
      </c>
      <c r="AG1908" s="8" t="s">
        <v>54</v>
      </c>
      <c r="AH1908" s="8" t="s">
        <v>54</v>
      </c>
      <c r="AI1908" s="10" t="s">
        <v>67</v>
      </c>
      <c r="AJ1908" s="8">
        <f>COUNTIF($E$1908:$AI$1908,"P")</f>
        <v>26</v>
      </c>
      <c r="AK1908" s="8">
        <f>COUNTIF($E$1908:$AI$1908,"A")</f>
        <v>0</v>
      </c>
      <c r="AL1908" s="8">
        <f>SUM($E$1909:$AI$1909)</f>
        <v>50</v>
      </c>
      <c r="AM1908" s="8">
        <f>SUM($E$1910:$AI$1910)</f>
        <v>102</v>
      </c>
      <c r="AN1908" s="8">
        <f>AL1908+AM1908</f>
        <v>152</v>
      </c>
      <c r="AO1908" s="8">
        <f>COUNTIF($E$1908:$AI$1908,"CL")</f>
        <v>0</v>
      </c>
      <c r="AP1908" s="8">
        <f>COUNTIF($E$1908:$AI$1908,"SL")</f>
        <v>0</v>
      </c>
      <c r="AQ1908" s="8">
        <f>COUNTIF($E$1908:$AI$1908,"EL")</f>
        <v>0</v>
      </c>
      <c r="AR1908" s="8">
        <f>COUNTIF($E$1908:$AI$1908,"H")</f>
        <v>0</v>
      </c>
      <c r="AS1908" s="8"/>
      <c r="AT1908" s="11" t="s">
        <v>254</v>
      </c>
    </row>
    <row r="1909" spans="1:46" ht="15.1" customHeight="1">
      <c r="A1909" s="8"/>
      <c r="B1909" s="9"/>
      <c r="C1909" s="8"/>
      <c r="D1909" s="9"/>
      <c r="E1909" s="8">
        <v>2</v>
      </c>
      <c r="F1909" s="8">
        <v>2</v>
      </c>
      <c r="G1909" s="8">
        <v>0</v>
      </c>
      <c r="H1909" s="8">
        <v>2</v>
      </c>
      <c r="I1909" s="8">
        <v>2</v>
      </c>
      <c r="J1909" s="8">
        <v>2</v>
      </c>
      <c r="K1909" s="8">
        <v>2</v>
      </c>
      <c r="L1909" s="8">
        <v>2</v>
      </c>
      <c r="M1909" s="8">
        <v>2</v>
      </c>
      <c r="N1909" s="8">
        <v>0</v>
      </c>
      <c r="O1909" s="8">
        <v>2</v>
      </c>
      <c r="P1909" s="8">
        <v>2</v>
      </c>
      <c r="Q1909" s="8">
        <v>2</v>
      </c>
      <c r="R1909" s="8">
        <v>2</v>
      </c>
      <c r="S1909" s="8">
        <v>2</v>
      </c>
      <c r="T1909" s="8">
        <v>2</v>
      </c>
      <c r="U1909" s="8">
        <v>0</v>
      </c>
      <c r="V1909" s="8">
        <v>2</v>
      </c>
      <c r="W1909" s="8">
        <v>2</v>
      </c>
      <c r="X1909" s="8">
        <v>2</v>
      </c>
      <c r="Y1909" s="8">
        <v>2</v>
      </c>
      <c r="Z1909" s="8">
        <v>0</v>
      </c>
      <c r="AA1909" s="8">
        <v>2</v>
      </c>
      <c r="AB1909" s="8">
        <v>0</v>
      </c>
      <c r="AC1909" s="8">
        <v>2</v>
      </c>
      <c r="AD1909" s="8">
        <v>2</v>
      </c>
      <c r="AE1909" s="8">
        <v>2</v>
      </c>
      <c r="AF1909" s="8">
        <v>2</v>
      </c>
      <c r="AG1909" s="8">
        <v>2</v>
      </c>
      <c r="AH1909" s="8">
        <v>2</v>
      </c>
      <c r="AI1909" s="8">
        <v>0</v>
      </c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11" t="s">
        <v>254</v>
      </c>
    </row>
    <row r="1910" spans="1:46" ht="15.1" customHeight="1">
      <c r="A1910" s="8"/>
      <c r="B1910" s="9"/>
      <c r="C1910" s="8"/>
      <c r="D1910" s="9"/>
      <c r="E1910" s="8">
        <v>3</v>
      </c>
      <c r="F1910" s="8">
        <v>3</v>
      </c>
      <c r="G1910" s="8">
        <v>13</v>
      </c>
      <c r="H1910" s="8">
        <v>3</v>
      </c>
      <c r="I1910" s="8">
        <v>3</v>
      </c>
      <c r="J1910" s="8">
        <v>3</v>
      </c>
      <c r="K1910" s="8">
        <v>3</v>
      </c>
      <c r="L1910" s="8">
        <v>3</v>
      </c>
      <c r="M1910" s="8">
        <v>3</v>
      </c>
      <c r="N1910" s="8">
        <v>13</v>
      </c>
      <c r="O1910" s="8">
        <v>3</v>
      </c>
      <c r="P1910" s="8">
        <v>3</v>
      </c>
      <c r="Q1910" s="8">
        <v>3</v>
      </c>
      <c r="R1910" s="8">
        <v>3</v>
      </c>
      <c r="S1910" s="8">
        <v>3</v>
      </c>
      <c r="T1910" s="8">
        <v>3</v>
      </c>
      <c r="U1910" s="8">
        <v>13</v>
      </c>
      <c r="V1910" s="8">
        <v>3</v>
      </c>
      <c r="W1910" s="8">
        <v>3</v>
      </c>
      <c r="X1910" s="8">
        <v>3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3</v>
      </c>
      <c r="AE1910" s="8">
        <v>3</v>
      </c>
      <c r="AF1910" s="8">
        <v>3</v>
      </c>
      <c r="AG1910" s="8">
        <v>3</v>
      </c>
      <c r="AH1910" s="8">
        <v>0</v>
      </c>
      <c r="AI1910" s="8">
        <v>0</v>
      </c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11" t="s">
        <v>254</v>
      </c>
    </row>
    <row r="1911" spans="1:46" ht="15.1" customHeight="1">
      <c r="A1911" s="8">
        <v>636</v>
      </c>
      <c r="B1911" s="9" t="s">
        <v>1517</v>
      </c>
      <c r="C1911" s="8" t="s">
        <v>1518</v>
      </c>
      <c r="D1911" s="9" t="s">
        <v>451</v>
      </c>
      <c r="E1911" s="8" t="s">
        <v>54</v>
      </c>
      <c r="F1911" s="8" t="s">
        <v>54</v>
      </c>
      <c r="G1911" s="10" t="s">
        <v>67</v>
      </c>
      <c r="H1911" s="8" t="s">
        <v>54</v>
      </c>
      <c r="I1911" s="8" t="s">
        <v>54</v>
      </c>
      <c r="J1911" s="8" t="s">
        <v>54</v>
      </c>
      <c r="K1911" s="8" t="s">
        <v>54</v>
      </c>
      <c r="L1911" s="8" t="s">
        <v>54</v>
      </c>
      <c r="M1911" s="8" t="s">
        <v>54</v>
      </c>
      <c r="N1911" s="10" t="s">
        <v>67</v>
      </c>
      <c r="O1911" s="8" t="s">
        <v>54</v>
      </c>
      <c r="P1911" s="8" t="s">
        <v>54</v>
      </c>
      <c r="Q1911" s="8" t="s">
        <v>54</v>
      </c>
      <c r="R1911" s="8" t="s">
        <v>54</v>
      </c>
      <c r="S1911" s="8" t="s">
        <v>54</v>
      </c>
      <c r="T1911" s="8" t="s">
        <v>54</v>
      </c>
      <c r="U1911" s="10" t="s">
        <v>67</v>
      </c>
      <c r="V1911" s="8" t="s">
        <v>54</v>
      </c>
      <c r="W1911" s="8" t="s">
        <v>54</v>
      </c>
      <c r="X1911" s="8" t="s">
        <v>54</v>
      </c>
      <c r="Y1911" s="8" t="s">
        <v>54</v>
      </c>
      <c r="Z1911" s="8" t="s">
        <v>54</v>
      </c>
      <c r="AA1911" s="8" t="s">
        <v>54</v>
      </c>
      <c r="AB1911" s="10" t="s">
        <v>67</v>
      </c>
      <c r="AC1911" s="8" t="s">
        <v>54</v>
      </c>
      <c r="AD1911" s="8" t="s">
        <v>54</v>
      </c>
      <c r="AE1911" s="8" t="s">
        <v>54</v>
      </c>
      <c r="AF1911" s="8" t="s">
        <v>54</v>
      </c>
      <c r="AG1911" s="8" t="s">
        <v>54</v>
      </c>
      <c r="AH1911" s="8" t="s">
        <v>54</v>
      </c>
      <c r="AI1911" s="10" t="s">
        <v>67</v>
      </c>
      <c r="AJ1911" s="8">
        <f>COUNTIF($E$1911:$AI$1911,"P")</f>
        <v>26</v>
      </c>
      <c r="AK1911" s="8">
        <f>COUNTIF($E$1911:$AI$1911,"A")</f>
        <v>0</v>
      </c>
      <c r="AL1911" s="8">
        <f>SUM($E$1912:$AI$1912)</f>
        <v>50</v>
      </c>
      <c r="AM1911" s="8">
        <f>SUM($E$1913:$AI$1913)</f>
        <v>115.5</v>
      </c>
      <c r="AN1911" s="8">
        <f>AL1911+AM1911</f>
        <v>165.5</v>
      </c>
      <c r="AO1911" s="8">
        <f>COUNTIF($E$1911:$AI$1911,"CL")</f>
        <v>0</v>
      </c>
      <c r="AP1911" s="8">
        <f>COUNTIF($E$1911:$AI$1911,"SL")</f>
        <v>0</v>
      </c>
      <c r="AQ1911" s="8">
        <f>COUNTIF($E$1911:$AI$1911,"EL")</f>
        <v>0</v>
      </c>
      <c r="AR1911" s="8">
        <f>COUNTIF($E$1911:$AI$1911,"H")</f>
        <v>0</v>
      </c>
      <c r="AS1911" s="8"/>
      <c r="AT1911" s="11" t="s">
        <v>254</v>
      </c>
    </row>
    <row r="1912" spans="1:46" ht="15.1" customHeight="1">
      <c r="A1912" s="8"/>
      <c r="B1912" s="9"/>
      <c r="C1912" s="8"/>
      <c r="D1912" s="9"/>
      <c r="E1912" s="8">
        <v>2</v>
      </c>
      <c r="F1912" s="8">
        <v>2</v>
      </c>
      <c r="G1912" s="8">
        <v>0</v>
      </c>
      <c r="H1912" s="8">
        <v>2</v>
      </c>
      <c r="I1912" s="8">
        <v>2</v>
      </c>
      <c r="J1912" s="8">
        <v>2</v>
      </c>
      <c r="K1912" s="8">
        <v>0</v>
      </c>
      <c r="L1912" s="8">
        <v>2</v>
      </c>
      <c r="M1912" s="8">
        <v>2</v>
      </c>
      <c r="N1912" s="8">
        <v>0</v>
      </c>
      <c r="O1912" s="8">
        <v>2</v>
      </c>
      <c r="P1912" s="8">
        <v>2</v>
      </c>
      <c r="Q1912" s="8">
        <v>2</v>
      </c>
      <c r="R1912" s="8">
        <v>2</v>
      </c>
      <c r="S1912" s="8">
        <v>2</v>
      </c>
      <c r="T1912" s="8">
        <v>2</v>
      </c>
      <c r="U1912" s="8">
        <v>0</v>
      </c>
      <c r="V1912" s="8">
        <v>2</v>
      </c>
      <c r="W1912" s="8">
        <v>2</v>
      </c>
      <c r="X1912" s="8">
        <v>2</v>
      </c>
      <c r="Y1912" s="8">
        <v>2</v>
      </c>
      <c r="Z1912" s="8">
        <v>2</v>
      </c>
      <c r="AA1912" s="8">
        <v>2</v>
      </c>
      <c r="AB1912" s="8">
        <v>0</v>
      </c>
      <c r="AC1912" s="8">
        <v>2</v>
      </c>
      <c r="AD1912" s="8">
        <v>2</v>
      </c>
      <c r="AE1912" s="8">
        <v>2</v>
      </c>
      <c r="AF1912" s="8">
        <v>2</v>
      </c>
      <c r="AG1912" s="8">
        <v>2</v>
      </c>
      <c r="AH1912" s="8">
        <v>2</v>
      </c>
      <c r="AI1912" s="8">
        <v>0</v>
      </c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11" t="s">
        <v>254</v>
      </c>
    </row>
    <row r="1913" spans="1:46" ht="15.1" customHeight="1">
      <c r="A1913" s="8"/>
      <c r="B1913" s="9"/>
      <c r="C1913" s="8"/>
      <c r="D1913" s="9"/>
      <c r="E1913" s="8">
        <v>5</v>
      </c>
      <c r="F1913" s="8">
        <v>3</v>
      </c>
      <c r="G1913" s="8">
        <v>12.5</v>
      </c>
      <c r="H1913" s="8">
        <v>3</v>
      </c>
      <c r="I1913" s="8">
        <v>3</v>
      </c>
      <c r="J1913" s="8">
        <v>5</v>
      </c>
      <c r="K1913" s="8">
        <v>0</v>
      </c>
      <c r="L1913" s="8">
        <v>5</v>
      </c>
      <c r="M1913" s="8">
        <v>3</v>
      </c>
      <c r="N1913" s="8">
        <v>8</v>
      </c>
      <c r="O1913" s="8">
        <v>3</v>
      </c>
      <c r="P1913" s="8">
        <v>3</v>
      </c>
      <c r="Q1913" s="8">
        <v>3</v>
      </c>
      <c r="R1913" s="8">
        <v>3</v>
      </c>
      <c r="S1913" s="8">
        <v>3</v>
      </c>
      <c r="T1913" s="8">
        <v>3</v>
      </c>
      <c r="U1913" s="8">
        <v>8</v>
      </c>
      <c r="V1913" s="8">
        <v>7</v>
      </c>
      <c r="W1913" s="8">
        <v>7</v>
      </c>
      <c r="X1913" s="8">
        <v>7</v>
      </c>
      <c r="Y1913" s="8">
        <v>3</v>
      </c>
      <c r="Z1913" s="8">
        <v>2.5</v>
      </c>
      <c r="AA1913" s="8">
        <v>0</v>
      </c>
      <c r="AB1913" s="8">
        <v>0</v>
      </c>
      <c r="AC1913" s="8">
        <v>0</v>
      </c>
      <c r="AD1913" s="8">
        <v>3</v>
      </c>
      <c r="AE1913" s="8">
        <v>3</v>
      </c>
      <c r="AF1913" s="8">
        <v>2.5</v>
      </c>
      <c r="AG1913" s="8">
        <v>3</v>
      </c>
      <c r="AH1913" s="8">
        <v>4</v>
      </c>
      <c r="AI1913" s="8">
        <v>0</v>
      </c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11" t="s">
        <v>254</v>
      </c>
    </row>
    <row r="1914" spans="1:46" ht="15.1" customHeight="1">
      <c r="A1914" s="8">
        <v>637</v>
      </c>
      <c r="B1914" s="9" t="s">
        <v>1519</v>
      </c>
      <c r="C1914" s="8" t="s">
        <v>1520</v>
      </c>
      <c r="D1914" s="9" t="s">
        <v>451</v>
      </c>
      <c r="E1914" s="8" t="s">
        <v>54</v>
      </c>
      <c r="F1914" s="8" t="s">
        <v>54</v>
      </c>
      <c r="G1914" s="10" t="s">
        <v>67</v>
      </c>
      <c r="H1914" s="8" t="s">
        <v>54</v>
      </c>
      <c r="I1914" s="8" t="s">
        <v>54</v>
      </c>
      <c r="J1914" s="8" t="s">
        <v>54</v>
      </c>
      <c r="K1914" s="8" t="s">
        <v>54</v>
      </c>
      <c r="L1914" s="8" t="s">
        <v>54</v>
      </c>
      <c r="M1914" s="8" t="s">
        <v>54</v>
      </c>
      <c r="N1914" s="10" t="s">
        <v>67</v>
      </c>
      <c r="O1914" s="8" t="s">
        <v>54</v>
      </c>
      <c r="P1914" s="8" t="s">
        <v>54</v>
      </c>
      <c r="Q1914" s="8" t="s">
        <v>54</v>
      </c>
      <c r="R1914" s="8" t="s">
        <v>54</v>
      </c>
      <c r="S1914" s="8" t="s">
        <v>54</v>
      </c>
      <c r="T1914" s="8" t="s">
        <v>54</v>
      </c>
      <c r="U1914" s="10" t="s">
        <v>67</v>
      </c>
      <c r="V1914" s="8" t="s">
        <v>54</v>
      </c>
      <c r="W1914" s="8" t="s">
        <v>54</v>
      </c>
      <c r="X1914" s="8" t="s">
        <v>54</v>
      </c>
      <c r="Y1914" s="8" t="s">
        <v>54</v>
      </c>
      <c r="Z1914" s="8" t="s">
        <v>54</v>
      </c>
      <c r="AA1914" s="8" t="s">
        <v>54</v>
      </c>
      <c r="AB1914" s="10" t="s">
        <v>67</v>
      </c>
      <c r="AC1914" s="8" t="s">
        <v>54</v>
      </c>
      <c r="AD1914" s="8" t="s">
        <v>54</v>
      </c>
      <c r="AE1914" s="8" t="s">
        <v>54</v>
      </c>
      <c r="AF1914" s="8" t="s">
        <v>54</v>
      </c>
      <c r="AG1914" s="8" t="s">
        <v>54</v>
      </c>
      <c r="AH1914" s="8" t="s">
        <v>54</v>
      </c>
      <c r="AI1914" s="10" t="s">
        <v>67</v>
      </c>
      <c r="AJ1914" s="8">
        <f>COUNTIF($E$1914:$AI$1914,"P")</f>
        <v>26</v>
      </c>
      <c r="AK1914" s="8">
        <f>COUNTIF($E$1914:$AI$1914,"A")</f>
        <v>0</v>
      </c>
      <c r="AL1914" s="8">
        <f>SUM($E$1915:$AI$1915)</f>
        <v>48</v>
      </c>
      <c r="AM1914" s="8">
        <f>SUM($E$1916:$AI$1916)</f>
        <v>152</v>
      </c>
      <c r="AN1914" s="8">
        <f>AL1914+AM1914</f>
        <v>200</v>
      </c>
      <c r="AO1914" s="8">
        <f>COUNTIF($E$1914:$AI$1914,"CL")</f>
        <v>0</v>
      </c>
      <c r="AP1914" s="8">
        <f>COUNTIF($E$1914:$AI$1914,"SL")</f>
        <v>0</v>
      </c>
      <c r="AQ1914" s="8">
        <f>COUNTIF($E$1914:$AI$1914,"EL")</f>
        <v>0</v>
      </c>
      <c r="AR1914" s="8">
        <f>COUNTIF($E$1914:$AI$1914,"H")</f>
        <v>0</v>
      </c>
      <c r="AS1914" s="8"/>
      <c r="AT1914" s="11" t="s">
        <v>254</v>
      </c>
    </row>
    <row r="1915" spans="1:46" ht="15.1" customHeight="1">
      <c r="A1915" s="8"/>
      <c r="B1915" s="9"/>
      <c r="C1915" s="8"/>
      <c r="D1915" s="9"/>
      <c r="E1915" s="8">
        <v>2</v>
      </c>
      <c r="F1915" s="8">
        <v>2</v>
      </c>
      <c r="G1915" s="8">
        <v>0</v>
      </c>
      <c r="H1915" s="8">
        <v>2</v>
      </c>
      <c r="I1915" s="8">
        <v>2</v>
      </c>
      <c r="J1915" s="8">
        <v>2</v>
      </c>
      <c r="K1915" s="8">
        <v>2</v>
      </c>
      <c r="L1915" s="8">
        <v>2</v>
      </c>
      <c r="M1915" s="8">
        <v>2</v>
      </c>
      <c r="N1915" s="8">
        <v>0</v>
      </c>
      <c r="O1915" s="8">
        <v>2</v>
      </c>
      <c r="P1915" s="8">
        <v>2</v>
      </c>
      <c r="Q1915" s="8">
        <v>2</v>
      </c>
      <c r="R1915" s="8">
        <v>2</v>
      </c>
      <c r="S1915" s="8">
        <v>2</v>
      </c>
      <c r="T1915" s="8">
        <v>2</v>
      </c>
      <c r="U1915" s="8">
        <v>0</v>
      </c>
      <c r="V1915" s="8">
        <v>2</v>
      </c>
      <c r="W1915" s="8">
        <v>2</v>
      </c>
      <c r="X1915" s="8">
        <v>2</v>
      </c>
      <c r="Y1915" s="8">
        <v>2</v>
      </c>
      <c r="Z1915" s="8">
        <v>0</v>
      </c>
      <c r="AA1915" s="8">
        <v>0</v>
      </c>
      <c r="AB1915" s="8">
        <v>0</v>
      </c>
      <c r="AC1915" s="8">
        <v>2</v>
      </c>
      <c r="AD1915" s="8">
        <v>2</v>
      </c>
      <c r="AE1915" s="8">
        <v>2</v>
      </c>
      <c r="AF1915" s="8">
        <v>2</v>
      </c>
      <c r="AG1915" s="8">
        <v>2</v>
      </c>
      <c r="AH1915" s="8">
        <v>2</v>
      </c>
      <c r="AI1915" s="8">
        <v>0</v>
      </c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11" t="s">
        <v>254</v>
      </c>
    </row>
    <row r="1916" spans="1:46" ht="15.1" customHeight="1">
      <c r="A1916" s="8"/>
      <c r="B1916" s="9"/>
      <c r="C1916" s="8"/>
      <c r="D1916" s="9"/>
      <c r="E1916" s="8">
        <v>5</v>
      </c>
      <c r="F1916" s="8">
        <v>3</v>
      </c>
      <c r="G1916" s="8">
        <v>13</v>
      </c>
      <c r="H1916" s="8">
        <v>3</v>
      </c>
      <c r="I1916" s="8">
        <v>3</v>
      </c>
      <c r="J1916" s="8">
        <v>5</v>
      </c>
      <c r="K1916" s="8">
        <v>5</v>
      </c>
      <c r="L1916" s="8">
        <v>7</v>
      </c>
      <c r="M1916" s="8">
        <v>5</v>
      </c>
      <c r="N1916" s="8">
        <v>17</v>
      </c>
      <c r="O1916" s="8">
        <v>7</v>
      </c>
      <c r="P1916" s="8">
        <v>7</v>
      </c>
      <c r="Q1916" s="8">
        <v>7</v>
      </c>
      <c r="R1916" s="8">
        <v>7</v>
      </c>
      <c r="S1916" s="8">
        <v>7</v>
      </c>
      <c r="T1916" s="8">
        <v>5</v>
      </c>
      <c r="U1916" s="8">
        <v>13</v>
      </c>
      <c r="V1916" s="8">
        <v>7</v>
      </c>
      <c r="W1916" s="8">
        <v>7</v>
      </c>
      <c r="X1916" s="8">
        <v>7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3</v>
      </c>
      <c r="AE1916" s="8">
        <v>3</v>
      </c>
      <c r="AF1916" s="8">
        <v>3</v>
      </c>
      <c r="AG1916" s="8">
        <v>3</v>
      </c>
      <c r="AH1916" s="8">
        <v>0</v>
      </c>
      <c r="AI1916" s="8">
        <v>0</v>
      </c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11" t="s">
        <v>254</v>
      </c>
    </row>
    <row r="1917" spans="1:46" ht="15.1" customHeight="1">
      <c r="A1917" s="8">
        <v>638</v>
      </c>
      <c r="B1917" s="9" t="s">
        <v>1521</v>
      </c>
      <c r="C1917" s="8" t="s">
        <v>1522</v>
      </c>
      <c r="D1917" s="9" t="s">
        <v>451</v>
      </c>
      <c r="E1917" s="8" t="s">
        <v>54</v>
      </c>
      <c r="F1917" s="8" t="s">
        <v>54</v>
      </c>
      <c r="G1917" s="10" t="s">
        <v>67</v>
      </c>
      <c r="H1917" s="8" t="s">
        <v>54</v>
      </c>
      <c r="I1917" s="8" t="s">
        <v>54</v>
      </c>
      <c r="J1917" s="8" t="s">
        <v>54</v>
      </c>
      <c r="K1917" s="8" t="s">
        <v>54</v>
      </c>
      <c r="L1917" s="8" t="s">
        <v>54</v>
      </c>
      <c r="M1917" s="8" t="s">
        <v>54</v>
      </c>
      <c r="N1917" s="10" t="s">
        <v>67</v>
      </c>
      <c r="O1917" s="8" t="s">
        <v>54</v>
      </c>
      <c r="P1917" s="8" t="s">
        <v>54</v>
      </c>
      <c r="Q1917" s="8" t="s">
        <v>54</v>
      </c>
      <c r="R1917" s="8" t="s">
        <v>54</v>
      </c>
      <c r="S1917" s="8" t="s">
        <v>54</v>
      </c>
      <c r="T1917" s="8" t="s">
        <v>54</v>
      </c>
      <c r="U1917" s="10" t="s">
        <v>67</v>
      </c>
      <c r="V1917" s="8" t="s">
        <v>54</v>
      </c>
      <c r="W1917" s="8" t="s">
        <v>54</v>
      </c>
      <c r="X1917" s="8" t="s">
        <v>54</v>
      </c>
      <c r="Y1917" s="8" t="s">
        <v>54</v>
      </c>
      <c r="Z1917" s="8" t="s">
        <v>54</v>
      </c>
      <c r="AA1917" s="8" t="s">
        <v>54</v>
      </c>
      <c r="AB1917" s="10" t="s">
        <v>67</v>
      </c>
      <c r="AC1917" s="8" t="s">
        <v>54</v>
      </c>
      <c r="AD1917" s="8" t="s">
        <v>54</v>
      </c>
      <c r="AE1917" s="8" t="s">
        <v>54</v>
      </c>
      <c r="AF1917" s="8" t="s">
        <v>54</v>
      </c>
      <c r="AG1917" s="8" t="s">
        <v>54</v>
      </c>
      <c r="AH1917" s="8" t="s">
        <v>54</v>
      </c>
      <c r="AI1917" s="10" t="s">
        <v>67</v>
      </c>
      <c r="AJ1917" s="8">
        <f>COUNTIF($E$1917:$AI$1917,"P")</f>
        <v>26</v>
      </c>
      <c r="AK1917" s="8">
        <f>COUNTIF($E$1917:$AI$1917,"A")</f>
        <v>0</v>
      </c>
      <c r="AL1917" s="8">
        <f>SUM($E$1918:$AI$1918)</f>
        <v>46</v>
      </c>
      <c r="AM1917" s="8">
        <f>SUM($E$1919:$AI$1919)</f>
        <v>99</v>
      </c>
      <c r="AN1917" s="8">
        <f>AL1917+AM1917</f>
        <v>145</v>
      </c>
      <c r="AO1917" s="8">
        <f>COUNTIF($E$1917:$AI$1917,"CL")</f>
        <v>0</v>
      </c>
      <c r="AP1917" s="8">
        <f>COUNTIF($E$1917:$AI$1917,"SL")</f>
        <v>0</v>
      </c>
      <c r="AQ1917" s="8">
        <f>COUNTIF($E$1917:$AI$1917,"EL")</f>
        <v>0</v>
      </c>
      <c r="AR1917" s="8">
        <f>COUNTIF($E$1917:$AI$1917,"H")</f>
        <v>0</v>
      </c>
      <c r="AS1917" s="8"/>
      <c r="AT1917" s="11" t="s">
        <v>254</v>
      </c>
    </row>
    <row r="1918" spans="1:46" ht="15.1" customHeight="1">
      <c r="A1918" s="8"/>
      <c r="B1918" s="9"/>
      <c r="C1918" s="8"/>
      <c r="D1918" s="9"/>
      <c r="E1918" s="8">
        <v>2</v>
      </c>
      <c r="F1918" s="8">
        <v>2</v>
      </c>
      <c r="G1918" s="8">
        <v>0</v>
      </c>
      <c r="H1918" s="8">
        <v>2</v>
      </c>
      <c r="I1918" s="8">
        <v>2</v>
      </c>
      <c r="J1918" s="8">
        <v>0</v>
      </c>
      <c r="K1918" s="8">
        <v>2</v>
      </c>
      <c r="L1918" s="8">
        <v>2</v>
      </c>
      <c r="M1918" s="8">
        <v>2</v>
      </c>
      <c r="N1918" s="8">
        <v>0</v>
      </c>
      <c r="O1918" s="8">
        <v>2</v>
      </c>
      <c r="P1918" s="8">
        <v>2</v>
      </c>
      <c r="Q1918" s="8">
        <v>2</v>
      </c>
      <c r="R1918" s="8">
        <v>2</v>
      </c>
      <c r="S1918" s="8">
        <v>2</v>
      </c>
      <c r="T1918" s="8">
        <v>2</v>
      </c>
      <c r="U1918" s="8">
        <v>0</v>
      </c>
      <c r="V1918" s="8">
        <v>2</v>
      </c>
      <c r="W1918" s="8">
        <v>2</v>
      </c>
      <c r="X1918" s="8">
        <v>2</v>
      </c>
      <c r="Y1918" s="8">
        <v>2</v>
      </c>
      <c r="Z1918" s="8">
        <v>0</v>
      </c>
      <c r="AA1918" s="8">
        <v>0</v>
      </c>
      <c r="AB1918" s="8">
        <v>0</v>
      </c>
      <c r="AC1918" s="8">
        <v>2</v>
      </c>
      <c r="AD1918" s="8">
        <v>2</v>
      </c>
      <c r="AE1918" s="8">
        <v>2</v>
      </c>
      <c r="AF1918" s="8">
        <v>2</v>
      </c>
      <c r="AG1918" s="8">
        <v>2</v>
      </c>
      <c r="AH1918" s="8">
        <v>2</v>
      </c>
      <c r="AI1918" s="8">
        <v>0</v>
      </c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11" t="s">
        <v>254</v>
      </c>
    </row>
    <row r="1919" spans="1:46" ht="15.1" customHeight="1">
      <c r="A1919" s="8"/>
      <c r="B1919" s="9"/>
      <c r="C1919" s="8"/>
      <c r="D1919" s="9"/>
      <c r="E1919" s="8">
        <v>3</v>
      </c>
      <c r="F1919" s="8">
        <v>3</v>
      </c>
      <c r="G1919" s="8">
        <v>13</v>
      </c>
      <c r="H1919" s="8">
        <v>3</v>
      </c>
      <c r="I1919" s="8">
        <v>3</v>
      </c>
      <c r="J1919" s="8">
        <v>0</v>
      </c>
      <c r="K1919" s="8">
        <v>3</v>
      </c>
      <c r="L1919" s="8">
        <v>3</v>
      </c>
      <c r="M1919" s="8">
        <v>3</v>
      </c>
      <c r="N1919" s="8">
        <v>13</v>
      </c>
      <c r="O1919" s="8">
        <v>3</v>
      </c>
      <c r="P1919" s="8">
        <v>3</v>
      </c>
      <c r="Q1919" s="8">
        <v>3</v>
      </c>
      <c r="R1919" s="8">
        <v>3</v>
      </c>
      <c r="S1919" s="8">
        <v>3</v>
      </c>
      <c r="T1919" s="8">
        <v>3</v>
      </c>
      <c r="U1919" s="8">
        <v>13</v>
      </c>
      <c r="V1919" s="8">
        <v>3</v>
      </c>
      <c r="W1919" s="8">
        <v>3</v>
      </c>
      <c r="X1919" s="8">
        <v>3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3</v>
      </c>
      <c r="AE1919" s="8">
        <v>3</v>
      </c>
      <c r="AF1919" s="8">
        <v>3</v>
      </c>
      <c r="AG1919" s="8">
        <v>3</v>
      </c>
      <c r="AH1919" s="8">
        <v>0</v>
      </c>
      <c r="AI1919" s="8">
        <v>0</v>
      </c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11" t="s">
        <v>254</v>
      </c>
    </row>
    <row r="1920" spans="1:46" ht="15.1" customHeight="1">
      <c r="A1920" s="8">
        <v>639</v>
      </c>
      <c r="B1920" s="9" t="s">
        <v>1523</v>
      </c>
      <c r="C1920" s="8" t="s">
        <v>1524</v>
      </c>
      <c r="D1920" s="9" t="s">
        <v>451</v>
      </c>
      <c r="E1920" s="8" t="s">
        <v>54</v>
      </c>
      <c r="F1920" s="8" t="s">
        <v>54</v>
      </c>
      <c r="G1920" s="10" t="s">
        <v>67</v>
      </c>
      <c r="H1920" s="8" t="s">
        <v>54</v>
      </c>
      <c r="I1920" s="8" t="s">
        <v>54</v>
      </c>
      <c r="J1920" s="8" t="s">
        <v>54</v>
      </c>
      <c r="K1920" s="12" t="s">
        <v>55</v>
      </c>
      <c r="L1920" s="12" t="s">
        <v>55</v>
      </c>
      <c r="M1920" s="12" t="s">
        <v>55</v>
      </c>
      <c r="N1920" s="10" t="s">
        <v>67</v>
      </c>
      <c r="O1920" s="8" t="s">
        <v>54</v>
      </c>
      <c r="P1920" s="8" t="s">
        <v>54</v>
      </c>
      <c r="Q1920" s="8" t="s">
        <v>54</v>
      </c>
      <c r="R1920" s="8" t="s">
        <v>54</v>
      </c>
      <c r="S1920" s="8" t="s">
        <v>54</v>
      </c>
      <c r="T1920" s="8" t="s">
        <v>54</v>
      </c>
      <c r="U1920" s="10" t="s">
        <v>67</v>
      </c>
      <c r="V1920" s="8" t="s">
        <v>54</v>
      </c>
      <c r="W1920" s="8" t="s">
        <v>54</v>
      </c>
      <c r="X1920" s="8" t="s">
        <v>54</v>
      </c>
      <c r="Y1920" s="8" t="s">
        <v>54</v>
      </c>
      <c r="Z1920" s="8" t="s">
        <v>54</v>
      </c>
      <c r="AA1920" s="8" t="s">
        <v>54</v>
      </c>
      <c r="AB1920" s="10" t="s">
        <v>67</v>
      </c>
      <c r="AC1920" s="8" t="s">
        <v>54</v>
      </c>
      <c r="AD1920" s="12" t="s">
        <v>55</v>
      </c>
      <c r="AE1920" s="12" t="s">
        <v>55</v>
      </c>
      <c r="AF1920" s="8" t="s">
        <v>54</v>
      </c>
      <c r="AG1920" s="8" t="s">
        <v>54</v>
      </c>
      <c r="AH1920" s="8" t="s">
        <v>54</v>
      </c>
      <c r="AI1920" s="10" t="s">
        <v>67</v>
      </c>
      <c r="AJ1920" s="8">
        <f>COUNTIF($E$1920:$AI$1920,"P")</f>
        <v>21</v>
      </c>
      <c r="AK1920" s="8">
        <f>COUNTIF($E$1920:$AI$1920,"A")</f>
        <v>5</v>
      </c>
      <c r="AL1920" s="8">
        <f>SUM($E$1921:$AI$1921)</f>
        <v>36</v>
      </c>
      <c r="AM1920" s="8">
        <f>SUM($E$1922:$AI$1922)</f>
        <v>128.5</v>
      </c>
      <c r="AN1920" s="8">
        <f>AL1920+AM1920</f>
        <v>164.5</v>
      </c>
      <c r="AO1920" s="8">
        <f>COUNTIF($E$1920:$AI$1920,"CL")</f>
        <v>0</v>
      </c>
      <c r="AP1920" s="8">
        <f>COUNTIF($E$1920:$AI$1920,"SL")</f>
        <v>0</v>
      </c>
      <c r="AQ1920" s="8">
        <f>COUNTIF($E$1920:$AI$1920,"EL")</f>
        <v>0</v>
      </c>
      <c r="AR1920" s="8">
        <f>COUNTIF($E$1920:$AI$1920,"H")</f>
        <v>0</v>
      </c>
      <c r="AS1920" s="8"/>
      <c r="AT1920" s="11" t="s">
        <v>254</v>
      </c>
    </row>
    <row r="1921" spans="1:46" ht="15.1" customHeight="1">
      <c r="A1921" s="8"/>
      <c r="B1921" s="9"/>
      <c r="C1921" s="8"/>
      <c r="D1921" s="9"/>
      <c r="E1921" s="8">
        <v>2</v>
      </c>
      <c r="F1921" s="8">
        <v>2</v>
      </c>
      <c r="G1921" s="8">
        <v>0</v>
      </c>
      <c r="H1921" s="8">
        <v>2</v>
      </c>
      <c r="I1921" s="8">
        <v>2</v>
      </c>
      <c r="J1921" s="8">
        <v>2</v>
      </c>
      <c r="K1921" s="8">
        <v>0</v>
      </c>
      <c r="L1921" s="8">
        <v>0</v>
      </c>
      <c r="M1921" s="8">
        <v>0</v>
      </c>
      <c r="N1921" s="8">
        <v>0</v>
      </c>
      <c r="O1921" s="8">
        <v>2</v>
      </c>
      <c r="P1921" s="8">
        <v>2</v>
      </c>
      <c r="Q1921" s="8">
        <v>2</v>
      </c>
      <c r="R1921" s="8">
        <v>2</v>
      </c>
      <c r="S1921" s="8">
        <v>2</v>
      </c>
      <c r="T1921" s="8">
        <v>2</v>
      </c>
      <c r="U1921" s="8">
        <v>0</v>
      </c>
      <c r="V1921" s="8">
        <v>2</v>
      </c>
      <c r="W1921" s="8">
        <v>2</v>
      </c>
      <c r="X1921" s="8">
        <v>2</v>
      </c>
      <c r="Y1921" s="8">
        <v>2</v>
      </c>
      <c r="Z1921" s="8">
        <v>0</v>
      </c>
      <c r="AA1921" s="8">
        <v>0</v>
      </c>
      <c r="AB1921" s="8">
        <v>0</v>
      </c>
      <c r="AC1921" s="8">
        <v>2</v>
      </c>
      <c r="AD1921" s="8">
        <v>0</v>
      </c>
      <c r="AE1921" s="8">
        <v>0</v>
      </c>
      <c r="AF1921" s="8">
        <v>2</v>
      </c>
      <c r="AG1921" s="8">
        <v>2</v>
      </c>
      <c r="AH1921" s="8">
        <v>0</v>
      </c>
      <c r="AI1921" s="8">
        <v>0</v>
      </c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11" t="s">
        <v>254</v>
      </c>
    </row>
    <row r="1922" spans="1:46" ht="15.1" customHeight="1">
      <c r="A1922" s="8"/>
      <c r="B1922" s="9"/>
      <c r="C1922" s="8"/>
      <c r="D1922" s="9"/>
      <c r="E1922" s="8">
        <v>3</v>
      </c>
      <c r="F1922" s="8">
        <v>3</v>
      </c>
      <c r="G1922" s="8">
        <v>12.5</v>
      </c>
      <c r="H1922" s="8">
        <v>7</v>
      </c>
      <c r="I1922" s="8">
        <v>7</v>
      </c>
      <c r="J1922" s="8">
        <v>4</v>
      </c>
      <c r="K1922" s="8">
        <v>0</v>
      </c>
      <c r="L1922" s="8">
        <v>0</v>
      </c>
      <c r="M1922" s="8">
        <v>0</v>
      </c>
      <c r="N1922" s="8">
        <v>12.5</v>
      </c>
      <c r="O1922" s="8">
        <v>7</v>
      </c>
      <c r="P1922" s="8">
        <v>7</v>
      </c>
      <c r="Q1922" s="8">
        <v>7</v>
      </c>
      <c r="R1922" s="8">
        <v>7</v>
      </c>
      <c r="S1922" s="8">
        <v>7</v>
      </c>
      <c r="T1922" s="8">
        <v>5</v>
      </c>
      <c r="U1922" s="8">
        <v>12.5</v>
      </c>
      <c r="V1922" s="8">
        <v>7</v>
      </c>
      <c r="W1922" s="8">
        <v>7</v>
      </c>
      <c r="X1922" s="8">
        <v>7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3</v>
      </c>
      <c r="AG1922" s="8">
        <v>3</v>
      </c>
      <c r="AH1922" s="8">
        <v>0</v>
      </c>
      <c r="AI1922" s="8">
        <v>0</v>
      </c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11" t="s">
        <v>254</v>
      </c>
    </row>
    <row r="1923" spans="1:46" ht="15.1" customHeight="1">
      <c r="A1923" s="8">
        <v>640</v>
      </c>
      <c r="B1923" s="9" t="s">
        <v>1525</v>
      </c>
      <c r="C1923" s="8" t="s">
        <v>1526</v>
      </c>
      <c r="D1923" s="9" t="s">
        <v>451</v>
      </c>
      <c r="E1923" s="8" t="s">
        <v>54</v>
      </c>
      <c r="F1923" s="8" t="s">
        <v>54</v>
      </c>
      <c r="G1923" s="10" t="s">
        <v>67</v>
      </c>
      <c r="H1923" s="8" t="s">
        <v>54</v>
      </c>
      <c r="I1923" s="8" t="s">
        <v>54</v>
      </c>
      <c r="J1923" s="8" t="s">
        <v>54</v>
      </c>
      <c r="K1923" s="8" t="s">
        <v>54</v>
      </c>
      <c r="L1923" s="8" t="s">
        <v>54</v>
      </c>
      <c r="M1923" s="8" t="s">
        <v>54</v>
      </c>
      <c r="N1923" s="10" t="s">
        <v>67</v>
      </c>
      <c r="O1923" s="8" t="s">
        <v>54</v>
      </c>
      <c r="P1923" s="8" t="s">
        <v>54</v>
      </c>
      <c r="Q1923" s="8" t="s">
        <v>54</v>
      </c>
      <c r="R1923" s="8" t="s">
        <v>54</v>
      </c>
      <c r="S1923" s="8" t="s">
        <v>54</v>
      </c>
      <c r="T1923" s="8" t="s">
        <v>54</v>
      </c>
      <c r="U1923" s="10" t="s">
        <v>67</v>
      </c>
      <c r="V1923" s="8" t="s">
        <v>54</v>
      </c>
      <c r="W1923" s="8" t="s">
        <v>54</v>
      </c>
      <c r="X1923" s="8" t="s">
        <v>54</v>
      </c>
      <c r="Y1923" s="8" t="s">
        <v>54</v>
      </c>
      <c r="Z1923" s="8" t="s">
        <v>54</v>
      </c>
      <c r="AA1923" s="8" t="s">
        <v>54</v>
      </c>
      <c r="AB1923" s="10" t="s">
        <v>67</v>
      </c>
      <c r="AC1923" s="8" t="s">
        <v>54</v>
      </c>
      <c r="AD1923" s="8" t="s">
        <v>54</v>
      </c>
      <c r="AE1923" s="8" t="s">
        <v>54</v>
      </c>
      <c r="AF1923" s="12" t="s">
        <v>55</v>
      </c>
      <c r="AG1923" s="12" t="s">
        <v>55</v>
      </c>
      <c r="AH1923" s="8" t="s">
        <v>54</v>
      </c>
      <c r="AI1923" s="10" t="s">
        <v>67</v>
      </c>
      <c r="AJ1923" s="8">
        <f>COUNTIF($E$1923:$AI$1923,"P")</f>
        <v>24</v>
      </c>
      <c r="AK1923" s="8">
        <f>COUNTIF($E$1923:$AI$1923,"A")</f>
        <v>2</v>
      </c>
      <c r="AL1923" s="8">
        <f>SUM($E$1924:$AI$1924)</f>
        <v>42</v>
      </c>
      <c r="AM1923" s="8">
        <f>SUM($E$1925:$AI$1925)</f>
        <v>129</v>
      </c>
      <c r="AN1923" s="8">
        <f>AL1923+AM1923</f>
        <v>171</v>
      </c>
      <c r="AO1923" s="8">
        <f>COUNTIF($E$1923:$AI$1923,"CL")</f>
        <v>0</v>
      </c>
      <c r="AP1923" s="8">
        <f>COUNTIF($E$1923:$AI$1923,"SL")</f>
        <v>0</v>
      </c>
      <c r="AQ1923" s="8">
        <f>COUNTIF($E$1923:$AI$1923,"EL")</f>
        <v>0</v>
      </c>
      <c r="AR1923" s="8">
        <f>COUNTIF($E$1923:$AI$1923,"H")</f>
        <v>0</v>
      </c>
      <c r="AS1923" s="8"/>
      <c r="AT1923" s="11" t="s">
        <v>254</v>
      </c>
    </row>
    <row r="1924" spans="1:46" ht="15.1" customHeight="1">
      <c r="A1924" s="8"/>
      <c r="B1924" s="9"/>
      <c r="C1924" s="8"/>
      <c r="D1924" s="9"/>
      <c r="E1924" s="8">
        <v>2</v>
      </c>
      <c r="F1924" s="8">
        <v>2</v>
      </c>
      <c r="G1924" s="8">
        <v>0</v>
      </c>
      <c r="H1924" s="8">
        <v>2</v>
      </c>
      <c r="I1924" s="8">
        <v>2</v>
      </c>
      <c r="J1924" s="8">
        <v>2</v>
      </c>
      <c r="K1924" s="8">
        <v>2</v>
      </c>
      <c r="L1924" s="8">
        <v>2</v>
      </c>
      <c r="M1924" s="8">
        <v>2</v>
      </c>
      <c r="N1924" s="8">
        <v>0</v>
      </c>
      <c r="O1924" s="8">
        <v>2</v>
      </c>
      <c r="P1924" s="8">
        <v>2</v>
      </c>
      <c r="Q1924" s="8">
        <v>2</v>
      </c>
      <c r="R1924" s="8">
        <v>2</v>
      </c>
      <c r="S1924" s="8">
        <v>2</v>
      </c>
      <c r="T1924" s="8">
        <v>2</v>
      </c>
      <c r="U1924" s="8">
        <v>0</v>
      </c>
      <c r="V1924" s="8">
        <v>2</v>
      </c>
      <c r="W1924" s="8">
        <v>2</v>
      </c>
      <c r="X1924" s="8">
        <v>2</v>
      </c>
      <c r="Y1924" s="8">
        <v>2</v>
      </c>
      <c r="Z1924" s="8">
        <v>0</v>
      </c>
      <c r="AA1924" s="8">
        <v>0</v>
      </c>
      <c r="AB1924" s="8">
        <v>0</v>
      </c>
      <c r="AC1924" s="8">
        <v>2</v>
      </c>
      <c r="AD1924" s="8">
        <v>2</v>
      </c>
      <c r="AE1924" s="8">
        <v>0</v>
      </c>
      <c r="AF1924" s="8">
        <v>0</v>
      </c>
      <c r="AG1924" s="8">
        <v>0</v>
      </c>
      <c r="AH1924" s="8">
        <v>2</v>
      </c>
      <c r="AI1924" s="8">
        <v>0</v>
      </c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11" t="s">
        <v>254</v>
      </c>
    </row>
    <row r="1925" spans="1:46" ht="15.1" customHeight="1">
      <c r="A1925" s="8"/>
      <c r="B1925" s="9"/>
      <c r="C1925" s="8"/>
      <c r="D1925" s="9"/>
      <c r="E1925" s="8">
        <v>5</v>
      </c>
      <c r="F1925" s="8">
        <v>3</v>
      </c>
      <c r="G1925" s="8">
        <v>0</v>
      </c>
      <c r="H1925" s="8">
        <v>3</v>
      </c>
      <c r="I1925" s="8">
        <v>3</v>
      </c>
      <c r="J1925" s="8">
        <v>5</v>
      </c>
      <c r="K1925" s="8">
        <v>5</v>
      </c>
      <c r="L1925" s="8">
        <v>5</v>
      </c>
      <c r="M1925" s="8">
        <v>5</v>
      </c>
      <c r="N1925" s="8">
        <v>15</v>
      </c>
      <c r="O1925" s="8">
        <v>7</v>
      </c>
      <c r="P1925" s="8">
        <v>7</v>
      </c>
      <c r="Q1925" s="8">
        <v>7</v>
      </c>
      <c r="R1925" s="8">
        <v>7</v>
      </c>
      <c r="S1925" s="8">
        <v>7</v>
      </c>
      <c r="T1925" s="8">
        <v>5</v>
      </c>
      <c r="U1925" s="8">
        <v>13</v>
      </c>
      <c r="V1925" s="8">
        <v>7</v>
      </c>
      <c r="W1925" s="8">
        <v>7</v>
      </c>
      <c r="X1925" s="8">
        <v>7</v>
      </c>
      <c r="Y1925" s="8">
        <v>3</v>
      </c>
      <c r="Z1925" s="8">
        <v>0</v>
      </c>
      <c r="AA1925" s="8">
        <v>0</v>
      </c>
      <c r="AB1925" s="8">
        <v>0</v>
      </c>
      <c r="AC1925" s="8">
        <v>0</v>
      </c>
      <c r="AD1925" s="8">
        <v>3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11" t="s">
        <v>254</v>
      </c>
    </row>
    <row r="1926" spans="1:46" ht="15.1" customHeight="1">
      <c r="A1926" s="8">
        <v>641</v>
      </c>
      <c r="B1926" s="9" t="s">
        <v>1527</v>
      </c>
      <c r="C1926" s="8" t="s">
        <v>1528</v>
      </c>
      <c r="D1926" s="9" t="s">
        <v>451</v>
      </c>
      <c r="E1926" s="8" t="s">
        <v>54</v>
      </c>
      <c r="F1926" s="8" t="s">
        <v>54</v>
      </c>
      <c r="G1926" s="10" t="s">
        <v>67</v>
      </c>
      <c r="H1926" s="8" t="s">
        <v>54</v>
      </c>
      <c r="I1926" s="8" t="s">
        <v>54</v>
      </c>
      <c r="J1926" s="8" t="s">
        <v>54</v>
      </c>
      <c r="K1926" s="8" t="s">
        <v>54</v>
      </c>
      <c r="L1926" s="8" t="s">
        <v>54</v>
      </c>
      <c r="M1926" s="8" t="s">
        <v>54</v>
      </c>
      <c r="N1926" s="10" t="s">
        <v>67</v>
      </c>
      <c r="O1926" s="8" t="s">
        <v>54</v>
      </c>
      <c r="P1926" s="8" t="s">
        <v>54</v>
      </c>
      <c r="Q1926" s="8" t="s">
        <v>54</v>
      </c>
      <c r="R1926" s="8" t="s">
        <v>54</v>
      </c>
      <c r="S1926" s="8" t="s">
        <v>54</v>
      </c>
      <c r="T1926" s="8" t="s">
        <v>54</v>
      </c>
      <c r="U1926" s="10" t="s">
        <v>67</v>
      </c>
      <c r="V1926" s="8" t="s">
        <v>54</v>
      </c>
      <c r="W1926" s="8" t="s">
        <v>54</v>
      </c>
      <c r="X1926" s="8" t="s">
        <v>54</v>
      </c>
      <c r="Y1926" s="8" t="s">
        <v>54</v>
      </c>
      <c r="Z1926" s="8" t="s">
        <v>54</v>
      </c>
      <c r="AA1926" s="8" t="s">
        <v>54</v>
      </c>
      <c r="AB1926" s="10" t="s">
        <v>67</v>
      </c>
      <c r="AC1926" s="8" t="s">
        <v>54</v>
      </c>
      <c r="AD1926" s="8" t="s">
        <v>54</v>
      </c>
      <c r="AE1926" s="8" t="s">
        <v>54</v>
      </c>
      <c r="AF1926" s="8" t="s">
        <v>54</v>
      </c>
      <c r="AG1926" s="8" t="s">
        <v>54</v>
      </c>
      <c r="AH1926" s="8" t="s">
        <v>54</v>
      </c>
      <c r="AI1926" s="10" t="s">
        <v>67</v>
      </c>
      <c r="AJ1926" s="8">
        <f>COUNTIF($E$1926:$AI$1926,"P")</f>
        <v>26</v>
      </c>
      <c r="AK1926" s="8">
        <f>COUNTIF($E$1926:$AI$1926,"A")</f>
        <v>0</v>
      </c>
      <c r="AL1926" s="8">
        <f>SUM($E$1927:$AI$1927)</f>
        <v>48</v>
      </c>
      <c r="AM1926" s="8">
        <f>SUM($E$1928:$AI$1928)</f>
        <v>162</v>
      </c>
      <c r="AN1926" s="8">
        <f>AL1926+AM1926</f>
        <v>210</v>
      </c>
      <c r="AO1926" s="8">
        <f>COUNTIF($E$1926:$AI$1926,"CL")</f>
        <v>0</v>
      </c>
      <c r="AP1926" s="8">
        <f>COUNTIF($E$1926:$AI$1926,"SL")</f>
        <v>0</v>
      </c>
      <c r="AQ1926" s="8">
        <f>COUNTIF($E$1926:$AI$1926,"EL")</f>
        <v>0</v>
      </c>
      <c r="AR1926" s="8">
        <f>COUNTIF($E$1926:$AI$1926,"H")</f>
        <v>0</v>
      </c>
      <c r="AS1926" s="8"/>
      <c r="AT1926" s="11" t="s">
        <v>254</v>
      </c>
    </row>
    <row r="1927" spans="1:46" ht="15.1" customHeight="1">
      <c r="A1927" s="8"/>
      <c r="B1927" s="9"/>
      <c r="C1927" s="8"/>
      <c r="D1927" s="9"/>
      <c r="E1927" s="8">
        <v>2</v>
      </c>
      <c r="F1927" s="8">
        <v>2</v>
      </c>
      <c r="G1927" s="8">
        <v>0</v>
      </c>
      <c r="H1927" s="8">
        <v>2</v>
      </c>
      <c r="I1927" s="8">
        <v>2</v>
      </c>
      <c r="J1927" s="8">
        <v>2</v>
      </c>
      <c r="K1927" s="8">
        <v>2</v>
      </c>
      <c r="L1927" s="8">
        <v>2</v>
      </c>
      <c r="M1927" s="8">
        <v>2</v>
      </c>
      <c r="N1927" s="8">
        <v>0</v>
      </c>
      <c r="O1927" s="8">
        <v>2</v>
      </c>
      <c r="P1927" s="8">
        <v>2</v>
      </c>
      <c r="Q1927" s="8">
        <v>2</v>
      </c>
      <c r="R1927" s="8">
        <v>2</v>
      </c>
      <c r="S1927" s="8">
        <v>2</v>
      </c>
      <c r="T1927" s="8">
        <v>2</v>
      </c>
      <c r="U1927" s="8">
        <v>0</v>
      </c>
      <c r="V1927" s="8">
        <v>2</v>
      </c>
      <c r="W1927" s="8">
        <v>2</v>
      </c>
      <c r="X1927" s="8">
        <v>2</v>
      </c>
      <c r="Y1927" s="8">
        <v>2</v>
      </c>
      <c r="Z1927" s="8">
        <v>0</v>
      </c>
      <c r="AA1927" s="8">
        <v>0</v>
      </c>
      <c r="AB1927" s="8">
        <v>0</v>
      </c>
      <c r="AC1927" s="8">
        <v>2</v>
      </c>
      <c r="AD1927" s="8">
        <v>2</v>
      </c>
      <c r="AE1927" s="8">
        <v>2</v>
      </c>
      <c r="AF1927" s="8">
        <v>2</v>
      </c>
      <c r="AG1927" s="8">
        <v>2</v>
      </c>
      <c r="AH1927" s="8">
        <v>2</v>
      </c>
      <c r="AI1927" s="8">
        <v>0</v>
      </c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11" t="s">
        <v>254</v>
      </c>
    </row>
    <row r="1928" spans="1:46" ht="15.1" customHeight="1">
      <c r="A1928" s="8"/>
      <c r="B1928" s="9"/>
      <c r="C1928" s="8"/>
      <c r="D1928" s="9"/>
      <c r="E1928" s="8">
        <v>5</v>
      </c>
      <c r="F1928" s="8">
        <v>3</v>
      </c>
      <c r="G1928" s="8">
        <v>13</v>
      </c>
      <c r="H1928" s="8">
        <v>7</v>
      </c>
      <c r="I1928" s="8">
        <v>7</v>
      </c>
      <c r="J1928" s="8">
        <v>5</v>
      </c>
      <c r="K1928" s="8">
        <v>7</v>
      </c>
      <c r="L1928" s="8">
        <v>7</v>
      </c>
      <c r="M1928" s="8">
        <v>5</v>
      </c>
      <c r="N1928" s="8">
        <v>17</v>
      </c>
      <c r="O1928" s="8">
        <v>7</v>
      </c>
      <c r="P1928" s="8">
        <v>7</v>
      </c>
      <c r="Q1928" s="8">
        <v>7</v>
      </c>
      <c r="R1928" s="8">
        <v>7</v>
      </c>
      <c r="S1928" s="8">
        <v>7</v>
      </c>
      <c r="T1928" s="8">
        <v>5</v>
      </c>
      <c r="U1928" s="8">
        <v>13</v>
      </c>
      <c r="V1928" s="8">
        <v>7</v>
      </c>
      <c r="W1928" s="8">
        <v>7</v>
      </c>
      <c r="X1928" s="8">
        <v>7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3</v>
      </c>
      <c r="AE1928" s="8">
        <v>3</v>
      </c>
      <c r="AF1928" s="8">
        <v>3</v>
      </c>
      <c r="AG1928" s="8">
        <v>3</v>
      </c>
      <c r="AH1928" s="8">
        <v>0</v>
      </c>
      <c r="AI1928" s="8">
        <v>0</v>
      </c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11" t="s">
        <v>254</v>
      </c>
    </row>
    <row r="1929" spans="1:46" ht="15.1" customHeight="1">
      <c r="A1929" s="8">
        <v>642</v>
      </c>
      <c r="B1929" s="9" t="s">
        <v>1529</v>
      </c>
      <c r="C1929" s="8" t="s">
        <v>1530</v>
      </c>
      <c r="D1929" s="9" t="s">
        <v>451</v>
      </c>
      <c r="E1929" s="8" t="s">
        <v>54</v>
      </c>
      <c r="F1929" s="8" t="s">
        <v>54</v>
      </c>
      <c r="G1929" s="10" t="s">
        <v>67</v>
      </c>
      <c r="H1929" s="8" t="s">
        <v>54</v>
      </c>
      <c r="I1929" s="8" t="s">
        <v>54</v>
      </c>
      <c r="J1929" s="8" t="s">
        <v>54</v>
      </c>
      <c r="K1929" s="8" t="s">
        <v>54</v>
      </c>
      <c r="L1929" s="8" t="s">
        <v>54</v>
      </c>
      <c r="M1929" s="8" t="s">
        <v>54</v>
      </c>
      <c r="N1929" s="10" t="s">
        <v>67</v>
      </c>
      <c r="O1929" s="8" t="s">
        <v>54</v>
      </c>
      <c r="P1929" s="8" t="s">
        <v>54</v>
      </c>
      <c r="Q1929" s="8" t="s">
        <v>54</v>
      </c>
      <c r="R1929" s="8" t="s">
        <v>54</v>
      </c>
      <c r="S1929" s="8" t="s">
        <v>54</v>
      </c>
      <c r="T1929" s="8" t="s">
        <v>54</v>
      </c>
      <c r="U1929" s="10" t="s">
        <v>67</v>
      </c>
      <c r="V1929" s="8" t="s">
        <v>54</v>
      </c>
      <c r="W1929" s="8" t="s">
        <v>54</v>
      </c>
      <c r="X1929" s="8" t="s">
        <v>54</v>
      </c>
      <c r="Y1929" s="8" t="s">
        <v>54</v>
      </c>
      <c r="Z1929" s="12" t="s">
        <v>55</v>
      </c>
      <c r="AA1929" s="8" t="s">
        <v>54</v>
      </c>
      <c r="AB1929" s="10" t="s">
        <v>67</v>
      </c>
      <c r="AC1929" s="8" t="s">
        <v>54</v>
      </c>
      <c r="AD1929" s="12" t="s">
        <v>55</v>
      </c>
      <c r="AE1929" s="8" t="s">
        <v>54</v>
      </c>
      <c r="AF1929" s="8" t="s">
        <v>54</v>
      </c>
      <c r="AG1929" s="8" t="s">
        <v>54</v>
      </c>
      <c r="AH1929" s="8" t="s">
        <v>54</v>
      </c>
      <c r="AI1929" s="10" t="s">
        <v>67</v>
      </c>
      <c r="AJ1929" s="8">
        <f>COUNTIF($E$1929:$AI$1929,"P")</f>
        <v>24</v>
      </c>
      <c r="AK1929" s="8">
        <f>COUNTIF($E$1929:$AI$1929,"A")</f>
        <v>2</v>
      </c>
      <c r="AL1929" s="8">
        <f>SUM($E$1930:$AI$1930)</f>
        <v>46</v>
      </c>
      <c r="AM1929" s="8">
        <f>SUM($E$1931:$AI$1931)</f>
        <v>147</v>
      </c>
      <c r="AN1929" s="8">
        <f>AL1929+AM1929</f>
        <v>193</v>
      </c>
      <c r="AO1929" s="8">
        <f>COUNTIF($E$1929:$AI$1929,"CL")</f>
        <v>0</v>
      </c>
      <c r="AP1929" s="8">
        <f>COUNTIF($E$1929:$AI$1929,"SL")</f>
        <v>0</v>
      </c>
      <c r="AQ1929" s="8">
        <f>COUNTIF($E$1929:$AI$1929,"EL")</f>
        <v>0</v>
      </c>
      <c r="AR1929" s="8">
        <f>COUNTIF($E$1929:$AI$1929,"H")</f>
        <v>0</v>
      </c>
      <c r="AS1929" s="8"/>
      <c r="AT1929" s="11" t="s">
        <v>254</v>
      </c>
    </row>
    <row r="1930" spans="1:46" ht="15.1" customHeight="1">
      <c r="A1930" s="8"/>
      <c r="B1930" s="9"/>
      <c r="C1930" s="8"/>
      <c r="D1930" s="9"/>
      <c r="E1930" s="8">
        <v>2</v>
      </c>
      <c r="F1930" s="8">
        <v>2</v>
      </c>
      <c r="G1930" s="8">
        <v>0</v>
      </c>
      <c r="H1930" s="8">
        <v>2</v>
      </c>
      <c r="I1930" s="8">
        <v>2</v>
      </c>
      <c r="J1930" s="8">
        <v>2</v>
      </c>
      <c r="K1930" s="8">
        <v>2</v>
      </c>
      <c r="L1930" s="8">
        <v>2</v>
      </c>
      <c r="M1930" s="8">
        <v>2</v>
      </c>
      <c r="N1930" s="8">
        <v>0</v>
      </c>
      <c r="O1930" s="8">
        <v>2</v>
      </c>
      <c r="P1930" s="8">
        <v>2</v>
      </c>
      <c r="Q1930" s="8">
        <v>2</v>
      </c>
      <c r="R1930" s="8">
        <v>2</v>
      </c>
      <c r="S1930" s="8">
        <v>2</v>
      </c>
      <c r="T1930" s="8">
        <v>2</v>
      </c>
      <c r="U1930" s="8">
        <v>0</v>
      </c>
      <c r="V1930" s="8">
        <v>2</v>
      </c>
      <c r="W1930" s="8">
        <v>2</v>
      </c>
      <c r="X1930" s="8">
        <v>2</v>
      </c>
      <c r="Y1930" s="8">
        <v>2</v>
      </c>
      <c r="Z1930" s="8">
        <v>0</v>
      </c>
      <c r="AA1930" s="8">
        <v>0</v>
      </c>
      <c r="AB1930" s="8">
        <v>0</v>
      </c>
      <c r="AC1930" s="8">
        <v>2</v>
      </c>
      <c r="AD1930" s="8">
        <v>0</v>
      </c>
      <c r="AE1930" s="8">
        <v>2</v>
      </c>
      <c r="AF1930" s="8">
        <v>2</v>
      </c>
      <c r="AG1930" s="8">
        <v>2</v>
      </c>
      <c r="AH1930" s="8">
        <v>2</v>
      </c>
      <c r="AI1930" s="8">
        <v>0</v>
      </c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11" t="s">
        <v>254</v>
      </c>
    </row>
    <row r="1931" spans="1:46" ht="15.1" customHeight="1">
      <c r="A1931" s="8"/>
      <c r="B1931" s="9"/>
      <c r="C1931" s="8"/>
      <c r="D1931" s="9"/>
      <c r="E1931" s="8">
        <v>5</v>
      </c>
      <c r="F1931" s="8">
        <v>3</v>
      </c>
      <c r="G1931" s="8">
        <v>12.5</v>
      </c>
      <c r="H1931" s="8">
        <v>7</v>
      </c>
      <c r="I1931" s="8">
        <v>7</v>
      </c>
      <c r="J1931" s="8">
        <v>5</v>
      </c>
      <c r="K1931" s="8">
        <v>7</v>
      </c>
      <c r="L1931" s="8">
        <v>7</v>
      </c>
      <c r="M1931" s="8">
        <v>3</v>
      </c>
      <c r="N1931" s="8">
        <v>16.5</v>
      </c>
      <c r="O1931" s="8">
        <v>7</v>
      </c>
      <c r="P1931" s="8">
        <v>7</v>
      </c>
      <c r="Q1931" s="8">
        <v>7</v>
      </c>
      <c r="R1931" s="8">
        <v>3</v>
      </c>
      <c r="S1931" s="8">
        <v>5</v>
      </c>
      <c r="T1931" s="8">
        <v>2.5</v>
      </c>
      <c r="U1931" s="8">
        <v>12.5</v>
      </c>
      <c r="V1931" s="8">
        <v>7</v>
      </c>
      <c r="W1931" s="8">
        <v>7</v>
      </c>
      <c r="X1931" s="8">
        <v>7</v>
      </c>
      <c r="Y1931" s="8">
        <v>0</v>
      </c>
      <c r="Z1931" s="8">
        <v>0</v>
      </c>
      <c r="AA1931" s="8">
        <v>0</v>
      </c>
      <c r="AB1931" s="8">
        <v>0</v>
      </c>
      <c r="AC1931" s="8">
        <v>0</v>
      </c>
      <c r="AD1931" s="8">
        <v>0</v>
      </c>
      <c r="AE1931" s="8">
        <v>3</v>
      </c>
      <c r="AF1931" s="8">
        <v>3</v>
      </c>
      <c r="AG1931" s="8">
        <v>3</v>
      </c>
      <c r="AH1931" s="8">
        <v>0</v>
      </c>
      <c r="AI1931" s="8">
        <v>0</v>
      </c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11" t="s">
        <v>254</v>
      </c>
    </row>
    <row r="1932" spans="1:46" ht="15.1" customHeight="1">
      <c r="A1932" s="8">
        <v>643</v>
      </c>
      <c r="B1932" s="9" t="s">
        <v>1531</v>
      </c>
      <c r="C1932" s="8" t="s">
        <v>1532</v>
      </c>
      <c r="D1932" s="9" t="s">
        <v>451</v>
      </c>
      <c r="E1932" s="8" t="s">
        <v>54</v>
      </c>
      <c r="F1932" s="12" t="s">
        <v>55</v>
      </c>
      <c r="G1932" s="10" t="s">
        <v>67</v>
      </c>
      <c r="H1932" s="8" t="s">
        <v>54</v>
      </c>
      <c r="I1932" s="8" t="s">
        <v>54</v>
      </c>
      <c r="J1932" s="8" t="s">
        <v>54</v>
      </c>
      <c r="K1932" s="12" t="s">
        <v>55</v>
      </c>
      <c r="L1932" s="12" t="s">
        <v>55</v>
      </c>
      <c r="M1932" s="12" t="s">
        <v>55</v>
      </c>
      <c r="N1932" s="10" t="s">
        <v>67</v>
      </c>
      <c r="O1932" s="12" t="s">
        <v>55</v>
      </c>
      <c r="P1932" s="12" t="s">
        <v>55</v>
      </c>
      <c r="Q1932" s="8" t="s">
        <v>54</v>
      </c>
      <c r="R1932" s="8" t="s">
        <v>54</v>
      </c>
      <c r="S1932" s="8" t="s">
        <v>54</v>
      </c>
      <c r="T1932" s="8" t="s">
        <v>54</v>
      </c>
      <c r="U1932" s="10" t="s">
        <v>67</v>
      </c>
      <c r="V1932" s="8" t="s">
        <v>54</v>
      </c>
      <c r="W1932" s="8" t="s">
        <v>54</v>
      </c>
      <c r="X1932" s="8" t="s">
        <v>54</v>
      </c>
      <c r="Y1932" s="8" t="s">
        <v>54</v>
      </c>
      <c r="Z1932" s="8" t="s">
        <v>54</v>
      </c>
      <c r="AA1932" s="8" t="s">
        <v>54</v>
      </c>
      <c r="AB1932" s="10" t="s">
        <v>67</v>
      </c>
      <c r="AC1932" s="8" t="s">
        <v>54</v>
      </c>
      <c r="AD1932" s="8" t="s">
        <v>54</v>
      </c>
      <c r="AE1932" s="8" t="s">
        <v>54</v>
      </c>
      <c r="AF1932" s="8" t="s">
        <v>54</v>
      </c>
      <c r="AG1932" s="8" t="s">
        <v>54</v>
      </c>
      <c r="AH1932" s="8" t="s">
        <v>54</v>
      </c>
      <c r="AI1932" s="10" t="s">
        <v>67</v>
      </c>
      <c r="AJ1932" s="8">
        <f>COUNTIF($E$1932:$AI$1932,"P")</f>
        <v>20</v>
      </c>
      <c r="AK1932" s="8">
        <f>COUNTIF($E$1932:$AI$1932,"A")</f>
        <v>6</v>
      </c>
      <c r="AL1932" s="8">
        <f>SUM($E$1933:$AI$1933)</f>
        <v>34</v>
      </c>
      <c r="AM1932" s="8">
        <f>SUM($E$1934:$AI$1934)</f>
        <v>83.5</v>
      </c>
      <c r="AN1932" s="8">
        <f>AL1932+AM1932</f>
        <v>117</v>
      </c>
      <c r="AO1932" s="8">
        <f>COUNTIF($E$1932:$AI$1932,"CL")</f>
        <v>0</v>
      </c>
      <c r="AP1932" s="8">
        <f>COUNTIF($E$1932:$AI$1932,"SL")</f>
        <v>0</v>
      </c>
      <c r="AQ1932" s="8">
        <f>COUNTIF($E$1932:$AI$1932,"EL")</f>
        <v>0</v>
      </c>
      <c r="AR1932" s="8">
        <f>COUNTIF($E$1932:$AI$1932,"H")</f>
        <v>0</v>
      </c>
      <c r="AS1932" s="8"/>
      <c r="AT1932" s="11" t="s">
        <v>254</v>
      </c>
    </row>
    <row r="1933" spans="1:46" ht="15.1" customHeight="1">
      <c r="A1933" s="8"/>
      <c r="B1933" s="9"/>
      <c r="C1933" s="8"/>
      <c r="D1933" s="9"/>
      <c r="E1933" s="8">
        <v>0</v>
      </c>
      <c r="F1933" s="8">
        <v>0</v>
      </c>
      <c r="G1933" s="8">
        <v>0</v>
      </c>
      <c r="H1933" s="8">
        <v>2</v>
      </c>
      <c r="I1933" s="8">
        <v>2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2</v>
      </c>
      <c r="R1933" s="8">
        <v>2</v>
      </c>
      <c r="S1933" s="8">
        <v>2</v>
      </c>
      <c r="T1933" s="8">
        <v>2</v>
      </c>
      <c r="U1933" s="8">
        <v>0</v>
      </c>
      <c r="V1933" s="8">
        <v>2</v>
      </c>
      <c r="W1933" s="8">
        <v>2</v>
      </c>
      <c r="X1933" s="8">
        <v>2</v>
      </c>
      <c r="Y1933" s="8">
        <v>2</v>
      </c>
      <c r="Z1933" s="8">
        <v>2</v>
      </c>
      <c r="AA1933" s="8">
        <v>0</v>
      </c>
      <c r="AB1933" s="8">
        <v>0</v>
      </c>
      <c r="AC1933" s="8">
        <v>2</v>
      </c>
      <c r="AD1933" s="8">
        <v>2</v>
      </c>
      <c r="AE1933" s="8">
        <v>2</v>
      </c>
      <c r="AF1933" s="8">
        <v>2</v>
      </c>
      <c r="AG1933" s="8">
        <v>2</v>
      </c>
      <c r="AH1933" s="8">
        <v>2</v>
      </c>
      <c r="AI1933" s="8">
        <v>0</v>
      </c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11" t="s">
        <v>254</v>
      </c>
    </row>
    <row r="1934" spans="1:46" ht="15.1" customHeight="1">
      <c r="A1934" s="8"/>
      <c r="B1934" s="9"/>
      <c r="C1934" s="8"/>
      <c r="D1934" s="9"/>
      <c r="E1934" s="8">
        <v>0</v>
      </c>
      <c r="F1934" s="8">
        <v>0</v>
      </c>
      <c r="G1934" s="8">
        <v>8</v>
      </c>
      <c r="H1934" s="8">
        <v>3</v>
      </c>
      <c r="I1934" s="8">
        <v>3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7</v>
      </c>
      <c r="R1934" s="8">
        <v>7</v>
      </c>
      <c r="S1934" s="8">
        <v>7</v>
      </c>
      <c r="T1934" s="8">
        <v>3</v>
      </c>
      <c r="U1934" s="8">
        <v>12.5</v>
      </c>
      <c r="V1934" s="8">
        <v>7</v>
      </c>
      <c r="W1934" s="8">
        <v>7</v>
      </c>
      <c r="X1934" s="8">
        <v>7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3</v>
      </c>
      <c r="AE1934" s="8">
        <v>3</v>
      </c>
      <c r="AF1934" s="8">
        <v>3</v>
      </c>
      <c r="AG1934" s="8">
        <v>3</v>
      </c>
      <c r="AH1934" s="8">
        <v>0</v>
      </c>
      <c r="AI1934" s="8">
        <v>0</v>
      </c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11" t="s">
        <v>254</v>
      </c>
    </row>
    <row r="1935" spans="1:46" ht="15.1" customHeight="1">
      <c r="A1935" s="8">
        <v>644</v>
      </c>
      <c r="B1935" s="9" t="s">
        <v>1533</v>
      </c>
      <c r="C1935" s="8" t="s">
        <v>1534</v>
      </c>
      <c r="D1935" s="9" t="s">
        <v>451</v>
      </c>
      <c r="E1935" s="8" t="s">
        <v>54</v>
      </c>
      <c r="F1935" s="8" t="s">
        <v>54</v>
      </c>
      <c r="G1935" s="10" t="s">
        <v>67</v>
      </c>
      <c r="H1935" s="8" t="s">
        <v>54</v>
      </c>
      <c r="I1935" s="8" t="s">
        <v>54</v>
      </c>
      <c r="J1935" s="8" t="s">
        <v>54</v>
      </c>
      <c r="K1935" s="8" t="s">
        <v>54</v>
      </c>
      <c r="L1935" s="8" t="s">
        <v>54</v>
      </c>
      <c r="M1935" s="8" t="s">
        <v>54</v>
      </c>
      <c r="N1935" s="10" t="s">
        <v>67</v>
      </c>
      <c r="O1935" s="8" t="s">
        <v>54</v>
      </c>
      <c r="P1935" s="8" t="s">
        <v>54</v>
      </c>
      <c r="Q1935" s="8" t="s">
        <v>54</v>
      </c>
      <c r="R1935" s="8" t="s">
        <v>54</v>
      </c>
      <c r="S1935" s="8" t="s">
        <v>54</v>
      </c>
      <c r="T1935" s="8" t="s">
        <v>54</v>
      </c>
      <c r="U1935" s="10" t="s">
        <v>67</v>
      </c>
      <c r="V1935" s="12" t="s">
        <v>55</v>
      </c>
      <c r="W1935" s="12" t="s">
        <v>55</v>
      </c>
      <c r="X1935" s="12" t="s">
        <v>55</v>
      </c>
      <c r="Y1935" s="12" t="s">
        <v>55</v>
      </c>
      <c r="Z1935" s="12" t="s">
        <v>55</v>
      </c>
      <c r="AA1935" s="12" t="s">
        <v>55</v>
      </c>
      <c r="AB1935" s="10" t="s">
        <v>67</v>
      </c>
      <c r="AC1935" s="8"/>
      <c r="AD1935" s="8"/>
      <c r="AE1935" s="8"/>
      <c r="AF1935" s="8"/>
      <c r="AG1935" s="8"/>
      <c r="AH1935" s="8"/>
      <c r="AI1935" s="10"/>
      <c r="AJ1935" s="8">
        <f>COUNTIF($E$1935:$AI$1935,"P")</f>
        <v>14</v>
      </c>
      <c r="AK1935" s="8">
        <f>COUNTIF($E$1935:$AI$1935,"A")</f>
        <v>6</v>
      </c>
      <c r="AL1935" s="8">
        <f>SUM($E$1936:$AI$1936)</f>
        <v>26</v>
      </c>
      <c r="AM1935" s="8">
        <f>SUM($E$1937:$AI$1937)</f>
        <v>72</v>
      </c>
      <c r="AN1935" s="8">
        <f>AL1935+AM1935</f>
        <v>98</v>
      </c>
      <c r="AO1935" s="8">
        <f>COUNTIF($E$1935:$AI$1935,"CL")</f>
        <v>0</v>
      </c>
      <c r="AP1935" s="8">
        <f>COUNTIF($E$1935:$AI$1935,"SL")</f>
        <v>0</v>
      </c>
      <c r="AQ1935" s="8">
        <f>COUNTIF($E$1935:$AI$1935,"EL")</f>
        <v>0</v>
      </c>
      <c r="AR1935" s="8">
        <f>COUNTIF($E$1935:$AI$1935,"H")</f>
        <v>0</v>
      </c>
      <c r="AS1935" s="8"/>
      <c r="AT1935" s="11" t="s">
        <v>254</v>
      </c>
    </row>
    <row r="1936" spans="1:46" ht="15.1" customHeight="1">
      <c r="A1936" s="8"/>
      <c r="B1936" s="9"/>
      <c r="C1936" s="8"/>
      <c r="D1936" s="9"/>
      <c r="E1936" s="8">
        <v>2</v>
      </c>
      <c r="F1936" s="8">
        <v>2</v>
      </c>
      <c r="G1936" s="8">
        <v>0</v>
      </c>
      <c r="H1936" s="8">
        <v>2</v>
      </c>
      <c r="I1936" s="8">
        <v>2</v>
      </c>
      <c r="J1936" s="8">
        <v>2</v>
      </c>
      <c r="K1936" s="8">
        <v>2</v>
      </c>
      <c r="L1936" s="8">
        <v>2</v>
      </c>
      <c r="M1936" s="8">
        <v>2</v>
      </c>
      <c r="N1936" s="8">
        <v>0</v>
      </c>
      <c r="O1936" s="8">
        <v>2</v>
      </c>
      <c r="P1936" s="8">
        <v>2</v>
      </c>
      <c r="Q1936" s="8">
        <v>0</v>
      </c>
      <c r="R1936" s="8">
        <v>2</v>
      </c>
      <c r="S1936" s="8">
        <v>2</v>
      </c>
      <c r="T1936" s="8">
        <v>2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11" t="s">
        <v>254</v>
      </c>
    </row>
    <row r="1937" spans="1:46" ht="15.1" customHeight="1">
      <c r="A1937" s="8"/>
      <c r="B1937" s="9"/>
      <c r="C1937" s="8"/>
      <c r="D1937" s="9"/>
      <c r="E1937" s="8">
        <v>3</v>
      </c>
      <c r="F1937" s="8">
        <v>2</v>
      </c>
      <c r="G1937" s="8">
        <v>13</v>
      </c>
      <c r="H1937" s="8">
        <v>3</v>
      </c>
      <c r="I1937" s="8">
        <v>3</v>
      </c>
      <c r="J1937" s="8">
        <v>3</v>
      </c>
      <c r="K1937" s="8">
        <v>5</v>
      </c>
      <c r="L1937" s="8">
        <v>5</v>
      </c>
      <c r="M1937" s="8">
        <v>4</v>
      </c>
      <c r="N1937" s="8">
        <v>15</v>
      </c>
      <c r="O1937" s="8">
        <v>4</v>
      </c>
      <c r="P1937" s="8">
        <v>3</v>
      </c>
      <c r="Q1937" s="8">
        <v>0</v>
      </c>
      <c r="R1937" s="8">
        <v>3</v>
      </c>
      <c r="S1937" s="8">
        <v>3</v>
      </c>
      <c r="T1937" s="8">
        <v>3</v>
      </c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11" t="s">
        <v>254</v>
      </c>
    </row>
    <row r="1938" spans="1:46" ht="15.1" customHeight="1">
      <c r="A1938" s="8">
        <v>645</v>
      </c>
      <c r="B1938" s="9" t="s">
        <v>1535</v>
      </c>
      <c r="C1938" s="8" t="s">
        <v>1536</v>
      </c>
      <c r="D1938" s="9" t="s">
        <v>451</v>
      </c>
      <c r="E1938" s="8" t="s">
        <v>54</v>
      </c>
      <c r="F1938" s="8" t="s">
        <v>54</v>
      </c>
      <c r="G1938" s="10" t="s">
        <v>67</v>
      </c>
      <c r="H1938" s="8" t="s">
        <v>54</v>
      </c>
      <c r="I1938" s="8" t="s">
        <v>54</v>
      </c>
      <c r="J1938" s="8" t="s">
        <v>54</v>
      </c>
      <c r="K1938" s="8" t="s">
        <v>54</v>
      </c>
      <c r="L1938" s="8" t="s">
        <v>54</v>
      </c>
      <c r="M1938" s="8" t="s">
        <v>54</v>
      </c>
      <c r="N1938" s="10" t="s">
        <v>67</v>
      </c>
      <c r="O1938" s="8" t="s">
        <v>54</v>
      </c>
      <c r="P1938" s="8" t="s">
        <v>54</v>
      </c>
      <c r="Q1938" s="8" t="s">
        <v>54</v>
      </c>
      <c r="R1938" s="12" t="s">
        <v>55</v>
      </c>
      <c r="S1938" s="8" t="s">
        <v>54</v>
      </c>
      <c r="T1938" s="8" t="s">
        <v>54</v>
      </c>
      <c r="U1938" s="10" t="s">
        <v>67</v>
      </c>
      <c r="V1938" s="8" t="s">
        <v>54</v>
      </c>
      <c r="W1938" s="8" t="s">
        <v>54</v>
      </c>
      <c r="X1938" s="8" t="s">
        <v>54</v>
      </c>
      <c r="Y1938" s="8" t="s">
        <v>54</v>
      </c>
      <c r="Z1938" s="8" t="s">
        <v>54</v>
      </c>
      <c r="AA1938" s="12" t="s">
        <v>55</v>
      </c>
      <c r="AB1938" s="10" t="s">
        <v>67</v>
      </c>
      <c r="AC1938" s="8" t="s">
        <v>54</v>
      </c>
      <c r="AD1938" s="8" t="s">
        <v>54</v>
      </c>
      <c r="AE1938" s="8" t="s">
        <v>54</v>
      </c>
      <c r="AF1938" s="8" t="s">
        <v>54</v>
      </c>
      <c r="AG1938" s="8" t="s">
        <v>54</v>
      </c>
      <c r="AH1938" s="8" t="s">
        <v>54</v>
      </c>
      <c r="AI1938" s="10" t="s">
        <v>67</v>
      </c>
      <c r="AJ1938" s="8">
        <f>COUNTIF($E$1938:$AI$1938,"P")</f>
        <v>24</v>
      </c>
      <c r="AK1938" s="8">
        <f>COUNTIF($E$1938:$AI$1938,"A")</f>
        <v>2</v>
      </c>
      <c r="AL1938" s="8">
        <f>SUM($E$1939:$AI$1939)</f>
        <v>46</v>
      </c>
      <c r="AM1938" s="8">
        <f>SUM($E$1940:$AI$1940)</f>
        <v>132</v>
      </c>
      <c r="AN1938" s="8">
        <f>AL1938+AM1938</f>
        <v>178</v>
      </c>
      <c r="AO1938" s="8">
        <f>COUNTIF($E$1938:$AI$1938,"CL")</f>
        <v>0</v>
      </c>
      <c r="AP1938" s="8">
        <f>COUNTIF($E$1938:$AI$1938,"SL")</f>
        <v>0</v>
      </c>
      <c r="AQ1938" s="8">
        <f>COUNTIF($E$1938:$AI$1938,"EL")</f>
        <v>0</v>
      </c>
      <c r="AR1938" s="8">
        <f>COUNTIF($E$1938:$AI$1938,"H")</f>
        <v>0</v>
      </c>
      <c r="AS1938" s="8"/>
      <c r="AT1938" s="11" t="s">
        <v>254</v>
      </c>
    </row>
    <row r="1939" spans="1:46" ht="15.1" customHeight="1">
      <c r="A1939" s="8"/>
      <c r="B1939" s="9"/>
      <c r="C1939" s="8"/>
      <c r="D1939" s="9"/>
      <c r="E1939" s="8">
        <v>2</v>
      </c>
      <c r="F1939" s="8">
        <v>2</v>
      </c>
      <c r="G1939" s="8">
        <v>0</v>
      </c>
      <c r="H1939" s="8">
        <v>2</v>
      </c>
      <c r="I1939" s="8">
        <v>2</v>
      </c>
      <c r="J1939" s="8">
        <v>2</v>
      </c>
      <c r="K1939" s="8">
        <v>2</v>
      </c>
      <c r="L1939" s="8">
        <v>2</v>
      </c>
      <c r="M1939" s="8">
        <v>2</v>
      </c>
      <c r="N1939" s="8">
        <v>0</v>
      </c>
      <c r="O1939" s="8">
        <v>2</v>
      </c>
      <c r="P1939" s="8">
        <v>2</v>
      </c>
      <c r="Q1939" s="8">
        <v>2</v>
      </c>
      <c r="R1939" s="8">
        <v>0</v>
      </c>
      <c r="S1939" s="8">
        <v>2</v>
      </c>
      <c r="T1939" s="8">
        <v>2</v>
      </c>
      <c r="U1939" s="8">
        <v>0</v>
      </c>
      <c r="V1939" s="8">
        <v>2</v>
      </c>
      <c r="W1939" s="8">
        <v>2</v>
      </c>
      <c r="X1939" s="8">
        <v>2</v>
      </c>
      <c r="Y1939" s="8">
        <v>2</v>
      </c>
      <c r="Z1939" s="8">
        <v>0</v>
      </c>
      <c r="AA1939" s="8">
        <v>0</v>
      </c>
      <c r="AB1939" s="8">
        <v>0</v>
      </c>
      <c r="AC1939" s="8">
        <v>2</v>
      </c>
      <c r="AD1939" s="8">
        <v>2</v>
      </c>
      <c r="AE1939" s="8">
        <v>2</v>
      </c>
      <c r="AF1939" s="8">
        <v>2</v>
      </c>
      <c r="AG1939" s="8">
        <v>2</v>
      </c>
      <c r="AH1939" s="8">
        <v>2</v>
      </c>
      <c r="AI1939" s="8">
        <v>0</v>
      </c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11" t="s">
        <v>254</v>
      </c>
    </row>
    <row r="1940" spans="1:46" ht="15.1" customHeight="1">
      <c r="A1940" s="8"/>
      <c r="B1940" s="9"/>
      <c r="C1940" s="8"/>
      <c r="D1940" s="9"/>
      <c r="E1940" s="8">
        <v>5</v>
      </c>
      <c r="F1940" s="8">
        <v>3</v>
      </c>
      <c r="G1940" s="8">
        <v>13</v>
      </c>
      <c r="H1940" s="8">
        <v>3</v>
      </c>
      <c r="I1940" s="8">
        <v>7</v>
      </c>
      <c r="J1940" s="8">
        <v>5</v>
      </c>
      <c r="K1940" s="8">
        <v>5</v>
      </c>
      <c r="L1940" s="8">
        <v>7</v>
      </c>
      <c r="M1940" s="8">
        <v>5</v>
      </c>
      <c r="N1940" s="8">
        <v>15</v>
      </c>
      <c r="O1940" s="8">
        <v>7</v>
      </c>
      <c r="P1940" s="8">
        <v>5</v>
      </c>
      <c r="Q1940" s="8">
        <v>7</v>
      </c>
      <c r="R1940" s="8">
        <v>0</v>
      </c>
      <c r="S1940" s="8">
        <v>7</v>
      </c>
      <c r="T1940" s="8">
        <v>5</v>
      </c>
      <c r="U1940" s="8">
        <v>0</v>
      </c>
      <c r="V1940" s="8">
        <v>7</v>
      </c>
      <c r="W1940" s="8">
        <v>7</v>
      </c>
      <c r="X1940" s="8">
        <v>7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3</v>
      </c>
      <c r="AE1940" s="8">
        <v>3</v>
      </c>
      <c r="AF1940" s="8">
        <v>3</v>
      </c>
      <c r="AG1940" s="8">
        <v>3</v>
      </c>
      <c r="AH1940" s="8">
        <v>0</v>
      </c>
      <c r="AI1940" s="8">
        <v>0</v>
      </c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11" t="s">
        <v>254</v>
      </c>
    </row>
    <row r="1941" spans="1:46" ht="15.1" customHeight="1">
      <c r="A1941" s="8">
        <v>646</v>
      </c>
      <c r="B1941" s="9" t="s">
        <v>1537</v>
      </c>
      <c r="C1941" s="8" t="s">
        <v>1538</v>
      </c>
      <c r="D1941" s="9" t="s">
        <v>451</v>
      </c>
      <c r="E1941" s="8" t="s">
        <v>54</v>
      </c>
      <c r="F1941" s="8" t="s">
        <v>54</v>
      </c>
      <c r="G1941" s="10" t="s">
        <v>67</v>
      </c>
      <c r="H1941" s="8" t="s">
        <v>54</v>
      </c>
      <c r="I1941" s="8" t="s">
        <v>54</v>
      </c>
      <c r="J1941" s="8" t="s">
        <v>54</v>
      </c>
      <c r="K1941" s="8" t="s">
        <v>54</v>
      </c>
      <c r="L1941" s="8" t="s">
        <v>54</v>
      </c>
      <c r="M1941" s="8" t="s">
        <v>54</v>
      </c>
      <c r="N1941" s="10" t="s">
        <v>67</v>
      </c>
      <c r="O1941" s="8" t="s">
        <v>54</v>
      </c>
      <c r="P1941" s="8" t="s">
        <v>54</v>
      </c>
      <c r="Q1941" s="8" t="s">
        <v>54</v>
      </c>
      <c r="R1941" s="8" t="s">
        <v>54</v>
      </c>
      <c r="S1941" s="8" t="s">
        <v>54</v>
      </c>
      <c r="T1941" s="8" t="s">
        <v>54</v>
      </c>
      <c r="U1941" s="10" t="s">
        <v>67</v>
      </c>
      <c r="V1941" s="8" t="s">
        <v>54</v>
      </c>
      <c r="W1941" s="8" t="s">
        <v>54</v>
      </c>
      <c r="X1941" s="8" t="s">
        <v>54</v>
      </c>
      <c r="Y1941" s="8" t="s">
        <v>54</v>
      </c>
      <c r="Z1941" s="8" t="s">
        <v>54</v>
      </c>
      <c r="AA1941" s="8" t="s">
        <v>54</v>
      </c>
      <c r="AB1941" s="10" t="s">
        <v>67</v>
      </c>
      <c r="AC1941" s="8" t="s">
        <v>54</v>
      </c>
      <c r="AD1941" s="8" t="s">
        <v>54</v>
      </c>
      <c r="AE1941" s="8" t="s">
        <v>54</v>
      </c>
      <c r="AF1941" s="12" t="s">
        <v>55</v>
      </c>
      <c r="AG1941" s="8" t="s">
        <v>54</v>
      </c>
      <c r="AH1941" s="8" t="s">
        <v>54</v>
      </c>
      <c r="AI1941" s="10" t="s">
        <v>67</v>
      </c>
      <c r="AJ1941" s="8">
        <f>COUNTIF($E$1941:$AI$1941,"P")</f>
        <v>25</v>
      </c>
      <c r="AK1941" s="8">
        <f>COUNTIF($E$1941:$AI$1941,"A")</f>
        <v>1</v>
      </c>
      <c r="AL1941" s="8">
        <f>SUM($E$1942:$AI$1942)</f>
        <v>45</v>
      </c>
      <c r="AM1941" s="8">
        <f>SUM($E$1943:$AI$1943)</f>
        <v>159</v>
      </c>
      <c r="AN1941" s="8">
        <f>AL1941+AM1941</f>
        <v>204</v>
      </c>
      <c r="AO1941" s="8">
        <f>COUNTIF($E$1941:$AI$1941,"CL")</f>
        <v>0</v>
      </c>
      <c r="AP1941" s="8">
        <f>COUNTIF($E$1941:$AI$1941,"SL")</f>
        <v>0</v>
      </c>
      <c r="AQ1941" s="8">
        <f>COUNTIF($E$1941:$AI$1941,"EL")</f>
        <v>0</v>
      </c>
      <c r="AR1941" s="8">
        <f>COUNTIF($E$1941:$AI$1941,"H")</f>
        <v>0</v>
      </c>
      <c r="AS1941" s="8"/>
      <c r="AT1941" s="11" t="s">
        <v>254</v>
      </c>
    </row>
    <row r="1942" spans="1:46" ht="15.1" customHeight="1">
      <c r="A1942" s="8"/>
      <c r="B1942" s="9"/>
      <c r="C1942" s="8"/>
      <c r="D1942" s="9"/>
      <c r="E1942" s="8">
        <v>2</v>
      </c>
      <c r="F1942" s="8">
        <v>2</v>
      </c>
      <c r="G1942" s="8">
        <v>0</v>
      </c>
      <c r="H1942" s="8">
        <v>2</v>
      </c>
      <c r="I1942" s="8">
        <v>2</v>
      </c>
      <c r="J1942" s="8">
        <v>2</v>
      </c>
      <c r="K1942" s="8">
        <v>2</v>
      </c>
      <c r="L1942" s="8">
        <v>2</v>
      </c>
      <c r="M1942" s="8">
        <v>2</v>
      </c>
      <c r="N1942" s="8">
        <v>0</v>
      </c>
      <c r="O1942" s="8">
        <v>2</v>
      </c>
      <c r="P1942" s="8">
        <v>2</v>
      </c>
      <c r="Q1942" s="8">
        <v>2</v>
      </c>
      <c r="R1942" s="8">
        <v>2</v>
      </c>
      <c r="S1942" s="8">
        <v>2</v>
      </c>
      <c r="T1942" s="8">
        <v>2</v>
      </c>
      <c r="U1942" s="8">
        <v>0</v>
      </c>
      <c r="V1942" s="8">
        <v>2</v>
      </c>
      <c r="W1942" s="8">
        <v>2</v>
      </c>
      <c r="X1942" s="8">
        <v>2</v>
      </c>
      <c r="Y1942" s="8">
        <v>1</v>
      </c>
      <c r="Z1942" s="8">
        <v>0</v>
      </c>
      <c r="AA1942" s="8">
        <v>0</v>
      </c>
      <c r="AB1942" s="8">
        <v>0</v>
      </c>
      <c r="AC1942" s="8">
        <v>2</v>
      </c>
      <c r="AD1942" s="8">
        <v>2</v>
      </c>
      <c r="AE1942" s="8">
        <v>2</v>
      </c>
      <c r="AF1942" s="8">
        <v>0</v>
      </c>
      <c r="AG1942" s="8">
        <v>2</v>
      </c>
      <c r="AH1942" s="8">
        <v>2</v>
      </c>
      <c r="AI1942" s="8">
        <v>0</v>
      </c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11" t="s">
        <v>254</v>
      </c>
    </row>
    <row r="1943" spans="1:46" ht="15.1" customHeight="1">
      <c r="A1943" s="8"/>
      <c r="B1943" s="9"/>
      <c r="C1943" s="8"/>
      <c r="D1943" s="9"/>
      <c r="E1943" s="8">
        <v>5</v>
      </c>
      <c r="F1943" s="8">
        <v>3</v>
      </c>
      <c r="G1943" s="8">
        <v>13</v>
      </c>
      <c r="H1943" s="8">
        <v>7</v>
      </c>
      <c r="I1943" s="8">
        <v>7</v>
      </c>
      <c r="J1943" s="8">
        <v>5</v>
      </c>
      <c r="K1943" s="8">
        <v>7</v>
      </c>
      <c r="L1943" s="8">
        <v>7</v>
      </c>
      <c r="M1943" s="8">
        <v>5</v>
      </c>
      <c r="N1943" s="8">
        <v>17</v>
      </c>
      <c r="O1943" s="8">
        <v>7</v>
      </c>
      <c r="P1943" s="8">
        <v>7</v>
      </c>
      <c r="Q1943" s="8">
        <v>7</v>
      </c>
      <c r="R1943" s="8">
        <v>7</v>
      </c>
      <c r="S1943" s="8">
        <v>7</v>
      </c>
      <c r="T1943" s="8">
        <v>5</v>
      </c>
      <c r="U1943" s="8">
        <v>13</v>
      </c>
      <c r="V1943" s="8">
        <v>7</v>
      </c>
      <c r="W1943" s="8">
        <v>7</v>
      </c>
      <c r="X1943" s="8">
        <v>7</v>
      </c>
      <c r="Y1943" s="8">
        <v>0</v>
      </c>
      <c r="Z1943" s="8">
        <v>0</v>
      </c>
      <c r="AA1943" s="8">
        <v>0</v>
      </c>
      <c r="AB1943" s="8">
        <v>0</v>
      </c>
      <c r="AC1943" s="8">
        <v>0</v>
      </c>
      <c r="AD1943" s="8">
        <v>3</v>
      </c>
      <c r="AE1943" s="8">
        <v>3</v>
      </c>
      <c r="AF1943" s="8">
        <v>0</v>
      </c>
      <c r="AG1943" s="8">
        <v>3</v>
      </c>
      <c r="AH1943" s="8">
        <v>0</v>
      </c>
      <c r="AI1943" s="8">
        <v>0</v>
      </c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11" t="s">
        <v>254</v>
      </c>
    </row>
    <row r="1944" spans="1:46" ht="15.1" customHeight="1">
      <c r="A1944" s="8">
        <v>647</v>
      </c>
      <c r="B1944" s="9" t="s">
        <v>1539</v>
      </c>
      <c r="C1944" s="8" t="s">
        <v>1540</v>
      </c>
      <c r="D1944" s="9" t="s">
        <v>451</v>
      </c>
      <c r="E1944" s="8" t="s">
        <v>54</v>
      </c>
      <c r="F1944" s="8" t="s">
        <v>54</v>
      </c>
      <c r="G1944" s="10" t="s">
        <v>67</v>
      </c>
      <c r="H1944" s="8" t="s">
        <v>54</v>
      </c>
      <c r="I1944" s="12" t="s">
        <v>55</v>
      </c>
      <c r="J1944" s="12" t="s">
        <v>55</v>
      </c>
      <c r="K1944" s="12" t="s">
        <v>55</v>
      </c>
      <c r="L1944" s="12" t="s">
        <v>55</v>
      </c>
      <c r="M1944" s="8" t="s">
        <v>54</v>
      </c>
      <c r="N1944" s="10" t="s">
        <v>67</v>
      </c>
      <c r="O1944" s="8" t="s">
        <v>54</v>
      </c>
      <c r="P1944" s="8" t="s">
        <v>54</v>
      </c>
      <c r="Q1944" s="8" t="s">
        <v>54</v>
      </c>
      <c r="R1944" s="8" t="s">
        <v>54</v>
      </c>
      <c r="S1944" s="8" t="s">
        <v>54</v>
      </c>
      <c r="T1944" s="8" t="s">
        <v>54</v>
      </c>
      <c r="U1944" s="10" t="s">
        <v>67</v>
      </c>
      <c r="V1944" s="8" t="s">
        <v>54</v>
      </c>
      <c r="W1944" s="8" t="s">
        <v>54</v>
      </c>
      <c r="X1944" s="12" t="s">
        <v>55</v>
      </c>
      <c r="Y1944" s="8" t="s">
        <v>54</v>
      </c>
      <c r="Z1944" s="8" t="s">
        <v>54</v>
      </c>
      <c r="AA1944" s="8" t="s">
        <v>54</v>
      </c>
      <c r="AB1944" s="10" t="s">
        <v>67</v>
      </c>
      <c r="AC1944" s="8" t="s">
        <v>54</v>
      </c>
      <c r="AD1944" s="8" t="s">
        <v>54</v>
      </c>
      <c r="AE1944" s="8" t="s">
        <v>54</v>
      </c>
      <c r="AF1944" s="8" t="s">
        <v>54</v>
      </c>
      <c r="AG1944" s="8" t="s">
        <v>54</v>
      </c>
      <c r="AH1944" s="8" t="s">
        <v>54</v>
      </c>
      <c r="AI1944" s="10" t="s">
        <v>67</v>
      </c>
      <c r="AJ1944" s="8">
        <f>COUNTIF($E$1944:$AI$1944,"P")</f>
        <v>21</v>
      </c>
      <c r="AK1944" s="8">
        <f>COUNTIF($E$1944:$AI$1944,"A")</f>
        <v>5</v>
      </c>
      <c r="AL1944" s="8">
        <f>SUM($E$1945:$AI$1945)</f>
        <v>38</v>
      </c>
      <c r="AM1944" s="8">
        <f>SUM($E$1946:$AI$1946)</f>
        <v>75</v>
      </c>
      <c r="AN1944" s="8">
        <f>AL1944+AM1944</f>
        <v>113</v>
      </c>
      <c r="AO1944" s="8">
        <f>COUNTIF($E$1944:$AI$1944,"CL")</f>
        <v>0</v>
      </c>
      <c r="AP1944" s="8">
        <f>COUNTIF($E$1944:$AI$1944,"SL")</f>
        <v>0</v>
      </c>
      <c r="AQ1944" s="8">
        <f>COUNTIF($E$1944:$AI$1944,"EL")</f>
        <v>0</v>
      </c>
      <c r="AR1944" s="8">
        <f>COUNTIF($E$1944:$AI$1944,"H")</f>
        <v>0</v>
      </c>
      <c r="AS1944" s="8"/>
      <c r="AT1944" s="11" t="s">
        <v>254</v>
      </c>
    </row>
    <row r="1945" spans="1:46" ht="15.1" customHeight="1">
      <c r="A1945" s="8"/>
      <c r="B1945" s="9"/>
      <c r="C1945" s="8"/>
      <c r="D1945" s="9"/>
      <c r="E1945" s="8">
        <v>2</v>
      </c>
      <c r="F1945" s="8">
        <v>2</v>
      </c>
      <c r="G1945" s="8">
        <v>0</v>
      </c>
      <c r="H1945" s="8">
        <v>2</v>
      </c>
      <c r="I1945" s="8">
        <v>0</v>
      </c>
      <c r="J1945" s="8">
        <v>0</v>
      </c>
      <c r="K1945" s="8">
        <v>0</v>
      </c>
      <c r="L1945" s="8">
        <v>0</v>
      </c>
      <c r="M1945" s="8">
        <v>2</v>
      </c>
      <c r="N1945" s="8">
        <v>0</v>
      </c>
      <c r="O1945" s="8">
        <v>2</v>
      </c>
      <c r="P1945" s="8">
        <v>2</v>
      </c>
      <c r="Q1945" s="8">
        <v>2</v>
      </c>
      <c r="R1945" s="8">
        <v>2</v>
      </c>
      <c r="S1945" s="8">
        <v>2</v>
      </c>
      <c r="T1945" s="8">
        <v>2</v>
      </c>
      <c r="U1945" s="8">
        <v>0</v>
      </c>
      <c r="V1945" s="8">
        <v>2</v>
      </c>
      <c r="W1945" s="8">
        <v>2</v>
      </c>
      <c r="X1945" s="8">
        <v>0</v>
      </c>
      <c r="Y1945" s="8">
        <v>2</v>
      </c>
      <c r="Z1945" s="8">
        <v>0</v>
      </c>
      <c r="AA1945" s="8">
        <v>0</v>
      </c>
      <c r="AB1945" s="8">
        <v>0</v>
      </c>
      <c r="AC1945" s="8">
        <v>2</v>
      </c>
      <c r="AD1945" s="8">
        <v>2</v>
      </c>
      <c r="AE1945" s="8">
        <v>2</v>
      </c>
      <c r="AF1945" s="8">
        <v>2</v>
      </c>
      <c r="AG1945" s="8">
        <v>2</v>
      </c>
      <c r="AH1945" s="8">
        <v>2</v>
      </c>
      <c r="AI1945" s="8">
        <v>0</v>
      </c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11" t="s">
        <v>254</v>
      </c>
    </row>
    <row r="1946" spans="1:46" ht="15.1" customHeight="1">
      <c r="A1946" s="8"/>
      <c r="B1946" s="9"/>
      <c r="C1946" s="8"/>
      <c r="D1946" s="9"/>
      <c r="E1946" s="8">
        <v>3</v>
      </c>
      <c r="F1946" s="8">
        <v>3</v>
      </c>
      <c r="G1946" s="8">
        <v>13</v>
      </c>
      <c r="H1946" s="8">
        <v>3</v>
      </c>
      <c r="I1946" s="8">
        <v>0</v>
      </c>
      <c r="J1946" s="8">
        <v>0</v>
      </c>
      <c r="K1946" s="8">
        <v>0</v>
      </c>
      <c r="L1946" s="8">
        <v>0</v>
      </c>
      <c r="M1946" s="8">
        <v>3</v>
      </c>
      <c r="N1946" s="8">
        <v>13</v>
      </c>
      <c r="O1946" s="8">
        <v>5</v>
      </c>
      <c r="P1946" s="8">
        <v>3</v>
      </c>
      <c r="Q1946" s="8">
        <v>0</v>
      </c>
      <c r="R1946" s="8">
        <v>3</v>
      </c>
      <c r="S1946" s="8">
        <v>3</v>
      </c>
      <c r="T1946" s="8">
        <v>3</v>
      </c>
      <c r="U1946" s="8">
        <v>0</v>
      </c>
      <c r="V1946" s="8">
        <v>5</v>
      </c>
      <c r="W1946" s="8">
        <v>3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3</v>
      </c>
      <c r="AE1946" s="8">
        <v>3</v>
      </c>
      <c r="AF1946" s="8">
        <v>3</v>
      </c>
      <c r="AG1946" s="8">
        <v>3</v>
      </c>
      <c r="AH1946" s="8">
        <v>0</v>
      </c>
      <c r="AI1946" s="8">
        <v>0</v>
      </c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11" t="s">
        <v>254</v>
      </c>
    </row>
    <row r="1947" spans="1:46" ht="15.1" customHeight="1">
      <c r="A1947" s="8">
        <v>648</v>
      </c>
      <c r="B1947" s="9" t="s">
        <v>1541</v>
      </c>
      <c r="C1947" s="8" t="s">
        <v>1542</v>
      </c>
      <c r="D1947" s="9" t="s">
        <v>451</v>
      </c>
      <c r="E1947" s="8" t="s">
        <v>54</v>
      </c>
      <c r="F1947" s="8" t="s">
        <v>54</v>
      </c>
      <c r="G1947" s="10" t="s">
        <v>67</v>
      </c>
      <c r="H1947" s="8" t="s">
        <v>54</v>
      </c>
      <c r="I1947" s="8" t="s">
        <v>54</v>
      </c>
      <c r="J1947" s="8" t="s">
        <v>54</v>
      </c>
      <c r="K1947" s="8" t="s">
        <v>54</v>
      </c>
      <c r="L1947" s="8" t="s">
        <v>54</v>
      </c>
      <c r="M1947" s="8" t="s">
        <v>54</v>
      </c>
      <c r="N1947" s="10" t="s">
        <v>67</v>
      </c>
      <c r="O1947" s="8" t="s">
        <v>54</v>
      </c>
      <c r="P1947" s="8" t="s">
        <v>54</v>
      </c>
      <c r="Q1947" s="8" t="s">
        <v>54</v>
      </c>
      <c r="R1947" s="8" t="s">
        <v>54</v>
      </c>
      <c r="S1947" s="8" t="s">
        <v>54</v>
      </c>
      <c r="T1947" s="8" t="s">
        <v>54</v>
      </c>
      <c r="U1947" s="10" t="s">
        <v>67</v>
      </c>
      <c r="V1947" s="8" t="s">
        <v>54</v>
      </c>
      <c r="W1947" s="8" t="s">
        <v>54</v>
      </c>
      <c r="X1947" s="8" t="s">
        <v>54</v>
      </c>
      <c r="Y1947" s="8" t="s">
        <v>54</v>
      </c>
      <c r="Z1947" s="8" t="s">
        <v>54</v>
      </c>
      <c r="AA1947" s="8" t="s">
        <v>54</v>
      </c>
      <c r="AB1947" s="10" t="s">
        <v>67</v>
      </c>
      <c r="AC1947" s="8" t="s">
        <v>54</v>
      </c>
      <c r="AD1947" s="8" t="s">
        <v>54</v>
      </c>
      <c r="AE1947" s="8" t="s">
        <v>54</v>
      </c>
      <c r="AF1947" s="12" t="s">
        <v>55</v>
      </c>
      <c r="AG1947" s="12" t="s">
        <v>55</v>
      </c>
      <c r="AH1947" s="12" t="s">
        <v>55</v>
      </c>
      <c r="AI1947" s="10" t="s">
        <v>67</v>
      </c>
      <c r="AJ1947" s="8">
        <f>COUNTIF($E$1947:$AI$1947,"P")</f>
        <v>23</v>
      </c>
      <c r="AK1947" s="8">
        <f>COUNTIF($E$1947:$AI$1947,"A")</f>
        <v>3</v>
      </c>
      <c r="AL1947" s="8">
        <f>SUM($E$1948:$AI$1948)</f>
        <v>40</v>
      </c>
      <c r="AM1947" s="8">
        <f>SUM($E$1949:$AI$1949)</f>
        <v>101</v>
      </c>
      <c r="AN1947" s="8">
        <f>AL1947+AM1947</f>
        <v>141</v>
      </c>
      <c r="AO1947" s="8">
        <f>COUNTIF($E$1947:$AI$1947,"CL")</f>
        <v>0</v>
      </c>
      <c r="AP1947" s="8">
        <f>COUNTIF($E$1947:$AI$1947,"SL")</f>
        <v>0</v>
      </c>
      <c r="AQ1947" s="8">
        <f>COUNTIF($E$1947:$AI$1947,"EL")</f>
        <v>0</v>
      </c>
      <c r="AR1947" s="8">
        <f>COUNTIF($E$1947:$AI$1947,"H")</f>
        <v>0</v>
      </c>
      <c r="AS1947" s="8"/>
      <c r="AT1947" s="11" t="s">
        <v>254</v>
      </c>
    </row>
    <row r="1948" spans="1:46" ht="15.1" customHeight="1">
      <c r="A1948" s="8"/>
      <c r="B1948" s="9"/>
      <c r="C1948" s="8"/>
      <c r="D1948" s="9"/>
      <c r="E1948" s="8">
        <v>2</v>
      </c>
      <c r="F1948" s="8">
        <v>2</v>
      </c>
      <c r="G1948" s="8">
        <v>0</v>
      </c>
      <c r="H1948" s="8">
        <v>2</v>
      </c>
      <c r="I1948" s="8">
        <v>2</v>
      </c>
      <c r="J1948" s="8">
        <v>2</v>
      </c>
      <c r="K1948" s="8">
        <v>2</v>
      </c>
      <c r="L1948" s="8">
        <v>2</v>
      </c>
      <c r="M1948" s="8">
        <v>2</v>
      </c>
      <c r="N1948" s="8">
        <v>0</v>
      </c>
      <c r="O1948" s="8">
        <v>2</v>
      </c>
      <c r="P1948" s="8">
        <v>2</v>
      </c>
      <c r="Q1948" s="8">
        <v>2</v>
      </c>
      <c r="R1948" s="8">
        <v>2</v>
      </c>
      <c r="S1948" s="8">
        <v>2</v>
      </c>
      <c r="T1948" s="8">
        <v>2</v>
      </c>
      <c r="U1948" s="8">
        <v>0</v>
      </c>
      <c r="V1948" s="8">
        <v>2</v>
      </c>
      <c r="W1948" s="8">
        <v>2</v>
      </c>
      <c r="X1948" s="8">
        <v>2</v>
      </c>
      <c r="Y1948" s="8">
        <v>2</v>
      </c>
      <c r="Z1948" s="8">
        <v>0</v>
      </c>
      <c r="AA1948" s="8">
        <v>0</v>
      </c>
      <c r="AB1948" s="8">
        <v>0</v>
      </c>
      <c r="AC1948" s="8">
        <v>2</v>
      </c>
      <c r="AD1948" s="8">
        <v>2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11" t="s">
        <v>254</v>
      </c>
    </row>
    <row r="1949" spans="1:46" ht="15.1" customHeight="1">
      <c r="A1949" s="8"/>
      <c r="B1949" s="9"/>
      <c r="C1949" s="8"/>
      <c r="D1949" s="9"/>
      <c r="E1949" s="8">
        <v>3</v>
      </c>
      <c r="F1949" s="8">
        <v>3</v>
      </c>
      <c r="G1949" s="8">
        <v>12</v>
      </c>
      <c r="H1949" s="8">
        <v>3</v>
      </c>
      <c r="I1949" s="8">
        <v>3</v>
      </c>
      <c r="J1949" s="8">
        <v>3</v>
      </c>
      <c r="K1949" s="8">
        <v>0</v>
      </c>
      <c r="L1949" s="8">
        <v>5</v>
      </c>
      <c r="M1949" s="8">
        <v>4</v>
      </c>
      <c r="N1949" s="8">
        <v>15</v>
      </c>
      <c r="O1949" s="8">
        <v>7</v>
      </c>
      <c r="P1949" s="8">
        <v>5</v>
      </c>
      <c r="Q1949" s="8">
        <v>7</v>
      </c>
      <c r="R1949" s="8">
        <v>0</v>
      </c>
      <c r="S1949" s="8">
        <v>3</v>
      </c>
      <c r="T1949" s="8">
        <v>3</v>
      </c>
      <c r="U1949" s="8">
        <v>10</v>
      </c>
      <c r="V1949" s="8">
        <v>5</v>
      </c>
      <c r="W1949" s="8">
        <v>7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3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11" t="s">
        <v>254</v>
      </c>
    </row>
    <row r="1950" spans="1:46" ht="15.1" customHeight="1">
      <c r="A1950" s="8">
        <v>649</v>
      </c>
      <c r="B1950" s="9" t="s">
        <v>1543</v>
      </c>
      <c r="C1950" s="8" t="s">
        <v>1544</v>
      </c>
      <c r="D1950" s="9" t="s">
        <v>451</v>
      </c>
      <c r="E1950" s="8" t="s">
        <v>54</v>
      </c>
      <c r="F1950" s="8" t="s">
        <v>54</v>
      </c>
      <c r="G1950" s="10" t="s">
        <v>67</v>
      </c>
      <c r="H1950" s="8" t="s">
        <v>54</v>
      </c>
      <c r="I1950" s="8" t="s">
        <v>54</v>
      </c>
      <c r="J1950" s="8" t="s">
        <v>54</v>
      </c>
      <c r="K1950" s="12" t="s">
        <v>55</v>
      </c>
      <c r="L1950" s="12" t="s">
        <v>55</v>
      </c>
      <c r="M1950" s="12" t="s">
        <v>55</v>
      </c>
      <c r="N1950" s="10" t="s">
        <v>67</v>
      </c>
      <c r="O1950" s="8" t="s">
        <v>54</v>
      </c>
      <c r="P1950" s="8" t="s">
        <v>54</v>
      </c>
      <c r="Q1950" s="12" t="s">
        <v>55</v>
      </c>
      <c r="R1950" s="8" t="s">
        <v>54</v>
      </c>
      <c r="S1950" s="8" t="s">
        <v>54</v>
      </c>
      <c r="T1950" s="8"/>
      <c r="U1950" s="10"/>
      <c r="V1950" s="8"/>
      <c r="W1950" s="8"/>
      <c r="X1950" s="8"/>
      <c r="Y1950" s="8"/>
      <c r="Z1950" s="8"/>
      <c r="AA1950" s="8"/>
      <c r="AB1950" s="10"/>
      <c r="AC1950" s="8"/>
      <c r="AD1950" s="8"/>
      <c r="AE1950" s="8"/>
      <c r="AF1950" s="8"/>
      <c r="AG1950" s="8"/>
      <c r="AH1950" s="8"/>
      <c r="AI1950" s="10"/>
      <c r="AJ1950" s="8">
        <f>COUNTIF($E$1950:$AI$1950,"P")</f>
        <v>9</v>
      </c>
      <c r="AK1950" s="8">
        <f>COUNTIF($E$1950:$AI$1950,"A")</f>
        <v>4</v>
      </c>
      <c r="AL1950" s="8">
        <f>SUM($E$1951:$AI$1951)</f>
        <v>18</v>
      </c>
      <c r="AM1950" s="8">
        <f>SUM($E$1952:$AI$1952)</f>
        <v>33</v>
      </c>
      <c r="AN1950" s="8">
        <f>AL1950+AM1950</f>
        <v>51</v>
      </c>
      <c r="AO1950" s="8">
        <f>COUNTIF($E$1950:$AI$1950,"CL")</f>
        <v>0</v>
      </c>
      <c r="AP1950" s="8">
        <f>COUNTIF($E$1950:$AI$1950,"SL")</f>
        <v>0</v>
      </c>
      <c r="AQ1950" s="8">
        <f>COUNTIF($E$1950:$AI$1950,"EL")</f>
        <v>0</v>
      </c>
      <c r="AR1950" s="8">
        <f>COUNTIF($E$1950:$AI$1950,"H")</f>
        <v>0</v>
      </c>
      <c r="AS1950" s="8"/>
      <c r="AT1950" s="11" t="s">
        <v>254</v>
      </c>
    </row>
    <row r="1951" spans="1:46" ht="15.1" customHeight="1">
      <c r="A1951" s="8"/>
      <c r="B1951" s="9"/>
      <c r="C1951" s="8"/>
      <c r="D1951" s="9"/>
      <c r="E1951" s="8">
        <v>2</v>
      </c>
      <c r="F1951" s="8">
        <v>2</v>
      </c>
      <c r="G1951" s="8">
        <v>0</v>
      </c>
      <c r="H1951" s="8">
        <v>2</v>
      </c>
      <c r="I1951" s="8">
        <v>2</v>
      </c>
      <c r="J1951" s="8">
        <v>2</v>
      </c>
      <c r="K1951" s="8">
        <v>0</v>
      </c>
      <c r="L1951" s="8">
        <v>0</v>
      </c>
      <c r="M1951" s="8">
        <v>0</v>
      </c>
      <c r="N1951" s="8">
        <v>0</v>
      </c>
      <c r="O1951" s="8">
        <v>2</v>
      </c>
      <c r="P1951" s="8">
        <v>2</v>
      </c>
      <c r="Q1951" s="8">
        <v>0</v>
      </c>
      <c r="R1951" s="8">
        <v>2</v>
      </c>
      <c r="S1951" s="8">
        <v>2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  <c r="AH1951" s="8">
        <v>0</v>
      </c>
      <c r="AI1951" s="8">
        <v>0</v>
      </c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11" t="s">
        <v>254</v>
      </c>
    </row>
    <row r="1952" spans="1:46" ht="15.1" customHeight="1">
      <c r="A1952" s="8"/>
      <c r="B1952" s="9"/>
      <c r="C1952" s="8"/>
      <c r="D1952" s="9"/>
      <c r="E1952" s="8">
        <v>5</v>
      </c>
      <c r="F1952" s="8">
        <v>3</v>
      </c>
      <c r="G1952" s="8">
        <v>8</v>
      </c>
      <c r="H1952" s="8">
        <v>3</v>
      </c>
      <c r="I1952" s="8">
        <v>3</v>
      </c>
      <c r="J1952" s="8">
        <v>3</v>
      </c>
      <c r="K1952" s="8">
        <v>0</v>
      </c>
      <c r="L1952" s="8">
        <v>0</v>
      </c>
      <c r="M1952" s="8">
        <v>0</v>
      </c>
      <c r="N1952" s="8">
        <v>0</v>
      </c>
      <c r="O1952" s="8">
        <v>3</v>
      </c>
      <c r="P1952" s="8">
        <v>3</v>
      </c>
      <c r="Q1952" s="8">
        <v>0</v>
      </c>
      <c r="R1952" s="8">
        <v>2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11" t="s">
        <v>254</v>
      </c>
    </row>
    <row r="1953" spans="1:46" ht="15.1" customHeight="1">
      <c r="A1953" s="8">
        <v>650</v>
      </c>
      <c r="B1953" s="9" t="s">
        <v>1545</v>
      </c>
      <c r="C1953" s="8" t="s">
        <v>1546</v>
      </c>
      <c r="D1953" s="9" t="s">
        <v>451</v>
      </c>
      <c r="E1953" s="8" t="s">
        <v>54</v>
      </c>
      <c r="F1953" s="8" t="s">
        <v>54</v>
      </c>
      <c r="G1953" s="10" t="s">
        <v>67</v>
      </c>
      <c r="H1953" s="8" t="s">
        <v>54</v>
      </c>
      <c r="I1953" s="8" t="s">
        <v>54</v>
      </c>
      <c r="J1953" s="8" t="s">
        <v>54</v>
      </c>
      <c r="K1953" s="8" t="s">
        <v>54</v>
      </c>
      <c r="L1953" s="8" t="s">
        <v>54</v>
      </c>
      <c r="M1953" s="8" t="s">
        <v>54</v>
      </c>
      <c r="N1953" s="10" t="s">
        <v>67</v>
      </c>
      <c r="O1953" s="8" t="s">
        <v>54</v>
      </c>
      <c r="P1953" s="8" t="s">
        <v>54</v>
      </c>
      <c r="Q1953" s="8" t="s">
        <v>54</v>
      </c>
      <c r="R1953" s="8" t="s">
        <v>54</v>
      </c>
      <c r="S1953" s="8" t="s">
        <v>54</v>
      </c>
      <c r="T1953" s="8" t="s">
        <v>54</v>
      </c>
      <c r="U1953" s="10" t="s">
        <v>67</v>
      </c>
      <c r="V1953" s="8" t="s">
        <v>54</v>
      </c>
      <c r="W1953" s="8" t="s">
        <v>54</v>
      </c>
      <c r="X1953" s="8" t="s">
        <v>54</v>
      </c>
      <c r="Y1953" s="8" t="s">
        <v>54</v>
      </c>
      <c r="Z1953" s="8" t="s">
        <v>54</v>
      </c>
      <c r="AA1953" s="8" t="s">
        <v>54</v>
      </c>
      <c r="AB1953" s="10" t="s">
        <v>67</v>
      </c>
      <c r="AC1953" s="8" t="s">
        <v>54</v>
      </c>
      <c r="AD1953" s="8" t="s">
        <v>54</v>
      </c>
      <c r="AE1953" s="8" t="s">
        <v>54</v>
      </c>
      <c r="AF1953" s="8" t="s">
        <v>54</v>
      </c>
      <c r="AG1953" s="8" t="s">
        <v>54</v>
      </c>
      <c r="AH1953" s="8" t="s">
        <v>54</v>
      </c>
      <c r="AI1953" s="10" t="s">
        <v>67</v>
      </c>
      <c r="AJ1953" s="8">
        <f>COUNTIF($E$1953:$AI$1953,"P")</f>
        <v>26</v>
      </c>
      <c r="AK1953" s="8">
        <f>COUNTIF($E$1953:$AI$1953,"A")</f>
        <v>0</v>
      </c>
      <c r="AL1953" s="8">
        <f>SUM($E$1954:$AI$1954)</f>
        <v>30</v>
      </c>
      <c r="AM1953" s="8">
        <f>SUM($E$1955:$AI$1955)</f>
        <v>44.5</v>
      </c>
      <c r="AN1953" s="8">
        <f>AL1953+AM1953</f>
        <v>74.5</v>
      </c>
      <c r="AO1953" s="8">
        <f>COUNTIF($E$1953:$AI$1953,"CL")</f>
        <v>0</v>
      </c>
      <c r="AP1953" s="8">
        <f>COUNTIF($E$1953:$AI$1953,"SL")</f>
        <v>0</v>
      </c>
      <c r="AQ1953" s="8">
        <f>COUNTIF($E$1953:$AI$1953,"EL")</f>
        <v>0</v>
      </c>
      <c r="AR1953" s="8">
        <f>COUNTIF($E$1953:$AI$1953,"H")</f>
        <v>0</v>
      </c>
      <c r="AS1953" s="8"/>
      <c r="AT1953" s="11" t="s">
        <v>255</v>
      </c>
    </row>
    <row r="1954" spans="1:46" ht="15.1" customHeight="1">
      <c r="A1954" s="8"/>
      <c r="B1954" s="9"/>
      <c r="C1954" s="8"/>
      <c r="D1954" s="9"/>
      <c r="E1954" s="8">
        <v>2</v>
      </c>
      <c r="F1954" s="8">
        <v>2</v>
      </c>
      <c r="G1954" s="8">
        <v>0</v>
      </c>
      <c r="H1954" s="8">
        <v>2</v>
      </c>
      <c r="I1954" s="8">
        <v>2</v>
      </c>
      <c r="J1954" s="8">
        <v>2</v>
      </c>
      <c r="K1954" s="8">
        <v>2</v>
      </c>
      <c r="L1954" s="8">
        <v>2</v>
      </c>
      <c r="M1954" s="8">
        <v>2</v>
      </c>
      <c r="N1954" s="8">
        <v>0</v>
      </c>
      <c r="O1954" s="8">
        <v>2</v>
      </c>
      <c r="P1954" s="8">
        <v>2</v>
      </c>
      <c r="Q1954" s="8">
        <v>2</v>
      </c>
      <c r="R1954" s="8">
        <v>2</v>
      </c>
      <c r="S1954" s="8">
        <v>2</v>
      </c>
      <c r="T1954" s="8">
        <v>2</v>
      </c>
      <c r="U1954" s="8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2</v>
      </c>
      <c r="AI1954" s="8">
        <v>0</v>
      </c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11" t="s">
        <v>255</v>
      </c>
    </row>
    <row r="1955" spans="1:46" ht="15.1" customHeight="1">
      <c r="A1955" s="8"/>
      <c r="B1955" s="9"/>
      <c r="C1955" s="8"/>
      <c r="D1955" s="9"/>
      <c r="E1955" s="8">
        <v>5</v>
      </c>
      <c r="F1955" s="8">
        <v>3</v>
      </c>
      <c r="G1955" s="8">
        <v>8</v>
      </c>
      <c r="H1955" s="8">
        <v>3</v>
      </c>
      <c r="I1955" s="8">
        <v>2</v>
      </c>
      <c r="J1955" s="8">
        <v>0</v>
      </c>
      <c r="K1955" s="8">
        <v>0</v>
      </c>
      <c r="L1955" s="8">
        <v>0</v>
      </c>
      <c r="M1955" s="8">
        <v>3</v>
      </c>
      <c r="N1955" s="8">
        <v>0</v>
      </c>
      <c r="O1955" s="8">
        <v>5</v>
      </c>
      <c r="P1955" s="8">
        <v>5</v>
      </c>
      <c r="Q1955" s="8">
        <v>5</v>
      </c>
      <c r="R1955" s="8">
        <v>3</v>
      </c>
      <c r="S1955" s="8">
        <v>2</v>
      </c>
      <c r="T1955" s="8">
        <v>0.5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8">
        <v>0</v>
      </c>
      <c r="AH1955" s="8">
        <v>0</v>
      </c>
      <c r="AI1955" s="8">
        <v>0</v>
      </c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11" t="s">
        <v>255</v>
      </c>
    </row>
    <row r="1956" spans="1:46" ht="15.1" customHeight="1">
      <c r="A1956" s="8">
        <v>651</v>
      </c>
      <c r="B1956" s="9" t="s">
        <v>1547</v>
      </c>
      <c r="C1956" s="8" t="s">
        <v>1548</v>
      </c>
      <c r="D1956" s="9" t="s">
        <v>888</v>
      </c>
      <c r="E1956" s="8" t="s">
        <v>54</v>
      </c>
      <c r="F1956" s="8" t="s">
        <v>54</v>
      </c>
      <c r="G1956" s="10" t="s">
        <v>67</v>
      </c>
      <c r="H1956" s="8" t="s">
        <v>54</v>
      </c>
      <c r="I1956" s="8" t="s">
        <v>54</v>
      </c>
      <c r="J1956" s="8" t="s">
        <v>54</v>
      </c>
      <c r="K1956" s="8" t="s">
        <v>54</v>
      </c>
      <c r="L1956" s="8" t="s">
        <v>54</v>
      </c>
      <c r="M1956" s="8" t="s">
        <v>54</v>
      </c>
      <c r="N1956" s="10" t="s">
        <v>67</v>
      </c>
      <c r="O1956" s="8" t="s">
        <v>54</v>
      </c>
      <c r="P1956" s="8" t="s">
        <v>54</v>
      </c>
      <c r="Q1956" s="8" t="s">
        <v>54</v>
      </c>
      <c r="R1956" s="8" t="s">
        <v>54</v>
      </c>
      <c r="S1956" s="8" t="s">
        <v>54</v>
      </c>
      <c r="T1956" s="8" t="s">
        <v>54</v>
      </c>
      <c r="U1956" s="10" t="s">
        <v>67</v>
      </c>
      <c r="V1956" s="8" t="s">
        <v>54</v>
      </c>
      <c r="W1956" s="8" t="s">
        <v>54</v>
      </c>
      <c r="X1956" s="8" t="s">
        <v>54</v>
      </c>
      <c r="Y1956" s="8" t="s">
        <v>54</v>
      </c>
      <c r="Z1956" s="8" t="s">
        <v>54</v>
      </c>
      <c r="AA1956" s="8" t="s">
        <v>54</v>
      </c>
      <c r="AB1956" s="10" t="s">
        <v>67</v>
      </c>
      <c r="AC1956" s="8" t="s">
        <v>54</v>
      </c>
      <c r="AD1956" s="8" t="s">
        <v>54</v>
      </c>
      <c r="AE1956" s="8" t="s">
        <v>54</v>
      </c>
      <c r="AF1956" s="8" t="s">
        <v>54</v>
      </c>
      <c r="AG1956" s="8" t="s">
        <v>54</v>
      </c>
      <c r="AH1956" s="8" t="s">
        <v>54</v>
      </c>
      <c r="AI1956" s="10" t="s">
        <v>67</v>
      </c>
      <c r="AJ1956" s="8">
        <f>COUNTIF($E$1956:$AI$1956,"P")</f>
        <v>26</v>
      </c>
      <c r="AK1956" s="8">
        <f>COUNTIF($E$1956:$AI$1956,"A")</f>
        <v>0</v>
      </c>
      <c r="AL1956" s="8">
        <f>SUM($E$1957:$AI$1957)</f>
        <v>28</v>
      </c>
      <c r="AM1956" s="8">
        <f>SUM($E$1958:$AI$1958)</f>
        <v>52.5</v>
      </c>
      <c r="AN1956" s="8">
        <f>AL1956+AM1956</f>
        <v>80.5</v>
      </c>
      <c r="AO1956" s="8">
        <f>COUNTIF($E$1956:$AI$1956,"CL")</f>
        <v>0</v>
      </c>
      <c r="AP1956" s="8">
        <f>COUNTIF($E$1956:$AI$1956,"SL")</f>
        <v>0</v>
      </c>
      <c r="AQ1956" s="8">
        <f>COUNTIF($E$1956:$AI$1956,"EL")</f>
        <v>0</v>
      </c>
      <c r="AR1956" s="8">
        <f>COUNTIF($E$1956:$AI$1956,"H")</f>
        <v>0</v>
      </c>
      <c r="AS1956" s="8"/>
      <c r="AT1956" s="11" t="s">
        <v>255</v>
      </c>
    </row>
    <row r="1957" spans="1:46" ht="15.1" customHeight="1">
      <c r="A1957" s="8"/>
      <c r="B1957" s="9"/>
      <c r="C1957" s="8"/>
      <c r="D1957" s="9"/>
      <c r="E1957" s="8">
        <v>2</v>
      </c>
      <c r="F1957" s="8">
        <v>2</v>
      </c>
      <c r="G1957" s="8">
        <v>0</v>
      </c>
      <c r="H1957" s="8">
        <v>2</v>
      </c>
      <c r="I1957" s="8">
        <v>2</v>
      </c>
      <c r="J1957" s="8">
        <v>2</v>
      </c>
      <c r="K1957" s="8">
        <v>2</v>
      </c>
      <c r="L1957" s="8">
        <v>2</v>
      </c>
      <c r="M1957" s="8">
        <v>2</v>
      </c>
      <c r="N1957" s="8">
        <v>0</v>
      </c>
      <c r="O1957" s="8">
        <v>2</v>
      </c>
      <c r="P1957" s="8">
        <v>0</v>
      </c>
      <c r="Q1957" s="8">
        <v>2</v>
      </c>
      <c r="R1957" s="8">
        <v>2</v>
      </c>
      <c r="S1957" s="8">
        <v>2</v>
      </c>
      <c r="T1957" s="8">
        <v>2</v>
      </c>
      <c r="U1957" s="8">
        <v>0</v>
      </c>
      <c r="V1957" s="8">
        <v>2</v>
      </c>
      <c r="W1957" s="8">
        <v>0</v>
      </c>
      <c r="X1957" s="8">
        <v>0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  <c r="AH1957" s="8">
        <v>0</v>
      </c>
      <c r="AI1957" s="8">
        <v>0</v>
      </c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11" t="s">
        <v>255</v>
      </c>
    </row>
    <row r="1958" spans="1:46" ht="15.1" customHeight="1">
      <c r="A1958" s="8"/>
      <c r="B1958" s="9"/>
      <c r="C1958" s="8"/>
      <c r="D1958" s="9"/>
      <c r="E1958" s="8">
        <v>5</v>
      </c>
      <c r="F1958" s="8">
        <v>5</v>
      </c>
      <c r="G1958" s="8">
        <v>8</v>
      </c>
      <c r="H1958" s="8">
        <v>3</v>
      </c>
      <c r="I1958" s="8">
        <v>3</v>
      </c>
      <c r="J1958" s="8">
        <v>0</v>
      </c>
      <c r="K1958" s="8">
        <v>3</v>
      </c>
      <c r="L1958" s="8">
        <v>3</v>
      </c>
      <c r="M1958" s="8">
        <v>3</v>
      </c>
      <c r="N1958" s="8">
        <v>0</v>
      </c>
      <c r="O1958" s="8">
        <v>5</v>
      </c>
      <c r="P1958" s="8">
        <v>0</v>
      </c>
      <c r="Q1958" s="8">
        <v>5</v>
      </c>
      <c r="R1958" s="8">
        <v>3</v>
      </c>
      <c r="S1958" s="8">
        <v>3</v>
      </c>
      <c r="T1958" s="8">
        <v>1</v>
      </c>
      <c r="U1958" s="8">
        <v>0</v>
      </c>
      <c r="V1958" s="8">
        <v>2.5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11" t="s">
        <v>255</v>
      </c>
    </row>
    <row r="1959" spans="1:46" ht="15.1" customHeight="1">
      <c r="A1959" s="8">
        <v>652</v>
      </c>
      <c r="B1959" s="9" t="s">
        <v>1549</v>
      </c>
      <c r="C1959" s="8" t="s">
        <v>1550</v>
      </c>
      <c r="D1959" s="9" t="s">
        <v>451</v>
      </c>
      <c r="E1959" s="8" t="s">
        <v>54</v>
      </c>
      <c r="F1959" s="8" t="s">
        <v>54</v>
      </c>
      <c r="G1959" s="10" t="s">
        <v>67</v>
      </c>
      <c r="H1959" s="8" t="s">
        <v>54</v>
      </c>
      <c r="I1959" s="8" t="s">
        <v>54</v>
      </c>
      <c r="J1959" s="8" t="s">
        <v>54</v>
      </c>
      <c r="K1959" s="8" t="s">
        <v>54</v>
      </c>
      <c r="L1959" s="8" t="s">
        <v>54</v>
      </c>
      <c r="M1959" s="8" t="s">
        <v>54</v>
      </c>
      <c r="N1959" s="10" t="s">
        <v>67</v>
      </c>
      <c r="O1959" s="8" t="s">
        <v>54</v>
      </c>
      <c r="P1959" s="8" t="s">
        <v>54</v>
      </c>
      <c r="Q1959" s="8" t="s">
        <v>54</v>
      </c>
      <c r="R1959" s="8" t="s">
        <v>54</v>
      </c>
      <c r="S1959" s="8" t="s">
        <v>54</v>
      </c>
      <c r="T1959" s="8" t="s">
        <v>54</v>
      </c>
      <c r="U1959" s="10" t="s">
        <v>67</v>
      </c>
      <c r="V1959" s="8" t="s">
        <v>54</v>
      </c>
      <c r="W1959" s="8" t="s">
        <v>54</v>
      </c>
      <c r="X1959" s="8" t="s">
        <v>54</v>
      </c>
      <c r="Y1959" s="8" t="s">
        <v>54</v>
      </c>
      <c r="Z1959" s="8" t="s">
        <v>54</v>
      </c>
      <c r="AA1959" s="8" t="s">
        <v>54</v>
      </c>
      <c r="AB1959" s="10" t="s">
        <v>67</v>
      </c>
      <c r="AC1959" s="8" t="s">
        <v>54</v>
      </c>
      <c r="AD1959" s="8" t="s">
        <v>54</v>
      </c>
      <c r="AE1959" s="8" t="s">
        <v>54</v>
      </c>
      <c r="AF1959" s="8" t="s">
        <v>54</v>
      </c>
      <c r="AG1959" s="8" t="s">
        <v>54</v>
      </c>
      <c r="AH1959" s="8" t="s">
        <v>54</v>
      </c>
      <c r="AI1959" s="10" t="s">
        <v>67</v>
      </c>
      <c r="AJ1959" s="8">
        <f>COUNTIF($E$1959:$AI$1959,"P")</f>
        <v>26</v>
      </c>
      <c r="AK1959" s="8">
        <f>COUNTIF($E$1959:$AI$1959,"A")</f>
        <v>0</v>
      </c>
      <c r="AL1959" s="8">
        <f>SUM($E$1960:$AI$1960)</f>
        <v>26</v>
      </c>
      <c r="AM1959" s="8">
        <f>SUM($E$1961:$AI$1961)</f>
        <v>44.5</v>
      </c>
      <c r="AN1959" s="8">
        <f>AL1959+AM1959</f>
        <v>70.5</v>
      </c>
      <c r="AO1959" s="8">
        <f>COUNTIF($E$1959:$AI$1959,"CL")</f>
        <v>0</v>
      </c>
      <c r="AP1959" s="8">
        <f>COUNTIF($E$1959:$AI$1959,"SL")</f>
        <v>0</v>
      </c>
      <c r="AQ1959" s="8">
        <f>COUNTIF($E$1959:$AI$1959,"EL")</f>
        <v>0</v>
      </c>
      <c r="AR1959" s="8">
        <f>COUNTIF($E$1959:$AI$1959,"H")</f>
        <v>0</v>
      </c>
      <c r="AS1959" s="8"/>
      <c r="AT1959" s="11" t="s">
        <v>255</v>
      </c>
    </row>
    <row r="1960" spans="1:46" ht="15.1" customHeight="1">
      <c r="A1960" s="8"/>
      <c r="B1960" s="9"/>
      <c r="C1960" s="8"/>
      <c r="D1960" s="9"/>
      <c r="E1960" s="8">
        <v>2</v>
      </c>
      <c r="F1960" s="8">
        <v>2</v>
      </c>
      <c r="G1960" s="8">
        <v>0</v>
      </c>
      <c r="H1960" s="8">
        <v>0</v>
      </c>
      <c r="I1960" s="8">
        <v>2</v>
      </c>
      <c r="J1960" s="8">
        <v>2</v>
      </c>
      <c r="K1960" s="8">
        <v>0</v>
      </c>
      <c r="L1960" s="8">
        <v>2</v>
      </c>
      <c r="M1960" s="8">
        <v>2</v>
      </c>
      <c r="N1960" s="8">
        <v>0</v>
      </c>
      <c r="O1960" s="8">
        <v>2</v>
      </c>
      <c r="P1960" s="8">
        <v>2</v>
      </c>
      <c r="Q1960" s="8">
        <v>2</v>
      </c>
      <c r="R1960" s="8">
        <v>2</v>
      </c>
      <c r="S1960" s="8">
        <v>2</v>
      </c>
      <c r="T1960" s="8">
        <v>2</v>
      </c>
      <c r="U1960" s="8">
        <v>0</v>
      </c>
      <c r="V1960" s="8">
        <v>0</v>
      </c>
      <c r="W1960" s="8">
        <v>2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11" t="s">
        <v>255</v>
      </c>
    </row>
    <row r="1961" spans="1:46" ht="15.1" customHeight="1">
      <c r="A1961" s="8"/>
      <c r="B1961" s="9"/>
      <c r="C1961" s="8"/>
      <c r="D1961" s="9"/>
      <c r="E1961" s="8">
        <v>5</v>
      </c>
      <c r="F1961" s="8">
        <v>3</v>
      </c>
      <c r="G1961" s="8">
        <v>8</v>
      </c>
      <c r="H1961" s="8">
        <v>0</v>
      </c>
      <c r="I1961" s="8">
        <v>2</v>
      </c>
      <c r="J1961" s="8">
        <v>3</v>
      </c>
      <c r="K1961" s="8">
        <v>0</v>
      </c>
      <c r="L1961" s="8">
        <v>0</v>
      </c>
      <c r="M1961" s="8">
        <v>3</v>
      </c>
      <c r="N1961" s="8">
        <v>0</v>
      </c>
      <c r="O1961" s="8">
        <v>5</v>
      </c>
      <c r="P1961" s="8">
        <v>5</v>
      </c>
      <c r="Q1961" s="8">
        <v>5</v>
      </c>
      <c r="R1961" s="8">
        <v>3</v>
      </c>
      <c r="S1961" s="8">
        <v>2</v>
      </c>
      <c r="T1961" s="8">
        <v>0.5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11" t="s">
        <v>255</v>
      </c>
    </row>
    <row r="1962" spans="1:46" ht="15.1" customHeight="1">
      <c r="A1962" s="8">
        <v>653</v>
      </c>
      <c r="B1962" s="9" t="s">
        <v>482</v>
      </c>
      <c r="C1962" s="8" t="s">
        <v>1551</v>
      </c>
      <c r="D1962" s="9" t="s">
        <v>451</v>
      </c>
      <c r="E1962" s="8" t="s">
        <v>54</v>
      </c>
      <c r="F1962" s="8" t="s">
        <v>54</v>
      </c>
      <c r="G1962" s="10" t="s">
        <v>67</v>
      </c>
      <c r="H1962" s="8" t="s">
        <v>54</v>
      </c>
      <c r="I1962" s="12" t="s">
        <v>55</v>
      </c>
      <c r="J1962" s="8" t="s">
        <v>54</v>
      </c>
      <c r="K1962" s="8" t="s">
        <v>54</v>
      </c>
      <c r="L1962" s="8" t="s">
        <v>54</v>
      </c>
      <c r="M1962" s="8" t="s">
        <v>54</v>
      </c>
      <c r="N1962" s="10" t="s">
        <v>67</v>
      </c>
      <c r="O1962" s="8" t="s">
        <v>54</v>
      </c>
      <c r="P1962" s="8" t="s">
        <v>54</v>
      </c>
      <c r="Q1962" s="12" t="s">
        <v>55</v>
      </c>
      <c r="R1962" s="8" t="s">
        <v>54</v>
      </c>
      <c r="S1962" s="8" t="s">
        <v>54</v>
      </c>
      <c r="T1962" s="8" t="s">
        <v>54</v>
      </c>
      <c r="U1962" s="10" t="s">
        <v>67</v>
      </c>
      <c r="V1962" s="8" t="s">
        <v>54</v>
      </c>
      <c r="W1962" s="8" t="s">
        <v>54</v>
      </c>
      <c r="X1962" s="8" t="s">
        <v>54</v>
      </c>
      <c r="Y1962" s="8" t="s">
        <v>54</v>
      </c>
      <c r="Z1962" s="8" t="s">
        <v>54</v>
      </c>
      <c r="AA1962" s="8" t="s">
        <v>54</v>
      </c>
      <c r="AB1962" s="10" t="s">
        <v>67</v>
      </c>
      <c r="AC1962" s="8" t="s">
        <v>54</v>
      </c>
      <c r="AD1962" s="8" t="s">
        <v>54</v>
      </c>
      <c r="AE1962" s="8" t="s">
        <v>54</v>
      </c>
      <c r="AF1962" s="8" t="s">
        <v>54</v>
      </c>
      <c r="AG1962" s="8" t="s">
        <v>54</v>
      </c>
      <c r="AH1962" s="8" t="s">
        <v>54</v>
      </c>
      <c r="AI1962" s="10" t="s">
        <v>67</v>
      </c>
      <c r="AJ1962" s="8">
        <f>COUNTIF($E$1962:$AI$1962,"P")</f>
        <v>24</v>
      </c>
      <c r="AK1962" s="8">
        <f>COUNTIF($E$1962:$AI$1962,"A")</f>
        <v>2</v>
      </c>
      <c r="AL1962" s="8">
        <f>SUM($E$1963:$AI$1963)</f>
        <v>24</v>
      </c>
      <c r="AM1962" s="8">
        <f>SUM($E$1964:$AI$1964)</f>
        <v>25.5</v>
      </c>
      <c r="AN1962" s="8">
        <f>AL1962+AM1962</f>
        <v>49.5</v>
      </c>
      <c r="AO1962" s="8">
        <f>COUNTIF($E$1962:$AI$1962,"CL")</f>
        <v>0</v>
      </c>
      <c r="AP1962" s="8">
        <f>COUNTIF($E$1962:$AI$1962,"SL")</f>
        <v>0</v>
      </c>
      <c r="AQ1962" s="8">
        <f>COUNTIF($E$1962:$AI$1962,"EL")</f>
        <v>0</v>
      </c>
      <c r="AR1962" s="8">
        <f>COUNTIF($E$1962:$AI$1962,"H")</f>
        <v>0</v>
      </c>
      <c r="AS1962" s="8"/>
      <c r="AT1962" s="11" t="s">
        <v>255</v>
      </c>
    </row>
    <row r="1963" spans="1:46" ht="15.1" customHeight="1">
      <c r="A1963" s="8"/>
      <c r="B1963" s="9"/>
      <c r="C1963" s="8"/>
      <c r="D1963" s="9"/>
      <c r="E1963" s="8">
        <v>2</v>
      </c>
      <c r="F1963" s="8">
        <v>2</v>
      </c>
      <c r="G1963" s="8">
        <v>0</v>
      </c>
      <c r="H1963" s="8">
        <v>2</v>
      </c>
      <c r="I1963" s="8">
        <v>0</v>
      </c>
      <c r="J1963" s="8">
        <v>2</v>
      </c>
      <c r="K1963" s="8">
        <v>2</v>
      </c>
      <c r="L1963" s="8">
        <v>2</v>
      </c>
      <c r="M1963" s="8">
        <v>2</v>
      </c>
      <c r="N1963" s="8">
        <v>0</v>
      </c>
      <c r="O1963" s="8">
        <v>2</v>
      </c>
      <c r="P1963" s="8">
        <v>2</v>
      </c>
      <c r="Q1963" s="8">
        <v>0</v>
      </c>
      <c r="R1963" s="8">
        <v>2</v>
      </c>
      <c r="S1963" s="8">
        <v>0</v>
      </c>
      <c r="T1963" s="8">
        <v>2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8">
        <v>0</v>
      </c>
      <c r="AH1963" s="8">
        <v>2</v>
      </c>
      <c r="AI1963" s="8">
        <v>0</v>
      </c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11" t="s">
        <v>255</v>
      </c>
    </row>
    <row r="1964" spans="1:46" ht="15.1" customHeight="1">
      <c r="A1964" s="8"/>
      <c r="B1964" s="9"/>
      <c r="C1964" s="8"/>
      <c r="D1964" s="9"/>
      <c r="E1964" s="8">
        <v>3</v>
      </c>
      <c r="F1964" s="8">
        <v>3</v>
      </c>
      <c r="G1964" s="8">
        <v>8</v>
      </c>
      <c r="H1964" s="8">
        <v>3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5</v>
      </c>
      <c r="P1964" s="8">
        <v>0</v>
      </c>
      <c r="Q1964" s="8">
        <v>0</v>
      </c>
      <c r="R1964" s="8">
        <v>3</v>
      </c>
      <c r="S1964" s="8">
        <v>0</v>
      </c>
      <c r="T1964" s="8">
        <v>0.5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11" t="s">
        <v>255</v>
      </c>
    </row>
    <row r="1965" spans="1:46" ht="15.1" customHeight="1">
      <c r="A1965" s="8">
        <v>654</v>
      </c>
      <c r="B1965" s="9" t="s">
        <v>1552</v>
      </c>
      <c r="C1965" s="8" t="s">
        <v>1553</v>
      </c>
      <c r="D1965" s="9" t="s">
        <v>451</v>
      </c>
      <c r="E1965" s="8" t="s">
        <v>54</v>
      </c>
      <c r="F1965" s="8" t="s">
        <v>54</v>
      </c>
      <c r="G1965" s="10" t="s">
        <v>67</v>
      </c>
      <c r="H1965" s="8" t="s">
        <v>54</v>
      </c>
      <c r="I1965" s="8" t="s">
        <v>54</v>
      </c>
      <c r="J1965" s="8" t="s">
        <v>54</v>
      </c>
      <c r="K1965" s="8" t="s">
        <v>54</v>
      </c>
      <c r="L1965" s="8" t="s">
        <v>54</v>
      </c>
      <c r="M1965" s="8" t="s">
        <v>54</v>
      </c>
      <c r="N1965" s="10" t="s">
        <v>67</v>
      </c>
      <c r="O1965" s="8" t="s">
        <v>54</v>
      </c>
      <c r="P1965" s="8" t="s">
        <v>54</v>
      </c>
      <c r="Q1965" s="8" t="s">
        <v>54</v>
      </c>
      <c r="R1965" s="8" t="s">
        <v>54</v>
      </c>
      <c r="S1965" s="8" t="s">
        <v>54</v>
      </c>
      <c r="T1965" s="8" t="s">
        <v>54</v>
      </c>
      <c r="U1965" s="10" t="s">
        <v>67</v>
      </c>
      <c r="V1965" s="8" t="s">
        <v>54</v>
      </c>
      <c r="W1965" s="8" t="s">
        <v>54</v>
      </c>
      <c r="X1965" s="8" t="s">
        <v>54</v>
      </c>
      <c r="Y1965" s="8" t="s">
        <v>54</v>
      </c>
      <c r="Z1965" s="8" t="s">
        <v>54</v>
      </c>
      <c r="AA1965" s="8" t="s">
        <v>54</v>
      </c>
      <c r="AB1965" s="10" t="s">
        <v>67</v>
      </c>
      <c r="AC1965" s="8" t="s">
        <v>54</v>
      </c>
      <c r="AD1965" s="8" t="s">
        <v>54</v>
      </c>
      <c r="AE1965" s="8" t="s">
        <v>54</v>
      </c>
      <c r="AF1965" s="8" t="s">
        <v>54</v>
      </c>
      <c r="AG1965" s="8" t="s">
        <v>54</v>
      </c>
      <c r="AH1965" s="12" t="s">
        <v>55</v>
      </c>
      <c r="AI1965" s="10" t="s">
        <v>67</v>
      </c>
      <c r="AJ1965" s="8">
        <f>COUNTIF($E$1965:$AI$1965,"P")</f>
        <v>25</v>
      </c>
      <c r="AK1965" s="8">
        <f>COUNTIF($E$1965:$AI$1965,"A")</f>
        <v>1</v>
      </c>
      <c r="AL1965" s="8">
        <f>SUM($E$1966:$AI$1966)</f>
        <v>36</v>
      </c>
      <c r="AM1965" s="8">
        <f>SUM($E$1967:$AI$1967)</f>
        <v>164</v>
      </c>
      <c r="AN1965" s="8">
        <f>AL1965+AM1965</f>
        <v>200</v>
      </c>
      <c r="AO1965" s="8">
        <f>COUNTIF($E$1965:$AI$1965,"CL")</f>
        <v>0</v>
      </c>
      <c r="AP1965" s="8">
        <f>COUNTIF($E$1965:$AI$1965,"SL")</f>
        <v>0</v>
      </c>
      <c r="AQ1965" s="8">
        <f>COUNTIF($E$1965:$AI$1965,"EL")</f>
        <v>0</v>
      </c>
      <c r="AR1965" s="8">
        <f>COUNTIF($E$1965:$AI$1965,"H")</f>
        <v>0</v>
      </c>
      <c r="AS1965" s="8"/>
      <c r="AT1965" s="11" t="s">
        <v>256</v>
      </c>
    </row>
    <row r="1966" spans="1:46" ht="15.1" customHeight="1">
      <c r="A1966" s="8"/>
      <c r="B1966" s="9"/>
      <c r="C1966" s="8"/>
      <c r="D1966" s="9"/>
      <c r="E1966" s="8">
        <v>2</v>
      </c>
      <c r="F1966" s="8">
        <v>2</v>
      </c>
      <c r="G1966" s="8">
        <v>0</v>
      </c>
      <c r="H1966" s="8">
        <v>2</v>
      </c>
      <c r="I1966" s="8">
        <v>2</v>
      </c>
      <c r="J1966" s="8">
        <v>2</v>
      </c>
      <c r="K1966" s="8">
        <v>2</v>
      </c>
      <c r="L1966" s="8">
        <v>2</v>
      </c>
      <c r="M1966" s="8">
        <v>2</v>
      </c>
      <c r="N1966" s="8">
        <v>0</v>
      </c>
      <c r="O1966" s="8">
        <v>2</v>
      </c>
      <c r="P1966" s="8">
        <v>2</v>
      </c>
      <c r="Q1966" s="8">
        <v>2</v>
      </c>
      <c r="R1966" s="8">
        <v>2</v>
      </c>
      <c r="S1966" s="8">
        <v>2</v>
      </c>
      <c r="T1966" s="8">
        <v>2</v>
      </c>
      <c r="U1966" s="8">
        <v>0</v>
      </c>
      <c r="V1966" s="8">
        <v>2</v>
      </c>
      <c r="W1966" s="8">
        <v>2</v>
      </c>
      <c r="X1966" s="8">
        <v>2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2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11" t="s">
        <v>256</v>
      </c>
    </row>
    <row r="1967" spans="1:46" ht="15.1" customHeight="1">
      <c r="A1967" s="8"/>
      <c r="B1967" s="9"/>
      <c r="C1967" s="8"/>
      <c r="D1967" s="9"/>
      <c r="E1967" s="8">
        <v>1</v>
      </c>
      <c r="F1967" s="8">
        <v>4.5</v>
      </c>
      <c r="G1967" s="8">
        <v>15</v>
      </c>
      <c r="H1967" s="8">
        <v>7</v>
      </c>
      <c r="I1967" s="8">
        <v>7</v>
      </c>
      <c r="J1967" s="8">
        <v>9</v>
      </c>
      <c r="K1967" s="8">
        <v>7</v>
      </c>
      <c r="L1967" s="8">
        <v>7</v>
      </c>
      <c r="M1967" s="8">
        <v>5</v>
      </c>
      <c r="N1967" s="8">
        <v>17</v>
      </c>
      <c r="O1967" s="8">
        <v>11</v>
      </c>
      <c r="P1967" s="8">
        <v>4</v>
      </c>
      <c r="Q1967" s="8">
        <v>7.5</v>
      </c>
      <c r="R1967" s="8">
        <v>7</v>
      </c>
      <c r="S1967" s="8">
        <v>7</v>
      </c>
      <c r="T1967" s="8">
        <v>7</v>
      </c>
      <c r="U1967" s="8">
        <v>13</v>
      </c>
      <c r="V1967" s="8">
        <v>11</v>
      </c>
      <c r="W1967" s="8">
        <v>7</v>
      </c>
      <c r="X1967" s="8">
        <v>7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3</v>
      </c>
      <c r="AE1967" s="8">
        <v>0</v>
      </c>
      <c r="AF1967" s="8">
        <v>0</v>
      </c>
      <c r="AG1967" s="8">
        <v>0</v>
      </c>
      <c r="AH1967" s="8">
        <v>0</v>
      </c>
      <c r="AI1967" s="8">
        <v>0</v>
      </c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11" t="s">
        <v>256</v>
      </c>
    </row>
    <row r="1968" spans="1:46" ht="15.1" customHeight="1">
      <c r="A1968" s="8">
        <v>655</v>
      </c>
      <c r="B1968" s="9" t="s">
        <v>1554</v>
      </c>
      <c r="C1968" s="8" t="s">
        <v>1555</v>
      </c>
      <c r="D1968" s="9" t="s">
        <v>451</v>
      </c>
      <c r="E1968" s="8" t="s">
        <v>54</v>
      </c>
      <c r="F1968" s="12" t="s">
        <v>55</v>
      </c>
      <c r="G1968" s="10" t="s">
        <v>67</v>
      </c>
      <c r="H1968" s="8" t="s">
        <v>54</v>
      </c>
      <c r="I1968" s="8" t="s">
        <v>54</v>
      </c>
      <c r="J1968" s="8" t="s">
        <v>54</v>
      </c>
      <c r="K1968" s="8" t="s">
        <v>54</v>
      </c>
      <c r="L1968" s="8" t="s">
        <v>54</v>
      </c>
      <c r="M1968" s="8" t="s">
        <v>54</v>
      </c>
      <c r="N1968" s="10" t="s">
        <v>67</v>
      </c>
      <c r="O1968" s="8" t="s">
        <v>54</v>
      </c>
      <c r="P1968" s="8" t="s">
        <v>54</v>
      </c>
      <c r="Q1968" s="8" t="s">
        <v>54</v>
      </c>
      <c r="R1968" s="8" t="s">
        <v>54</v>
      </c>
      <c r="S1968" s="8" t="s">
        <v>54</v>
      </c>
      <c r="T1968" s="8" t="s">
        <v>54</v>
      </c>
      <c r="U1968" s="10" t="s">
        <v>67</v>
      </c>
      <c r="V1968" s="12" t="s">
        <v>55</v>
      </c>
      <c r="W1968" s="8" t="s">
        <v>54</v>
      </c>
      <c r="X1968" s="8" t="s">
        <v>54</v>
      </c>
      <c r="Y1968" s="8" t="s">
        <v>54</v>
      </c>
      <c r="Z1968" s="8" t="s">
        <v>54</v>
      </c>
      <c r="AA1968" s="8" t="s">
        <v>54</v>
      </c>
      <c r="AB1968" s="10" t="s">
        <v>67</v>
      </c>
      <c r="AC1968" s="8" t="s">
        <v>54</v>
      </c>
      <c r="AD1968" s="8" t="s">
        <v>54</v>
      </c>
      <c r="AE1968" s="8" t="s">
        <v>54</v>
      </c>
      <c r="AF1968" s="8" t="s">
        <v>54</v>
      </c>
      <c r="AG1968" s="8" t="s">
        <v>54</v>
      </c>
      <c r="AH1968" s="12" t="s">
        <v>55</v>
      </c>
      <c r="AI1968" s="10" t="s">
        <v>67</v>
      </c>
      <c r="AJ1968" s="8">
        <f>COUNTIF($E$1968:$AI$1968,"P")</f>
        <v>23</v>
      </c>
      <c r="AK1968" s="8">
        <f>COUNTIF($E$1968:$AI$1968,"A")</f>
        <v>3</v>
      </c>
      <c r="AL1968" s="8">
        <f>SUM($E$1969:$AI$1969)</f>
        <v>30</v>
      </c>
      <c r="AM1968" s="8">
        <f>SUM($E$1970:$AI$1970)</f>
        <v>141.5</v>
      </c>
      <c r="AN1968" s="8">
        <f>AL1968+AM1968</f>
        <v>171.5</v>
      </c>
      <c r="AO1968" s="8">
        <f>COUNTIF($E$1968:$AI$1968,"CL")</f>
        <v>0</v>
      </c>
      <c r="AP1968" s="8">
        <f>COUNTIF($E$1968:$AI$1968,"SL")</f>
        <v>0</v>
      </c>
      <c r="AQ1968" s="8">
        <f>COUNTIF($E$1968:$AI$1968,"EL")</f>
        <v>0</v>
      </c>
      <c r="AR1968" s="8">
        <f>COUNTIF($E$1968:$AI$1968,"H")</f>
        <v>0</v>
      </c>
      <c r="AS1968" s="8"/>
      <c r="AT1968" s="11" t="s">
        <v>256</v>
      </c>
    </row>
    <row r="1969" spans="1:46" ht="15.1" customHeight="1">
      <c r="A1969" s="8"/>
      <c r="B1969" s="9"/>
      <c r="C1969" s="8"/>
      <c r="D1969" s="9"/>
      <c r="E1969" s="8">
        <v>2</v>
      </c>
      <c r="F1969" s="8">
        <v>0</v>
      </c>
      <c r="G1969" s="8">
        <v>0</v>
      </c>
      <c r="H1969" s="8">
        <v>2</v>
      </c>
      <c r="I1969" s="8">
        <v>2</v>
      </c>
      <c r="J1969" s="8">
        <v>2</v>
      </c>
      <c r="K1969" s="8">
        <v>2</v>
      </c>
      <c r="L1969" s="8">
        <v>2</v>
      </c>
      <c r="M1969" s="8">
        <v>2</v>
      </c>
      <c r="N1969" s="8">
        <v>0</v>
      </c>
      <c r="O1969" s="8">
        <v>2</v>
      </c>
      <c r="P1969" s="8">
        <v>2</v>
      </c>
      <c r="Q1969" s="8">
        <v>0</v>
      </c>
      <c r="R1969" s="8">
        <v>2</v>
      </c>
      <c r="S1969" s="8">
        <v>2</v>
      </c>
      <c r="T1969" s="8">
        <v>2</v>
      </c>
      <c r="U1969" s="8">
        <v>0</v>
      </c>
      <c r="V1969" s="8">
        <v>0</v>
      </c>
      <c r="W1969" s="8">
        <v>2</v>
      </c>
      <c r="X1969" s="8">
        <v>2</v>
      </c>
      <c r="Y1969" s="8">
        <v>0</v>
      </c>
      <c r="Z1969" s="8">
        <v>0</v>
      </c>
      <c r="AA1969" s="8">
        <v>0</v>
      </c>
      <c r="AB1969" s="8">
        <v>0</v>
      </c>
      <c r="AC1969" s="8">
        <v>2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11" t="s">
        <v>256</v>
      </c>
    </row>
    <row r="1970" spans="1:46" ht="15.1" customHeight="1">
      <c r="A1970" s="8"/>
      <c r="B1970" s="9"/>
      <c r="C1970" s="8"/>
      <c r="D1970" s="9"/>
      <c r="E1970" s="8">
        <v>4</v>
      </c>
      <c r="F1970" s="8">
        <v>0</v>
      </c>
      <c r="G1970" s="8">
        <v>14.5</v>
      </c>
      <c r="H1970" s="8">
        <v>7</v>
      </c>
      <c r="I1970" s="8">
        <v>11</v>
      </c>
      <c r="J1970" s="8">
        <v>4</v>
      </c>
      <c r="K1970" s="8">
        <v>5</v>
      </c>
      <c r="L1970" s="8">
        <v>7</v>
      </c>
      <c r="M1970" s="8">
        <v>5</v>
      </c>
      <c r="N1970" s="8">
        <v>16.5</v>
      </c>
      <c r="O1970" s="8">
        <v>7</v>
      </c>
      <c r="P1970" s="8">
        <v>10</v>
      </c>
      <c r="Q1970" s="8">
        <v>0</v>
      </c>
      <c r="R1970" s="8">
        <v>7</v>
      </c>
      <c r="S1970" s="8">
        <v>6.5</v>
      </c>
      <c r="T1970" s="8">
        <v>7</v>
      </c>
      <c r="U1970" s="8">
        <v>12.5</v>
      </c>
      <c r="V1970" s="8">
        <v>0</v>
      </c>
      <c r="W1970" s="8">
        <v>7</v>
      </c>
      <c r="X1970" s="8">
        <v>9</v>
      </c>
      <c r="Y1970" s="8">
        <v>0</v>
      </c>
      <c r="Z1970" s="8">
        <v>0</v>
      </c>
      <c r="AA1970" s="8">
        <v>0</v>
      </c>
      <c r="AB1970" s="8">
        <v>0</v>
      </c>
      <c r="AC1970" s="8">
        <v>1.5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11" t="s">
        <v>256</v>
      </c>
    </row>
    <row r="1971" spans="1:46" ht="15.1" customHeight="1">
      <c r="A1971" s="8">
        <v>656</v>
      </c>
      <c r="B1971" s="9" t="s">
        <v>1556</v>
      </c>
      <c r="C1971" s="8" t="s">
        <v>1557</v>
      </c>
      <c r="D1971" s="9" t="s">
        <v>451</v>
      </c>
      <c r="E1971" s="8" t="s">
        <v>54</v>
      </c>
      <c r="F1971" s="8" t="s">
        <v>54</v>
      </c>
      <c r="G1971" s="10" t="s">
        <v>67</v>
      </c>
      <c r="H1971" s="8" t="s">
        <v>54</v>
      </c>
      <c r="I1971" s="8" t="s">
        <v>54</v>
      </c>
      <c r="J1971" s="8" t="s">
        <v>54</v>
      </c>
      <c r="K1971" s="8" t="s">
        <v>54</v>
      </c>
      <c r="L1971" s="8" t="s">
        <v>54</v>
      </c>
      <c r="M1971" s="8" t="s">
        <v>54</v>
      </c>
      <c r="N1971" s="10" t="s">
        <v>67</v>
      </c>
      <c r="O1971" s="8" t="s">
        <v>54</v>
      </c>
      <c r="P1971" s="8" t="s">
        <v>54</v>
      </c>
      <c r="Q1971" s="8" t="s">
        <v>54</v>
      </c>
      <c r="R1971" s="8" t="s">
        <v>54</v>
      </c>
      <c r="S1971" s="8" t="s">
        <v>54</v>
      </c>
      <c r="T1971" s="8" t="s">
        <v>54</v>
      </c>
      <c r="U1971" s="10" t="s">
        <v>67</v>
      </c>
      <c r="V1971" s="8" t="s">
        <v>54</v>
      </c>
      <c r="W1971" s="8" t="s">
        <v>54</v>
      </c>
      <c r="X1971" s="8" t="s">
        <v>54</v>
      </c>
      <c r="Y1971" s="8" t="s">
        <v>54</v>
      </c>
      <c r="Z1971" s="8" t="s">
        <v>54</v>
      </c>
      <c r="AA1971" s="8" t="s">
        <v>54</v>
      </c>
      <c r="AB1971" s="10" t="s">
        <v>67</v>
      </c>
      <c r="AC1971" s="8" t="s">
        <v>54</v>
      </c>
      <c r="AD1971" s="8" t="s">
        <v>54</v>
      </c>
      <c r="AE1971" s="8" t="s">
        <v>54</v>
      </c>
      <c r="AF1971" s="8" t="s">
        <v>54</v>
      </c>
      <c r="AG1971" s="8" t="s">
        <v>54</v>
      </c>
      <c r="AH1971" s="12" t="s">
        <v>55</v>
      </c>
      <c r="AI1971" s="10" t="s">
        <v>67</v>
      </c>
      <c r="AJ1971" s="8">
        <f>COUNTIF($E$1971:$AI$1971,"P")</f>
        <v>25</v>
      </c>
      <c r="AK1971" s="8">
        <f>COUNTIF($E$1971:$AI$1971,"A")</f>
        <v>1</v>
      </c>
      <c r="AL1971" s="8">
        <f>SUM($E$1972:$AI$1972)</f>
        <v>36</v>
      </c>
      <c r="AM1971" s="8">
        <f>SUM($E$1973:$AI$1973)</f>
        <v>163.5</v>
      </c>
      <c r="AN1971" s="8">
        <f>AL1971+AM1971</f>
        <v>199.5</v>
      </c>
      <c r="AO1971" s="8">
        <f>COUNTIF($E$1971:$AI$1971,"CL")</f>
        <v>0</v>
      </c>
      <c r="AP1971" s="8">
        <f>COUNTIF($E$1971:$AI$1971,"SL")</f>
        <v>0</v>
      </c>
      <c r="AQ1971" s="8">
        <f>COUNTIF($E$1971:$AI$1971,"EL")</f>
        <v>0</v>
      </c>
      <c r="AR1971" s="8">
        <f>COUNTIF($E$1971:$AI$1971,"H")</f>
        <v>0</v>
      </c>
      <c r="AS1971" s="8"/>
      <c r="AT1971" s="11" t="s">
        <v>256</v>
      </c>
    </row>
    <row r="1972" spans="1:46" ht="15.1" customHeight="1">
      <c r="A1972" s="8"/>
      <c r="B1972" s="9"/>
      <c r="C1972" s="8"/>
      <c r="D1972" s="9"/>
      <c r="E1972" s="8">
        <v>2</v>
      </c>
      <c r="F1972" s="8">
        <v>2</v>
      </c>
      <c r="G1972" s="8">
        <v>0</v>
      </c>
      <c r="H1972" s="8">
        <v>2</v>
      </c>
      <c r="I1972" s="8">
        <v>2</v>
      </c>
      <c r="J1972" s="8">
        <v>2</v>
      </c>
      <c r="K1972" s="8">
        <v>2</v>
      </c>
      <c r="L1972" s="8">
        <v>2</v>
      </c>
      <c r="M1972" s="8">
        <v>2</v>
      </c>
      <c r="N1972" s="8">
        <v>0</v>
      </c>
      <c r="O1972" s="8">
        <v>2</v>
      </c>
      <c r="P1972" s="8">
        <v>2</v>
      </c>
      <c r="Q1972" s="8">
        <v>2</v>
      </c>
      <c r="R1972" s="8">
        <v>2</v>
      </c>
      <c r="S1972" s="8">
        <v>2</v>
      </c>
      <c r="T1972" s="8">
        <v>2</v>
      </c>
      <c r="U1972" s="8">
        <v>0</v>
      </c>
      <c r="V1972" s="8">
        <v>2</v>
      </c>
      <c r="W1972" s="8">
        <v>2</v>
      </c>
      <c r="X1972" s="8">
        <v>2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2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11" t="s">
        <v>256</v>
      </c>
    </row>
    <row r="1973" spans="1:46" ht="15.1" customHeight="1">
      <c r="A1973" s="8"/>
      <c r="B1973" s="9"/>
      <c r="C1973" s="8"/>
      <c r="D1973" s="9"/>
      <c r="E1973" s="8">
        <v>4</v>
      </c>
      <c r="F1973" s="8">
        <v>3</v>
      </c>
      <c r="G1973" s="8">
        <v>14.5</v>
      </c>
      <c r="H1973" s="8">
        <v>7</v>
      </c>
      <c r="I1973" s="8">
        <v>7</v>
      </c>
      <c r="J1973" s="8">
        <v>11</v>
      </c>
      <c r="K1973" s="8">
        <v>1</v>
      </c>
      <c r="L1973" s="8">
        <v>10</v>
      </c>
      <c r="M1973" s="8">
        <v>3</v>
      </c>
      <c r="N1973" s="8">
        <v>16.5</v>
      </c>
      <c r="O1973" s="8">
        <v>7</v>
      </c>
      <c r="P1973" s="8">
        <v>10</v>
      </c>
      <c r="Q1973" s="8">
        <v>6</v>
      </c>
      <c r="R1973" s="8">
        <v>6.5</v>
      </c>
      <c r="S1973" s="8">
        <v>7</v>
      </c>
      <c r="T1973" s="8">
        <v>11</v>
      </c>
      <c r="U1973" s="8">
        <v>11</v>
      </c>
      <c r="V1973" s="8">
        <v>7</v>
      </c>
      <c r="W1973" s="8">
        <v>7</v>
      </c>
      <c r="X1973" s="8">
        <v>7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7</v>
      </c>
      <c r="AE1973" s="8">
        <v>0</v>
      </c>
      <c r="AF1973" s="8">
        <v>0</v>
      </c>
      <c r="AG1973" s="8">
        <v>0</v>
      </c>
      <c r="AH1973" s="8">
        <v>0</v>
      </c>
      <c r="AI1973" s="8">
        <v>0</v>
      </c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11" t="s">
        <v>256</v>
      </c>
    </row>
    <row r="1974" spans="1:46" ht="15.1" customHeight="1">
      <c r="A1974" s="8">
        <v>657</v>
      </c>
      <c r="B1974" s="9" t="s">
        <v>416</v>
      </c>
      <c r="C1974" s="8" t="s">
        <v>1558</v>
      </c>
      <c r="D1974" s="9" t="s">
        <v>451</v>
      </c>
      <c r="E1974" s="8" t="s">
        <v>54</v>
      </c>
      <c r="F1974" s="8" t="s">
        <v>54</v>
      </c>
      <c r="G1974" s="10" t="s">
        <v>67</v>
      </c>
      <c r="H1974" s="8" t="s">
        <v>54</v>
      </c>
      <c r="I1974" s="12" t="s">
        <v>55</v>
      </c>
      <c r="J1974" s="8" t="s">
        <v>54</v>
      </c>
      <c r="K1974" s="8" t="s">
        <v>54</v>
      </c>
      <c r="L1974" s="8" t="s">
        <v>54</v>
      </c>
      <c r="M1974" s="8" t="s">
        <v>54</v>
      </c>
      <c r="N1974" s="10" t="s">
        <v>67</v>
      </c>
      <c r="O1974" s="8" t="s">
        <v>54</v>
      </c>
      <c r="P1974" s="12" t="s">
        <v>55</v>
      </c>
      <c r="Q1974" s="8" t="s">
        <v>54</v>
      </c>
      <c r="R1974" s="8" t="s">
        <v>54</v>
      </c>
      <c r="S1974" s="8" t="s">
        <v>54</v>
      </c>
      <c r="T1974" s="8" t="s">
        <v>54</v>
      </c>
      <c r="U1974" s="10" t="s">
        <v>67</v>
      </c>
      <c r="V1974" s="8" t="s">
        <v>54</v>
      </c>
      <c r="W1974" s="8" t="s">
        <v>54</v>
      </c>
      <c r="X1974" s="8" t="s">
        <v>54</v>
      </c>
      <c r="Y1974" s="8" t="s">
        <v>54</v>
      </c>
      <c r="Z1974" s="8" t="s">
        <v>54</v>
      </c>
      <c r="AA1974" s="8" t="s">
        <v>54</v>
      </c>
      <c r="AB1974" s="10" t="s">
        <v>67</v>
      </c>
      <c r="AC1974" s="8" t="s">
        <v>54</v>
      </c>
      <c r="AD1974" s="12" t="s">
        <v>55</v>
      </c>
      <c r="AE1974" s="8" t="s">
        <v>54</v>
      </c>
      <c r="AF1974" s="8" t="s">
        <v>54</v>
      </c>
      <c r="AG1974" s="8" t="s">
        <v>54</v>
      </c>
      <c r="AH1974" s="12" t="s">
        <v>55</v>
      </c>
      <c r="AI1974" s="10" t="s">
        <v>67</v>
      </c>
      <c r="AJ1974" s="8">
        <f>COUNTIF($E$1974:$AI$1974,"P")</f>
        <v>22</v>
      </c>
      <c r="AK1974" s="8">
        <f>COUNTIF($E$1974:$AI$1974,"A")</f>
        <v>4</v>
      </c>
      <c r="AL1974" s="8">
        <f>SUM($E$1975:$AI$1975)</f>
        <v>32</v>
      </c>
      <c r="AM1974" s="8">
        <f>SUM($E$1976:$AI$1976)</f>
        <v>128</v>
      </c>
      <c r="AN1974" s="8">
        <f>AL1974+AM1974</f>
        <v>160</v>
      </c>
      <c r="AO1974" s="8">
        <f>COUNTIF($E$1974:$AI$1974,"CL")</f>
        <v>0</v>
      </c>
      <c r="AP1974" s="8">
        <f>COUNTIF($E$1974:$AI$1974,"SL")</f>
        <v>0</v>
      </c>
      <c r="AQ1974" s="8">
        <f>COUNTIF($E$1974:$AI$1974,"EL")</f>
        <v>0</v>
      </c>
      <c r="AR1974" s="8">
        <f>COUNTIF($E$1974:$AI$1974,"H")</f>
        <v>0</v>
      </c>
      <c r="AS1974" s="8"/>
      <c r="AT1974" s="11" t="s">
        <v>256</v>
      </c>
    </row>
    <row r="1975" spans="1:46" ht="15.1" customHeight="1">
      <c r="A1975" s="8"/>
      <c r="B1975" s="9"/>
      <c r="C1975" s="8"/>
      <c r="D1975" s="9"/>
      <c r="E1975" s="8">
        <v>2</v>
      </c>
      <c r="F1975" s="8">
        <v>2</v>
      </c>
      <c r="G1975" s="8">
        <v>0</v>
      </c>
      <c r="H1975" s="8">
        <v>2</v>
      </c>
      <c r="I1975" s="8">
        <v>0</v>
      </c>
      <c r="J1975" s="8">
        <v>2</v>
      </c>
      <c r="K1975" s="8">
        <v>2</v>
      </c>
      <c r="L1975" s="8">
        <v>2</v>
      </c>
      <c r="M1975" s="8">
        <v>2</v>
      </c>
      <c r="N1975" s="8">
        <v>0</v>
      </c>
      <c r="O1975" s="8">
        <v>2</v>
      </c>
      <c r="P1975" s="8">
        <v>0</v>
      </c>
      <c r="Q1975" s="8">
        <v>2</v>
      </c>
      <c r="R1975" s="8">
        <v>2</v>
      </c>
      <c r="S1975" s="8">
        <v>2</v>
      </c>
      <c r="T1975" s="8">
        <v>2</v>
      </c>
      <c r="U1975" s="8">
        <v>0</v>
      </c>
      <c r="V1975" s="8">
        <v>2</v>
      </c>
      <c r="W1975" s="8">
        <v>2</v>
      </c>
      <c r="X1975" s="8">
        <v>2</v>
      </c>
      <c r="Y1975" s="8">
        <v>0</v>
      </c>
      <c r="Z1975" s="8">
        <v>0</v>
      </c>
      <c r="AA1975" s="8">
        <v>0</v>
      </c>
      <c r="AB1975" s="8">
        <v>0</v>
      </c>
      <c r="AC1975" s="8">
        <v>2</v>
      </c>
      <c r="AD1975" s="8">
        <v>0</v>
      </c>
      <c r="AE1975" s="8">
        <v>0</v>
      </c>
      <c r="AF1975" s="8">
        <v>0</v>
      </c>
      <c r="AG1975" s="8">
        <v>0</v>
      </c>
      <c r="AH1975" s="8">
        <v>0</v>
      </c>
      <c r="AI1975" s="8">
        <v>0</v>
      </c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11" t="s">
        <v>256</v>
      </c>
    </row>
    <row r="1976" spans="1:46" ht="15.1" customHeight="1">
      <c r="A1976" s="8"/>
      <c r="B1976" s="9"/>
      <c r="C1976" s="8"/>
      <c r="D1976" s="9"/>
      <c r="E1976" s="8">
        <v>4</v>
      </c>
      <c r="F1976" s="8">
        <v>3</v>
      </c>
      <c r="G1976" s="8">
        <v>15</v>
      </c>
      <c r="H1976" s="8">
        <v>7</v>
      </c>
      <c r="I1976" s="8">
        <v>0</v>
      </c>
      <c r="J1976" s="8">
        <v>11</v>
      </c>
      <c r="K1976" s="8">
        <v>1</v>
      </c>
      <c r="L1976" s="8">
        <v>7</v>
      </c>
      <c r="M1976" s="8">
        <v>5</v>
      </c>
      <c r="N1976" s="8">
        <v>17</v>
      </c>
      <c r="O1976" s="8">
        <v>7</v>
      </c>
      <c r="P1976" s="8">
        <v>0</v>
      </c>
      <c r="Q1976" s="8">
        <v>7.5</v>
      </c>
      <c r="R1976" s="8">
        <v>7</v>
      </c>
      <c r="S1976" s="8">
        <v>7</v>
      </c>
      <c r="T1976" s="8">
        <v>7</v>
      </c>
      <c r="U1976" s="8">
        <v>0</v>
      </c>
      <c r="V1976" s="8">
        <v>7</v>
      </c>
      <c r="W1976" s="8">
        <v>7</v>
      </c>
      <c r="X1976" s="8">
        <v>7</v>
      </c>
      <c r="Y1976" s="8">
        <v>0</v>
      </c>
      <c r="Z1976" s="8">
        <v>0</v>
      </c>
      <c r="AA1976" s="8">
        <v>0</v>
      </c>
      <c r="AB1976" s="8">
        <v>0</v>
      </c>
      <c r="AC1976" s="8">
        <v>1.5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11" t="s">
        <v>256</v>
      </c>
    </row>
    <row r="1977" spans="1:46" ht="15.1" customHeight="1">
      <c r="A1977" s="8">
        <v>658</v>
      </c>
      <c r="B1977" s="9" t="s">
        <v>1559</v>
      </c>
      <c r="C1977" s="8" t="s">
        <v>1560</v>
      </c>
      <c r="D1977" s="9" t="s">
        <v>451</v>
      </c>
      <c r="E1977" s="8" t="s">
        <v>54</v>
      </c>
      <c r="F1977" s="8" t="s">
        <v>54</v>
      </c>
      <c r="G1977" s="10" t="s">
        <v>67</v>
      </c>
      <c r="H1977" s="8" t="s">
        <v>54</v>
      </c>
      <c r="I1977" s="8" t="s">
        <v>54</v>
      </c>
      <c r="J1977" s="8" t="s">
        <v>54</v>
      </c>
      <c r="K1977" s="8" t="s">
        <v>54</v>
      </c>
      <c r="L1977" s="8" t="s">
        <v>54</v>
      </c>
      <c r="M1977" s="8" t="s">
        <v>54</v>
      </c>
      <c r="N1977" s="10" t="s">
        <v>67</v>
      </c>
      <c r="O1977" s="8" t="s">
        <v>54</v>
      </c>
      <c r="P1977" s="8" t="s">
        <v>54</v>
      </c>
      <c r="Q1977" s="8" t="s">
        <v>54</v>
      </c>
      <c r="R1977" s="8" t="s">
        <v>54</v>
      </c>
      <c r="S1977" s="8" t="s">
        <v>54</v>
      </c>
      <c r="T1977" s="8" t="s">
        <v>54</v>
      </c>
      <c r="U1977" s="10" t="s">
        <v>67</v>
      </c>
      <c r="V1977" s="8" t="s">
        <v>54</v>
      </c>
      <c r="W1977" s="8" t="s">
        <v>54</v>
      </c>
      <c r="X1977" s="8" t="s">
        <v>54</v>
      </c>
      <c r="Y1977" s="8" t="s">
        <v>54</v>
      </c>
      <c r="Z1977" s="8" t="s">
        <v>54</v>
      </c>
      <c r="AA1977" s="8" t="s">
        <v>54</v>
      </c>
      <c r="AB1977" s="10" t="s">
        <v>67</v>
      </c>
      <c r="AC1977" s="8" t="s">
        <v>54</v>
      </c>
      <c r="AD1977" s="8" t="s">
        <v>54</v>
      </c>
      <c r="AE1977" s="8" t="s">
        <v>54</v>
      </c>
      <c r="AF1977" s="8" t="s">
        <v>54</v>
      </c>
      <c r="AG1977" s="8" t="s">
        <v>54</v>
      </c>
      <c r="AH1977" s="12" t="s">
        <v>55</v>
      </c>
      <c r="AI1977" s="10" t="s">
        <v>67</v>
      </c>
      <c r="AJ1977" s="8">
        <f>COUNTIF($E$1977:$AI$1977,"P")</f>
        <v>25</v>
      </c>
      <c r="AK1977" s="8">
        <f>COUNTIF($E$1977:$AI$1977,"A")</f>
        <v>1</v>
      </c>
      <c r="AL1977" s="8">
        <f>SUM($E$1978:$AI$1978)</f>
        <v>38</v>
      </c>
      <c r="AM1977" s="8">
        <f>SUM($E$1979:$AI$1979)</f>
        <v>164.5</v>
      </c>
      <c r="AN1977" s="8">
        <f>AL1977+AM1977</f>
        <v>202.5</v>
      </c>
      <c r="AO1977" s="8">
        <f>COUNTIF($E$1977:$AI$1977,"CL")</f>
        <v>0</v>
      </c>
      <c r="AP1977" s="8">
        <f>COUNTIF($E$1977:$AI$1977,"SL")</f>
        <v>0</v>
      </c>
      <c r="AQ1977" s="8">
        <f>COUNTIF($E$1977:$AI$1977,"EL")</f>
        <v>0</v>
      </c>
      <c r="AR1977" s="8">
        <f>COUNTIF($E$1977:$AI$1977,"H")</f>
        <v>0</v>
      </c>
      <c r="AS1977" s="8"/>
      <c r="AT1977" s="11" t="s">
        <v>256</v>
      </c>
    </row>
    <row r="1978" spans="1:46" ht="15.1" customHeight="1">
      <c r="A1978" s="8"/>
      <c r="B1978" s="9"/>
      <c r="C1978" s="8"/>
      <c r="D1978" s="9"/>
      <c r="E1978" s="8">
        <v>2</v>
      </c>
      <c r="F1978" s="8">
        <v>2</v>
      </c>
      <c r="G1978" s="8">
        <v>0</v>
      </c>
      <c r="H1978" s="8">
        <v>2</v>
      </c>
      <c r="I1978" s="8">
        <v>2</v>
      </c>
      <c r="J1978" s="8">
        <v>2</v>
      </c>
      <c r="K1978" s="8">
        <v>2</v>
      </c>
      <c r="L1978" s="8">
        <v>2</v>
      </c>
      <c r="M1978" s="8">
        <v>2</v>
      </c>
      <c r="N1978" s="8">
        <v>0</v>
      </c>
      <c r="O1978" s="8">
        <v>2</v>
      </c>
      <c r="P1978" s="8">
        <v>2</v>
      </c>
      <c r="Q1978" s="8">
        <v>2</v>
      </c>
      <c r="R1978" s="8">
        <v>2</v>
      </c>
      <c r="S1978" s="8">
        <v>2</v>
      </c>
      <c r="T1978" s="8">
        <v>2</v>
      </c>
      <c r="U1978" s="8">
        <v>0</v>
      </c>
      <c r="V1978" s="8">
        <v>2</v>
      </c>
      <c r="W1978" s="8">
        <v>2</v>
      </c>
      <c r="X1978" s="8">
        <v>2</v>
      </c>
      <c r="Y1978" s="8">
        <v>0</v>
      </c>
      <c r="Z1978" s="8">
        <v>2</v>
      </c>
      <c r="AA1978" s="8">
        <v>0</v>
      </c>
      <c r="AB1978" s="8">
        <v>0</v>
      </c>
      <c r="AC1978" s="8">
        <v>0</v>
      </c>
      <c r="AD1978" s="8">
        <v>2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11" t="s">
        <v>256</v>
      </c>
    </row>
    <row r="1979" spans="1:46" ht="15.1" customHeight="1">
      <c r="A1979" s="8"/>
      <c r="B1979" s="9"/>
      <c r="C1979" s="8"/>
      <c r="D1979" s="9"/>
      <c r="E1979" s="8">
        <v>1</v>
      </c>
      <c r="F1979" s="8">
        <v>3</v>
      </c>
      <c r="G1979" s="8">
        <v>15</v>
      </c>
      <c r="H1979" s="8">
        <v>7</v>
      </c>
      <c r="I1979" s="8">
        <v>7</v>
      </c>
      <c r="J1979" s="8">
        <v>9</v>
      </c>
      <c r="K1979" s="8">
        <v>7</v>
      </c>
      <c r="L1979" s="8">
        <v>7</v>
      </c>
      <c r="M1979" s="8">
        <v>5</v>
      </c>
      <c r="N1979" s="8">
        <v>16.5</v>
      </c>
      <c r="O1979" s="8">
        <v>11</v>
      </c>
      <c r="P1979" s="8">
        <v>1</v>
      </c>
      <c r="Q1979" s="8">
        <v>8</v>
      </c>
      <c r="R1979" s="8">
        <v>7</v>
      </c>
      <c r="S1979" s="8">
        <v>7</v>
      </c>
      <c r="T1979" s="8">
        <v>9</v>
      </c>
      <c r="U1979" s="8">
        <v>14</v>
      </c>
      <c r="V1979" s="8">
        <v>8</v>
      </c>
      <c r="W1979" s="8">
        <v>7</v>
      </c>
      <c r="X1979" s="8">
        <v>7</v>
      </c>
      <c r="Y1979" s="8">
        <v>0</v>
      </c>
      <c r="Z1979" s="8">
        <v>3</v>
      </c>
      <c r="AA1979" s="8">
        <v>0</v>
      </c>
      <c r="AB1979" s="8">
        <v>0</v>
      </c>
      <c r="AC1979" s="8">
        <v>0</v>
      </c>
      <c r="AD1979" s="8">
        <v>5</v>
      </c>
      <c r="AE1979" s="8">
        <v>0</v>
      </c>
      <c r="AF1979" s="8">
        <v>0</v>
      </c>
      <c r="AG1979" s="8">
        <v>0</v>
      </c>
      <c r="AH1979" s="8">
        <v>0</v>
      </c>
      <c r="AI1979" s="8">
        <v>0</v>
      </c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11" t="s">
        <v>256</v>
      </c>
    </row>
    <row r="1980" spans="1:46" ht="15.1" customHeight="1">
      <c r="A1980" s="8">
        <v>659</v>
      </c>
      <c r="B1980" s="9" t="s">
        <v>1561</v>
      </c>
      <c r="C1980" s="8" t="s">
        <v>1562</v>
      </c>
      <c r="D1980" s="9" t="s">
        <v>451</v>
      </c>
      <c r="E1980" s="8" t="s">
        <v>54</v>
      </c>
      <c r="F1980" s="8" t="s">
        <v>54</v>
      </c>
      <c r="G1980" s="10" t="s">
        <v>67</v>
      </c>
      <c r="H1980" s="8" t="s">
        <v>54</v>
      </c>
      <c r="I1980" s="8" t="s">
        <v>54</v>
      </c>
      <c r="J1980" s="8" t="s">
        <v>54</v>
      </c>
      <c r="K1980" s="8" t="s">
        <v>54</v>
      </c>
      <c r="L1980" s="8" t="s">
        <v>54</v>
      </c>
      <c r="M1980" s="8" t="s">
        <v>54</v>
      </c>
      <c r="N1980" s="10" t="s">
        <v>67</v>
      </c>
      <c r="O1980" s="8" t="s">
        <v>54</v>
      </c>
      <c r="P1980" s="8" t="s">
        <v>54</v>
      </c>
      <c r="Q1980" s="8" t="s">
        <v>54</v>
      </c>
      <c r="R1980" s="8" t="s">
        <v>54</v>
      </c>
      <c r="S1980" s="8" t="s">
        <v>54</v>
      </c>
      <c r="T1980" s="8" t="s">
        <v>54</v>
      </c>
      <c r="U1980" s="10" t="s">
        <v>67</v>
      </c>
      <c r="V1980" s="8" t="s">
        <v>54</v>
      </c>
      <c r="W1980" s="8" t="s">
        <v>54</v>
      </c>
      <c r="X1980" s="8" t="s">
        <v>54</v>
      </c>
      <c r="Y1980" s="8" t="s">
        <v>54</v>
      </c>
      <c r="Z1980" s="8" t="s">
        <v>54</v>
      </c>
      <c r="AA1980" s="8" t="s">
        <v>54</v>
      </c>
      <c r="AB1980" s="10" t="s">
        <v>67</v>
      </c>
      <c r="AC1980" s="8" t="s">
        <v>54</v>
      </c>
      <c r="AD1980" s="8" t="s">
        <v>54</v>
      </c>
      <c r="AE1980" s="8" t="s">
        <v>54</v>
      </c>
      <c r="AF1980" s="8" t="s">
        <v>54</v>
      </c>
      <c r="AG1980" s="8" t="s">
        <v>54</v>
      </c>
      <c r="AH1980" s="12" t="s">
        <v>55</v>
      </c>
      <c r="AI1980" s="10" t="s">
        <v>67</v>
      </c>
      <c r="AJ1980" s="8">
        <f>COUNTIF($E$1980:$AI$1980,"P")</f>
        <v>25</v>
      </c>
      <c r="AK1980" s="8">
        <f>COUNTIF($E$1980:$AI$1980,"A")</f>
        <v>1</v>
      </c>
      <c r="AL1980" s="8">
        <f>SUM($E$1981:$AI$1981)</f>
        <v>36</v>
      </c>
      <c r="AM1980" s="8">
        <f>SUM($E$1982:$AI$1982)</f>
        <v>160</v>
      </c>
      <c r="AN1980" s="8">
        <f>AL1980+AM1980</f>
        <v>196</v>
      </c>
      <c r="AO1980" s="8">
        <f>COUNTIF($E$1980:$AI$1980,"CL")</f>
        <v>0</v>
      </c>
      <c r="AP1980" s="8">
        <f>COUNTIF($E$1980:$AI$1980,"SL")</f>
        <v>0</v>
      </c>
      <c r="AQ1980" s="8">
        <f>COUNTIF($E$1980:$AI$1980,"EL")</f>
        <v>0</v>
      </c>
      <c r="AR1980" s="8">
        <f>COUNTIF($E$1980:$AI$1980,"H")</f>
        <v>0</v>
      </c>
      <c r="AS1980" s="8"/>
      <c r="AT1980" s="11" t="s">
        <v>256</v>
      </c>
    </row>
    <row r="1981" spans="1:46" ht="15.1" customHeight="1">
      <c r="A1981" s="8"/>
      <c r="B1981" s="9"/>
      <c r="C1981" s="8"/>
      <c r="D1981" s="9"/>
      <c r="E1981" s="8">
        <v>2</v>
      </c>
      <c r="F1981" s="8">
        <v>2</v>
      </c>
      <c r="G1981" s="8">
        <v>0</v>
      </c>
      <c r="H1981" s="8">
        <v>2</v>
      </c>
      <c r="I1981" s="8">
        <v>2</v>
      </c>
      <c r="J1981" s="8">
        <v>2</v>
      </c>
      <c r="K1981" s="8">
        <v>2</v>
      </c>
      <c r="L1981" s="8">
        <v>2</v>
      </c>
      <c r="M1981" s="8">
        <v>2</v>
      </c>
      <c r="N1981" s="8">
        <v>0</v>
      </c>
      <c r="O1981" s="8">
        <v>2</v>
      </c>
      <c r="P1981" s="8">
        <v>2</v>
      </c>
      <c r="Q1981" s="8">
        <v>2</v>
      </c>
      <c r="R1981" s="8">
        <v>2</v>
      </c>
      <c r="S1981" s="8">
        <v>2</v>
      </c>
      <c r="T1981" s="8">
        <v>2</v>
      </c>
      <c r="U1981" s="8">
        <v>0</v>
      </c>
      <c r="V1981" s="8">
        <v>2</v>
      </c>
      <c r="W1981" s="8">
        <v>2</v>
      </c>
      <c r="X1981" s="8">
        <v>2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2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11" t="s">
        <v>256</v>
      </c>
    </row>
    <row r="1982" spans="1:46" ht="15.1" customHeight="1">
      <c r="A1982" s="8"/>
      <c r="B1982" s="9"/>
      <c r="C1982" s="8"/>
      <c r="D1982" s="9"/>
      <c r="E1982" s="8">
        <v>4</v>
      </c>
      <c r="F1982" s="8">
        <v>4.5</v>
      </c>
      <c r="G1982" s="8">
        <v>15</v>
      </c>
      <c r="H1982" s="8">
        <v>7</v>
      </c>
      <c r="I1982" s="8">
        <v>7</v>
      </c>
      <c r="J1982" s="8">
        <v>9</v>
      </c>
      <c r="K1982" s="8">
        <v>6</v>
      </c>
      <c r="L1982" s="8">
        <v>7</v>
      </c>
      <c r="M1982" s="8">
        <v>5</v>
      </c>
      <c r="N1982" s="8">
        <v>17</v>
      </c>
      <c r="O1982" s="8">
        <v>7</v>
      </c>
      <c r="P1982" s="8">
        <v>7</v>
      </c>
      <c r="Q1982" s="8">
        <v>7.5</v>
      </c>
      <c r="R1982" s="8">
        <v>7</v>
      </c>
      <c r="S1982" s="8">
        <v>7</v>
      </c>
      <c r="T1982" s="8">
        <v>7</v>
      </c>
      <c r="U1982" s="8">
        <v>12</v>
      </c>
      <c r="V1982" s="8">
        <v>7</v>
      </c>
      <c r="W1982" s="8">
        <v>7</v>
      </c>
      <c r="X1982" s="8">
        <v>7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3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11" t="s">
        <v>256</v>
      </c>
    </row>
    <row r="1983" spans="1:46" ht="15.1" customHeight="1">
      <c r="A1983" s="8">
        <v>660</v>
      </c>
      <c r="B1983" s="9" t="s">
        <v>1563</v>
      </c>
      <c r="C1983" s="8" t="s">
        <v>1564</v>
      </c>
      <c r="D1983" s="9" t="s">
        <v>451</v>
      </c>
      <c r="E1983" s="8" t="s">
        <v>54</v>
      </c>
      <c r="F1983" s="8" t="s">
        <v>54</v>
      </c>
      <c r="G1983" s="10" t="s">
        <v>67</v>
      </c>
      <c r="H1983" s="12" t="s">
        <v>55</v>
      </c>
      <c r="I1983" s="12" t="s">
        <v>55</v>
      </c>
      <c r="J1983" s="8" t="s">
        <v>54</v>
      </c>
      <c r="K1983" s="8" t="s">
        <v>54</v>
      </c>
      <c r="L1983" s="8" t="s">
        <v>54</v>
      </c>
      <c r="M1983" s="8" t="s">
        <v>54</v>
      </c>
      <c r="N1983" s="10" t="s">
        <v>67</v>
      </c>
      <c r="O1983" s="8" t="s">
        <v>54</v>
      </c>
      <c r="P1983" s="8" t="s">
        <v>54</v>
      </c>
      <c r="Q1983" s="8" t="s">
        <v>54</v>
      </c>
      <c r="R1983" s="8" t="s">
        <v>54</v>
      </c>
      <c r="S1983" s="8" t="s">
        <v>54</v>
      </c>
      <c r="T1983" s="8" t="s">
        <v>54</v>
      </c>
      <c r="U1983" s="10" t="s">
        <v>67</v>
      </c>
      <c r="V1983" s="8" t="s">
        <v>54</v>
      </c>
      <c r="W1983" s="8" t="s">
        <v>54</v>
      </c>
      <c r="X1983" s="8" t="s">
        <v>54</v>
      </c>
      <c r="Y1983" s="8" t="s">
        <v>54</v>
      </c>
      <c r="Z1983" s="8" t="s">
        <v>54</v>
      </c>
      <c r="AA1983" s="8" t="s">
        <v>54</v>
      </c>
      <c r="AB1983" s="10" t="s">
        <v>67</v>
      </c>
      <c r="AC1983" s="8" t="s">
        <v>54</v>
      </c>
      <c r="AD1983" s="8" t="s">
        <v>54</v>
      </c>
      <c r="AE1983" s="8" t="s">
        <v>54</v>
      </c>
      <c r="AF1983" s="8" t="s">
        <v>54</v>
      </c>
      <c r="AG1983" s="8" t="s">
        <v>54</v>
      </c>
      <c r="AH1983" s="12" t="s">
        <v>55</v>
      </c>
      <c r="AI1983" s="10" t="s">
        <v>67</v>
      </c>
      <c r="AJ1983" s="8">
        <f>COUNTIF($E$1983:$AI$1983,"P")</f>
        <v>23</v>
      </c>
      <c r="AK1983" s="8">
        <f>COUNTIF($E$1983:$AI$1983,"A")</f>
        <v>3</v>
      </c>
      <c r="AL1983" s="8">
        <f>SUM($E$1984:$AI$1984)</f>
        <v>28</v>
      </c>
      <c r="AM1983" s="8">
        <f>SUM($E$1985:$AI$1985)</f>
        <v>149</v>
      </c>
      <c r="AN1983" s="8">
        <f>AL1983+AM1983</f>
        <v>177</v>
      </c>
      <c r="AO1983" s="8">
        <f>COUNTIF($E$1983:$AI$1983,"CL")</f>
        <v>0</v>
      </c>
      <c r="AP1983" s="8">
        <f>COUNTIF($E$1983:$AI$1983,"SL")</f>
        <v>0</v>
      </c>
      <c r="AQ1983" s="8">
        <f>COUNTIF($E$1983:$AI$1983,"EL")</f>
        <v>0</v>
      </c>
      <c r="AR1983" s="8">
        <f>COUNTIF($E$1983:$AI$1983,"H")</f>
        <v>0</v>
      </c>
      <c r="AS1983" s="8"/>
      <c r="AT1983" s="11" t="s">
        <v>256</v>
      </c>
    </row>
    <row r="1984" spans="1:46" ht="15.1" customHeight="1">
      <c r="A1984" s="8"/>
      <c r="B1984" s="9"/>
      <c r="C1984" s="8"/>
      <c r="D1984" s="9"/>
      <c r="E1984" s="8">
        <v>2</v>
      </c>
      <c r="F1984" s="8">
        <v>2</v>
      </c>
      <c r="G1984" s="8">
        <v>0</v>
      </c>
      <c r="H1984" s="8">
        <v>0</v>
      </c>
      <c r="I1984" s="8">
        <v>0</v>
      </c>
      <c r="J1984" s="8">
        <v>2</v>
      </c>
      <c r="K1984" s="8">
        <v>2</v>
      </c>
      <c r="L1984" s="8">
        <v>2</v>
      </c>
      <c r="M1984" s="8">
        <v>2</v>
      </c>
      <c r="N1984" s="8">
        <v>0</v>
      </c>
      <c r="O1984" s="8">
        <v>2</v>
      </c>
      <c r="P1984" s="8">
        <v>2</v>
      </c>
      <c r="Q1984" s="8">
        <v>2</v>
      </c>
      <c r="R1984" s="8">
        <v>2</v>
      </c>
      <c r="S1984" s="8">
        <v>2</v>
      </c>
      <c r="T1984" s="8">
        <v>0</v>
      </c>
      <c r="U1984" s="8">
        <v>0</v>
      </c>
      <c r="V1984" s="8">
        <v>2</v>
      </c>
      <c r="W1984" s="8">
        <v>0</v>
      </c>
      <c r="X1984" s="8">
        <v>2</v>
      </c>
      <c r="Y1984" s="8">
        <v>0</v>
      </c>
      <c r="Z1984" s="8">
        <v>0</v>
      </c>
      <c r="AA1984" s="8">
        <v>0</v>
      </c>
      <c r="AB1984" s="8">
        <v>0</v>
      </c>
      <c r="AC1984" s="8">
        <v>2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11" t="s">
        <v>256</v>
      </c>
    </row>
    <row r="1985" spans="1:46" ht="15.1" customHeight="1">
      <c r="A1985" s="8"/>
      <c r="B1985" s="9"/>
      <c r="C1985" s="8"/>
      <c r="D1985" s="9"/>
      <c r="E1985" s="8">
        <v>7</v>
      </c>
      <c r="F1985" s="8">
        <v>4.5</v>
      </c>
      <c r="G1985" s="8">
        <v>14.5</v>
      </c>
      <c r="H1985" s="8">
        <v>0</v>
      </c>
      <c r="I1985" s="8">
        <v>0</v>
      </c>
      <c r="J1985" s="8">
        <v>9</v>
      </c>
      <c r="K1985" s="8">
        <v>7</v>
      </c>
      <c r="L1985" s="8">
        <v>7</v>
      </c>
      <c r="M1985" s="8">
        <v>5</v>
      </c>
      <c r="N1985" s="8">
        <v>17</v>
      </c>
      <c r="O1985" s="8">
        <v>11</v>
      </c>
      <c r="P1985" s="8">
        <v>7</v>
      </c>
      <c r="Q1985" s="8">
        <v>7.5</v>
      </c>
      <c r="R1985" s="8">
        <v>7</v>
      </c>
      <c r="S1985" s="8">
        <v>11</v>
      </c>
      <c r="T1985" s="8">
        <v>0</v>
      </c>
      <c r="U1985" s="8">
        <v>13</v>
      </c>
      <c r="V1985" s="8">
        <v>11</v>
      </c>
      <c r="W1985" s="8">
        <v>0</v>
      </c>
      <c r="X1985" s="8">
        <v>9</v>
      </c>
      <c r="Y1985" s="8">
        <v>0</v>
      </c>
      <c r="Z1985" s="8">
        <v>0</v>
      </c>
      <c r="AA1985" s="8">
        <v>0</v>
      </c>
      <c r="AB1985" s="8">
        <v>0</v>
      </c>
      <c r="AC1985" s="8">
        <v>1.5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11" t="s">
        <v>256</v>
      </c>
    </row>
    <row r="1986" spans="1:46" ht="15.1" customHeight="1">
      <c r="A1986" s="8">
        <v>661</v>
      </c>
      <c r="B1986" s="9" t="s">
        <v>1565</v>
      </c>
      <c r="C1986" s="8" t="s">
        <v>1566</v>
      </c>
      <c r="D1986" s="9" t="s">
        <v>451</v>
      </c>
      <c r="E1986" s="8" t="s">
        <v>54</v>
      </c>
      <c r="F1986" s="8" t="s">
        <v>54</v>
      </c>
      <c r="G1986" s="10" t="s">
        <v>67</v>
      </c>
      <c r="H1986" s="8" t="s">
        <v>54</v>
      </c>
      <c r="I1986" s="8" t="s">
        <v>54</v>
      </c>
      <c r="J1986" s="8" t="s">
        <v>54</v>
      </c>
      <c r="K1986" s="8" t="s">
        <v>54</v>
      </c>
      <c r="L1986" s="8" t="s">
        <v>54</v>
      </c>
      <c r="M1986" s="8" t="s">
        <v>54</v>
      </c>
      <c r="N1986" s="10" t="s">
        <v>67</v>
      </c>
      <c r="O1986" s="8" t="s">
        <v>54</v>
      </c>
      <c r="P1986" s="8" t="s">
        <v>54</v>
      </c>
      <c r="Q1986" s="8" t="s">
        <v>54</v>
      </c>
      <c r="R1986" s="8" t="s">
        <v>54</v>
      </c>
      <c r="S1986" s="8" t="s">
        <v>54</v>
      </c>
      <c r="T1986" s="8" t="s">
        <v>54</v>
      </c>
      <c r="U1986" s="10" t="s">
        <v>67</v>
      </c>
      <c r="V1986" s="8" t="s">
        <v>54</v>
      </c>
      <c r="W1986" s="8" t="s">
        <v>54</v>
      </c>
      <c r="X1986" s="8" t="s">
        <v>54</v>
      </c>
      <c r="Y1986" s="8" t="s">
        <v>54</v>
      </c>
      <c r="Z1986" s="8" t="s">
        <v>54</v>
      </c>
      <c r="AA1986" s="8" t="s">
        <v>54</v>
      </c>
      <c r="AB1986" s="10" t="s">
        <v>67</v>
      </c>
      <c r="AC1986" s="8" t="s">
        <v>54</v>
      </c>
      <c r="AD1986" s="8" t="s">
        <v>54</v>
      </c>
      <c r="AE1986" s="8" t="s">
        <v>54</v>
      </c>
      <c r="AF1986" s="8" t="s">
        <v>54</v>
      </c>
      <c r="AG1986" s="8" t="s">
        <v>54</v>
      </c>
      <c r="AH1986" s="12" t="s">
        <v>55</v>
      </c>
      <c r="AI1986" s="10" t="s">
        <v>67</v>
      </c>
      <c r="AJ1986" s="8">
        <f>COUNTIF($E$1986:$AI$1986,"P")</f>
        <v>25</v>
      </c>
      <c r="AK1986" s="8">
        <f>COUNTIF($E$1986:$AI$1986,"A")</f>
        <v>1</v>
      </c>
      <c r="AL1986" s="8">
        <f>SUM($E$1987:$AI$1987)</f>
        <v>38</v>
      </c>
      <c r="AM1986" s="8">
        <f>SUM($E$1988:$AI$1988)</f>
        <v>170</v>
      </c>
      <c r="AN1986" s="8">
        <f>AL1986+AM1986</f>
        <v>208</v>
      </c>
      <c r="AO1986" s="8">
        <f>COUNTIF($E$1986:$AI$1986,"CL")</f>
        <v>0</v>
      </c>
      <c r="AP1986" s="8">
        <f>COUNTIF($E$1986:$AI$1986,"SL")</f>
        <v>0</v>
      </c>
      <c r="AQ1986" s="8">
        <f>COUNTIF($E$1986:$AI$1986,"EL")</f>
        <v>0</v>
      </c>
      <c r="AR1986" s="8">
        <f>COUNTIF($E$1986:$AI$1986,"H")</f>
        <v>0</v>
      </c>
      <c r="AS1986" s="8"/>
      <c r="AT1986" s="11" t="s">
        <v>256</v>
      </c>
    </row>
    <row r="1987" spans="1:46" ht="15.1" customHeight="1">
      <c r="A1987" s="8"/>
      <c r="B1987" s="9"/>
      <c r="C1987" s="8"/>
      <c r="D1987" s="9"/>
      <c r="E1987" s="8">
        <v>2</v>
      </c>
      <c r="F1987" s="8">
        <v>2</v>
      </c>
      <c r="G1987" s="8">
        <v>0</v>
      </c>
      <c r="H1987" s="8">
        <v>2</v>
      </c>
      <c r="I1987" s="8">
        <v>2</v>
      </c>
      <c r="J1987" s="8">
        <v>2</v>
      </c>
      <c r="K1987" s="8">
        <v>2</v>
      </c>
      <c r="L1987" s="8">
        <v>2</v>
      </c>
      <c r="M1987" s="8">
        <v>2</v>
      </c>
      <c r="N1987" s="8">
        <v>0</v>
      </c>
      <c r="O1987" s="8">
        <v>2</v>
      </c>
      <c r="P1987" s="8">
        <v>2</v>
      </c>
      <c r="Q1987" s="8">
        <v>2</v>
      </c>
      <c r="R1987" s="8">
        <v>2</v>
      </c>
      <c r="S1987" s="8">
        <v>2</v>
      </c>
      <c r="T1987" s="8">
        <v>2</v>
      </c>
      <c r="U1987" s="8">
        <v>0</v>
      </c>
      <c r="V1987" s="8">
        <v>2</v>
      </c>
      <c r="W1987" s="8">
        <v>2</v>
      </c>
      <c r="X1987" s="8">
        <v>2</v>
      </c>
      <c r="Y1987" s="8">
        <v>0</v>
      </c>
      <c r="Z1987" s="8">
        <v>2</v>
      </c>
      <c r="AA1987" s="8">
        <v>0</v>
      </c>
      <c r="AB1987" s="8">
        <v>0</v>
      </c>
      <c r="AC1987" s="8">
        <v>0</v>
      </c>
      <c r="AD1987" s="8">
        <v>2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11" t="s">
        <v>256</v>
      </c>
    </row>
    <row r="1988" spans="1:46" ht="15.1" customHeight="1">
      <c r="A1988" s="8"/>
      <c r="B1988" s="9"/>
      <c r="C1988" s="8"/>
      <c r="D1988" s="9"/>
      <c r="E1988" s="8">
        <v>4.5</v>
      </c>
      <c r="F1988" s="8">
        <v>3</v>
      </c>
      <c r="G1988" s="8">
        <v>15</v>
      </c>
      <c r="H1988" s="8">
        <v>7</v>
      </c>
      <c r="I1988" s="8">
        <v>7</v>
      </c>
      <c r="J1988" s="8">
        <v>11</v>
      </c>
      <c r="K1988" s="8">
        <v>5</v>
      </c>
      <c r="L1988" s="8">
        <v>7</v>
      </c>
      <c r="M1988" s="8">
        <v>5</v>
      </c>
      <c r="N1988" s="8">
        <v>21</v>
      </c>
      <c r="O1988" s="8">
        <v>5</v>
      </c>
      <c r="P1988" s="8">
        <v>7</v>
      </c>
      <c r="Q1988" s="8">
        <v>10</v>
      </c>
      <c r="R1988" s="8">
        <v>5</v>
      </c>
      <c r="S1988" s="8">
        <v>7</v>
      </c>
      <c r="T1988" s="8">
        <v>7</v>
      </c>
      <c r="U1988" s="8">
        <v>13</v>
      </c>
      <c r="V1988" s="8">
        <v>7</v>
      </c>
      <c r="W1988" s="8">
        <v>7</v>
      </c>
      <c r="X1988" s="8">
        <v>7</v>
      </c>
      <c r="Y1988" s="8">
        <v>0</v>
      </c>
      <c r="Z1988" s="8">
        <v>2.5</v>
      </c>
      <c r="AA1988" s="8">
        <v>0</v>
      </c>
      <c r="AB1988" s="8">
        <v>0</v>
      </c>
      <c r="AC1988" s="8">
        <v>0</v>
      </c>
      <c r="AD1988" s="8">
        <v>7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11" t="s">
        <v>256</v>
      </c>
    </row>
    <row r="1989" spans="1:46" ht="15.1" customHeight="1">
      <c r="A1989" s="8">
        <v>662</v>
      </c>
      <c r="B1989" s="9" t="s">
        <v>1567</v>
      </c>
      <c r="C1989" s="8" t="s">
        <v>1568</v>
      </c>
      <c r="D1989" s="9" t="s">
        <v>451</v>
      </c>
      <c r="E1989" s="8" t="s">
        <v>54</v>
      </c>
      <c r="F1989" s="8" t="s">
        <v>54</v>
      </c>
      <c r="G1989" s="10" t="s">
        <v>67</v>
      </c>
      <c r="H1989" s="8" t="s">
        <v>54</v>
      </c>
      <c r="I1989" s="8" t="s">
        <v>54</v>
      </c>
      <c r="J1989" s="8" t="s">
        <v>54</v>
      </c>
      <c r="K1989" s="8" t="s">
        <v>54</v>
      </c>
      <c r="L1989" s="8" t="s">
        <v>54</v>
      </c>
      <c r="M1989" s="8" t="s">
        <v>54</v>
      </c>
      <c r="N1989" s="10" t="s">
        <v>67</v>
      </c>
      <c r="O1989" s="8" t="s">
        <v>54</v>
      </c>
      <c r="P1989" s="8" t="s">
        <v>54</v>
      </c>
      <c r="Q1989" s="8" t="s">
        <v>54</v>
      </c>
      <c r="R1989" s="8" t="s">
        <v>54</v>
      </c>
      <c r="S1989" s="8" t="s">
        <v>54</v>
      </c>
      <c r="T1989" s="8" t="s">
        <v>54</v>
      </c>
      <c r="U1989" s="10" t="s">
        <v>67</v>
      </c>
      <c r="V1989" s="8" t="s">
        <v>54</v>
      </c>
      <c r="W1989" s="8" t="s">
        <v>54</v>
      </c>
      <c r="X1989" s="8" t="s">
        <v>54</v>
      </c>
      <c r="Y1989" s="12" t="s">
        <v>55</v>
      </c>
      <c r="Z1989" s="12" t="s">
        <v>55</v>
      </c>
      <c r="AA1989" s="12" t="s">
        <v>55</v>
      </c>
      <c r="AB1989" s="10" t="s">
        <v>67</v>
      </c>
      <c r="AC1989" s="8" t="s">
        <v>54</v>
      </c>
      <c r="AD1989" s="8" t="s">
        <v>54</v>
      </c>
      <c r="AE1989" s="8" t="s">
        <v>54</v>
      </c>
      <c r="AF1989" s="8" t="s">
        <v>54</v>
      </c>
      <c r="AG1989" s="8" t="s">
        <v>54</v>
      </c>
      <c r="AH1989" s="12" t="s">
        <v>55</v>
      </c>
      <c r="AI1989" s="10" t="s">
        <v>67</v>
      </c>
      <c r="AJ1989" s="8">
        <f>COUNTIF($E$1989:$AI$1989,"P")</f>
        <v>22</v>
      </c>
      <c r="AK1989" s="8">
        <f>COUNTIF($E$1989:$AI$1989,"A")</f>
        <v>4</v>
      </c>
      <c r="AL1989" s="8">
        <f>SUM($E$1990:$AI$1990)</f>
        <v>35</v>
      </c>
      <c r="AM1989" s="8">
        <f>SUM($E$1991:$AI$1991)</f>
        <v>167</v>
      </c>
      <c r="AN1989" s="8">
        <f>AL1989+AM1989</f>
        <v>201.5</v>
      </c>
      <c r="AO1989" s="8">
        <f>COUNTIF($E$1989:$AI$1989,"CL")</f>
        <v>0</v>
      </c>
      <c r="AP1989" s="8">
        <f>COUNTIF($E$1989:$AI$1989,"SL")</f>
        <v>0</v>
      </c>
      <c r="AQ1989" s="8">
        <f>COUNTIF($E$1989:$AI$1989,"EL")</f>
        <v>0</v>
      </c>
      <c r="AR1989" s="8">
        <f>COUNTIF($E$1989:$AI$1989,"H")</f>
        <v>0</v>
      </c>
      <c r="AS1989" s="8"/>
      <c r="AT1989" s="11" t="s">
        <v>256</v>
      </c>
    </row>
    <row r="1990" spans="1:46" ht="15.1" customHeight="1">
      <c r="A1990" s="8"/>
      <c r="B1990" s="9"/>
      <c r="C1990" s="8"/>
      <c r="D1990" s="9"/>
      <c r="E1990" s="8">
        <v>2</v>
      </c>
      <c r="F1990" s="8">
        <v>2</v>
      </c>
      <c r="G1990" s="8">
        <v>0</v>
      </c>
      <c r="H1990" s="8">
        <v>2</v>
      </c>
      <c r="I1990" s="8">
        <v>2</v>
      </c>
      <c r="J1990" s="8">
        <v>2</v>
      </c>
      <c r="K1990" s="8">
        <v>2</v>
      </c>
      <c r="L1990" s="8">
        <v>2</v>
      </c>
      <c r="M1990" s="8">
        <v>2</v>
      </c>
      <c r="N1990" s="8">
        <v>0</v>
      </c>
      <c r="O1990" s="8">
        <v>2</v>
      </c>
      <c r="P1990" s="8">
        <v>2</v>
      </c>
      <c r="Q1990" s="8">
        <v>2</v>
      </c>
      <c r="R1990" s="8">
        <v>2</v>
      </c>
      <c r="S1990" s="8">
        <v>2</v>
      </c>
      <c r="T1990" s="8">
        <v>2</v>
      </c>
      <c r="U1990" s="8">
        <v>0</v>
      </c>
      <c r="V1990" s="8">
        <v>2</v>
      </c>
      <c r="W1990" s="8">
        <v>2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1</v>
      </c>
      <c r="AD1990" s="8">
        <v>2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11" t="s">
        <v>256</v>
      </c>
    </row>
    <row r="1991" spans="1:46" ht="15.1" customHeight="1">
      <c r="A1991" s="8"/>
      <c r="B1991" s="9"/>
      <c r="C1991" s="8"/>
      <c r="D1991" s="9"/>
      <c r="E1991" s="8">
        <v>6.5</v>
      </c>
      <c r="F1991" s="8">
        <v>5</v>
      </c>
      <c r="G1991" s="8">
        <v>15</v>
      </c>
      <c r="H1991" s="8">
        <v>7.5</v>
      </c>
      <c r="I1991" s="8">
        <v>7.5</v>
      </c>
      <c r="J1991" s="8">
        <v>10.5</v>
      </c>
      <c r="K1991" s="8">
        <v>4</v>
      </c>
      <c r="L1991" s="8">
        <v>7</v>
      </c>
      <c r="M1991" s="8">
        <v>5</v>
      </c>
      <c r="N1991" s="8">
        <v>17</v>
      </c>
      <c r="O1991" s="8">
        <v>11</v>
      </c>
      <c r="P1991" s="8">
        <v>10</v>
      </c>
      <c r="Q1991" s="8">
        <v>5</v>
      </c>
      <c r="R1991" s="8">
        <v>7</v>
      </c>
      <c r="S1991" s="8">
        <v>7</v>
      </c>
      <c r="T1991" s="8">
        <v>9</v>
      </c>
      <c r="U1991" s="8">
        <v>12</v>
      </c>
      <c r="V1991" s="8">
        <v>7</v>
      </c>
      <c r="W1991" s="8">
        <v>7</v>
      </c>
      <c r="X1991" s="8">
        <v>0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7</v>
      </c>
      <c r="AE1991" s="8">
        <v>0</v>
      </c>
      <c r="AF1991" s="8">
        <v>0</v>
      </c>
      <c r="AG1991" s="8">
        <v>0</v>
      </c>
      <c r="AH1991" s="8">
        <v>0</v>
      </c>
      <c r="AI1991" s="8">
        <v>0</v>
      </c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11" t="s">
        <v>256</v>
      </c>
    </row>
    <row r="1992" spans="1:46" ht="15.1" customHeight="1">
      <c r="A1992" s="8">
        <v>663</v>
      </c>
      <c r="B1992" s="9" t="s">
        <v>1569</v>
      </c>
      <c r="C1992" s="8" t="s">
        <v>1570</v>
      </c>
      <c r="D1992" s="9" t="s">
        <v>451</v>
      </c>
      <c r="E1992" s="8" t="s">
        <v>54</v>
      </c>
      <c r="F1992" s="12" t="s">
        <v>55</v>
      </c>
      <c r="G1992" s="10" t="s">
        <v>67</v>
      </c>
      <c r="H1992" s="8" t="s">
        <v>54</v>
      </c>
      <c r="I1992" s="8" t="s">
        <v>54</v>
      </c>
      <c r="J1992" s="8" t="s">
        <v>54</v>
      </c>
      <c r="K1992" s="8" t="s">
        <v>54</v>
      </c>
      <c r="L1992" s="8" t="s">
        <v>54</v>
      </c>
      <c r="M1992" s="8" t="s">
        <v>54</v>
      </c>
      <c r="N1992" s="10" t="s">
        <v>67</v>
      </c>
      <c r="O1992" s="8" t="s">
        <v>54</v>
      </c>
      <c r="P1992" s="8" t="s">
        <v>54</v>
      </c>
      <c r="Q1992" s="8" t="s">
        <v>54</v>
      </c>
      <c r="R1992" s="8" t="s">
        <v>54</v>
      </c>
      <c r="S1992" s="8" t="s">
        <v>54</v>
      </c>
      <c r="T1992" s="8" t="s">
        <v>54</v>
      </c>
      <c r="U1992" s="10" t="s">
        <v>67</v>
      </c>
      <c r="V1992" s="8" t="s">
        <v>54</v>
      </c>
      <c r="W1992" s="8" t="s">
        <v>54</v>
      </c>
      <c r="X1992" s="8" t="s">
        <v>54</v>
      </c>
      <c r="Y1992" s="8" t="s">
        <v>54</v>
      </c>
      <c r="Z1992" s="8" t="s">
        <v>54</v>
      </c>
      <c r="AA1992" s="8" t="s">
        <v>54</v>
      </c>
      <c r="AB1992" s="10" t="s">
        <v>67</v>
      </c>
      <c r="AC1992" s="8" t="s">
        <v>54</v>
      </c>
      <c r="AD1992" s="8" t="s">
        <v>54</v>
      </c>
      <c r="AE1992" s="8" t="s">
        <v>54</v>
      </c>
      <c r="AF1992" s="8" t="s">
        <v>54</v>
      </c>
      <c r="AG1992" s="8" t="s">
        <v>54</v>
      </c>
      <c r="AH1992" s="12" t="s">
        <v>55</v>
      </c>
      <c r="AI1992" s="10" t="s">
        <v>67</v>
      </c>
      <c r="AJ1992" s="8">
        <f>COUNTIF($E$1992:$AI$1992,"P")</f>
        <v>24</v>
      </c>
      <c r="AK1992" s="8">
        <f>COUNTIF($E$1992:$AI$1992,"A")</f>
        <v>2</v>
      </c>
      <c r="AL1992" s="8">
        <f>SUM($E$1993:$AI$1993)</f>
        <v>38</v>
      </c>
      <c r="AM1992" s="8">
        <f>SUM($E$1994:$AI$1994)</f>
        <v>165</v>
      </c>
      <c r="AN1992" s="8">
        <f>AL1992+AM1992</f>
        <v>203</v>
      </c>
      <c r="AO1992" s="8">
        <f>COUNTIF($E$1992:$AI$1992,"CL")</f>
        <v>0</v>
      </c>
      <c r="AP1992" s="8">
        <f>COUNTIF($E$1992:$AI$1992,"SL")</f>
        <v>0</v>
      </c>
      <c r="AQ1992" s="8">
        <f>COUNTIF($E$1992:$AI$1992,"EL")</f>
        <v>0</v>
      </c>
      <c r="AR1992" s="8">
        <f>COUNTIF($E$1992:$AI$1992,"H")</f>
        <v>0</v>
      </c>
      <c r="AS1992" s="8"/>
      <c r="AT1992" s="11" t="s">
        <v>256</v>
      </c>
    </row>
    <row r="1993" spans="1:46" ht="15.1" customHeight="1">
      <c r="A1993" s="8"/>
      <c r="B1993" s="9"/>
      <c r="C1993" s="8"/>
      <c r="D1993" s="9"/>
      <c r="E1993" s="8">
        <v>2</v>
      </c>
      <c r="F1993" s="8">
        <v>0</v>
      </c>
      <c r="G1993" s="8">
        <v>0</v>
      </c>
      <c r="H1993" s="8">
        <v>2</v>
      </c>
      <c r="I1993" s="8">
        <v>2</v>
      </c>
      <c r="J1993" s="8">
        <v>2</v>
      </c>
      <c r="K1993" s="8">
        <v>2</v>
      </c>
      <c r="L1993" s="8">
        <v>2</v>
      </c>
      <c r="M1993" s="8">
        <v>2</v>
      </c>
      <c r="N1993" s="8">
        <v>0</v>
      </c>
      <c r="O1993" s="8">
        <v>2</v>
      </c>
      <c r="P1993" s="8">
        <v>2</v>
      </c>
      <c r="Q1993" s="8">
        <v>2</v>
      </c>
      <c r="R1993" s="8">
        <v>2</v>
      </c>
      <c r="S1993" s="8">
        <v>2</v>
      </c>
      <c r="T1993" s="8">
        <v>2</v>
      </c>
      <c r="U1993" s="8">
        <v>0</v>
      </c>
      <c r="V1993" s="8">
        <v>2</v>
      </c>
      <c r="W1993" s="8">
        <v>2</v>
      </c>
      <c r="X1993" s="8">
        <v>2</v>
      </c>
      <c r="Y1993" s="8">
        <v>0</v>
      </c>
      <c r="Z1993" s="8">
        <v>2</v>
      </c>
      <c r="AA1993" s="8">
        <v>0</v>
      </c>
      <c r="AB1993" s="8">
        <v>0</v>
      </c>
      <c r="AC1993" s="8">
        <v>2</v>
      </c>
      <c r="AD1993" s="8">
        <v>2</v>
      </c>
      <c r="AE1993" s="8">
        <v>0</v>
      </c>
      <c r="AF1993" s="8">
        <v>0</v>
      </c>
      <c r="AG1993" s="8">
        <v>0</v>
      </c>
      <c r="AH1993" s="8">
        <v>0</v>
      </c>
      <c r="AI1993" s="8">
        <v>0</v>
      </c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11" t="s">
        <v>256</v>
      </c>
    </row>
    <row r="1994" spans="1:46" ht="15.1" customHeight="1">
      <c r="A1994" s="8"/>
      <c r="B1994" s="9"/>
      <c r="C1994" s="8"/>
      <c r="D1994" s="9"/>
      <c r="E1994" s="8">
        <v>5</v>
      </c>
      <c r="F1994" s="8">
        <v>0</v>
      </c>
      <c r="G1994" s="8">
        <v>15</v>
      </c>
      <c r="H1994" s="8">
        <v>10</v>
      </c>
      <c r="I1994" s="8">
        <v>5</v>
      </c>
      <c r="J1994" s="8">
        <v>9</v>
      </c>
      <c r="K1994" s="8">
        <v>5</v>
      </c>
      <c r="L1994" s="8">
        <v>7</v>
      </c>
      <c r="M1994" s="8">
        <v>5</v>
      </c>
      <c r="N1994" s="8">
        <v>17</v>
      </c>
      <c r="O1994" s="8">
        <v>7</v>
      </c>
      <c r="P1994" s="8">
        <v>7</v>
      </c>
      <c r="Q1994" s="8">
        <v>10</v>
      </c>
      <c r="R1994" s="8">
        <v>5</v>
      </c>
      <c r="S1994" s="8">
        <v>7</v>
      </c>
      <c r="T1994" s="8">
        <v>6</v>
      </c>
      <c r="U1994" s="8">
        <v>13.5</v>
      </c>
      <c r="V1994" s="8">
        <v>8</v>
      </c>
      <c r="W1994" s="8">
        <v>7</v>
      </c>
      <c r="X1994" s="8">
        <v>7</v>
      </c>
      <c r="Y1994" s="8">
        <v>0</v>
      </c>
      <c r="Z1994" s="8">
        <v>2.5</v>
      </c>
      <c r="AA1994" s="8">
        <v>0</v>
      </c>
      <c r="AB1994" s="8">
        <v>0</v>
      </c>
      <c r="AC1994" s="8">
        <v>0</v>
      </c>
      <c r="AD1994" s="8">
        <v>7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11" t="s">
        <v>256</v>
      </c>
    </row>
    <row r="1995" spans="1:46" ht="15.1" customHeight="1">
      <c r="A1995" s="8">
        <v>664</v>
      </c>
      <c r="B1995" s="9" t="s">
        <v>1571</v>
      </c>
      <c r="C1995" s="8" t="s">
        <v>1572</v>
      </c>
      <c r="D1995" s="9" t="s">
        <v>1573</v>
      </c>
      <c r="E1995" s="8" t="s">
        <v>54</v>
      </c>
      <c r="F1995" s="8" t="s">
        <v>54</v>
      </c>
      <c r="G1995" s="10" t="s">
        <v>67</v>
      </c>
      <c r="H1995" s="8" t="s">
        <v>54</v>
      </c>
      <c r="I1995" s="12" t="s">
        <v>55</v>
      </c>
      <c r="J1995" s="12" t="s">
        <v>55</v>
      </c>
      <c r="K1995" s="12" t="s">
        <v>55</v>
      </c>
      <c r="L1995" s="8" t="s">
        <v>54</v>
      </c>
      <c r="M1995" s="8" t="s">
        <v>54</v>
      </c>
      <c r="N1995" s="10" t="s">
        <v>67</v>
      </c>
      <c r="O1995" s="8" t="s">
        <v>54</v>
      </c>
      <c r="P1995" s="8" t="s">
        <v>54</v>
      </c>
      <c r="Q1995" s="8" t="s">
        <v>54</v>
      </c>
      <c r="R1995" s="8" t="s">
        <v>54</v>
      </c>
      <c r="S1995" s="8" t="s">
        <v>54</v>
      </c>
      <c r="T1995" s="8" t="s">
        <v>54</v>
      </c>
      <c r="U1995" s="10" t="s">
        <v>67</v>
      </c>
      <c r="V1995" s="8" t="s">
        <v>54</v>
      </c>
      <c r="W1995" s="8" t="s">
        <v>54</v>
      </c>
      <c r="X1995" s="8" t="s">
        <v>54</v>
      </c>
      <c r="Y1995" s="8" t="s">
        <v>54</v>
      </c>
      <c r="Z1995" s="8" t="s">
        <v>54</v>
      </c>
      <c r="AA1995" s="8" t="s">
        <v>54</v>
      </c>
      <c r="AB1995" s="10" t="s">
        <v>67</v>
      </c>
      <c r="AC1995" s="8" t="s">
        <v>54</v>
      </c>
      <c r="AD1995" s="8" t="s">
        <v>54</v>
      </c>
      <c r="AE1995" s="8" t="s">
        <v>54</v>
      </c>
      <c r="AF1995" s="8" t="s">
        <v>54</v>
      </c>
      <c r="AG1995" s="8" t="s">
        <v>54</v>
      </c>
      <c r="AH1995" s="12" t="s">
        <v>55</v>
      </c>
      <c r="AI1995" s="10" t="s">
        <v>67</v>
      </c>
      <c r="AJ1995" s="8">
        <f>COUNTIF($E$1995:$AI$1995,"P")</f>
        <v>22</v>
      </c>
      <c r="AK1995" s="8">
        <f>COUNTIF($E$1995:$AI$1995,"A")</f>
        <v>4</v>
      </c>
      <c r="AL1995" s="8">
        <f>SUM($E$1996:$AI$1996)</f>
        <v>30</v>
      </c>
      <c r="AM1995" s="8">
        <f>SUM($E$1997:$AI$1997)</f>
        <v>136.5</v>
      </c>
      <c r="AN1995" s="8">
        <f>AL1995+AM1995</f>
        <v>166.5</v>
      </c>
      <c r="AO1995" s="8">
        <f>COUNTIF($E$1995:$AI$1995,"CL")</f>
        <v>0</v>
      </c>
      <c r="AP1995" s="8">
        <f>COUNTIF($E$1995:$AI$1995,"SL")</f>
        <v>0</v>
      </c>
      <c r="AQ1995" s="8">
        <f>COUNTIF($E$1995:$AI$1995,"EL")</f>
        <v>0</v>
      </c>
      <c r="AR1995" s="8">
        <f>COUNTIF($E$1995:$AI$1995,"H")</f>
        <v>0</v>
      </c>
      <c r="AS1995" s="8"/>
      <c r="AT1995" s="11" t="s">
        <v>256</v>
      </c>
    </row>
    <row r="1996" spans="1:46" ht="15.1" customHeight="1">
      <c r="A1996" s="8"/>
      <c r="B1996" s="9"/>
      <c r="C1996" s="8"/>
      <c r="D1996" s="9"/>
      <c r="E1996" s="8">
        <v>2</v>
      </c>
      <c r="F1996" s="8">
        <v>2</v>
      </c>
      <c r="G1996" s="8">
        <v>0</v>
      </c>
      <c r="H1996" s="8">
        <v>2</v>
      </c>
      <c r="I1996" s="8">
        <v>0</v>
      </c>
      <c r="J1996" s="8">
        <v>0</v>
      </c>
      <c r="K1996" s="8">
        <v>0</v>
      </c>
      <c r="L1996" s="8">
        <v>2</v>
      </c>
      <c r="M1996" s="8">
        <v>2</v>
      </c>
      <c r="N1996" s="8">
        <v>0</v>
      </c>
      <c r="O1996" s="8">
        <v>2</v>
      </c>
      <c r="P1996" s="8">
        <v>2</v>
      </c>
      <c r="Q1996" s="8">
        <v>2</v>
      </c>
      <c r="R1996" s="8">
        <v>2</v>
      </c>
      <c r="S1996" s="8">
        <v>2</v>
      </c>
      <c r="T1996" s="8">
        <v>2</v>
      </c>
      <c r="U1996" s="8">
        <v>0</v>
      </c>
      <c r="V1996" s="8">
        <v>2</v>
      </c>
      <c r="W1996" s="8">
        <v>2</v>
      </c>
      <c r="X1996" s="8">
        <v>2</v>
      </c>
      <c r="Y1996" s="8">
        <v>0</v>
      </c>
      <c r="Z1996" s="8">
        <v>0</v>
      </c>
      <c r="AA1996" s="8">
        <v>0</v>
      </c>
      <c r="AB1996" s="8">
        <v>0</v>
      </c>
      <c r="AC1996" s="8">
        <v>2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11" t="s">
        <v>256</v>
      </c>
    </row>
    <row r="1997" spans="1:46" ht="15.1" customHeight="1">
      <c r="A1997" s="8"/>
      <c r="B1997" s="9"/>
      <c r="C1997" s="8"/>
      <c r="D1997" s="9"/>
      <c r="E1997" s="8">
        <v>4</v>
      </c>
      <c r="F1997" s="8">
        <v>3</v>
      </c>
      <c r="G1997" s="8">
        <v>15</v>
      </c>
      <c r="H1997" s="8">
        <v>7</v>
      </c>
      <c r="I1997" s="8">
        <v>0</v>
      </c>
      <c r="J1997" s="8">
        <v>0</v>
      </c>
      <c r="K1997" s="8">
        <v>0</v>
      </c>
      <c r="L1997" s="8">
        <v>7</v>
      </c>
      <c r="M1997" s="8">
        <v>5</v>
      </c>
      <c r="N1997" s="8">
        <v>17</v>
      </c>
      <c r="O1997" s="8">
        <v>7</v>
      </c>
      <c r="P1997" s="8">
        <v>7</v>
      </c>
      <c r="Q1997" s="8">
        <v>10</v>
      </c>
      <c r="R1997" s="8">
        <v>4</v>
      </c>
      <c r="S1997" s="8">
        <v>7</v>
      </c>
      <c r="T1997" s="8">
        <v>6.5</v>
      </c>
      <c r="U1997" s="8">
        <v>13</v>
      </c>
      <c r="V1997" s="8">
        <v>8</v>
      </c>
      <c r="W1997" s="8">
        <v>7</v>
      </c>
      <c r="X1997" s="8">
        <v>7</v>
      </c>
      <c r="Y1997" s="8">
        <v>0</v>
      </c>
      <c r="Z1997" s="8">
        <v>0</v>
      </c>
      <c r="AA1997" s="8">
        <v>0</v>
      </c>
      <c r="AB1997" s="8">
        <v>0</v>
      </c>
      <c r="AC1997" s="8">
        <v>2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11" t="s">
        <v>256</v>
      </c>
    </row>
    <row r="1998" spans="1:46" ht="15.1" customHeight="1">
      <c r="A1998" s="8">
        <v>665</v>
      </c>
      <c r="B1998" s="9" t="s">
        <v>1574</v>
      </c>
      <c r="C1998" s="8" t="s">
        <v>1575</v>
      </c>
      <c r="D1998" s="9" t="s">
        <v>451</v>
      </c>
      <c r="E1998" s="8" t="s">
        <v>54</v>
      </c>
      <c r="F1998" s="12" t="s">
        <v>55</v>
      </c>
      <c r="G1998" s="10" t="s">
        <v>67</v>
      </c>
      <c r="H1998" s="8" t="s">
        <v>54</v>
      </c>
      <c r="I1998" s="8" t="s">
        <v>54</v>
      </c>
      <c r="J1998" s="12" t="s">
        <v>55</v>
      </c>
      <c r="K1998" s="8" t="s">
        <v>54</v>
      </c>
      <c r="L1998" s="8" t="s">
        <v>54</v>
      </c>
      <c r="M1998" s="8" t="s">
        <v>54</v>
      </c>
      <c r="N1998" s="10" t="s">
        <v>67</v>
      </c>
      <c r="O1998" s="8" t="s">
        <v>54</v>
      </c>
      <c r="P1998" s="8" t="s">
        <v>54</v>
      </c>
      <c r="Q1998" s="8" t="s">
        <v>54</v>
      </c>
      <c r="R1998" s="8" t="s">
        <v>54</v>
      </c>
      <c r="S1998" s="8" t="s">
        <v>54</v>
      </c>
      <c r="T1998" s="8" t="s">
        <v>54</v>
      </c>
      <c r="U1998" s="10" t="s">
        <v>67</v>
      </c>
      <c r="V1998" s="8" t="s">
        <v>54</v>
      </c>
      <c r="W1998" s="8" t="s">
        <v>54</v>
      </c>
      <c r="X1998" s="8" t="s">
        <v>54</v>
      </c>
      <c r="Y1998" s="8" t="s">
        <v>54</v>
      </c>
      <c r="Z1998" s="8" t="s">
        <v>54</v>
      </c>
      <c r="AA1998" s="8" t="s">
        <v>54</v>
      </c>
      <c r="AB1998" s="10" t="s">
        <v>67</v>
      </c>
      <c r="AC1998" s="8" t="s">
        <v>54</v>
      </c>
      <c r="AD1998" s="8" t="s">
        <v>54</v>
      </c>
      <c r="AE1998" s="8" t="s">
        <v>54</v>
      </c>
      <c r="AF1998" s="8" t="s">
        <v>54</v>
      </c>
      <c r="AG1998" s="8" t="s">
        <v>54</v>
      </c>
      <c r="AH1998" s="12" t="s">
        <v>55</v>
      </c>
      <c r="AI1998" s="10" t="s">
        <v>67</v>
      </c>
      <c r="AJ1998" s="8">
        <f>COUNTIF($E$1998:$AI$1998,"P")</f>
        <v>23</v>
      </c>
      <c r="AK1998" s="8">
        <f>COUNTIF($E$1998:$AI$1998,"A")</f>
        <v>3</v>
      </c>
      <c r="AL1998" s="8">
        <f>SUM($E$1999:$AI$1999)</f>
        <v>33</v>
      </c>
      <c r="AM1998" s="8">
        <f>SUM($E$2000:$AI$2000)</f>
        <v>161.5</v>
      </c>
      <c r="AN1998" s="8">
        <f>AL1998+AM1998</f>
        <v>194.5</v>
      </c>
      <c r="AO1998" s="8">
        <f>COUNTIF($E$1998:$AI$1998,"CL")</f>
        <v>0</v>
      </c>
      <c r="AP1998" s="8">
        <f>COUNTIF($E$1998:$AI$1998,"SL")</f>
        <v>0</v>
      </c>
      <c r="AQ1998" s="8">
        <f>COUNTIF($E$1998:$AI$1998,"EL")</f>
        <v>0</v>
      </c>
      <c r="AR1998" s="8">
        <f>COUNTIF($E$1998:$AI$1998,"H")</f>
        <v>0</v>
      </c>
      <c r="AS1998" s="8"/>
      <c r="AT1998" s="11" t="s">
        <v>256</v>
      </c>
    </row>
    <row r="1999" spans="1:46" ht="15.1" customHeight="1">
      <c r="A1999" s="8"/>
      <c r="B1999" s="9"/>
      <c r="C1999" s="8"/>
      <c r="D1999" s="9"/>
      <c r="E1999" s="8">
        <v>2</v>
      </c>
      <c r="F1999" s="8">
        <v>0</v>
      </c>
      <c r="G1999" s="8">
        <v>0</v>
      </c>
      <c r="H1999" s="8">
        <v>2</v>
      </c>
      <c r="I1999" s="8">
        <v>2</v>
      </c>
      <c r="J1999" s="8">
        <v>0</v>
      </c>
      <c r="K1999" s="8">
        <v>2</v>
      </c>
      <c r="L1999" s="8">
        <v>2</v>
      </c>
      <c r="M1999" s="8">
        <v>2</v>
      </c>
      <c r="N1999" s="8">
        <v>0</v>
      </c>
      <c r="O1999" s="8">
        <v>2</v>
      </c>
      <c r="P1999" s="8">
        <v>2</v>
      </c>
      <c r="Q1999" s="8">
        <v>2</v>
      </c>
      <c r="R1999" s="8">
        <v>2</v>
      </c>
      <c r="S1999" s="8">
        <v>2</v>
      </c>
      <c r="T1999" s="8">
        <v>2</v>
      </c>
      <c r="U1999" s="8">
        <v>0</v>
      </c>
      <c r="V1999" s="8">
        <v>2</v>
      </c>
      <c r="W1999" s="8">
        <v>2</v>
      </c>
      <c r="X1999" s="8">
        <v>2</v>
      </c>
      <c r="Y1999" s="8">
        <v>1</v>
      </c>
      <c r="Z1999" s="8">
        <v>0</v>
      </c>
      <c r="AA1999" s="8">
        <v>0</v>
      </c>
      <c r="AB1999" s="8">
        <v>0</v>
      </c>
      <c r="AC1999" s="8">
        <v>2</v>
      </c>
      <c r="AD1999" s="8">
        <v>0</v>
      </c>
      <c r="AE1999" s="8">
        <v>0</v>
      </c>
      <c r="AF1999" s="8">
        <v>0</v>
      </c>
      <c r="AG1999" s="8">
        <v>0</v>
      </c>
      <c r="AH1999" s="8">
        <v>0</v>
      </c>
      <c r="AI1999" s="8">
        <v>0</v>
      </c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11" t="s">
        <v>256</v>
      </c>
    </row>
    <row r="2000" spans="1:46" ht="15.1" customHeight="1">
      <c r="A2000" s="8"/>
      <c r="B2000" s="9"/>
      <c r="C2000" s="8"/>
      <c r="D2000" s="9"/>
      <c r="E2000" s="8">
        <v>5</v>
      </c>
      <c r="F2000" s="8">
        <v>0</v>
      </c>
      <c r="G2000" s="8">
        <v>14.5</v>
      </c>
      <c r="H2000" s="8">
        <v>7</v>
      </c>
      <c r="I2000" s="8">
        <v>11</v>
      </c>
      <c r="J2000" s="8">
        <v>0</v>
      </c>
      <c r="K2000" s="8">
        <v>7</v>
      </c>
      <c r="L2000" s="8">
        <v>7</v>
      </c>
      <c r="M2000" s="8">
        <v>10</v>
      </c>
      <c r="N2000" s="8">
        <v>15</v>
      </c>
      <c r="O2000" s="8">
        <v>11</v>
      </c>
      <c r="P2000" s="8">
        <v>1</v>
      </c>
      <c r="Q2000" s="8">
        <v>7.5</v>
      </c>
      <c r="R2000" s="8">
        <v>11</v>
      </c>
      <c r="S2000" s="8">
        <v>7</v>
      </c>
      <c r="T2000" s="8">
        <v>6</v>
      </c>
      <c r="U2000" s="8">
        <v>12</v>
      </c>
      <c r="V2000" s="8">
        <v>8</v>
      </c>
      <c r="W2000" s="8">
        <v>11</v>
      </c>
      <c r="X2000" s="8">
        <v>9</v>
      </c>
      <c r="Y2000" s="8">
        <v>0</v>
      </c>
      <c r="Z2000" s="8">
        <v>0</v>
      </c>
      <c r="AA2000" s="8">
        <v>0</v>
      </c>
      <c r="AB2000" s="8">
        <v>0</v>
      </c>
      <c r="AC2000" s="8">
        <v>1.5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11" t="s">
        <v>256</v>
      </c>
    </row>
    <row r="2001" spans="1:46" ht="15.1" customHeight="1">
      <c r="A2001" s="8">
        <v>666</v>
      </c>
      <c r="B2001" s="9" t="s">
        <v>1576</v>
      </c>
      <c r="C2001" s="8" t="s">
        <v>1577</v>
      </c>
      <c r="D2001" s="9" t="s">
        <v>1573</v>
      </c>
      <c r="E2001" s="8" t="s">
        <v>54</v>
      </c>
      <c r="F2001" s="8" t="s">
        <v>54</v>
      </c>
      <c r="G2001" s="10" t="s">
        <v>67</v>
      </c>
      <c r="H2001" s="8" t="s">
        <v>54</v>
      </c>
      <c r="I2001" s="8" t="s">
        <v>54</v>
      </c>
      <c r="J2001" s="8" t="s">
        <v>54</v>
      </c>
      <c r="K2001" s="8" t="s">
        <v>54</v>
      </c>
      <c r="L2001" s="8" t="s">
        <v>54</v>
      </c>
      <c r="M2001" s="8" t="s">
        <v>54</v>
      </c>
      <c r="N2001" s="10" t="s">
        <v>67</v>
      </c>
      <c r="O2001" s="8" t="s">
        <v>54</v>
      </c>
      <c r="P2001" s="8" t="s">
        <v>54</v>
      </c>
      <c r="Q2001" s="8" t="s">
        <v>54</v>
      </c>
      <c r="R2001" s="8" t="s">
        <v>54</v>
      </c>
      <c r="S2001" s="8" t="s">
        <v>54</v>
      </c>
      <c r="T2001" s="8" t="s">
        <v>54</v>
      </c>
      <c r="U2001" s="10" t="s">
        <v>67</v>
      </c>
      <c r="V2001" s="8" t="s">
        <v>54</v>
      </c>
      <c r="W2001" s="8" t="s">
        <v>54</v>
      </c>
      <c r="X2001" s="8" t="s">
        <v>54</v>
      </c>
      <c r="Y2001" s="8" t="s">
        <v>54</v>
      </c>
      <c r="Z2001" s="8" t="s">
        <v>54</v>
      </c>
      <c r="AA2001" s="8" t="s">
        <v>54</v>
      </c>
      <c r="AB2001" s="10" t="s">
        <v>67</v>
      </c>
      <c r="AC2001" s="8" t="s">
        <v>54</v>
      </c>
      <c r="AD2001" s="8" t="s">
        <v>54</v>
      </c>
      <c r="AE2001" s="8" t="s">
        <v>54</v>
      </c>
      <c r="AF2001" s="8" t="s">
        <v>54</v>
      </c>
      <c r="AG2001" s="8" t="s">
        <v>54</v>
      </c>
      <c r="AH2001" s="12" t="s">
        <v>55</v>
      </c>
      <c r="AI2001" s="10" t="s">
        <v>67</v>
      </c>
      <c r="AJ2001" s="8">
        <f>COUNTIF($E$2001:$AI$2001,"P")</f>
        <v>25</v>
      </c>
      <c r="AK2001" s="8">
        <f>COUNTIF($E$2001:$AI$2001,"A")</f>
        <v>1</v>
      </c>
      <c r="AL2001" s="8">
        <f>SUM($E$2002:$AI$2002)</f>
        <v>37</v>
      </c>
      <c r="AM2001" s="8">
        <f>SUM($E$2003:$AI$2003)</f>
        <v>159</v>
      </c>
      <c r="AN2001" s="8">
        <f>AL2001+AM2001</f>
        <v>196</v>
      </c>
      <c r="AO2001" s="8">
        <f>COUNTIF($E$2001:$AI$2001,"CL")</f>
        <v>0</v>
      </c>
      <c r="AP2001" s="8">
        <f>COUNTIF($E$2001:$AI$2001,"SL")</f>
        <v>0</v>
      </c>
      <c r="AQ2001" s="8">
        <f>COUNTIF($E$2001:$AI$2001,"EL")</f>
        <v>0</v>
      </c>
      <c r="AR2001" s="8">
        <f>COUNTIF($E$2001:$AI$2001,"H")</f>
        <v>0</v>
      </c>
      <c r="AS2001" s="8"/>
      <c r="AT2001" s="11" t="s">
        <v>256</v>
      </c>
    </row>
    <row r="2002" spans="1:46" ht="15.1" customHeight="1">
      <c r="A2002" s="8"/>
      <c r="B2002" s="9"/>
      <c r="C2002" s="8"/>
      <c r="D2002" s="9"/>
      <c r="E2002" s="8">
        <v>2</v>
      </c>
      <c r="F2002" s="8">
        <v>2</v>
      </c>
      <c r="G2002" s="8">
        <v>0</v>
      </c>
      <c r="H2002" s="8">
        <v>2</v>
      </c>
      <c r="I2002" s="8">
        <v>2</v>
      </c>
      <c r="J2002" s="8">
        <v>2</v>
      </c>
      <c r="K2002" s="8">
        <v>2</v>
      </c>
      <c r="L2002" s="8">
        <v>2</v>
      </c>
      <c r="M2002" s="8">
        <v>2</v>
      </c>
      <c r="N2002" s="8">
        <v>0</v>
      </c>
      <c r="O2002" s="8">
        <v>2</v>
      </c>
      <c r="P2002" s="8">
        <v>2</v>
      </c>
      <c r="Q2002" s="8">
        <v>2</v>
      </c>
      <c r="R2002" s="8">
        <v>2</v>
      </c>
      <c r="S2002" s="8">
        <v>2</v>
      </c>
      <c r="T2002" s="8">
        <v>2</v>
      </c>
      <c r="U2002" s="8">
        <v>0</v>
      </c>
      <c r="V2002" s="8">
        <v>2</v>
      </c>
      <c r="W2002" s="8">
        <v>2</v>
      </c>
      <c r="X2002" s="8">
        <v>2</v>
      </c>
      <c r="Y2002" s="8">
        <v>0</v>
      </c>
      <c r="Z2002" s="8">
        <v>0</v>
      </c>
      <c r="AA2002" s="8">
        <v>1</v>
      </c>
      <c r="AB2002" s="8">
        <v>0</v>
      </c>
      <c r="AC2002" s="8">
        <v>2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11" t="s">
        <v>256</v>
      </c>
    </row>
    <row r="2003" spans="1:46" ht="15.1" customHeight="1">
      <c r="A2003" s="8"/>
      <c r="B2003" s="9"/>
      <c r="C2003" s="8"/>
      <c r="D2003" s="9"/>
      <c r="E2003" s="8">
        <v>4</v>
      </c>
      <c r="F2003" s="8">
        <v>3</v>
      </c>
      <c r="G2003" s="8">
        <v>14.5</v>
      </c>
      <c r="H2003" s="8">
        <v>7</v>
      </c>
      <c r="I2003" s="8">
        <v>7</v>
      </c>
      <c r="J2003" s="8">
        <v>11</v>
      </c>
      <c r="K2003" s="8">
        <v>5</v>
      </c>
      <c r="L2003" s="8">
        <v>7</v>
      </c>
      <c r="M2003" s="8">
        <v>5</v>
      </c>
      <c r="N2003" s="8">
        <v>17</v>
      </c>
      <c r="O2003" s="8">
        <v>7</v>
      </c>
      <c r="P2003" s="8">
        <v>7</v>
      </c>
      <c r="Q2003" s="8">
        <v>10</v>
      </c>
      <c r="R2003" s="8">
        <v>5</v>
      </c>
      <c r="S2003" s="8">
        <v>7</v>
      </c>
      <c r="T2003" s="8">
        <v>7</v>
      </c>
      <c r="U2003" s="8">
        <v>13</v>
      </c>
      <c r="V2003" s="8">
        <v>7</v>
      </c>
      <c r="W2003" s="8">
        <v>7</v>
      </c>
      <c r="X2003" s="8">
        <v>7</v>
      </c>
      <c r="Y2003" s="8">
        <v>0</v>
      </c>
      <c r="Z2003" s="8">
        <v>0</v>
      </c>
      <c r="AA2003" s="8">
        <v>0</v>
      </c>
      <c r="AB2003" s="8">
        <v>0</v>
      </c>
      <c r="AC2003" s="8">
        <v>1.5</v>
      </c>
      <c r="AD2003" s="8">
        <v>0</v>
      </c>
      <c r="AE2003" s="8">
        <v>0</v>
      </c>
      <c r="AF2003" s="8">
        <v>0</v>
      </c>
      <c r="AG2003" s="8">
        <v>0</v>
      </c>
      <c r="AH2003" s="8">
        <v>0</v>
      </c>
      <c r="AI2003" s="8">
        <v>0</v>
      </c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11" t="s">
        <v>256</v>
      </c>
    </row>
    <row r="2004" spans="1:46" ht="15.1" customHeight="1">
      <c r="A2004" s="8">
        <v>667</v>
      </c>
      <c r="B2004" s="9" t="s">
        <v>1578</v>
      </c>
      <c r="C2004" s="8" t="s">
        <v>1579</v>
      </c>
      <c r="D2004" s="9" t="s">
        <v>451</v>
      </c>
      <c r="E2004" s="8" t="s">
        <v>54</v>
      </c>
      <c r="F2004" s="8" t="s">
        <v>54</v>
      </c>
      <c r="G2004" s="10" t="s">
        <v>67</v>
      </c>
      <c r="H2004" s="8" t="s">
        <v>54</v>
      </c>
      <c r="I2004" s="8" t="s">
        <v>54</v>
      </c>
      <c r="J2004" s="8" t="s">
        <v>54</v>
      </c>
      <c r="K2004" s="8" t="s">
        <v>54</v>
      </c>
      <c r="L2004" s="8" t="s">
        <v>54</v>
      </c>
      <c r="M2004" s="8" t="s">
        <v>54</v>
      </c>
      <c r="N2004" s="10" t="s">
        <v>67</v>
      </c>
      <c r="O2004" s="8" t="s">
        <v>54</v>
      </c>
      <c r="P2004" s="12" t="s">
        <v>55</v>
      </c>
      <c r="Q2004" s="12" t="s">
        <v>55</v>
      </c>
      <c r="R2004" s="12" t="s">
        <v>55</v>
      </c>
      <c r="S2004" s="8" t="s">
        <v>54</v>
      </c>
      <c r="T2004" s="8" t="s">
        <v>54</v>
      </c>
      <c r="U2004" s="10" t="s">
        <v>67</v>
      </c>
      <c r="V2004" s="8" t="s">
        <v>54</v>
      </c>
      <c r="W2004" s="8" t="s">
        <v>54</v>
      </c>
      <c r="X2004" s="8" t="s">
        <v>54</v>
      </c>
      <c r="Y2004" s="8" t="s">
        <v>54</v>
      </c>
      <c r="Z2004" s="8" t="s">
        <v>54</v>
      </c>
      <c r="AA2004" s="8" t="s">
        <v>54</v>
      </c>
      <c r="AB2004" s="10" t="s">
        <v>67</v>
      </c>
      <c r="AC2004" s="8" t="s">
        <v>54</v>
      </c>
      <c r="AD2004" s="8" t="s">
        <v>54</v>
      </c>
      <c r="AE2004" s="8" t="s">
        <v>54</v>
      </c>
      <c r="AF2004" s="8" t="s">
        <v>54</v>
      </c>
      <c r="AG2004" s="8" t="s">
        <v>54</v>
      </c>
      <c r="AH2004" s="12" t="s">
        <v>55</v>
      </c>
      <c r="AI2004" s="10" t="s">
        <v>67</v>
      </c>
      <c r="AJ2004" s="8">
        <f>COUNTIF($E$2004:$AI$2004,"P")</f>
        <v>22</v>
      </c>
      <c r="AK2004" s="8">
        <f>COUNTIF($E$2004:$AI$2004,"A")</f>
        <v>4</v>
      </c>
      <c r="AL2004" s="8">
        <f>SUM($E$2005:$AI$2005)</f>
        <v>32</v>
      </c>
      <c r="AM2004" s="8">
        <f>SUM($E$2006:$AI$2006)</f>
        <v>142.5</v>
      </c>
      <c r="AN2004" s="8">
        <f>AL2004+AM2004</f>
        <v>174.5</v>
      </c>
      <c r="AO2004" s="8">
        <f>COUNTIF($E$2004:$AI$2004,"CL")</f>
        <v>0</v>
      </c>
      <c r="AP2004" s="8">
        <f>COUNTIF($E$2004:$AI$2004,"SL")</f>
        <v>0</v>
      </c>
      <c r="AQ2004" s="8">
        <f>COUNTIF($E$2004:$AI$2004,"EL")</f>
        <v>0</v>
      </c>
      <c r="AR2004" s="8">
        <f>COUNTIF($E$2004:$AI$2004,"H")</f>
        <v>0</v>
      </c>
      <c r="AS2004" s="8"/>
      <c r="AT2004" s="11" t="s">
        <v>256</v>
      </c>
    </row>
    <row r="2005" spans="1:46" ht="15.1" customHeight="1">
      <c r="A2005" s="8"/>
      <c r="B2005" s="9"/>
      <c r="C2005" s="8"/>
      <c r="D2005" s="9"/>
      <c r="E2005" s="8">
        <v>2</v>
      </c>
      <c r="F2005" s="8">
        <v>2</v>
      </c>
      <c r="G2005" s="8">
        <v>0</v>
      </c>
      <c r="H2005" s="8">
        <v>2</v>
      </c>
      <c r="I2005" s="8">
        <v>2</v>
      </c>
      <c r="J2005" s="8">
        <v>2</v>
      </c>
      <c r="K2005" s="8">
        <v>2</v>
      </c>
      <c r="L2005" s="8">
        <v>2</v>
      </c>
      <c r="M2005" s="8">
        <v>2</v>
      </c>
      <c r="N2005" s="8">
        <v>0</v>
      </c>
      <c r="O2005" s="8">
        <v>2</v>
      </c>
      <c r="P2005" s="8">
        <v>0</v>
      </c>
      <c r="Q2005" s="8">
        <v>0</v>
      </c>
      <c r="R2005" s="8">
        <v>0</v>
      </c>
      <c r="S2005" s="8">
        <v>2</v>
      </c>
      <c r="T2005" s="8">
        <v>2</v>
      </c>
      <c r="U2005" s="8">
        <v>0</v>
      </c>
      <c r="V2005" s="8">
        <v>2</v>
      </c>
      <c r="W2005" s="8">
        <v>2</v>
      </c>
      <c r="X2005" s="8">
        <v>2</v>
      </c>
      <c r="Y2005" s="8">
        <v>0</v>
      </c>
      <c r="Z2005" s="8">
        <v>0</v>
      </c>
      <c r="AA2005" s="8">
        <v>0</v>
      </c>
      <c r="AB2005" s="8">
        <v>0</v>
      </c>
      <c r="AC2005" s="8">
        <v>2</v>
      </c>
      <c r="AD2005" s="8">
        <v>2</v>
      </c>
      <c r="AE2005" s="8">
        <v>0</v>
      </c>
      <c r="AF2005" s="8">
        <v>0</v>
      </c>
      <c r="AG2005" s="8">
        <v>0</v>
      </c>
      <c r="AH2005" s="8">
        <v>0</v>
      </c>
      <c r="AI2005" s="8">
        <v>0</v>
      </c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11" t="s">
        <v>256</v>
      </c>
    </row>
    <row r="2006" spans="1:46" ht="15.1" customHeight="1">
      <c r="A2006" s="8"/>
      <c r="B2006" s="9"/>
      <c r="C2006" s="8"/>
      <c r="D2006" s="9"/>
      <c r="E2006" s="8">
        <v>1</v>
      </c>
      <c r="F2006" s="8">
        <v>3</v>
      </c>
      <c r="G2006" s="8">
        <v>15</v>
      </c>
      <c r="H2006" s="8">
        <v>7</v>
      </c>
      <c r="I2006" s="8">
        <v>7</v>
      </c>
      <c r="J2006" s="8">
        <v>11</v>
      </c>
      <c r="K2006" s="8">
        <v>1</v>
      </c>
      <c r="L2006" s="8">
        <v>7</v>
      </c>
      <c r="M2006" s="8">
        <v>5</v>
      </c>
      <c r="N2006" s="8">
        <v>17</v>
      </c>
      <c r="O2006" s="8">
        <v>7</v>
      </c>
      <c r="P2006" s="8">
        <v>0</v>
      </c>
      <c r="Q2006" s="8">
        <v>0</v>
      </c>
      <c r="R2006" s="8">
        <v>0</v>
      </c>
      <c r="S2006" s="8">
        <v>7</v>
      </c>
      <c r="T2006" s="8">
        <v>6.5</v>
      </c>
      <c r="U2006" s="8">
        <v>13</v>
      </c>
      <c r="V2006" s="8">
        <v>8</v>
      </c>
      <c r="W2006" s="8">
        <v>11</v>
      </c>
      <c r="X2006" s="8">
        <v>9</v>
      </c>
      <c r="Y2006" s="8">
        <v>0</v>
      </c>
      <c r="Z2006" s="8">
        <v>0</v>
      </c>
      <c r="AA2006" s="8">
        <v>0</v>
      </c>
      <c r="AB2006" s="8">
        <v>0</v>
      </c>
      <c r="AC2006" s="8">
        <v>2</v>
      </c>
      <c r="AD2006" s="8">
        <v>5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11" t="s">
        <v>256</v>
      </c>
    </row>
    <row r="2007" spans="1:46" ht="15.1" customHeight="1">
      <c r="A2007" s="8">
        <v>668</v>
      </c>
      <c r="B2007" s="9" t="s">
        <v>1580</v>
      </c>
      <c r="C2007" s="8" t="s">
        <v>1581</v>
      </c>
      <c r="D2007" s="9" t="s">
        <v>451</v>
      </c>
      <c r="E2007" s="8" t="s">
        <v>54</v>
      </c>
      <c r="F2007" s="8" t="s">
        <v>54</v>
      </c>
      <c r="G2007" s="10" t="s">
        <v>67</v>
      </c>
      <c r="H2007" s="12" t="s">
        <v>55</v>
      </c>
      <c r="I2007" s="12" t="s">
        <v>55</v>
      </c>
      <c r="J2007" s="12" t="s">
        <v>55</v>
      </c>
      <c r="K2007" s="8" t="s">
        <v>54</v>
      </c>
      <c r="L2007" s="8" t="s">
        <v>54</v>
      </c>
      <c r="M2007" s="8" t="s">
        <v>54</v>
      </c>
      <c r="N2007" s="10" t="s">
        <v>67</v>
      </c>
      <c r="O2007" s="8" t="s">
        <v>54</v>
      </c>
      <c r="P2007" s="8" t="s">
        <v>54</v>
      </c>
      <c r="Q2007" s="8" t="s">
        <v>54</v>
      </c>
      <c r="R2007" s="8" t="s">
        <v>54</v>
      </c>
      <c r="S2007" s="8" t="s">
        <v>54</v>
      </c>
      <c r="T2007" s="8" t="s">
        <v>54</v>
      </c>
      <c r="U2007" s="10" t="s">
        <v>67</v>
      </c>
      <c r="V2007" s="8" t="s">
        <v>54</v>
      </c>
      <c r="W2007" s="12" t="s">
        <v>55</v>
      </c>
      <c r="X2007" s="8" t="s">
        <v>54</v>
      </c>
      <c r="Y2007" s="8" t="s">
        <v>54</v>
      </c>
      <c r="Z2007" s="8" t="s">
        <v>54</v>
      </c>
      <c r="AA2007" s="8" t="s">
        <v>54</v>
      </c>
      <c r="AB2007" s="10" t="s">
        <v>67</v>
      </c>
      <c r="AC2007" s="8" t="s">
        <v>54</v>
      </c>
      <c r="AD2007" s="8" t="s">
        <v>54</v>
      </c>
      <c r="AE2007" s="8" t="s">
        <v>54</v>
      </c>
      <c r="AF2007" s="8" t="s">
        <v>54</v>
      </c>
      <c r="AG2007" s="8" t="s">
        <v>54</v>
      </c>
      <c r="AH2007" s="12" t="s">
        <v>55</v>
      </c>
      <c r="AI2007" s="10" t="s">
        <v>67</v>
      </c>
      <c r="AJ2007" s="8">
        <f>COUNTIF($E$2007:$AI$2007,"P")</f>
        <v>21</v>
      </c>
      <c r="AK2007" s="8">
        <f>COUNTIF($E$2007:$AI$2007,"A")</f>
        <v>5</v>
      </c>
      <c r="AL2007" s="8">
        <f>SUM($E$2008:$AI$2008)</f>
        <v>25</v>
      </c>
      <c r="AM2007" s="8">
        <f>SUM($E$2009:$AI$2009)</f>
        <v>114</v>
      </c>
      <c r="AN2007" s="8">
        <f>AL2007+AM2007</f>
        <v>139</v>
      </c>
      <c r="AO2007" s="8">
        <f>COUNTIF($E$2007:$AI$2007,"CL")</f>
        <v>0</v>
      </c>
      <c r="AP2007" s="8">
        <f>COUNTIF($E$2007:$AI$2007,"SL")</f>
        <v>0</v>
      </c>
      <c r="AQ2007" s="8">
        <f>COUNTIF($E$2007:$AI$2007,"EL")</f>
        <v>0</v>
      </c>
      <c r="AR2007" s="8">
        <f>COUNTIF($E$2007:$AI$2007,"H")</f>
        <v>0</v>
      </c>
      <c r="AS2007" s="8"/>
      <c r="AT2007" s="11" t="s">
        <v>256</v>
      </c>
    </row>
    <row r="2008" spans="1:46" ht="15.1" customHeight="1">
      <c r="A2008" s="8"/>
      <c r="B2008" s="9"/>
      <c r="C2008" s="8"/>
      <c r="D2008" s="9"/>
      <c r="E2008" s="8">
        <v>2</v>
      </c>
      <c r="F2008" s="8">
        <v>2</v>
      </c>
      <c r="G2008" s="8">
        <v>0</v>
      </c>
      <c r="H2008" s="8">
        <v>0</v>
      </c>
      <c r="I2008" s="8">
        <v>0</v>
      </c>
      <c r="J2008" s="8">
        <v>0</v>
      </c>
      <c r="K2008" s="8">
        <v>2</v>
      </c>
      <c r="L2008" s="8">
        <v>2</v>
      </c>
      <c r="M2008" s="8">
        <v>2</v>
      </c>
      <c r="N2008" s="8">
        <v>0</v>
      </c>
      <c r="O2008" s="8">
        <v>2</v>
      </c>
      <c r="P2008" s="8">
        <v>2</v>
      </c>
      <c r="Q2008" s="8">
        <v>0</v>
      </c>
      <c r="R2008" s="8">
        <v>2</v>
      </c>
      <c r="S2008" s="8">
        <v>2</v>
      </c>
      <c r="T2008" s="8">
        <v>0</v>
      </c>
      <c r="U2008" s="8">
        <v>0</v>
      </c>
      <c r="V2008" s="8">
        <v>2</v>
      </c>
      <c r="W2008" s="8">
        <v>0</v>
      </c>
      <c r="X2008" s="8">
        <v>2</v>
      </c>
      <c r="Y2008" s="8">
        <v>0</v>
      </c>
      <c r="Z2008" s="8">
        <v>0</v>
      </c>
      <c r="AA2008" s="8">
        <v>1</v>
      </c>
      <c r="AB2008" s="8">
        <v>0</v>
      </c>
      <c r="AC2008" s="8">
        <v>2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11" t="s">
        <v>256</v>
      </c>
    </row>
    <row r="2009" spans="1:46" ht="15.1" customHeight="1">
      <c r="A2009" s="8"/>
      <c r="B2009" s="9"/>
      <c r="C2009" s="8"/>
      <c r="D2009" s="9"/>
      <c r="E2009" s="8">
        <v>1</v>
      </c>
      <c r="F2009" s="8">
        <v>3</v>
      </c>
      <c r="G2009" s="8">
        <v>15</v>
      </c>
      <c r="H2009" s="8">
        <v>0</v>
      </c>
      <c r="I2009" s="8">
        <v>0</v>
      </c>
      <c r="J2009" s="8">
        <v>0</v>
      </c>
      <c r="K2009" s="8">
        <v>7</v>
      </c>
      <c r="L2009" s="8">
        <v>7</v>
      </c>
      <c r="M2009" s="8">
        <v>5</v>
      </c>
      <c r="N2009" s="8">
        <v>21</v>
      </c>
      <c r="O2009" s="8">
        <v>5</v>
      </c>
      <c r="P2009" s="8">
        <v>10</v>
      </c>
      <c r="Q2009" s="8">
        <v>0</v>
      </c>
      <c r="R2009" s="8">
        <v>7</v>
      </c>
      <c r="S2009" s="8">
        <v>6.5</v>
      </c>
      <c r="T2009" s="8">
        <v>0</v>
      </c>
      <c r="U2009" s="8">
        <v>13</v>
      </c>
      <c r="V2009" s="8">
        <v>7.5</v>
      </c>
      <c r="W2009" s="8">
        <v>0</v>
      </c>
      <c r="X2009" s="8">
        <v>5</v>
      </c>
      <c r="Y2009" s="8">
        <v>0</v>
      </c>
      <c r="Z2009" s="8">
        <v>0</v>
      </c>
      <c r="AA2009" s="8">
        <v>0</v>
      </c>
      <c r="AB2009" s="8">
        <v>0</v>
      </c>
      <c r="AC2009" s="8">
        <v>1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11" t="s">
        <v>256</v>
      </c>
    </row>
    <row r="2010" spans="1:46" ht="15.1" customHeight="1">
      <c r="A2010" s="8">
        <v>669</v>
      </c>
      <c r="B2010" s="9" t="s">
        <v>1582</v>
      </c>
      <c r="C2010" s="8" t="s">
        <v>1583</v>
      </c>
      <c r="D2010" s="9" t="s">
        <v>451</v>
      </c>
      <c r="E2010" s="8" t="s">
        <v>54</v>
      </c>
      <c r="F2010" s="8" t="s">
        <v>54</v>
      </c>
      <c r="G2010" s="10" t="s">
        <v>67</v>
      </c>
      <c r="H2010" s="8" t="s">
        <v>54</v>
      </c>
      <c r="I2010" s="8" t="s">
        <v>54</v>
      </c>
      <c r="J2010" s="8" t="s">
        <v>54</v>
      </c>
      <c r="K2010" s="8" t="s">
        <v>54</v>
      </c>
      <c r="L2010" s="8" t="s">
        <v>54</v>
      </c>
      <c r="M2010" s="8" t="s">
        <v>54</v>
      </c>
      <c r="N2010" s="10" t="s">
        <v>67</v>
      </c>
      <c r="O2010" s="8" t="s">
        <v>54</v>
      </c>
      <c r="P2010" s="8" t="s">
        <v>54</v>
      </c>
      <c r="Q2010" s="8" t="s">
        <v>54</v>
      </c>
      <c r="R2010" s="8" t="s">
        <v>54</v>
      </c>
      <c r="S2010" s="8" t="s">
        <v>54</v>
      </c>
      <c r="T2010" s="8" t="s">
        <v>54</v>
      </c>
      <c r="U2010" s="10" t="s">
        <v>67</v>
      </c>
      <c r="V2010" s="8" t="s">
        <v>54</v>
      </c>
      <c r="W2010" s="8" t="s">
        <v>54</v>
      </c>
      <c r="X2010" s="8" t="s">
        <v>54</v>
      </c>
      <c r="Y2010" s="8" t="s">
        <v>54</v>
      </c>
      <c r="Z2010" s="8" t="s">
        <v>54</v>
      </c>
      <c r="AA2010" s="8" t="s">
        <v>54</v>
      </c>
      <c r="AB2010" s="10" t="s">
        <v>67</v>
      </c>
      <c r="AC2010" s="8" t="s">
        <v>54</v>
      </c>
      <c r="AD2010" s="8" t="s">
        <v>54</v>
      </c>
      <c r="AE2010" s="8" t="s">
        <v>54</v>
      </c>
      <c r="AF2010" s="8" t="s">
        <v>54</v>
      </c>
      <c r="AG2010" s="8" t="s">
        <v>54</v>
      </c>
      <c r="AH2010" s="12" t="s">
        <v>55</v>
      </c>
      <c r="AI2010" s="10" t="s">
        <v>67</v>
      </c>
      <c r="AJ2010" s="8">
        <f>COUNTIF($E$2010:$AI$2010,"P")</f>
        <v>25</v>
      </c>
      <c r="AK2010" s="8">
        <f>COUNTIF($E$2010:$AI$2010,"A")</f>
        <v>1</v>
      </c>
      <c r="AL2010" s="8">
        <f>SUM($E$2011:$AI$2011)</f>
        <v>36</v>
      </c>
      <c r="AM2010" s="8">
        <f>SUM($E$2012:$AI$2012)</f>
        <v>147.5</v>
      </c>
      <c r="AN2010" s="8">
        <f>AL2010+AM2010</f>
        <v>183.5</v>
      </c>
      <c r="AO2010" s="8">
        <f>COUNTIF($E$2010:$AI$2010,"CL")</f>
        <v>0</v>
      </c>
      <c r="AP2010" s="8">
        <f>COUNTIF($E$2010:$AI$2010,"SL")</f>
        <v>0</v>
      </c>
      <c r="AQ2010" s="8">
        <f>COUNTIF($E$2010:$AI$2010,"EL")</f>
        <v>0</v>
      </c>
      <c r="AR2010" s="8">
        <f>COUNTIF($E$2010:$AI$2010,"H")</f>
        <v>0</v>
      </c>
      <c r="AS2010" s="8"/>
      <c r="AT2010" s="11" t="s">
        <v>256</v>
      </c>
    </row>
    <row r="2011" spans="1:46" ht="15.1" customHeight="1">
      <c r="A2011" s="8"/>
      <c r="B2011" s="9"/>
      <c r="C2011" s="8"/>
      <c r="D2011" s="9"/>
      <c r="E2011" s="8">
        <v>2</v>
      </c>
      <c r="F2011" s="8">
        <v>2</v>
      </c>
      <c r="G2011" s="8">
        <v>0</v>
      </c>
      <c r="H2011" s="8">
        <v>0</v>
      </c>
      <c r="I2011" s="8">
        <v>2</v>
      </c>
      <c r="J2011" s="8">
        <v>2</v>
      </c>
      <c r="K2011" s="8">
        <v>2</v>
      </c>
      <c r="L2011" s="8">
        <v>2</v>
      </c>
      <c r="M2011" s="8">
        <v>2</v>
      </c>
      <c r="N2011" s="8">
        <v>0</v>
      </c>
      <c r="O2011" s="8">
        <v>2</v>
      </c>
      <c r="P2011" s="8">
        <v>2</v>
      </c>
      <c r="Q2011" s="8">
        <v>2</v>
      </c>
      <c r="R2011" s="8">
        <v>2</v>
      </c>
      <c r="S2011" s="8">
        <v>2</v>
      </c>
      <c r="T2011" s="8">
        <v>2</v>
      </c>
      <c r="U2011" s="8">
        <v>0</v>
      </c>
      <c r="V2011" s="8">
        <v>2</v>
      </c>
      <c r="W2011" s="8">
        <v>2</v>
      </c>
      <c r="X2011" s="8">
        <v>2</v>
      </c>
      <c r="Y2011" s="8">
        <v>0</v>
      </c>
      <c r="Z2011" s="8">
        <v>2</v>
      </c>
      <c r="AA2011" s="8">
        <v>0</v>
      </c>
      <c r="AB2011" s="8">
        <v>0</v>
      </c>
      <c r="AC2011" s="8">
        <v>0</v>
      </c>
      <c r="AD2011" s="8">
        <v>2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11" t="s">
        <v>256</v>
      </c>
    </row>
    <row r="2012" spans="1:46" ht="15.1" customHeight="1">
      <c r="A2012" s="8"/>
      <c r="B2012" s="9"/>
      <c r="C2012" s="8"/>
      <c r="D2012" s="9"/>
      <c r="E2012" s="8">
        <v>1</v>
      </c>
      <c r="F2012" s="8">
        <v>3</v>
      </c>
      <c r="G2012" s="8">
        <v>15</v>
      </c>
      <c r="H2012" s="8">
        <v>0</v>
      </c>
      <c r="I2012" s="8">
        <v>7</v>
      </c>
      <c r="J2012" s="8">
        <v>11</v>
      </c>
      <c r="K2012" s="8">
        <v>1</v>
      </c>
      <c r="L2012" s="8">
        <v>7</v>
      </c>
      <c r="M2012" s="8">
        <v>5</v>
      </c>
      <c r="N2012" s="8">
        <v>17</v>
      </c>
      <c r="O2012" s="8">
        <v>11</v>
      </c>
      <c r="P2012" s="8">
        <v>4</v>
      </c>
      <c r="Q2012" s="8">
        <v>5</v>
      </c>
      <c r="R2012" s="8">
        <v>7</v>
      </c>
      <c r="S2012" s="8">
        <v>7</v>
      </c>
      <c r="T2012" s="8">
        <v>7.5</v>
      </c>
      <c r="U2012" s="8">
        <v>10</v>
      </c>
      <c r="V2012" s="8">
        <v>7.5</v>
      </c>
      <c r="W2012" s="8">
        <v>7</v>
      </c>
      <c r="X2012" s="8">
        <v>7</v>
      </c>
      <c r="Y2012" s="8">
        <v>0</v>
      </c>
      <c r="Z2012" s="8">
        <v>2.5</v>
      </c>
      <c r="AA2012" s="8">
        <v>0</v>
      </c>
      <c r="AB2012" s="8">
        <v>0</v>
      </c>
      <c r="AC2012" s="8">
        <v>0</v>
      </c>
      <c r="AD2012" s="8">
        <v>5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11" t="s">
        <v>256</v>
      </c>
    </row>
    <row r="2013" spans="1:46" ht="15.1" customHeight="1">
      <c r="A2013" s="8">
        <v>670</v>
      </c>
      <c r="B2013" s="9" t="s">
        <v>426</v>
      </c>
      <c r="C2013" s="8" t="s">
        <v>1584</v>
      </c>
      <c r="D2013" s="9" t="s">
        <v>451</v>
      </c>
      <c r="E2013" s="8" t="s">
        <v>54</v>
      </c>
      <c r="F2013" s="8" t="s">
        <v>54</v>
      </c>
      <c r="G2013" s="10" t="s">
        <v>67</v>
      </c>
      <c r="H2013" s="8" t="s">
        <v>54</v>
      </c>
      <c r="I2013" s="8" t="s">
        <v>54</v>
      </c>
      <c r="J2013" s="8" t="s">
        <v>54</v>
      </c>
      <c r="K2013" s="8" t="s">
        <v>54</v>
      </c>
      <c r="L2013" s="8" t="s">
        <v>54</v>
      </c>
      <c r="M2013" s="8" t="s">
        <v>54</v>
      </c>
      <c r="N2013" s="10" t="s">
        <v>67</v>
      </c>
      <c r="O2013" s="8" t="s">
        <v>54</v>
      </c>
      <c r="P2013" s="8" t="s">
        <v>54</v>
      </c>
      <c r="Q2013" s="8" t="s">
        <v>54</v>
      </c>
      <c r="R2013" s="8" t="s">
        <v>54</v>
      </c>
      <c r="S2013" s="8" t="s">
        <v>54</v>
      </c>
      <c r="T2013" s="8" t="s">
        <v>54</v>
      </c>
      <c r="U2013" s="10" t="s">
        <v>67</v>
      </c>
      <c r="V2013" s="8" t="s">
        <v>54</v>
      </c>
      <c r="W2013" s="8" t="s">
        <v>54</v>
      </c>
      <c r="X2013" s="8" t="s">
        <v>54</v>
      </c>
      <c r="Y2013" s="8" t="s">
        <v>54</v>
      </c>
      <c r="Z2013" s="8" t="s">
        <v>54</v>
      </c>
      <c r="AA2013" s="8" t="s">
        <v>54</v>
      </c>
      <c r="AB2013" s="10" t="s">
        <v>67</v>
      </c>
      <c r="AC2013" s="8" t="s">
        <v>54</v>
      </c>
      <c r="AD2013" s="8" t="s">
        <v>54</v>
      </c>
      <c r="AE2013" s="8" t="s">
        <v>54</v>
      </c>
      <c r="AF2013" s="8" t="s">
        <v>54</v>
      </c>
      <c r="AG2013" s="8" t="s">
        <v>54</v>
      </c>
      <c r="AH2013" s="12" t="s">
        <v>55</v>
      </c>
      <c r="AI2013" s="10" t="s">
        <v>67</v>
      </c>
      <c r="AJ2013" s="8">
        <f>COUNTIF($E$2013:$AI$2013,"P")</f>
        <v>25</v>
      </c>
      <c r="AK2013" s="8">
        <f>COUNTIF($E$2013:$AI$2013,"A")</f>
        <v>1</v>
      </c>
      <c r="AL2013" s="8">
        <f>SUM($E$2014:$AI$2014)</f>
        <v>38</v>
      </c>
      <c r="AM2013" s="8">
        <f>SUM($E$2015:$AI$2015)</f>
        <v>166.5</v>
      </c>
      <c r="AN2013" s="8">
        <f>AL2013+AM2013</f>
        <v>204.5</v>
      </c>
      <c r="AO2013" s="8">
        <f>COUNTIF($E$2013:$AI$2013,"CL")</f>
        <v>0</v>
      </c>
      <c r="AP2013" s="8">
        <f>COUNTIF($E$2013:$AI$2013,"SL")</f>
        <v>0</v>
      </c>
      <c r="AQ2013" s="8">
        <f>COUNTIF($E$2013:$AI$2013,"EL")</f>
        <v>0</v>
      </c>
      <c r="AR2013" s="8">
        <f>COUNTIF($E$2013:$AI$2013,"H")</f>
        <v>0</v>
      </c>
      <c r="AS2013" s="8"/>
      <c r="AT2013" s="11" t="s">
        <v>256</v>
      </c>
    </row>
    <row r="2014" spans="1:46" ht="15.1" customHeight="1">
      <c r="A2014" s="8"/>
      <c r="B2014" s="9"/>
      <c r="C2014" s="8"/>
      <c r="D2014" s="9"/>
      <c r="E2014" s="8">
        <v>2</v>
      </c>
      <c r="F2014" s="8">
        <v>2</v>
      </c>
      <c r="G2014" s="8">
        <v>0</v>
      </c>
      <c r="H2014" s="8">
        <v>2</v>
      </c>
      <c r="I2014" s="8">
        <v>2</v>
      </c>
      <c r="J2014" s="8">
        <v>2</v>
      </c>
      <c r="K2014" s="8">
        <v>2</v>
      </c>
      <c r="L2014" s="8">
        <v>2</v>
      </c>
      <c r="M2014" s="8">
        <v>2</v>
      </c>
      <c r="N2014" s="8">
        <v>0</v>
      </c>
      <c r="O2014" s="8">
        <v>2</v>
      </c>
      <c r="P2014" s="8">
        <v>2</v>
      </c>
      <c r="Q2014" s="8">
        <v>2</v>
      </c>
      <c r="R2014" s="8">
        <v>2</v>
      </c>
      <c r="S2014" s="8">
        <v>2</v>
      </c>
      <c r="T2014" s="8">
        <v>2</v>
      </c>
      <c r="U2014" s="8">
        <v>0</v>
      </c>
      <c r="V2014" s="8">
        <v>2</v>
      </c>
      <c r="W2014" s="8">
        <v>2</v>
      </c>
      <c r="X2014" s="8">
        <v>2</v>
      </c>
      <c r="Y2014" s="8">
        <v>0</v>
      </c>
      <c r="Z2014" s="8">
        <v>0</v>
      </c>
      <c r="AA2014" s="8">
        <v>0</v>
      </c>
      <c r="AB2014" s="8">
        <v>0</v>
      </c>
      <c r="AC2014" s="8">
        <v>2</v>
      </c>
      <c r="AD2014" s="8">
        <v>2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11" t="s">
        <v>256</v>
      </c>
    </row>
    <row r="2015" spans="1:46" ht="15.1" customHeight="1">
      <c r="A2015" s="8"/>
      <c r="B2015" s="9"/>
      <c r="C2015" s="8"/>
      <c r="D2015" s="9"/>
      <c r="E2015" s="8">
        <v>5</v>
      </c>
      <c r="F2015" s="8">
        <v>3</v>
      </c>
      <c r="G2015" s="8">
        <v>15</v>
      </c>
      <c r="H2015" s="8">
        <v>7</v>
      </c>
      <c r="I2015" s="8">
        <v>11</v>
      </c>
      <c r="J2015" s="8">
        <v>3.5</v>
      </c>
      <c r="K2015" s="8">
        <v>6</v>
      </c>
      <c r="L2015" s="8">
        <v>8</v>
      </c>
      <c r="M2015" s="8">
        <v>5</v>
      </c>
      <c r="N2015" s="8">
        <v>20.5</v>
      </c>
      <c r="O2015" s="8">
        <v>4</v>
      </c>
      <c r="P2015" s="8">
        <v>7</v>
      </c>
      <c r="Q2015" s="8">
        <v>9</v>
      </c>
      <c r="R2015" s="8">
        <v>8</v>
      </c>
      <c r="S2015" s="8">
        <v>7</v>
      </c>
      <c r="T2015" s="8">
        <v>9</v>
      </c>
      <c r="U2015" s="8">
        <v>7</v>
      </c>
      <c r="V2015" s="8">
        <v>7</v>
      </c>
      <c r="W2015" s="8">
        <v>11</v>
      </c>
      <c r="X2015" s="8">
        <v>7</v>
      </c>
      <c r="Y2015" s="8">
        <v>0</v>
      </c>
      <c r="Z2015" s="8">
        <v>0</v>
      </c>
      <c r="AA2015" s="8">
        <v>0</v>
      </c>
      <c r="AB2015" s="8">
        <v>0</v>
      </c>
      <c r="AC2015" s="8">
        <v>1.5</v>
      </c>
      <c r="AD2015" s="8">
        <v>5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11" t="s">
        <v>256</v>
      </c>
    </row>
    <row r="2016" spans="1:46" ht="15.1" customHeight="1">
      <c r="A2016" s="8">
        <v>671</v>
      </c>
      <c r="B2016" s="9" t="s">
        <v>1585</v>
      </c>
      <c r="C2016" s="8" t="s">
        <v>1586</v>
      </c>
      <c r="D2016" s="9" t="s">
        <v>451</v>
      </c>
      <c r="E2016" s="8" t="s">
        <v>54</v>
      </c>
      <c r="F2016" s="8" t="s">
        <v>54</v>
      </c>
      <c r="G2016" s="10" t="s">
        <v>67</v>
      </c>
      <c r="H2016" s="8" t="s">
        <v>54</v>
      </c>
      <c r="I2016" s="8" t="s">
        <v>54</v>
      </c>
      <c r="J2016" s="8" t="s">
        <v>54</v>
      </c>
      <c r="K2016" s="8" t="s">
        <v>54</v>
      </c>
      <c r="L2016" s="8" t="s">
        <v>54</v>
      </c>
      <c r="M2016" s="12" t="s">
        <v>55</v>
      </c>
      <c r="N2016" s="10" t="s">
        <v>67</v>
      </c>
      <c r="O2016" s="8" t="s">
        <v>54</v>
      </c>
      <c r="P2016" s="8" t="s">
        <v>54</v>
      </c>
      <c r="Q2016" s="8" t="s">
        <v>54</v>
      </c>
      <c r="R2016" s="12" t="s">
        <v>55</v>
      </c>
      <c r="S2016" s="8" t="s">
        <v>54</v>
      </c>
      <c r="T2016" s="8" t="s">
        <v>54</v>
      </c>
      <c r="U2016" s="10" t="s">
        <v>67</v>
      </c>
      <c r="V2016" s="8" t="s">
        <v>54</v>
      </c>
      <c r="W2016" s="8" t="s">
        <v>54</v>
      </c>
      <c r="X2016" s="8" t="s">
        <v>54</v>
      </c>
      <c r="Y2016" s="8" t="s">
        <v>54</v>
      </c>
      <c r="Z2016" s="8" t="s">
        <v>54</v>
      </c>
      <c r="AA2016" s="8" t="s">
        <v>54</v>
      </c>
      <c r="AB2016" s="10" t="s">
        <v>67</v>
      </c>
      <c r="AC2016" s="8" t="s">
        <v>54</v>
      </c>
      <c r="AD2016" s="8" t="s">
        <v>54</v>
      </c>
      <c r="AE2016" s="8" t="s">
        <v>54</v>
      </c>
      <c r="AF2016" s="12" t="s">
        <v>55</v>
      </c>
      <c r="AG2016" s="8" t="s">
        <v>54</v>
      </c>
      <c r="AH2016" s="12" t="s">
        <v>55</v>
      </c>
      <c r="AI2016" s="10" t="s">
        <v>67</v>
      </c>
      <c r="AJ2016" s="8">
        <f>COUNTIF($E$2016:$AI$2016,"P")</f>
        <v>22</v>
      </c>
      <c r="AK2016" s="8">
        <f>COUNTIF($E$2016:$AI$2016,"A")</f>
        <v>4</v>
      </c>
      <c r="AL2016" s="8">
        <f>SUM($E$2017:$AI$2017)</f>
        <v>30</v>
      </c>
      <c r="AM2016" s="8">
        <f>SUM($E$2018:$AI$2018)</f>
        <v>139</v>
      </c>
      <c r="AN2016" s="8">
        <f>AL2016+AM2016</f>
        <v>169</v>
      </c>
      <c r="AO2016" s="8">
        <f>COUNTIF($E$2016:$AI$2016,"CL")</f>
        <v>0</v>
      </c>
      <c r="AP2016" s="8">
        <f>COUNTIF($E$2016:$AI$2016,"SL")</f>
        <v>0</v>
      </c>
      <c r="AQ2016" s="8">
        <f>COUNTIF($E$2016:$AI$2016,"EL")</f>
        <v>0</v>
      </c>
      <c r="AR2016" s="8">
        <f>COUNTIF($E$2016:$AI$2016,"H")</f>
        <v>0</v>
      </c>
      <c r="AS2016" s="8"/>
      <c r="AT2016" s="11" t="s">
        <v>256</v>
      </c>
    </row>
    <row r="2017" spans="1:46" ht="15.1" customHeight="1">
      <c r="A2017" s="8"/>
      <c r="B2017" s="9"/>
      <c r="C2017" s="8"/>
      <c r="D2017" s="9"/>
      <c r="E2017" s="8">
        <v>2</v>
      </c>
      <c r="F2017" s="8">
        <v>2</v>
      </c>
      <c r="G2017" s="8">
        <v>0</v>
      </c>
      <c r="H2017" s="8">
        <v>2</v>
      </c>
      <c r="I2017" s="8">
        <v>0</v>
      </c>
      <c r="J2017" s="8">
        <v>2</v>
      </c>
      <c r="K2017" s="8">
        <v>2</v>
      </c>
      <c r="L2017" s="8">
        <v>2</v>
      </c>
      <c r="M2017" s="8">
        <v>0</v>
      </c>
      <c r="N2017" s="8">
        <v>0</v>
      </c>
      <c r="O2017" s="8">
        <v>2</v>
      </c>
      <c r="P2017" s="8">
        <v>2</v>
      </c>
      <c r="Q2017" s="8">
        <v>2</v>
      </c>
      <c r="R2017" s="8">
        <v>0</v>
      </c>
      <c r="S2017" s="8">
        <v>2</v>
      </c>
      <c r="T2017" s="8">
        <v>2</v>
      </c>
      <c r="U2017" s="8">
        <v>0</v>
      </c>
      <c r="V2017" s="8">
        <v>2</v>
      </c>
      <c r="W2017" s="8">
        <v>2</v>
      </c>
      <c r="X2017" s="8">
        <v>2</v>
      </c>
      <c r="Y2017" s="8">
        <v>0</v>
      </c>
      <c r="Z2017" s="8">
        <v>0</v>
      </c>
      <c r="AA2017" s="8">
        <v>0</v>
      </c>
      <c r="AB2017" s="8">
        <v>0</v>
      </c>
      <c r="AC2017" s="8">
        <v>2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0</v>
      </c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11" t="s">
        <v>256</v>
      </c>
    </row>
    <row r="2018" spans="1:46" ht="15.1" customHeight="1">
      <c r="A2018" s="8"/>
      <c r="B2018" s="9"/>
      <c r="C2018" s="8"/>
      <c r="D2018" s="9"/>
      <c r="E2018" s="8">
        <v>4</v>
      </c>
      <c r="F2018" s="8">
        <v>3</v>
      </c>
      <c r="G2018" s="8">
        <v>15</v>
      </c>
      <c r="H2018" s="8">
        <v>7</v>
      </c>
      <c r="I2018" s="8">
        <v>0</v>
      </c>
      <c r="J2018" s="8">
        <v>9</v>
      </c>
      <c r="K2018" s="8">
        <v>5</v>
      </c>
      <c r="L2018" s="8">
        <v>7</v>
      </c>
      <c r="M2018" s="8">
        <v>0</v>
      </c>
      <c r="N2018" s="8">
        <v>20.5</v>
      </c>
      <c r="O2018" s="8">
        <v>7</v>
      </c>
      <c r="P2018" s="8">
        <v>7</v>
      </c>
      <c r="Q2018" s="8">
        <v>7.5</v>
      </c>
      <c r="R2018" s="8">
        <v>0</v>
      </c>
      <c r="S2018" s="8">
        <v>11</v>
      </c>
      <c r="T2018" s="8">
        <v>0.5</v>
      </c>
      <c r="U2018" s="8">
        <v>13</v>
      </c>
      <c r="V2018" s="8">
        <v>7</v>
      </c>
      <c r="W2018" s="8">
        <v>7</v>
      </c>
      <c r="X2018" s="8">
        <v>7</v>
      </c>
      <c r="Y2018" s="8">
        <v>0</v>
      </c>
      <c r="Z2018" s="8">
        <v>0</v>
      </c>
      <c r="AA2018" s="8">
        <v>0</v>
      </c>
      <c r="AB2018" s="8">
        <v>0</v>
      </c>
      <c r="AC2018" s="8">
        <v>1.5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11" t="s">
        <v>256</v>
      </c>
    </row>
    <row r="2019" spans="1:46" ht="15.1" customHeight="1">
      <c r="A2019" s="8">
        <v>672</v>
      </c>
      <c r="B2019" s="9" t="s">
        <v>973</v>
      </c>
      <c r="C2019" s="8" t="s">
        <v>1587</v>
      </c>
      <c r="D2019" s="9" t="s">
        <v>451</v>
      </c>
      <c r="E2019" s="8" t="s">
        <v>54</v>
      </c>
      <c r="F2019" s="8" t="s">
        <v>54</v>
      </c>
      <c r="G2019" s="10" t="s">
        <v>67</v>
      </c>
      <c r="H2019" s="8" t="s">
        <v>54</v>
      </c>
      <c r="I2019" s="8" t="s">
        <v>54</v>
      </c>
      <c r="J2019" s="8" t="s">
        <v>54</v>
      </c>
      <c r="K2019" s="8" t="s">
        <v>54</v>
      </c>
      <c r="L2019" s="8" t="s">
        <v>54</v>
      </c>
      <c r="M2019" s="8" t="s">
        <v>54</v>
      </c>
      <c r="N2019" s="10" t="s">
        <v>67</v>
      </c>
      <c r="O2019" s="12" t="s">
        <v>55</v>
      </c>
      <c r="P2019" s="8" t="s">
        <v>54</v>
      </c>
      <c r="Q2019" s="8" t="s">
        <v>54</v>
      </c>
      <c r="R2019" s="8" t="s">
        <v>54</v>
      </c>
      <c r="S2019" s="8" t="s">
        <v>54</v>
      </c>
      <c r="T2019" s="8" t="s">
        <v>54</v>
      </c>
      <c r="U2019" s="10" t="s">
        <v>67</v>
      </c>
      <c r="V2019" s="8" t="s">
        <v>54</v>
      </c>
      <c r="W2019" s="8" t="s">
        <v>54</v>
      </c>
      <c r="X2019" s="8" t="s">
        <v>54</v>
      </c>
      <c r="Y2019" s="8" t="s">
        <v>54</v>
      </c>
      <c r="Z2019" s="8" t="s">
        <v>54</v>
      </c>
      <c r="AA2019" s="8" t="s">
        <v>54</v>
      </c>
      <c r="AB2019" s="10" t="s">
        <v>67</v>
      </c>
      <c r="AC2019" s="8" t="s">
        <v>54</v>
      </c>
      <c r="AD2019" s="8" t="s">
        <v>54</v>
      </c>
      <c r="AE2019" s="8" t="s">
        <v>54</v>
      </c>
      <c r="AF2019" s="8" t="s">
        <v>54</v>
      </c>
      <c r="AG2019" s="8" t="s">
        <v>54</v>
      </c>
      <c r="AH2019" s="12" t="s">
        <v>55</v>
      </c>
      <c r="AI2019" s="10" t="s">
        <v>67</v>
      </c>
      <c r="AJ2019" s="8">
        <f>COUNTIF($E$2019:$AI$2019,"P")</f>
        <v>24</v>
      </c>
      <c r="AK2019" s="8">
        <f>COUNTIF($E$2019:$AI$2019,"A")</f>
        <v>2</v>
      </c>
      <c r="AL2019" s="8">
        <f>SUM($E$2020:$AI$2020)</f>
        <v>36</v>
      </c>
      <c r="AM2019" s="8">
        <f>SUM($E$2021:$AI$2021)</f>
        <v>135.5</v>
      </c>
      <c r="AN2019" s="8">
        <f>AL2019+AM2019</f>
        <v>171.5</v>
      </c>
      <c r="AO2019" s="8">
        <f>COUNTIF($E$2019:$AI$2019,"CL")</f>
        <v>0</v>
      </c>
      <c r="AP2019" s="8">
        <f>COUNTIF($E$2019:$AI$2019,"SL")</f>
        <v>0</v>
      </c>
      <c r="AQ2019" s="8">
        <f>COUNTIF($E$2019:$AI$2019,"EL")</f>
        <v>0</v>
      </c>
      <c r="AR2019" s="8">
        <f>COUNTIF($E$2019:$AI$2019,"H")</f>
        <v>0</v>
      </c>
      <c r="AS2019" s="8"/>
      <c r="AT2019" s="11" t="s">
        <v>256</v>
      </c>
    </row>
    <row r="2020" spans="1:46" ht="15.1" customHeight="1">
      <c r="A2020" s="8"/>
      <c r="B2020" s="9"/>
      <c r="C2020" s="8"/>
      <c r="D2020" s="9"/>
      <c r="E2020" s="8">
        <v>2</v>
      </c>
      <c r="F2020" s="8">
        <v>2</v>
      </c>
      <c r="G2020" s="8">
        <v>0</v>
      </c>
      <c r="H2020" s="8">
        <v>2</v>
      </c>
      <c r="I2020" s="8">
        <v>2</v>
      </c>
      <c r="J2020" s="8">
        <v>2</v>
      </c>
      <c r="K2020" s="8">
        <v>2</v>
      </c>
      <c r="L2020" s="8">
        <v>2</v>
      </c>
      <c r="M2020" s="8">
        <v>2</v>
      </c>
      <c r="N2020" s="8">
        <v>0</v>
      </c>
      <c r="O2020" s="8">
        <v>0</v>
      </c>
      <c r="P2020" s="8">
        <v>2</v>
      </c>
      <c r="Q2020" s="8">
        <v>2</v>
      </c>
      <c r="R2020" s="8">
        <v>2</v>
      </c>
      <c r="S2020" s="8">
        <v>2</v>
      </c>
      <c r="T2020" s="8">
        <v>2</v>
      </c>
      <c r="U2020" s="8">
        <v>0</v>
      </c>
      <c r="V2020" s="8">
        <v>2</v>
      </c>
      <c r="W2020" s="8">
        <v>2</v>
      </c>
      <c r="X2020" s="8">
        <v>2</v>
      </c>
      <c r="Y2020" s="8">
        <v>0</v>
      </c>
      <c r="Z2020" s="8">
        <v>0</v>
      </c>
      <c r="AA2020" s="8">
        <v>0</v>
      </c>
      <c r="AB2020" s="8">
        <v>0</v>
      </c>
      <c r="AC2020" s="8">
        <v>2</v>
      </c>
      <c r="AD2020" s="8">
        <v>2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11" t="s">
        <v>256</v>
      </c>
    </row>
    <row r="2021" spans="1:46" ht="15.1" customHeight="1">
      <c r="A2021" s="8"/>
      <c r="B2021" s="9"/>
      <c r="C2021" s="8"/>
      <c r="D2021" s="9"/>
      <c r="E2021" s="8">
        <v>1</v>
      </c>
      <c r="F2021" s="8">
        <v>3</v>
      </c>
      <c r="G2021" s="8">
        <v>15</v>
      </c>
      <c r="H2021" s="8">
        <v>7</v>
      </c>
      <c r="I2021" s="8">
        <v>7</v>
      </c>
      <c r="J2021" s="8">
        <v>11</v>
      </c>
      <c r="K2021" s="8">
        <v>1</v>
      </c>
      <c r="L2021" s="8">
        <v>8</v>
      </c>
      <c r="M2021" s="8">
        <v>5</v>
      </c>
      <c r="N2021" s="8">
        <v>0</v>
      </c>
      <c r="O2021" s="8">
        <v>0</v>
      </c>
      <c r="P2021" s="8">
        <v>7</v>
      </c>
      <c r="Q2021" s="8">
        <v>8</v>
      </c>
      <c r="R2021" s="8">
        <v>7</v>
      </c>
      <c r="S2021" s="8">
        <v>7</v>
      </c>
      <c r="T2021" s="8">
        <v>6</v>
      </c>
      <c r="U2021" s="8">
        <v>13</v>
      </c>
      <c r="V2021" s="8">
        <v>7</v>
      </c>
      <c r="W2021" s="8">
        <v>7</v>
      </c>
      <c r="X2021" s="8">
        <v>9</v>
      </c>
      <c r="Y2021" s="8">
        <v>0</v>
      </c>
      <c r="Z2021" s="8">
        <v>0</v>
      </c>
      <c r="AA2021" s="8">
        <v>0</v>
      </c>
      <c r="AB2021" s="8">
        <v>0</v>
      </c>
      <c r="AC2021" s="8">
        <v>1.5</v>
      </c>
      <c r="AD2021" s="8">
        <v>5</v>
      </c>
      <c r="AE2021" s="8">
        <v>0</v>
      </c>
      <c r="AF2021" s="8">
        <v>0</v>
      </c>
      <c r="AG2021" s="8">
        <v>0</v>
      </c>
      <c r="AH2021" s="8">
        <v>0</v>
      </c>
      <c r="AI2021" s="8">
        <v>0</v>
      </c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11" t="s">
        <v>256</v>
      </c>
    </row>
    <row r="2022" spans="1:46" ht="15.1" customHeight="1">
      <c r="A2022" s="8">
        <v>673</v>
      </c>
      <c r="B2022" s="9" t="s">
        <v>1588</v>
      </c>
      <c r="C2022" s="8" t="s">
        <v>1589</v>
      </c>
      <c r="D2022" s="9" t="s">
        <v>451</v>
      </c>
      <c r="E2022" s="8" t="s">
        <v>54</v>
      </c>
      <c r="F2022" s="8" t="s">
        <v>54</v>
      </c>
      <c r="G2022" s="10" t="s">
        <v>67</v>
      </c>
      <c r="H2022" s="8" t="s">
        <v>54</v>
      </c>
      <c r="I2022" s="8" t="s">
        <v>54</v>
      </c>
      <c r="J2022" s="8" t="s">
        <v>54</v>
      </c>
      <c r="K2022" s="8" t="s">
        <v>54</v>
      </c>
      <c r="L2022" s="8" t="s">
        <v>54</v>
      </c>
      <c r="M2022" s="8" t="s">
        <v>54</v>
      </c>
      <c r="N2022" s="10" t="s">
        <v>67</v>
      </c>
      <c r="O2022" s="8" t="s">
        <v>54</v>
      </c>
      <c r="P2022" s="8" t="s">
        <v>54</v>
      </c>
      <c r="Q2022" s="8" t="s">
        <v>54</v>
      </c>
      <c r="R2022" s="8" t="s">
        <v>54</v>
      </c>
      <c r="S2022" s="8" t="s">
        <v>54</v>
      </c>
      <c r="T2022" s="8" t="s">
        <v>54</v>
      </c>
      <c r="U2022" s="10" t="s">
        <v>67</v>
      </c>
      <c r="V2022" s="8" t="s">
        <v>54</v>
      </c>
      <c r="W2022" s="8" t="s">
        <v>54</v>
      </c>
      <c r="X2022" s="8" t="s">
        <v>54</v>
      </c>
      <c r="Y2022" s="8" t="s">
        <v>54</v>
      </c>
      <c r="Z2022" s="8" t="s">
        <v>54</v>
      </c>
      <c r="AA2022" s="12" t="s">
        <v>55</v>
      </c>
      <c r="AB2022" s="10" t="s">
        <v>67</v>
      </c>
      <c r="AC2022" s="12" t="s">
        <v>55</v>
      </c>
      <c r="AD2022" s="12" t="s">
        <v>55</v>
      </c>
      <c r="AE2022" s="12" t="s">
        <v>55</v>
      </c>
      <c r="AF2022" s="8" t="s">
        <v>54</v>
      </c>
      <c r="AG2022" s="8" t="s">
        <v>54</v>
      </c>
      <c r="AH2022" s="12" t="s">
        <v>55</v>
      </c>
      <c r="AI2022" s="10" t="s">
        <v>67</v>
      </c>
      <c r="AJ2022" s="8">
        <f>COUNTIF($E$2022:$AI$2022,"P")</f>
        <v>21</v>
      </c>
      <c r="AK2022" s="8">
        <f>COUNTIF($E$2022:$AI$2022,"A")</f>
        <v>5</v>
      </c>
      <c r="AL2022" s="8">
        <f>SUM($E$2023:$AI$2023)</f>
        <v>32</v>
      </c>
      <c r="AM2022" s="8">
        <f>SUM($E$2024:$AI$2024)</f>
        <v>146</v>
      </c>
      <c r="AN2022" s="8">
        <f>AL2022+AM2022</f>
        <v>178</v>
      </c>
      <c r="AO2022" s="8">
        <f>COUNTIF($E$2022:$AI$2022,"CL")</f>
        <v>0</v>
      </c>
      <c r="AP2022" s="8">
        <f>COUNTIF($E$2022:$AI$2022,"SL")</f>
        <v>0</v>
      </c>
      <c r="AQ2022" s="8">
        <f>COUNTIF($E$2022:$AI$2022,"EL")</f>
        <v>0</v>
      </c>
      <c r="AR2022" s="8">
        <f>COUNTIF($E$2022:$AI$2022,"H")</f>
        <v>0</v>
      </c>
      <c r="AS2022" s="8"/>
      <c r="AT2022" s="11" t="s">
        <v>256</v>
      </c>
    </row>
    <row r="2023" spans="1:46" ht="15.1" customHeight="1">
      <c r="A2023" s="8"/>
      <c r="B2023" s="9"/>
      <c r="C2023" s="8"/>
      <c r="D2023" s="9"/>
      <c r="E2023" s="8">
        <v>2</v>
      </c>
      <c r="F2023" s="8">
        <v>2</v>
      </c>
      <c r="G2023" s="8">
        <v>0</v>
      </c>
      <c r="H2023" s="8">
        <v>2</v>
      </c>
      <c r="I2023" s="8">
        <v>2</v>
      </c>
      <c r="J2023" s="8">
        <v>2</v>
      </c>
      <c r="K2023" s="8">
        <v>2</v>
      </c>
      <c r="L2023" s="8">
        <v>2</v>
      </c>
      <c r="M2023" s="8">
        <v>2</v>
      </c>
      <c r="N2023" s="8">
        <v>0</v>
      </c>
      <c r="O2023" s="8">
        <v>2</v>
      </c>
      <c r="P2023" s="8">
        <v>2</v>
      </c>
      <c r="Q2023" s="8">
        <v>2</v>
      </c>
      <c r="R2023" s="8">
        <v>2</v>
      </c>
      <c r="S2023" s="8">
        <v>2</v>
      </c>
      <c r="T2023" s="8">
        <v>0</v>
      </c>
      <c r="U2023" s="8">
        <v>0</v>
      </c>
      <c r="V2023" s="8">
        <v>2</v>
      </c>
      <c r="W2023" s="8">
        <v>2</v>
      </c>
      <c r="X2023" s="8">
        <v>2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11" t="s">
        <v>256</v>
      </c>
    </row>
    <row r="2024" spans="1:46" ht="15.1" customHeight="1">
      <c r="A2024" s="8"/>
      <c r="B2024" s="9"/>
      <c r="C2024" s="8"/>
      <c r="D2024" s="9"/>
      <c r="E2024" s="8">
        <v>1</v>
      </c>
      <c r="F2024" s="8">
        <v>3</v>
      </c>
      <c r="G2024" s="8">
        <v>15</v>
      </c>
      <c r="H2024" s="8">
        <v>7</v>
      </c>
      <c r="I2024" s="8">
        <v>7</v>
      </c>
      <c r="J2024" s="8">
        <v>6</v>
      </c>
      <c r="K2024" s="8">
        <v>7</v>
      </c>
      <c r="L2024" s="8">
        <v>7</v>
      </c>
      <c r="M2024" s="8">
        <v>5</v>
      </c>
      <c r="N2024" s="8">
        <v>17</v>
      </c>
      <c r="O2024" s="8">
        <v>7</v>
      </c>
      <c r="P2024" s="8">
        <v>7</v>
      </c>
      <c r="Q2024" s="8">
        <v>7</v>
      </c>
      <c r="R2024" s="8">
        <v>11</v>
      </c>
      <c r="S2024" s="8">
        <v>7</v>
      </c>
      <c r="T2024" s="8">
        <v>0</v>
      </c>
      <c r="U2024" s="8">
        <v>13</v>
      </c>
      <c r="V2024" s="8">
        <v>7</v>
      </c>
      <c r="W2024" s="8">
        <v>7</v>
      </c>
      <c r="X2024" s="8">
        <v>5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11" t="s">
        <v>256</v>
      </c>
    </row>
    <row r="2025" spans="1:46" ht="15.1" customHeight="1">
      <c r="A2025" s="8">
        <v>674</v>
      </c>
      <c r="B2025" s="9" t="s">
        <v>1590</v>
      </c>
      <c r="C2025" s="8" t="s">
        <v>1591</v>
      </c>
      <c r="D2025" s="9" t="s">
        <v>451</v>
      </c>
      <c r="E2025" s="8" t="s">
        <v>54</v>
      </c>
      <c r="F2025" s="8" t="s">
        <v>54</v>
      </c>
      <c r="G2025" s="10" t="s">
        <v>67</v>
      </c>
      <c r="H2025" s="8" t="s">
        <v>54</v>
      </c>
      <c r="I2025" s="8" t="s">
        <v>54</v>
      </c>
      <c r="J2025" s="8" t="s">
        <v>54</v>
      </c>
      <c r="K2025" s="8" t="s">
        <v>54</v>
      </c>
      <c r="L2025" s="8" t="s">
        <v>54</v>
      </c>
      <c r="M2025" s="8" t="s">
        <v>54</v>
      </c>
      <c r="N2025" s="10" t="s">
        <v>67</v>
      </c>
      <c r="O2025" s="8" t="s">
        <v>54</v>
      </c>
      <c r="P2025" s="8" t="s">
        <v>54</v>
      </c>
      <c r="Q2025" s="8" t="s">
        <v>54</v>
      </c>
      <c r="R2025" s="8" t="s">
        <v>54</v>
      </c>
      <c r="S2025" s="8" t="s">
        <v>54</v>
      </c>
      <c r="T2025" s="8" t="s">
        <v>54</v>
      </c>
      <c r="U2025" s="10" t="s">
        <v>67</v>
      </c>
      <c r="V2025" s="8" t="s">
        <v>54</v>
      </c>
      <c r="W2025" s="8" t="s">
        <v>54</v>
      </c>
      <c r="X2025" s="8" t="s">
        <v>54</v>
      </c>
      <c r="Y2025" s="8" t="s">
        <v>54</v>
      </c>
      <c r="Z2025" s="8" t="s">
        <v>54</v>
      </c>
      <c r="AA2025" s="8" t="s">
        <v>54</v>
      </c>
      <c r="AB2025" s="10" t="s">
        <v>67</v>
      </c>
      <c r="AC2025" s="8" t="s">
        <v>54</v>
      </c>
      <c r="AD2025" s="8" t="s">
        <v>54</v>
      </c>
      <c r="AE2025" s="8" t="s">
        <v>54</v>
      </c>
      <c r="AF2025" s="8" t="s">
        <v>54</v>
      </c>
      <c r="AG2025" s="8" t="s">
        <v>54</v>
      </c>
      <c r="AH2025" s="12" t="s">
        <v>55</v>
      </c>
      <c r="AI2025" s="10" t="s">
        <v>67</v>
      </c>
      <c r="AJ2025" s="8">
        <f>COUNTIF($E$2025:$AI$2025,"P")</f>
        <v>25</v>
      </c>
      <c r="AK2025" s="8">
        <f>COUNTIF($E$2025:$AI$2025,"A")</f>
        <v>1</v>
      </c>
      <c r="AL2025" s="8">
        <f>SUM($E$2026:$AI$2026)</f>
        <v>33</v>
      </c>
      <c r="AM2025" s="8">
        <f>SUM($E$2027:$AI$2027)</f>
        <v>146</v>
      </c>
      <c r="AN2025" s="8">
        <f>AL2025+AM2025</f>
        <v>179</v>
      </c>
      <c r="AO2025" s="8">
        <f>COUNTIF($E$2025:$AI$2025,"CL")</f>
        <v>0</v>
      </c>
      <c r="AP2025" s="8">
        <f>COUNTIF($E$2025:$AI$2025,"SL")</f>
        <v>0</v>
      </c>
      <c r="AQ2025" s="8">
        <f>COUNTIF($E$2025:$AI$2025,"EL")</f>
        <v>0</v>
      </c>
      <c r="AR2025" s="8">
        <f>COUNTIF($E$2025:$AI$2025,"H")</f>
        <v>0</v>
      </c>
      <c r="AS2025" s="8"/>
      <c r="AT2025" s="11" t="s">
        <v>256</v>
      </c>
    </row>
    <row r="2026" spans="1:46" ht="15.1" customHeight="1">
      <c r="A2026" s="8"/>
      <c r="B2026" s="9"/>
      <c r="C2026" s="8"/>
      <c r="D2026" s="9"/>
      <c r="E2026" s="8">
        <v>0</v>
      </c>
      <c r="F2026" s="8">
        <v>2</v>
      </c>
      <c r="G2026" s="8">
        <v>0</v>
      </c>
      <c r="H2026" s="8">
        <v>2</v>
      </c>
      <c r="I2026" s="8">
        <v>2</v>
      </c>
      <c r="J2026" s="8">
        <v>2</v>
      </c>
      <c r="K2026" s="8">
        <v>2</v>
      </c>
      <c r="L2026" s="8">
        <v>2</v>
      </c>
      <c r="M2026" s="8">
        <v>2</v>
      </c>
      <c r="N2026" s="8">
        <v>0</v>
      </c>
      <c r="O2026" s="8">
        <v>2</v>
      </c>
      <c r="P2026" s="8">
        <v>2</v>
      </c>
      <c r="Q2026" s="8">
        <v>2</v>
      </c>
      <c r="R2026" s="8">
        <v>2</v>
      </c>
      <c r="S2026" s="8">
        <v>2</v>
      </c>
      <c r="T2026" s="8">
        <v>0</v>
      </c>
      <c r="U2026" s="8">
        <v>0</v>
      </c>
      <c r="V2026" s="8">
        <v>2</v>
      </c>
      <c r="W2026" s="8">
        <v>2</v>
      </c>
      <c r="X2026" s="8">
        <v>2</v>
      </c>
      <c r="Y2026" s="8">
        <v>0</v>
      </c>
      <c r="Z2026" s="8">
        <v>0</v>
      </c>
      <c r="AA2026" s="8">
        <v>1</v>
      </c>
      <c r="AB2026" s="8">
        <v>0</v>
      </c>
      <c r="AC2026" s="8">
        <v>0</v>
      </c>
      <c r="AD2026" s="8">
        <v>2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11" t="s">
        <v>256</v>
      </c>
    </row>
    <row r="2027" spans="1:46" ht="15.1" customHeight="1">
      <c r="A2027" s="8"/>
      <c r="B2027" s="9"/>
      <c r="C2027" s="8"/>
      <c r="D2027" s="9"/>
      <c r="E2027" s="8">
        <v>0</v>
      </c>
      <c r="F2027" s="8">
        <v>3</v>
      </c>
      <c r="G2027" s="8">
        <v>15</v>
      </c>
      <c r="H2027" s="8">
        <v>7</v>
      </c>
      <c r="I2027" s="8">
        <v>7</v>
      </c>
      <c r="J2027" s="8">
        <v>6</v>
      </c>
      <c r="K2027" s="8">
        <v>7</v>
      </c>
      <c r="L2027" s="8">
        <v>7</v>
      </c>
      <c r="M2027" s="8">
        <v>5</v>
      </c>
      <c r="N2027" s="8">
        <v>17</v>
      </c>
      <c r="O2027" s="8">
        <v>7</v>
      </c>
      <c r="P2027" s="8">
        <v>7</v>
      </c>
      <c r="Q2027" s="8">
        <v>7</v>
      </c>
      <c r="R2027" s="8">
        <v>11</v>
      </c>
      <c r="S2027" s="8">
        <v>3</v>
      </c>
      <c r="T2027" s="8">
        <v>0</v>
      </c>
      <c r="U2027" s="8">
        <v>13</v>
      </c>
      <c r="V2027" s="8">
        <v>7</v>
      </c>
      <c r="W2027" s="8">
        <v>7</v>
      </c>
      <c r="X2027" s="8">
        <v>5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5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11" t="s">
        <v>256</v>
      </c>
    </row>
    <row r="2028" spans="1:46" ht="15.1" customHeight="1">
      <c r="A2028" s="8">
        <v>675</v>
      </c>
      <c r="B2028" s="9" t="s">
        <v>1592</v>
      </c>
      <c r="C2028" s="8" t="s">
        <v>1593</v>
      </c>
      <c r="D2028" s="9" t="s">
        <v>451</v>
      </c>
      <c r="E2028" s="8" t="s">
        <v>54</v>
      </c>
      <c r="F2028" s="8" t="s">
        <v>54</v>
      </c>
      <c r="G2028" s="10" t="s">
        <v>67</v>
      </c>
      <c r="H2028" s="8" t="s">
        <v>54</v>
      </c>
      <c r="I2028" s="8" t="s">
        <v>54</v>
      </c>
      <c r="J2028" s="8" t="s">
        <v>54</v>
      </c>
      <c r="K2028" s="8" t="s">
        <v>54</v>
      </c>
      <c r="L2028" s="8" t="s">
        <v>54</v>
      </c>
      <c r="M2028" s="8" t="s">
        <v>54</v>
      </c>
      <c r="N2028" s="10" t="s">
        <v>67</v>
      </c>
      <c r="O2028" s="8" t="s">
        <v>54</v>
      </c>
      <c r="P2028" s="8" t="s">
        <v>54</v>
      </c>
      <c r="Q2028" s="8" t="s">
        <v>54</v>
      </c>
      <c r="R2028" s="8" t="s">
        <v>54</v>
      </c>
      <c r="S2028" s="8" t="s">
        <v>54</v>
      </c>
      <c r="T2028" s="8" t="s">
        <v>54</v>
      </c>
      <c r="U2028" s="10" t="s">
        <v>67</v>
      </c>
      <c r="V2028" s="8" t="s">
        <v>54</v>
      </c>
      <c r="W2028" s="8" t="s">
        <v>54</v>
      </c>
      <c r="X2028" s="8" t="s">
        <v>54</v>
      </c>
      <c r="Y2028" s="8" t="s">
        <v>54</v>
      </c>
      <c r="Z2028" s="8" t="s">
        <v>54</v>
      </c>
      <c r="AA2028" s="8" t="s">
        <v>54</v>
      </c>
      <c r="AB2028" s="10" t="s">
        <v>67</v>
      </c>
      <c r="AC2028" s="8" t="s">
        <v>54</v>
      </c>
      <c r="AD2028" s="8" t="s">
        <v>54</v>
      </c>
      <c r="AE2028" s="8" t="s">
        <v>54</v>
      </c>
      <c r="AF2028" s="8" t="s">
        <v>54</v>
      </c>
      <c r="AG2028" s="8" t="s">
        <v>54</v>
      </c>
      <c r="AH2028" s="12" t="s">
        <v>55</v>
      </c>
      <c r="AI2028" s="10" t="s">
        <v>67</v>
      </c>
      <c r="AJ2028" s="8">
        <f>COUNTIF($E$2028:$AI$2028,"P")</f>
        <v>25</v>
      </c>
      <c r="AK2028" s="8">
        <f>COUNTIF($E$2028:$AI$2028,"A")</f>
        <v>1</v>
      </c>
      <c r="AL2028" s="8">
        <f>SUM($E$2029:$AI$2029)</f>
        <v>34</v>
      </c>
      <c r="AM2028" s="8">
        <f>SUM($E$2030:$AI$2030)</f>
        <v>143</v>
      </c>
      <c r="AN2028" s="8">
        <f>AL2028+AM2028</f>
        <v>177</v>
      </c>
      <c r="AO2028" s="8">
        <f>COUNTIF($E$2028:$AI$2028,"CL")</f>
        <v>0</v>
      </c>
      <c r="AP2028" s="8">
        <f>COUNTIF($E$2028:$AI$2028,"SL")</f>
        <v>0</v>
      </c>
      <c r="AQ2028" s="8">
        <f>COUNTIF($E$2028:$AI$2028,"EL")</f>
        <v>0</v>
      </c>
      <c r="AR2028" s="8">
        <f>COUNTIF($E$2028:$AI$2028,"H")</f>
        <v>0</v>
      </c>
      <c r="AS2028" s="8"/>
      <c r="AT2028" s="11" t="s">
        <v>256</v>
      </c>
    </row>
    <row r="2029" spans="1:46" ht="15.1" customHeight="1">
      <c r="A2029" s="8"/>
      <c r="B2029" s="9"/>
      <c r="C2029" s="8"/>
      <c r="D2029" s="9"/>
      <c r="E2029" s="8">
        <v>2</v>
      </c>
      <c r="F2029" s="8">
        <v>2</v>
      </c>
      <c r="G2029" s="8">
        <v>0</v>
      </c>
      <c r="H2029" s="8">
        <v>2</v>
      </c>
      <c r="I2029" s="8">
        <v>2</v>
      </c>
      <c r="J2029" s="8">
        <v>2</v>
      </c>
      <c r="K2029" s="8">
        <v>2</v>
      </c>
      <c r="L2029" s="8">
        <v>2</v>
      </c>
      <c r="M2029" s="8">
        <v>2</v>
      </c>
      <c r="N2029" s="8">
        <v>0</v>
      </c>
      <c r="O2029" s="8">
        <v>2</v>
      </c>
      <c r="P2029" s="8">
        <v>2</v>
      </c>
      <c r="Q2029" s="8">
        <v>2</v>
      </c>
      <c r="R2029" s="8">
        <v>2</v>
      </c>
      <c r="S2029" s="8">
        <v>2</v>
      </c>
      <c r="T2029" s="8">
        <v>0</v>
      </c>
      <c r="U2029" s="8">
        <v>0</v>
      </c>
      <c r="V2029" s="8">
        <v>2</v>
      </c>
      <c r="W2029" s="8">
        <v>2</v>
      </c>
      <c r="X2029" s="8">
        <v>2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2</v>
      </c>
      <c r="AE2029" s="8">
        <v>0</v>
      </c>
      <c r="AF2029" s="8">
        <v>0</v>
      </c>
      <c r="AG2029" s="8">
        <v>0</v>
      </c>
      <c r="AH2029" s="8">
        <v>0</v>
      </c>
      <c r="AI2029" s="8">
        <v>0</v>
      </c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11" t="s">
        <v>256</v>
      </c>
    </row>
    <row r="2030" spans="1:46" ht="15.1" customHeight="1">
      <c r="A2030" s="8"/>
      <c r="B2030" s="9"/>
      <c r="C2030" s="8"/>
      <c r="D2030" s="9"/>
      <c r="E2030" s="8">
        <v>1</v>
      </c>
      <c r="F2030" s="8">
        <v>3</v>
      </c>
      <c r="G2030" s="8">
        <v>15</v>
      </c>
      <c r="H2030" s="8">
        <v>7</v>
      </c>
      <c r="I2030" s="8">
        <v>7</v>
      </c>
      <c r="J2030" s="8">
        <v>6</v>
      </c>
      <c r="K2030" s="8">
        <v>5</v>
      </c>
      <c r="L2030" s="8">
        <v>7</v>
      </c>
      <c r="M2030" s="8">
        <v>5</v>
      </c>
      <c r="N2030" s="8">
        <v>20.5</v>
      </c>
      <c r="O2030" s="8">
        <v>4</v>
      </c>
      <c r="P2030" s="8">
        <v>7</v>
      </c>
      <c r="Q2030" s="8">
        <v>2.5</v>
      </c>
      <c r="R2030" s="8">
        <v>10</v>
      </c>
      <c r="S2030" s="8">
        <v>11</v>
      </c>
      <c r="T2030" s="8">
        <v>0</v>
      </c>
      <c r="U2030" s="8">
        <v>13</v>
      </c>
      <c r="V2030" s="8">
        <v>7</v>
      </c>
      <c r="W2030" s="8">
        <v>7</v>
      </c>
      <c r="X2030" s="8">
        <v>5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11" t="s">
        <v>256</v>
      </c>
    </row>
    <row r="2031" spans="1:46" ht="15.1" customHeight="1">
      <c r="A2031" s="8">
        <v>676</v>
      </c>
      <c r="B2031" s="9" t="s">
        <v>1594</v>
      </c>
      <c r="C2031" s="8" t="s">
        <v>1595</v>
      </c>
      <c r="D2031" s="9" t="s">
        <v>451</v>
      </c>
      <c r="E2031" s="12" t="s">
        <v>55</v>
      </c>
      <c r="F2031" s="12" t="s">
        <v>55</v>
      </c>
      <c r="G2031" s="10" t="s">
        <v>67</v>
      </c>
      <c r="H2031" s="8" t="s">
        <v>54</v>
      </c>
      <c r="I2031" s="8" t="s">
        <v>54</v>
      </c>
      <c r="J2031" s="8" t="s">
        <v>54</v>
      </c>
      <c r="K2031" s="8" t="s">
        <v>54</v>
      </c>
      <c r="L2031" s="8" t="s">
        <v>54</v>
      </c>
      <c r="M2031" s="12" t="s">
        <v>55</v>
      </c>
      <c r="N2031" s="10" t="s">
        <v>67</v>
      </c>
      <c r="O2031" s="12" t="s">
        <v>55</v>
      </c>
      <c r="P2031" s="12" t="s">
        <v>55</v>
      </c>
      <c r="Q2031" s="12" t="s">
        <v>55</v>
      </c>
      <c r="R2031" s="12" t="s">
        <v>55</v>
      </c>
      <c r="S2031" s="12" t="s">
        <v>55</v>
      </c>
      <c r="T2031" s="12" t="s">
        <v>55</v>
      </c>
      <c r="U2031" s="10" t="s">
        <v>67</v>
      </c>
      <c r="V2031" s="12" t="s">
        <v>55</v>
      </c>
      <c r="W2031" s="12" t="s">
        <v>55</v>
      </c>
      <c r="X2031" s="8" t="s">
        <v>54</v>
      </c>
      <c r="Y2031" s="8" t="s">
        <v>54</v>
      </c>
      <c r="Z2031" s="8" t="s">
        <v>54</v>
      </c>
      <c r="AA2031" s="8" t="s">
        <v>54</v>
      </c>
      <c r="AB2031" s="10" t="s">
        <v>67</v>
      </c>
      <c r="AC2031" s="8" t="s">
        <v>54</v>
      </c>
      <c r="AD2031" s="8" t="s">
        <v>54</v>
      </c>
      <c r="AE2031" s="8" t="s">
        <v>54</v>
      </c>
      <c r="AF2031" s="8" t="s">
        <v>54</v>
      </c>
      <c r="AG2031" s="8" t="s">
        <v>54</v>
      </c>
      <c r="AH2031" s="12" t="s">
        <v>55</v>
      </c>
      <c r="AI2031" s="10" t="s">
        <v>67</v>
      </c>
      <c r="AJ2031" s="8">
        <f>COUNTIF($E$2031:$AI$2031,"P")</f>
        <v>14</v>
      </c>
      <c r="AK2031" s="8">
        <f>COUNTIF($E$2031:$AI$2031,"A")</f>
        <v>12</v>
      </c>
      <c r="AL2031" s="8">
        <f>SUM($E$2032:$AI$2032)</f>
        <v>16</v>
      </c>
      <c r="AM2031" s="8">
        <f>SUM($E$2033:$AI$2033)</f>
        <v>51.5</v>
      </c>
      <c r="AN2031" s="8">
        <f>AL2031+AM2031</f>
        <v>67.5</v>
      </c>
      <c r="AO2031" s="8">
        <f>COUNTIF($E$2031:$AI$2031,"CL")</f>
        <v>0</v>
      </c>
      <c r="AP2031" s="8">
        <f>COUNTIF($E$2031:$AI$2031,"SL")</f>
        <v>0</v>
      </c>
      <c r="AQ2031" s="8">
        <f>COUNTIF($E$2031:$AI$2031,"EL")</f>
        <v>0</v>
      </c>
      <c r="AR2031" s="8">
        <f>COUNTIF($E$2031:$AI$2031,"H")</f>
        <v>0</v>
      </c>
      <c r="AS2031" s="8"/>
      <c r="AT2031" s="11" t="s">
        <v>256</v>
      </c>
    </row>
    <row r="2032" spans="1:46" ht="15.1" customHeight="1">
      <c r="A2032" s="8"/>
      <c r="B2032" s="9"/>
      <c r="C2032" s="8"/>
      <c r="D2032" s="9"/>
      <c r="E2032" s="8">
        <v>0</v>
      </c>
      <c r="F2032" s="8">
        <v>0</v>
      </c>
      <c r="G2032" s="8">
        <v>0</v>
      </c>
      <c r="H2032" s="8">
        <v>2</v>
      </c>
      <c r="I2032" s="8">
        <v>2</v>
      </c>
      <c r="J2032" s="8">
        <v>2</v>
      </c>
      <c r="K2032" s="8">
        <v>2</v>
      </c>
      <c r="L2032" s="8">
        <v>2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2</v>
      </c>
      <c r="Y2032" s="8">
        <v>0</v>
      </c>
      <c r="Z2032" s="8">
        <v>0</v>
      </c>
      <c r="AA2032" s="8">
        <v>0</v>
      </c>
      <c r="AB2032" s="8">
        <v>0</v>
      </c>
      <c r="AC2032" s="8">
        <v>2</v>
      </c>
      <c r="AD2032" s="8">
        <v>2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11" t="s">
        <v>256</v>
      </c>
    </row>
    <row r="2033" spans="1:46" ht="15.1" customHeight="1">
      <c r="A2033" s="8"/>
      <c r="B2033" s="9"/>
      <c r="C2033" s="8"/>
      <c r="D2033" s="9"/>
      <c r="E2033" s="8">
        <v>0</v>
      </c>
      <c r="F2033" s="8">
        <v>0</v>
      </c>
      <c r="G2033" s="8">
        <v>0</v>
      </c>
      <c r="H2033" s="8">
        <v>7</v>
      </c>
      <c r="I2033" s="8">
        <v>7</v>
      </c>
      <c r="J2033" s="8">
        <v>10.5</v>
      </c>
      <c r="K2033" s="8">
        <v>1</v>
      </c>
      <c r="L2033" s="8">
        <v>10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8">
        <v>9</v>
      </c>
      <c r="Y2033" s="8">
        <v>0</v>
      </c>
      <c r="Z2033" s="8">
        <v>0</v>
      </c>
      <c r="AA2033" s="8">
        <v>0</v>
      </c>
      <c r="AB2033" s="8">
        <v>0</v>
      </c>
      <c r="AC2033" s="8">
        <v>2</v>
      </c>
      <c r="AD2033" s="8">
        <v>5</v>
      </c>
      <c r="AE2033" s="8">
        <v>0</v>
      </c>
      <c r="AF2033" s="8">
        <v>0</v>
      </c>
      <c r="AG2033" s="8">
        <v>0</v>
      </c>
      <c r="AH2033" s="8">
        <v>0</v>
      </c>
      <c r="AI2033" s="8">
        <v>0</v>
      </c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11" t="s">
        <v>256</v>
      </c>
    </row>
    <row r="2034" spans="1:46" ht="15.1" customHeight="1">
      <c r="A2034" s="8">
        <v>677</v>
      </c>
      <c r="B2034" s="9" t="s">
        <v>1596</v>
      </c>
      <c r="C2034" s="8" t="s">
        <v>1597</v>
      </c>
      <c r="D2034" s="9" t="s">
        <v>451</v>
      </c>
      <c r="E2034" s="8" t="s">
        <v>54</v>
      </c>
      <c r="F2034" s="8" t="s">
        <v>54</v>
      </c>
      <c r="G2034" s="10" t="s">
        <v>67</v>
      </c>
      <c r="H2034" s="8" t="s">
        <v>54</v>
      </c>
      <c r="I2034" s="8" t="s">
        <v>54</v>
      </c>
      <c r="J2034" s="8" t="s">
        <v>54</v>
      </c>
      <c r="K2034" s="8" t="s">
        <v>54</v>
      </c>
      <c r="L2034" s="12" t="s">
        <v>55</v>
      </c>
      <c r="M2034" s="8" t="s">
        <v>54</v>
      </c>
      <c r="N2034" s="10" t="s">
        <v>67</v>
      </c>
      <c r="O2034" s="8" t="s">
        <v>54</v>
      </c>
      <c r="P2034" s="8" t="s">
        <v>54</v>
      </c>
      <c r="Q2034" s="8" t="s">
        <v>54</v>
      </c>
      <c r="R2034" s="8" t="s">
        <v>54</v>
      </c>
      <c r="S2034" s="8" t="s">
        <v>54</v>
      </c>
      <c r="T2034" s="8" t="s">
        <v>54</v>
      </c>
      <c r="U2034" s="10" t="s">
        <v>67</v>
      </c>
      <c r="V2034" s="8" t="s">
        <v>54</v>
      </c>
      <c r="W2034" s="8" t="s">
        <v>54</v>
      </c>
      <c r="X2034" s="8" t="s">
        <v>54</v>
      </c>
      <c r="Y2034" s="8" t="s">
        <v>54</v>
      </c>
      <c r="Z2034" s="8" t="s">
        <v>54</v>
      </c>
      <c r="AA2034" s="8" t="s">
        <v>54</v>
      </c>
      <c r="AB2034" s="10" t="s">
        <v>67</v>
      </c>
      <c r="AC2034" s="12" t="s">
        <v>55</v>
      </c>
      <c r="AD2034" s="8" t="s">
        <v>54</v>
      </c>
      <c r="AE2034" s="8" t="s">
        <v>54</v>
      </c>
      <c r="AF2034" s="8" t="s">
        <v>54</v>
      </c>
      <c r="AG2034" s="8" t="s">
        <v>54</v>
      </c>
      <c r="AH2034" s="12" t="s">
        <v>55</v>
      </c>
      <c r="AI2034" s="10" t="s">
        <v>67</v>
      </c>
      <c r="AJ2034" s="8">
        <f>COUNTIF($E$2034:$AI$2034,"P")</f>
        <v>23</v>
      </c>
      <c r="AK2034" s="8">
        <f>COUNTIF($E$2034:$AI$2034,"A")</f>
        <v>3</v>
      </c>
      <c r="AL2034" s="8">
        <f>SUM($E$2035:$AI$2035)</f>
        <v>34</v>
      </c>
      <c r="AM2034" s="8">
        <f>SUM($E$2036:$AI$2036)</f>
        <v>140.5</v>
      </c>
      <c r="AN2034" s="8">
        <f>AL2034+AM2034</f>
        <v>174.5</v>
      </c>
      <c r="AO2034" s="8">
        <f>COUNTIF($E$2034:$AI$2034,"CL")</f>
        <v>0</v>
      </c>
      <c r="AP2034" s="8">
        <f>COUNTIF($E$2034:$AI$2034,"SL")</f>
        <v>0</v>
      </c>
      <c r="AQ2034" s="8">
        <f>COUNTIF($E$2034:$AI$2034,"EL")</f>
        <v>0</v>
      </c>
      <c r="AR2034" s="8">
        <f>COUNTIF($E$2034:$AI$2034,"H")</f>
        <v>0</v>
      </c>
      <c r="AS2034" s="8"/>
      <c r="AT2034" s="11" t="s">
        <v>256</v>
      </c>
    </row>
    <row r="2035" spans="1:46" ht="15.1" customHeight="1">
      <c r="A2035" s="8"/>
      <c r="B2035" s="9"/>
      <c r="C2035" s="8"/>
      <c r="D2035" s="9"/>
      <c r="E2035" s="8">
        <v>2</v>
      </c>
      <c r="F2035" s="8">
        <v>2</v>
      </c>
      <c r="G2035" s="8">
        <v>0</v>
      </c>
      <c r="H2035" s="8">
        <v>2</v>
      </c>
      <c r="I2035" s="8">
        <v>2</v>
      </c>
      <c r="J2035" s="8">
        <v>2</v>
      </c>
      <c r="K2035" s="8">
        <v>2</v>
      </c>
      <c r="L2035" s="8">
        <v>0</v>
      </c>
      <c r="M2035" s="8">
        <v>2</v>
      </c>
      <c r="N2035" s="8">
        <v>0</v>
      </c>
      <c r="O2035" s="8">
        <v>2</v>
      </c>
      <c r="P2035" s="8">
        <v>2</v>
      </c>
      <c r="Q2035" s="8">
        <v>2</v>
      </c>
      <c r="R2035" s="8">
        <v>2</v>
      </c>
      <c r="S2035" s="8">
        <v>2</v>
      </c>
      <c r="T2035" s="8">
        <v>0</v>
      </c>
      <c r="U2035" s="8">
        <v>0</v>
      </c>
      <c r="V2035" s="8">
        <v>2</v>
      </c>
      <c r="W2035" s="8">
        <v>2</v>
      </c>
      <c r="X2035" s="8">
        <v>2</v>
      </c>
      <c r="Y2035" s="8">
        <v>2</v>
      </c>
      <c r="Z2035" s="8">
        <v>0</v>
      </c>
      <c r="AA2035" s="8">
        <v>0</v>
      </c>
      <c r="AB2035" s="8">
        <v>0</v>
      </c>
      <c r="AC2035" s="8">
        <v>0</v>
      </c>
      <c r="AD2035" s="8">
        <v>2</v>
      </c>
      <c r="AE2035" s="8">
        <v>0</v>
      </c>
      <c r="AF2035" s="8">
        <v>0</v>
      </c>
      <c r="AG2035" s="8">
        <v>0</v>
      </c>
      <c r="AH2035" s="8">
        <v>0</v>
      </c>
      <c r="AI2035" s="8">
        <v>0</v>
      </c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11" t="s">
        <v>256</v>
      </c>
    </row>
    <row r="2036" spans="1:46" ht="15.1" customHeight="1">
      <c r="A2036" s="8"/>
      <c r="B2036" s="9"/>
      <c r="C2036" s="8"/>
      <c r="D2036" s="9"/>
      <c r="E2036" s="8">
        <v>7</v>
      </c>
      <c r="F2036" s="8">
        <v>2</v>
      </c>
      <c r="G2036" s="8">
        <v>14.5</v>
      </c>
      <c r="H2036" s="8">
        <v>7</v>
      </c>
      <c r="I2036" s="8">
        <v>9.5</v>
      </c>
      <c r="J2036" s="8">
        <v>3.5</v>
      </c>
      <c r="K2036" s="8">
        <v>6</v>
      </c>
      <c r="L2036" s="8">
        <v>0</v>
      </c>
      <c r="M2036" s="8">
        <v>5</v>
      </c>
      <c r="N2036" s="8">
        <v>16.5</v>
      </c>
      <c r="O2036" s="8">
        <v>7</v>
      </c>
      <c r="P2036" s="8">
        <v>6.5</v>
      </c>
      <c r="Q2036" s="8">
        <v>10.5</v>
      </c>
      <c r="R2036" s="8">
        <v>5</v>
      </c>
      <c r="S2036" s="8">
        <v>9</v>
      </c>
      <c r="T2036" s="8">
        <v>0</v>
      </c>
      <c r="U2036" s="8">
        <v>0</v>
      </c>
      <c r="V2036" s="8">
        <v>8</v>
      </c>
      <c r="W2036" s="8">
        <v>6.5</v>
      </c>
      <c r="X2036" s="8">
        <v>9</v>
      </c>
      <c r="Y2036" s="8">
        <v>1</v>
      </c>
      <c r="Z2036" s="8">
        <v>0</v>
      </c>
      <c r="AA2036" s="8">
        <v>0</v>
      </c>
      <c r="AB2036" s="8">
        <v>0</v>
      </c>
      <c r="AC2036" s="8">
        <v>0</v>
      </c>
      <c r="AD2036" s="8">
        <v>7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11" t="s">
        <v>256</v>
      </c>
    </row>
    <row r="2037" spans="1:46" ht="15.1" customHeight="1">
      <c r="A2037" s="8">
        <v>678</v>
      </c>
      <c r="B2037" s="9" t="s">
        <v>1598</v>
      </c>
      <c r="C2037" s="8" t="s">
        <v>1599</v>
      </c>
      <c r="D2037" s="9" t="s">
        <v>451</v>
      </c>
      <c r="E2037" s="8" t="s">
        <v>54</v>
      </c>
      <c r="F2037" s="8" t="s">
        <v>54</v>
      </c>
      <c r="G2037" s="10" t="s">
        <v>67</v>
      </c>
      <c r="H2037" s="8" t="s">
        <v>54</v>
      </c>
      <c r="I2037" s="8" t="s">
        <v>54</v>
      </c>
      <c r="J2037" s="8" t="s">
        <v>54</v>
      </c>
      <c r="K2037" s="8" t="s">
        <v>54</v>
      </c>
      <c r="L2037" s="8" t="s">
        <v>54</v>
      </c>
      <c r="M2037" s="8" t="s">
        <v>54</v>
      </c>
      <c r="N2037" s="10" t="s">
        <v>67</v>
      </c>
      <c r="O2037" s="8" t="s">
        <v>54</v>
      </c>
      <c r="P2037" s="8" t="s">
        <v>54</v>
      </c>
      <c r="Q2037" s="8" t="s">
        <v>54</v>
      </c>
      <c r="R2037" s="8" t="s">
        <v>54</v>
      </c>
      <c r="S2037" s="8" t="s">
        <v>54</v>
      </c>
      <c r="T2037" s="8" t="s">
        <v>54</v>
      </c>
      <c r="U2037" s="10" t="s">
        <v>67</v>
      </c>
      <c r="V2037" s="8" t="s">
        <v>54</v>
      </c>
      <c r="W2037" s="8" t="s">
        <v>54</v>
      </c>
      <c r="X2037" s="8" t="s">
        <v>54</v>
      </c>
      <c r="Y2037" s="8" t="s">
        <v>54</v>
      </c>
      <c r="Z2037" s="12" t="s">
        <v>55</v>
      </c>
      <c r="AA2037" s="12" t="s">
        <v>55</v>
      </c>
      <c r="AB2037" s="10" t="s">
        <v>67</v>
      </c>
      <c r="AC2037" s="12" t="s">
        <v>55</v>
      </c>
      <c r="AD2037" s="8" t="s">
        <v>54</v>
      </c>
      <c r="AE2037" s="8" t="s">
        <v>54</v>
      </c>
      <c r="AF2037" s="8" t="s">
        <v>54</v>
      </c>
      <c r="AG2037" s="8" t="s">
        <v>54</v>
      </c>
      <c r="AH2037" s="12" t="s">
        <v>55</v>
      </c>
      <c r="AI2037" s="10" t="s">
        <v>67</v>
      </c>
      <c r="AJ2037" s="8">
        <f>COUNTIF($E$2037:$AI$2037,"P")</f>
        <v>22</v>
      </c>
      <c r="AK2037" s="8">
        <f>COUNTIF($E$2037:$AI$2037,"A")</f>
        <v>4</v>
      </c>
      <c r="AL2037" s="8">
        <f>SUM($E$2038:$AI$2038)</f>
        <v>34</v>
      </c>
      <c r="AM2037" s="8">
        <f>SUM($E$2039:$AI$2039)</f>
        <v>151</v>
      </c>
      <c r="AN2037" s="8">
        <f>AL2037+AM2037</f>
        <v>185</v>
      </c>
      <c r="AO2037" s="8">
        <f>COUNTIF($E$2037:$AI$2037,"CL")</f>
        <v>0</v>
      </c>
      <c r="AP2037" s="8">
        <f>COUNTIF($E$2037:$AI$2037,"SL")</f>
        <v>0</v>
      </c>
      <c r="AQ2037" s="8">
        <f>COUNTIF($E$2037:$AI$2037,"EL")</f>
        <v>0</v>
      </c>
      <c r="AR2037" s="8">
        <f>COUNTIF($E$2037:$AI$2037,"H")</f>
        <v>0</v>
      </c>
      <c r="AS2037" s="8"/>
      <c r="AT2037" s="11" t="s">
        <v>256</v>
      </c>
    </row>
    <row r="2038" spans="1:46" ht="15.1" customHeight="1">
      <c r="A2038" s="8"/>
      <c r="B2038" s="9"/>
      <c r="C2038" s="8"/>
      <c r="D2038" s="9"/>
      <c r="E2038" s="8">
        <v>2</v>
      </c>
      <c r="F2038" s="8">
        <v>2</v>
      </c>
      <c r="G2038" s="8">
        <v>0</v>
      </c>
      <c r="H2038" s="8">
        <v>2</v>
      </c>
      <c r="I2038" s="8">
        <v>2</v>
      </c>
      <c r="J2038" s="8">
        <v>2</v>
      </c>
      <c r="K2038" s="8">
        <v>2</v>
      </c>
      <c r="L2038" s="8">
        <v>2</v>
      </c>
      <c r="M2038" s="8">
        <v>2</v>
      </c>
      <c r="N2038" s="8">
        <v>0</v>
      </c>
      <c r="O2038" s="8">
        <v>2</v>
      </c>
      <c r="P2038" s="8">
        <v>2</v>
      </c>
      <c r="Q2038" s="8">
        <v>0</v>
      </c>
      <c r="R2038" s="8">
        <v>2</v>
      </c>
      <c r="S2038" s="8">
        <v>2</v>
      </c>
      <c r="T2038" s="8">
        <v>2</v>
      </c>
      <c r="U2038" s="8">
        <v>0</v>
      </c>
      <c r="V2038" s="8">
        <v>2</v>
      </c>
      <c r="W2038" s="8">
        <v>2</v>
      </c>
      <c r="X2038" s="8">
        <v>2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2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11" t="s">
        <v>256</v>
      </c>
    </row>
    <row r="2039" spans="1:46" ht="15.1" customHeight="1">
      <c r="A2039" s="8"/>
      <c r="B2039" s="9"/>
      <c r="C2039" s="8"/>
      <c r="D2039" s="9"/>
      <c r="E2039" s="8">
        <v>1</v>
      </c>
      <c r="F2039" s="8">
        <v>3</v>
      </c>
      <c r="G2039" s="8">
        <v>14.5</v>
      </c>
      <c r="H2039" s="8">
        <v>10</v>
      </c>
      <c r="I2039" s="8">
        <v>5</v>
      </c>
      <c r="J2039" s="8">
        <v>9.5</v>
      </c>
      <c r="K2039" s="8">
        <v>1</v>
      </c>
      <c r="L2039" s="8">
        <v>9.5</v>
      </c>
      <c r="M2039" s="8">
        <v>3</v>
      </c>
      <c r="N2039" s="8">
        <v>16.5</v>
      </c>
      <c r="O2039" s="8">
        <v>7</v>
      </c>
      <c r="P2039" s="8">
        <v>10</v>
      </c>
      <c r="Q2039" s="8">
        <v>0</v>
      </c>
      <c r="R2039" s="8">
        <v>7</v>
      </c>
      <c r="S2039" s="8">
        <v>7</v>
      </c>
      <c r="T2039" s="8">
        <v>6</v>
      </c>
      <c r="U2039" s="8">
        <v>12.5</v>
      </c>
      <c r="V2039" s="8">
        <v>7.5</v>
      </c>
      <c r="W2039" s="8">
        <v>7</v>
      </c>
      <c r="X2039" s="8">
        <v>9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5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11" t="s">
        <v>256</v>
      </c>
    </row>
    <row r="2040" spans="1:46" ht="15.1" customHeight="1">
      <c r="A2040" s="8">
        <v>679</v>
      </c>
      <c r="B2040" s="9" t="s">
        <v>1102</v>
      </c>
      <c r="C2040" s="8" t="s">
        <v>1600</v>
      </c>
      <c r="D2040" s="9" t="s">
        <v>451</v>
      </c>
      <c r="E2040" s="8" t="s">
        <v>54</v>
      </c>
      <c r="F2040" s="8" t="s">
        <v>54</v>
      </c>
      <c r="G2040" s="10" t="s">
        <v>67</v>
      </c>
      <c r="H2040" s="8" t="s">
        <v>54</v>
      </c>
      <c r="I2040" s="12" t="s">
        <v>55</v>
      </c>
      <c r="J2040" s="12" t="s">
        <v>55</v>
      </c>
      <c r="K2040" s="12" t="s">
        <v>55</v>
      </c>
      <c r="L2040" s="8" t="s">
        <v>54</v>
      </c>
      <c r="M2040" s="8" t="s">
        <v>54</v>
      </c>
      <c r="N2040" s="10" t="s">
        <v>67</v>
      </c>
      <c r="O2040" s="8" t="s">
        <v>54</v>
      </c>
      <c r="P2040" s="8" t="s">
        <v>54</v>
      </c>
      <c r="Q2040" s="8" t="s">
        <v>54</v>
      </c>
      <c r="R2040" s="8" t="s">
        <v>54</v>
      </c>
      <c r="S2040" s="8" t="s">
        <v>54</v>
      </c>
      <c r="T2040" s="8" t="s">
        <v>54</v>
      </c>
      <c r="U2040" s="10" t="s">
        <v>67</v>
      </c>
      <c r="V2040" s="8" t="s">
        <v>54</v>
      </c>
      <c r="W2040" s="12" t="s">
        <v>55</v>
      </c>
      <c r="X2040" s="8" t="s">
        <v>54</v>
      </c>
      <c r="Y2040" s="8" t="s">
        <v>54</v>
      </c>
      <c r="Z2040" s="8" t="s">
        <v>54</v>
      </c>
      <c r="AA2040" s="8" t="s">
        <v>54</v>
      </c>
      <c r="AB2040" s="10" t="s">
        <v>67</v>
      </c>
      <c r="AC2040" s="8" t="s">
        <v>54</v>
      </c>
      <c r="AD2040" s="8" t="s">
        <v>54</v>
      </c>
      <c r="AE2040" s="8" t="s">
        <v>54</v>
      </c>
      <c r="AF2040" s="12" t="s">
        <v>55</v>
      </c>
      <c r="AG2040" s="8" t="s">
        <v>54</v>
      </c>
      <c r="AH2040" s="12" t="s">
        <v>55</v>
      </c>
      <c r="AI2040" s="10" t="s">
        <v>67</v>
      </c>
      <c r="AJ2040" s="8">
        <f>COUNTIF($E$2040:$AI$2040,"P")</f>
        <v>20</v>
      </c>
      <c r="AK2040" s="8">
        <f>COUNTIF($E$2040:$AI$2040,"A")</f>
        <v>6</v>
      </c>
      <c r="AL2040" s="8">
        <f>SUM($E$2041:$AI$2041)</f>
        <v>30</v>
      </c>
      <c r="AM2040" s="8">
        <f>SUM($E$2042:$AI$2042)</f>
        <v>135</v>
      </c>
      <c r="AN2040" s="8">
        <f>AL2040+AM2040</f>
        <v>165</v>
      </c>
      <c r="AO2040" s="8">
        <f>COUNTIF($E$2040:$AI$2040,"CL")</f>
        <v>0</v>
      </c>
      <c r="AP2040" s="8">
        <f>COUNTIF($E$2040:$AI$2040,"SL")</f>
        <v>0</v>
      </c>
      <c r="AQ2040" s="8">
        <f>COUNTIF($E$2040:$AI$2040,"EL")</f>
        <v>0</v>
      </c>
      <c r="AR2040" s="8">
        <f>COUNTIF($E$2040:$AI$2040,"H")</f>
        <v>0</v>
      </c>
      <c r="AS2040" s="8"/>
      <c r="AT2040" s="11" t="s">
        <v>256</v>
      </c>
    </row>
    <row r="2041" spans="1:46" ht="15.1" customHeight="1">
      <c r="A2041" s="8"/>
      <c r="B2041" s="9"/>
      <c r="C2041" s="8"/>
      <c r="D2041" s="9"/>
      <c r="E2041" s="8">
        <v>2</v>
      </c>
      <c r="F2041" s="8">
        <v>2</v>
      </c>
      <c r="G2041" s="8">
        <v>0</v>
      </c>
      <c r="H2041" s="8">
        <v>2</v>
      </c>
      <c r="I2041" s="8">
        <v>0</v>
      </c>
      <c r="J2041" s="8">
        <v>0</v>
      </c>
      <c r="K2041" s="8">
        <v>0</v>
      </c>
      <c r="L2041" s="8">
        <v>2</v>
      </c>
      <c r="M2041" s="8">
        <v>2</v>
      </c>
      <c r="N2041" s="8">
        <v>0</v>
      </c>
      <c r="O2041" s="8">
        <v>2</v>
      </c>
      <c r="P2041" s="8">
        <v>2</v>
      </c>
      <c r="Q2041" s="8">
        <v>2</v>
      </c>
      <c r="R2041" s="8">
        <v>2</v>
      </c>
      <c r="S2041" s="8">
        <v>2</v>
      </c>
      <c r="T2041" s="8">
        <v>2</v>
      </c>
      <c r="U2041" s="8">
        <v>0</v>
      </c>
      <c r="V2041" s="8">
        <v>2</v>
      </c>
      <c r="W2041" s="8">
        <v>0</v>
      </c>
      <c r="X2041" s="8">
        <v>2</v>
      </c>
      <c r="Y2041" s="8">
        <v>1</v>
      </c>
      <c r="Z2041" s="8">
        <v>0</v>
      </c>
      <c r="AA2041" s="8">
        <v>1</v>
      </c>
      <c r="AB2041" s="8">
        <v>0</v>
      </c>
      <c r="AC2041" s="8">
        <v>0</v>
      </c>
      <c r="AD2041" s="8">
        <v>2</v>
      </c>
      <c r="AE2041" s="8">
        <v>0</v>
      </c>
      <c r="AF2041" s="8">
        <v>0</v>
      </c>
      <c r="AG2041" s="8">
        <v>0</v>
      </c>
      <c r="AH2041" s="8">
        <v>0</v>
      </c>
      <c r="AI2041" s="8">
        <v>0</v>
      </c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11" t="s">
        <v>256</v>
      </c>
    </row>
    <row r="2042" spans="1:46" ht="15.1" customHeight="1">
      <c r="A2042" s="8"/>
      <c r="B2042" s="9"/>
      <c r="C2042" s="8"/>
      <c r="D2042" s="9"/>
      <c r="E2042" s="8">
        <v>7</v>
      </c>
      <c r="F2042" s="8">
        <v>3</v>
      </c>
      <c r="G2042" s="8">
        <v>14</v>
      </c>
      <c r="H2042" s="8">
        <v>7</v>
      </c>
      <c r="I2042" s="8">
        <v>0</v>
      </c>
      <c r="J2042" s="8">
        <v>0</v>
      </c>
      <c r="K2042" s="8">
        <v>0</v>
      </c>
      <c r="L2042" s="8">
        <v>7</v>
      </c>
      <c r="M2042" s="8">
        <v>5</v>
      </c>
      <c r="N2042" s="8">
        <v>17</v>
      </c>
      <c r="O2042" s="8">
        <v>7</v>
      </c>
      <c r="P2042" s="8">
        <v>4</v>
      </c>
      <c r="Q2042" s="8">
        <v>8</v>
      </c>
      <c r="R2042" s="8">
        <v>7</v>
      </c>
      <c r="S2042" s="8">
        <v>7</v>
      </c>
      <c r="T2042" s="8">
        <v>7</v>
      </c>
      <c r="U2042" s="8">
        <v>13</v>
      </c>
      <c r="V2042" s="8">
        <v>8</v>
      </c>
      <c r="W2042" s="8">
        <v>0</v>
      </c>
      <c r="X2042" s="8">
        <v>9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5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11" t="s">
        <v>256</v>
      </c>
    </row>
    <row r="2043" spans="1:46" ht="15.1" customHeight="1">
      <c r="A2043" s="8">
        <v>680</v>
      </c>
      <c r="B2043" s="9" t="s">
        <v>1601</v>
      </c>
      <c r="C2043" s="8" t="s">
        <v>1602</v>
      </c>
      <c r="D2043" s="9" t="s">
        <v>451</v>
      </c>
      <c r="E2043" s="8" t="s">
        <v>54</v>
      </c>
      <c r="F2043" s="8" t="s">
        <v>54</v>
      </c>
      <c r="G2043" s="10" t="s">
        <v>67</v>
      </c>
      <c r="H2043" s="8" t="s">
        <v>54</v>
      </c>
      <c r="I2043" s="8" t="s">
        <v>54</v>
      </c>
      <c r="J2043" s="8" t="s">
        <v>54</v>
      </c>
      <c r="K2043" s="8" t="s">
        <v>54</v>
      </c>
      <c r="L2043" s="8" t="s">
        <v>54</v>
      </c>
      <c r="M2043" s="8" t="s">
        <v>54</v>
      </c>
      <c r="N2043" s="10" t="s">
        <v>67</v>
      </c>
      <c r="O2043" s="8" t="s">
        <v>54</v>
      </c>
      <c r="P2043" s="8" t="s">
        <v>54</v>
      </c>
      <c r="Q2043" s="8" t="s">
        <v>54</v>
      </c>
      <c r="R2043" s="8" t="s">
        <v>54</v>
      </c>
      <c r="S2043" s="8" t="s">
        <v>54</v>
      </c>
      <c r="T2043" s="8" t="s">
        <v>54</v>
      </c>
      <c r="U2043" s="10" t="s">
        <v>67</v>
      </c>
      <c r="V2043" s="8" t="s">
        <v>54</v>
      </c>
      <c r="W2043" s="8" t="s">
        <v>54</v>
      </c>
      <c r="X2043" s="8" t="s">
        <v>54</v>
      </c>
      <c r="Y2043" s="8" t="s">
        <v>54</v>
      </c>
      <c r="Z2043" s="8" t="s">
        <v>54</v>
      </c>
      <c r="AA2043" s="8" t="s">
        <v>54</v>
      </c>
      <c r="AB2043" s="10" t="s">
        <v>67</v>
      </c>
      <c r="AC2043" s="8" t="s">
        <v>54</v>
      </c>
      <c r="AD2043" s="8" t="s">
        <v>54</v>
      </c>
      <c r="AE2043" s="8" t="s">
        <v>54</v>
      </c>
      <c r="AF2043" s="8" t="s">
        <v>54</v>
      </c>
      <c r="AG2043" s="8" t="s">
        <v>54</v>
      </c>
      <c r="AH2043" s="12" t="s">
        <v>55</v>
      </c>
      <c r="AI2043" s="10" t="s">
        <v>67</v>
      </c>
      <c r="AJ2043" s="8">
        <f>COUNTIF($E$2043:$AI$2043,"P")</f>
        <v>25</v>
      </c>
      <c r="AK2043" s="8">
        <f>COUNTIF($E$2043:$AI$2043,"A")</f>
        <v>1</v>
      </c>
      <c r="AL2043" s="8">
        <f>SUM($E$2044:$AI$2044)</f>
        <v>38</v>
      </c>
      <c r="AM2043" s="8">
        <f>SUM($E$2045:$AI$2045)</f>
        <v>160.5</v>
      </c>
      <c r="AN2043" s="8">
        <f>AL2043+AM2043</f>
        <v>198.5</v>
      </c>
      <c r="AO2043" s="8">
        <f>COUNTIF($E$2043:$AI$2043,"CL")</f>
        <v>0</v>
      </c>
      <c r="AP2043" s="8">
        <f>COUNTIF($E$2043:$AI$2043,"SL")</f>
        <v>0</v>
      </c>
      <c r="AQ2043" s="8">
        <f>COUNTIF($E$2043:$AI$2043,"EL")</f>
        <v>0</v>
      </c>
      <c r="AR2043" s="8">
        <f>COUNTIF($E$2043:$AI$2043,"H")</f>
        <v>0</v>
      </c>
      <c r="AS2043" s="8"/>
      <c r="AT2043" s="11" t="s">
        <v>256</v>
      </c>
    </row>
    <row r="2044" spans="1:46" ht="15.1" customHeight="1">
      <c r="A2044" s="8"/>
      <c r="B2044" s="9"/>
      <c r="C2044" s="8"/>
      <c r="D2044" s="9"/>
      <c r="E2044" s="8">
        <v>2</v>
      </c>
      <c r="F2044" s="8">
        <v>2</v>
      </c>
      <c r="G2044" s="8">
        <v>0</v>
      </c>
      <c r="H2044" s="8">
        <v>2</v>
      </c>
      <c r="I2044" s="8">
        <v>2</v>
      </c>
      <c r="J2044" s="8">
        <v>2</v>
      </c>
      <c r="K2044" s="8">
        <v>2</v>
      </c>
      <c r="L2044" s="8">
        <v>2</v>
      </c>
      <c r="M2044" s="8">
        <v>2</v>
      </c>
      <c r="N2044" s="8">
        <v>0</v>
      </c>
      <c r="O2044" s="8">
        <v>2</v>
      </c>
      <c r="P2044" s="8">
        <v>2</v>
      </c>
      <c r="Q2044" s="8">
        <v>0</v>
      </c>
      <c r="R2044" s="8">
        <v>2</v>
      </c>
      <c r="S2044" s="8">
        <v>2</v>
      </c>
      <c r="T2044" s="8">
        <v>2</v>
      </c>
      <c r="U2044" s="8">
        <v>0</v>
      </c>
      <c r="V2044" s="8">
        <v>2</v>
      </c>
      <c r="W2044" s="8">
        <v>2</v>
      </c>
      <c r="X2044" s="8">
        <v>2</v>
      </c>
      <c r="Y2044" s="8">
        <v>0</v>
      </c>
      <c r="Z2044" s="8">
        <v>2</v>
      </c>
      <c r="AA2044" s="8">
        <v>0</v>
      </c>
      <c r="AB2044" s="8">
        <v>0</v>
      </c>
      <c r="AC2044" s="8">
        <v>2</v>
      </c>
      <c r="AD2044" s="8">
        <v>2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11" t="s">
        <v>256</v>
      </c>
    </row>
    <row r="2045" spans="1:46" ht="15.1" customHeight="1">
      <c r="A2045" s="8"/>
      <c r="B2045" s="9"/>
      <c r="C2045" s="8"/>
      <c r="D2045" s="9"/>
      <c r="E2045" s="8">
        <v>5</v>
      </c>
      <c r="F2045" s="8">
        <v>3</v>
      </c>
      <c r="G2045" s="8">
        <v>15</v>
      </c>
      <c r="H2045" s="8">
        <v>7</v>
      </c>
      <c r="I2045" s="8">
        <v>11</v>
      </c>
      <c r="J2045" s="8">
        <v>3</v>
      </c>
      <c r="K2045" s="8">
        <v>6</v>
      </c>
      <c r="L2045" s="8">
        <v>6</v>
      </c>
      <c r="M2045" s="8">
        <v>7</v>
      </c>
      <c r="N2045" s="8">
        <v>17</v>
      </c>
      <c r="O2045" s="8">
        <v>11</v>
      </c>
      <c r="P2045" s="8">
        <v>4</v>
      </c>
      <c r="Q2045" s="8">
        <v>0</v>
      </c>
      <c r="R2045" s="8">
        <v>7</v>
      </c>
      <c r="S2045" s="8">
        <v>7</v>
      </c>
      <c r="T2045" s="8">
        <v>7</v>
      </c>
      <c r="U2045" s="8">
        <v>13</v>
      </c>
      <c r="V2045" s="8">
        <v>8</v>
      </c>
      <c r="W2045" s="8">
        <v>7</v>
      </c>
      <c r="X2045" s="8">
        <v>7</v>
      </c>
      <c r="Y2045" s="8">
        <v>0</v>
      </c>
      <c r="Z2045" s="8">
        <v>2.5</v>
      </c>
      <c r="AA2045" s="8">
        <v>0</v>
      </c>
      <c r="AB2045" s="8">
        <v>0</v>
      </c>
      <c r="AC2045" s="8">
        <v>0</v>
      </c>
      <c r="AD2045" s="8">
        <v>7</v>
      </c>
      <c r="AE2045" s="8">
        <v>0</v>
      </c>
      <c r="AF2045" s="8">
        <v>0</v>
      </c>
      <c r="AG2045" s="8">
        <v>0</v>
      </c>
      <c r="AH2045" s="8">
        <v>0</v>
      </c>
      <c r="AI2045" s="8">
        <v>0</v>
      </c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11" t="s">
        <v>256</v>
      </c>
    </row>
    <row r="2046" spans="1:46" ht="15.1" customHeight="1">
      <c r="A2046" s="8">
        <v>681</v>
      </c>
      <c r="B2046" s="9" t="s">
        <v>1603</v>
      </c>
      <c r="C2046" s="8" t="s">
        <v>1604</v>
      </c>
      <c r="D2046" s="9" t="s">
        <v>451</v>
      </c>
      <c r="E2046" s="8" t="s">
        <v>54</v>
      </c>
      <c r="F2046" s="8" t="s">
        <v>54</v>
      </c>
      <c r="G2046" s="10" t="s">
        <v>67</v>
      </c>
      <c r="H2046" s="12" t="s">
        <v>55</v>
      </c>
      <c r="I2046" s="8" t="s">
        <v>54</v>
      </c>
      <c r="J2046" s="8" t="s">
        <v>54</v>
      </c>
      <c r="K2046" s="8" t="s">
        <v>54</v>
      </c>
      <c r="L2046" s="8" t="s">
        <v>54</v>
      </c>
      <c r="M2046" s="8" t="s">
        <v>54</v>
      </c>
      <c r="N2046" s="10" t="s">
        <v>67</v>
      </c>
      <c r="O2046" s="8" t="s">
        <v>54</v>
      </c>
      <c r="P2046" s="8" t="s">
        <v>54</v>
      </c>
      <c r="Q2046" s="8" t="s">
        <v>54</v>
      </c>
      <c r="R2046" s="8" t="s">
        <v>54</v>
      </c>
      <c r="S2046" s="8" t="s">
        <v>54</v>
      </c>
      <c r="T2046" s="8" t="s">
        <v>54</v>
      </c>
      <c r="U2046" s="10" t="s">
        <v>67</v>
      </c>
      <c r="V2046" s="8" t="s">
        <v>54</v>
      </c>
      <c r="W2046" s="8" t="s">
        <v>54</v>
      </c>
      <c r="X2046" s="12" t="s">
        <v>55</v>
      </c>
      <c r="Y2046" s="12" t="s">
        <v>55</v>
      </c>
      <c r="Z2046" s="12" t="s">
        <v>55</v>
      </c>
      <c r="AA2046" s="12" t="s">
        <v>55</v>
      </c>
      <c r="AB2046" s="10" t="s">
        <v>67</v>
      </c>
      <c r="AC2046" s="8" t="s">
        <v>54</v>
      </c>
      <c r="AD2046" s="8" t="s">
        <v>54</v>
      </c>
      <c r="AE2046" s="8" t="s">
        <v>54</v>
      </c>
      <c r="AF2046" s="8" t="s">
        <v>54</v>
      </c>
      <c r="AG2046" s="8" t="s">
        <v>54</v>
      </c>
      <c r="AH2046" s="12" t="s">
        <v>55</v>
      </c>
      <c r="AI2046" s="10" t="s">
        <v>67</v>
      </c>
      <c r="AJ2046" s="8">
        <f>COUNTIF($E$2046:$AI$2046,"P")</f>
        <v>20</v>
      </c>
      <c r="AK2046" s="8">
        <f>COUNTIF($E$2046:$AI$2046,"A")</f>
        <v>6</v>
      </c>
      <c r="AL2046" s="8">
        <f>SUM($E$2047:$AI$2047)</f>
        <v>32</v>
      </c>
      <c r="AM2046" s="8">
        <f>SUM($E$2048:$AI$2048)</f>
        <v>145</v>
      </c>
      <c r="AN2046" s="8">
        <f>AL2046+AM2046</f>
        <v>177</v>
      </c>
      <c r="AO2046" s="8">
        <f>COUNTIF($E$2046:$AI$2046,"CL")</f>
        <v>0</v>
      </c>
      <c r="AP2046" s="8">
        <f>COUNTIF($E$2046:$AI$2046,"SL")</f>
        <v>0</v>
      </c>
      <c r="AQ2046" s="8">
        <f>COUNTIF($E$2046:$AI$2046,"EL")</f>
        <v>0</v>
      </c>
      <c r="AR2046" s="8">
        <f>COUNTIF($E$2046:$AI$2046,"H")</f>
        <v>0</v>
      </c>
      <c r="AS2046" s="8"/>
      <c r="AT2046" s="11" t="s">
        <v>256</v>
      </c>
    </row>
    <row r="2047" spans="1:46" ht="15.1" customHeight="1">
      <c r="A2047" s="8"/>
      <c r="B2047" s="9"/>
      <c r="C2047" s="8"/>
      <c r="D2047" s="9"/>
      <c r="E2047" s="8">
        <v>2</v>
      </c>
      <c r="F2047" s="8">
        <v>2</v>
      </c>
      <c r="G2047" s="8">
        <v>0</v>
      </c>
      <c r="H2047" s="8">
        <v>0</v>
      </c>
      <c r="I2047" s="8">
        <v>2</v>
      </c>
      <c r="J2047" s="8">
        <v>2</v>
      </c>
      <c r="K2047" s="8">
        <v>2</v>
      </c>
      <c r="L2047" s="8">
        <v>2</v>
      </c>
      <c r="M2047" s="8">
        <v>2</v>
      </c>
      <c r="N2047" s="8">
        <v>0</v>
      </c>
      <c r="O2047" s="8">
        <v>2</v>
      </c>
      <c r="P2047" s="8">
        <v>2</v>
      </c>
      <c r="Q2047" s="8">
        <v>2</v>
      </c>
      <c r="R2047" s="8">
        <v>2</v>
      </c>
      <c r="S2047" s="8">
        <v>2</v>
      </c>
      <c r="T2047" s="8">
        <v>2</v>
      </c>
      <c r="U2047" s="8">
        <v>0</v>
      </c>
      <c r="V2047" s="8">
        <v>2</v>
      </c>
      <c r="W2047" s="8">
        <v>2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2</v>
      </c>
      <c r="AE2047" s="8">
        <v>0</v>
      </c>
      <c r="AF2047" s="8">
        <v>0</v>
      </c>
      <c r="AG2047" s="8">
        <v>0</v>
      </c>
      <c r="AH2047" s="8">
        <v>0</v>
      </c>
      <c r="AI2047" s="8">
        <v>0</v>
      </c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11" t="s">
        <v>256</v>
      </c>
    </row>
    <row r="2048" spans="1:46" ht="15.1" customHeight="1">
      <c r="A2048" s="8"/>
      <c r="B2048" s="9"/>
      <c r="C2048" s="8"/>
      <c r="D2048" s="9"/>
      <c r="E2048" s="8">
        <v>5</v>
      </c>
      <c r="F2048" s="8">
        <v>3</v>
      </c>
      <c r="G2048" s="8">
        <v>15</v>
      </c>
      <c r="H2048" s="8">
        <v>0</v>
      </c>
      <c r="I2048" s="8">
        <v>11</v>
      </c>
      <c r="J2048" s="8">
        <v>3</v>
      </c>
      <c r="K2048" s="8">
        <v>6</v>
      </c>
      <c r="L2048" s="8">
        <v>6.5</v>
      </c>
      <c r="M2048" s="8">
        <v>7</v>
      </c>
      <c r="N2048" s="8">
        <v>16.5</v>
      </c>
      <c r="O2048" s="8">
        <v>7</v>
      </c>
      <c r="P2048" s="8">
        <v>6.5</v>
      </c>
      <c r="Q2048" s="8">
        <v>7.5</v>
      </c>
      <c r="R2048" s="8">
        <v>6.5</v>
      </c>
      <c r="S2048" s="8">
        <v>6.5</v>
      </c>
      <c r="T2048" s="8">
        <v>8</v>
      </c>
      <c r="U2048" s="8">
        <v>11</v>
      </c>
      <c r="V2048" s="8">
        <v>7</v>
      </c>
      <c r="W2048" s="8">
        <v>7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5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11" t="s">
        <v>256</v>
      </c>
    </row>
    <row r="2049" spans="1:46" ht="15.1" customHeight="1">
      <c r="A2049" s="8">
        <v>682</v>
      </c>
      <c r="B2049" s="9" t="s">
        <v>1605</v>
      </c>
      <c r="C2049" s="8" t="s">
        <v>1606</v>
      </c>
      <c r="D2049" s="9" t="s">
        <v>451</v>
      </c>
      <c r="E2049" s="12" t="s">
        <v>55</v>
      </c>
      <c r="F2049" s="12" t="s">
        <v>55</v>
      </c>
      <c r="G2049" s="10" t="s">
        <v>67</v>
      </c>
      <c r="H2049" s="8" t="s">
        <v>54</v>
      </c>
      <c r="I2049" s="8" t="s">
        <v>54</v>
      </c>
      <c r="J2049" s="8" t="s">
        <v>54</v>
      </c>
      <c r="K2049" s="8" t="s">
        <v>54</v>
      </c>
      <c r="L2049" s="8" t="s">
        <v>54</v>
      </c>
      <c r="M2049" s="8" t="s">
        <v>54</v>
      </c>
      <c r="N2049" s="10" t="s">
        <v>67</v>
      </c>
      <c r="O2049" s="8" t="s">
        <v>54</v>
      </c>
      <c r="P2049" s="8" t="s">
        <v>54</v>
      </c>
      <c r="Q2049" s="8" t="s">
        <v>54</v>
      </c>
      <c r="R2049" s="8" t="s">
        <v>54</v>
      </c>
      <c r="S2049" s="8" t="s">
        <v>54</v>
      </c>
      <c r="T2049" s="8" t="s">
        <v>54</v>
      </c>
      <c r="U2049" s="10" t="s">
        <v>67</v>
      </c>
      <c r="V2049" s="12" t="s">
        <v>55</v>
      </c>
      <c r="W2049" s="12" t="s">
        <v>55</v>
      </c>
      <c r="X2049" s="12" t="s">
        <v>55</v>
      </c>
      <c r="Y2049" s="12" t="s">
        <v>55</v>
      </c>
      <c r="Z2049" s="8" t="s">
        <v>54</v>
      </c>
      <c r="AA2049" s="12" t="s">
        <v>55</v>
      </c>
      <c r="AB2049" s="10" t="s">
        <v>67</v>
      </c>
      <c r="AC2049" s="8" t="s">
        <v>54</v>
      </c>
      <c r="AD2049" s="8" t="s">
        <v>54</v>
      </c>
      <c r="AE2049" s="8" t="s">
        <v>54</v>
      </c>
      <c r="AF2049" s="8" t="s">
        <v>54</v>
      </c>
      <c r="AG2049" s="8" t="s">
        <v>54</v>
      </c>
      <c r="AH2049" s="12" t="s">
        <v>55</v>
      </c>
      <c r="AI2049" s="10" t="s">
        <v>67</v>
      </c>
      <c r="AJ2049" s="8">
        <f>COUNTIF($E$2049:$AI$2049,"P")</f>
        <v>18</v>
      </c>
      <c r="AK2049" s="8">
        <f>COUNTIF($E$2049:$AI$2049,"A")</f>
        <v>8</v>
      </c>
      <c r="AL2049" s="8">
        <f>SUM($E$2050:$AI$2050)</f>
        <v>28</v>
      </c>
      <c r="AM2049" s="8">
        <f>SUM($E$2051:$AI$2051)</f>
        <v>113</v>
      </c>
      <c r="AN2049" s="8">
        <f>AL2049+AM2049</f>
        <v>141</v>
      </c>
      <c r="AO2049" s="8">
        <f>COUNTIF($E$2049:$AI$2049,"CL")</f>
        <v>0</v>
      </c>
      <c r="AP2049" s="8">
        <f>COUNTIF($E$2049:$AI$2049,"SL")</f>
        <v>0</v>
      </c>
      <c r="AQ2049" s="8">
        <f>COUNTIF($E$2049:$AI$2049,"EL")</f>
        <v>0</v>
      </c>
      <c r="AR2049" s="8">
        <f>COUNTIF($E$2049:$AI$2049,"H")</f>
        <v>0</v>
      </c>
      <c r="AS2049" s="8"/>
      <c r="AT2049" s="11" t="s">
        <v>256</v>
      </c>
    </row>
    <row r="2050" spans="1:46" ht="15.1" customHeight="1">
      <c r="A2050" s="8"/>
      <c r="B2050" s="9"/>
      <c r="C2050" s="8"/>
      <c r="D2050" s="9"/>
      <c r="E2050" s="8">
        <v>0</v>
      </c>
      <c r="F2050" s="8">
        <v>0</v>
      </c>
      <c r="G2050" s="8">
        <v>0</v>
      </c>
      <c r="H2050" s="8">
        <v>2</v>
      </c>
      <c r="I2050" s="8">
        <v>2</v>
      </c>
      <c r="J2050" s="8">
        <v>2</v>
      </c>
      <c r="K2050" s="8">
        <v>2</v>
      </c>
      <c r="L2050" s="8">
        <v>2</v>
      </c>
      <c r="M2050" s="8">
        <v>2</v>
      </c>
      <c r="N2050" s="8">
        <v>0</v>
      </c>
      <c r="O2050" s="8">
        <v>2</v>
      </c>
      <c r="P2050" s="8">
        <v>2</v>
      </c>
      <c r="Q2050" s="8">
        <v>2</v>
      </c>
      <c r="R2050" s="8">
        <v>2</v>
      </c>
      <c r="S2050" s="8">
        <v>2</v>
      </c>
      <c r="T2050" s="8">
        <v>2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2</v>
      </c>
      <c r="AD2050" s="8">
        <v>2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11" t="s">
        <v>256</v>
      </c>
    </row>
    <row r="2051" spans="1:46" ht="15.1" customHeight="1">
      <c r="A2051" s="8"/>
      <c r="B2051" s="9"/>
      <c r="C2051" s="8"/>
      <c r="D2051" s="9"/>
      <c r="E2051" s="8">
        <v>0</v>
      </c>
      <c r="F2051" s="8">
        <v>0</v>
      </c>
      <c r="G2051" s="8">
        <v>0</v>
      </c>
      <c r="H2051" s="8">
        <v>7</v>
      </c>
      <c r="I2051" s="8">
        <v>11</v>
      </c>
      <c r="J2051" s="8">
        <v>3.5</v>
      </c>
      <c r="K2051" s="8">
        <v>5</v>
      </c>
      <c r="L2051" s="8">
        <v>10</v>
      </c>
      <c r="M2051" s="8">
        <v>1</v>
      </c>
      <c r="N2051" s="8">
        <v>17</v>
      </c>
      <c r="O2051" s="8">
        <v>11</v>
      </c>
      <c r="P2051" s="8">
        <v>1</v>
      </c>
      <c r="Q2051" s="8">
        <v>8</v>
      </c>
      <c r="R2051" s="8">
        <v>11</v>
      </c>
      <c r="S2051" s="8">
        <v>1</v>
      </c>
      <c r="T2051" s="8">
        <v>6.5</v>
      </c>
      <c r="U2051" s="8">
        <v>13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7</v>
      </c>
      <c r="AE2051" s="8">
        <v>0</v>
      </c>
      <c r="AF2051" s="8">
        <v>0</v>
      </c>
      <c r="AG2051" s="8">
        <v>0</v>
      </c>
      <c r="AH2051" s="8">
        <v>0</v>
      </c>
      <c r="AI2051" s="8">
        <v>0</v>
      </c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11" t="s">
        <v>256</v>
      </c>
    </row>
    <row r="2052" spans="1:46" ht="15.1" customHeight="1">
      <c r="A2052" s="8">
        <v>683</v>
      </c>
      <c r="B2052" s="9" t="s">
        <v>1607</v>
      </c>
      <c r="C2052" s="8" t="s">
        <v>1608</v>
      </c>
      <c r="D2052" s="9" t="s">
        <v>451</v>
      </c>
      <c r="E2052" s="8" t="s">
        <v>54</v>
      </c>
      <c r="F2052" s="8" t="s">
        <v>54</v>
      </c>
      <c r="G2052" s="10" t="s">
        <v>67</v>
      </c>
      <c r="H2052" s="8" t="s">
        <v>54</v>
      </c>
      <c r="I2052" s="8" t="s">
        <v>54</v>
      </c>
      <c r="J2052" s="12" t="s">
        <v>55</v>
      </c>
      <c r="K2052" s="12" t="s">
        <v>55</v>
      </c>
      <c r="L2052" s="12" t="s">
        <v>55</v>
      </c>
      <c r="M2052" s="12" t="s">
        <v>55</v>
      </c>
      <c r="N2052" s="10" t="s">
        <v>67</v>
      </c>
      <c r="O2052" s="8" t="s">
        <v>54</v>
      </c>
      <c r="P2052" s="8" t="s">
        <v>54</v>
      </c>
      <c r="Q2052" s="8" t="s">
        <v>54</v>
      </c>
      <c r="R2052" s="12" t="s">
        <v>55</v>
      </c>
      <c r="S2052" s="8" t="s">
        <v>54</v>
      </c>
      <c r="T2052" s="8" t="s">
        <v>54</v>
      </c>
      <c r="U2052" s="10" t="s">
        <v>67</v>
      </c>
      <c r="V2052" s="8" t="s">
        <v>54</v>
      </c>
      <c r="W2052" s="8" t="s">
        <v>54</v>
      </c>
      <c r="X2052" s="8" t="s">
        <v>54</v>
      </c>
      <c r="Y2052" s="12" t="s">
        <v>55</v>
      </c>
      <c r="Z2052" s="8" t="s">
        <v>54</v>
      </c>
      <c r="AA2052" s="8" t="s">
        <v>54</v>
      </c>
      <c r="AB2052" s="10" t="s">
        <v>67</v>
      </c>
      <c r="AC2052" s="8" t="s">
        <v>54</v>
      </c>
      <c r="AD2052" s="8" t="s">
        <v>54</v>
      </c>
      <c r="AE2052" s="8" t="s">
        <v>54</v>
      </c>
      <c r="AF2052" s="8" t="s">
        <v>54</v>
      </c>
      <c r="AG2052" s="8" t="s">
        <v>54</v>
      </c>
      <c r="AH2052" s="12" t="s">
        <v>55</v>
      </c>
      <c r="AI2052" s="10" t="s">
        <v>67</v>
      </c>
      <c r="AJ2052" s="8">
        <f>COUNTIF($E$2052:$AI$2052,"P")</f>
        <v>19</v>
      </c>
      <c r="AK2052" s="8">
        <f>COUNTIF($E$2052:$AI$2052,"A")</f>
        <v>7</v>
      </c>
      <c r="AL2052" s="8">
        <f>SUM($E$2053:$AI$2053)</f>
        <v>27</v>
      </c>
      <c r="AM2052" s="8">
        <f>SUM($E$2054:$AI$2054)</f>
        <v>140.5</v>
      </c>
      <c r="AN2052" s="8">
        <f>AL2052+AM2052</f>
        <v>167.5</v>
      </c>
      <c r="AO2052" s="8">
        <f>COUNTIF($E$2052:$AI$2052,"CL")</f>
        <v>0</v>
      </c>
      <c r="AP2052" s="8">
        <f>COUNTIF($E$2052:$AI$2052,"SL")</f>
        <v>0</v>
      </c>
      <c r="AQ2052" s="8">
        <f>COUNTIF($E$2052:$AI$2052,"EL")</f>
        <v>0</v>
      </c>
      <c r="AR2052" s="8">
        <f>COUNTIF($E$2052:$AI$2052,"H")</f>
        <v>0</v>
      </c>
      <c r="AS2052" s="8"/>
      <c r="AT2052" s="11" t="s">
        <v>256</v>
      </c>
    </row>
    <row r="2053" spans="1:46" ht="15.1" customHeight="1">
      <c r="A2053" s="8"/>
      <c r="B2053" s="9"/>
      <c r="C2053" s="8"/>
      <c r="D2053" s="9"/>
      <c r="E2053" s="8">
        <v>2</v>
      </c>
      <c r="F2053" s="8">
        <v>2</v>
      </c>
      <c r="G2053" s="8">
        <v>0</v>
      </c>
      <c r="H2053" s="8">
        <v>2</v>
      </c>
      <c r="I2053" s="8">
        <v>2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  <c r="O2053" s="8">
        <v>2</v>
      </c>
      <c r="P2053" s="8">
        <v>2</v>
      </c>
      <c r="Q2053" s="8">
        <v>2</v>
      </c>
      <c r="R2053" s="8">
        <v>0</v>
      </c>
      <c r="S2053" s="8">
        <v>2</v>
      </c>
      <c r="T2053" s="8">
        <v>2</v>
      </c>
      <c r="U2053" s="8">
        <v>0</v>
      </c>
      <c r="V2053" s="8">
        <v>2</v>
      </c>
      <c r="W2053" s="8">
        <v>2</v>
      </c>
      <c r="X2053" s="8">
        <v>2</v>
      </c>
      <c r="Y2053" s="8">
        <v>0</v>
      </c>
      <c r="Z2053" s="8">
        <v>0</v>
      </c>
      <c r="AA2053" s="8">
        <v>1</v>
      </c>
      <c r="AB2053" s="8">
        <v>0</v>
      </c>
      <c r="AC2053" s="8">
        <v>2</v>
      </c>
      <c r="AD2053" s="8">
        <v>0</v>
      </c>
      <c r="AE2053" s="8">
        <v>0</v>
      </c>
      <c r="AF2053" s="8">
        <v>0</v>
      </c>
      <c r="AG2053" s="8">
        <v>0</v>
      </c>
      <c r="AH2053" s="8">
        <v>0</v>
      </c>
      <c r="AI2053" s="8">
        <v>0</v>
      </c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11" t="s">
        <v>256</v>
      </c>
    </row>
    <row r="2054" spans="1:46" ht="15.1" customHeight="1">
      <c r="A2054" s="8"/>
      <c r="B2054" s="9"/>
      <c r="C2054" s="8"/>
      <c r="D2054" s="9"/>
      <c r="E2054" s="8">
        <v>7</v>
      </c>
      <c r="F2054" s="8">
        <v>3</v>
      </c>
      <c r="G2054" s="8">
        <v>15</v>
      </c>
      <c r="H2054" s="8">
        <v>10</v>
      </c>
      <c r="I2054" s="8">
        <v>9</v>
      </c>
      <c r="J2054" s="8">
        <v>0</v>
      </c>
      <c r="K2054" s="8">
        <v>0</v>
      </c>
      <c r="L2054" s="8">
        <v>0</v>
      </c>
      <c r="M2054" s="8">
        <v>0</v>
      </c>
      <c r="N2054" s="8">
        <v>20.5</v>
      </c>
      <c r="O2054" s="8">
        <v>5</v>
      </c>
      <c r="P2054" s="8">
        <v>7</v>
      </c>
      <c r="Q2054" s="8">
        <v>9</v>
      </c>
      <c r="R2054" s="8">
        <v>0</v>
      </c>
      <c r="S2054" s="8">
        <v>10</v>
      </c>
      <c r="T2054" s="8">
        <v>5</v>
      </c>
      <c r="U2054" s="8">
        <v>13</v>
      </c>
      <c r="V2054" s="8">
        <v>8</v>
      </c>
      <c r="W2054" s="8">
        <v>10</v>
      </c>
      <c r="X2054" s="8">
        <v>7</v>
      </c>
      <c r="Y2054" s="8">
        <v>0</v>
      </c>
      <c r="Z2054" s="8">
        <v>0</v>
      </c>
      <c r="AA2054" s="8">
        <v>0</v>
      </c>
      <c r="AB2054" s="8">
        <v>0</v>
      </c>
      <c r="AC2054" s="8">
        <v>2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11" t="s">
        <v>256</v>
      </c>
    </row>
    <row r="2055" spans="1:46" ht="15.1" customHeight="1">
      <c r="A2055" s="8">
        <v>684</v>
      </c>
      <c r="B2055" s="9" t="s">
        <v>1609</v>
      </c>
      <c r="C2055" s="8" t="s">
        <v>1610</v>
      </c>
      <c r="D2055" s="9" t="s">
        <v>451</v>
      </c>
      <c r="E2055" s="8" t="s">
        <v>54</v>
      </c>
      <c r="F2055" s="12" t="s">
        <v>55</v>
      </c>
      <c r="G2055" s="10" t="s">
        <v>67</v>
      </c>
      <c r="H2055" s="8" t="s">
        <v>54</v>
      </c>
      <c r="I2055" s="8" t="s">
        <v>54</v>
      </c>
      <c r="J2055" s="8" t="s">
        <v>54</v>
      </c>
      <c r="K2055" s="8" t="s">
        <v>54</v>
      </c>
      <c r="L2055" s="8" t="s">
        <v>54</v>
      </c>
      <c r="M2055" s="8" t="s">
        <v>54</v>
      </c>
      <c r="N2055" s="10" t="s">
        <v>67</v>
      </c>
      <c r="O2055" s="8" t="s">
        <v>54</v>
      </c>
      <c r="P2055" s="8" t="s">
        <v>54</v>
      </c>
      <c r="Q2055" s="8" t="s">
        <v>54</v>
      </c>
      <c r="R2055" s="8" t="s">
        <v>54</v>
      </c>
      <c r="S2055" s="12" t="s">
        <v>55</v>
      </c>
      <c r="T2055" s="8" t="s">
        <v>54</v>
      </c>
      <c r="U2055" s="10" t="s">
        <v>67</v>
      </c>
      <c r="V2055" s="8" t="s">
        <v>54</v>
      </c>
      <c r="W2055" s="8" t="s">
        <v>54</v>
      </c>
      <c r="X2055" s="8" t="s">
        <v>54</v>
      </c>
      <c r="Y2055" s="8" t="s">
        <v>54</v>
      </c>
      <c r="Z2055" s="8" t="s">
        <v>54</v>
      </c>
      <c r="AA2055" s="8" t="s">
        <v>54</v>
      </c>
      <c r="AB2055" s="10" t="s">
        <v>67</v>
      </c>
      <c r="AC2055" s="8" t="s">
        <v>54</v>
      </c>
      <c r="AD2055" s="8" t="s">
        <v>54</v>
      </c>
      <c r="AE2055" s="8" t="s">
        <v>54</v>
      </c>
      <c r="AF2055" s="8" t="s">
        <v>54</v>
      </c>
      <c r="AG2055" s="8" t="s">
        <v>54</v>
      </c>
      <c r="AH2055" s="12" t="s">
        <v>55</v>
      </c>
      <c r="AI2055" s="10" t="s">
        <v>67</v>
      </c>
      <c r="AJ2055" s="8">
        <f>COUNTIF($E$2055:$AI$2055,"P")</f>
        <v>23</v>
      </c>
      <c r="AK2055" s="8">
        <f>COUNTIF($E$2055:$AI$2055,"A")</f>
        <v>3</v>
      </c>
      <c r="AL2055" s="8">
        <f>SUM($E$2056:$AI$2056)</f>
        <v>35</v>
      </c>
      <c r="AM2055" s="8">
        <f>SUM($E$2057:$AI$2057)</f>
        <v>140</v>
      </c>
      <c r="AN2055" s="8">
        <f>AL2055+AM2055</f>
        <v>174.5</v>
      </c>
      <c r="AO2055" s="8">
        <f>COUNTIF($E$2055:$AI$2055,"CL")</f>
        <v>0</v>
      </c>
      <c r="AP2055" s="8">
        <f>COUNTIF($E$2055:$AI$2055,"SL")</f>
        <v>0</v>
      </c>
      <c r="AQ2055" s="8">
        <f>COUNTIF($E$2055:$AI$2055,"EL")</f>
        <v>0</v>
      </c>
      <c r="AR2055" s="8">
        <f>COUNTIF($E$2055:$AI$2055,"H")</f>
        <v>0</v>
      </c>
      <c r="AS2055" s="8"/>
      <c r="AT2055" s="11" t="s">
        <v>256</v>
      </c>
    </row>
    <row r="2056" spans="1:46" ht="15.1" customHeight="1">
      <c r="A2056" s="8"/>
      <c r="B2056" s="9"/>
      <c r="C2056" s="8"/>
      <c r="D2056" s="9"/>
      <c r="E2056" s="8">
        <v>2</v>
      </c>
      <c r="F2056" s="8">
        <v>0</v>
      </c>
      <c r="G2056" s="8">
        <v>0</v>
      </c>
      <c r="H2056" s="8">
        <v>2</v>
      </c>
      <c r="I2056" s="8">
        <v>2</v>
      </c>
      <c r="J2056" s="8">
        <v>2</v>
      </c>
      <c r="K2056" s="8">
        <v>2</v>
      </c>
      <c r="L2056" s="8">
        <v>2</v>
      </c>
      <c r="M2056" s="8">
        <v>2</v>
      </c>
      <c r="N2056" s="8">
        <v>0</v>
      </c>
      <c r="O2056" s="8">
        <v>2</v>
      </c>
      <c r="P2056" s="8">
        <v>2</v>
      </c>
      <c r="Q2056" s="8">
        <v>0</v>
      </c>
      <c r="R2056" s="8">
        <v>2</v>
      </c>
      <c r="S2056" s="8">
        <v>0</v>
      </c>
      <c r="T2056" s="8">
        <v>2</v>
      </c>
      <c r="U2056" s="8">
        <v>0</v>
      </c>
      <c r="V2056" s="8">
        <v>2</v>
      </c>
      <c r="W2056" s="8">
        <v>2</v>
      </c>
      <c r="X2056" s="8">
        <v>2</v>
      </c>
      <c r="Y2056" s="8">
        <v>1</v>
      </c>
      <c r="Z2056" s="8">
        <v>2</v>
      </c>
      <c r="AA2056" s="8">
        <v>0</v>
      </c>
      <c r="AB2056" s="8">
        <v>0</v>
      </c>
      <c r="AC2056" s="8">
        <v>2</v>
      </c>
      <c r="AD2056" s="8">
        <v>2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11" t="s">
        <v>256</v>
      </c>
    </row>
    <row r="2057" spans="1:46" ht="15.1" customHeight="1">
      <c r="A2057" s="8"/>
      <c r="B2057" s="9"/>
      <c r="C2057" s="8"/>
      <c r="D2057" s="9"/>
      <c r="E2057" s="8">
        <v>1</v>
      </c>
      <c r="F2057" s="8">
        <v>0</v>
      </c>
      <c r="G2057" s="8">
        <v>15</v>
      </c>
      <c r="H2057" s="8">
        <v>7</v>
      </c>
      <c r="I2057" s="8">
        <v>11</v>
      </c>
      <c r="J2057" s="8">
        <v>2</v>
      </c>
      <c r="K2057" s="8">
        <v>1</v>
      </c>
      <c r="L2057" s="8">
        <v>7</v>
      </c>
      <c r="M2057" s="8">
        <v>5</v>
      </c>
      <c r="N2057" s="8">
        <v>17</v>
      </c>
      <c r="O2057" s="8">
        <v>7</v>
      </c>
      <c r="P2057" s="8">
        <v>11</v>
      </c>
      <c r="Q2057" s="8">
        <v>0</v>
      </c>
      <c r="R2057" s="8">
        <v>4</v>
      </c>
      <c r="S2057" s="8">
        <v>0</v>
      </c>
      <c r="T2057" s="8">
        <v>9</v>
      </c>
      <c r="U2057" s="8">
        <v>11.5</v>
      </c>
      <c r="V2057" s="8">
        <v>11</v>
      </c>
      <c r="W2057" s="8">
        <v>5</v>
      </c>
      <c r="X2057" s="8">
        <v>7</v>
      </c>
      <c r="Y2057" s="8">
        <v>0</v>
      </c>
      <c r="Z2057" s="8">
        <v>2.5</v>
      </c>
      <c r="AA2057" s="8">
        <v>0</v>
      </c>
      <c r="AB2057" s="8">
        <v>0</v>
      </c>
      <c r="AC2057" s="8">
        <v>2</v>
      </c>
      <c r="AD2057" s="8">
        <v>4</v>
      </c>
      <c r="AE2057" s="8">
        <v>0</v>
      </c>
      <c r="AF2057" s="8">
        <v>0</v>
      </c>
      <c r="AG2057" s="8">
        <v>0</v>
      </c>
      <c r="AH2057" s="8">
        <v>0</v>
      </c>
      <c r="AI2057" s="8">
        <v>0</v>
      </c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11" t="s">
        <v>256</v>
      </c>
    </row>
    <row r="2058" spans="1:46" ht="15.1" customHeight="1">
      <c r="A2058" s="8">
        <v>685</v>
      </c>
      <c r="B2058" s="9" t="s">
        <v>1611</v>
      </c>
      <c r="C2058" s="8" t="s">
        <v>1612</v>
      </c>
      <c r="D2058" s="9" t="s">
        <v>451</v>
      </c>
      <c r="E2058" s="8" t="s">
        <v>54</v>
      </c>
      <c r="F2058" s="8" t="s">
        <v>54</v>
      </c>
      <c r="G2058" s="10" t="s">
        <v>67</v>
      </c>
      <c r="H2058" s="8" t="s">
        <v>54</v>
      </c>
      <c r="I2058" s="8" t="s">
        <v>54</v>
      </c>
      <c r="J2058" s="8" t="s">
        <v>54</v>
      </c>
      <c r="K2058" s="8" t="s">
        <v>54</v>
      </c>
      <c r="L2058" s="8" t="s">
        <v>54</v>
      </c>
      <c r="M2058" s="8" t="s">
        <v>54</v>
      </c>
      <c r="N2058" s="10" t="s">
        <v>67</v>
      </c>
      <c r="O2058" s="8" t="s">
        <v>54</v>
      </c>
      <c r="P2058" s="8" t="s">
        <v>54</v>
      </c>
      <c r="Q2058" s="8" t="s">
        <v>54</v>
      </c>
      <c r="R2058" s="8" t="s">
        <v>54</v>
      </c>
      <c r="S2058" s="8" t="s">
        <v>54</v>
      </c>
      <c r="T2058" s="8" t="s">
        <v>54</v>
      </c>
      <c r="U2058" s="10" t="s">
        <v>67</v>
      </c>
      <c r="V2058" s="8" t="s">
        <v>54</v>
      </c>
      <c r="W2058" s="8" t="s">
        <v>54</v>
      </c>
      <c r="X2058" s="8" t="s">
        <v>54</v>
      </c>
      <c r="Y2058" s="12" t="s">
        <v>55</v>
      </c>
      <c r="Z2058" s="12" t="s">
        <v>55</v>
      </c>
      <c r="AA2058" s="12" t="s">
        <v>55</v>
      </c>
      <c r="AB2058" s="10" t="s">
        <v>67</v>
      </c>
      <c r="AC2058" s="8" t="s">
        <v>54</v>
      </c>
      <c r="AD2058" s="8" t="s">
        <v>54</v>
      </c>
      <c r="AE2058" s="8" t="s">
        <v>54</v>
      </c>
      <c r="AF2058" s="8" t="s">
        <v>54</v>
      </c>
      <c r="AG2058" s="8" t="s">
        <v>54</v>
      </c>
      <c r="AH2058" s="12" t="s">
        <v>55</v>
      </c>
      <c r="AI2058" s="10" t="s">
        <v>67</v>
      </c>
      <c r="AJ2058" s="8">
        <f>COUNTIF($E$2058:$AI$2058,"P")</f>
        <v>22</v>
      </c>
      <c r="AK2058" s="8">
        <f>COUNTIF($E$2058:$AI$2058,"A")</f>
        <v>4</v>
      </c>
      <c r="AL2058" s="8">
        <f>SUM($E$2059:$AI$2059)</f>
        <v>36</v>
      </c>
      <c r="AM2058" s="8">
        <f>SUM($E$2060:$AI$2060)</f>
        <v>148.5</v>
      </c>
      <c r="AN2058" s="8">
        <f>AL2058+AM2058</f>
        <v>184.5</v>
      </c>
      <c r="AO2058" s="8">
        <f>COUNTIF($E$2058:$AI$2058,"CL")</f>
        <v>0</v>
      </c>
      <c r="AP2058" s="8">
        <f>COUNTIF($E$2058:$AI$2058,"SL")</f>
        <v>0</v>
      </c>
      <c r="AQ2058" s="8">
        <f>COUNTIF($E$2058:$AI$2058,"EL")</f>
        <v>0</v>
      </c>
      <c r="AR2058" s="8">
        <f>COUNTIF($E$2058:$AI$2058,"H")</f>
        <v>0</v>
      </c>
      <c r="AS2058" s="8"/>
      <c r="AT2058" s="11" t="s">
        <v>256</v>
      </c>
    </row>
    <row r="2059" spans="1:46" ht="15.1" customHeight="1">
      <c r="A2059" s="8"/>
      <c r="B2059" s="9"/>
      <c r="C2059" s="8"/>
      <c r="D2059" s="9"/>
      <c r="E2059" s="8">
        <v>2</v>
      </c>
      <c r="F2059" s="8">
        <v>2</v>
      </c>
      <c r="G2059" s="8">
        <v>0</v>
      </c>
      <c r="H2059" s="8">
        <v>2</v>
      </c>
      <c r="I2059" s="8">
        <v>2</v>
      </c>
      <c r="J2059" s="8">
        <v>2</v>
      </c>
      <c r="K2059" s="8">
        <v>2</v>
      </c>
      <c r="L2059" s="8">
        <v>2</v>
      </c>
      <c r="M2059" s="8">
        <v>2</v>
      </c>
      <c r="N2059" s="8">
        <v>0</v>
      </c>
      <c r="O2059" s="8">
        <v>2</v>
      </c>
      <c r="P2059" s="8">
        <v>2</v>
      </c>
      <c r="Q2059" s="8">
        <v>2</v>
      </c>
      <c r="R2059" s="8">
        <v>2</v>
      </c>
      <c r="S2059" s="8">
        <v>2</v>
      </c>
      <c r="T2059" s="8">
        <v>2</v>
      </c>
      <c r="U2059" s="8">
        <v>0</v>
      </c>
      <c r="V2059" s="8">
        <v>2</v>
      </c>
      <c r="W2059" s="8">
        <v>2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2</v>
      </c>
      <c r="AD2059" s="8">
        <v>2</v>
      </c>
      <c r="AE2059" s="8">
        <v>0</v>
      </c>
      <c r="AF2059" s="8">
        <v>0</v>
      </c>
      <c r="AG2059" s="8">
        <v>0</v>
      </c>
      <c r="AH2059" s="8">
        <v>0</v>
      </c>
      <c r="AI2059" s="8">
        <v>0</v>
      </c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11" t="s">
        <v>256</v>
      </c>
    </row>
    <row r="2060" spans="1:46" ht="15.1" customHeight="1">
      <c r="A2060" s="8"/>
      <c r="B2060" s="9"/>
      <c r="C2060" s="8"/>
      <c r="D2060" s="9"/>
      <c r="E2060" s="8">
        <v>7</v>
      </c>
      <c r="F2060" s="8">
        <v>3</v>
      </c>
      <c r="G2060" s="8">
        <v>13</v>
      </c>
      <c r="H2060" s="8">
        <v>7</v>
      </c>
      <c r="I2060" s="8">
        <v>7</v>
      </c>
      <c r="J2060" s="8">
        <v>11</v>
      </c>
      <c r="K2060" s="8">
        <v>7</v>
      </c>
      <c r="L2060" s="8">
        <v>7</v>
      </c>
      <c r="M2060" s="8">
        <v>5</v>
      </c>
      <c r="N2060" s="8">
        <v>16.5</v>
      </c>
      <c r="O2060" s="8">
        <v>7</v>
      </c>
      <c r="P2060" s="8">
        <v>7</v>
      </c>
      <c r="Q2060" s="8">
        <v>7</v>
      </c>
      <c r="R2060" s="8">
        <v>11</v>
      </c>
      <c r="S2060" s="8">
        <v>4</v>
      </c>
      <c r="T2060" s="8">
        <v>2</v>
      </c>
      <c r="U2060" s="8">
        <v>13</v>
      </c>
      <c r="V2060" s="8">
        <v>7</v>
      </c>
      <c r="W2060" s="8">
        <v>7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11" t="s">
        <v>256</v>
      </c>
    </row>
    <row r="2061" spans="1:46" ht="15.1" customHeight="1">
      <c r="A2061" s="8">
        <v>686</v>
      </c>
      <c r="B2061" s="9" t="s">
        <v>1613</v>
      </c>
      <c r="C2061" s="8" t="s">
        <v>1614</v>
      </c>
      <c r="D2061" s="9" t="s">
        <v>451</v>
      </c>
      <c r="E2061" s="8" t="s">
        <v>54</v>
      </c>
      <c r="F2061" s="8" t="s">
        <v>54</v>
      </c>
      <c r="G2061" s="10" t="s">
        <v>67</v>
      </c>
      <c r="H2061" s="8" t="s">
        <v>54</v>
      </c>
      <c r="I2061" s="8" t="s">
        <v>54</v>
      </c>
      <c r="J2061" s="8" t="s">
        <v>54</v>
      </c>
      <c r="K2061" s="12" t="s">
        <v>55</v>
      </c>
      <c r="L2061" s="12" t="s">
        <v>55</v>
      </c>
      <c r="M2061" s="8" t="s">
        <v>54</v>
      </c>
      <c r="N2061" s="10" t="s">
        <v>67</v>
      </c>
      <c r="O2061" s="8" t="s">
        <v>54</v>
      </c>
      <c r="P2061" s="8" t="s">
        <v>54</v>
      </c>
      <c r="Q2061" s="8" t="s">
        <v>54</v>
      </c>
      <c r="R2061" s="8" t="s">
        <v>54</v>
      </c>
      <c r="S2061" s="8" t="s">
        <v>54</v>
      </c>
      <c r="T2061" s="8" t="s">
        <v>54</v>
      </c>
      <c r="U2061" s="10" t="s">
        <v>67</v>
      </c>
      <c r="V2061" s="8" t="s">
        <v>54</v>
      </c>
      <c r="W2061" s="8" t="s">
        <v>54</v>
      </c>
      <c r="X2061" s="8" t="s">
        <v>54</v>
      </c>
      <c r="Y2061" s="8" t="s">
        <v>54</v>
      </c>
      <c r="Z2061" s="8" t="s">
        <v>54</v>
      </c>
      <c r="AA2061" s="8" t="s">
        <v>54</v>
      </c>
      <c r="AB2061" s="10" t="s">
        <v>67</v>
      </c>
      <c r="AC2061" s="8" t="s">
        <v>54</v>
      </c>
      <c r="AD2061" s="8" t="s">
        <v>54</v>
      </c>
      <c r="AE2061" s="8" t="s">
        <v>54</v>
      </c>
      <c r="AF2061" s="8" t="s">
        <v>54</v>
      </c>
      <c r="AG2061" s="8" t="s">
        <v>54</v>
      </c>
      <c r="AH2061" s="12" t="s">
        <v>55</v>
      </c>
      <c r="AI2061" s="10" t="s">
        <v>67</v>
      </c>
      <c r="AJ2061" s="8">
        <f>COUNTIF($E$2061:$AI$2061,"P")</f>
        <v>23</v>
      </c>
      <c r="AK2061" s="8">
        <f>COUNTIF($E$2061:$AI$2061,"A")</f>
        <v>3</v>
      </c>
      <c r="AL2061" s="8">
        <f>SUM($E$2062:$AI$2062)</f>
        <v>32</v>
      </c>
      <c r="AM2061" s="8">
        <f>SUM($E$2063:$AI$2063)</f>
        <v>147.5</v>
      </c>
      <c r="AN2061" s="8">
        <f>AL2061+AM2061</f>
        <v>179.5</v>
      </c>
      <c r="AO2061" s="8">
        <f>COUNTIF($E$2061:$AI$2061,"CL")</f>
        <v>0</v>
      </c>
      <c r="AP2061" s="8">
        <f>COUNTIF($E$2061:$AI$2061,"SL")</f>
        <v>0</v>
      </c>
      <c r="AQ2061" s="8">
        <f>COUNTIF($E$2061:$AI$2061,"EL")</f>
        <v>0</v>
      </c>
      <c r="AR2061" s="8">
        <f>COUNTIF($E$2061:$AI$2061,"H")</f>
        <v>0</v>
      </c>
      <c r="AS2061" s="8"/>
      <c r="AT2061" s="11" t="s">
        <v>256</v>
      </c>
    </row>
    <row r="2062" spans="1:46" ht="15.1" customHeight="1">
      <c r="A2062" s="8"/>
      <c r="B2062" s="9"/>
      <c r="C2062" s="8"/>
      <c r="D2062" s="9"/>
      <c r="E2062" s="8">
        <v>2</v>
      </c>
      <c r="F2062" s="8">
        <v>2</v>
      </c>
      <c r="G2062" s="8">
        <v>0</v>
      </c>
      <c r="H2062" s="8">
        <v>2</v>
      </c>
      <c r="I2062" s="8">
        <v>2</v>
      </c>
      <c r="J2062" s="8">
        <v>2</v>
      </c>
      <c r="K2062" s="8">
        <v>0</v>
      </c>
      <c r="L2062" s="8">
        <v>0</v>
      </c>
      <c r="M2062" s="8">
        <v>2</v>
      </c>
      <c r="N2062" s="8">
        <v>0</v>
      </c>
      <c r="O2062" s="8">
        <v>2</v>
      </c>
      <c r="P2062" s="8">
        <v>2</v>
      </c>
      <c r="Q2062" s="8">
        <v>2</v>
      </c>
      <c r="R2062" s="8">
        <v>2</v>
      </c>
      <c r="S2062" s="8">
        <v>2</v>
      </c>
      <c r="T2062" s="8">
        <v>2</v>
      </c>
      <c r="U2062" s="8">
        <v>0</v>
      </c>
      <c r="V2062" s="8">
        <v>2</v>
      </c>
      <c r="W2062" s="8">
        <v>2</v>
      </c>
      <c r="X2062" s="8">
        <v>2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2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11" t="s">
        <v>256</v>
      </c>
    </row>
    <row r="2063" spans="1:46" ht="15.1" customHeight="1">
      <c r="A2063" s="8"/>
      <c r="B2063" s="9"/>
      <c r="C2063" s="8"/>
      <c r="D2063" s="9"/>
      <c r="E2063" s="8">
        <v>7</v>
      </c>
      <c r="F2063" s="8">
        <v>3</v>
      </c>
      <c r="G2063" s="8">
        <v>15</v>
      </c>
      <c r="H2063" s="8">
        <v>7</v>
      </c>
      <c r="I2063" s="8">
        <v>11</v>
      </c>
      <c r="J2063" s="8">
        <v>3</v>
      </c>
      <c r="K2063" s="8">
        <v>0</v>
      </c>
      <c r="L2063" s="8">
        <v>0</v>
      </c>
      <c r="M2063" s="8">
        <v>5</v>
      </c>
      <c r="N2063" s="8">
        <v>17</v>
      </c>
      <c r="O2063" s="8">
        <v>7</v>
      </c>
      <c r="P2063" s="8">
        <v>7</v>
      </c>
      <c r="Q2063" s="8">
        <v>7.5</v>
      </c>
      <c r="R2063" s="8">
        <v>11</v>
      </c>
      <c r="S2063" s="8">
        <v>7</v>
      </c>
      <c r="T2063" s="8">
        <v>7</v>
      </c>
      <c r="U2063" s="8">
        <v>7</v>
      </c>
      <c r="V2063" s="8">
        <v>7</v>
      </c>
      <c r="W2063" s="8">
        <v>7</v>
      </c>
      <c r="X2063" s="8">
        <v>7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5</v>
      </c>
      <c r="AE2063" s="8">
        <v>0</v>
      </c>
      <c r="AF2063" s="8">
        <v>0</v>
      </c>
      <c r="AG2063" s="8">
        <v>0</v>
      </c>
      <c r="AH2063" s="8">
        <v>0</v>
      </c>
      <c r="AI2063" s="8">
        <v>0</v>
      </c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11" t="s">
        <v>256</v>
      </c>
    </row>
    <row r="2064" spans="1:46" ht="15.1" customHeight="1">
      <c r="A2064" s="8">
        <v>687</v>
      </c>
      <c r="B2064" s="9" t="s">
        <v>1615</v>
      </c>
      <c r="C2064" s="8" t="s">
        <v>1616</v>
      </c>
      <c r="D2064" s="9" t="s">
        <v>451</v>
      </c>
      <c r="E2064" s="12" t="s">
        <v>55</v>
      </c>
      <c r="F2064" s="12" t="s">
        <v>55</v>
      </c>
      <c r="G2064" s="10" t="s">
        <v>67</v>
      </c>
      <c r="H2064" s="12" t="s">
        <v>55</v>
      </c>
      <c r="I2064" s="8" t="s">
        <v>54</v>
      </c>
      <c r="J2064" s="8" t="s">
        <v>54</v>
      </c>
      <c r="K2064" s="8" t="s">
        <v>54</v>
      </c>
      <c r="L2064" s="8" t="s">
        <v>54</v>
      </c>
      <c r="M2064" s="8" t="s">
        <v>54</v>
      </c>
      <c r="N2064" s="10" t="s">
        <v>67</v>
      </c>
      <c r="O2064" s="8" t="s">
        <v>54</v>
      </c>
      <c r="P2064" s="8" t="s">
        <v>54</v>
      </c>
      <c r="Q2064" s="8" t="s">
        <v>54</v>
      </c>
      <c r="R2064" s="8" t="s">
        <v>54</v>
      </c>
      <c r="S2064" s="8" t="s">
        <v>54</v>
      </c>
      <c r="T2064" s="8" t="s">
        <v>54</v>
      </c>
      <c r="U2064" s="10" t="s">
        <v>67</v>
      </c>
      <c r="V2064" s="8" t="s">
        <v>54</v>
      </c>
      <c r="W2064" s="8" t="s">
        <v>54</v>
      </c>
      <c r="X2064" s="8" t="s">
        <v>54</v>
      </c>
      <c r="Y2064" s="8" t="s">
        <v>54</v>
      </c>
      <c r="Z2064" s="8" t="s">
        <v>54</v>
      </c>
      <c r="AA2064" s="8" t="s">
        <v>54</v>
      </c>
      <c r="AB2064" s="10" t="s">
        <v>67</v>
      </c>
      <c r="AC2064" s="8" t="s">
        <v>54</v>
      </c>
      <c r="AD2064" s="8" t="s">
        <v>54</v>
      </c>
      <c r="AE2064" s="8" t="s">
        <v>54</v>
      </c>
      <c r="AF2064" s="8" t="s">
        <v>54</v>
      </c>
      <c r="AG2064" s="8" t="s">
        <v>54</v>
      </c>
      <c r="AH2064" s="12" t="s">
        <v>55</v>
      </c>
      <c r="AI2064" s="10" t="s">
        <v>67</v>
      </c>
      <c r="AJ2064" s="8">
        <f>COUNTIF($E$2064:$AI$2064,"P")</f>
        <v>22</v>
      </c>
      <c r="AK2064" s="8">
        <f>COUNTIF($E$2064:$AI$2064,"A")</f>
        <v>4</v>
      </c>
      <c r="AL2064" s="8">
        <f>SUM($E$2065:$AI$2065)</f>
        <v>34</v>
      </c>
      <c r="AM2064" s="8">
        <f>SUM($E$2066:$AI$2066)</f>
        <v>136</v>
      </c>
      <c r="AN2064" s="8">
        <f>AL2064+AM2064</f>
        <v>170</v>
      </c>
      <c r="AO2064" s="8">
        <f>COUNTIF($E$2064:$AI$2064,"CL")</f>
        <v>0</v>
      </c>
      <c r="AP2064" s="8">
        <f>COUNTIF($E$2064:$AI$2064,"SL")</f>
        <v>0</v>
      </c>
      <c r="AQ2064" s="8">
        <f>COUNTIF($E$2064:$AI$2064,"EL")</f>
        <v>0</v>
      </c>
      <c r="AR2064" s="8">
        <f>COUNTIF($E$2064:$AI$2064,"H")</f>
        <v>0</v>
      </c>
      <c r="AS2064" s="8"/>
      <c r="AT2064" s="11" t="s">
        <v>256</v>
      </c>
    </row>
    <row r="2065" spans="1:46" ht="15.1" customHeight="1">
      <c r="A2065" s="8"/>
      <c r="B2065" s="9"/>
      <c r="C2065" s="8"/>
      <c r="D2065" s="9"/>
      <c r="E2065" s="8">
        <v>0</v>
      </c>
      <c r="F2065" s="8">
        <v>0</v>
      </c>
      <c r="G2065" s="8">
        <v>0</v>
      </c>
      <c r="H2065" s="8">
        <v>0</v>
      </c>
      <c r="I2065" s="8">
        <v>2</v>
      </c>
      <c r="J2065" s="8">
        <v>2</v>
      </c>
      <c r="K2065" s="8">
        <v>2</v>
      </c>
      <c r="L2065" s="8">
        <v>2</v>
      </c>
      <c r="M2065" s="8">
        <v>2</v>
      </c>
      <c r="N2065" s="8">
        <v>0</v>
      </c>
      <c r="O2065" s="8">
        <v>2</v>
      </c>
      <c r="P2065" s="8">
        <v>2</v>
      </c>
      <c r="Q2065" s="8">
        <v>2</v>
      </c>
      <c r="R2065" s="8">
        <v>2</v>
      </c>
      <c r="S2065" s="8">
        <v>2</v>
      </c>
      <c r="T2065" s="8">
        <v>2</v>
      </c>
      <c r="U2065" s="8">
        <v>0</v>
      </c>
      <c r="V2065" s="8">
        <v>2</v>
      </c>
      <c r="W2065" s="8">
        <v>2</v>
      </c>
      <c r="X2065" s="8">
        <v>2</v>
      </c>
      <c r="Y2065" s="8">
        <v>2</v>
      </c>
      <c r="Z2065" s="8">
        <v>2</v>
      </c>
      <c r="AA2065" s="8">
        <v>0</v>
      </c>
      <c r="AB2065" s="8">
        <v>0</v>
      </c>
      <c r="AC2065" s="8">
        <v>2</v>
      </c>
      <c r="AD2065" s="8">
        <v>0</v>
      </c>
      <c r="AE2065" s="8">
        <v>0</v>
      </c>
      <c r="AF2065" s="8">
        <v>0</v>
      </c>
      <c r="AG2065" s="8">
        <v>0</v>
      </c>
      <c r="AH2065" s="8">
        <v>0</v>
      </c>
      <c r="AI2065" s="8">
        <v>0</v>
      </c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11" t="s">
        <v>256</v>
      </c>
    </row>
    <row r="2066" spans="1:46" ht="15.1" customHeight="1">
      <c r="A2066" s="8"/>
      <c r="B2066" s="9"/>
      <c r="C2066" s="8"/>
      <c r="D2066" s="9"/>
      <c r="E2066" s="8">
        <v>0</v>
      </c>
      <c r="F2066" s="8">
        <v>0</v>
      </c>
      <c r="G2066" s="8">
        <v>0</v>
      </c>
      <c r="H2066" s="8">
        <v>0</v>
      </c>
      <c r="I2066" s="8">
        <v>7</v>
      </c>
      <c r="J2066" s="8">
        <v>9</v>
      </c>
      <c r="K2066" s="8">
        <v>6</v>
      </c>
      <c r="L2066" s="8">
        <v>7</v>
      </c>
      <c r="M2066" s="8">
        <v>5</v>
      </c>
      <c r="N2066" s="8">
        <v>21</v>
      </c>
      <c r="O2066" s="8">
        <v>4.5</v>
      </c>
      <c r="P2066" s="8">
        <v>7</v>
      </c>
      <c r="Q2066" s="8">
        <v>9</v>
      </c>
      <c r="R2066" s="8">
        <v>6</v>
      </c>
      <c r="S2066" s="8">
        <v>7</v>
      </c>
      <c r="T2066" s="8">
        <v>7.5</v>
      </c>
      <c r="U2066" s="8">
        <v>12</v>
      </c>
      <c r="V2066" s="8">
        <v>8</v>
      </c>
      <c r="W2066" s="8">
        <v>7</v>
      </c>
      <c r="X2066" s="8">
        <v>11</v>
      </c>
      <c r="Y2066" s="8">
        <v>1</v>
      </c>
      <c r="Z2066" s="8">
        <v>0</v>
      </c>
      <c r="AA2066" s="8">
        <v>0</v>
      </c>
      <c r="AB2066" s="8">
        <v>0</v>
      </c>
      <c r="AC2066" s="8">
        <v>1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11" t="s">
        <v>256</v>
      </c>
    </row>
    <row r="2067" spans="1:46" ht="15.1" customHeight="1">
      <c r="A2067" s="8">
        <v>688</v>
      </c>
      <c r="B2067" s="9" t="s">
        <v>1617</v>
      </c>
      <c r="C2067" s="8" t="s">
        <v>1618</v>
      </c>
      <c r="D2067" s="9" t="s">
        <v>451</v>
      </c>
      <c r="E2067" s="8" t="s">
        <v>54</v>
      </c>
      <c r="F2067" s="8" t="s">
        <v>54</v>
      </c>
      <c r="G2067" s="10" t="s">
        <v>67</v>
      </c>
      <c r="H2067" s="8" t="s">
        <v>54</v>
      </c>
      <c r="I2067" s="8" t="s">
        <v>54</v>
      </c>
      <c r="J2067" s="8" t="s">
        <v>54</v>
      </c>
      <c r="K2067" s="8" t="s">
        <v>54</v>
      </c>
      <c r="L2067" s="8" t="s">
        <v>54</v>
      </c>
      <c r="M2067" s="8" t="s">
        <v>54</v>
      </c>
      <c r="N2067" s="10" t="s">
        <v>67</v>
      </c>
      <c r="O2067" s="8" t="s">
        <v>54</v>
      </c>
      <c r="P2067" s="8" t="s">
        <v>54</v>
      </c>
      <c r="Q2067" s="8" t="s">
        <v>54</v>
      </c>
      <c r="R2067" s="8" t="s">
        <v>54</v>
      </c>
      <c r="S2067" s="8" t="s">
        <v>54</v>
      </c>
      <c r="T2067" s="8" t="s">
        <v>54</v>
      </c>
      <c r="U2067" s="10" t="s">
        <v>67</v>
      </c>
      <c r="V2067" s="8" t="s">
        <v>54</v>
      </c>
      <c r="W2067" s="8" t="s">
        <v>54</v>
      </c>
      <c r="X2067" s="8" t="s">
        <v>54</v>
      </c>
      <c r="Y2067" s="8" t="s">
        <v>54</v>
      </c>
      <c r="Z2067" s="8" t="s">
        <v>54</v>
      </c>
      <c r="AA2067" s="8" t="s">
        <v>54</v>
      </c>
      <c r="AB2067" s="10" t="s">
        <v>67</v>
      </c>
      <c r="AC2067" s="8" t="s">
        <v>54</v>
      </c>
      <c r="AD2067" s="8" t="s">
        <v>54</v>
      </c>
      <c r="AE2067" s="8" t="s">
        <v>54</v>
      </c>
      <c r="AF2067" s="8" t="s">
        <v>54</v>
      </c>
      <c r="AG2067" s="8" t="s">
        <v>54</v>
      </c>
      <c r="AH2067" s="12" t="s">
        <v>55</v>
      </c>
      <c r="AI2067" s="10" t="s">
        <v>67</v>
      </c>
      <c r="AJ2067" s="8">
        <f>COUNTIF($E$2067:$AI$2067,"P")</f>
        <v>25</v>
      </c>
      <c r="AK2067" s="8">
        <f>COUNTIF($E$2067:$AI$2067,"A")</f>
        <v>1</v>
      </c>
      <c r="AL2067" s="8">
        <f>SUM($E$2068:$AI$2068)</f>
        <v>37</v>
      </c>
      <c r="AM2067" s="8">
        <f>SUM($E$2069:$AI$2069)</f>
        <v>152</v>
      </c>
      <c r="AN2067" s="8">
        <f>AL2067+AM2067</f>
        <v>189</v>
      </c>
      <c r="AO2067" s="8">
        <f>COUNTIF($E$2067:$AI$2067,"CL")</f>
        <v>0</v>
      </c>
      <c r="AP2067" s="8">
        <f>COUNTIF($E$2067:$AI$2067,"SL")</f>
        <v>0</v>
      </c>
      <c r="AQ2067" s="8">
        <f>COUNTIF($E$2067:$AI$2067,"EL")</f>
        <v>0</v>
      </c>
      <c r="AR2067" s="8">
        <f>COUNTIF($E$2067:$AI$2067,"H")</f>
        <v>0</v>
      </c>
      <c r="AS2067" s="8"/>
      <c r="AT2067" s="11" t="s">
        <v>256</v>
      </c>
    </row>
    <row r="2068" spans="1:46" ht="15.1" customHeight="1">
      <c r="A2068" s="8"/>
      <c r="B2068" s="9"/>
      <c r="C2068" s="8"/>
      <c r="D2068" s="9"/>
      <c r="E2068" s="8">
        <v>2</v>
      </c>
      <c r="F2068" s="8">
        <v>2</v>
      </c>
      <c r="G2068" s="8">
        <v>0</v>
      </c>
      <c r="H2068" s="8">
        <v>2</v>
      </c>
      <c r="I2068" s="8">
        <v>2</v>
      </c>
      <c r="J2068" s="8">
        <v>2</v>
      </c>
      <c r="K2068" s="8">
        <v>2</v>
      </c>
      <c r="L2068" s="8">
        <v>2</v>
      </c>
      <c r="M2068" s="8">
        <v>2</v>
      </c>
      <c r="N2068" s="8">
        <v>0</v>
      </c>
      <c r="O2068" s="8">
        <v>2</v>
      </c>
      <c r="P2068" s="8">
        <v>2</v>
      </c>
      <c r="Q2068" s="8">
        <v>2</v>
      </c>
      <c r="R2068" s="8">
        <v>2</v>
      </c>
      <c r="S2068" s="8">
        <v>2</v>
      </c>
      <c r="T2068" s="8">
        <v>2</v>
      </c>
      <c r="U2068" s="8">
        <v>0</v>
      </c>
      <c r="V2068" s="8">
        <v>2</v>
      </c>
      <c r="W2068" s="8">
        <v>2</v>
      </c>
      <c r="X2068" s="8">
        <v>2</v>
      </c>
      <c r="Y2068" s="8">
        <v>1</v>
      </c>
      <c r="Z2068" s="8">
        <v>0</v>
      </c>
      <c r="AA2068" s="8">
        <v>0</v>
      </c>
      <c r="AB2068" s="8">
        <v>0</v>
      </c>
      <c r="AC2068" s="8">
        <v>0</v>
      </c>
      <c r="AD2068" s="8">
        <v>2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11" t="s">
        <v>256</v>
      </c>
    </row>
    <row r="2069" spans="1:46" ht="15.1" customHeight="1">
      <c r="A2069" s="8"/>
      <c r="B2069" s="9"/>
      <c r="C2069" s="8"/>
      <c r="D2069" s="9"/>
      <c r="E2069" s="8">
        <v>1</v>
      </c>
      <c r="F2069" s="8">
        <v>3</v>
      </c>
      <c r="G2069" s="8">
        <v>15</v>
      </c>
      <c r="H2069" s="8">
        <v>10</v>
      </c>
      <c r="I2069" s="8">
        <v>5.5</v>
      </c>
      <c r="J2069" s="8">
        <v>7.5</v>
      </c>
      <c r="K2069" s="8">
        <v>6.5</v>
      </c>
      <c r="L2069" s="8">
        <v>7</v>
      </c>
      <c r="M2069" s="8">
        <v>5</v>
      </c>
      <c r="N2069" s="8">
        <v>14</v>
      </c>
      <c r="O2069" s="8">
        <v>8</v>
      </c>
      <c r="P2069" s="8">
        <v>2</v>
      </c>
      <c r="Q2069" s="8">
        <v>7</v>
      </c>
      <c r="R2069" s="8">
        <v>7</v>
      </c>
      <c r="S2069" s="8">
        <v>6</v>
      </c>
      <c r="T2069" s="8">
        <v>6.5</v>
      </c>
      <c r="U2069" s="8">
        <v>12</v>
      </c>
      <c r="V2069" s="8">
        <v>8</v>
      </c>
      <c r="W2069" s="8">
        <v>5</v>
      </c>
      <c r="X2069" s="8">
        <v>9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7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11" t="s">
        <v>256</v>
      </c>
    </row>
    <row r="2070" spans="1:46" ht="15.1" customHeight="1">
      <c r="A2070" s="8">
        <v>689</v>
      </c>
      <c r="B2070" s="9" t="s">
        <v>1308</v>
      </c>
      <c r="C2070" s="8" t="s">
        <v>1619</v>
      </c>
      <c r="D2070" s="9" t="s">
        <v>451</v>
      </c>
      <c r="E2070" s="8" t="s">
        <v>54</v>
      </c>
      <c r="F2070" s="8" t="s">
        <v>54</v>
      </c>
      <c r="G2070" s="10" t="s">
        <v>67</v>
      </c>
      <c r="H2070" s="8" t="s">
        <v>54</v>
      </c>
      <c r="I2070" s="8" t="s">
        <v>54</v>
      </c>
      <c r="J2070" s="8" t="s">
        <v>54</v>
      </c>
      <c r="K2070" s="8" t="s">
        <v>54</v>
      </c>
      <c r="L2070" s="8" t="s">
        <v>54</v>
      </c>
      <c r="M2070" s="8" t="s">
        <v>54</v>
      </c>
      <c r="N2070" s="10" t="s">
        <v>67</v>
      </c>
      <c r="O2070" s="8" t="s">
        <v>54</v>
      </c>
      <c r="P2070" s="8" t="s">
        <v>54</v>
      </c>
      <c r="Q2070" s="8" t="s">
        <v>54</v>
      </c>
      <c r="R2070" s="8" t="s">
        <v>54</v>
      </c>
      <c r="S2070" s="8" t="s">
        <v>54</v>
      </c>
      <c r="T2070" s="8" t="s">
        <v>54</v>
      </c>
      <c r="U2070" s="10" t="s">
        <v>67</v>
      </c>
      <c r="V2070" s="8" t="s">
        <v>54</v>
      </c>
      <c r="W2070" s="8" t="s">
        <v>54</v>
      </c>
      <c r="X2070" s="8" t="s">
        <v>54</v>
      </c>
      <c r="Y2070" s="8" t="s">
        <v>54</v>
      </c>
      <c r="Z2070" s="8" t="s">
        <v>54</v>
      </c>
      <c r="AA2070" s="8" t="s">
        <v>54</v>
      </c>
      <c r="AB2070" s="10" t="s">
        <v>67</v>
      </c>
      <c r="AC2070" s="8" t="s">
        <v>54</v>
      </c>
      <c r="AD2070" s="8" t="s">
        <v>54</v>
      </c>
      <c r="AE2070" s="8" t="s">
        <v>54</v>
      </c>
      <c r="AF2070" s="8" t="s">
        <v>54</v>
      </c>
      <c r="AG2070" s="8" t="s">
        <v>54</v>
      </c>
      <c r="AH2070" s="12" t="s">
        <v>55</v>
      </c>
      <c r="AI2070" s="10" t="s">
        <v>67</v>
      </c>
      <c r="AJ2070" s="8">
        <f>COUNTIF($E$2070:$AI$2070,"P")</f>
        <v>25</v>
      </c>
      <c r="AK2070" s="8">
        <f>COUNTIF($E$2070:$AI$2070,"A")</f>
        <v>1</v>
      </c>
      <c r="AL2070" s="8">
        <f>SUM($E$2071:$AI$2071)</f>
        <v>39</v>
      </c>
      <c r="AM2070" s="8">
        <f>SUM($E$2072:$AI$2072)</f>
        <v>172.5</v>
      </c>
      <c r="AN2070" s="8">
        <f>AL2070+AM2070</f>
        <v>211.5</v>
      </c>
      <c r="AO2070" s="8">
        <f>COUNTIF($E$2070:$AI$2070,"CL")</f>
        <v>0</v>
      </c>
      <c r="AP2070" s="8">
        <f>COUNTIF($E$2070:$AI$2070,"SL")</f>
        <v>0</v>
      </c>
      <c r="AQ2070" s="8">
        <f>COUNTIF($E$2070:$AI$2070,"EL")</f>
        <v>0</v>
      </c>
      <c r="AR2070" s="8">
        <f>COUNTIF($E$2070:$AI$2070,"H")</f>
        <v>0</v>
      </c>
      <c r="AS2070" s="8"/>
      <c r="AT2070" s="11" t="s">
        <v>256</v>
      </c>
    </row>
    <row r="2071" spans="1:46" ht="15.1" customHeight="1">
      <c r="A2071" s="8"/>
      <c r="B2071" s="9"/>
      <c r="C2071" s="8"/>
      <c r="D2071" s="9"/>
      <c r="E2071" s="8">
        <v>2</v>
      </c>
      <c r="F2071" s="8">
        <v>2</v>
      </c>
      <c r="G2071" s="8">
        <v>0</v>
      </c>
      <c r="H2071" s="8">
        <v>2</v>
      </c>
      <c r="I2071" s="8">
        <v>2</v>
      </c>
      <c r="J2071" s="8">
        <v>2</v>
      </c>
      <c r="K2071" s="8">
        <v>2</v>
      </c>
      <c r="L2071" s="8">
        <v>2</v>
      </c>
      <c r="M2071" s="8">
        <v>2</v>
      </c>
      <c r="N2071" s="8">
        <v>0</v>
      </c>
      <c r="O2071" s="8">
        <v>2</v>
      </c>
      <c r="P2071" s="8">
        <v>2</v>
      </c>
      <c r="Q2071" s="8">
        <v>2</v>
      </c>
      <c r="R2071" s="8">
        <v>2</v>
      </c>
      <c r="S2071" s="8">
        <v>2</v>
      </c>
      <c r="T2071" s="8">
        <v>2</v>
      </c>
      <c r="U2071" s="8">
        <v>0</v>
      </c>
      <c r="V2071" s="8">
        <v>2</v>
      </c>
      <c r="W2071" s="8">
        <v>2</v>
      </c>
      <c r="X2071" s="8">
        <v>2</v>
      </c>
      <c r="Y2071" s="8">
        <v>1</v>
      </c>
      <c r="Z2071" s="8">
        <v>0</v>
      </c>
      <c r="AA2071" s="8">
        <v>0</v>
      </c>
      <c r="AB2071" s="8">
        <v>0</v>
      </c>
      <c r="AC2071" s="8">
        <v>2</v>
      </c>
      <c r="AD2071" s="8">
        <v>2</v>
      </c>
      <c r="AE2071" s="8">
        <v>0</v>
      </c>
      <c r="AF2071" s="8">
        <v>0</v>
      </c>
      <c r="AG2071" s="8">
        <v>0</v>
      </c>
      <c r="AH2071" s="8">
        <v>0</v>
      </c>
      <c r="AI2071" s="8">
        <v>0</v>
      </c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11" t="s">
        <v>256</v>
      </c>
    </row>
    <row r="2072" spans="1:46" ht="15.1" customHeight="1">
      <c r="A2072" s="8"/>
      <c r="B2072" s="9"/>
      <c r="C2072" s="8"/>
      <c r="D2072" s="9"/>
      <c r="E2072" s="8">
        <v>7</v>
      </c>
      <c r="F2072" s="8">
        <v>3</v>
      </c>
      <c r="G2072" s="8">
        <v>15</v>
      </c>
      <c r="H2072" s="8">
        <v>7</v>
      </c>
      <c r="I2072" s="8">
        <v>11</v>
      </c>
      <c r="J2072" s="8">
        <v>3</v>
      </c>
      <c r="K2072" s="8">
        <v>6</v>
      </c>
      <c r="L2072" s="8">
        <v>8</v>
      </c>
      <c r="M2072" s="8">
        <v>5</v>
      </c>
      <c r="N2072" s="8">
        <v>16.5</v>
      </c>
      <c r="O2072" s="8">
        <v>7</v>
      </c>
      <c r="P2072" s="8">
        <v>7</v>
      </c>
      <c r="Q2072" s="8">
        <v>9</v>
      </c>
      <c r="R2072" s="8">
        <v>6</v>
      </c>
      <c r="S2072" s="8">
        <v>7</v>
      </c>
      <c r="T2072" s="8">
        <v>9</v>
      </c>
      <c r="U2072" s="8">
        <v>12</v>
      </c>
      <c r="V2072" s="8">
        <v>8</v>
      </c>
      <c r="W2072" s="8">
        <v>11</v>
      </c>
      <c r="X2072" s="8">
        <v>9</v>
      </c>
      <c r="Y2072" s="8">
        <v>0</v>
      </c>
      <c r="Z2072" s="8">
        <v>0</v>
      </c>
      <c r="AA2072" s="8">
        <v>0</v>
      </c>
      <c r="AB2072" s="8">
        <v>0</v>
      </c>
      <c r="AC2072" s="8">
        <v>2</v>
      </c>
      <c r="AD2072" s="8">
        <v>4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11" t="s">
        <v>256</v>
      </c>
    </row>
    <row r="2073" spans="1:46" ht="15.1" customHeight="1">
      <c r="A2073" s="8">
        <v>690</v>
      </c>
      <c r="B2073" s="9" t="s">
        <v>1620</v>
      </c>
      <c r="C2073" s="8" t="s">
        <v>1621</v>
      </c>
      <c r="D2073" s="9" t="s">
        <v>451</v>
      </c>
      <c r="E2073" s="8" t="s">
        <v>54</v>
      </c>
      <c r="F2073" s="8" t="s">
        <v>54</v>
      </c>
      <c r="G2073" s="10" t="s">
        <v>67</v>
      </c>
      <c r="H2073" s="8" t="s">
        <v>54</v>
      </c>
      <c r="I2073" s="8" t="s">
        <v>54</v>
      </c>
      <c r="J2073" s="8" t="s">
        <v>54</v>
      </c>
      <c r="K2073" s="8" t="s">
        <v>54</v>
      </c>
      <c r="L2073" s="8" t="s">
        <v>54</v>
      </c>
      <c r="M2073" s="8" t="s">
        <v>54</v>
      </c>
      <c r="N2073" s="10" t="s">
        <v>67</v>
      </c>
      <c r="O2073" s="8" t="s">
        <v>54</v>
      </c>
      <c r="P2073" s="8" t="s">
        <v>54</v>
      </c>
      <c r="Q2073" s="8" t="s">
        <v>54</v>
      </c>
      <c r="R2073" s="8" t="s">
        <v>54</v>
      </c>
      <c r="S2073" s="8" t="s">
        <v>54</v>
      </c>
      <c r="T2073" s="8" t="s">
        <v>54</v>
      </c>
      <c r="U2073" s="10" t="s">
        <v>67</v>
      </c>
      <c r="V2073" s="8" t="s">
        <v>54</v>
      </c>
      <c r="W2073" s="8" t="s">
        <v>54</v>
      </c>
      <c r="X2073" s="8" t="s">
        <v>54</v>
      </c>
      <c r="Y2073" s="8" t="s">
        <v>54</v>
      </c>
      <c r="Z2073" s="8" t="s">
        <v>54</v>
      </c>
      <c r="AA2073" s="8" t="s">
        <v>54</v>
      </c>
      <c r="AB2073" s="10" t="s">
        <v>67</v>
      </c>
      <c r="AC2073" s="8" t="s">
        <v>54</v>
      </c>
      <c r="AD2073" s="8" t="s">
        <v>54</v>
      </c>
      <c r="AE2073" s="8" t="s">
        <v>54</v>
      </c>
      <c r="AF2073" s="8" t="s">
        <v>54</v>
      </c>
      <c r="AG2073" s="8" t="s">
        <v>54</v>
      </c>
      <c r="AH2073" s="12" t="s">
        <v>55</v>
      </c>
      <c r="AI2073" s="10" t="s">
        <v>67</v>
      </c>
      <c r="AJ2073" s="8">
        <f>COUNTIF($E$2073:$AI$2073,"P")</f>
        <v>25</v>
      </c>
      <c r="AK2073" s="8">
        <f>COUNTIF($E$2073:$AI$2073,"A")</f>
        <v>1</v>
      </c>
      <c r="AL2073" s="8">
        <f>SUM($E$2074:$AI$2074)</f>
        <v>30</v>
      </c>
      <c r="AM2073" s="8">
        <f>SUM($E$2075:$AI$2075)</f>
        <v>138.5</v>
      </c>
      <c r="AN2073" s="8">
        <f>AL2073+AM2073</f>
        <v>168.5</v>
      </c>
      <c r="AO2073" s="8">
        <f>COUNTIF($E$2073:$AI$2073,"CL")</f>
        <v>0</v>
      </c>
      <c r="AP2073" s="8">
        <f>COUNTIF($E$2073:$AI$2073,"SL")</f>
        <v>0</v>
      </c>
      <c r="AQ2073" s="8">
        <f>COUNTIF($E$2073:$AI$2073,"EL")</f>
        <v>0</v>
      </c>
      <c r="AR2073" s="8">
        <f>COUNTIF($E$2073:$AI$2073,"H")</f>
        <v>0</v>
      </c>
      <c r="AS2073" s="8"/>
      <c r="AT2073" s="11" t="s">
        <v>256</v>
      </c>
    </row>
    <row r="2074" spans="1:46" ht="15.1" customHeight="1">
      <c r="A2074" s="8"/>
      <c r="B2074" s="9"/>
      <c r="C2074" s="8"/>
      <c r="D2074" s="9"/>
      <c r="E2074" s="8">
        <v>2</v>
      </c>
      <c r="F2074" s="8">
        <v>2</v>
      </c>
      <c r="G2074" s="8">
        <v>0</v>
      </c>
      <c r="H2074" s="8">
        <v>2</v>
      </c>
      <c r="I2074" s="8">
        <v>2</v>
      </c>
      <c r="J2074" s="8">
        <v>2</v>
      </c>
      <c r="K2074" s="8">
        <v>2</v>
      </c>
      <c r="L2074" s="8">
        <v>2</v>
      </c>
      <c r="M2074" s="8">
        <v>2</v>
      </c>
      <c r="N2074" s="8">
        <v>0</v>
      </c>
      <c r="O2074" s="8">
        <v>2</v>
      </c>
      <c r="P2074" s="8">
        <v>2</v>
      </c>
      <c r="Q2074" s="8">
        <v>0</v>
      </c>
      <c r="R2074" s="8">
        <v>0</v>
      </c>
      <c r="S2074" s="8">
        <v>2</v>
      </c>
      <c r="T2074" s="8">
        <v>2</v>
      </c>
      <c r="U2074" s="8">
        <v>0</v>
      </c>
      <c r="V2074" s="8">
        <v>2</v>
      </c>
      <c r="W2074" s="8">
        <v>2</v>
      </c>
      <c r="X2074" s="8">
        <v>2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11" t="s">
        <v>256</v>
      </c>
    </row>
    <row r="2075" spans="1:46" ht="15.1" customHeight="1">
      <c r="A2075" s="8"/>
      <c r="B2075" s="9"/>
      <c r="C2075" s="8"/>
      <c r="D2075" s="9"/>
      <c r="E2075" s="8">
        <v>5</v>
      </c>
      <c r="F2075" s="8">
        <v>3</v>
      </c>
      <c r="G2075" s="8">
        <v>0</v>
      </c>
      <c r="H2075" s="8">
        <v>10</v>
      </c>
      <c r="I2075" s="8">
        <v>9</v>
      </c>
      <c r="J2075" s="8">
        <v>3</v>
      </c>
      <c r="K2075" s="8">
        <v>5</v>
      </c>
      <c r="L2075" s="8">
        <v>8</v>
      </c>
      <c r="M2075" s="8">
        <v>10</v>
      </c>
      <c r="N2075" s="8">
        <v>14</v>
      </c>
      <c r="O2075" s="8">
        <v>7</v>
      </c>
      <c r="P2075" s="8">
        <v>11</v>
      </c>
      <c r="Q2075" s="8">
        <v>0</v>
      </c>
      <c r="R2075" s="8">
        <v>0</v>
      </c>
      <c r="S2075" s="8">
        <v>7</v>
      </c>
      <c r="T2075" s="8">
        <v>6.5</v>
      </c>
      <c r="U2075" s="8">
        <v>13</v>
      </c>
      <c r="V2075" s="8">
        <v>7</v>
      </c>
      <c r="W2075" s="8">
        <v>11</v>
      </c>
      <c r="X2075" s="8">
        <v>9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8">
        <v>0</v>
      </c>
      <c r="AH2075" s="8">
        <v>0</v>
      </c>
      <c r="AI2075" s="8">
        <v>0</v>
      </c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11" t="s">
        <v>256</v>
      </c>
    </row>
    <row r="2076" spans="1:46" ht="15.1" customHeight="1">
      <c r="A2076" s="8">
        <v>691</v>
      </c>
      <c r="B2076" s="9" t="s">
        <v>1622</v>
      </c>
      <c r="C2076" s="8" t="s">
        <v>1623</v>
      </c>
      <c r="D2076" s="9" t="s">
        <v>451</v>
      </c>
      <c r="E2076" s="12" t="s">
        <v>55</v>
      </c>
      <c r="F2076" s="12" t="s">
        <v>55</v>
      </c>
      <c r="G2076" s="10" t="s">
        <v>67</v>
      </c>
      <c r="H2076" s="8" t="s">
        <v>54</v>
      </c>
      <c r="I2076" s="8" t="s">
        <v>54</v>
      </c>
      <c r="J2076" s="8" t="s">
        <v>54</v>
      </c>
      <c r="K2076" s="8" t="s">
        <v>54</v>
      </c>
      <c r="L2076" s="8" t="s">
        <v>54</v>
      </c>
      <c r="M2076" s="8" t="s">
        <v>54</v>
      </c>
      <c r="N2076" s="10" t="s">
        <v>67</v>
      </c>
      <c r="O2076" s="12" t="s">
        <v>55</v>
      </c>
      <c r="P2076" s="8" t="s">
        <v>54</v>
      </c>
      <c r="Q2076" s="8" t="s">
        <v>54</v>
      </c>
      <c r="R2076" s="8" t="s">
        <v>54</v>
      </c>
      <c r="S2076" s="8" t="s">
        <v>54</v>
      </c>
      <c r="T2076" s="8" t="s">
        <v>54</v>
      </c>
      <c r="U2076" s="10" t="s">
        <v>67</v>
      </c>
      <c r="V2076" s="8" t="s">
        <v>54</v>
      </c>
      <c r="W2076" s="8" t="s">
        <v>54</v>
      </c>
      <c r="X2076" s="8" t="s">
        <v>54</v>
      </c>
      <c r="Y2076" s="8" t="s">
        <v>54</v>
      </c>
      <c r="Z2076" s="8" t="s">
        <v>54</v>
      </c>
      <c r="AA2076" s="8" t="s">
        <v>54</v>
      </c>
      <c r="AB2076" s="10" t="s">
        <v>67</v>
      </c>
      <c r="AC2076" s="8" t="s">
        <v>54</v>
      </c>
      <c r="AD2076" s="8" t="s">
        <v>54</v>
      </c>
      <c r="AE2076" s="8" t="s">
        <v>54</v>
      </c>
      <c r="AF2076" s="12" t="s">
        <v>55</v>
      </c>
      <c r="AG2076" s="12" t="s">
        <v>55</v>
      </c>
      <c r="AH2076" s="12" t="s">
        <v>55</v>
      </c>
      <c r="AI2076" s="10" t="s">
        <v>67</v>
      </c>
      <c r="AJ2076" s="8">
        <f>COUNTIF($E$2076:$AI$2076,"P")</f>
        <v>20</v>
      </c>
      <c r="AK2076" s="8">
        <f>COUNTIF($E$2076:$AI$2076,"A")</f>
        <v>6</v>
      </c>
      <c r="AL2076" s="8">
        <f>SUM($E$2077:$AI$2077)</f>
        <v>28</v>
      </c>
      <c r="AM2076" s="8">
        <f>SUM($E$2078:$AI$2078)</f>
        <v>97</v>
      </c>
      <c r="AN2076" s="8">
        <f>AL2076+AM2076</f>
        <v>125</v>
      </c>
      <c r="AO2076" s="8">
        <f>COUNTIF($E$2076:$AI$2076,"CL")</f>
        <v>0</v>
      </c>
      <c r="AP2076" s="8">
        <f>COUNTIF($E$2076:$AI$2076,"SL")</f>
        <v>0</v>
      </c>
      <c r="AQ2076" s="8">
        <f>COUNTIF($E$2076:$AI$2076,"EL")</f>
        <v>0</v>
      </c>
      <c r="AR2076" s="8">
        <f>COUNTIF($E$2076:$AI$2076,"H")</f>
        <v>0</v>
      </c>
      <c r="AS2076" s="8"/>
      <c r="AT2076" s="11" t="s">
        <v>256</v>
      </c>
    </row>
    <row r="2077" spans="1:46" ht="15.1" customHeight="1">
      <c r="A2077" s="8"/>
      <c r="B2077" s="9"/>
      <c r="C2077" s="8"/>
      <c r="D2077" s="9"/>
      <c r="E2077" s="8">
        <v>0</v>
      </c>
      <c r="F2077" s="8">
        <v>0</v>
      </c>
      <c r="G2077" s="8">
        <v>0</v>
      </c>
      <c r="H2077" s="8">
        <v>2</v>
      </c>
      <c r="I2077" s="8">
        <v>2</v>
      </c>
      <c r="J2077" s="8">
        <v>2</v>
      </c>
      <c r="K2077" s="8">
        <v>2</v>
      </c>
      <c r="L2077" s="8">
        <v>2</v>
      </c>
      <c r="M2077" s="8">
        <v>2</v>
      </c>
      <c r="N2077" s="8">
        <v>0</v>
      </c>
      <c r="O2077" s="8">
        <v>0</v>
      </c>
      <c r="P2077" s="8">
        <v>2</v>
      </c>
      <c r="Q2077" s="8">
        <v>2</v>
      </c>
      <c r="R2077" s="8">
        <v>2</v>
      </c>
      <c r="S2077" s="8">
        <v>2</v>
      </c>
      <c r="T2077" s="8">
        <v>0</v>
      </c>
      <c r="U2077" s="8">
        <v>0</v>
      </c>
      <c r="V2077" s="8">
        <v>2</v>
      </c>
      <c r="W2077" s="8">
        <v>2</v>
      </c>
      <c r="X2077" s="8">
        <v>2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2</v>
      </c>
      <c r="AE2077" s="8">
        <v>0</v>
      </c>
      <c r="AF2077" s="8">
        <v>0</v>
      </c>
      <c r="AG2077" s="8">
        <v>0</v>
      </c>
      <c r="AH2077" s="8">
        <v>0</v>
      </c>
      <c r="AI2077" s="8">
        <v>0</v>
      </c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11" t="s">
        <v>256</v>
      </c>
    </row>
    <row r="2078" spans="1:46" ht="15.1" customHeight="1">
      <c r="A2078" s="8"/>
      <c r="B2078" s="9"/>
      <c r="C2078" s="8"/>
      <c r="D2078" s="9"/>
      <c r="E2078" s="8">
        <v>0</v>
      </c>
      <c r="F2078" s="8">
        <v>0</v>
      </c>
      <c r="G2078" s="8">
        <v>0</v>
      </c>
      <c r="H2078" s="8">
        <v>7</v>
      </c>
      <c r="I2078" s="8">
        <v>7</v>
      </c>
      <c r="J2078" s="8">
        <v>6</v>
      </c>
      <c r="K2078" s="8">
        <v>5</v>
      </c>
      <c r="L2078" s="8">
        <v>7</v>
      </c>
      <c r="M2078" s="8">
        <v>5</v>
      </c>
      <c r="N2078" s="8">
        <v>0</v>
      </c>
      <c r="O2078" s="8">
        <v>0</v>
      </c>
      <c r="P2078" s="8">
        <v>7</v>
      </c>
      <c r="Q2078" s="8">
        <v>7</v>
      </c>
      <c r="R2078" s="8">
        <v>7</v>
      </c>
      <c r="S2078" s="8">
        <v>7</v>
      </c>
      <c r="T2078" s="8">
        <v>0</v>
      </c>
      <c r="U2078" s="8">
        <v>13</v>
      </c>
      <c r="V2078" s="8">
        <v>7</v>
      </c>
      <c r="W2078" s="8">
        <v>7</v>
      </c>
      <c r="X2078" s="8">
        <v>5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11" t="s">
        <v>256</v>
      </c>
    </row>
    <row r="2079" spans="1:46" ht="15.1" customHeight="1">
      <c r="A2079" s="8">
        <v>692</v>
      </c>
      <c r="B2079" s="9" t="s">
        <v>1624</v>
      </c>
      <c r="C2079" s="8" t="s">
        <v>1625</v>
      </c>
      <c r="D2079" s="9" t="s">
        <v>451</v>
      </c>
      <c r="E2079" s="8" t="s">
        <v>54</v>
      </c>
      <c r="F2079" s="8" t="s">
        <v>54</v>
      </c>
      <c r="G2079" s="10" t="s">
        <v>67</v>
      </c>
      <c r="H2079" s="8" t="s">
        <v>54</v>
      </c>
      <c r="I2079" s="8" t="s">
        <v>54</v>
      </c>
      <c r="J2079" s="8" t="s">
        <v>54</v>
      </c>
      <c r="K2079" s="8" t="s">
        <v>54</v>
      </c>
      <c r="L2079" s="8" t="s">
        <v>54</v>
      </c>
      <c r="M2079" s="8" t="s">
        <v>54</v>
      </c>
      <c r="N2079" s="10" t="s">
        <v>67</v>
      </c>
      <c r="O2079" s="8" t="s">
        <v>54</v>
      </c>
      <c r="P2079" s="8" t="s">
        <v>54</v>
      </c>
      <c r="Q2079" s="8" t="s">
        <v>54</v>
      </c>
      <c r="R2079" s="12" t="s">
        <v>55</v>
      </c>
      <c r="S2079" s="8" t="s">
        <v>54</v>
      </c>
      <c r="T2079" s="8" t="s">
        <v>54</v>
      </c>
      <c r="U2079" s="10" t="s">
        <v>67</v>
      </c>
      <c r="V2079" s="8" t="s">
        <v>54</v>
      </c>
      <c r="W2079" s="8" t="s">
        <v>54</v>
      </c>
      <c r="X2079" s="12" t="s">
        <v>55</v>
      </c>
      <c r="Y2079" s="8" t="s">
        <v>54</v>
      </c>
      <c r="Z2079" s="8" t="s">
        <v>54</v>
      </c>
      <c r="AA2079" s="8" t="s">
        <v>54</v>
      </c>
      <c r="AB2079" s="10" t="s">
        <v>67</v>
      </c>
      <c r="AC2079" s="8" t="s">
        <v>54</v>
      </c>
      <c r="AD2079" s="8" t="s">
        <v>54</v>
      </c>
      <c r="AE2079" s="8" t="s">
        <v>54</v>
      </c>
      <c r="AF2079" s="8" t="s">
        <v>54</v>
      </c>
      <c r="AG2079" s="8" t="s">
        <v>54</v>
      </c>
      <c r="AH2079" s="12" t="s">
        <v>55</v>
      </c>
      <c r="AI2079" s="10" t="s">
        <v>67</v>
      </c>
      <c r="AJ2079" s="8">
        <f>COUNTIF($E$2079:$AI$2079,"P")</f>
        <v>23</v>
      </c>
      <c r="AK2079" s="8">
        <f>COUNTIF($E$2079:$AI$2079,"A")</f>
        <v>3</v>
      </c>
      <c r="AL2079" s="8">
        <f>SUM($E$2080:$AI$2080)</f>
        <v>31</v>
      </c>
      <c r="AM2079" s="8">
        <f>SUM($E$2081:$AI$2081)</f>
        <v>133</v>
      </c>
      <c r="AN2079" s="8">
        <f>AL2079+AM2079</f>
        <v>164</v>
      </c>
      <c r="AO2079" s="8">
        <f>COUNTIF($E$2079:$AI$2079,"CL")</f>
        <v>0</v>
      </c>
      <c r="AP2079" s="8">
        <f>COUNTIF($E$2079:$AI$2079,"SL")</f>
        <v>0</v>
      </c>
      <c r="AQ2079" s="8">
        <f>COUNTIF($E$2079:$AI$2079,"EL")</f>
        <v>0</v>
      </c>
      <c r="AR2079" s="8">
        <f>COUNTIF($E$2079:$AI$2079,"H")</f>
        <v>0</v>
      </c>
      <c r="AS2079" s="8"/>
      <c r="AT2079" s="11" t="s">
        <v>256</v>
      </c>
    </row>
    <row r="2080" spans="1:46" ht="15.1" customHeight="1">
      <c r="A2080" s="8"/>
      <c r="B2080" s="9"/>
      <c r="C2080" s="8"/>
      <c r="D2080" s="9"/>
      <c r="E2080" s="8">
        <v>2</v>
      </c>
      <c r="F2080" s="8">
        <v>2</v>
      </c>
      <c r="G2080" s="8">
        <v>0</v>
      </c>
      <c r="H2080" s="8">
        <v>2</v>
      </c>
      <c r="I2080" s="8">
        <v>2</v>
      </c>
      <c r="J2080" s="8">
        <v>2</v>
      </c>
      <c r="K2080" s="8">
        <v>2</v>
      </c>
      <c r="L2080" s="8">
        <v>2</v>
      </c>
      <c r="M2080" s="8">
        <v>2</v>
      </c>
      <c r="N2080" s="8">
        <v>0</v>
      </c>
      <c r="O2080" s="8">
        <v>2</v>
      </c>
      <c r="P2080" s="8">
        <v>2</v>
      </c>
      <c r="Q2080" s="8">
        <v>2</v>
      </c>
      <c r="R2080" s="8">
        <v>0</v>
      </c>
      <c r="S2080" s="8">
        <v>2</v>
      </c>
      <c r="T2080" s="8">
        <v>0</v>
      </c>
      <c r="U2080" s="8">
        <v>0</v>
      </c>
      <c r="V2080" s="8">
        <v>2</v>
      </c>
      <c r="W2080" s="8">
        <v>2</v>
      </c>
      <c r="X2080" s="8">
        <v>0</v>
      </c>
      <c r="Y2080" s="8">
        <v>0</v>
      </c>
      <c r="Z2080" s="8">
        <v>0</v>
      </c>
      <c r="AA2080" s="8">
        <v>1</v>
      </c>
      <c r="AB2080" s="8">
        <v>0</v>
      </c>
      <c r="AC2080" s="8">
        <v>2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11" t="s">
        <v>256</v>
      </c>
    </row>
    <row r="2081" spans="1:46" ht="15.1" customHeight="1">
      <c r="A2081" s="8"/>
      <c r="B2081" s="9"/>
      <c r="C2081" s="8"/>
      <c r="D2081" s="9"/>
      <c r="E2081" s="8">
        <v>7</v>
      </c>
      <c r="F2081" s="8">
        <v>2</v>
      </c>
      <c r="G2081" s="8">
        <v>0</v>
      </c>
      <c r="H2081" s="8">
        <v>7</v>
      </c>
      <c r="I2081" s="8">
        <v>11</v>
      </c>
      <c r="J2081" s="8">
        <v>3</v>
      </c>
      <c r="K2081" s="8">
        <v>6</v>
      </c>
      <c r="L2081" s="8">
        <v>7</v>
      </c>
      <c r="M2081" s="8">
        <v>7</v>
      </c>
      <c r="N2081" s="8">
        <v>17</v>
      </c>
      <c r="O2081" s="8">
        <v>7</v>
      </c>
      <c r="P2081" s="8">
        <v>7</v>
      </c>
      <c r="Q2081" s="8">
        <v>8</v>
      </c>
      <c r="R2081" s="8">
        <v>0</v>
      </c>
      <c r="S2081" s="8">
        <v>10</v>
      </c>
      <c r="T2081" s="8">
        <v>0</v>
      </c>
      <c r="U2081" s="8">
        <v>13</v>
      </c>
      <c r="V2081" s="8">
        <v>8</v>
      </c>
      <c r="W2081" s="8">
        <v>11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2</v>
      </c>
      <c r="AD2081" s="8">
        <v>0</v>
      </c>
      <c r="AE2081" s="8">
        <v>0</v>
      </c>
      <c r="AF2081" s="8">
        <v>0</v>
      </c>
      <c r="AG2081" s="8">
        <v>0</v>
      </c>
      <c r="AH2081" s="8">
        <v>0</v>
      </c>
      <c r="AI2081" s="8">
        <v>0</v>
      </c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11" t="s">
        <v>256</v>
      </c>
    </row>
    <row r="2082" spans="1:46" ht="15.1" customHeight="1">
      <c r="A2082" s="8">
        <v>693</v>
      </c>
      <c r="B2082" s="9" t="s">
        <v>1626</v>
      </c>
      <c r="C2082" s="8" t="s">
        <v>1627</v>
      </c>
      <c r="D2082" s="9" t="s">
        <v>451</v>
      </c>
      <c r="E2082" s="8" t="s">
        <v>54</v>
      </c>
      <c r="F2082" s="8" t="s">
        <v>54</v>
      </c>
      <c r="G2082" s="10" t="s">
        <v>67</v>
      </c>
      <c r="H2082" s="8" t="s">
        <v>54</v>
      </c>
      <c r="I2082" s="8" t="s">
        <v>54</v>
      </c>
      <c r="J2082" s="8" t="s">
        <v>54</v>
      </c>
      <c r="K2082" s="8" t="s">
        <v>54</v>
      </c>
      <c r="L2082" s="8" t="s">
        <v>54</v>
      </c>
      <c r="M2082" s="12" t="s">
        <v>55</v>
      </c>
      <c r="N2082" s="10" t="s">
        <v>67</v>
      </c>
      <c r="O2082" s="8" t="s">
        <v>54</v>
      </c>
      <c r="P2082" s="8" t="s">
        <v>54</v>
      </c>
      <c r="Q2082" s="8" t="s">
        <v>54</v>
      </c>
      <c r="R2082" s="8" t="s">
        <v>54</v>
      </c>
      <c r="S2082" s="8" t="s">
        <v>54</v>
      </c>
      <c r="T2082" s="8" t="s">
        <v>54</v>
      </c>
      <c r="U2082" s="10" t="s">
        <v>67</v>
      </c>
      <c r="V2082" s="8" t="s">
        <v>54</v>
      </c>
      <c r="W2082" s="8" t="s">
        <v>54</v>
      </c>
      <c r="X2082" s="8" t="s">
        <v>54</v>
      </c>
      <c r="Y2082" s="8" t="s">
        <v>54</v>
      </c>
      <c r="Z2082" s="8" t="s">
        <v>54</v>
      </c>
      <c r="AA2082" s="8" t="s">
        <v>54</v>
      </c>
      <c r="AB2082" s="10" t="s">
        <v>67</v>
      </c>
      <c r="AC2082" s="8" t="s">
        <v>54</v>
      </c>
      <c r="AD2082" s="8" t="s">
        <v>54</v>
      </c>
      <c r="AE2082" s="8" t="s">
        <v>54</v>
      </c>
      <c r="AF2082" s="8" t="s">
        <v>54</v>
      </c>
      <c r="AG2082" s="8" t="s">
        <v>54</v>
      </c>
      <c r="AH2082" s="12" t="s">
        <v>55</v>
      </c>
      <c r="AI2082" s="10" t="s">
        <v>67</v>
      </c>
      <c r="AJ2082" s="8">
        <f>COUNTIF($E$2082:$AI$2082,"P")</f>
        <v>24</v>
      </c>
      <c r="AK2082" s="8">
        <f>COUNTIF($E$2082:$AI$2082,"A")</f>
        <v>2</v>
      </c>
      <c r="AL2082" s="8">
        <f>SUM($E$2083:$AI$2083)</f>
        <v>34</v>
      </c>
      <c r="AM2082" s="8">
        <f>SUM($E$2084:$AI$2084)</f>
        <v>156</v>
      </c>
      <c r="AN2082" s="8">
        <f>AL2082+AM2082</f>
        <v>190</v>
      </c>
      <c r="AO2082" s="8">
        <f>COUNTIF($E$2082:$AI$2082,"CL")</f>
        <v>0</v>
      </c>
      <c r="AP2082" s="8">
        <f>COUNTIF($E$2082:$AI$2082,"SL")</f>
        <v>0</v>
      </c>
      <c r="AQ2082" s="8">
        <f>COUNTIF($E$2082:$AI$2082,"EL")</f>
        <v>0</v>
      </c>
      <c r="AR2082" s="8">
        <f>COUNTIF($E$2082:$AI$2082,"H")</f>
        <v>0</v>
      </c>
      <c r="AS2082" s="8"/>
      <c r="AT2082" s="11" t="s">
        <v>256</v>
      </c>
    </row>
    <row r="2083" spans="1:46" ht="15.1" customHeight="1">
      <c r="A2083" s="8"/>
      <c r="B2083" s="9"/>
      <c r="C2083" s="8"/>
      <c r="D2083" s="9"/>
      <c r="E2083" s="8">
        <v>2</v>
      </c>
      <c r="F2083" s="8">
        <v>2</v>
      </c>
      <c r="G2083" s="8">
        <v>0</v>
      </c>
      <c r="H2083" s="8">
        <v>2</v>
      </c>
      <c r="I2083" s="8">
        <v>2</v>
      </c>
      <c r="J2083" s="8">
        <v>2</v>
      </c>
      <c r="K2083" s="8">
        <v>2</v>
      </c>
      <c r="L2083" s="8">
        <v>2</v>
      </c>
      <c r="M2083" s="8">
        <v>0</v>
      </c>
      <c r="N2083" s="8">
        <v>0</v>
      </c>
      <c r="O2083" s="8">
        <v>2</v>
      </c>
      <c r="P2083" s="8">
        <v>2</v>
      </c>
      <c r="Q2083" s="8">
        <v>2</v>
      </c>
      <c r="R2083" s="8">
        <v>2</v>
      </c>
      <c r="S2083" s="8">
        <v>2</v>
      </c>
      <c r="T2083" s="8">
        <v>2</v>
      </c>
      <c r="U2083" s="8">
        <v>0</v>
      </c>
      <c r="V2083" s="8">
        <v>2</v>
      </c>
      <c r="W2083" s="8">
        <v>2</v>
      </c>
      <c r="X2083" s="8">
        <v>2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2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11" t="s">
        <v>256</v>
      </c>
    </row>
    <row r="2084" spans="1:46" ht="15.1" customHeight="1">
      <c r="A2084" s="8"/>
      <c r="B2084" s="9"/>
      <c r="C2084" s="8"/>
      <c r="D2084" s="9"/>
      <c r="E2084" s="8">
        <v>1</v>
      </c>
      <c r="F2084" s="8">
        <v>1</v>
      </c>
      <c r="G2084" s="8">
        <v>15</v>
      </c>
      <c r="H2084" s="8">
        <v>7</v>
      </c>
      <c r="I2084" s="8">
        <v>10.5</v>
      </c>
      <c r="J2084" s="8">
        <v>3.5</v>
      </c>
      <c r="K2084" s="8">
        <v>6</v>
      </c>
      <c r="L2084" s="8">
        <v>7</v>
      </c>
      <c r="M2084" s="8">
        <v>0</v>
      </c>
      <c r="N2084" s="8">
        <v>16.5</v>
      </c>
      <c r="O2084" s="8">
        <v>11</v>
      </c>
      <c r="P2084" s="8">
        <v>1</v>
      </c>
      <c r="Q2084" s="8">
        <v>10.5</v>
      </c>
      <c r="R2084" s="8">
        <v>5</v>
      </c>
      <c r="S2084" s="8">
        <v>7</v>
      </c>
      <c r="T2084" s="8">
        <v>6</v>
      </c>
      <c r="U2084" s="8">
        <v>13</v>
      </c>
      <c r="V2084" s="8">
        <v>8</v>
      </c>
      <c r="W2084" s="8">
        <v>11</v>
      </c>
      <c r="X2084" s="8">
        <v>9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7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11" t="s">
        <v>256</v>
      </c>
    </row>
    <row r="2085" spans="1:46" ht="15.1" customHeight="1">
      <c r="A2085" s="8">
        <v>694</v>
      </c>
      <c r="B2085" s="9" t="s">
        <v>1628</v>
      </c>
      <c r="C2085" s="8" t="s">
        <v>1629</v>
      </c>
      <c r="D2085" s="9" t="s">
        <v>451</v>
      </c>
      <c r="E2085" s="8" t="s">
        <v>54</v>
      </c>
      <c r="F2085" s="8" t="s">
        <v>54</v>
      </c>
      <c r="G2085" s="10" t="s">
        <v>67</v>
      </c>
      <c r="H2085" s="8" t="s">
        <v>54</v>
      </c>
      <c r="I2085" s="8" t="s">
        <v>54</v>
      </c>
      <c r="J2085" s="8" t="s">
        <v>54</v>
      </c>
      <c r="K2085" s="8" t="s">
        <v>54</v>
      </c>
      <c r="L2085" s="8" t="s">
        <v>54</v>
      </c>
      <c r="M2085" s="8" t="s">
        <v>54</v>
      </c>
      <c r="N2085" s="10" t="s">
        <v>67</v>
      </c>
      <c r="O2085" s="8" t="s">
        <v>54</v>
      </c>
      <c r="P2085" s="8" t="s">
        <v>54</v>
      </c>
      <c r="Q2085" s="8" t="s">
        <v>54</v>
      </c>
      <c r="R2085" s="8" t="s">
        <v>54</v>
      </c>
      <c r="S2085" s="8" t="s">
        <v>54</v>
      </c>
      <c r="T2085" s="8" t="s">
        <v>54</v>
      </c>
      <c r="U2085" s="10" t="s">
        <v>67</v>
      </c>
      <c r="V2085" s="8" t="s">
        <v>54</v>
      </c>
      <c r="W2085" s="8" t="s">
        <v>54</v>
      </c>
      <c r="X2085" s="8" t="s">
        <v>54</v>
      </c>
      <c r="Y2085" s="8" t="s">
        <v>54</v>
      </c>
      <c r="Z2085" s="8" t="s">
        <v>54</v>
      </c>
      <c r="AA2085" s="8" t="s">
        <v>54</v>
      </c>
      <c r="AB2085" s="10" t="s">
        <v>67</v>
      </c>
      <c r="AC2085" s="8" t="s">
        <v>54</v>
      </c>
      <c r="AD2085" s="8" t="s">
        <v>54</v>
      </c>
      <c r="AE2085" s="8" t="s">
        <v>54</v>
      </c>
      <c r="AF2085" s="8" t="s">
        <v>54</v>
      </c>
      <c r="AG2085" s="8" t="s">
        <v>54</v>
      </c>
      <c r="AH2085" s="12" t="s">
        <v>55</v>
      </c>
      <c r="AI2085" s="10" t="s">
        <v>67</v>
      </c>
      <c r="AJ2085" s="8">
        <f>COUNTIF($E$2085:$AI$2085,"P")</f>
        <v>25</v>
      </c>
      <c r="AK2085" s="8">
        <f>COUNTIF($E$2085:$AI$2085,"A")</f>
        <v>1</v>
      </c>
      <c r="AL2085" s="8">
        <f>SUM($E$2086:$AI$2086)</f>
        <v>36</v>
      </c>
      <c r="AM2085" s="8">
        <f>SUM($E$2087:$AI$2087)</f>
        <v>156</v>
      </c>
      <c r="AN2085" s="8">
        <f>AL2085+AM2085</f>
        <v>192</v>
      </c>
      <c r="AO2085" s="8">
        <f>COUNTIF($E$2085:$AI$2085,"CL")</f>
        <v>0</v>
      </c>
      <c r="AP2085" s="8">
        <f>COUNTIF($E$2085:$AI$2085,"SL")</f>
        <v>0</v>
      </c>
      <c r="AQ2085" s="8">
        <f>COUNTIF($E$2085:$AI$2085,"EL")</f>
        <v>0</v>
      </c>
      <c r="AR2085" s="8">
        <f>COUNTIF($E$2085:$AI$2085,"H")</f>
        <v>0</v>
      </c>
      <c r="AS2085" s="8"/>
      <c r="AT2085" s="11" t="s">
        <v>256</v>
      </c>
    </row>
    <row r="2086" spans="1:46" ht="15.1" customHeight="1">
      <c r="A2086" s="8"/>
      <c r="B2086" s="9"/>
      <c r="C2086" s="8"/>
      <c r="D2086" s="9"/>
      <c r="E2086" s="8">
        <v>2</v>
      </c>
      <c r="F2086" s="8">
        <v>2</v>
      </c>
      <c r="G2086" s="8">
        <v>0</v>
      </c>
      <c r="H2086" s="8">
        <v>2</v>
      </c>
      <c r="I2086" s="8">
        <v>2</v>
      </c>
      <c r="J2086" s="8">
        <v>2</v>
      </c>
      <c r="K2086" s="8">
        <v>2</v>
      </c>
      <c r="L2086" s="8">
        <v>2</v>
      </c>
      <c r="M2086" s="8">
        <v>2</v>
      </c>
      <c r="N2086" s="8">
        <v>0</v>
      </c>
      <c r="O2086" s="8">
        <v>2</v>
      </c>
      <c r="P2086" s="8">
        <v>2</v>
      </c>
      <c r="Q2086" s="8">
        <v>2</v>
      </c>
      <c r="R2086" s="8">
        <v>2</v>
      </c>
      <c r="S2086" s="8">
        <v>2</v>
      </c>
      <c r="T2086" s="8">
        <v>2</v>
      </c>
      <c r="U2086" s="8">
        <v>0</v>
      </c>
      <c r="V2086" s="8">
        <v>2</v>
      </c>
      <c r="W2086" s="8">
        <v>2</v>
      </c>
      <c r="X2086" s="8">
        <v>2</v>
      </c>
      <c r="Y2086" s="8">
        <v>0</v>
      </c>
      <c r="Z2086" s="8">
        <v>0</v>
      </c>
      <c r="AA2086" s="8">
        <v>0</v>
      </c>
      <c r="AB2086" s="8">
        <v>0</v>
      </c>
      <c r="AC2086" s="8">
        <v>2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11" t="s">
        <v>256</v>
      </c>
    </row>
    <row r="2087" spans="1:46" ht="15.1" customHeight="1">
      <c r="A2087" s="8"/>
      <c r="B2087" s="9"/>
      <c r="C2087" s="8"/>
      <c r="D2087" s="9"/>
      <c r="E2087" s="8">
        <v>1</v>
      </c>
      <c r="F2087" s="8">
        <v>3</v>
      </c>
      <c r="G2087" s="8">
        <v>15</v>
      </c>
      <c r="H2087" s="8">
        <v>7</v>
      </c>
      <c r="I2087" s="8">
        <v>11</v>
      </c>
      <c r="J2087" s="8">
        <v>5</v>
      </c>
      <c r="K2087" s="8">
        <v>1</v>
      </c>
      <c r="L2087" s="8">
        <v>7</v>
      </c>
      <c r="M2087" s="8">
        <v>5</v>
      </c>
      <c r="N2087" s="8">
        <v>17</v>
      </c>
      <c r="O2087" s="8">
        <v>11</v>
      </c>
      <c r="P2087" s="8">
        <v>7</v>
      </c>
      <c r="Q2087" s="8">
        <v>8</v>
      </c>
      <c r="R2087" s="8">
        <v>7</v>
      </c>
      <c r="S2087" s="8">
        <v>7</v>
      </c>
      <c r="T2087" s="8">
        <v>7</v>
      </c>
      <c r="U2087" s="8">
        <v>13</v>
      </c>
      <c r="V2087" s="8">
        <v>8</v>
      </c>
      <c r="W2087" s="8">
        <v>7</v>
      </c>
      <c r="X2087" s="8">
        <v>7</v>
      </c>
      <c r="Y2087" s="8">
        <v>0</v>
      </c>
      <c r="Z2087" s="8">
        <v>0</v>
      </c>
      <c r="AA2087" s="8">
        <v>0</v>
      </c>
      <c r="AB2087" s="8">
        <v>0</v>
      </c>
      <c r="AC2087" s="8">
        <v>2</v>
      </c>
      <c r="AD2087" s="8">
        <v>0</v>
      </c>
      <c r="AE2087" s="8">
        <v>0</v>
      </c>
      <c r="AF2087" s="8">
        <v>0</v>
      </c>
      <c r="AG2087" s="8">
        <v>0</v>
      </c>
      <c r="AH2087" s="8">
        <v>0</v>
      </c>
      <c r="AI2087" s="8">
        <v>0</v>
      </c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11" t="s">
        <v>256</v>
      </c>
    </row>
    <row r="2088" spans="1:46" ht="15.1" customHeight="1">
      <c r="A2088" s="8">
        <v>695</v>
      </c>
      <c r="B2088" s="9" t="s">
        <v>1630</v>
      </c>
      <c r="C2088" s="8" t="s">
        <v>1631</v>
      </c>
      <c r="D2088" s="9" t="s">
        <v>451</v>
      </c>
      <c r="E2088" s="8" t="s">
        <v>54</v>
      </c>
      <c r="F2088" s="8" t="s">
        <v>54</v>
      </c>
      <c r="G2088" s="10" t="s">
        <v>67</v>
      </c>
      <c r="H2088" s="8" t="s">
        <v>54</v>
      </c>
      <c r="I2088" s="8" t="s">
        <v>54</v>
      </c>
      <c r="J2088" s="8" t="s">
        <v>54</v>
      </c>
      <c r="K2088" s="8" t="s">
        <v>54</v>
      </c>
      <c r="L2088" s="8" t="s">
        <v>54</v>
      </c>
      <c r="M2088" s="8" t="s">
        <v>54</v>
      </c>
      <c r="N2088" s="10" t="s">
        <v>67</v>
      </c>
      <c r="O2088" s="8" t="s">
        <v>54</v>
      </c>
      <c r="P2088" s="8" t="s">
        <v>54</v>
      </c>
      <c r="Q2088" s="8" t="s">
        <v>54</v>
      </c>
      <c r="R2088" s="8" t="s">
        <v>54</v>
      </c>
      <c r="S2088" s="8" t="s">
        <v>54</v>
      </c>
      <c r="T2088" s="8" t="s">
        <v>54</v>
      </c>
      <c r="U2088" s="10" t="s">
        <v>67</v>
      </c>
      <c r="V2088" s="8" t="s">
        <v>54</v>
      </c>
      <c r="W2088" s="8" t="s">
        <v>54</v>
      </c>
      <c r="X2088" s="8" t="s">
        <v>54</v>
      </c>
      <c r="Y2088" s="8" t="s">
        <v>54</v>
      </c>
      <c r="Z2088" s="8" t="s">
        <v>54</v>
      </c>
      <c r="AA2088" s="8" t="s">
        <v>54</v>
      </c>
      <c r="AB2088" s="10" t="s">
        <v>67</v>
      </c>
      <c r="AC2088" s="8" t="s">
        <v>54</v>
      </c>
      <c r="AD2088" s="8" t="s">
        <v>54</v>
      </c>
      <c r="AE2088" s="8" t="s">
        <v>54</v>
      </c>
      <c r="AF2088" s="8" t="s">
        <v>54</v>
      </c>
      <c r="AG2088" s="8" t="s">
        <v>54</v>
      </c>
      <c r="AH2088" s="12" t="s">
        <v>55</v>
      </c>
      <c r="AI2088" s="10" t="s">
        <v>67</v>
      </c>
      <c r="AJ2088" s="8">
        <f>COUNTIF($E$2088:$AI$2088,"P")</f>
        <v>25</v>
      </c>
      <c r="AK2088" s="8">
        <f>COUNTIF($E$2088:$AI$2088,"A")</f>
        <v>1</v>
      </c>
      <c r="AL2088" s="8">
        <f>SUM($E$2089:$AI$2089)</f>
        <v>38</v>
      </c>
      <c r="AM2088" s="8">
        <f>SUM($E$2090:$AI$2090)</f>
        <v>178</v>
      </c>
      <c r="AN2088" s="8">
        <f>AL2088+AM2088</f>
        <v>216</v>
      </c>
      <c r="AO2088" s="8">
        <f>COUNTIF($E$2088:$AI$2088,"CL")</f>
        <v>0</v>
      </c>
      <c r="AP2088" s="8">
        <f>COUNTIF($E$2088:$AI$2088,"SL")</f>
        <v>0</v>
      </c>
      <c r="AQ2088" s="8">
        <f>COUNTIF($E$2088:$AI$2088,"EL")</f>
        <v>0</v>
      </c>
      <c r="AR2088" s="8">
        <f>COUNTIF($E$2088:$AI$2088,"H")</f>
        <v>0</v>
      </c>
      <c r="AS2088" s="8"/>
      <c r="AT2088" s="11" t="s">
        <v>256</v>
      </c>
    </row>
    <row r="2089" spans="1:46" ht="15.1" customHeight="1">
      <c r="A2089" s="8"/>
      <c r="B2089" s="9"/>
      <c r="C2089" s="8"/>
      <c r="D2089" s="9"/>
      <c r="E2089" s="8">
        <v>2</v>
      </c>
      <c r="F2089" s="8">
        <v>2</v>
      </c>
      <c r="G2089" s="8">
        <v>0</v>
      </c>
      <c r="H2089" s="8">
        <v>2</v>
      </c>
      <c r="I2089" s="8">
        <v>2</v>
      </c>
      <c r="J2089" s="8">
        <v>2</v>
      </c>
      <c r="K2089" s="8">
        <v>2</v>
      </c>
      <c r="L2089" s="8">
        <v>2</v>
      </c>
      <c r="M2089" s="8">
        <v>2</v>
      </c>
      <c r="N2089" s="8">
        <v>0</v>
      </c>
      <c r="O2089" s="8">
        <v>2</v>
      </c>
      <c r="P2089" s="8">
        <v>2</v>
      </c>
      <c r="Q2089" s="8">
        <v>2</v>
      </c>
      <c r="R2089" s="8">
        <v>2</v>
      </c>
      <c r="S2089" s="8">
        <v>2</v>
      </c>
      <c r="T2089" s="8">
        <v>2</v>
      </c>
      <c r="U2089" s="8">
        <v>0</v>
      </c>
      <c r="V2089" s="8">
        <v>2</v>
      </c>
      <c r="W2089" s="8">
        <v>2</v>
      </c>
      <c r="X2089" s="8">
        <v>2</v>
      </c>
      <c r="Y2089" s="8">
        <v>2</v>
      </c>
      <c r="Z2089" s="8">
        <v>0</v>
      </c>
      <c r="AA2089" s="8">
        <v>0</v>
      </c>
      <c r="AB2089" s="8">
        <v>0</v>
      </c>
      <c r="AC2089" s="8">
        <v>0</v>
      </c>
      <c r="AD2089" s="8">
        <v>2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11" t="s">
        <v>256</v>
      </c>
    </row>
    <row r="2090" spans="1:46" ht="15.1" customHeight="1">
      <c r="A2090" s="8"/>
      <c r="B2090" s="9"/>
      <c r="C2090" s="8"/>
      <c r="D2090" s="9"/>
      <c r="E2090" s="8">
        <v>7</v>
      </c>
      <c r="F2090" s="8">
        <v>3</v>
      </c>
      <c r="G2090" s="8">
        <v>15</v>
      </c>
      <c r="H2090" s="8">
        <v>7</v>
      </c>
      <c r="I2090" s="8">
        <v>11</v>
      </c>
      <c r="J2090" s="8">
        <v>5</v>
      </c>
      <c r="K2090" s="8">
        <v>1</v>
      </c>
      <c r="L2090" s="8">
        <v>7</v>
      </c>
      <c r="M2090" s="8">
        <v>5</v>
      </c>
      <c r="N2090" s="8">
        <v>17</v>
      </c>
      <c r="O2090" s="8">
        <v>11</v>
      </c>
      <c r="P2090" s="8">
        <v>7</v>
      </c>
      <c r="Q2090" s="8">
        <v>8</v>
      </c>
      <c r="R2090" s="8">
        <v>10</v>
      </c>
      <c r="S2090" s="8">
        <v>7</v>
      </c>
      <c r="T2090" s="8">
        <v>7</v>
      </c>
      <c r="U2090" s="8">
        <v>13</v>
      </c>
      <c r="V2090" s="8">
        <v>11</v>
      </c>
      <c r="W2090" s="8">
        <v>7</v>
      </c>
      <c r="X2090" s="8">
        <v>11</v>
      </c>
      <c r="Y2090" s="8">
        <v>1</v>
      </c>
      <c r="Z2090" s="8">
        <v>0</v>
      </c>
      <c r="AA2090" s="8">
        <v>0</v>
      </c>
      <c r="AB2090" s="8">
        <v>0</v>
      </c>
      <c r="AC2090" s="8">
        <v>0</v>
      </c>
      <c r="AD2090" s="8">
        <v>7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11" t="s">
        <v>256</v>
      </c>
    </row>
    <row r="2091" spans="1:46" ht="15.1" customHeight="1">
      <c r="A2091" s="8">
        <v>696</v>
      </c>
      <c r="B2091" s="9" t="s">
        <v>1632</v>
      </c>
      <c r="C2091" s="8" t="s">
        <v>1633</v>
      </c>
      <c r="D2091" s="9" t="s">
        <v>451</v>
      </c>
      <c r="E2091" s="8" t="s">
        <v>54</v>
      </c>
      <c r="F2091" s="8" t="s">
        <v>54</v>
      </c>
      <c r="G2091" s="10" t="s">
        <v>67</v>
      </c>
      <c r="H2091" s="8" t="s">
        <v>54</v>
      </c>
      <c r="I2091" s="8" t="s">
        <v>54</v>
      </c>
      <c r="J2091" s="8" t="s">
        <v>54</v>
      </c>
      <c r="K2091" s="8" t="s">
        <v>54</v>
      </c>
      <c r="L2091" s="8" t="s">
        <v>54</v>
      </c>
      <c r="M2091" s="8" t="s">
        <v>54</v>
      </c>
      <c r="N2091" s="10" t="s">
        <v>67</v>
      </c>
      <c r="O2091" s="8" t="s">
        <v>54</v>
      </c>
      <c r="P2091" s="8" t="s">
        <v>54</v>
      </c>
      <c r="Q2091" s="8" t="s">
        <v>54</v>
      </c>
      <c r="R2091" s="8" t="s">
        <v>54</v>
      </c>
      <c r="S2091" s="8" t="s">
        <v>54</v>
      </c>
      <c r="T2091" s="8" t="s">
        <v>54</v>
      </c>
      <c r="U2091" s="10" t="s">
        <v>67</v>
      </c>
      <c r="V2091" s="8" t="s">
        <v>54</v>
      </c>
      <c r="W2091" s="8" t="s">
        <v>54</v>
      </c>
      <c r="X2091" s="8" t="s">
        <v>54</v>
      </c>
      <c r="Y2091" s="8" t="s">
        <v>54</v>
      </c>
      <c r="Z2091" s="8" t="s">
        <v>54</v>
      </c>
      <c r="AA2091" s="8" t="s">
        <v>54</v>
      </c>
      <c r="AB2091" s="10" t="s">
        <v>67</v>
      </c>
      <c r="AC2091" s="8" t="s">
        <v>54</v>
      </c>
      <c r="AD2091" s="8" t="s">
        <v>54</v>
      </c>
      <c r="AE2091" s="8" t="s">
        <v>54</v>
      </c>
      <c r="AF2091" s="8" t="s">
        <v>54</v>
      </c>
      <c r="AG2091" s="8" t="s">
        <v>54</v>
      </c>
      <c r="AH2091" s="12" t="s">
        <v>55</v>
      </c>
      <c r="AI2091" s="10" t="s">
        <v>67</v>
      </c>
      <c r="AJ2091" s="8">
        <f>COUNTIF($E$2091:$AI$2091,"P")</f>
        <v>25</v>
      </c>
      <c r="AK2091" s="8">
        <f>COUNTIF($E$2091:$AI$2091,"A")</f>
        <v>1</v>
      </c>
      <c r="AL2091" s="8">
        <f>SUM($E$2092:$AI$2092)</f>
        <v>39</v>
      </c>
      <c r="AM2091" s="8">
        <f>SUM($E$2093:$AI$2093)</f>
        <v>167</v>
      </c>
      <c r="AN2091" s="8">
        <f>AL2091+AM2091</f>
        <v>206</v>
      </c>
      <c r="AO2091" s="8">
        <f>COUNTIF($E$2091:$AI$2091,"CL")</f>
        <v>0</v>
      </c>
      <c r="AP2091" s="8">
        <f>COUNTIF($E$2091:$AI$2091,"SL")</f>
        <v>0</v>
      </c>
      <c r="AQ2091" s="8">
        <f>COUNTIF($E$2091:$AI$2091,"EL")</f>
        <v>0</v>
      </c>
      <c r="AR2091" s="8">
        <f>COUNTIF($E$2091:$AI$2091,"H")</f>
        <v>0</v>
      </c>
      <c r="AS2091" s="8"/>
      <c r="AT2091" s="11" t="s">
        <v>256</v>
      </c>
    </row>
    <row r="2092" spans="1:46" ht="15.1" customHeight="1">
      <c r="A2092" s="8"/>
      <c r="B2092" s="9"/>
      <c r="C2092" s="8"/>
      <c r="D2092" s="9"/>
      <c r="E2092" s="8">
        <v>2</v>
      </c>
      <c r="F2092" s="8">
        <v>2</v>
      </c>
      <c r="G2092" s="8">
        <v>0</v>
      </c>
      <c r="H2092" s="8">
        <v>2</v>
      </c>
      <c r="I2092" s="8">
        <v>2</v>
      </c>
      <c r="J2092" s="8">
        <v>2</v>
      </c>
      <c r="K2092" s="8">
        <v>2</v>
      </c>
      <c r="L2092" s="8">
        <v>2</v>
      </c>
      <c r="M2092" s="8">
        <v>2</v>
      </c>
      <c r="N2092" s="8">
        <v>0</v>
      </c>
      <c r="O2092" s="8">
        <v>2</v>
      </c>
      <c r="P2092" s="8">
        <v>2</v>
      </c>
      <c r="Q2092" s="8">
        <v>2</v>
      </c>
      <c r="R2092" s="8">
        <v>2</v>
      </c>
      <c r="S2092" s="8">
        <v>2</v>
      </c>
      <c r="T2092" s="8">
        <v>2</v>
      </c>
      <c r="U2092" s="8">
        <v>0</v>
      </c>
      <c r="V2092" s="8">
        <v>2</v>
      </c>
      <c r="W2092" s="8">
        <v>2</v>
      </c>
      <c r="X2092" s="8">
        <v>2</v>
      </c>
      <c r="Y2092" s="8">
        <v>0</v>
      </c>
      <c r="Z2092" s="8">
        <v>0</v>
      </c>
      <c r="AA2092" s="8">
        <v>1</v>
      </c>
      <c r="AB2092" s="8">
        <v>0</v>
      </c>
      <c r="AC2092" s="8">
        <v>2</v>
      </c>
      <c r="AD2092" s="8">
        <v>2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11" t="s">
        <v>256</v>
      </c>
    </row>
    <row r="2093" spans="1:46" ht="15.1" customHeight="1">
      <c r="A2093" s="8"/>
      <c r="B2093" s="9"/>
      <c r="C2093" s="8"/>
      <c r="D2093" s="9"/>
      <c r="E2093" s="8">
        <v>1</v>
      </c>
      <c r="F2093" s="8">
        <v>3</v>
      </c>
      <c r="G2093" s="8">
        <v>15</v>
      </c>
      <c r="H2093" s="8">
        <v>7</v>
      </c>
      <c r="I2093" s="8">
        <v>7</v>
      </c>
      <c r="J2093" s="8">
        <v>11</v>
      </c>
      <c r="K2093" s="8">
        <v>1</v>
      </c>
      <c r="L2093" s="8">
        <v>10</v>
      </c>
      <c r="M2093" s="8">
        <v>2</v>
      </c>
      <c r="N2093" s="8">
        <v>17</v>
      </c>
      <c r="O2093" s="8">
        <v>11</v>
      </c>
      <c r="P2093" s="8">
        <v>7</v>
      </c>
      <c r="Q2093" s="8">
        <v>9</v>
      </c>
      <c r="R2093" s="8">
        <v>8</v>
      </c>
      <c r="S2093" s="8">
        <v>7</v>
      </c>
      <c r="T2093" s="8">
        <v>7</v>
      </c>
      <c r="U2093" s="8">
        <v>13</v>
      </c>
      <c r="V2093" s="8">
        <v>11</v>
      </c>
      <c r="W2093" s="8">
        <v>7</v>
      </c>
      <c r="X2093" s="8">
        <v>7</v>
      </c>
      <c r="Y2093" s="8">
        <v>0</v>
      </c>
      <c r="Z2093" s="8">
        <v>0</v>
      </c>
      <c r="AA2093" s="8">
        <v>0</v>
      </c>
      <c r="AB2093" s="8">
        <v>0</v>
      </c>
      <c r="AC2093" s="8">
        <v>2</v>
      </c>
      <c r="AD2093" s="8">
        <v>4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11" t="s">
        <v>256</v>
      </c>
    </row>
    <row r="2094" spans="1:46" ht="15.1" customHeight="1">
      <c r="A2094" s="8">
        <v>697</v>
      </c>
      <c r="B2094" s="9" t="s">
        <v>1634</v>
      </c>
      <c r="C2094" s="8" t="s">
        <v>1635</v>
      </c>
      <c r="D2094" s="9" t="s">
        <v>451</v>
      </c>
      <c r="E2094" s="8" t="s">
        <v>54</v>
      </c>
      <c r="F2094" s="8" t="s">
        <v>54</v>
      </c>
      <c r="G2094" s="10" t="s">
        <v>67</v>
      </c>
      <c r="H2094" s="12" t="s">
        <v>55</v>
      </c>
      <c r="I2094" s="8" t="s">
        <v>54</v>
      </c>
      <c r="J2094" s="8" t="s">
        <v>54</v>
      </c>
      <c r="K2094" s="8" t="s">
        <v>54</v>
      </c>
      <c r="L2094" s="8" t="s">
        <v>54</v>
      </c>
      <c r="M2094" s="8" t="s">
        <v>54</v>
      </c>
      <c r="N2094" s="10" t="s">
        <v>67</v>
      </c>
      <c r="O2094" s="8" t="s">
        <v>54</v>
      </c>
      <c r="P2094" s="12" t="s">
        <v>55</v>
      </c>
      <c r="Q2094" s="12" t="s">
        <v>55</v>
      </c>
      <c r="R2094" s="8" t="s">
        <v>54</v>
      </c>
      <c r="S2094" s="8" t="s">
        <v>54</v>
      </c>
      <c r="T2094" s="8" t="s">
        <v>54</v>
      </c>
      <c r="U2094" s="10" t="s">
        <v>67</v>
      </c>
      <c r="V2094" s="8" t="s">
        <v>54</v>
      </c>
      <c r="W2094" s="8" t="s">
        <v>54</v>
      </c>
      <c r="X2094" s="8" t="s">
        <v>54</v>
      </c>
      <c r="Y2094" s="8" t="s">
        <v>54</v>
      </c>
      <c r="Z2094" s="12" t="s">
        <v>55</v>
      </c>
      <c r="AA2094" s="8" t="s">
        <v>54</v>
      </c>
      <c r="AB2094" s="10" t="s">
        <v>67</v>
      </c>
      <c r="AC2094" s="8" t="s">
        <v>54</v>
      </c>
      <c r="AD2094" s="8" t="s">
        <v>54</v>
      </c>
      <c r="AE2094" s="8" t="s">
        <v>54</v>
      </c>
      <c r="AF2094" s="8" t="s">
        <v>54</v>
      </c>
      <c r="AG2094" s="8" t="s">
        <v>54</v>
      </c>
      <c r="AH2094" s="12" t="s">
        <v>55</v>
      </c>
      <c r="AI2094" s="10" t="s">
        <v>67</v>
      </c>
      <c r="AJ2094" s="8">
        <f>COUNTIF($E$2094:$AI$2094,"P")</f>
        <v>21</v>
      </c>
      <c r="AK2094" s="8">
        <f>COUNTIF($E$2094:$AI$2094,"A")</f>
        <v>5</v>
      </c>
      <c r="AL2094" s="8">
        <f>SUM($E$2095:$AI$2095)</f>
        <v>30</v>
      </c>
      <c r="AM2094" s="8">
        <f>SUM($E$2096:$AI$2096)</f>
        <v>137.5</v>
      </c>
      <c r="AN2094" s="8">
        <f>AL2094+AM2094</f>
        <v>167.5</v>
      </c>
      <c r="AO2094" s="8">
        <f>COUNTIF($E$2094:$AI$2094,"CL")</f>
        <v>0</v>
      </c>
      <c r="AP2094" s="8">
        <f>COUNTIF($E$2094:$AI$2094,"SL")</f>
        <v>0</v>
      </c>
      <c r="AQ2094" s="8">
        <f>COUNTIF($E$2094:$AI$2094,"EL")</f>
        <v>0</v>
      </c>
      <c r="AR2094" s="8">
        <f>COUNTIF($E$2094:$AI$2094,"H")</f>
        <v>0</v>
      </c>
      <c r="AS2094" s="8"/>
      <c r="AT2094" s="11" t="s">
        <v>256</v>
      </c>
    </row>
    <row r="2095" spans="1:46" ht="15.1" customHeight="1">
      <c r="A2095" s="8"/>
      <c r="B2095" s="9"/>
      <c r="C2095" s="8"/>
      <c r="D2095" s="9"/>
      <c r="E2095" s="8">
        <v>2</v>
      </c>
      <c r="F2095" s="8">
        <v>2</v>
      </c>
      <c r="G2095" s="8">
        <v>0</v>
      </c>
      <c r="H2095" s="8">
        <v>0</v>
      </c>
      <c r="I2095" s="8">
        <v>2</v>
      </c>
      <c r="J2095" s="8">
        <v>2</v>
      </c>
      <c r="K2095" s="8">
        <v>2</v>
      </c>
      <c r="L2095" s="8">
        <v>2</v>
      </c>
      <c r="M2095" s="8">
        <v>2</v>
      </c>
      <c r="N2095" s="8">
        <v>0</v>
      </c>
      <c r="O2095" s="8">
        <v>2</v>
      </c>
      <c r="P2095" s="8">
        <v>0</v>
      </c>
      <c r="Q2095" s="8">
        <v>0</v>
      </c>
      <c r="R2095" s="8">
        <v>2</v>
      </c>
      <c r="S2095" s="8">
        <v>2</v>
      </c>
      <c r="T2095" s="8">
        <v>2</v>
      </c>
      <c r="U2095" s="8">
        <v>0</v>
      </c>
      <c r="V2095" s="8">
        <v>2</v>
      </c>
      <c r="W2095" s="8">
        <v>2</v>
      </c>
      <c r="X2095" s="8">
        <v>2</v>
      </c>
      <c r="Y2095" s="8">
        <v>0</v>
      </c>
      <c r="Z2095" s="8">
        <v>0</v>
      </c>
      <c r="AA2095" s="8">
        <v>0</v>
      </c>
      <c r="AB2095" s="8">
        <v>0</v>
      </c>
      <c r="AC2095" s="8">
        <v>2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11" t="s">
        <v>256</v>
      </c>
    </row>
    <row r="2096" spans="1:46" ht="15.1" customHeight="1">
      <c r="A2096" s="8"/>
      <c r="B2096" s="9"/>
      <c r="C2096" s="8"/>
      <c r="D2096" s="9"/>
      <c r="E2096" s="8">
        <v>1</v>
      </c>
      <c r="F2096" s="8">
        <v>3</v>
      </c>
      <c r="G2096" s="8">
        <v>15</v>
      </c>
      <c r="H2096" s="8">
        <v>0</v>
      </c>
      <c r="I2096" s="8">
        <v>7</v>
      </c>
      <c r="J2096" s="8">
        <v>11</v>
      </c>
      <c r="K2096" s="8">
        <v>1</v>
      </c>
      <c r="L2096" s="8">
        <v>7</v>
      </c>
      <c r="M2096" s="8">
        <v>5</v>
      </c>
      <c r="N2096" s="8">
        <v>17</v>
      </c>
      <c r="O2096" s="8">
        <v>11</v>
      </c>
      <c r="P2096" s="8">
        <v>0</v>
      </c>
      <c r="Q2096" s="8">
        <v>0</v>
      </c>
      <c r="R2096" s="8">
        <v>7</v>
      </c>
      <c r="S2096" s="8">
        <v>7</v>
      </c>
      <c r="T2096" s="8">
        <v>6.5</v>
      </c>
      <c r="U2096" s="8">
        <v>13</v>
      </c>
      <c r="V2096" s="8">
        <v>8</v>
      </c>
      <c r="W2096" s="8">
        <v>7</v>
      </c>
      <c r="X2096" s="8">
        <v>9</v>
      </c>
      <c r="Y2096" s="8">
        <v>0</v>
      </c>
      <c r="Z2096" s="8">
        <v>0</v>
      </c>
      <c r="AA2096" s="8">
        <v>0</v>
      </c>
      <c r="AB2096" s="8">
        <v>0</v>
      </c>
      <c r="AC2096" s="8">
        <v>2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11" t="s">
        <v>256</v>
      </c>
    </row>
    <row r="2097" spans="1:46" ht="15.1" customHeight="1">
      <c r="A2097" s="8">
        <v>698</v>
      </c>
      <c r="B2097" s="9" t="s">
        <v>807</v>
      </c>
      <c r="C2097" s="8" t="s">
        <v>1636</v>
      </c>
      <c r="D2097" s="9" t="s">
        <v>451</v>
      </c>
      <c r="E2097" s="8" t="s">
        <v>54</v>
      </c>
      <c r="F2097" s="8" t="s">
        <v>54</v>
      </c>
      <c r="G2097" s="10" t="s">
        <v>67</v>
      </c>
      <c r="H2097" s="8" t="s">
        <v>54</v>
      </c>
      <c r="I2097" s="8" t="s">
        <v>54</v>
      </c>
      <c r="J2097" s="8" t="s">
        <v>54</v>
      </c>
      <c r="K2097" s="8" t="s">
        <v>54</v>
      </c>
      <c r="L2097" s="8" t="s">
        <v>54</v>
      </c>
      <c r="M2097" s="8" t="s">
        <v>54</v>
      </c>
      <c r="N2097" s="10" t="s">
        <v>67</v>
      </c>
      <c r="O2097" s="8" t="s">
        <v>54</v>
      </c>
      <c r="P2097" s="8" t="s">
        <v>54</v>
      </c>
      <c r="Q2097" s="8" t="s">
        <v>54</v>
      </c>
      <c r="R2097" s="8" t="s">
        <v>54</v>
      </c>
      <c r="S2097" s="8" t="s">
        <v>54</v>
      </c>
      <c r="T2097" s="8" t="s">
        <v>54</v>
      </c>
      <c r="U2097" s="10" t="s">
        <v>67</v>
      </c>
      <c r="V2097" s="8" t="s">
        <v>54</v>
      </c>
      <c r="W2097" s="8" t="s">
        <v>54</v>
      </c>
      <c r="X2097" s="8" t="s">
        <v>54</v>
      </c>
      <c r="Y2097" s="8" t="s">
        <v>54</v>
      </c>
      <c r="Z2097" s="8" t="s">
        <v>54</v>
      </c>
      <c r="AA2097" s="8" t="s">
        <v>54</v>
      </c>
      <c r="AB2097" s="10" t="s">
        <v>67</v>
      </c>
      <c r="AC2097" s="8" t="s">
        <v>54</v>
      </c>
      <c r="AD2097" s="8" t="s">
        <v>54</v>
      </c>
      <c r="AE2097" s="8" t="s">
        <v>54</v>
      </c>
      <c r="AF2097" s="8" t="s">
        <v>54</v>
      </c>
      <c r="AG2097" s="8" t="s">
        <v>54</v>
      </c>
      <c r="AH2097" s="12" t="s">
        <v>55</v>
      </c>
      <c r="AI2097" s="10" t="s">
        <v>67</v>
      </c>
      <c r="AJ2097" s="8">
        <f>COUNTIF($E$2097:$AI$2097,"P")</f>
        <v>25</v>
      </c>
      <c r="AK2097" s="8">
        <f>COUNTIF($E$2097:$AI$2097,"A")</f>
        <v>1</v>
      </c>
      <c r="AL2097" s="8">
        <f>SUM($E$2098:$AI$2098)</f>
        <v>39</v>
      </c>
      <c r="AM2097" s="8">
        <f>SUM($E$2099:$AI$2099)</f>
        <v>170</v>
      </c>
      <c r="AN2097" s="8">
        <f>AL2097+AM2097</f>
        <v>209</v>
      </c>
      <c r="AO2097" s="8">
        <f>COUNTIF($E$2097:$AI$2097,"CL")</f>
        <v>0</v>
      </c>
      <c r="AP2097" s="8">
        <f>COUNTIF($E$2097:$AI$2097,"SL")</f>
        <v>0</v>
      </c>
      <c r="AQ2097" s="8">
        <f>COUNTIF($E$2097:$AI$2097,"EL")</f>
        <v>0</v>
      </c>
      <c r="AR2097" s="8">
        <f>COUNTIF($E$2097:$AI$2097,"H")</f>
        <v>0</v>
      </c>
      <c r="AS2097" s="8"/>
      <c r="AT2097" s="11" t="s">
        <v>257</v>
      </c>
    </row>
    <row r="2098" spans="1:46" ht="15.1" customHeight="1">
      <c r="A2098" s="8"/>
      <c r="B2098" s="9"/>
      <c r="C2098" s="8"/>
      <c r="D2098" s="9"/>
      <c r="E2098" s="8">
        <v>2</v>
      </c>
      <c r="F2098" s="8">
        <v>2</v>
      </c>
      <c r="G2098" s="8">
        <v>0</v>
      </c>
      <c r="H2098" s="8">
        <v>2</v>
      </c>
      <c r="I2098" s="8">
        <v>2</v>
      </c>
      <c r="J2098" s="8">
        <v>2</v>
      </c>
      <c r="K2098" s="8">
        <v>2</v>
      </c>
      <c r="L2098" s="8">
        <v>2</v>
      </c>
      <c r="M2098" s="8">
        <v>2</v>
      </c>
      <c r="N2098" s="8">
        <v>0</v>
      </c>
      <c r="O2098" s="8">
        <v>2</v>
      </c>
      <c r="P2098" s="8">
        <v>2</v>
      </c>
      <c r="Q2098" s="8">
        <v>2</v>
      </c>
      <c r="R2098" s="8">
        <v>2</v>
      </c>
      <c r="S2098" s="8">
        <v>2</v>
      </c>
      <c r="T2098" s="8">
        <v>2</v>
      </c>
      <c r="U2098" s="8">
        <v>0</v>
      </c>
      <c r="V2098" s="8">
        <v>2</v>
      </c>
      <c r="W2098" s="8">
        <v>2</v>
      </c>
      <c r="X2098" s="8">
        <v>2</v>
      </c>
      <c r="Y2098" s="8">
        <v>0</v>
      </c>
      <c r="Z2098" s="8">
        <v>0</v>
      </c>
      <c r="AA2098" s="8">
        <v>1</v>
      </c>
      <c r="AB2098" s="8">
        <v>0</v>
      </c>
      <c r="AC2098" s="8">
        <v>2</v>
      </c>
      <c r="AD2098" s="8">
        <v>2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11" t="s">
        <v>257</v>
      </c>
    </row>
    <row r="2099" spans="1:46" ht="15.1" customHeight="1">
      <c r="A2099" s="8"/>
      <c r="B2099" s="9"/>
      <c r="C2099" s="8"/>
      <c r="D2099" s="9"/>
      <c r="E2099" s="8">
        <v>5</v>
      </c>
      <c r="F2099" s="8">
        <v>3</v>
      </c>
      <c r="G2099" s="8">
        <v>14</v>
      </c>
      <c r="H2099" s="8">
        <v>7</v>
      </c>
      <c r="I2099" s="8">
        <v>11</v>
      </c>
      <c r="J2099" s="8">
        <v>5</v>
      </c>
      <c r="K2099" s="8">
        <v>10</v>
      </c>
      <c r="L2099" s="8">
        <v>7</v>
      </c>
      <c r="M2099" s="8">
        <v>5</v>
      </c>
      <c r="N2099" s="8">
        <v>20</v>
      </c>
      <c r="O2099" s="8">
        <v>7</v>
      </c>
      <c r="P2099" s="8">
        <v>9</v>
      </c>
      <c r="Q2099" s="8">
        <v>7</v>
      </c>
      <c r="R2099" s="8">
        <v>6.5</v>
      </c>
      <c r="S2099" s="8">
        <v>6.5</v>
      </c>
      <c r="T2099" s="8">
        <v>3</v>
      </c>
      <c r="U2099" s="8">
        <v>12.5</v>
      </c>
      <c r="V2099" s="8">
        <v>10</v>
      </c>
      <c r="W2099" s="8">
        <v>10.5</v>
      </c>
      <c r="X2099" s="8">
        <v>7</v>
      </c>
      <c r="Y2099" s="8">
        <v>0</v>
      </c>
      <c r="Z2099" s="8">
        <v>0</v>
      </c>
      <c r="AA2099" s="8">
        <v>0</v>
      </c>
      <c r="AB2099" s="8">
        <v>0</v>
      </c>
      <c r="AC2099" s="8">
        <v>1</v>
      </c>
      <c r="AD2099" s="8">
        <v>3</v>
      </c>
      <c r="AE2099" s="8">
        <v>0</v>
      </c>
      <c r="AF2099" s="8">
        <v>0</v>
      </c>
      <c r="AG2099" s="8">
        <v>0</v>
      </c>
      <c r="AH2099" s="8">
        <v>0</v>
      </c>
      <c r="AI2099" s="8">
        <v>0</v>
      </c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11" t="s">
        <v>257</v>
      </c>
    </row>
    <row r="2100" spans="1:46" ht="15.1" customHeight="1">
      <c r="A2100" s="8">
        <v>699</v>
      </c>
      <c r="B2100" s="9" t="s">
        <v>1637</v>
      </c>
      <c r="C2100" s="8" t="s">
        <v>1638</v>
      </c>
      <c r="D2100" s="9" t="s">
        <v>763</v>
      </c>
      <c r="E2100" s="12" t="s">
        <v>55</v>
      </c>
      <c r="F2100" s="12" t="s">
        <v>55</v>
      </c>
      <c r="G2100" s="10" t="s">
        <v>67</v>
      </c>
      <c r="H2100" s="8" t="s">
        <v>54</v>
      </c>
      <c r="I2100" s="8" t="s">
        <v>54</v>
      </c>
      <c r="J2100" s="8" t="s">
        <v>54</v>
      </c>
      <c r="K2100" s="8" t="s">
        <v>54</v>
      </c>
      <c r="L2100" s="8" t="s">
        <v>54</v>
      </c>
      <c r="M2100" s="8" t="s">
        <v>54</v>
      </c>
      <c r="N2100" s="10" t="s">
        <v>67</v>
      </c>
      <c r="O2100" s="8" t="s">
        <v>54</v>
      </c>
      <c r="P2100" s="8" t="s">
        <v>54</v>
      </c>
      <c r="Q2100" s="8" t="s">
        <v>54</v>
      </c>
      <c r="R2100" s="8" t="s">
        <v>54</v>
      </c>
      <c r="S2100" s="12" t="s">
        <v>55</v>
      </c>
      <c r="T2100" s="8" t="s">
        <v>54</v>
      </c>
      <c r="U2100" s="10" t="s">
        <v>67</v>
      </c>
      <c r="V2100" s="8" t="s">
        <v>54</v>
      </c>
      <c r="W2100" s="8" t="s">
        <v>54</v>
      </c>
      <c r="X2100" s="8" t="s">
        <v>54</v>
      </c>
      <c r="Y2100" s="8" t="s">
        <v>54</v>
      </c>
      <c r="Z2100" s="8" t="s">
        <v>54</v>
      </c>
      <c r="AA2100" s="8" t="s">
        <v>54</v>
      </c>
      <c r="AB2100" s="10" t="s">
        <v>67</v>
      </c>
      <c r="AC2100" s="8" t="s">
        <v>54</v>
      </c>
      <c r="AD2100" s="8" t="s">
        <v>54</v>
      </c>
      <c r="AE2100" s="8" t="s">
        <v>54</v>
      </c>
      <c r="AF2100" s="8" t="s">
        <v>54</v>
      </c>
      <c r="AG2100" s="8" t="s">
        <v>54</v>
      </c>
      <c r="AH2100" s="12" t="s">
        <v>55</v>
      </c>
      <c r="AI2100" s="10" t="s">
        <v>67</v>
      </c>
      <c r="AJ2100" s="8">
        <f>COUNTIF($E$2100:$AI$2100,"P")</f>
        <v>22</v>
      </c>
      <c r="AK2100" s="8">
        <f>COUNTIF($E$2100:$AI$2100,"A")</f>
        <v>4</v>
      </c>
      <c r="AL2100" s="8">
        <f>SUM($E$2101:$AI$2101)</f>
        <v>31</v>
      </c>
      <c r="AM2100" s="8">
        <f>SUM($E$2102:$AI$2102)</f>
        <v>113.5</v>
      </c>
      <c r="AN2100" s="8">
        <f>AL2100+AM2100</f>
        <v>144</v>
      </c>
      <c r="AO2100" s="8">
        <f>COUNTIF($E$2100:$AI$2100,"CL")</f>
        <v>0</v>
      </c>
      <c r="AP2100" s="8">
        <f>COUNTIF($E$2100:$AI$2100,"SL")</f>
        <v>0</v>
      </c>
      <c r="AQ2100" s="8">
        <f>COUNTIF($E$2100:$AI$2100,"EL")</f>
        <v>0</v>
      </c>
      <c r="AR2100" s="8">
        <f>COUNTIF($E$2100:$AI$2100,"H")</f>
        <v>0</v>
      </c>
      <c r="AS2100" s="8"/>
      <c r="AT2100" s="11" t="s">
        <v>257</v>
      </c>
    </row>
    <row r="2101" spans="1:46" ht="15.1" customHeight="1">
      <c r="A2101" s="8"/>
      <c r="B2101" s="9"/>
      <c r="C2101" s="8"/>
      <c r="D2101" s="9"/>
      <c r="E2101" s="8">
        <v>0</v>
      </c>
      <c r="F2101" s="8">
        <v>0</v>
      </c>
      <c r="G2101" s="8">
        <v>0</v>
      </c>
      <c r="H2101" s="8">
        <v>2</v>
      </c>
      <c r="I2101" s="8">
        <v>2</v>
      </c>
      <c r="J2101" s="8">
        <v>2</v>
      </c>
      <c r="K2101" s="8">
        <v>2</v>
      </c>
      <c r="L2101" s="8">
        <v>2</v>
      </c>
      <c r="M2101" s="8">
        <v>2</v>
      </c>
      <c r="N2101" s="8">
        <v>0</v>
      </c>
      <c r="O2101" s="8">
        <v>2</v>
      </c>
      <c r="P2101" s="8">
        <v>2</v>
      </c>
      <c r="Q2101" s="8">
        <v>2</v>
      </c>
      <c r="R2101" s="8">
        <v>0</v>
      </c>
      <c r="S2101" s="8">
        <v>0</v>
      </c>
      <c r="T2101" s="8">
        <v>2</v>
      </c>
      <c r="U2101" s="8">
        <v>0</v>
      </c>
      <c r="V2101" s="8">
        <v>2</v>
      </c>
      <c r="W2101" s="8">
        <v>2</v>
      </c>
      <c r="X2101" s="8">
        <v>2</v>
      </c>
      <c r="Y2101" s="8">
        <v>2</v>
      </c>
      <c r="Z2101" s="8">
        <v>0</v>
      </c>
      <c r="AA2101" s="8">
        <v>1</v>
      </c>
      <c r="AB2101" s="8">
        <v>0</v>
      </c>
      <c r="AC2101" s="8">
        <v>2</v>
      </c>
      <c r="AD2101" s="8">
        <v>0</v>
      </c>
      <c r="AE2101" s="8">
        <v>0</v>
      </c>
      <c r="AF2101" s="8">
        <v>0</v>
      </c>
      <c r="AG2101" s="8">
        <v>0</v>
      </c>
      <c r="AH2101" s="8">
        <v>0</v>
      </c>
      <c r="AI2101" s="8">
        <v>0</v>
      </c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11" t="s">
        <v>257</v>
      </c>
    </row>
    <row r="2102" spans="1:46" ht="15.1" customHeight="1">
      <c r="A2102" s="8"/>
      <c r="B2102" s="9"/>
      <c r="C2102" s="8"/>
      <c r="D2102" s="9"/>
      <c r="E2102" s="8">
        <v>0</v>
      </c>
      <c r="F2102" s="8">
        <v>0</v>
      </c>
      <c r="G2102" s="8">
        <v>0</v>
      </c>
      <c r="H2102" s="8">
        <v>7</v>
      </c>
      <c r="I2102" s="8">
        <v>7</v>
      </c>
      <c r="J2102" s="8">
        <v>5</v>
      </c>
      <c r="K2102" s="8">
        <v>7</v>
      </c>
      <c r="L2102" s="8">
        <v>7</v>
      </c>
      <c r="M2102" s="8">
        <v>5</v>
      </c>
      <c r="N2102" s="8">
        <v>16.5</v>
      </c>
      <c r="O2102" s="8">
        <v>7</v>
      </c>
      <c r="P2102" s="8">
        <v>7</v>
      </c>
      <c r="Q2102" s="8">
        <v>7</v>
      </c>
      <c r="R2102" s="8">
        <v>0</v>
      </c>
      <c r="S2102" s="8">
        <v>0</v>
      </c>
      <c r="T2102" s="8">
        <v>3</v>
      </c>
      <c r="U2102" s="8">
        <v>13</v>
      </c>
      <c r="V2102" s="8">
        <v>7</v>
      </c>
      <c r="W2102" s="8">
        <v>7</v>
      </c>
      <c r="X2102" s="8">
        <v>7</v>
      </c>
      <c r="Y2102" s="8">
        <v>0</v>
      </c>
      <c r="Z2102" s="8">
        <v>0</v>
      </c>
      <c r="AA2102" s="8">
        <v>0</v>
      </c>
      <c r="AB2102" s="8">
        <v>0</v>
      </c>
      <c r="AC2102" s="8">
        <v>1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11" t="s">
        <v>257</v>
      </c>
    </row>
    <row r="2103" spans="1:46" ht="15.1" customHeight="1">
      <c r="A2103" s="8">
        <v>700</v>
      </c>
      <c r="B2103" s="9" t="s">
        <v>1639</v>
      </c>
      <c r="C2103" s="8" t="s">
        <v>1640</v>
      </c>
      <c r="D2103" s="9" t="s">
        <v>451</v>
      </c>
      <c r="E2103" s="8" t="s">
        <v>54</v>
      </c>
      <c r="F2103" s="8" t="s">
        <v>54</v>
      </c>
      <c r="G2103" s="10" t="s">
        <v>67</v>
      </c>
      <c r="H2103" s="12" t="s">
        <v>55</v>
      </c>
      <c r="I2103" s="12" t="s">
        <v>55</v>
      </c>
      <c r="J2103" s="12" t="s">
        <v>55</v>
      </c>
      <c r="K2103" s="8" t="s">
        <v>54</v>
      </c>
      <c r="L2103" s="8" t="s">
        <v>54</v>
      </c>
      <c r="M2103" s="8" t="s">
        <v>54</v>
      </c>
      <c r="N2103" s="10" t="s">
        <v>67</v>
      </c>
      <c r="O2103" s="8" t="s">
        <v>54</v>
      </c>
      <c r="P2103" s="12" t="s">
        <v>55</v>
      </c>
      <c r="Q2103" s="8" t="s">
        <v>54</v>
      </c>
      <c r="R2103" s="8" t="s">
        <v>54</v>
      </c>
      <c r="S2103" s="8" t="s">
        <v>54</v>
      </c>
      <c r="T2103" s="8" t="s">
        <v>54</v>
      </c>
      <c r="U2103" s="10" t="s">
        <v>67</v>
      </c>
      <c r="V2103" s="8" t="s">
        <v>54</v>
      </c>
      <c r="W2103" s="12" t="s">
        <v>55</v>
      </c>
      <c r="X2103" s="8" t="s">
        <v>54</v>
      </c>
      <c r="Y2103" s="8" t="s">
        <v>19</v>
      </c>
      <c r="Z2103" s="8" t="s">
        <v>19</v>
      </c>
      <c r="AA2103" s="8" t="s">
        <v>19</v>
      </c>
      <c r="AB2103" s="10" t="s">
        <v>67</v>
      </c>
      <c r="AC2103" s="8" t="s">
        <v>19</v>
      </c>
      <c r="AD2103" s="8" t="s">
        <v>19</v>
      </c>
      <c r="AE2103" s="8" t="s">
        <v>19</v>
      </c>
      <c r="AF2103" s="8" t="s">
        <v>19</v>
      </c>
      <c r="AG2103" s="8" t="s">
        <v>19</v>
      </c>
      <c r="AH2103" s="12" t="s">
        <v>55</v>
      </c>
      <c r="AI2103" s="10" t="s">
        <v>67</v>
      </c>
      <c r="AJ2103" s="8">
        <f>COUNTIF($E$2103:$AI$2103,"P")</f>
        <v>12</v>
      </c>
      <c r="AK2103" s="8">
        <f>COUNTIF($E$2103:$AI$2103,"A")</f>
        <v>6</v>
      </c>
      <c r="AL2103" s="8">
        <f>SUM($E$2104:$AI$2104)</f>
        <v>20</v>
      </c>
      <c r="AM2103" s="8">
        <f>SUM($E$2105:$AI$2105)</f>
        <v>83</v>
      </c>
      <c r="AN2103" s="8">
        <f>AL2103+AM2103</f>
        <v>103</v>
      </c>
      <c r="AO2103" s="8">
        <f>COUNTIF($E$2103:$AI$2103,"CL")</f>
        <v>0</v>
      </c>
      <c r="AP2103" s="8">
        <f>COUNTIF($E$2103:$AI$2103,"SL")</f>
        <v>8</v>
      </c>
      <c r="AQ2103" s="8">
        <f>COUNTIF($E$2103:$AI$2103,"EL")</f>
        <v>0</v>
      </c>
      <c r="AR2103" s="8">
        <f>COUNTIF($E$2103:$AI$2103,"H")</f>
        <v>0</v>
      </c>
      <c r="AS2103" s="8"/>
      <c r="AT2103" s="11" t="s">
        <v>257</v>
      </c>
    </row>
    <row r="2104" spans="1:46" ht="15.1" customHeight="1">
      <c r="A2104" s="8"/>
      <c r="B2104" s="9"/>
      <c r="C2104" s="8"/>
      <c r="D2104" s="9"/>
      <c r="E2104" s="8">
        <v>2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2</v>
      </c>
      <c r="L2104" s="8">
        <v>2</v>
      </c>
      <c r="M2104" s="8">
        <v>2</v>
      </c>
      <c r="N2104" s="8">
        <v>0</v>
      </c>
      <c r="O2104" s="8">
        <v>2</v>
      </c>
      <c r="P2104" s="8">
        <v>0</v>
      </c>
      <c r="Q2104" s="8">
        <v>2</v>
      </c>
      <c r="R2104" s="8">
        <v>2</v>
      </c>
      <c r="S2104" s="8">
        <v>2</v>
      </c>
      <c r="T2104" s="8">
        <v>2</v>
      </c>
      <c r="U2104" s="8">
        <v>0</v>
      </c>
      <c r="V2104" s="8">
        <v>2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11" t="s">
        <v>257</v>
      </c>
    </row>
    <row r="2105" spans="1:46" ht="15.1" customHeight="1">
      <c r="A2105" s="8"/>
      <c r="B2105" s="9"/>
      <c r="C2105" s="8"/>
      <c r="D2105" s="9"/>
      <c r="E2105" s="8">
        <v>4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2</v>
      </c>
      <c r="L2105" s="8">
        <v>7</v>
      </c>
      <c r="M2105" s="8">
        <v>5</v>
      </c>
      <c r="N2105" s="8">
        <v>17</v>
      </c>
      <c r="O2105" s="8">
        <v>7</v>
      </c>
      <c r="P2105" s="8">
        <v>0</v>
      </c>
      <c r="Q2105" s="8">
        <v>3</v>
      </c>
      <c r="R2105" s="8">
        <v>7</v>
      </c>
      <c r="S2105" s="8">
        <v>7</v>
      </c>
      <c r="T2105" s="8">
        <v>4</v>
      </c>
      <c r="U2105" s="8">
        <v>13</v>
      </c>
      <c r="V2105" s="8">
        <v>7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11" t="s">
        <v>257</v>
      </c>
    </row>
    <row r="2106" spans="1:46" ht="15.1" customHeight="1">
      <c r="A2106" s="8">
        <v>701</v>
      </c>
      <c r="B2106" s="9" t="s">
        <v>1641</v>
      </c>
      <c r="C2106" s="8" t="s">
        <v>1642</v>
      </c>
      <c r="D2106" s="9" t="s">
        <v>451</v>
      </c>
      <c r="E2106" s="8" t="s">
        <v>54</v>
      </c>
      <c r="F2106" s="8" t="s">
        <v>54</v>
      </c>
      <c r="G2106" s="10" t="s">
        <v>67</v>
      </c>
      <c r="H2106" s="8" t="s">
        <v>54</v>
      </c>
      <c r="I2106" s="8" t="s">
        <v>54</v>
      </c>
      <c r="J2106" s="8" t="s">
        <v>54</v>
      </c>
      <c r="K2106" s="8" t="s">
        <v>54</v>
      </c>
      <c r="L2106" s="8" t="s">
        <v>54</v>
      </c>
      <c r="M2106" s="8" t="s">
        <v>54</v>
      </c>
      <c r="N2106" s="10" t="s">
        <v>67</v>
      </c>
      <c r="O2106" s="8" t="s">
        <v>54</v>
      </c>
      <c r="P2106" s="8" t="s">
        <v>54</v>
      </c>
      <c r="Q2106" s="8" t="s">
        <v>54</v>
      </c>
      <c r="R2106" s="8" t="s">
        <v>54</v>
      </c>
      <c r="S2106" s="8" t="s">
        <v>54</v>
      </c>
      <c r="T2106" s="8" t="s">
        <v>54</v>
      </c>
      <c r="U2106" s="10" t="s">
        <v>67</v>
      </c>
      <c r="V2106" s="8" t="s">
        <v>54</v>
      </c>
      <c r="W2106" s="8" t="s">
        <v>54</v>
      </c>
      <c r="X2106" s="8" t="s">
        <v>54</v>
      </c>
      <c r="Y2106" s="8" t="s">
        <v>54</v>
      </c>
      <c r="Z2106" s="8" t="s">
        <v>54</v>
      </c>
      <c r="AA2106" s="8" t="s">
        <v>54</v>
      </c>
      <c r="AB2106" s="10" t="s">
        <v>67</v>
      </c>
      <c r="AC2106" s="8" t="s">
        <v>54</v>
      </c>
      <c r="AD2106" s="8" t="s">
        <v>54</v>
      </c>
      <c r="AE2106" s="8" t="s">
        <v>54</v>
      </c>
      <c r="AF2106" s="8" t="s">
        <v>54</v>
      </c>
      <c r="AG2106" s="8" t="s">
        <v>54</v>
      </c>
      <c r="AH2106" s="12" t="s">
        <v>55</v>
      </c>
      <c r="AI2106" s="10" t="s">
        <v>67</v>
      </c>
      <c r="AJ2106" s="8">
        <f>COUNTIF($E$2106:$AI$2106,"P")</f>
        <v>25</v>
      </c>
      <c r="AK2106" s="8">
        <f>COUNTIF($E$2106:$AI$2106,"A")</f>
        <v>1</v>
      </c>
      <c r="AL2106" s="8">
        <f>SUM($E$2107:$AI$2107)</f>
        <v>39</v>
      </c>
      <c r="AM2106" s="8">
        <f>SUM($E$2108:$AI$2108)</f>
        <v>160.5</v>
      </c>
      <c r="AN2106" s="8">
        <f>AL2106+AM2106</f>
        <v>199.5</v>
      </c>
      <c r="AO2106" s="8">
        <f>COUNTIF($E$2106:$AI$2106,"CL")</f>
        <v>0</v>
      </c>
      <c r="AP2106" s="8">
        <f>COUNTIF($E$2106:$AI$2106,"SL")</f>
        <v>0</v>
      </c>
      <c r="AQ2106" s="8">
        <f>COUNTIF($E$2106:$AI$2106,"EL")</f>
        <v>0</v>
      </c>
      <c r="AR2106" s="8">
        <f>COUNTIF($E$2106:$AI$2106,"H")</f>
        <v>0</v>
      </c>
      <c r="AS2106" s="8"/>
      <c r="AT2106" s="11" t="s">
        <v>257</v>
      </c>
    </row>
    <row r="2107" spans="1:46" ht="15.1" customHeight="1">
      <c r="A2107" s="8"/>
      <c r="B2107" s="9"/>
      <c r="C2107" s="8"/>
      <c r="D2107" s="9"/>
      <c r="E2107" s="8">
        <v>2</v>
      </c>
      <c r="F2107" s="8">
        <v>2</v>
      </c>
      <c r="G2107" s="8">
        <v>0</v>
      </c>
      <c r="H2107" s="8">
        <v>2</v>
      </c>
      <c r="I2107" s="8">
        <v>2</v>
      </c>
      <c r="J2107" s="8">
        <v>2</v>
      </c>
      <c r="K2107" s="8">
        <v>2</v>
      </c>
      <c r="L2107" s="8">
        <v>2</v>
      </c>
      <c r="M2107" s="8">
        <v>2</v>
      </c>
      <c r="N2107" s="8">
        <v>0</v>
      </c>
      <c r="O2107" s="8">
        <v>2</v>
      </c>
      <c r="P2107" s="8">
        <v>2</v>
      </c>
      <c r="Q2107" s="8">
        <v>2</v>
      </c>
      <c r="R2107" s="8">
        <v>2</v>
      </c>
      <c r="S2107" s="8">
        <v>2</v>
      </c>
      <c r="T2107" s="8">
        <v>2</v>
      </c>
      <c r="U2107" s="8">
        <v>0</v>
      </c>
      <c r="V2107" s="8">
        <v>2</v>
      </c>
      <c r="W2107" s="8">
        <v>2</v>
      </c>
      <c r="X2107" s="8">
        <v>2</v>
      </c>
      <c r="Y2107" s="8">
        <v>0</v>
      </c>
      <c r="Z2107" s="8">
        <v>2</v>
      </c>
      <c r="AA2107" s="8">
        <v>1</v>
      </c>
      <c r="AB2107" s="8">
        <v>0</v>
      </c>
      <c r="AC2107" s="8">
        <v>0</v>
      </c>
      <c r="AD2107" s="8">
        <v>2</v>
      </c>
      <c r="AE2107" s="8">
        <v>0</v>
      </c>
      <c r="AF2107" s="8">
        <v>0</v>
      </c>
      <c r="AG2107" s="8">
        <v>0</v>
      </c>
      <c r="AH2107" s="8">
        <v>0</v>
      </c>
      <c r="AI2107" s="8">
        <v>0</v>
      </c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11" t="s">
        <v>257</v>
      </c>
    </row>
    <row r="2108" spans="1:46" ht="15.1" customHeight="1">
      <c r="A2108" s="8"/>
      <c r="B2108" s="9"/>
      <c r="C2108" s="8"/>
      <c r="D2108" s="9"/>
      <c r="E2108" s="8">
        <v>4</v>
      </c>
      <c r="F2108" s="8">
        <v>3</v>
      </c>
      <c r="G2108" s="8">
        <v>14.5</v>
      </c>
      <c r="H2108" s="8">
        <v>7</v>
      </c>
      <c r="I2108" s="8">
        <v>7</v>
      </c>
      <c r="J2108" s="8">
        <v>5</v>
      </c>
      <c r="K2108" s="8">
        <v>7</v>
      </c>
      <c r="L2108" s="8">
        <v>7</v>
      </c>
      <c r="M2108" s="8">
        <v>5</v>
      </c>
      <c r="N2108" s="8">
        <v>16.5</v>
      </c>
      <c r="O2108" s="8">
        <v>7</v>
      </c>
      <c r="P2108" s="8">
        <v>7</v>
      </c>
      <c r="Q2108" s="8">
        <v>7</v>
      </c>
      <c r="R2108" s="8">
        <v>7</v>
      </c>
      <c r="S2108" s="8">
        <v>6.5</v>
      </c>
      <c r="T2108" s="8">
        <v>11</v>
      </c>
      <c r="U2108" s="8">
        <v>11</v>
      </c>
      <c r="V2108" s="8">
        <v>7</v>
      </c>
      <c r="W2108" s="8">
        <v>7</v>
      </c>
      <c r="X2108" s="8">
        <v>7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7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11" t="s">
        <v>257</v>
      </c>
    </row>
    <row r="2109" spans="1:46" ht="15.1" customHeight="1">
      <c r="A2109" s="8">
        <v>702</v>
      </c>
      <c r="B2109" s="9" t="s">
        <v>1643</v>
      </c>
      <c r="C2109" s="8" t="s">
        <v>1644</v>
      </c>
      <c r="D2109" s="9" t="s">
        <v>451</v>
      </c>
      <c r="E2109" s="8" t="s">
        <v>54</v>
      </c>
      <c r="F2109" s="8" t="s">
        <v>54</v>
      </c>
      <c r="G2109" s="10" t="s">
        <v>67</v>
      </c>
      <c r="H2109" s="8" t="s">
        <v>54</v>
      </c>
      <c r="I2109" s="8" t="s">
        <v>54</v>
      </c>
      <c r="J2109" s="8" t="s">
        <v>54</v>
      </c>
      <c r="K2109" s="8" t="s">
        <v>54</v>
      </c>
      <c r="L2109" s="8" t="s">
        <v>54</v>
      </c>
      <c r="M2109" s="8" t="s">
        <v>54</v>
      </c>
      <c r="N2109" s="10" t="s">
        <v>67</v>
      </c>
      <c r="O2109" s="8" t="s">
        <v>54</v>
      </c>
      <c r="P2109" s="8" t="s">
        <v>54</v>
      </c>
      <c r="Q2109" s="8" t="s">
        <v>54</v>
      </c>
      <c r="R2109" s="8" t="s">
        <v>54</v>
      </c>
      <c r="S2109" s="8" t="s">
        <v>54</v>
      </c>
      <c r="T2109" s="8" t="s">
        <v>54</v>
      </c>
      <c r="U2109" s="10" t="s">
        <v>67</v>
      </c>
      <c r="V2109" s="8" t="s">
        <v>54</v>
      </c>
      <c r="W2109" s="8" t="s">
        <v>54</v>
      </c>
      <c r="X2109" s="8" t="s">
        <v>54</v>
      </c>
      <c r="Y2109" s="8" t="s">
        <v>54</v>
      </c>
      <c r="Z2109" s="8" t="s">
        <v>54</v>
      </c>
      <c r="AA2109" s="8" t="s">
        <v>54</v>
      </c>
      <c r="AB2109" s="10" t="s">
        <v>67</v>
      </c>
      <c r="AC2109" s="8" t="s">
        <v>54</v>
      </c>
      <c r="AD2109" s="8" t="s">
        <v>54</v>
      </c>
      <c r="AE2109" s="8" t="s">
        <v>54</v>
      </c>
      <c r="AF2109" s="8" t="s">
        <v>54</v>
      </c>
      <c r="AG2109" s="8" t="s">
        <v>54</v>
      </c>
      <c r="AH2109" s="12" t="s">
        <v>55</v>
      </c>
      <c r="AI2109" s="10" t="s">
        <v>67</v>
      </c>
      <c r="AJ2109" s="8">
        <f>COUNTIF($E$2109:$AI$2109,"P")</f>
        <v>25</v>
      </c>
      <c r="AK2109" s="8">
        <f>COUNTIF($E$2109:$AI$2109,"A")</f>
        <v>1</v>
      </c>
      <c r="AL2109" s="8">
        <f>SUM($E$2110:$AI$2110)</f>
        <v>41</v>
      </c>
      <c r="AM2109" s="8">
        <f>SUM($E$2111:$AI$2111)</f>
        <v>155</v>
      </c>
      <c r="AN2109" s="8">
        <f>AL2109+AM2109</f>
        <v>196</v>
      </c>
      <c r="AO2109" s="8">
        <f>COUNTIF($E$2109:$AI$2109,"CL")</f>
        <v>0</v>
      </c>
      <c r="AP2109" s="8">
        <f>COUNTIF($E$2109:$AI$2109,"SL")</f>
        <v>0</v>
      </c>
      <c r="AQ2109" s="8">
        <f>COUNTIF($E$2109:$AI$2109,"EL")</f>
        <v>0</v>
      </c>
      <c r="AR2109" s="8">
        <f>COUNTIF($E$2109:$AI$2109,"H")</f>
        <v>0</v>
      </c>
      <c r="AS2109" s="8"/>
      <c r="AT2109" s="11" t="s">
        <v>257</v>
      </c>
    </row>
    <row r="2110" spans="1:46" ht="15.1" customHeight="1">
      <c r="A2110" s="8"/>
      <c r="B2110" s="9"/>
      <c r="C2110" s="8"/>
      <c r="D2110" s="9"/>
      <c r="E2110" s="8">
        <v>2</v>
      </c>
      <c r="F2110" s="8">
        <v>2</v>
      </c>
      <c r="G2110" s="8">
        <v>0</v>
      </c>
      <c r="H2110" s="8">
        <v>2</v>
      </c>
      <c r="I2110" s="8">
        <v>2</v>
      </c>
      <c r="J2110" s="8">
        <v>1</v>
      </c>
      <c r="K2110" s="8">
        <v>2</v>
      </c>
      <c r="L2110" s="8">
        <v>2</v>
      </c>
      <c r="M2110" s="8">
        <v>2</v>
      </c>
      <c r="N2110" s="8">
        <v>0</v>
      </c>
      <c r="O2110" s="8">
        <v>2</v>
      </c>
      <c r="P2110" s="8">
        <v>2</v>
      </c>
      <c r="Q2110" s="8">
        <v>2</v>
      </c>
      <c r="R2110" s="8">
        <v>2</v>
      </c>
      <c r="S2110" s="8">
        <v>2</v>
      </c>
      <c r="T2110" s="8">
        <v>2</v>
      </c>
      <c r="U2110" s="8">
        <v>0</v>
      </c>
      <c r="V2110" s="8">
        <v>2</v>
      </c>
      <c r="W2110" s="8">
        <v>2</v>
      </c>
      <c r="X2110" s="8">
        <v>2</v>
      </c>
      <c r="Y2110" s="8">
        <v>0</v>
      </c>
      <c r="Z2110" s="8">
        <v>2</v>
      </c>
      <c r="AA2110" s="8">
        <v>1</v>
      </c>
      <c r="AB2110" s="8">
        <v>0</v>
      </c>
      <c r="AC2110" s="8">
        <v>2</v>
      </c>
      <c r="AD2110" s="8">
        <v>2</v>
      </c>
      <c r="AE2110" s="8">
        <v>0</v>
      </c>
      <c r="AF2110" s="8">
        <v>1</v>
      </c>
      <c r="AG2110" s="8">
        <v>0</v>
      </c>
      <c r="AH2110" s="8">
        <v>0</v>
      </c>
      <c r="AI2110" s="8">
        <v>0</v>
      </c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11" t="s">
        <v>257</v>
      </c>
    </row>
    <row r="2111" spans="1:46" ht="15.1" customHeight="1">
      <c r="A2111" s="8"/>
      <c r="B2111" s="9"/>
      <c r="C2111" s="8"/>
      <c r="D2111" s="9"/>
      <c r="E2111" s="8">
        <v>2</v>
      </c>
      <c r="F2111" s="8">
        <v>2.5</v>
      </c>
      <c r="G2111" s="8">
        <v>13</v>
      </c>
      <c r="H2111" s="8">
        <v>7</v>
      </c>
      <c r="I2111" s="8">
        <v>11</v>
      </c>
      <c r="J2111" s="8">
        <v>0</v>
      </c>
      <c r="K2111" s="8">
        <v>7</v>
      </c>
      <c r="L2111" s="8">
        <v>7</v>
      </c>
      <c r="M2111" s="8">
        <v>5</v>
      </c>
      <c r="N2111" s="8">
        <v>16.5</v>
      </c>
      <c r="O2111" s="8">
        <v>7</v>
      </c>
      <c r="P2111" s="8">
        <v>6.5</v>
      </c>
      <c r="Q2111" s="8">
        <v>7</v>
      </c>
      <c r="R2111" s="8">
        <v>10.5</v>
      </c>
      <c r="S2111" s="8">
        <v>11</v>
      </c>
      <c r="T2111" s="8">
        <v>2</v>
      </c>
      <c r="U2111" s="8">
        <v>12.5</v>
      </c>
      <c r="V2111" s="8">
        <v>7</v>
      </c>
      <c r="W2111" s="8">
        <v>7</v>
      </c>
      <c r="X2111" s="8">
        <v>9.5</v>
      </c>
      <c r="Y2111" s="8">
        <v>0</v>
      </c>
      <c r="Z2111" s="8">
        <v>0</v>
      </c>
      <c r="AA2111" s="8">
        <v>0</v>
      </c>
      <c r="AB2111" s="8">
        <v>0</v>
      </c>
      <c r="AC2111" s="8">
        <v>1.5</v>
      </c>
      <c r="AD2111" s="8">
        <v>2.5</v>
      </c>
      <c r="AE2111" s="8">
        <v>0</v>
      </c>
      <c r="AF2111" s="8">
        <v>0</v>
      </c>
      <c r="AG2111" s="8">
        <v>0</v>
      </c>
      <c r="AH2111" s="8">
        <v>0</v>
      </c>
      <c r="AI2111" s="8">
        <v>0</v>
      </c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11" t="s">
        <v>257</v>
      </c>
    </row>
    <row r="2112" spans="1:46" ht="15.1" customHeight="1">
      <c r="A2112" s="8">
        <v>703</v>
      </c>
      <c r="B2112" s="9" t="s">
        <v>782</v>
      </c>
      <c r="C2112" s="8" t="s">
        <v>1645</v>
      </c>
      <c r="D2112" s="9" t="s">
        <v>451</v>
      </c>
      <c r="E2112" s="8" t="s">
        <v>54</v>
      </c>
      <c r="F2112" s="8" t="s">
        <v>54</v>
      </c>
      <c r="G2112" s="10" t="s">
        <v>67</v>
      </c>
      <c r="H2112" s="8" t="s">
        <v>54</v>
      </c>
      <c r="I2112" s="8" t="s">
        <v>54</v>
      </c>
      <c r="J2112" s="8" t="s">
        <v>54</v>
      </c>
      <c r="K2112" s="8" t="s">
        <v>54</v>
      </c>
      <c r="L2112" s="8" t="s">
        <v>54</v>
      </c>
      <c r="M2112" s="8" t="s">
        <v>54</v>
      </c>
      <c r="N2112" s="10" t="s">
        <v>67</v>
      </c>
      <c r="O2112" s="8" t="s">
        <v>54</v>
      </c>
      <c r="P2112" s="8" t="s">
        <v>54</v>
      </c>
      <c r="Q2112" s="8" t="s">
        <v>54</v>
      </c>
      <c r="R2112" s="8" t="s">
        <v>54</v>
      </c>
      <c r="S2112" s="8" t="s">
        <v>54</v>
      </c>
      <c r="T2112" s="8" t="s">
        <v>54</v>
      </c>
      <c r="U2112" s="10" t="s">
        <v>67</v>
      </c>
      <c r="V2112" s="8" t="s">
        <v>54</v>
      </c>
      <c r="W2112" s="8" t="s">
        <v>54</v>
      </c>
      <c r="X2112" s="8" t="s">
        <v>54</v>
      </c>
      <c r="Y2112" s="8" t="s">
        <v>54</v>
      </c>
      <c r="Z2112" s="8" t="s">
        <v>54</v>
      </c>
      <c r="AA2112" s="8" t="s">
        <v>54</v>
      </c>
      <c r="AB2112" s="10" t="s">
        <v>67</v>
      </c>
      <c r="AC2112" s="8" t="s">
        <v>54</v>
      </c>
      <c r="AD2112" s="8" t="s">
        <v>54</v>
      </c>
      <c r="AE2112" s="8" t="s">
        <v>54</v>
      </c>
      <c r="AF2112" s="8" t="s">
        <v>54</v>
      </c>
      <c r="AG2112" s="8" t="s">
        <v>54</v>
      </c>
      <c r="AH2112" s="12" t="s">
        <v>55</v>
      </c>
      <c r="AI2112" s="10" t="s">
        <v>67</v>
      </c>
      <c r="AJ2112" s="8">
        <f>COUNTIF($E$2112:$AI$2112,"P")</f>
        <v>25</v>
      </c>
      <c r="AK2112" s="8">
        <f>COUNTIF($E$2112:$AI$2112,"A")</f>
        <v>1</v>
      </c>
      <c r="AL2112" s="8">
        <f>SUM($E$2113:$AI$2113)</f>
        <v>36</v>
      </c>
      <c r="AM2112" s="8">
        <f>SUM($E$2114:$AI$2114)</f>
        <v>149.5</v>
      </c>
      <c r="AN2112" s="8">
        <f>AL2112+AM2112</f>
        <v>185.5</v>
      </c>
      <c r="AO2112" s="8">
        <f>COUNTIF($E$2112:$AI$2112,"CL")</f>
        <v>0</v>
      </c>
      <c r="AP2112" s="8">
        <f>COUNTIF($E$2112:$AI$2112,"SL")</f>
        <v>0</v>
      </c>
      <c r="AQ2112" s="8">
        <f>COUNTIF($E$2112:$AI$2112,"EL")</f>
        <v>0</v>
      </c>
      <c r="AR2112" s="8">
        <f>COUNTIF($E$2112:$AI$2112,"H")</f>
        <v>0</v>
      </c>
      <c r="AS2112" s="8"/>
      <c r="AT2112" s="11" t="s">
        <v>257</v>
      </c>
    </row>
    <row r="2113" spans="1:46" ht="15.1" customHeight="1">
      <c r="A2113" s="8"/>
      <c r="B2113" s="9"/>
      <c r="C2113" s="8"/>
      <c r="D2113" s="9"/>
      <c r="E2113" s="8">
        <v>2</v>
      </c>
      <c r="F2113" s="8">
        <v>2</v>
      </c>
      <c r="G2113" s="8">
        <v>0</v>
      </c>
      <c r="H2113" s="8">
        <v>2</v>
      </c>
      <c r="I2113" s="8">
        <v>2</v>
      </c>
      <c r="J2113" s="8">
        <v>2</v>
      </c>
      <c r="K2113" s="8">
        <v>2</v>
      </c>
      <c r="L2113" s="8">
        <v>2</v>
      </c>
      <c r="M2113" s="8">
        <v>2</v>
      </c>
      <c r="N2113" s="8">
        <v>0</v>
      </c>
      <c r="O2113" s="8">
        <v>2</v>
      </c>
      <c r="P2113" s="8">
        <v>2</v>
      </c>
      <c r="Q2113" s="8">
        <v>2</v>
      </c>
      <c r="R2113" s="8">
        <v>2</v>
      </c>
      <c r="S2113" s="8">
        <v>2</v>
      </c>
      <c r="T2113" s="8">
        <v>2</v>
      </c>
      <c r="U2113" s="8">
        <v>0</v>
      </c>
      <c r="V2113" s="8">
        <v>2</v>
      </c>
      <c r="W2113" s="8">
        <v>2</v>
      </c>
      <c r="X2113" s="8">
        <v>2</v>
      </c>
      <c r="Y2113" s="8">
        <v>0</v>
      </c>
      <c r="Z2113" s="8">
        <v>0</v>
      </c>
      <c r="AA2113" s="8">
        <v>0</v>
      </c>
      <c r="AB2113" s="8">
        <v>0</v>
      </c>
      <c r="AC2113" s="8">
        <v>2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11" t="s">
        <v>257</v>
      </c>
    </row>
    <row r="2114" spans="1:46" ht="15.1" customHeight="1">
      <c r="A2114" s="8"/>
      <c r="B2114" s="9"/>
      <c r="C2114" s="8"/>
      <c r="D2114" s="9"/>
      <c r="E2114" s="8">
        <v>4</v>
      </c>
      <c r="F2114" s="8">
        <v>3</v>
      </c>
      <c r="G2114" s="8">
        <v>14.5</v>
      </c>
      <c r="H2114" s="8">
        <v>7</v>
      </c>
      <c r="I2114" s="8">
        <v>7</v>
      </c>
      <c r="J2114" s="8">
        <v>5</v>
      </c>
      <c r="K2114" s="8">
        <v>7</v>
      </c>
      <c r="L2114" s="8">
        <v>7</v>
      </c>
      <c r="M2114" s="8">
        <v>5</v>
      </c>
      <c r="N2114" s="8">
        <v>17</v>
      </c>
      <c r="O2114" s="8">
        <v>7</v>
      </c>
      <c r="P2114" s="8">
        <v>7</v>
      </c>
      <c r="Q2114" s="8">
        <v>7</v>
      </c>
      <c r="R2114" s="8">
        <v>7</v>
      </c>
      <c r="S2114" s="8">
        <v>7</v>
      </c>
      <c r="T2114" s="8">
        <v>4.5</v>
      </c>
      <c r="U2114" s="8">
        <v>12.5</v>
      </c>
      <c r="V2114" s="8">
        <v>7</v>
      </c>
      <c r="W2114" s="8">
        <v>7</v>
      </c>
      <c r="X2114" s="8">
        <v>6</v>
      </c>
      <c r="Y2114" s="8">
        <v>0</v>
      </c>
      <c r="Z2114" s="8">
        <v>0</v>
      </c>
      <c r="AA2114" s="8">
        <v>0</v>
      </c>
      <c r="AB2114" s="8">
        <v>0</v>
      </c>
      <c r="AC2114" s="8">
        <v>1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11" t="s">
        <v>257</v>
      </c>
    </row>
    <row r="2115" spans="1:46" ht="15.1" customHeight="1">
      <c r="A2115" s="8">
        <v>704</v>
      </c>
      <c r="B2115" s="9" t="s">
        <v>1646</v>
      </c>
      <c r="C2115" s="8" t="s">
        <v>1647</v>
      </c>
      <c r="D2115" s="9" t="s">
        <v>451</v>
      </c>
      <c r="E2115" s="8" t="s">
        <v>54</v>
      </c>
      <c r="F2115" s="12" t="s">
        <v>55</v>
      </c>
      <c r="G2115" s="10" t="s">
        <v>67</v>
      </c>
      <c r="H2115" s="8" t="s">
        <v>54</v>
      </c>
      <c r="I2115" s="8" t="s">
        <v>54</v>
      </c>
      <c r="J2115" s="8" t="s">
        <v>54</v>
      </c>
      <c r="K2115" s="8" t="s">
        <v>54</v>
      </c>
      <c r="L2115" s="8" t="s">
        <v>54</v>
      </c>
      <c r="M2115" s="8" t="s">
        <v>54</v>
      </c>
      <c r="N2115" s="10" t="s">
        <v>67</v>
      </c>
      <c r="O2115" s="8" t="s">
        <v>54</v>
      </c>
      <c r="P2115" s="8" t="s">
        <v>54</v>
      </c>
      <c r="Q2115" s="8" t="s">
        <v>54</v>
      </c>
      <c r="R2115" s="8" t="s">
        <v>54</v>
      </c>
      <c r="S2115" s="8" t="s">
        <v>54</v>
      </c>
      <c r="T2115" s="8" t="s">
        <v>54</v>
      </c>
      <c r="U2115" s="10" t="s">
        <v>67</v>
      </c>
      <c r="V2115" s="8" t="s">
        <v>54</v>
      </c>
      <c r="W2115" s="8" t="s">
        <v>54</v>
      </c>
      <c r="X2115" s="8" t="s">
        <v>54</v>
      </c>
      <c r="Y2115" s="8" t="s">
        <v>54</v>
      </c>
      <c r="Z2115" s="8" t="s">
        <v>54</v>
      </c>
      <c r="AA2115" s="8" t="s">
        <v>54</v>
      </c>
      <c r="AB2115" s="10" t="s">
        <v>67</v>
      </c>
      <c r="AC2115" s="8" t="s">
        <v>54</v>
      </c>
      <c r="AD2115" s="12" t="s">
        <v>55</v>
      </c>
      <c r="AE2115" s="8" t="s">
        <v>54</v>
      </c>
      <c r="AF2115" s="8" t="s">
        <v>54</v>
      </c>
      <c r="AG2115" s="8" t="s">
        <v>54</v>
      </c>
      <c r="AH2115" s="12" t="s">
        <v>55</v>
      </c>
      <c r="AI2115" s="10" t="s">
        <v>67</v>
      </c>
      <c r="AJ2115" s="8">
        <f>COUNTIF($E$2115:$AI$2115,"P")</f>
        <v>23</v>
      </c>
      <c r="AK2115" s="8">
        <f>COUNTIF($E$2115:$AI$2115,"A")</f>
        <v>3</v>
      </c>
      <c r="AL2115" s="8">
        <f>SUM($E$2116:$AI$2116)</f>
        <v>35</v>
      </c>
      <c r="AM2115" s="8">
        <f>SUM($E$2117:$AI$2117)</f>
        <v>146.5</v>
      </c>
      <c r="AN2115" s="8">
        <f>AL2115+AM2115</f>
        <v>181.5</v>
      </c>
      <c r="AO2115" s="8">
        <f>COUNTIF($E$2115:$AI$2115,"CL")</f>
        <v>0</v>
      </c>
      <c r="AP2115" s="8">
        <f>COUNTIF($E$2115:$AI$2115,"SL")</f>
        <v>0</v>
      </c>
      <c r="AQ2115" s="8">
        <f>COUNTIF($E$2115:$AI$2115,"EL")</f>
        <v>0</v>
      </c>
      <c r="AR2115" s="8">
        <f>COUNTIF($E$2115:$AI$2115,"H")</f>
        <v>0</v>
      </c>
      <c r="AS2115" s="8"/>
      <c r="AT2115" s="11" t="s">
        <v>257</v>
      </c>
    </row>
    <row r="2116" spans="1:46" ht="15.1" customHeight="1">
      <c r="A2116" s="8"/>
      <c r="B2116" s="9"/>
      <c r="C2116" s="8"/>
      <c r="D2116" s="9"/>
      <c r="E2116" s="8">
        <v>2</v>
      </c>
      <c r="F2116" s="8">
        <v>0</v>
      </c>
      <c r="G2116" s="8">
        <v>0</v>
      </c>
      <c r="H2116" s="8">
        <v>2</v>
      </c>
      <c r="I2116" s="8">
        <v>2</v>
      </c>
      <c r="J2116" s="8">
        <v>2</v>
      </c>
      <c r="K2116" s="8">
        <v>2</v>
      </c>
      <c r="L2116" s="8">
        <v>2</v>
      </c>
      <c r="M2116" s="8">
        <v>2</v>
      </c>
      <c r="N2116" s="8">
        <v>0</v>
      </c>
      <c r="O2116" s="8">
        <v>2</v>
      </c>
      <c r="P2116" s="8">
        <v>2</v>
      </c>
      <c r="Q2116" s="8">
        <v>2</v>
      </c>
      <c r="R2116" s="8">
        <v>2</v>
      </c>
      <c r="S2116" s="8">
        <v>2</v>
      </c>
      <c r="T2116" s="8">
        <v>2</v>
      </c>
      <c r="U2116" s="8">
        <v>0</v>
      </c>
      <c r="V2116" s="8">
        <v>2</v>
      </c>
      <c r="W2116" s="8">
        <v>2</v>
      </c>
      <c r="X2116" s="8">
        <v>2</v>
      </c>
      <c r="Y2116" s="8">
        <v>0</v>
      </c>
      <c r="Z2116" s="8">
        <v>2</v>
      </c>
      <c r="AA2116" s="8">
        <v>1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11" t="s">
        <v>257</v>
      </c>
    </row>
    <row r="2117" spans="1:46" ht="15.1" customHeight="1">
      <c r="A2117" s="8"/>
      <c r="B2117" s="9"/>
      <c r="C2117" s="8"/>
      <c r="D2117" s="9"/>
      <c r="E2117" s="8">
        <v>3</v>
      </c>
      <c r="F2117" s="8">
        <v>0</v>
      </c>
      <c r="G2117" s="8">
        <v>14.5</v>
      </c>
      <c r="H2117" s="8">
        <v>7</v>
      </c>
      <c r="I2117" s="8">
        <v>7</v>
      </c>
      <c r="J2117" s="8">
        <v>5</v>
      </c>
      <c r="K2117" s="8">
        <v>7</v>
      </c>
      <c r="L2117" s="8">
        <v>7</v>
      </c>
      <c r="M2117" s="8">
        <v>5</v>
      </c>
      <c r="N2117" s="8">
        <v>17</v>
      </c>
      <c r="O2117" s="8">
        <v>7</v>
      </c>
      <c r="P2117" s="8">
        <v>7</v>
      </c>
      <c r="Q2117" s="8">
        <v>7</v>
      </c>
      <c r="R2117" s="8">
        <v>7</v>
      </c>
      <c r="S2117" s="8">
        <v>7</v>
      </c>
      <c r="T2117" s="8">
        <v>11</v>
      </c>
      <c r="U2117" s="8">
        <v>7</v>
      </c>
      <c r="V2117" s="8">
        <v>7</v>
      </c>
      <c r="W2117" s="8">
        <v>7</v>
      </c>
      <c r="X2117" s="8">
        <v>7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11" t="s">
        <v>257</v>
      </c>
    </row>
    <row r="2118" spans="1:46" ht="15.1" customHeight="1">
      <c r="A2118" s="8">
        <v>705</v>
      </c>
      <c r="B2118" s="9" t="s">
        <v>1432</v>
      </c>
      <c r="C2118" s="8" t="s">
        <v>1648</v>
      </c>
      <c r="D2118" s="9" t="s">
        <v>451</v>
      </c>
      <c r="E2118" s="8" t="s">
        <v>54</v>
      </c>
      <c r="F2118" s="8" t="s">
        <v>54</v>
      </c>
      <c r="G2118" s="10" t="s">
        <v>67</v>
      </c>
      <c r="H2118" s="8" t="s">
        <v>54</v>
      </c>
      <c r="I2118" s="8" t="s">
        <v>54</v>
      </c>
      <c r="J2118" s="8" t="s">
        <v>54</v>
      </c>
      <c r="K2118" s="8" t="s">
        <v>54</v>
      </c>
      <c r="L2118" s="8" t="s">
        <v>54</v>
      </c>
      <c r="M2118" s="8" t="s">
        <v>54</v>
      </c>
      <c r="N2118" s="10" t="s">
        <v>67</v>
      </c>
      <c r="O2118" s="8" t="s">
        <v>54</v>
      </c>
      <c r="P2118" s="8" t="s">
        <v>54</v>
      </c>
      <c r="Q2118" s="8" t="s">
        <v>54</v>
      </c>
      <c r="R2118" s="8" t="s">
        <v>54</v>
      </c>
      <c r="S2118" s="8" t="s">
        <v>54</v>
      </c>
      <c r="T2118" s="8" t="s">
        <v>54</v>
      </c>
      <c r="U2118" s="10" t="s">
        <v>67</v>
      </c>
      <c r="V2118" s="8" t="s">
        <v>54</v>
      </c>
      <c r="W2118" s="8" t="s">
        <v>54</v>
      </c>
      <c r="X2118" s="8" t="s">
        <v>54</v>
      </c>
      <c r="Y2118" s="8" t="s">
        <v>54</v>
      </c>
      <c r="Z2118" s="8" t="s">
        <v>54</v>
      </c>
      <c r="AA2118" s="8" t="s">
        <v>54</v>
      </c>
      <c r="AB2118" s="10" t="s">
        <v>67</v>
      </c>
      <c r="AC2118" s="8" t="s">
        <v>54</v>
      </c>
      <c r="AD2118" s="8" t="s">
        <v>54</v>
      </c>
      <c r="AE2118" s="8" t="s">
        <v>54</v>
      </c>
      <c r="AF2118" s="8" t="s">
        <v>54</v>
      </c>
      <c r="AG2118" s="8" t="s">
        <v>54</v>
      </c>
      <c r="AH2118" s="12" t="s">
        <v>55</v>
      </c>
      <c r="AI2118" s="10" t="s">
        <v>67</v>
      </c>
      <c r="AJ2118" s="8">
        <f>COUNTIF($E$2118:$AI$2118,"P")</f>
        <v>25</v>
      </c>
      <c r="AK2118" s="8">
        <f>COUNTIF($E$2118:$AI$2118,"A")</f>
        <v>1</v>
      </c>
      <c r="AL2118" s="8">
        <f>SUM($E$2119:$AI$2119)</f>
        <v>39</v>
      </c>
      <c r="AM2118" s="8">
        <f>SUM($E$2120:$AI$2120)</f>
        <v>149.5</v>
      </c>
      <c r="AN2118" s="8">
        <f>AL2118+AM2118</f>
        <v>188</v>
      </c>
      <c r="AO2118" s="8">
        <f>COUNTIF($E$2118:$AI$2118,"CL")</f>
        <v>0</v>
      </c>
      <c r="AP2118" s="8">
        <f>COUNTIF($E$2118:$AI$2118,"SL")</f>
        <v>0</v>
      </c>
      <c r="AQ2118" s="8">
        <f>COUNTIF($E$2118:$AI$2118,"EL")</f>
        <v>0</v>
      </c>
      <c r="AR2118" s="8">
        <f>COUNTIF($E$2118:$AI$2118,"H")</f>
        <v>0</v>
      </c>
      <c r="AS2118" s="8"/>
      <c r="AT2118" s="11" t="s">
        <v>257</v>
      </c>
    </row>
    <row r="2119" spans="1:46" ht="15.1" customHeight="1">
      <c r="A2119" s="8"/>
      <c r="B2119" s="9"/>
      <c r="C2119" s="8"/>
      <c r="D2119" s="9"/>
      <c r="E2119" s="8">
        <v>2</v>
      </c>
      <c r="F2119" s="8">
        <v>2</v>
      </c>
      <c r="G2119" s="8">
        <v>0</v>
      </c>
      <c r="H2119" s="8">
        <v>2</v>
      </c>
      <c r="I2119" s="8">
        <v>2</v>
      </c>
      <c r="J2119" s="8">
        <v>2</v>
      </c>
      <c r="K2119" s="8">
        <v>2</v>
      </c>
      <c r="L2119" s="8">
        <v>2</v>
      </c>
      <c r="M2119" s="8">
        <v>2</v>
      </c>
      <c r="N2119" s="8">
        <v>0</v>
      </c>
      <c r="O2119" s="8">
        <v>2</v>
      </c>
      <c r="P2119" s="8">
        <v>2</v>
      </c>
      <c r="Q2119" s="8">
        <v>2</v>
      </c>
      <c r="R2119" s="8">
        <v>2</v>
      </c>
      <c r="S2119" s="8">
        <v>2</v>
      </c>
      <c r="T2119" s="8">
        <v>2</v>
      </c>
      <c r="U2119" s="8">
        <v>0</v>
      </c>
      <c r="V2119" s="8">
        <v>2</v>
      </c>
      <c r="W2119" s="8">
        <v>2</v>
      </c>
      <c r="X2119" s="8">
        <v>2</v>
      </c>
      <c r="Y2119" s="8">
        <v>2</v>
      </c>
      <c r="Z2119" s="8">
        <v>0</v>
      </c>
      <c r="AA2119" s="8">
        <v>1</v>
      </c>
      <c r="AB2119" s="8">
        <v>0</v>
      </c>
      <c r="AC2119" s="8">
        <v>2</v>
      </c>
      <c r="AD2119" s="8">
        <v>0</v>
      </c>
      <c r="AE2119" s="8">
        <v>0</v>
      </c>
      <c r="AF2119" s="8">
        <v>0</v>
      </c>
      <c r="AG2119" s="8">
        <v>0</v>
      </c>
      <c r="AH2119" s="8">
        <v>0</v>
      </c>
      <c r="AI2119" s="8">
        <v>0</v>
      </c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11" t="s">
        <v>257</v>
      </c>
    </row>
    <row r="2120" spans="1:46" ht="15.1" customHeight="1">
      <c r="A2120" s="8"/>
      <c r="B2120" s="9"/>
      <c r="C2120" s="8"/>
      <c r="D2120" s="9"/>
      <c r="E2120" s="8">
        <v>3</v>
      </c>
      <c r="F2120" s="8">
        <v>3</v>
      </c>
      <c r="G2120" s="8">
        <v>14.5</v>
      </c>
      <c r="H2120" s="8">
        <v>7</v>
      </c>
      <c r="I2120" s="8">
        <v>7</v>
      </c>
      <c r="J2120" s="8">
        <v>5</v>
      </c>
      <c r="K2120" s="8">
        <v>7</v>
      </c>
      <c r="L2120" s="8">
        <v>7</v>
      </c>
      <c r="M2120" s="8">
        <v>5</v>
      </c>
      <c r="N2120" s="8">
        <v>16.5</v>
      </c>
      <c r="O2120" s="8">
        <v>7</v>
      </c>
      <c r="P2120" s="8">
        <v>7</v>
      </c>
      <c r="Q2120" s="8">
        <v>7</v>
      </c>
      <c r="R2120" s="8">
        <v>7</v>
      </c>
      <c r="S2120" s="8">
        <v>7</v>
      </c>
      <c r="T2120" s="8">
        <v>5</v>
      </c>
      <c r="U2120" s="8">
        <v>12.5</v>
      </c>
      <c r="V2120" s="8">
        <v>7</v>
      </c>
      <c r="W2120" s="8">
        <v>7</v>
      </c>
      <c r="X2120" s="8">
        <v>7</v>
      </c>
      <c r="Y2120" s="8">
        <v>0</v>
      </c>
      <c r="Z2120" s="8">
        <v>0</v>
      </c>
      <c r="AA2120" s="8">
        <v>0</v>
      </c>
      <c r="AB2120" s="8">
        <v>0</v>
      </c>
      <c r="AC2120" s="8">
        <v>1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11" t="s">
        <v>257</v>
      </c>
    </row>
    <row r="2121" spans="1:46" ht="15.1" customHeight="1">
      <c r="A2121" s="8">
        <v>706</v>
      </c>
      <c r="B2121" s="9" t="s">
        <v>1649</v>
      </c>
      <c r="C2121" s="8" t="s">
        <v>1650</v>
      </c>
      <c r="D2121" s="9" t="s">
        <v>763</v>
      </c>
      <c r="E2121" s="12" t="s">
        <v>55</v>
      </c>
      <c r="F2121" s="8" t="s">
        <v>54</v>
      </c>
      <c r="G2121" s="10" t="s">
        <v>67</v>
      </c>
      <c r="H2121" s="8" t="s">
        <v>54</v>
      </c>
      <c r="I2121" s="8" t="s">
        <v>54</v>
      </c>
      <c r="J2121" s="8" t="s">
        <v>54</v>
      </c>
      <c r="K2121" s="8" t="s">
        <v>54</v>
      </c>
      <c r="L2121" s="8" t="s">
        <v>54</v>
      </c>
      <c r="M2121" s="8" t="s">
        <v>54</v>
      </c>
      <c r="N2121" s="10" t="s">
        <v>67</v>
      </c>
      <c r="O2121" s="8" t="s">
        <v>54</v>
      </c>
      <c r="P2121" s="8" t="s">
        <v>54</v>
      </c>
      <c r="Q2121" s="8" t="s">
        <v>54</v>
      </c>
      <c r="R2121" s="8" t="s">
        <v>54</v>
      </c>
      <c r="S2121" s="8" t="s">
        <v>54</v>
      </c>
      <c r="T2121" s="8" t="s">
        <v>54</v>
      </c>
      <c r="U2121" s="10" t="s">
        <v>67</v>
      </c>
      <c r="V2121" s="8" t="s">
        <v>54</v>
      </c>
      <c r="W2121" s="8" t="s">
        <v>54</v>
      </c>
      <c r="X2121" s="12" t="s">
        <v>55</v>
      </c>
      <c r="Y2121" s="12" t="s">
        <v>55</v>
      </c>
      <c r="Z2121" s="8" t="s">
        <v>54</v>
      </c>
      <c r="AA2121" s="8" t="s">
        <v>54</v>
      </c>
      <c r="AB2121" s="10" t="s">
        <v>67</v>
      </c>
      <c r="AC2121" s="8" t="s">
        <v>54</v>
      </c>
      <c r="AD2121" s="8" t="s">
        <v>54</v>
      </c>
      <c r="AE2121" s="8" t="s">
        <v>54</v>
      </c>
      <c r="AF2121" s="8" t="s">
        <v>54</v>
      </c>
      <c r="AG2121" s="8" t="s">
        <v>54</v>
      </c>
      <c r="AH2121" s="12" t="s">
        <v>55</v>
      </c>
      <c r="AI2121" s="10" t="s">
        <v>67</v>
      </c>
      <c r="AJ2121" s="8">
        <f>COUNTIF($E$2121:$AI$2121,"P")</f>
        <v>22</v>
      </c>
      <c r="AK2121" s="8">
        <f>COUNTIF($E$2121:$AI$2121,"A")</f>
        <v>4</v>
      </c>
      <c r="AL2121" s="8">
        <f>SUM($E$2122:$AI$2122)</f>
        <v>39</v>
      </c>
      <c r="AM2121" s="8">
        <f>SUM($E$2123:$AI$2123)</f>
        <v>142</v>
      </c>
      <c r="AN2121" s="8">
        <f>AL2121+AM2121</f>
        <v>181</v>
      </c>
      <c r="AO2121" s="8">
        <f>COUNTIF($E$2121:$AI$2121,"CL")</f>
        <v>0</v>
      </c>
      <c r="AP2121" s="8">
        <f>COUNTIF($E$2121:$AI$2121,"SL")</f>
        <v>0</v>
      </c>
      <c r="AQ2121" s="8">
        <f>COUNTIF($E$2121:$AI$2121,"EL")</f>
        <v>0</v>
      </c>
      <c r="AR2121" s="8">
        <f>COUNTIF($E$2121:$AI$2121,"H")</f>
        <v>0</v>
      </c>
      <c r="AS2121" s="8"/>
      <c r="AT2121" s="11" t="s">
        <v>257</v>
      </c>
    </row>
    <row r="2122" spans="1:46" ht="15.1" customHeight="1">
      <c r="A2122" s="8"/>
      <c r="B2122" s="9"/>
      <c r="C2122" s="8"/>
      <c r="D2122" s="9"/>
      <c r="E2122" s="8">
        <v>0</v>
      </c>
      <c r="F2122" s="8">
        <v>2</v>
      </c>
      <c r="G2122" s="8">
        <v>0</v>
      </c>
      <c r="H2122" s="8">
        <v>2</v>
      </c>
      <c r="I2122" s="8">
        <v>2</v>
      </c>
      <c r="J2122" s="8">
        <v>2</v>
      </c>
      <c r="K2122" s="8">
        <v>2</v>
      </c>
      <c r="L2122" s="8">
        <v>2</v>
      </c>
      <c r="M2122" s="8">
        <v>2</v>
      </c>
      <c r="N2122" s="8">
        <v>0</v>
      </c>
      <c r="O2122" s="8">
        <v>2</v>
      </c>
      <c r="P2122" s="8">
        <v>2</v>
      </c>
      <c r="Q2122" s="8">
        <v>2</v>
      </c>
      <c r="R2122" s="8">
        <v>2</v>
      </c>
      <c r="S2122" s="8">
        <v>2</v>
      </c>
      <c r="T2122" s="8">
        <v>2</v>
      </c>
      <c r="U2122" s="8">
        <v>0</v>
      </c>
      <c r="V2122" s="8">
        <v>2</v>
      </c>
      <c r="W2122" s="8">
        <v>2</v>
      </c>
      <c r="X2122" s="8">
        <v>0</v>
      </c>
      <c r="Y2122" s="8">
        <v>0</v>
      </c>
      <c r="Z2122" s="8">
        <v>0</v>
      </c>
      <c r="AA2122" s="8">
        <v>1</v>
      </c>
      <c r="AB2122" s="8">
        <v>0</v>
      </c>
      <c r="AC2122" s="8">
        <v>2</v>
      </c>
      <c r="AD2122" s="8">
        <v>2</v>
      </c>
      <c r="AE2122" s="8">
        <v>2</v>
      </c>
      <c r="AF2122" s="8">
        <v>0</v>
      </c>
      <c r="AG2122" s="8">
        <v>2</v>
      </c>
      <c r="AH2122" s="8">
        <v>0</v>
      </c>
      <c r="AI2122" s="8">
        <v>0</v>
      </c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11" t="s">
        <v>257</v>
      </c>
    </row>
    <row r="2123" spans="1:46" ht="15.1" customHeight="1">
      <c r="A2123" s="8"/>
      <c r="B2123" s="9"/>
      <c r="C2123" s="8"/>
      <c r="D2123" s="9"/>
      <c r="E2123" s="8">
        <v>0</v>
      </c>
      <c r="F2123" s="8">
        <v>3.5</v>
      </c>
      <c r="G2123" s="8">
        <v>12.5</v>
      </c>
      <c r="H2123" s="8">
        <v>7</v>
      </c>
      <c r="I2123" s="8">
        <v>4</v>
      </c>
      <c r="J2123" s="8">
        <v>5</v>
      </c>
      <c r="K2123" s="8">
        <v>5</v>
      </c>
      <c r="L2123" s="8">
        <v>7</v>
      </c>
      <c r="M2123" s="8">
        <v>5</v>
      </c>
      <c r="N2123" s="8">
        <v>15</v>
      </c>
      <c r="O2123" s="8">
        <v>7</v>
      </c>
      <c r="P2123" s="8">
        <v>7</v>
      </c>
      <c r="Q2123" s="8">
        <v>7</v>
      </c>
      <c r="R2123" s="8">
        <v>6.5</v>
      </c>
      <c r="S2123" s="8">
        <v>10</v>
      </c>
      <c r="T2123" s="8">
        <v>1</v>
      </c>
      <c r="U2123" s="8">
        <v>12.5</v>
      </c>
      <c r="V2123" s="8">
        <v>7</v>
      </c>
      <c r="W2123" s="8">
        <v>10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3</v>
      </c>
      <c r="AD2123" s="8">
        <v>2.5</v>
      </c>
      <c r="AE2123" s="8">
        <v>3</v>
      </c>
      <c r="AF2123" s="8">
        <v>0</v>
      </c>
      <c r="AG2123" s="8">
        <v>1.5</v>
      </c>
      <c r="AH2123" s="8">
        <v>0</v>
      </c>
      <c r="AI2123" s="8">
        <v>0</v>
      </c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11" t="s">
        <v>257</v>
      </c>
    </row>
    <row r="2124" spans="1:46" ht="15.1" customHeight="1">
      <c r="A2124" s="8">
        <v>707</v>
      </c>
      <c r="B2124" s="9" t="s">
        <v>1651</v>
      </c>
      <c r="C2124" s="8" t="s">
        <v>1652</v>
      </c>
      <c r="D2124" s="9" t="s">
        <v>451</v>
      </c>
      <c r="E2124" s="8" t="s">
        <v>54</v>
      </c>
      <c r="F2124" s="8" t="s">
        <v>54</v>
      </c>
      <c r="G2124" s="10" t="s">
        <v>67</v>
      </c>
      <c r="H2124" s="8" t="s">
        <v>54</v>
      </c>
      <c r="I2124" s="8" t="s">
        <v>54</v>
      </c>
      <c r="J2124" s="8" t="s">
        <v>54</v>
      </c>
      <c r="K2124" s="8" t="s">
        <v>54</v>
      </c>
      <c r="L2124" s="8" t="s">
        <v>54</v>
      </c>
      <c r="M2124" s="8" t="s">
        <v>54</v>
      </c>
      <c r="N2124" s="10" t="s">
        <v>67</v>
      </c>
      <c r="O2124" s="8" t="s">
        <v>54</v>
      </c>
      <c r="P2124" s="8" t="s">
        <v>54</v>
      </c>
      <c r="Q2124" s="8" t="s">
        <v>54</v>
      </c>
      <c r="R2124" s="8" t="s">
        <v>54</v>
      </c>
      <c r="S2124" s="8" t="s">
        <v>54</v>
      </c>
      <c r="T2124" s="8" t="s">
        <v>54</v>
      </c>
      <c r="U2124" s="10" t="s">
        <v>67</v>
      </c>
      <c r="V2124" s="8" t="s">
        <v>54</v>
      </c>
      <c r="W2124" s="8" t="s">
        <v>54</v>
      </c>
      <c r="X2124" s="8" t="s">
        <v>54</v>
      </c>
      <c r="Y2124" s="8" t="s">
        <v>54</v>
      </c>
      <c r="Z2124" s="8" t="s">
        <v>54</v>
      </c>
      <c r="AA2124" s="8" t="s">
        <v>54</v>
      </c>
      <c r="AB2124" s="10" t="s">
        <v>67</v>
      </c>
      <c r="AC2124" s="8" t="s">
        <v>54</v>
      </c>
      <c r="AD2124" s="8" t="s">
        <v>54</v>
      </c>
      <c r="AE2124" s="8" t="s">
        <v>54</v>
      </c>
      <c r="AF2124" s="8" t="s">
        <v>54</v>
      </c>
      <c r="AG2124" s="8" t="s">
        <v>54</v>
      </c>
      <c r="AH2124" s="12" t="s">
        <v>55</v>
      </c>
      <c r="AI2124" s="10" t="s">
        <v>67</v>
      </c>
      <c r="AJ2124" s="8">
        <f>COUNTIF($E$2124:$AI$2124,"P")</f>
        <v>25</v>
      </c>
      <c r="AK2124" s="8">
        <f>COUNTIF($E$2124:$AI$2124,"A")</f>
        <v>1</v>
      </c>
      <c r="AL2124" s="8">
        <f>SUM($E$2125:$AI$2125)</f>
        <v>38</v>
      </c>
      <c r="AM2124" s="8">
        <f>SUM($E$2126:$AI$2126)</f>
        <v>153</v>
      </c>
      <c r="AN2124" s="8">
        <f>AL2124+AM2124</f>
        <v>191</v>
      </c>
      <c r="AO2124" s="8">
        <f>COUNTIF($E$2124:$AI$2124,"CL")</f>
        <v>0</v>
      </c>
      <c r="AP2124" s="8">
        <f>COUNTIF($E$2124:$AI$2124,"SL")</f>
        <v>0</v>
      </c>
      <c r="AQ2124" s="8">
        <f>COUNTIF($E$2124:$AI$2124,"EL")</f>
        <v>0</v>
      </c>
      <c r="AR2124" s="8">
        <f>COUNTIF($E$2124:$AI$2124,"H")</f>
        <v>0</v>
      </c>
      <c r="AS2124" s="8"/>
      <c r="AT2124" s="11" t="s">
        <v>257</v>
      </c>
    </row>
    <row r="2125" spans="1:46" ht="15.1" customHeight="1">
      <c r="A2125" s="8"/>
      <c r="B2125" s="9"/>
      <c r="C2125" s="8"/>
      <c r="D2125" s="9"/>
      <c r="E2125" s="8">
        <v>2</v>
      </c>
      <c r="F2125" s="8">
        <v>2</v>
      </c>
      <c r="G2125" s="8">
        <v>0</v>
      </c>
      <c r="H2125" s="8">
        <v>2</v>
      </c>
      <c r="I2125" s="8">
        <v>2</v>
      </c>
      <c r="J2125" s="8">
        <v>2</v>
      </c>
      <c r="K2125" s="8">
        <v>2</v>
      </c>
      <c r="L2125" s="8">
        <v>2</v>
      </c>
      <c r="M2125" s="8">
        <v>2</v>
      </c>
      <c r="N2125" s="8">
        <v>0</v>
      </c>
      <c r="O2125" s="8">
        <v>2</v>
      </c>
      <c r="P2125" s="8">
        <v>2</v>
      </c>
      <c r="Q2125" s="8">
        <v>2</v>
      </c>
      <c r="R2125" s="8">
        <v>2</v>
      </c>
      <c r="S2125" s="8">
        <v>2</v>
      </c>
      <c r="T2125" s="8">
        <v>2</v>
      </c>
      <c r="U2125" s="8">
        <v>0</v>
      </c>
      <c r="V2125" s="8">
        <v>2</v>
      </c>
      <c r="W2125" s="8">
        <v>2</v>
      </c>
      <c r="X2125" s="8">
        <v>2</v>
      </c>
      <c r="Y2125" s="8">
        <v>0</v>
      </c>
      <c r="Z2125" s="8">
        <v>0</v>
      </c>
      <c r="AA2125" s="8">
        <v>0</v>
      </c>
      <c r="AB2125" s="8">
        <v>0</v>
      </c>
      <c r="AC2125" s="8">
        <v>2</v>
      </c>
      <c r="AD2125" s="8">
        <v>2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11" t="s">
        <v>257</v>
      </c>
    </row>
    <row r="2126" spans="1:46" ht="15.1" customHeight="1">
      <c r="A2126" s="8"/>
      <c r="B2126" s="9"/>
      <c r="C2126" s="8"/>
      <c r="D2126" s="9"/>
      <c r="E2126" s="8">
        <v>4</v>
      </c>
      <c r="F2126" s="8">
        <v>3</v>
      </c>
      <c r="G2126" s="8">
        <v>15</v>
      </c>
      <c r="H2126" s="8">
        <v>7</v>
      </c>
      <c r="I2126" s="8">
        <v>7</v>
      </c>
      <c r="J2126" s="8">
        <v>5</v>
      </c>
      <c r="K2126" s="8">
        <v>7</v>
      </c>
      <c r="L2126" s="8">
        <v>7</v>
      </c>
      <c r="M2126" s="8">
        <v>5</v>
      </c>
      <c r="N2126" s="8">
        <v>17</v>
      </c>
      <c r="O2126" s="8">
        <v>7</v>
      </c>
      <c r="P2126" s="8">
        <v>7</v>
      </c>
      <c r="Q2126" s="8">
        <v>7</v>
      </c>
      <c r="R2126" s="8">
        <v>7</v>
      </c>
      <c r="S2126" s="8">
        <v>7</v>
      </c>
      <c r="T2126" s="8">
        <v>4.5</v>
      </c>
      <c r="U2126" s="8">
        <v>12.5</v>
      </c>
      <c r="V2126" s="8">
        <v>7</v>
      </c>
      <c r="W2126" s="8">
        <v>7</v>
      </c>
      <c r="X2126" s="8">
        <v>6</v>
      </c>
      <c r="Y2126" s="8">
        <v>0</v>
      </c>
      <c r="Z2126" s="8">
        <v>0</v>
      </c>
      <c r="AA2126" s="8">
        <v>0</v>
      </c>
      <c r="AB2126" s="8">
        <v>0</v>
      </c>
      <c r="AC2126" s="8">
        <v>1</v>
      </c>
      <c r="AD2126" s="8">
        <v>3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11" t="s">
        <v>257</v>
      </c>
    </row>
    <row r="2127" spans="1:46" ht="15.1" customHeight="1">
      <c r="A2127" s="8">
        <v>708</v>
      </c>
      <c r="B2127" s="9" t="s">
        <v>1653</v>
      </c>
      <c r="C2127" s="8" t="s">
        <v>1654</v>
      </c>
      <c r="D2127" s="9" t="s">
        <v>763</v>
      </c>
      <c r="E2127" s="8" t="s">
        <v>54</v>
      </c>
      <c r="F2127" s="8" t="s">
        <v>54</v>
      </c>
      <c r="G2127" s="10" t="s">
        <v>67</v>
      </c>
      <c r="H2127" s="8" t="s">
        <v>54</v>
      </c>
      <c r="I2127" s="8" t="s">
        <v>54</v>
      </c>
      <c r="J2127" s="8" t="s">
        <v>54</v>
      </c>
      <c r="K2127" s="8" t="s">
        <v>54</v>
      </c>
      <c r="L2127" s="8" t="s">
        <v>54</v>
      </c>
      <c r="M2127" s="8" t="s">
        <v>54</v>
      </c>
      <c r="N2127" s="10" t="s">
        <v>67</v>
      </c>
      <c r="O2127" s="8" t="s">
        <v>54</v>
      </c>
      <c r="P2127" s="8" t="s">
        <v>54</v>
      </c>
      <c r="Q2127" s="8" t="s">
        <v>54</v>
      </c>
      <c r="R2127" s="8" t="s">
        <v>54</v>
      </c>
      <c r="S2127" s="8" t="s">
        <v>54</v>
      </c>
      <c r="T2127" s="8" t="s">
        <v>54</v>
      </c>
      <c r="U2127" s="10" t="s">
        <v>67</v>
      </c>
      <c r="V2127" s="8" t="s">
        <v>54</v>
      </c>
      <c r="W2127" s="8" t="s">
        <v>54</v>
      </c>
      <c r="X2127" s="12" t="s">
        <v>55</v>
      </c>
      <c r="Y2127" s="12" t="s">
        <v>55</v>
      </c>
      <c r="Z2127" s="8" t="s">
        <v>54</v>
      </c>
      <c r="AA2127" s="8" t="s">
        <v>54</v>
      </c>
      <c r="AB2127" s="10" t="s">
        <v>67</v>
      </c>
      <c r="AC2127" s="8" t="s">
        <v>54</v>
      </c>
      <c r="AD2127" s="8" t="s">
        <v>54</v>
      </c>
      <c r="AE2127" s="8" t="s">
        <v>54</v>
      </c>
      <c r="AF2127" s="8" t="s">
        <v>54</v>
      </c>
      <c r="AG2127" s="8" t="s">
        <v>54</v>
      </c>
      <c r="AH2127" s="12" t="s">
        <v>55</v>
      </c>
      <c r="AI2127" s="10" t="s">
        <v>67</v>
      </c>
      <c r="AJ2127" s="8">
        <f>COUNTIF($E$2127:$AI$2127,"P")</f>
        <v>23</v>
      </c>
      <c r="AK2127" s="8">
        <f>COUNTIF($E$2127:$AI$2127,"A")</f>
        <v>3</v>
      </c>
      <c r="AL2127" s="8">
        <f>SUM($E$2128:$AI$2128)</f>
        <v>41</v>
      </c>
      <c r="AM2127" s="8">
        <f>SUM($E$2129:$AI$2129)</f>
        <v>156</v>
      </c>
      <c r="AN2127" s="8">
        <f>AL2127+AM2127</f>
        <v>197</v>
      </c>
      <c r="AO2127" s="8">
        <f>COUNTIF($E$2127:$AI$2127,"CL")</f>
        <v>0</v>
      </c>
      <c r="AP2127" s="8">
        <f>COUNTIF($E$2127:$AI$2127,"SL")</f>
        <v>0</v>
      </c>
      <c r="AQ2127" s="8">
        <f>COUNTIF($E$2127:$AI$2127,"EL")</f>
        <v>0</v>
      </c>
      <c r="AR2127" s="8">
        <f>COUNTIF($E$2127:$AI$2127,"H")</f>
        <v>0</v>
      </c>
      <c r="AS2127" s="8"/>
      <c r="AT2127" s="11" t="s">
        <v>257</v>
      </c>
    </row>
    <row r="2128" spans="1:46" ht="15.1" customHeight="1">
      <c r="A2128" s="8"/>
      <c r="B2128" s="9"/>
      <c r="C2128" s="8"/>
      <c r="D2128" s="9"/>
      <c r="E2128" s="8">
        <v>2</v>
      </c>
      <c r="F2128" s="8">
        <v>2</v>
      </c>
      <c r="G2128" s="8">
        <v>0</v>
      </c>
      <c r="H2128" s="8">
        <v>2</v>
      </c>
      <c r="I2128" s="8">
        <v>2</v>
      </c>
      <c r="J2128" s="8">
        <v>2</v>
      </c>
      <c r="K2128" s="8">
        <v>2</v>
      </c>
      <c r="L2128" s="8">
        <v>2</v>
      </c>
      <c r="M2128" s="8">
        <v>2</v>
      </c>
      <c r="N2128" s="8">
        <v>0</v>
      </c>
      <c r="O2128" s="8">
        <v>2</v>
      </c>
      <c r="P2128" s="8">
        <v>2</v>
      </c>
      <c r="Q2128" s="8">
        <v>2</v>
      </c>
      <c r="R2128" s="8">
        <v>2</v>
      </c>
      <c r="S2128" s="8">
        <v>2</v>
      </c>
      <c r="T2128" s="8">
        <v>2</v>
      </c>
      <c r="U2128" s="8">
        <v>0</v>
      </c>
      <c r="V2128" s="8">
        <v>2</v>
      </c>
      <c r="W2128" s="8">
        <v>2</v>
      </c>
      <c r="X2128" s="8">
        <v>0</v>
      </c>
      <c r="Y2128" s="8">
        <v>0</v>
      </c>
      <c r="Z2128" s="8">
        <v>0</v>
      </c>
      <c r="AA2128" s="8">
        <v>1</v>
      </c>
      <c r="AB2128" s="8">
        <v>0</v>
      </c>
      <c r="AC2128" s="8">
        <v>2</v>
      </c>
      <c r="AD2128" s="8">
        <v>2</v>
      </c>
      <c r="AE2128" s="8">
        <v>2</v>
      </c>
      <c r="AF2128" s="8">
        <v>0</v>
      </c>
      <c r="AG2128" s="8">
        <v>2</v>
      </c>
      <c r="AH2128" s="8">
        <v>0</v>
      </c>
      <c r="AI2128" s="8">
        <v>0</v>
      </c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11" t="s">
        <v>257</v>
      </c>
    </row>
    <row r="2129" spans="1:46" ht="15.1" customHeight="1">
      <c r="A2129" s="8"/>
      <c r="B2129" s="9"/>
      <c r="C2129" s="8"/>
      <c r="D2129" s="9"/>
      <c r="E2129" s="8">
        <v>5</v>
      </c>
      <c r="F2129" s="8">
        <v>3.5</v>
      </c>
      <c r="G2129" s="8">
        <v>14.5</v>
      </c>
      <c r="H2129" s="8">
        <v>7</v>
      </c>
      <c r="I2129" s="8">
        <v>7</v>
      </c>
      <c r="J2129" s="8">
        <v>5</v>
      </c>
      <c r="K2129" s="8">
        <v>7</v>
      </c>
      <c r="L2129" s="8">
        <v>7</v>
      </c>
      <c r="M2129" s="8">
        <v>5</v>
      </c>
      <c r="N2129" s="8">
        <v>17</v>
      </c>
      <c r="O2129" s="8">
        <v>7</v>
      </c>
      <c r="P2129" s="8">
        <v>7</v>
      </c>
      <c r="Q2129" s="8">
        <v>6.5</v>
      </c>
      <c r="R2129" s="8">
        <v>6.5</v>
      </c>
      <c r="S2129" s="8">
        <v>7</v>
      </c>
      <c r="T2129" s="8">
        <v>4</v>
      </c>
      <c r="U2129" s="8">
        <v>13</v>
      </c>
      <c r="V2129" s="8">
        <v>7</v>
      </c>
      <c r="W2129" s="8">
        <v>10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3</v>
      </c>
      <c r="AD2129" s="8">
        <v>2.5</v>
      </c>
      <c r="AE2129" s="8">
        <v>3</v>
      </c>
      <c r="AF2129" s="8">
        <v>0</v>
      </c>
      <c r="AG2129" s="8">
        <v>1.5</v>
      </c>
      <c r="AH2129" s="8">
        <v>0</v>
      </c>
      <c r="AI2129" s="8">
        <v>0</v>
      </c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11" t="s">
        <v>257</v>
      </c>
    </row>
    <row r="2130" spans="1:46" ht="15.1" customHeight="1">
      <c r="A2130" s="8">
        <v>709</v>
      </c>
      <c r="B2130" s="9" t="s">
        <v>1655</v>
      </c>
      <c r="C2130" s="8" t="s">
        <v>1656</v>
      </c>
      <c r="D2130" s="9" t="s">
        <v>763</v>
      </c>
      <c r="E2130" s="12" t="s">
        <v>55</v>
      </c>
      <c r="F2130" s="8" t="s">
        <v>54</v>
      </c>
      <c r="G2130" s="10" t="s">
        <v>67</v>
      </c>
      <c r="H2130" s="8" t="s">
        <v>54</v>
      </c>
      <c r="I2130" s="8" t="s">
        <v>54</v>
      </c>
      <c r="J2130" s="8" t="s">
        <v>54</v>
      </c>
      <c r="K2130" s="8" t="s">
        <v>54</v>
      </c>
      <c r="L2130" s="8" t="s">
        <v>54</v>
      </c>
      <c r="M2130" s="8" t="s">
        <v>54</v>
      </c>
      <c r="N2130" s="10" t="s">
        <v>67</v>
      </c>
      <c r="O2130" s="8" t="s">
        <v>54</v>
      </c>
      <c r="P2130" s="8" t="s">
        <v>54</v>
      </c>
      <c r="Q2130" s="8" t="s">
        <v>54</v>
      </c>
      <c r="R2130" s="8" t="s">
        <v>54</v>
      </c>
      <c r="S2130" s="8" t="s">
        <v>54</v>
      </c>
      <c r="T2130" s="8" t="s">
        <v>54</v>
      </c>
      <c r="U2130" s="10" t="s">
        <v>67</v>
      </c>
      <c r="V2130" s="8" t="s">
        <v>54</v>
      </c>
      <c r="W2130" s="8" t="s">
        <v>54</v>
      </c>
      <c r="X2130" s="8" t="s">
        <v>54</v>
      </c>
      <c r="Y2130" s="8" t="s">
        <v>54</v>
      </c>
      <c r="Z2130" s="8" t="s">
        <v>54</v>
      </c>
      <c r="AA2130" s="12" t="s">
        <v>55</v>
      </c>
      <c r="AB2130" s="10" t="s">
        <v>67</v>
      </c>
      <c r="AC2130" s="8" t="s">
        <v>54</v>
      </c>
      <c r="AD2130" s="8" t="s">
        <v>54</v>
      </c>
      <c r="AE2130" s="8" t="s">
        <v>54</v>
      </c>
      <c r="AF2130" s="8" t="s">
        <v>54</v>
      </c>
      <c r="AG2130" s="8" t="s">
        <v>54</v>
      </c>
      <c r="AH2130" s="12" t="s">
        <v>55</v>
      </c>
      <c r="AI2130" s="10" t="s">
        <v>67</v>
      </c>
      <c r="AJ2130" s="8">
        <f>COUNTIF($E$2130:$AI$2130,"P")</f>
        <v>23</v>
      </c>
      <c r="AK2130" s="8">
        <f>COUNTIF($E$2130:$AI$2130,"A")</f>
        <v>3</v>
      </c>
      <c r="AL2130" s="8">
        <f>SUM($E$2131:$AI$2131)</f>
        <v>38</v>
      </c>
      <c r="AM2130" s="8">
        <f>SUM($E$2132:$AI$2132)</f>
        <v>149</v>
      </c>
      <c r="AN2130" s="8">
        <f>AL2130+AM2130</f>
        <v>186.5</v>
      </c>
      <c r="AO2130" s="8">
        <f>COUNTIF($E$2130:$AI$2130,"CL")</f>
        <v>0</v>
      </c>
      <c r="AP2130" s="8">
        <f>COUNTIF($E$2130:$AI$2130,"SL")</f>
        <v>0</v>
      </c>
      <c r="AQ2130" s="8">
        <f>COUNTIF($E$2130:$AI$2130,"EL")</f>
        <v>0</v>
      </c>
      <c r="AR2130" s="8">
        <f>COUNTIF($E$2130:$AI$2130,"H")</f>
        <v>0</v>
      </c>
      <c r="AS2130" s="8"/>
      <c r="AT2130" s="11" t="s">
        <v>257</v>
      </c>
    </row>
    <row r="2131" spans="1:46" ht="15.1" customHeight="1">
      <c r="A2131" s="8"/>
      <c r="B2131" s="9"/>
      <c r="C2131" s="8"/>
      <c r="D2131" s="9"/>
      <c r="E2131" s="8">
        <v>0</v>
      </c>
      <c r="F2131" s="8">
        <v>2</v>
      </c>
      <c r="G2131" s="8">
        <v>0</v>
      </c>
      <c r="H2131" s="8">
        <v>2</v>
      </c>
      <c r="I2131" s="8">
        <v>2</v>
      </c>
      <c r="J2131" s="8">
        <v>2</v>
      </c>
      <c r="K2131" s="8">
        <v>2</v>
      </c>
      <c r="L2131" s="8">
        <v>2</v>
      </c>
      <c r="M2131" s="8">
        <v>2</v>
      </c>
      <c r="N2131" s="8">
        <v>0</v>
      </c>
      <c r="O2131" s="8">
        <v>2</v>
      </c>
      <c r="P2131" s="8">
        <v>2</v>
      </c>
      <c r="Q2131" s="8">
        <v>2</v>
      </c>
      <c r="R2131" s="8">
        <v>2</v>
      </c>
      <c r="S2131" s="8">
        <v>2</v>
      </c>
      <c r="T2131" s="8">
        <v>2</v>
      </c>
      <c r="U2131" s="8">
        <v>0</v>
      </c>
      <c r="V2131" s="8">
        <v>2</v>
      </c>
      <c r="W2131" s="8">
        <v>2</v>
      </c>
      <c r="X2131" s="8">
        <v>2</v>
      </c>
      <c r="Y2131" s="8">
        <v>2</v>
      </c>
      <c r="Z2131" s="8">
        <v>0</v>
      </c>
      <c r="AA2131" s="8">
        <v>0</v>
      </c>
      <c r="AB2131" s="8">
        <v>0</v>
      </c>
      <c r="AC2131" s="8">
        <v>2</v>
      </c>
      <c r="AD2131" s="8">
        <v>2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11" t="s">
        <v>257</v>
      </c>
    </row>
    <row r="2132" spans="1:46" ht="15.1" customHeight="1">
      <c r="A2132" s="8"/>
      <c r="B2132" s="9"/>
      <c r="C2132" s="8"/>
      <c r="D2132" s="9"/>
      <c r="E2132" s="8">
        <v>0</v>
      </c>
      <c r="F2132" s="8">
        <v>3</v>
      </c>
      <c r="G2132" s="8">
        <v>15</v>
      </c>
      <c r="H2132" s="8">
        <v>7</v>
      </c>
      <c r="I2132" s="8">
        <v>7</v>
      </c>
      <c r="J2132" s="8">
        <v>6</v>
      </c>
      <c r="K2132" s="8">
        <v>7</v>
      </c>
      <c r="L2132" s="8">
        <v>6</v>
      </c>
      <c r="M2132" s="8">
        <v>5</v>
      </c>
      <c r="N2132" s="8">
        <v>16</v>
      </c>
      <c r="O2132" s="8">
        <v>7</v>
      </c>
      <c r="P2132" s="8">
        <v>7</v>
      </c>
      <c r="Q2132" s="8">
        <v>7</v>
      </c>
      <c r="R2132" s="8">
        <v>6</v>
      </c>
      <c r="S2132" s="8">
        <v>7</v>
      </c>
      <c r="T2132" s="8">
        <v>5</v>
      </c>
      <c r="U2132" s="8">
        <v>12</v>
      </c>
      <c r="V2132" s="8">
        <v>7</v>
      </c>
      <c r="W2132" s="8">
        <v>7</v>
      </c>
      <c r="X2132" s="8">
        <v>6</v>
      </c>
      <c r="Y2132" s="8">
        <v>0</v>
      </c>
      <c r="Z2132" s="8">
        <v>0</v>
      </c>
      <c r="AA2132" s="8">
        <v>0</v>
      </c>
      <c r="AB2132" s="8">
        <v>0</v>
      </c>
      <c r="AC2132" s="8">
        <v>3</v>
      </c>
      <c r="AD2132" s="8">
        <v>3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11" t="s">
        <v>257</v>
      </c>
    </row>
    <row r="2133" spans="1:46" ht="15.1" customHeight="1">
      <c r="A2133" s="8">
        <v>710</v>
      </c>
      <c r="B2133" s="9" t="s">
        <v>1657</v>
      </c>
      <c r="C2133" s="8" t="s">
        <v>1658</v>
      </c>
      <c r="D2133" s="9" t="s">
        <v>451</v>
      </c>
      <c r="E2133" s="8" t="s">
        <v>54</v>
      </c>
      <c r="F2133" s="8" t="s">
        <v>54</v>
      </c>
      <c r="G2133" s="10" t="s">
        <v>67</v>
      </c>
      <c r="H2133" s="8" t="s">
        <v>54</v>
      </c>
      <c r="I2133" s="8" t="s">
        <v>54</v>
      </c>
      <c r="J2133" s="8" t="s">
        <v>54</v>
      </c>
      <c r="K2133" s="8" t="s">
        <v>54</v>
      </c>
      <c r="L2133" s="8" t="s">
        <v>54</v>
      </c>
      <c r="M2133" s="8" t="s">
        <v>54</v>
      </c>
      <c r="N2133" s="10" t="s">
        <v>67</v>
      </c>
      <c r="O2133" s="8" t="s">
        <v>54</v>
      </c>
      <c r="P2133" s="8" t="s">
        <v>54</v>
      </c>
      <c r="Q2133" s="8" t="s">
        <v>54</v>
      </c>
      <c r="R2133" s="8" t="s">
        <v>54</v>
      </c>
      <c r="S2133" s="8" t="s">
        <v>54</v>
      </c>
      <c r="T2133" s="8" t="s">
        <v>54</v>
      </c>
      <c r="U2133" s="10" t="s">
        <v>67</v>
      </c>
      <c r="V2133" s="8" t="s">
        <v>54</v>
      </c>
      <c r="W2133" s="8" t="s">
        <v>54</v>
      </c>
      <c r="X2133" s="8" t="s">
        <v>54</v>
      </c>
      <c r="Y2133" s="8" t="s">
        <v>54</v>
      </c>
      <c r="Z2133" s="8" t="s">
        <v>54</v>
      </c>
      <c r="AA2133" s="8" t="s">
        <v>54</v>
      </c>
      <c r="AB2133" s="10" t="s">
        <v>67</v>
      </c>
      <c r="AC2133" s="8" t="s">
        <v>54</v>
      </c>
      <c r="AD2133" s="8" t="s">
        <v>54</v>
      </c>
      <c r="AE2133" s="8" t="s">
        <v>54</v>
      </c>
      <c r="AF2133" s="8" t="s">
        <v>54</v>
      </c>
      <c r="AG2133" s="8" t="s">
        <v>54</v>
      </c>
      <c r="AH2133" s="12" t="s">
        <v>55</v>
      </c>
      <c r="AI2133" s="10" t="s">
        <v>67</v>
      </c>
      <c r="AJ2133" s="8">
        <f>COUNTIF($E$2133:$AI$2133,"P")</f>
        <v>25</v>
      </c>
      <c r="AK2133" s="8">
        <f>COUNTIF($E$2133:$AI$2133,"A")</f>
        <v>1</v>
      </c>
      <c r="AL2133" s="8">
        <f>SUM($E$2134:$AI$2134)</f>
        <v>37</v>
      </c>
      <c r="AM2133" s="8">
        <f>SUM($E$2135:$AI$2135)</f>
        <v>153.5</v>
      </c>
      <c r="AN2133" s="8">
        <f>AL2133+AM2133</f>
        <v>190.5</v>
      </c>
      <c r="AO2133" s="8">
        <f>COUNTIF($E$2133:$AI$2133,"CL")</f>
        <v>0</v>
      </c>
      <c r="AP2133" s="8">
        <f>COUNTIF($E$2133:$AI$2133,"SL")</f>
        <v>0</v>
      </c>
      <c r="AQ2133" s="8">
        <f>COUNTIF($E$2133:$AI$2133,"EL")</f>
        <v>0</v>
      </c>
      <c r="AR2133" s="8">
        <f>COUNTIF($E$2133:$AI$2133,"H")</f>
        <v>0</v>
      </c>
      <c r="AS2133" s="8"/>
      <c r="AT2133" s="11" t="s">
        <v>257</v>
      </c>
    </row>
    <row r="2134" spans="1:46" ht="15.1" customHeight="1">
      <c r="A2134" s="8"/>
      <c r="B2134" s="9"/>
      <c r="C2134" s="8"/>
      <c r="D2134" s="9"/>
      <c r="E2134" s="8">
        <v>2</v>
      </c>
      <c r="F2134" s="8">
        <v>2</v>
      </c>
      <c r="G2134" s="8">
        <v>0</v>
      </c>
      <c r="H2134" s="8">
        <v>2</v>
      </c>
      <c r="I2134" s="8">
        <v>2</v>
      </c>
      <c r="J2134" s="8">
        <v>2</v>
      </c>
      <c r="K2134" s="8">
        <v>2</v>
      </c>
      <c r="L2134" s="8">
        <v>2</v>
      </c>
      <c r="M2134" s="8">
        <v>2</v>
      </c>
      <c r="N2134" s="8">
        <v>0</v>
      </c>
      <c r="O2134" s="8">
        <v>2</v>
      </c>
      <c r="P2134" s="8">
        <v>2</v>
      </c>
      <c r="Q2134" s="8">
        <v>2</v>
      </c>
      <c r="R2134" s="8">
        <v>2</v>
      </c>
      <c r="S2134" s="8">
        <v>2</v>
      </c>
      <c r="T2134" s="8">
        <v>2</v>
      </c>
      <c r="U2134" s="8">
        <v>0</v>
      </c>
      <c r="V2134" s="8">
        <v>2</v>
      </c>
      <c r="W2134" s="8">
        <v>2</v>
      </c>
      <c r="X2134" s="8">
        <v>2</v>
      </c>
      <c r="Y2134" s="8">
        <v>0</v>
      </c>
      <c r="Z2134" s="8">
        <v>0</v>
      </c>
      <c r="AA2134" s="8">
        <v>1</v>
      </c>
      <c r="AB2134" s="8">
        <v>0</v>
      </c>
      <c r="AC2134" s="8">
        <v>0</v>
      </c>
      <c r="AD2134" s="8">
        <v>2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11" t="s">
        <v>257</v>
      </c>
    </row>
    <row r="2135" spans="1:46" ht="15.1" customHeight="1">
      <c r="A2135" s="8"/>
      <c r="B2135" s="9"/>
      <c r="C2135" s="8"/>
      <c r="D2135" s="9"/>
      <c r="E2135" s="8">
        <v>3</v>
      </c>
      <c r="F2135" s="8">
        <v>3</v>
      </c>
      <c r="G2135" s="8">
        <v>14.5</v>
      </c>
      <c r="H2135" s="8">
        <v>7</v>
      </c>
      <c r="I2135" s="8">
        <v>7</v>
      </c>
      <c r="J2135" s="8">
        <v>6</v>
      </c>
      <c r="K2135" s="8">
        <v>7</v>
      </c>
      <c r="L2135" s="8">
        <v>7</v>
      </c>
      <c r="M2135" s="8">
        <v>5</v>
      </c>
      <c r="N2135" s="8">
        <v>17</v>
      </c>
      <c r="O2135" s="8">
        <v>7</v>
      </c>
      <c r="P2135" s="8">
        <v>7</v>
      </c>
      <c r="Q2135" s="8">
        <v>7</v>
      </c>
      <c r="R2135" s="8">
        <v>7</v>
      </c>
      <c r="S2135" s="8">
        <v>7</v>
      </c>
      <c r="T2135" s="8">
        <v>5</v>
      </c>
      <c r="U2135" s="8">
        <v>13</v>
      </c>
      <c r="V2135" s="8">
        <v>7</v>
      </c>
      <c r="W2135" s="8">
        <v>7</v>
      </c>
      <c r="X2135" s="8">
        <v>7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3</v>
      </c>
      <c r="AE2135" s="8">
        <v>0</v>
      </c>
      <c r="AF2135" s="8">
        <v>0</v>
      </c>
      <c r="AG2135" s="8">
        <v>0</v>
      </c>
      <c r="AH2135" s="8">
        <v>0</v>
      </c>
      <c r="AI2135" s="8">
        <v>0</v>
      </c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11" t="s">
        <v>257</v>
      </c>
    </row>
    <row r="2136" spans="1:46" ht="15.1" customHeight="1">
      <c r="A2136" s="8">
        <v>711</v>
      </c>
      <c r="B2136" s="9" t="s">
        <v>1659</v>
      </c>
      <c r="C2136" s="8" t="s">
        <v>1660</v>
      </c>
      <c r="D2136" s="9" t="s">
        <v>763</v>
      </c>
      <c r="E2136" s="8" t="s">
        <v>54</v>
      </c>
      <c r="F2136" s="8" t="s">
        <v>54</v>
      </c>
      <c r="G2136" s="10" t="s">
        <v>67</v>
      </c>
      <c r="H2136" s="8" t="s">
        <v>54</v>
      </c>
      <c r="I2136" s="8" t="s">
        <v>54</v>
      </c>
      <c r="J2136" s="8" t="s">
        <v>54</v>
      </c>
      <c r="K2136" s="8" t="s">
        <v>54</v>
      </c>
      <c r="L2136" s="8" t="s">
        <v>54</v>
      </c>
      <c r="M2136" s="8" t="s">
        <v>54</v>
      </c>
      <c r="N2136" s="10" t="s">
        <v>67</v>
      </c>
      <c r="O2136" s="8" t="s">
        <v>54</v>
      </c>
      <c r="P2136" s="8" t="s">
        <v>54</v>
      </c>
      <c r="Q2136" s="8" t="s">
        <v>54</v>
      </c>
      <c r="R2136" s="8" t="s">
        <v>54</v>
      </c>
      <c r="S2136" s="8" t="s">
        <v>54</v>
      </c>
      <c r="T2136" s="8" t="s">
        <v>54</v>
      </c>
      <c r="U2136" s="10" t="s">
        <v>67</v>
      </c>
      <c r="V2136" s="8" t="s">
        <v>54</v>
      </c>
      <c r="W2136" s="8" t="s">
        <v>54</v>
      </c>
      <c r="X2136" s="8" t="s">
        <v>54</v>
      </c>
      <c r="Y2136" s="8" t="s">
        <v>54</v>
      </c>
      <c r="Z2136" s="8" t="s">
        <v>54</v>
      </c>
      <c r="AA2136" s="8" t="s">
        <v>54</v>
      </c>
      <c r="AB2136" s="10" t="s">
        <v>67</v>
      </c>
      <c r="AC2136" s="8" t="s">
        <v>54</v>
      </c>
      <c r="AD2136" s="8" t="s">
        <v>54</v>
      </c>
      <c r="AE2136" s="8" t="s">
        <v>54</v>
      </c>
      <c r="AF2136" s="8" t="s">
        <v>54</v>
      </c>
      <c r="AG2136" s="8" t="s">
        <v>54</v>
      </c>
      <c r="AH2136" s="12" t="s">
        <v>55</v>
      </c>
      <c r="AI2136" s="10" t="s">
        <v>67</v>
      </c>
      <c r="AJ2136" s="8">
        <f>COUNTIF($E$2136:$AI$2136,"P")</f>
        <v>25</v>
      </c>
      <c r="AK2136" s="8">
        <f>COUNTIF($E$2136:$AI$2136,"A")</f>
        <v>1</v>
      </c>
      <c r="AL2136" s="8">
        <f>SUM($E$2137:$AI$2137)</f>
        <v>38</v>
      </c>
      <c r="AM2136" s="8">
        <f>SUM($E$2138:$AI$2138)</f>
        <v>150</v>
      </c>
      <c r="AN2136" s="8">
        <f>AL2136+AM2136</f>
        <v>187.5</v>
      </c>
      <c r="AO2136" s="8">
        <f>COUNTIF($E$2136:$AI$2136,"CL")</f>
        <v>0</v>
      </c>
      <c r="AP2136" s="8">
        <f>COUNTIF($E$2136:$AI$2136,"SL")</f>
        <v>0</v>
      </c>
      <c r="AQ2136" s="8">
        <f>COUNTIF($E$2136:$AI$2136,"EL")</f>
        <v>0</v>
      </c>
      <c r="AR2136" s="8">
        <f>COUNTIF($E$2136:$AI$2136,"H")</f>
        <v>0</v>
      </c>
      <c r="AS2136" s="8"/>
      <c r="AT2136" s="11" t="s">
        <v>257</v>
      </c>
    </row>
    <row r="2137" spans="1:46" ht="15.1" customHeight="1">
      <c r="A2137" s="8"/>
      <c r="B2137" s="9"/>
      <c r="C2137" s="8"/>
      <c r="D2137" s="9"/>
      <c r="E2137" s="8">
        <v>2</v>
      </c>
      <c r="F2137" s="8">
        <v>2</v>
      </c>
      <c r="G2137" s="8">
        <v>0</v>
      </c>
      <c r="H2137" s="8">
        <v>2</v>
      </c>
      <c r="I2137" s="8">
        <v>2</v>
      </c>
      <c r="J2137" s="8">
        <v>2</v>
      </c>
      <c r="K2137" s="8">
        <v>2</v>
      </c>
      <c r="L2137" s="8">
        <v>2</v>
      </c>
      <c r="M2137" s="8">
        <v>2</v>
      </c>
      <c r="N2137" s="8">
        <v>0</v>
      </c>
      <c r="O2137" s="8">
        <v>2</v>
      </c>
      <c r="P2137" s="8">
        <v>2</v>
      </c>
      <c r="Q2137" s="8">
        <v>2</v>
      </c>
      <c r="R2137" s="8">
        <v>2</v>
      </c>
      <c r="S2137" s="8">
        <v>2</v>
      </c>
      <c r="T2137" s="8">
        <v>2</v>
      </c>
      <c r="U2137" s="8">
        <v>0</v>
      </c>
      <c r="V2137" s="8">
        <v>2</v>
      </c>
      <c r="W2137" s="8">
        <v>2</v>
      </c>
      <c r="X2137" s="8">
        <v>2</v>
      </c>
      <c r="Y2137" s="8">
        <v>2</v>
      </c>
      <c r="Z2137" s="8">
        <v>0</v>
      </c>
      <c r="AA2137" s="8">
        <v>0</v>
      </c>
      <c r="AB2137" s="8">
        <v>0</v>
      </c>
      <c r="AC2137" s="8">
        <v>2</v>
      </c>
      <c r="AD2137" s="8">
        <v>0</v>
      </c>
      <c r="AE2137" s="8">
        <v>0</v>
      </c>
      <c r="AF2137" s="8">
        <v>0</v>
      </c>
      <c r="AG2137" s="8">
        <v>0</v>
      </c>
      <c r="AH2137" s="8">
        <v>0</v>
      </c>
      <c r="AI2137" s="8">
        <v>0</v>
      </c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11" t="s">
        <v>257</v>
      </c>
    </row>
    <row r="2138" spans="1:46" ht="15.1" customHeight="1">
      <c r="A2138" s="8"/>
      <c r="B2138" s="9"/>
      <c r="C2138" s="8"/>
      <c r="D2138" s="9"/>
      <c r="E2138" s="8">
        <v>3</v>
      </c>
      <c r="F2138" s="8">
        <v>3</v>
      </c>
      <c r="G2138" s="8">
        <v>14.5</v>
      </c>
      <c r="H2138" s="8">
        <v>7</v>
      </c>
      <c r="I2138" s="8">
        <v>7</v>
      </c>
      <c r="J2138" s="8">
        <v>5</v>
      </c>
      <c r="K2138" s="8">
        <v>7</v>
      </c>
      <c r="L2138" s="8">
        <v>7</v>
      </c>
      <c r="M2138" s="8">
        <v>5</v>
      </c>
      <c r="N2138" s="8">
        <v>17</v>
      </c>
      <c r="O2138" s="8">
        <v>7</v>
      </c>
      <c r="P2138" s="8">
        <v>7</v>
      </c>
      <c r="Q2138" s="8">
        <v>7</v>
      </c>
      <c r="R2138" s="8">
        <v>7</v>
      </c>
      <c r="S2138" s="8">
        <v>7</v>
      </c>
      <c r="T2138" s="8">
        <v>5</v>
      </c>
      <c r="U2138" s="8">
        <v>12.5</v>
      </c>
      <c r="V2138" s="8">
        <v>7</v>
      </c>
      <c r="W2138" s="8">
        <v>7</v>
      </c>
      <c r="X2138" s="8">
        <v>7</v>
      </c>
      <c r="Y2138" s="8">
        <v>0</v>
      </c>
      <c r="Z2138" s="8">
        <v>0</v>
      </c>
      <c r="AA2138" s="8">
        <v>0</v>
      </c>
      <c r="AB2138" s="8">
        <v>0</v>
      </c>
      <c r="AC2138" s="8">
        <v>1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11" t="s">
        <v>257</v>
      </c>
    </row>
    <row r="2139" spans="1:46" ht="15.1" customHeight="1">
      <c r="A2139" s="8">
        <v>712</v>
      </c>
      <c r="B2139" s="9" t="s">
        <v>1661</v>
      </c>
      <c r="C2139" s="8" t="s">
        <v>1662</v>
      </c>
      <c r="D2139" s="9" t="s">
        <v>1663</v>
      </c>
      <c r="E2139" s="8" t="s">
        <v>54</v>
      </c>
      <c r="F2139" s="8" t="s">
        <v>54</v>
      </c>
      <c r="G2139" s="10" t="s">
        <v>67</v>
      </c>
      <c r="H2139" s="8" t="s">
        <v>54</v>
      </c>
      <c r="I2139" s="8" t="s">
        <v>54</v>
      </c>
      <c r="J2139" s="8" t="s">
        <v>54</v>
      </c>
      <c r="K2139" s="8" t="s">
        <v>54</v>
      </c>
      <c r="L2139" s="8" t="s">
        <v>54</v>
      </c>
      <c r="M2139" s="8" t="s">
        <v>54</v>
      </c>
      <c r="N2139" s="10" t="s">
        <v>67</v>
      </c>
      <c r="O2139" s="8" t="s">
        <v>54</v>
      </c>
      <c r="P2139" s="12" t="s">
        <v>55</v>
      </c>
      <c r="Q2139" s="8" t="s">
        <v>54</v>
      </c>
      <c r="R2139" s="8" t="s">
        <v>54</v>
      </c>
      <c r="S2139" s="8" t="s">
        <v>54</v>
      </c>
      <c r="T2139" s="8" t="s">
        <v>54</v>
      </c>
      <c r="U2139" s="10" t="s">
        <v>67</v>
      </c>
      <c r="V2139" s="8" t="s">
        <v>54</v>
      </c>
      <c r="W2139" s="8" t="s">
        <v>54</v>
      </c>
      <c r="X2139" s="8" t="s">
        <v>54</v>
      </c>
      <c r="Y2139" s="8" t="s">
        <v>54</v>
      </c>
      <c r="Z2139" s="8" t="s">
        <v>54</v>
      </c>
      <c r="AA2139" s="8" t="s">
        <v>54</v>
      </c>
      <c r="AB2139" s="10" t="s">
        <v>67</v>
      </c>
      <c r="AC2139" s="8" t="s">
        <v>54</v>
      </c>
      <c r="AD2139" s="8" t="s">
        <v>54</v>
      </c>
      <c r="AE2139" s="8" t="s">
        <v>54</v>
      </c>
      <c r="AF2139" s="8" t="s">
        <v>54</v>
      </c>
      <c r="AG2139" s="8" t="s">
        <v>54</v>
      </c>
      <c r="AH2139" s="12" t="s">
        <v>55</v>
      </c>
      <c r="AI2139" s="10" t="s">
        <v>67</v>
      </c>
      <c r="AJ2139" s="8">
        <f>COUNTIF($E$2139:$AI$2139,"P")</f>
        <v>24</v>
      </c>
      <c r="AK2139" s="8">
        <f>COUNTIF($E$2139:$AI$2139,"A")</f>
        <v>2</v>
      </c>
      <c r="AL2139" s="8">
        <f>SUM($E$2140:$AI$2140)</f>
        <v>37</v>
      </c>
      <c r="AM2139" s="8">
        <f>SUM($E$2141:$AI$2141)</f>
        <v>163</v>
      </c>
      <c r="AN2139" s="8">
        <f>AL2139+AM2139</f>
        <v>200</v>
      </c>
      <c r="AO2139" s="8">
        <f>COUNTIF($E$2139:$AI$2139,"CL")</f>
        <v>0</v>
      </c>
      <c r="AP2139" s="8">
        <f>COUNTIF($E$2139:$AI$2139,"SL")</f>
        <v>0</v>
      </c>
      <c r="AQ2139" s="8">
        <f>COUNTIF($E$2139:$AI$2139,"EL")</f>
        <v>0</v>
      </c>
      <c r="AR2139" s="8">
        <f>COUNTIF($E$2139:$AI$2139,"H")</f>
        <v>0</v>
      </c>
      <c r="AS2139" s="8"/>
      <c r="AT2139" s="11" t="s">
        <v>257</v>
      </c>
    </row>
    <row r="2140" spans="1:46" ht="15.1" customHeight="1">
      <c r="A2140" s="8"/>
      <c r="B2140" s="9"/>
      <c r="C2140" s="8"/>
      <c r="D2140" s="9"/>
      <c r="E2140" s="8">
        <v>2</v>
      </c>
      <c r="F2140" s="8">
        <v>2</v>
      </c>
      <c r="G2140" s="8">
        <v>0</v>
      </c>
      <c r="H2140" s="8">
        <v>2</v>
      </c>
      <c r="I2140" s="8">
        <v>2</v>
      </c>
      <c r="J2140" s="8">
        <v>2</v>
      </c>
      <c r="K2140" s="8">
        <v>2</v>
      </c>
      <c r="L2140" s="8">
        <v>2</v>
      </c>
      <c r="M2140" s="8">
        <v>2</v>
      </c>
      <c r="N2140" s="8">
        <v>0</v>
      </c>
      <c r="O2140" s="8">
        <v>2</v>
      </c>
      <c r="P2140" s="8">
        <v>0</v>
      </c>
      <c r="Q2140" s="8">
        <v>2</v>
      </c>
      <c r="R2140" s="8">
        <v>2</v>
      </c>
      <c r="S2140" s="8">
        <v>2</v>
      </c>
      <c r="T2140" s="8">
        <v>2</v>
      </c>
      <c r="U2140" s="8">
        <v>0</v>
      </c>
      <c r="V2140" s="8">
        <v>2</v>
      </c>
      <c r="W2140" s="8">
        <v>2</v>
      </c>
      <c r="X2140" s="8">
        <v>2</v>
      </c>
      <c r="Y2140" s="8">
        <v>0</v>
      </c>
      <c r="Z2140" s="8">
        <v>0</v>
      </c>
      <c r="AA2140" s="8">
        <v>1</v>
      </c>
      <c r="AB2140" s="8">
        <v>0</v>
      </c>
      <c r="AC2140" s="8">
        <v>2</v>
      </c>
      <c r="AD2140" s="8">
        <v>2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11" t="s">
        <v>257</v>
      </c>
    </row>
    <row r="2141" spans="1:46" ht="15.1" customHeight="1">
      <c r="A2141" s="8"/>
      <c r="B2141" s="9"/>
      <c r="C2141" s="8"/>
      <c r="D2141" s="9"/>
      <c r="E2141" s="8">
        <v>4</v>
      </c>
      <c r="F2141" s="8">
        <v>3</v>
      </c>
      <c r="G2141" s="8">
        <v>15</v>
      </c>
      <c r="H2141" s="8">
        <v>7</v>
      </c>
      <c r="I2141" s="8">
        <v>7</v>
      </c>
      <c r="J2141" s="8">
        <v>6</v>
      </c>
      <c r="K2141" s="8">
        <v>7</v>
      </c>
      <c r="L2141" s="8">
        <v>7</v>
      </c>
      <c r="M2141" s="8">
        <v>9</v>
      </c>
      <c r="N2141" s="8">
        <v>17</v>
      </c>
      <c r="O2141" s="8">
        <v>5</v>
      </c>
      <c r="P2141" s="8">
        <v>0</v>
      </c>
      <c r="Q2141" s="8">
        <v>7</v>
      </c>
      <c r="R2141" s="8">
        <v>7</v>
      </c>
      <c r="S2141" s="8">
        <v>11</v>
      </c>
      <c r="T2141" s="8">
        <v>8</v>
      </c>
      <c r="U2141" s="8">
        <v>11</v>
      </c>
      <c r="V2141" s="8">
        <v>11</v>
      </c>
      <c r="W2141" s="8">
        <v>7</v>
      </c>
      <c r="X2141" s="8">
        <v>10</v>
      </c>
      <c r="Y2141" s="8">
        <v>0</v>
      </c>
      <c r="Z2141" s="8">
        <v>0</v>
      </c>
      <c r="AA2141" s="8">
        <v>0</v>
      </c>
      <c r="AB2141" s="8">
        <v>0</v>
      </c>
      <c r="AC2141" s="8">
        <v>1</v>
      </c>
      <c r="AD2141" s="8">
        <v>3</v>
      </c>
      <c r="AE2141" s="8">
        <v>0</v>
      </c>
      <c r="AF2141" s="8">
        <v>0</v>
      </c>
      <c r="AG2141" s="8">
        <v>0</v>
      </c>
      <c r="AH2141" s="8">
        <v>0</v>
      </c>
      <c r="AI2141" s="8">
        <v>0</v>
      </c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11" t="s">
        <v>257</v>
      </c>
    </row>
    <row r="2142" spans="1:46" ht="15.1" customHeight="1">
      <c r="A2142" s="8">
        <v>713</v>
      </c>
      <c r="B2142" s="9" t="s">
        <v>1664</v>
      </c>
      <c r="C2142" s="8" t="s">
        <v>1665</v>
      </c>
      <c r="D2142" s="9" t="s">
        <v>1663</v>
      </c>
      <c r="E2142" s="8" t="s">
        <v>54</v>
      </c>
      <c r="F2142" s="8" t="s">
        <v>54</v>
      </c>
      <c r="G2142" s="10" t="s">
        <v>67</v>
      </c>
      <c r="H2142" s="8" t="s">
        <v>54</v>
      </c>
      <c r="I2142" s="8" t="s">
        <v>54</v>
      </c>
      <c r="J2142" s="8" t="s">
        <v>54</v>
      </c>
      <c r="K2142" s="8" t="s">
        <v>54</v>
      </c>
      <c r="L2142" s="8" t="s">
        <v>54</v>
      </c>
      <c r="M2142" s="8" t="s">
        <v>54</v>
      </c>
      <c r="N2142" s="10" t="s">
        <v>67</v>
      </c>
      <c r="O2142" s="8" t="s">
        <v>54</v>
      </c>
      <c r="P2142" s="8" t="s">
        <v>54</v>
      </c>
      <c r="Q2142" s="8" t="s">
        <v>54</v>
      </c>
      <c r="R2142" s="8" t="s">
        <v>54</v>
      </c>
      <c r="S2142" s="8" t="s">
        <v>54</v>
      </c>
      <c r="T2142" s="8" t="s">
        <v>54</v>
      </c>
      <c r="U2142" s="10" t="s">
        <v>67</v>
      </c>
      <c r="V2142" s="8" t="s">
        <v>54</v>
      </c>
      <c r="W2142" s="8" t="s">
        <v>54</v>
      </c>
      <c r="X2142" s="12" t="s">
        <v>55</v>
      </c>
      <c r="Y2142" s="12" t="s">
        <v>55</v>
      </c>
      <c r="Z2142" s="12" t="s">
        <v>55</v>
      </c>
      <c r="AA2142" s="12" t="s">
        <v>55</v>
      </c>
      <c r="AB2142" s="10" t="s">
        <v>67</v>
      </c>
      <c r="AC2142" s="8" t="s">
        <v>54</v>
      </c>
      <c r="AD2142" s="8" t="s">
        <v>54</v>
      </c>
      <c r="AE2142" s="12" t="s">
        <v>55</v>
      </c>
      <c r="AF2142" s="12" t="s">
        <v>55</v>
      </c>
      <c r="AG2142" s="12" t="s">
        <v>55</v>
      </c>
      <c r="AH2142" s="12" t="s">
        <v>55</v>
      </c>
      <c r="AI2142" s="10" t="s">
        <v>67</v>
      </c>
      <c r="AJ2142" s="8">
        <f>COUNTIF($E$2142:$AI$2142,"P")</f>
        <v>18</v>
      </c>
      <c r="AK2142" s="8">
        <f>COUNTIF($E$2142:$AI$2142,"A")</f>
        <v>8</v>
      </c>
      <c r="AL2142" s="8">
        <f>SUM($E$2143:$AI$2143)</f>
        <v>32</v>
      </c>
      <c r="AM2142" s="8">
        <f>SUM($E$2144:$AI$2144)</f>
        <v>114</v>
      </c>
      <c r="AN2142" s="8">
        <f>AL2142+AM2142</f>
        <v>146</v>
      </c>
      <c r="AO2142" s="8">
        <f>COUNTIF($E$2142:$AI$2142,"CL")</f>
        <v>0</v>
      </c>
      <c r="AP2142" s="8">
        <f>COUNTIF($E$2142:$AI$2142,"SL")</f>
        <v>0</v>
      </c>
      <c r="AQ2142" s="8">
        <f>COUNTIF($E$2142:$AI$2142,"EL")</f>
        <v>0</v>
      </c>
      <c r="AR2142" s="8">
        <f>COUNTIF($E$2142:$AI$2142,"H")</f>
        <v>0</v>
      </c>
      <c r="AS2142" s="8"/>
      <c r="AT2142" s="11" t="s">
        <v>257</v>
      </c>
    </row>
    <row r="2143" spans="1:46" ht="15.1" customHeight="1">
      <c r="A2143" s="8"/>
      <c r="B2143" s="9"/>
      <c r="C2143" s="8"/>
      <c r="D2143" s="9"/>
      <c r="E2143" s="8">
        <v>2</v>
      </c>
      <c r="F2143" s="8">
        <v>2</v>
      </c>
      <c r="G2143" s="8">
        <v>0</v>
      </c>
      <c r="H2143" s="8">
        <v>2</v>
      </c>
      <c r="I2143" s="8">
        <v>2</v>
      </c>
      <c r="J2143" s="8">
        <v>1</v>
      </c>
      <c r="K2143" s="8">
        <v>2</v>
      </c>
      <c r="L2143" s="8">
        <v>2</v>
      </c>
      <c r="M2143" s="8">
        <v>2</v>
      </c>
      <c r="N2143" s="8">
        <v>0</v>
      </c>
      <c r="O2143" s="8">
        <v>2</v>
      </c>
      <c r="P2143" s="8">
        <v>2</v>
      </c>
      <c r="Q2143" s="8">
        <v>0</v>
      </c>
      <c r="R2143" s="8">
        <v>2</v>
      </c>
      <c r="S2143" s="8">
        <v>2</v>
      </c>
      <c r="T2143" s="8">
        <v>1</v>
      </c>
      <c r="U2143" s="8">
        <v>0</v>
      </c>
      <c r="V2143" s="8">
        <v>2</v>
      </c>
      <c r="W2143" s="8">
        <v>2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2</v>
      </c>
      <c r="AD2143" s="8">
        <v>2</v>
      </c>
      <c r="AE2143" s="8">
        <v>0</v>
      </c>
      <c r="AF2143" s="8">
        <v>0</v>
      </c>
      <c r="AG2143" s="8">
        <v>0</v>
      </c>
      <c r="AH2143" s="8">
        <v>0</v>
      </c>
      <c r="AI2143" s="8">
        <v>0</v>
      </c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11" t="s">
        <v>257</v>
      </c>
    </row>
    <row r="2144" spans="1:46" ht="15.1" customHeight="1">
      <c r="A2144" s="8"/>
      <c r="B2144" s="9"/>
      <c r="C2144" s="8"/>
      <c r="D2144" s="9"/>
      <c r="E2144" s="8">
        <v>0</v>
      </c>
      <c r="F2144" s="8">
        <v>2.5</v>
      </c>
      <c r="G2144" s="8">
        <v>14</v>
      </c>
      <c r="H2144" s="8">
        <v>6</v>
      </c>
      <c r="I2144" s="8">
        <v>11</v>
      </c>
      <c r="J2144" s="8">
        <v>0</v>
      </c>
      <c r="K2144" s="8">
        <v>7</v>
      </c>
      <c r="L2144" s="8">
        <v>5</v>
      </c>
      <c r="M2144" s="8">
        <v>4</v>
      </c>
      <c r="N2144" s="8">
        <v>14</v>
      </c>
      <c r="O2144" s="8">
        <v>4</v>
      </c>
      <c r="P2144" s="8">
        <v>6</v>
      </c>
      <c r="Q2144" s="8">
        <v>0</v>
      </c>
      <c r="R2144" s="8">
        <v>4</v>
      </c>
      <c r="S2144" s="8">
        <v>5</v>
      </c>
      <c r="T2144" s="8">
        <v>0</v>
      </c>
      <c r="U2144" s="8">
        <v>12</v>
      </c>
      <c r="V2144" s="8">
        <v>6</v>
      </c>
      <c r="W2144" s="8">
        <v>10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1</v>
      </c>
      <c r="AD2144" s="8">
        <v>2.5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11" t="s">
        <v>257</v>
      </c>
    </row>
    <row r="2145" spans="1:46" ht="15.1" customHeight="1">
      <c r="A2145" s="8">
        <v>714</v>
      </c>
      <c r="B2145" s="9" t="s">
        <v>1666</v>
      </c>
      <c r="C2145" s="8" t="s">
        <v>1667</v>
      </c>
      <c r="D2145" s="9" t="s">
        <v>1663</v>
      </c>
      <c r="E2145" s="8" t="s">
        <v>54</v>
      </c>
      <c r="F2145" s="8" t="s">
        <v>54</v>
      </c>
      <c r="G2145" s="10" t="s">
        <v>67</v>
      </c>
      <c r="H2145" s="8" t="s">
        <v>54</v>
      </c>
      <c r="I2145" s="8" t="s">
        <v>54</v>
      </c>
      <c r="J2145" s="8" t="s">
        <v>54</v>
      </c>
      <c r="K2145" s="8" t="s">
        <v>54</v>
      </c>
      <c r="L2145" s="8" t="s">
        <v>54</v>
      </c>
      <c r="M2145" s="8" t="s">
        <v>54</v>
      </c>
      <c r="N2145" s="10" t="s">
        <v>67</v>
      </c>
      <c r="O2145" s="8" t="s">
        <v>54</v>
      </c>
      <c r="P2145" s="8" t="s">
        <v>54</v>
      </c>
      <c r="Q2145" s="8" t="s">
        <v>54</v>
      </c>
      <c r="R2145" s="8" t="s">
        <v>54</v>
      </c>
      <c r="S2145" s="8" t="s">
        <v>54</v>
      </c>
      <c r="T2145" s="8" t="s">
        <v>54</v>
      </c>
      <c r="U2145" s="10" t="s">
        <v>67</v>
      </c>
      <c r="V2145" s="8" t="s">
        <v>54</v>
      </c>
      <c r="W2145" s="8" t="s">
        <v>54</v>
      </c>
      <c r="X2145" s="12" t="s">
        <v>55</v>
      </c>
      <c r="Y2145" s="12" t="s">
        <v>55</v>
      </c>
      <c r="Z2145" s="8" t="s">
        <v>54</v>
      </c>
      <c r="AA2145" s="8" t="s">
        <v>54</v>
      </c>
      <c r="AB2145" s="10" t="s">
        <v>67</v>
      </c>
      <c r="AC2145" s="8" t="s">
        <v>54</v>
      </c>
      <c r="AD2145" s="8" t="s">
        <v>54</v>
      </c>
      <c r="AE2145" s="8" t="s">
        <v>54</v>
      </c>
      <c r="AF2145" s="8" t="s">
        <v>54</v>
      </c>
      <c r="AG2145" s="8" t="s">
        <v>54</v>
      </c>
      <c r="AH2145" s="12" t="s">
        <v>55</v>
      </c>
      <c r="AI2145" s="10" t="s">
        <v>67</v>
      </c>
      <c r="AJ2145" s="8">
        <f>COUNTIF($E$2145:$AI$2145,"P")</f>
        <v>23</v>
      </c>
      <c r="AK2145" s="8">
        <f>COUNTIF($E$2145:$AI$2145,"A")</f>
        <v>3</v>
      </c>
      <c r="AL2145" s="8">
        <f>SUM($E$2146:$AI$2146)</f>
        <v>39</v>
      </c>
      <c r="AM2145" s="8">
        <f>SUM($E$2147:$AI$2147)</f>
        <v>147.5</v>
      </c>
      <c r="AN2145" s="8">
        <f>AL2145+AM2145</f>
        <v>186.5</v>
      </c>
      <c r="AO2145" s="8">
        <f>COUNTIF($E$2145:$AI$2145,"CL")</f>
        <v>0</v>
      </c>
      <c r="AP2145" s="8">
        <f>COUNTIF($E$2145:$AI$2145,"SL")</f>
        <v>0</v>
      </c>
      <c r="AQ2145" s="8">
        <f>COUNTIF($E$2145:$AI$2145,"EL")</f>
        <v>0</v>
      </c>
      <c r="AR2145" s="8">
        <f>COUNTIF($E$2145:$AI$2145,"H")</f>
        <v>0</v>
      </c>
      <c r="AS2145" s="8"/>
      <c r="AT2145" s="11" t="s">
        <v>257</v>
      </c>
    </row>
    <row r="2146" spans="1:46" ht="15.1" customHeight="1">
      <c r="A2146" s="8"/>
      <c r="B2146" s="9"/>
      <c r="C2146" s="8"/>
      <c r="D2146" s="9"/>
      <c r="E2146" s="8">
        <v>2</v>
      </c>
      <c r="F2146" s="8">
        <v>2</v>
      </c>
      <c r="G2146" s="8">
        <v>0</v>
      </c>
      <c r="H2146" s="8">
        <v>2</v>
      </c>
      <c r="I2146" s="8">
        <v>2</v>
      </c>
      <c r="J2146" s="8">
        <v>2</v>
      </c>
      <c r="K2146" s="8">
        <v>2</v>
      </c>
      <c r="L2146" s="8">
        <v>2</v>
      </c>
      <c r="M2146" s="8">
        <v>2</v>
      </c>
      <c r="N2146" s="8">
        <v>0</v>
      </c>
      <c r="O2146" s="8">
        <v>2</v>
      </c>
      <c r="P2146" s="8">
        <v>2</v>
      </c>
      <c r="Q2146" s="8">
        <v>2</v>
      </c>
      <c r="R2146" s="8">
        <v>2</v>
      </c>
      <c r="S2146" s="8">
        <v>2</v>
      </c>
      <c r="T2146" s="8">
        <v>2</v>
      </c>
      <c r="U2146" s="8">
        <v>0</v>
      </c>
      <c r="V2146" s="8">
        <v>2</v>
      </c>
      <c r="W2146" s="8">
        <v>2</v>
      </c>
      <c r="X2146" s="8">
        <v>0</v>
      </c>
      <c r="Y2146" s="8">
        <v>0</v>
      </c>
      <c r="Z2146" s="8">
        <v>0</v>
      </c>
      <c r="AA2146" s="8">
        <v>1</v>
      </c>
      <c r="AB2146" s="8">
        <v>0</v>
      </c>
      <c r="AC2146" s="8">
        <v>2</v>
      </c>
      <c r="AD2146" s="8">
        <v>2</v>
      </c>
      <c r="AE2146" s="8">
        <v>2</v>
      </c>
      <c r="AF2146" s="8">
        <v>0</v>
      </c>
      <c r="AG2146" s="8">
        <v>0</v>
      </c>
      <c r="AH2146" s="8">
        <v>0</v>
      </c>
      <c r="AI2146" s="8">
        <v>0</v>
      </c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11" t="s">
        <v>257</v>
      </c>
    </row>
    <row r="2147" spans="1:46" ht="15.1" customHeight="1">
      <c r="A2147" s="8"/>
      <c r="B2147" s="9"/>
      <c r="C2147" s="8"/>
      <c r="D2147" s="9"/>
      <c r="E2147" s="8">
        <v>3</v>
      </c>
      <c r="F2147" s="8">
        <v>3</v>
      </c>
      <c r="G2147" s="8">
        <v>14.5</v>
      </c>
      <c r="H2147" s="8">
        <v>7</v>
      </c>
      <c r="I2147" s="8">
        <v>7</v>
      </c>
      <c r="J2147" s="8">
        <v>5</v>
      </c>
      <c r="K2147" s="8">
        <v>5</v>
      </c>
      <c r="L2147" s="8">
        <v>7</v>
      </c>
      <c r="M2147" s="8">
        <v>4</v>
      </c>
      <c r="N2147" s="8">
        <v>17</v>
      </c>
      <c r="O2147" s="8">
        <v>7</v>
      </c>
      <c r="P2147" s="8">
        <v>7</v>
      </c>
      <c r="Q2147" s="8">
        <v>7</v>
      </c>
      <c r="R2147" s="8">
        <v>5</v>
      </c>
      <c r="S2147" s="8">
        <v>7</v>
      </c>
      <c r="T2147" s="8">
        <v>4.5</v>
      </c>
      <c r="U2147" s="8">
        <v>12.5</v>
      </c>
      <c r="V2147" s="8">
        <v>7</v>
      </c>
      <c r="W2147" s="8">
        <v>10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3</v>
      </c>
      <c r="AD2147" s="8">
        <v>2</v>
      </c>
      <c r="AE2147" s="8">
        <v>3</v>
      </c>
      <c r="AF2147" s="8">
        <v>0</v>
      </c>
      <c r="AG2147" s="8">
        <v>0</v>
      </c>
      <c r="AH2147" s="8">
        <v>0</v>
      </c>
      <c r="AI2147" s="8">
        <v>0</v>
      </c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11" t="s">
        <v>257</v>
      </c>
    </row>
    <row r="2148" spans="1:46" ht="15.1" customHeight="1">
      <c r="A2148" s="8">
        <v>715</v>
      </c>
      <c r="B2148" s="9" t="s">
        <v>1668</v>
      </c>
      <c r="C2148" s="8" t="s">
        <v>1669</v>
      </c>
      <c r="D2148" s="9" t="s">
        <v>1663</v>
      </c>
      <c r="E2148" s="8" t="s">
        <v>54</v>
      </c>
      <c r="F2148" s="8" t="s">
        <v>54</v>
      </c>
      <c r="G2148" s="10" t="s">
        <v>67</v>
      </c>
      <c r="H2148" s="8" t="s">
        <v>54</v>
      </c>
      <c r="I2148" s="8" t="s">
        <v>54</v>
      </c>
      <c r="J2148" s="8" t="s">
        <v>54</v>
      </c>
      <c r="K2148" s="8" t="s">
        <v>54</v>
      </c>
      <c r="L2148" s="8" t="s">
        <v>54</v>
      </c>
      <c r="M2148" s="8" t="s">
        <v>54</v>
      </c>
      <c r="N2148" s="10" t="s">
        <v>67</v>
      </c>
      <c r="O2148" s="8" t="s">
        <v>54</v>
      </c>
      <c r="P2148" s="8" t="s">
        <v>54</v>
      </c>
      <c r="Q2148" s="8" t="s">
        <v>54</v>
      </c>
      <c r="R2148" s="8" t="s">
        <v>54</v>
      </c>
      <c r="S2148" s="8" t="s">
        <v>54</v>
      </c>
      <c r="T2148" s="8" t="s">
        <v>54</v>
      </c>
      <c r="U2148" s="10" t="s">
        <v>67</v>
      </c>
      <c r="V2148" s="8" t="s">
        <v>54</v>
      </c>
      <c r="W2148" s="8" t="s">
        <v>54</v>
      </c>
      <c r="X2148" s="8" t="s">
        <v>54</v>
      </c>
      <c r="Y2148" s="8" t="s">
        <v>54</v>
      </c>
      <c r="Z2148" s="8" t="s">
        <v>54</v>
      </c>
      <c r="AA2148" s="8" t="s">
        <v>54</v>
      </c>
      <c r="AB2148" s="10" t="s">
        <v>67</v>
      </c>
      <c r="AC2148" s="8" t="s">
        <v>54</v>
      </c>
      <c r="AD2148" s="8" t="s">
        <v>54</v>
      </c>
      <c r="AE2148" s="8" t="s">
        <v>54</v>
      </c>
      <c r="AF2148" s="8" t="s">
        <v>54</v>
      </c>
      <c r="AG2148" s="8" t="s">
        <v>54</v>
      </c>
      <c r="AH2148" s="12" t="s">
        <v>55</v>
      </c>
      <c r="AI2148" s="10" t="s">
        <v>67</v>
      </c>
      <c r="AJ2148" s="8">
        <f>COUNTIF($E$2148:$AI$2148,"P")</f>
        <v>25</v>
      </c>
      <c r="AK2148" s="8">
        <f>COUNTIF($E$2148:$AI$2148,"A")</f>
        <v>1</v>
      </c>
      <c r="AL2148" s="8">
        <f>SUM($E$2149:$AI$2149)</f>
        <v>36</v>
      </c>
      <c r="AM2148" s="8">
        <f>SUM($E$2150:$AI$2150)</f>
        <v>110.5</v>
      </c>
      <c r="AN2148" s="8">
        <f>AL2148+AM2148</f>
        <v>146.5</v>
      </c>
      <c r="AO2148" s="8">
        <f>COUNTIF($E$2148:$AI$2148,"CL")</f>
        <v>0</v>
      </c>
      <c r="AP2148" s="8">
        <f>COUNTIF($E$2148:$AI$2148,"SL")</f>
        <v>0</v>
      </c>
      <c r="AQ2148" s="8">
        <f>COUNTIF($E$2148:$AI$2148,"EL")</f>
        <v>0</v>
      </c>
      <c r="AR2148" s="8">
        <f>COUNTIF($E$2148:$AI$2148,"H")</f>
        <v>0</v>
      </c>
      <c r="AS2148" s="8"/>
      <c r="AT2148" s="11" t="s">
        <v>257</v>
      </c>
    </row>
    <row r="2149" spans="1:46" ht="15.1" customHeight="1">
      <c r="A2149" s="8"/>
      <c r="B2149" s="9"/>
      <c r="C2149" s="8"/>
      <c r="D2149" s="9"/>
      <c r="E2149" s="8">
        <v>2</v>
      </c>
      <c r="F2149" s="8">
        <v>2</v>
      </c>
      <c r="G2149" s="8">
        <v>0</v>
      </c>
      <c r="H2149" s="8">
        <v>2</v>
      </c>
      <c r="I2149" s="8">
        <v>0</v>
      </c>
      <c r="J2149" s="8">
        <v>2</v>
      </c>
      <c r="K2149" s="8">
        <v>2</v>
      </c>
      <c r="L2149" s="8">
        <v>2</v>
      </c>
      <c r="M2149" s="8">
        <v>2</v>
      </c>
      <c r="N2149" s="8">
        <v>0</v>
      </c>
      <c r="O2149" s="8">
        <v>2</v>
      </c>
      <c r="P2149" s="8">
        <v>2</v>
      </c>
      <c r="Q2149" s="8">
        <v>2</v>
      </c>
      <c r="R2149" s="8">
        <v>2</v>
      </c>
      <c r="S2149" s="8">
        <v>2</v>
      </c>
      <c r="T2149" s="8">
        <v>2</v>
      </c>
      <c r="U2149" s="8">
        <v>0</v>
      </c>
      <c r="V2149" s="8">
        <v>2</v>
      </c>
      <c r="W2149" s="8">
        <v>2</v>
      </c>
      <c r="X2149" s="8">
        <v>2</v>
      </c>
      <c r="Y2149" s="8">
        <v>0</v>
      </c>
      <c r="Z2149" s="8">
        <v>2</v>
      </c>
      <c r="AA2149" s="8">
        <v>0</v>
      </c>
      <c r="AB2149" s="8">
        <v>0</v>
      </c>
      <c r="AC2149" s="8">
        <v>2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11" t="s">
        <v>257</v>
      </c>
    </row>
    <row r="2150" spans="1:46" ht="15.1" customHeight="1">
      <c r="A2150" s="8"/>
      <c r="B2150" s="9"/>
      <c r="C2150" s="8"/>
      <c r="D2150" s="9"/>
      <c r="E2150" s="8">
        <v>4</v>
      </c>
      <c r="F2150" s="8">
        <v>3</v>
      </c>
      <c r="G2150" s="8">
        <v>10</v>
      </c>
      <c r="H2150" s="8">
        <v>4</v>
      </c>
      <c r="I2150" s="8">
        <v>0</v>
      </c>
      <c r="J2150" s="8">
        <v>4</v>
      </c>
      <c r="K2150" s="8">
        <v>4</v>
      </c>
      <c r="L2150" s="8">
        <v>6</v>
      </c>
      <c r="M2150" s="8">
        <v>4</v>
      </c>
      <c r="N2150" s="8">
        <v>12</v>
      </c>
      <c r="O2150" s="8">
        <v>6</v>
      </c>
      <c r="P2150" s="8">
        <v>8</v>
      </c>
      <c r="Q2150" s="8">
        <v>2</v>
      </c>
      <c r="R2150" s="8">
        <v>3</v>
      </c>
      <c r="S2150" s="8">
        <v>8.5</v>
      </c>
      <c r="T2150" s="8">
        <v>5</v>
      </c>
      <c r="U2150" s="8">
        <v>0</v>
      </c>
      <c r="V2150" s="8">
        <v>10</v>
      </c>
      <c r="W2150" s="8">
        <v>6</v>
      </c>
      <c r="X2150" s="8">
        <v>5</v>
      </c>
      <c r="Y2150" s="8">
        <v>0</v>
      </c>
      <c r="Z2150" s="8">
        <v>3</v>
      </c>
      <c r="AA2150" s="8">
        <v>0</v>
      </c>
      <c r="AB2150" s="8">
        <v>0</v>
      </c>
      <c r="AC2150" s="8">
        <v>3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11" t="s">
        <v>257</v>
      </c>
    </row>
    <row r="2151" spans="1:46" ht="15.1" customHeight="1">
      <c r="A2151" s="8">
        <v>716</v>
      </c>
      <c r="B2151" s="9" t="s">
        <v>1670</v>
      </c>
      <c r="C2151" s="8" t="s">
        <v>1671</v>
      </c>
      <c r="D2151" s="9" t="s">
        <v>451</v>
      </c>
      <c r="E2151" s="8" t="s">
        <v>54</v>
      </c>
      <c r="F2151" s="8" t="s">
        <v>54</v>
      </c>
      <c r="G2151" s="10" t="s">
        <v>67</v>
      </c>
      <c r="H2151" s="8" t="s">
        <v>54</v>
      </c>
      <c r="I2151" s="8" t="s">
        <v>54</v>
      </c>
      <c r="J2151" s="8" t="s">
        <v>54</v>
      </c>
      <c r="K2151" s="8" t="s">
        <v>54</v>
      </c>
      <c r="L2151" s="8" t="s">
        <v>54</v>
      </c>
      <c r="M2151" s="8" t="s">
        <v>54</v>
      </c>
      <c r="N2151" s="10" t="s">
        <v>67</v>
      </c>
      <c r="O2151" s="8" t="s">
        <v>54</v>
      </c>
      <c r="P2151" s="8" t="s">
        <v>54</v>
      </c>
      <c r="Q2151" s="8" t="s">
        <v>54</v>
      </c>
      <c r="R2151" s="8" t="s">
        <v>54</v>
      </c>
      <c r="S2151" s="8" t="s">
        <v>54</v>
      </c>
      <c r="T2151" s="8" t="s">
        <v>54</v>
      </c>
      <c r="U2151" s="10" t="s">
        <v>67</v>
      </c>
      <c r="V2151" s="8" t="s">
        <v>54</v>
      </c>
      <c r="W2151" s="8" t="s">
        <v>54</v>
      </c>
      <c r="X2151" s="8" t="s">
        <v>54</v>
      </c>
      <c r="Y2151" s="8" t="s">
        <v>54</v>
      </c>
      <c r="Z2151" s="8" t="s">
        <v>54</v>
      </c>
      <c r="AA2151" s="8" t="s">
        <v>54</v>
      </c>
      <c r="AB2151" s="10" t="s">
        <v>67</v>
      </c>
      <c r="AC2151" s="8" t="s">
        <v>54</v>
      </c>
      <c r="AD2151" s="8" t="s">
        <v>54</v>
      </c>
      <c r="AE2151" s="8" t="s">
        <v>54</v>
      </c>
      <c r="AF2151" s="8" t="s">
        <v>54</v>
      </c>
      <c r="AG2151" s="8" t="s">
        <v>54</v>
      </c>
      <c r="AH2151" s="12" t="s">
        <v>55</v>
      </c>
      <c r="AI2151" s="10" t="s">
        <v>67</v>
      </c>
      <c r="AJ2151" s="8">
        <f>COUNTIF($E$2151:$AI$2151,"P")</f>
        <v>25</v>
      </c>
      <c r="AK2151" s="8">
        <f>COUNTIF($E$2151:$AI$2151,"A")</f>
        <v>1</v>
      </c>
      <c r="AL2151" s="8">
        <f>SUM($E$2152:$AI$2152)</f>
        <v>36</v>
      </c>
      <c r="AM2151" s="8">
        <f>SUM($E$2153:$AI$2153)</f>
        <v>149.5</v>
      </c>
      <c r="AN2151" s="8">
        <f>AL2151+AM2151</f>
        <v>185.5</v>
      </c>
      <c r="AO2151" s="8">
        <f>COUNTIF($E$2151:$AI$2151,"CL")</f>
        <v>0</v>
      </c>
      <c r="AP2151" s="8">
        <f>COUNTIF($E$2151:$AI$2151,"SL")</f>
        <v>0</v>
      </c>
      <c r="AQ2151" s="8">
        <f>COUNTIF($E$2151:$AI$2151,"EL")</f>
        <v>0</v>
      </c>
      <c r="AR2151" s="8">
        <f>COUNTIF($E$2151:$AI$2151,"H")</f>
        <v>0</v>
      </c>
      <c r="AS2151" s="8"/>
      <c r="AT2151" s="11" t="s">
        <v>257</v>
      </c>
    </row>
    <row r="2152" spans="1:46" ht="15.1" customHeight="1">
      <c r="A2152" s="8"/>
      <c r="B2152" s="9"/>
      <c r="C2152" s="8"/>
      <c r="D2152" s="9"/>
      <c r="E2152" s="8">
        <v>2</v>
      </c>
      <c r="F2152" s="8">
        <v>2</v>
      </c>
      <c r="G2152" s="8">
        <v>0</v>
      </c>
      <c r="H2152" s="8">
        <v>2</v>
      </c>
      <c r="I2152" s="8">
        <v>2</v>
      </c>
      <c r="J2152" s="8">
        <v>2</v>
      </c>
      <c r="K2152" s="8">
        <v>2</v>
      </c>
      <c r="L2152" s="8">
        <v>2</v>
      </c>
      <c r="M2152" s="8">
        <v>2</v>
      </c>
      <c r="N2152" s="8">
        <v>0</v>
      </c>
      <c r="O2152" s="8">
        <v>2</v>
      </c>
      <c r="P2152" s="8">
        <v>2</v>
      </c>
      <c r="Q2152" s="8">
        <v>2</v>
      </c>
      <c r="R2152" s="8">
        <v>2</v>
      </c>
      <c r="S2152" s="8">
        <v>2</v>
      </c>
      <c r="T2152" s="8">
        <v>2</v>
      </c>
      <c r="U2152" s="8">
        <v>0</v>
      </c>
      <c r="V2152" s="8">
        <v>2</v>
      </c>
      <c r="W2152" s="8">
        <v>2</v>
      </c>
      <c r="X2152" s="8">
        <v>2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2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11" t="s">
        <v>257</v>
      </c>
    </row>
    <row r="2153" spans="1:46" ht="15.1" customHeight="1">
      <c r="A2153" s="8"/>
      <c r="B2153" s="9"/>
      <c r="C2153" s="8"/>
      <c r="D2153" s="9"/>
      <c r="E2153" s="8">
        <v>4</v>
      </c>
      <c r="F2153" s="8">
        <v>3</v>
      </c>
      <c r="G2153" s="8">
        <v>14.5</v>
      </c>
      <c r="H2153" s="8">
        <v>7</v>
      </c>
      <c r="I2153" s="8">
        <v>7</v>
      </c>
      <c r="J2153" s="8">
        <v>5</v>
      </c>
      <c r="K2153" s="8">
        <v>7</v>
      </c>
      <c r="L2153" s="8">
        <v>7</v>
      </c>
      <c r="M2153" s="8">
        <v>5</v>
      </c>
      <c r="N2153" s="8">
        <v>16.5</v>
      </c>
      <c r="O2153" s="8">
        <v>7</v>
      </c>
      <c r="P2153" s="8">
        <v>7</v>
      </c>
      <c r="Q2153" s="8">
        <v>7</v>
      </c>
      <c r="R2153" s="8">
        <v>6.5</v>
      </c>
      <c r="S2153" s="8">
        <v>6.5</v>
      </c>
      <c r="T2153" s="8">
        <v>4</v>
      </c>
      <c r="U2153" s="8">
        <v>12.5</v>
      </c>
      <c r="V2153" s="8">
        <v>7</v>
      </c>
      <c r="W2153" s="8">
        <v>7</v>
      </c>
      <c r="X2153" s="8">
        <v>6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3</v>
      </c>
      <c r="AE2153" s="8">
        <v>0</v>
      </c>
      <c r="AF2153" s="8">
        <v>0</v>
      </c>
      <c r="AG2153" s="8">
        <v>0</v>
      </c>
      <c r="AH2153" s="8">
        <v>0</v>
      </c>
      <c r="AI2153" s="8">
        <v>0</v>
      </c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11" t="s">
        <v>257</v>
      </c>
    </row>
    <row r="2154" spans="1:46" ht="15.1" customHeight="1">
      <c r="A2154" s="8">
        <v>717</v>
      </c>
      <c r="B2154" s="9" t="s">
        <v>1672</v>
      </c>
      <c r="C2154" s="8" t="s">
        <v>1673</v>
      </c>
      <c r="D2154" s="9" t="s">
        <v>451</v>
      </c>
      <c r="E2154" s="8" t="s">
        <v>54</v>
      </c>
      <c r="F2154" s="8" t="s">
        <v>54</v>
      </c>
      <c r="G2154" s="10" t="s">
        <v>67</v>
      </c>
      <c r="H2154" s="8" t="s">
        <v>54</v>
      </c>
      <c r="I2154" s="8" t="s">
        <v>54</v>
      </c>
      <c r="J2154" s="8" t="s">
        <v>54</v>
      </c>
      <c r="K2154" s="8" t="s">
        <v>54</v>
      </c>
      <c r="L2154" s="8" t="s">
        <v>54</v>
      </c>
      <c r="M2154" s="8" t="s">
        <v>54</v>
      </c>
      <c r="N2154" s="10" t="s">
        <v>67</v>
      </c>
      <c r="O2154" s="8" t="s">
        <v>54</v>
      </c>
      <c r="P2154" s="8" t="s">
        <v>54</v>
      </c>
      <c r="Q2154" s="8" t="s">
        <v>54</v>
      </c>
      <c r="R2154" s="8" t="s">
        <v>54</v>
      </c>
      <c r="S2154" s="8" t="s">
        <v>54</v>
      </c>
      <c r="T2154" s="8" t="s">
        <v>54</v>
      </c>
      <c r="U2154" s="10" t="s">
        <v>67</v>
      </c>
      <c r="V2154" s="8" t="s">
        <v>54</v>
      </c>
      <c r="W2154" s="12" t="s">
        <v>55</v>
      </c>
      <c r="X2154" s="12" t="s">
        <v>55</v>
      </c>
      <c r="Y2154" s="12" t="s">
        <v>55</v>
      </c>
      <c r="Z2154" s="8" t="s">
        <v>54</v>
      </c>
      <c r="AA2154" s="8" t="s">
        <v>54</v>
      </c>
      <c r="AB2154" s="10" t="s">
        <v>67</v>
      </c>
      <c r="AC2154" s="8" t="s">
        <v>54</v>
      </c>
      <c r="AD2154" s="8" t="s">
        <v>54</v>
      </c>
      <c r="AE2154" s="8" t="s">
        <v>54</v>
      </c>
      <c r="AF2154" s="8" t="s">
        <v>54</v>
      </c>
      <c r="AG2154" s="8" t="s">
        <v>54</v>
      </c>
      <c r="AH2154" s="12" t="s">
        <v>55</v>
      </c>
      <c r="AI2154" s="10" t="s">
        <v>67</v>
      </c>
      <c r="AJ2154" s="8">
        <f>COUNTIF($E$2154:$AI$2154,"P")</f>
        <v>22</v>
      </c>
      <c r="AK2154" s="8">
        <f>COUNTIF($E$2154:$AI$2154,"A")</f>
        <v>4</v>
      </c>
      <c r="AL2154" s="8">
        <f>SUM($E$2155:$AI$2155)</f>
        <v>40</v>
      </c>
      <c r="AM2154" s="8">
        <f>SUM($E$2156:$AI$2156)</f>
        <v>130.5</v>
      </c>
      <c r="AN2154" s="8">
        <f>AL2154+AM2154</f>
        <v>170.5</v>
      </c>
      <c r="AO2154" s="8">
        <f>COUNTIF($E$2154:$AI$2154,"CL")</f>
        <v>0</v>
      </c>
      <c r="AP2154" s="8">
        <f>COUNTIF($E$2154:$AI$2154,"SL")</f>
        <v>0</v>
      </c>
      <c r="AQ2154" s="8">
        <f>COUNTIF($E$2154:$AI$2154,"EL")</f>
        <v>0</v>
      </c>
      <c r="AR2154" s="8">
        <f>COUNTIF($E$2154:$AI$2154,"H")</f>
        <v>0</v>
      </c>
      <c r="AS2154" s="8"/>
      <c r="AT2154" s="11" t="s">
        <v>257</v>
      </c>
    </row>
    <row r="2155" spans="1:46" ht="15.1" customHeight="1">
      <c r="A2155" s="8"/>
      <c r="B2155" s="9"/>
      <c r="C2155" s="8"/>
      <c r="D2155" s="9"/>
      <c r="E2155" s="8">
        <v>2</v>
      </c>
      <c r="F2155" s="8">
        <v>2</v>
      </c>
      <c r="G2155" s="8">
        <v>0</v>
      </c>
      <c r="H2155" s="8">
        <v>2</v>
      </c>
      <c r="I2155" s="8">
        <v>2</v>
      </c>
      <c r="J2155" s="8">
        <v>2</v>
      </c>
      <c r="K2155" s="8">
        <v>2</v>
      </c>
      <c r="L2155" s="8">
        <v>2</v>
      </c>
      <c r="M2155" s="8">
        <v>2</v>
      </c>
      <c r="N2155" s="8">
        <v>0</v>
      </c>
      <c r="O2155" s="8">
        <v>2</v>
      </c>
      <c r="P2155" s="8">
        <v>2</v>
      </c>
      <c r="Q2155" s="8">
        <v>2</v>
      </c>
      <c r="R2155" s="8">
        <v>2</v>
      </c>
      <c r="S2155" s="8">
        <v>2</v>
      </c>
      <c r="T2155" s="8">
        <v>2</v>
      </c>
      <c r="U2155" s="8">
        <v>0</v>
      </c>
      <c r="V2155" s="8">
        <v>2</v>
      </c>
      <c r="W2155" s="8">
        <v>0</v>
      </c>
      <c r="X2155" s="8">
        <v>0</v>
      </c>
      <c r="Y2155" s="8">
        <v>0</v>
      </c>
      <c r="Z2155" s="8">
        <v>1</v>
      </c>
      <c r="AA2155" s="8">
        <v>1</v>
      </c>
      <c r="AB2155" s="8">
        <v>0</v>
      </c>
      <c r="AC2155" s="8">
        <v>2</v>
      </c>
      <c r="AD2155" s="8">
        <v>2</v>
      </c>
      <c r="AE2155" s="8">
        <v>2</v>
      </c>
      <c r="AF2155" s="8">
        <v>0</v>
      </c>
      <c r="AG2155" s="8">
        <v>2</v>
      </c>
      <c r="AH2155" s="8">
        <v>0</v>
      </c>
      <c r="AI2155" s="8">
        <v>0</v>
      </c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11" t="s">
        <v>257</v>
      </c>
    </row>
    <row r="2156" spans="1:46" ht="15.1" customHeight="1">
      <c r="A2156" s="8"/>
      <c r="B2156" s="9"/>
      <c r="C2156" s="8"/>
      <c r="D2156" s="9"/>
      <c r="E2156" s="8">
        <v>5</v>
      </c>
      <c r="F2156" s="8">
        <v>3.5</v>
      </c>
      <c r="G2156" s="8">
        <v>12.5</v>
      </c>
      <c r="H2156" s="8">
        <v>7</v>
      </c>
      <c r="I2156" s="8">
        <v>5</v>
      </c>
      <c r="J2156" s="8">
        <v>5</v>
      </c>
      <c r="K2156" s="8">
        <v>5</v>
      </c>
      <c r="L2156" s="8">
        <v>7</v>
      </c>
      <c r="M2156" s="8">
        <v>4</v>
      </c>
      <c r="N2156" s="8">
        <v>16.5</v>
      </c>
      <c r="O2156" s="8">
        <v>7</v>
      </c>
      <c r="P2156" s="8">
        <v>8</v>
      </c>
      <c r="Q2156" s="8">
        <v>6.5</v>
      </c>
      <c r="R2156" s="8">
        <v>5</v>
      </c>
      <c r="S2156" s="8">
        <v>10</v>
      </c>
      <c r="T2156" s="8">
        <v>3</v>
      </c>
      <c r="U2156" s="8">
        <v>10.5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3</v>
      </c>
      <c r="AD2156" s="8">
        <v>2.5</v>
      </c>
      <c r="AE2156" s="8">
        <v>3</v>
      </c>
      <c r="AF2156" s="8">
        <v>0</v>
      </c>
      <c r="AG2156" s="8">
        <v>1.5</v>
      </c>
      <c r="AH2156" s="8">
        <v>0</v>
      </c>
      <c r="AI2156" s="8">
        <v>0</v>
      </c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11" t="s">
        <v>257</v>
      </c>
    </row>
    <row r="2157" spans="1:46" ht="15.1" customHeight="1">
      <c r="A2157" s="8">
        <v>718</v>
      </c>
      <c r="B2157" s="9" t="s">
        <v>1674</v>
      </c>
      <c r="C2157" s="8" t="s">
        <v>1675</v>
      </c>
      <c r="D2157" s="9" t="s">
        <v>451</v>
      </c>
      <c r="E2157" s="8" t="s">
        <v>54</v>
      </c>
      <c r="F2157" s="8" t="s">
        <v>54</v>
      </c>
      <c r="G2157" s="10" t="s">
        <v>67</v>
      </c>
      <c r="H2157" s="8" t="s">
        <v>54</v>
      </c>
      <c r="I2157" s="8" t="s">
        <v>54</v>
      </c>
      <c r="J2157" s="8" t="s">
        <v>54</v>
      </c>
      <c r="K2157" s="8" t="s">
        <v>54</v>
      </c>
      <c r="L2157" s="8" t="s">
        <v>54</v>
      </c>
      <c r="M2157" s="8" t="s">
        <v>54</v>
      </c>
      <c r="N2157" s="10" t="s">
        <v>67</v>
      </c>
      <c r="O2157" s="8" t="s">
        <v>54</v>
      </c>
      <c r="P2157" s="8" t="s">
        <v>54</v>
      </c>
      <c r="Q2157" s="8" t="s">
        <v>54</v>
      </c>
      <c r="R2157" s="8" t="s">
        <v>54</v>
      </c>
      <c r="S2157" s="8" t="s">
        <v>54</v>
      </c>
      <c r="T2157" s="8" t="s">
        <v>54</v>
      </c>
      <c r="U2157" s="10" t="s">
        <v>67</v>
      </c>
      <c r="V2157" s="8" t="s">
        <v>54</v>
      </c>
      <c r="W2157" s="8" t="s">
        <v>54</v>
      </c>
      <c r="X2157" s="8" t="s">
        <v>54</v>
      </c>
      <c r="Y2157" s="8" t="s">
        <v>54</v>
      </c>
      <c r="Z2157" s="8" t="s">
        <v>54</v>
      </c>
      <c r="AA2157" s="8" t="s">
        <v>54</v>
      </c>
      <c r="AB2157" s="10" t="s">
        <v>67</v>
      </c>
      <c r="AC2157" s="8" t="s">
        <v>54</v>
      </c>
      <c r="AD2157" s="8" t="s">
        <v>54</v>
      </c>
      <c r="AE2157" s="8" t="s">
        <v>54</v>
      </c>
      <c r="AF2157" s="8" t="s">
        <v>54</v>
      </c>
      <c r="AG2157" s="8" t="s">
        <v>54</v>
      </c>
      <c r="AH2157" s="12" t="s">
        <v>55</v>
      </c>
      <c r="AI2157" s="10" t="s">
        <v>67</v>
      </c>
      <c r="AJ2157" s="8">
        <f>COUNTIF($E$2157:$AI$2157,"P")</f>
        <v>25</v>
      </c>
      <c r="AK2157" s="8">
        <f>COUNTIF($E$2157:$AI$2157,"A")</f>
        <v>1</v>
      </c>
      <c r="AL2157" s="8">
        <f>SUM($E$2158:$AI$2158)</f>
        <v>40</v>
      </c>
      <c r="AM2157" s="8">
        <f>SUM($E$2159:$AI$2159)</f>
        <v>152</v>
      </c>
      <c r="AN2157" s="8">
        <f>AL2157+AM2157</f>
        <v>192</v>
      </c>
      <c r="AO2157" s="8">
        <f>COUNTIF($E$2157:$AI$2157,"CL")</f>
        <v>0</v>
      </c>
      <c r="AP2157" s="8">
        <f>COUNTIF($E$2157:$AI$2157,"SL")</f>
        <v>0</v>
      </c>
      <c r="AQ2157" s="8">
        <f>COUNTIF($E$2157:$AI$2157,"EL")</f>
        <v>0</v>
      </c>
      <c r="AR2157" s="8">
        <f>COUNTIF($E$2157:$AI$2157,"H")</f>
        <v>0</v>
      </c>
      <c r="AS2157" s="8"/>
      <c r="AT2157" s="11" t="s">
        <v>257</v>
      </c>
    </row>
    <row r="2158" spans="1:46" ht="15.1" customHeight="1">
      <c r="A2158" s="8"/>
      <c r="B2158" s="9"/>
      <c r="C2158" s="8"/>
      <c r="D2158" s="9"/>
      <c r="E2158" s="8">
        <v>2</v>
      </c>
      <c r="F2158" s="8">
        <v>2</v>
      </c>
      <c r="G2158" s="8">
        <v>0</v>
      </c>
      <c r="H2158" s="8">
        <v>2</v>
      </c>
      <c r="I2158" s="8">
        <v>2</v>
      </c>
      <c r="J2158" s="8">
        <v>2</v>
      </c>
      <c r="K2158" s="8">
        <v>2</v>
      </c>
      <c r="L2158" s="8">
        <v>2</v>
      </c>
      <c r="M2158" s="8">
        <v>2</v>
      </c>
      <c r="N2158" s="8">
        <v>0</v>
      </c>
      <c r="O2158" s="8">
        <v>2</v>
      </c>
      <c r="P2158" s="8">
        <v>2</v>
      </c>
      <c r="Q2158" s="8">
        <v>2</v>
      </c>
      <c r="R2158" s="8">
        <v>2</v>
      </c>
      <c r="S2158" s="8">
        <v>2</v>
      </c>
      <c r="T2158" s="8">
        <v>2</v>
      </c>
      <c r="U2158" s="8">
        <v>0</v>
      </c>
      <c r="V2158" s="8">
        <v>2</v>
      </c>
      <c r="W2158" s="8">
        <v>2</v>
      </c>
      <c r="X2158" s="8">
        <v>2</v>
      </c>
      <c r="Y2158" s="8">
        <v>0</v>
      </c>
      <c r="Z2158" s="8">
        <v>2</v>
      </c>
      <c r="AA2158" s="8">
        <v>0</v>
      </c>
      <c r="AB2158" s="8">
        <v>0</v>
      </c>
      <c r="AC2158" s="8">
        <v>2</v>
      </c>
      <c r="AD2158" s="8">
        <v>2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11" t="s">
        <v>257</v>
      </c>
    </row>
    <row r="2159" spans="1:46" ht="15.1" customHeight="1">
      <c r="A2159" s="8"/>
      <c r="B2159" s="9"/>
      <c r="C2159" s="8"/>
      <c r="D2159" s="9"/>
      <c r="E2159" s="8">
        <v>3</v>
      </c>
      <c r="F2159" s="8">
        <v>3</v>
      </c>
      <c r="G2159" s="8">
        <v>15</v>
      </c>
      <c r="H2159" s="8">
        <v>7</v>
      </c>
      <c r="I2159" s="8">
        <v>7</v>
      </c>
      <c r="J2159" s="8">
        <v>6</v>
      </c>
      <c r="K2159" s="8">
        <v>7</v>
      </c>
      <c r="L2159" s="8">
        <v>7</v>
      </c>
      <c r="M2159" s="8">
        <v>5</v>
      </c>
      <c r="N2159" s="8">
        <v>17</v>
      </c>
      <c r="O2159" s="8">
        <v>7</v>
      </c>
      <c r="P2159" s="8">
        <v>7</v>
      </c>
      <c r="Q2159" s="8">
        <v>7</v>
      </c>
      <c r="R2159" s="8">
        <v>11</v>
      </c>
      <c r="S2159" s="8">
        <v>1</v>
      </c>
      <c r="T2159" s="8">
        <v>11</v>
      </c>
      <c r="U2159" s="8">
        <v>7</v>
      </c>
      <c r="V2159" s="8">
        <v>7</v>
      </c>
      <c r="W2159" s="8">
        <v>7</v>
      </c>
      <c r="X2159" s="8">
        <v>3</v>
      </c>
      <c r="Y2159" s="8">
        <v>0</v>
      </c>
      <c r="Z2159" s="8">
        <v>3</v>
      </c>
      <c r="AA2159" s="8">
        <v>0</v>
      </c>
      <c r="AB2159" s="8">
        <v>0</v>
      </c>
      <c r="AC2159" s="8">
        <v>1</v>
      </c>
      <c r="AD2159" s="8">
        <v>3</v>
      </c>
      <c r="AE2159" s="8">
        <v>0</v>
      </c>
      <c r="AF2159" s="8">
        <v>0</v>
      </c>
      <c r="AG2159" s="8">
        <v>0</v>
      </c>
      <c r="AH2159" s="8">
        <v>0</v>
      </c>
      <c r="AI2159" s="8">
        <v>0</v>
      </c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11" t="s">
        <v>257</v>
      </c>
    </row>
    <row r="2160" spans="1:46" ht="15.1" customHeight="1">
      <c r="A2160" s="8">
        <v>719</v>
      </c>
      <c r="B2160" s="9" t="s">
        <v>1527</v>
      </c>
      <c r="C2160" s="8" t="s">
        <v>1676</v>
      </c>
      <c r="D2160" s="9" t="s">
        <v>451</v>
      </c>
      <c r="E2160" s="8" t="s">
        <v>54</v>
      </c>
      <c r="F2160" s="8" t="s">
        <v>54</v>
      </c>
      <c r="G2160" s="10" t="s">
        <v>67</v>
      </c>
      <c r="H2160" s="8" t="s">
        <v>54</v>
      </c>
      <c r="I2160" s="8" t="s">
        <v>54</v>
      </c>
      <c r="J2160" s="8" t="s">
        <v>54</v>
      </c>
      <c r="K2160" s="8" t="s">
        <v>54</v>
      </c>
      <c r="L2160" s="8" t="s">
        <v>54</v>
      </c>
      <c r="M2160" s="8" t="s">
        <v>54</v>
      </c>
      <c r="N2160" s="10" t="s">
        <v>67</v>
      </c>
      <c r="O2160" s="8" t="s">
        <v>54</v>
      </c>
      <c r="P2160" s="8" t="s">
        <v>54</v>
      </c>
      <c r="Q2160" s="8" t="s">
        <v>54</v>
      </c>
      <c r="R2160" s="8" t="s">
        <v>54</v>
      </c>
      <c r="S2160" s="8" t="s">
        <v>59</v>
      </c>
      <c r="T2160" s="8" t="s">
        <v>59</v>
      </c>
      <c r="U2160" s="10" t="s">
        <v>67</v>
      </c>
      <c r="V2160" s="8" t="s">
        <v>59</v>
      </c>
      <c r="W2160" s="8" t="s">
        <v>59</v>
      </c>
      <c r="X2160" s="8" t="s">
        <v>59</v>
      </c>
      <c r="Y2160" s="8" t="s">
        <v>54</v>
      </c>
      <c r="Z2160" s="8" t="s">
        <v>54</v>
      </c>
      <c r="AA2160" s="8" t="s">
        <v>54</v>
      </c>
      <c r="AB2160" s="10" t="s">
        <v>67</v>
      </c>
      <c r="AC2160" s="8"/>
      <c r="AD2160" s="8"/>
      <c r="AE2160" s="8"/>
      <c r="AF2160" s="8"/>
      <c r="AG2160" s="8"/>
      <c r="AH2160" s="8"/>
      <c r="AI2160" s="10"/>
      <c r="AJ2160" s="8">
        <f>COUNTIF($E$2160:$AI$2160,"P")</f>
        <v>15</v>
      </c>
      <c r="AK2160" s="8">
        <f>COUNTIF($E$2160:$AI$2160,"A")</f>
        <v>0</v>
      </c>
      <c r="AL2160" s="8">
        <f>SUM($E$2161:$AI$2161)</f>
        <v>25</v>
      </c>
      <c r="AM2160" s="8">
        <f>SUM($E$2162:$AI$2162)</f>
        <v>112</v>
      </c>
      <c r="AN2160" s="8">
        <f>AL2160+AM2160</f>
        <v>137</v>
      </c>
      <c r="AO2160" s="8">
        <f>COUNTIF($E$2160:$AI$2160,"CL")</f>
        <v>5</v>
      </c>
      <c r="AP2160" s="8">
        <f>COUNTIF($E$2160:$AI$2160,"SL")</f>
        <v>0</v>
      </c>
      <c r="AQ2160" s="8">
        <f>COUNTIF($E$2160:$AI$2160,"EL")</f>
        <v>0</v>
      </c>
      <c r="AR2160" s="8">
        <f>COUNTIF($E$2160:$AI$2160,"H")</f>
        <v>0</v>
      </c>
      <c r="AS2160" s="8"/>
      <c r="AT2160" s="11" t="s">
        <v>257</v>
      </c>
    </row>
    <row r="2161" spans="1:46" ht="15.1" customHeight="1">
      <c r="A2161" s="8"/>
      <c r="B2161" s="9"/>
      <c r="C2161" s="8"/>
      <c r="D2161" s="9"/>
      <c r="E2161" s="8">
        <v>2</v>
      </c>
      <c r="F2161" s="8">
        <v>2</v>
      </c>
      <c r="G2161" s="8">
        <v>0</v>
      </c>
      <c r="H2161" s="8">
        <v>2</v>
      </c>
      <c r="I2161" s="8">
        <v>2</v>
      </c>
      <c r="J2161" s="8">
        <v>2</v>
      </c>
      <c r="K2161" s="8">
        <v>2</v>
      </c>
      <c r="L2161" s="8">
        <v>2</v>
      </c>
      <c r="M2161" s="8">
        <v>2</v>
      </c>
      <c r="N2161" s="8">
        <v>0</v>
      </c>
      <c r="O2161" s="8">
        <v>2</v>
      </c>
      <c r="P2161" s="8">
        <v>2</v>
      </c>
      <c r="Q2161" s="8">
        <v>2</v>
      </c>
      <c r="R2161" s="8">
        <v>2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1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0</v>
      </c>
      <c r="AH2161" s="8">
        <v>0</v>
      </c>
      <c r="AI2161" s="8">
        <v>0</v>
      </c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11" t="s">
        <v>257</v>
      </c>
    </row>
    <row r="2162" spans="1:46" ht="15.1" customHeight="1">
      <c r="A2162" s="8"/>
      <c r="B2162" s="9"/>
      <c r="C2162" s="8"/>
      <c r="D2162" s="9"/>
      <c r="E2162" s="8">
        <v>2.5</v>
      </c>
      <c r="F2162" s="8">
        <v>3.5</v>
      </c>
      <c r="G2162" s="8">
        <v>15</v>
      </c>
      <c r="H2162" s="8">
        <v>7</v>
      </c>
      <c r="I2162" s="8">
        <v>11</v>
      </c>
      <c r="J2162" s="8">
        <v>7</v>
      </c>
      <c r="K2162" s="8">
        <v>7</v>
      </c>
      <c r="L2162" s="8">
        <v>7</v>
      </c>
      <c r="M2162" s="8">
        <v>5</v>
      </c>
      <c r="N2162" s="8">
        <v>17</v>
      </c>
      <c r="O2162" s="8">
        <v>7</v>
      </c>
      <c r="P2162" s="8">
        <v>7</v>
      </c>
      <c r="Q2162" s="8">
        <v>11</v>
      </c>
      <c r="R2162" s="8">
        <v>5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11" t="s">
        <v>257</v>
      </c>
    </row>
    <row r="2163" spans="1:46" ht="15.1" customHeight="1">
      <c r="A2163" s="8">
        <v>720</v>
      </c>
      <c r="B2163" s="9" t="s">
        <v>1677</v>
      </c>
      <c r="C2163" s="8" t="s">
        <v>1678</v>
      </c>
      <c r="D2163" s="9" t="s">
        <v>451</v>
      </c>
      <c r="E2163" s="8" t="s">
        <v>19</v>
      </c>
      <c r="F2163" s="12" t="s">
        <v>55</v>
      </c>
      <c r="G2163" s="10" t="s">
        <v>67</v>
      </c>
      <c r="H2163" s="12" t="s">
        <v>55</v>
      </c>
      <c r="I2163" s="8" t="s">
        <v>54</v>
      </c>
      <c r="J2163" s="8" t="s">
        <v>54</v>
      </c>
      <c r="K2163" s="8" t="s">
        <v>54</v>
      </c>
      <c r="L2163" s="8" t="s">
        <v>54</v>
      </c>
      <c r="M2163" s="8" t="s">
        <v>54</v>
      </c>
      <c r="N2163" s="10" t="s">
        <v>67</v>
      </c>
      <c r="O2163" s="8" t="s">
        <v>54</v>
      </c>
      <c r="P2163" s="8" t="s">
        <v>54</v>
      </c>
      <c r="Q2163" s="8" t="s">
        <v>54</v>
      </c>
      <c r="R2163" s="8" t="s">
        <v>54</v>
      </c>
      <c r="S2163" s="8" t="s">
        <v>54</v>
      </c>
      <c r="T2163" s="8" t="s">
        <v>54</v>
      </c>
      <c r="U2163" s="10" t="s">
        <v>67</v>
      </c>
      <c r="V2163" s="8" t="s">
        <v>54</v>
      </c>
      <c r="W2163" s="8" t="s">
        <v>54</v>
      </c>
      <c r="X2163" s="8" t="s">
        <v>54</v>
      </c>
      <c r="Y2163" s="8" t="s">
        <v>54</v>
      </c>
      <c r="Z2163" s="8" t="s">
        <v>54</v>
      </c>
      <c r="AA2163" s="8" t="s">
        <v>54</v>
      </c>
      <c r="AB2163" s="10" t="s">
        <v>67</v>
      </c>
      <c r="AC2163" s="8" t="s">
        <v>54</v>
      </c>
      <c r="AD2163" s="8" t="s">
        <v>54</v>
      </c>
      <c r="AE2163" s="8" t="s">
        <v>54</v>
      </c>
      <c r="AF2163" s="8" t="s">
        <v>54</v>
      </c>
      <c r="AG2163" s="8" t="s">
        <v>54</v>
      </c>
      <c r="AH2163" s="12" t="s">
        <v>55</v>
      </c>
      <c r="AI2163" s="10" t="s">
        <v>67</v>
      </c>
      <c r="AJ2163" s="8">
        <f>COUNTIF($E$2163:$AI$2163,"P")</f>
        <v>22</v>
      </c>
      <c r="AK2163" s="8">
        <f>COUNTIF($E$2163:$AI$2163,"A")</f>
        <v>3</v>
      </c>
      <c r="AL2163" s="8">
        <f>SUM($E$2164:$AI$2164)</f>
        <v>27</v>
      </c>
      <c r="AM2163" s="8">
        <f>SUM($E$2165:$AI$2165)</f>
        <v>73</v>
      </c>
      <c r="AN2163" s="8">
        <f>AL2163+AM2163</f>
        <v>100</v>
      </c>
      <c r="AO2163" s="8">
        <f>COUNTIF($E$2163:$AI$2163,"CL")</f>
        <v>0</v>
      </c>
      <c r="AP2163" s="8">
        <f>COUNTIF($E$2163:$AI$2163,"SL")</f>
        <v>1</v>
      </c>
      <c r="AQ2163" s="8">
        <f>COUNTIF($E$2163:$AI$2163,"EL")</f>
        <v>0</v>
      </c>
      <c r="AR2163" s="8">
        <f>COUNTIF($E$2163:$AI$2163,"H")</f>
        <v>0</v>
      </c>
      <c r="AS2163" s="8"/>
      <c r="AT2163" s="11" t="s">
        <v>257</v>
      </c>
    </row>
    <row r="2164" spans="1:46" ht="15.1" customHeight="1">
      <c r="A2164" s="8"/>
      <c r="B2164" s="9"/>
      <c r="C2164" s="8"/>
      <c r="D2164" s="9"/>
      <c r="E2164" s="8">
        <v>0</v>
      </c>
      <c r="F2164" s="8">
        <v>0</v>
      </c>
      <c r="G2164" s="8">
        <v>0</v>
      </c>
      <c r="H2164" s="8">
        <v>0</v>
      </c>
      <c r="I2164" s="8">
        <v>2</v>
      </c>
      <c r="J2164" s="8">
        <v>2</v>
      </c>
      <c r="K2164" s="8">
        <v>2</v>
      </c>
      <c r="L2164" s="8">
        <v>2</v>
      </c>
      <c r="M2164" s="8">
        <v>2</v>
      </c>
      <c r="N2164" s="8">
        <v>0</v>
      </c>
      <c r="O2164" s="8">
        <v>2</v>
      </c>
      <c r="P2164" s="8">
        <v>2</v>
      </c>
      <c r="Q2164" s="8">
        <v>0</v>
      </c>
      <c r="R2164" s="8">
        <v>2</v>
      </c>
      <c r="S2164" s="8">
        <v>2</v>
      </c>
      <c r="T2164" s="8">
        <v>0</v>
      </c>
      <c r="U2164" s="8">
        <v>0</v>
      </c>
      <c r="V2164" s="8">
        <v>2</v>
      </c>
      <c r="W2164" s="8">
        <v>2</v>
      </c>
      <c r="X2164" s="8">
        <v>0</v>
      </c>
      <c r="Y2164" s="8">
        <v>0</v>
      </c>
      <c r="Z2164" s="8">
        <v>0</v>
      </c>
      <c r="AA2164" s="8">
        <v>1</v>
      </c>
      <c r="AB2164" s="8">
        <v>0</v>
      </c>
      <c r="AC2164" s="8">
        <v>2</v>
      </c>
      <c r="AD2164" s="8">
        <v>2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11" t="s">
        <v>257</v>
      </c>
    </row>
    <row r="2165" spans="1:46" ht="15.1" customHeight="1">
      <c r="A2165" s="8"/>
      <c r="B2165" s="9"/>
      <c r="C2165" s="8"/>
      <c r="D2165" s="9"/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10</v>
      </c>
      <c r="L2165" s="8">
        <v>7</v>
      </c>
      <c r="M2165" s="8">
        <v>4</v>
      </c>
      <c r="N2165" s="8">
        <v>14</v>
      </c>
      <c r="O2165" s="8">
        <v>4</v>
      </c>
      <c r="P2165" s="8">
        <v>4</v>
      </c>
      <c r="Q2165" s="8">
        <v>0</v>
      </c>
      <c r="R2165" s="8">
        <v>5</v>
      </c>
      <c r="S2165" s="8">
        <v>5</v>
      </c>
      <c r="T2165" s="8">
        <v>0</v>
      </c>
      <c r="U2165" s="8">
        <v>0</v>
      </c>
      <c r="V2165" s="8">
        <v>11</v>
      </c>
      <c r="W2165" s="8">
        <v>5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1</v>
      </c>
      <c r="AD2165" s="8">
        <v>3</v>
      </c>
      <c r="AE2165" s="8">
        <v>0</v>
      </c>
      <c r="AF2165" s="8">
        <v>0</v>
      </c>
      <c r="AG2165" s="8">
        <v>0</v>
      </c>
      <c r="AH2165" s="8">
        <v>0</v>
      </c>
      <c r="AI2165" s="8">
        <v>0</v>
      </c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11" t="s">
        <v>257</v>
      </c>
    </row>
    <row r="2166" spans="1:46" ht="15.1" customHeight="1">
      <c r="A2166" s="8">
        <v>721</v>
      </c>
      <c r="B2166" s="9" t="s">
        <v>1679</v>
      </c>
      <c r="C2166" s="8" t="s">
        <v>1680</v>
      </c>
      <c r="D2166" s="9" t="s">
        <v>451</v>
      </c>
      <c r="E2166" s="8" t="s">
        <v>54</v>
      </c>
      <c r="F2166" s="8" t="s">
        <v>54</v>
      </c>
      <c r="G2166" s="10" t="s">
        <v>67</v>
      </c>
      <c r="H2166" s="8" t="s">
        <v>54</v>
      </c>
      <c r="I2166" s="8" t="s">
        <v>54</v>
      </c>
      <c r="J2166" s="12" t="s">
        <v>55</v>
      </c>
      <c r="K2166" s="8" t="s">
        <v>54</v>
      </c>
      <c r="L2166" s="8" t="s">
        <v>54</v>
      </c>
      <c r="M2166" s="8" t="s">
        <v>54</v>
      </c>
      <c r="N2166" s="10" t="s">
        <v>67</v>
      </c>
      <c r="O2166" s="8" t="s">
        <v>54</v>
      </c>
      <c r="P2166" s="8" t="s">
        <v>54</v>
      </c>
      <c r="Q2166" s="8" t="s">
        <v>54</v>
      </c>
      <c r="R2166" s="8" t="s">
        <v>54</v>
      </c>
      <c r="S2166" s="8" t="s">
        <v>54</v>
      </c>
      <c r="T2166" s="12" t="s">
        <v>55</v>
      </c>
      <c r="U2166" s="10" t="s">
        <v>67</v>
      </c>
      <c r="V2166" s="8" t="s">
        <v>54</v>
      </c>
      <c r="W2166" s="8" t="s">
        <v>54</v>
      </c>
      <c r="X2166" s="8" t="s">
        <v>54</v>
      </c>
      <c r="Y2166" s="8" t="s">
        <v>54</v>
      </c>
      <c r="Z2166" s="8" t="s">
        <v>54</v>
      </c>
      <c r="AA2166" s="8" t="s">
        <v>54</v>
      </c>
      <c r="AB2166" s="10" t="s">
        <v>67</v>
      </c>
      <c r="AC2166" s="8" t="s">
        <v>54</v>
      </c>
      <c r="AD2166" s="8" t="s">
        <v>54</v>
      </c>
      <c r="AE2166" s="8" t="s">
        <v>54</v>
      </c>
      <c r="AF2166" s="8" t="s">
        <v>54</v>
      </c>
      <c r="AG2166" s="8" t="s">
        <v>54</v>
      </c>
      <c r="AH2166" s="12" t="s">
        <v>55</v>
      </c>
      <c r="AI2166" s="10" t="s">
        <v>67</v>
      </c>
      <c r="AJ2166" s="8">
        <f>COUNTIF($E$2166:$AI$2166,"P")</f>
        <v>23</v>
      </c>
      <c r="AK2166" s="8">
        <f>COUNTIF($E$2166:$AI$2166,"A")</f>
        <v>3</v>
      </c>
      <c r="AL2166" s="8">
        <f>SUM($E$2167:$AI$2167)</f>
        <v>35</v>
      </c>
      <c r="AM2166" s="8">
        <f>SUM($E$2168:$AI$2168)</f>
        <v>139.5</v>
      </c>
      <c r="AN2166" s="8">
        <f>AL2166+AM2166</f>
        <v>174.5</v>
      </c>
      <c r="AO2166" s="8">
        <f>COUNTIF($E$2166:$AI$2166,"CL")</f>
        <v>0</v>
      </c>
      <c r="AP2166" s="8">
        <f>COUNTIF($E$2166:$AI$2166,"SL")</f>
        <v>0</v>
      </c>
      <c r="AQ2166" s="8">
        <f>COUNTIF($E$2166:$AI$2166,"EL")</f>
        <v>0</v>
      </c>
      <c r="AR2166" s="8">
        <f>COUNTIF($E$2166:$AI$2166,"H")</f>
        <v>0</v>
      </c>
      <c r="AS2166" s="8"/>
      <c r="AT2166" s="11" t="s">
        <v>257</v>
      </c>
    </row>
    <row r="2167" spans="1:46" ht="15.1" customHeight="1">
      <c r="A2167" s="8"/>
      <c r="B2167" s="9"/>
      <c r="C2167" s="8"/>
      <c r="D2167" s="9"/>
      <c r="E2167" s="8">
        <v>2</v>
      </c>
      <c r="F2167" s="8">
        <v>2</v>
      </c>
      <c r="G2167" s="8">
        <v>0</v>
      </c>
      <c r="H2167" s="8">
        <v>2</v>
      </c>
      <c r="I2167" s="8">
        <v>2</v>
      </c>
      <c r="J2167" s="8">
        <v>0</v>
      </c>
      <c r="K2167" s="8">
        <v>2</v>
      </c>
      <c r="L2167" s="8">
        <v>2</v>
      </c>
      <c r="M2167" s="8">
        <v>2</v>
      </c>
      <c r="N2167" s="8">
        <v>0</v>
      </c>
      <c r="O2167" s="8">
        <v>2</v>
      </c>
      <c r="P2167" s="8">
        <v>2</v>
      </c>
      <c r="Q2167" s="8">
        <v>2</v>
      </c>
      <c r="R2167" s="8">
        <v>2</v>
      </c>
      <c r="S2167" s="8">
        <v>2</v>
      </c>
      <c r="T2167" s="8">
        <v>0</v>
      </c>
      <c r="U2167" s="8">
        <v>0</v>
      </c>
      <c r="V2167" s="8">
        <v>2</v>
      </c>
      <c r="W2167" s="8">
        <v>2</v>
      </c>
      <c r="X2167" s="8">
        <v>2</v>
      </c>
      <c r="Y2167" s="8">
        <v>0</v>
      </c>
      <c r="Z2167" s="8">
        <v>0</v>
      </c>
      <c r="AA2167" s="8">
        <v>1</v>
      </c>
      <c r="AB2167" s="8">
        <v>0</v>
      </c>
      <c r="AC2167" s="8">
        <v>2</v>
      </c>
      <c r="AD2167" s="8">
        <v>2</v>
      </c>
      <c r="AE2167" s="8">
        <v>0</v>
      </c>
      <c r="AF2167" s="8">
        <v>0</v>
      </c>
      <c r="AG2167" s="8">
        <v>0</v>
      </c>
      <c r="AH2167" s="8">
        <v>0</v>
      </c>
      <c r="AI2167" s="8">
        <v>0</v>
      </c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11" t="s">
        <v>257</v>
      </c>
    </row>
    <row r="2168" spans="1:46" ht="15.1" customHeight="1">
      <c r="A2168" s="8"/>
      <c r="B2168" s="9"/>
      <c r="C2168" s="8"/>
      <c r="D2168" s="9"/>
      <c r="E2168" s="8">
        <v>2.5</v>
      </c>
      <c r="F2168" s="8">
        <v>2.5</v>
      </c>
      <c r="G2168" s="8">
        <v>14</v>
      </c>
      <c r="H2168" s="8">
        <v>7</v>
      </c>
      <c r="I2168" s="8">
        <v>6</v>
      </c>
      <c r="J2168" s="8">
        <v>0</v>
      </c>
      <c r="K2168" s="8">
        <v>7</v>
      </c>
      <c r="L2168" s="8">
        <v>7</v>
      </c>
      <c r="M2168" s="8">
        <v>4</v>
      </c>
      <c r="N2168" s="8">
        <v>15</v>
      </c>
      <c r="O2168" s="8">
        <v>7</v>
      </c>
      <c r="P2168" s="8">
        <v>7</v>
      </c>
      <c r="Q2168" s="8">
        <v>6.5</v>
      </c>
      <c r="R2168" s="8">
        <v>7</v>
      </c>
      <c r="S2168" s="8">
        <v>9.5</v>
      </c>
      <c r="T2168" s="8">
        <v>0</v>
      </c>
      <c r="U2168" s="8">
        <v>13</v>
      </c>
      <c r="V2168" s="8">
        <v>7</v>
      </c>
      <c r="W2168" s="8">
        <v>7</v>
      </c>
      <c r="X2168" s="8">
        <v>7</v>
      </c>
      <c r="Y2168" s="8">
        <v>0</v>
      </c>
      <c r="Z2168" s="8">
        <v>0</v>
      </c>
      <c r="AA2168" s="8">
        <v>0</v>
      </c>
      <c r="AB2168" s="8">
        <v>0</v>
      </c>
      <c r="AC2168" s="8">
        <v>1</v>
      </c>
      <c r="AD2168" s="8">
        <v>2.5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11" t="s">
        <v>257</v>
      </c>
    </row>
    <row r="2169" spans="1:46" ht="15.1" customHeight="1">
      <c r="A2169" s="8">
        <v>722</v>
      </c>
      <c r="B2169" s="9" t="s">
        <v>1681</v>
      </c>
      <c r="C2169" s="8" t="s">
        <v>1682</v>
      </c>
      <c r="D2169" s="9" t="s">
        <v>451</v>
      </c>
      <c r="E2169" s="8" t="s">
        <v>54</v>
      </c>
      <c r="F2169" s="8" t="s">
        <v>54</v>
      </c>
      <c r="G2169" s="10" t="s">
        <v>67</v>
      </c>
      <c r="H2169" s="8" t="s">
        <v>54</v>
      </c>
      <c r="I2169" s="8" t="s">
        <v>54</v>
      </c>
      <c r="J2169" s="8" t="s">
        <v>54</v>
      </c>
      <c r="K2169" s="8" t="s">
        <v>54</v>
      </c>
      <c r="L2169" s="8" t="s">
        <v>54</v>
      </c>
      <c r="M2169" s="8" t="s">
        <v>54</v>
      </c>
      <c r="N2169" s="10" t="s">
        <v>67</v>
      </c>
      <c r="O2169" s="8" t="s">
        <v>54</v>
      </c>
      <c r="P2169" s="8" t="s">
        <v>54</v>
      </c>
      <c r="Q2169" s="8" t="s">
        <v>54</v>
      </c>
      <c r="R2169" s="8" t="s">
        <v>54</v>
      </c>
      <c r="S2169" s="8" t="s">
        <v>54</v>
      </c>
      <c r="T2169" s="8" t="s">
        <v>54</v>
      </c>
      <c r="U2169" s="10" t="s">
        <v>67</v>
      </c>
      <c r="V2169" s="8" t="s">
        <v>54</v>
      </c>
      <c r="W2169" s="8" t="s">
        <v>54</v>
      </c>
      <c r="X2169" s="8" t="s">
        <v>54</v>
      </c>
      <c r="Y2169" s="8" t="s">
        <v>54</v>
      </c>
      <c r="Z2169" s="8" t="s">
        <v>54</v>
      </c>
      <c r="AA2169" s="8" t="s">
        <v>54</v>
      </c>
      <c r="AB2169" s="10" t="s">
        <v>67</v>
      </c>
      <c r="AC2169" s="8" t="s">
        <v>54</v>
      </c>
      <c r="AD2169" s="8" t="s">
        <v>54</v>
      </c>
      <c r="AE2169" s="8" t="s">
        <v>54</v>
      </c>
      <c r="AF2169" s="8" t="s">
        <v>54</v>
      </c>
      <c r="AG2169" s="8" t="s">
        <v>54</v>
      </c>
      <c r="AH2169" s="12" t="s">
        <v>55</v>
      </c>
      <c r="AI2169" s="10" t="s">
        <v>67</v>
      </c>
      <c r="AJ2169" s="8">
        <f>COUNTIF($E$2169:$AI$2169,"P")</f>
        <v>25</v>
      </c>
      <c r="AK2169" s="8">
        <f>COUNTIF($E$2169:$AI$2169,"A")</f>
        <v>1</v>
      </c>
      <c r="AL2169" s="8">
        <f>SUM($E$2170:$AI$2170)</f>
        <v>36</v>
      </c>
      <c r="AM2169" s="8">
        <f>SUM($E$2171:$AI$2171)</f>
        <v>139.5</v>
      </c>
      <c r="AN2169" s="8">
        <f>AL2169+AM2169</f>
        <v>175.5</v>
      </c>
      <c r="AO2169" s="8">
        <f>COUNTIF($E$2169:$AI$2169,"CL")</f>
        <v>0</v>
      </c>
      <c r="AP2169" s="8">
        <f>COUNTIF($E$2169:$AI$2169,"SL")</f>
        <v>0</v>
      </c>
      <c r="AQ2169" s="8">
        <f>COUNTIF($E$2169:$AI$2169,"EL")</f>
        <v>0</v>
      </c>
      <c r="AR2169" s="8">
        <f>COUNTIF($E$2169:$AI$2169,"H")</f>
        <v>0</v>
      </c>
      <c r="AS2169" s="8"/>
      <c r="AT2169" s="11" t="s">
        <v>257</v>
      </c>
    </row>
    <row r="2170" spans="1:46" ht="15.1" customHeight="1">
      <c r="A2170" s="8"/>
      <c r="B2170" s="9"/>
      <c r="C2170" s="8"/>
      <c r="D2170" s="9"/>
      <c r="E2170" s="8">
        <v>2</v>
      </c>
      <c r="F2170" s="8">
        <v>2</v>
      </c>
      <c r="G2170" s="8">
        <v>0</v>
      </c>
      <c r="H2170" s="8">
        <v>2</v>
      </c>
      <c r="I2170" s="8">
        <v>2</v>
      </c>
      <c r="J2170" s="8">
        <v>2</v>
      </c>
      <c r="K2170" s="8">
        <v>2</v>
      </c>
      <c r="L2170" s="8">
        <v>2</v>
      </c>
      <c r="M2170" s="8">
        <v>2</v>
      </c>
      <c r="N2170" s="8">
        <v>0</v>
      </c>
      <c r="O2170" s="8">
        <v>2</v>
      </c>
      <c r="P2170" s="8">
        <v>2</v>
      </c>
      <c r="Q2170" s="8">
        <v>2</v>
      </c>
      <c r="R2170" s="8">
        <v>2</v>
      </c>
      <c r="S2170" s="8">
        <v>2</v>
      </c>
      <c r="T2170" s="8">
        <v>2</v>
      </c>
      <c r="U2170" s="8">
        <v>0</v>
      </c>
      <c r="V2170" s="8">
        <v>2</v>
      </c>
      <c r="W2170" s="8">
        <v>2</v>
      </c>
      <c r="X2170" s="8">
        <v>2</v>
      </c>
      <c r="Y2170" s="8">
        <v>0</v>
      </c>
      <c r="Z2170" s="8">
        <v>0</v>
      </c>
      <c r="AA2170" s="8">
        <v>0</v>
      </c>
      <c r="AB2170" s="8">
        <v>0</v>
      </c>
      <c r="AC2170" s="8">
        <v>2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11" t="s">
        <v>257</v>
      </c>
    </row>
    <row r="2171" spans="1:46" ht="15.1" customHeight="1">
      <c r="A2171" s="8"/>
      <c r="B2171" s="9"/>
      <c r="C2171" s="8"/>
      <c r="D2171" s="9"/>
      <c r="E2171" s="8">
        <v>3.5</v>
      </c>
      <c r="F2171" s="8">
        <v>3</v>
      </c>
      <c r="G2171" s="8">
        <v>14.5</v>
      </c>
      <c r="H2171" s="8">
        <v>7</v>
      </c>
      <c r="I2171" s="8">
        <v>7</v>
      </c>
      <c r="J2171" s="8">
        <v>5</v>
      </c>
      <c r="K2171" s="8">
        <v>5</v>
      </c>
      <c r="L2171" s="8">
        <v>5</v>
      </c>
      <c r="M2171" s="8">
        <v>5</v>
      </c>
      <c r="N2171" s="8">
        <v>16.5</v>
      </c>
      <c r="O2171" s="8">
        <v>7</v>
      </c>
      <c r="P2171" s="8">
        <v>6</v>
      </c>
      <c r="Q2171" s="8">
        <v>6.5</v>
      </c>
      <c r="R2171" s="8">
        <v>6.5</v>
      </c>
      <c r="S2171" s="8">
        <v>6</v>
      </c>
      <c r="T2171" s="8">
        <v>4</v>
      </c>
      <c r="U2171" s="8">
        <v>12</v>
      </c>
      <c r="V2171" s="8">
        <v>6.5</v>
      </c>
      <c r="W2171" s="8">
        <v>6.5</v>
      </c>
      <c r="X2171" s="8">
        <v>6</v>
      </c>
      <c r="Y2171" s="8">
        <v>0</v>
      </c>
      <c r="Z2171" s="8">
        <v>0</v>
      </c>
      <c r="AA2171" s="8">
        <v>0</v>
      </c>
      <c r="AB2171" s="8">
        <v>0</v>
      </c>
      <c r="AC2171" s="8">
        <v>1</v>
      </c>
      <c r="AD2171" s="8">
        <v>0</v>
      </c>
      <c r="AE2171" s="8">
        <v>0</v>
      </c>
      <c r="AF2171" s="8">
        <v>0</v>
      </c>
      <c r="AG2171" s="8">
        <v>0</v>
      </c>
      <c r="AH2171" s="8">
        <v>0</v>
      </c>
      <c r="AI2171" s="8">
        <v>0</v>
      </c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11" t="s">
        <v>257</v>
      </c>
    </row>
    <row r="2172" spans="1:46" ht="15.1" customHeight="1">
      <c r="A2172" s="8">
        <v>723</v>
      </c>
      <c r="B2172" s="9" t="s">
        <v>1683</v>
      </c>
      <c r="C2172" s="8" t="s">
        <v>1684</v>
      </c>
      <c r="D2172" s="9" t="s">
        <v>451</v>
      </c>
      <c r="E2172" s="8" t="s">
        <v>54</v>
      </c>
      <c r="F2172" s="8" t="s">
        <v>54</v>
      </c>
      <c r="G2172" s="10" t="s">
        <v>67</v>
      </c>
      <c r="H2172" s="8" t="s">
        <v>54</v>
      </c>
      <c r="I2172" s="8" t="s">
        <v>54</v>
      </c>
      <c r="J2172" s="8" t="s">
        <v>54</v>
      </c>
      <c r="K2172" s="8" t="s">
        <v>54</v>
      </c>
      <c r="L2172" s="8" t="s">
        <v>54</v>
      </c>
      <c r="M2172" s="12" t="s">
        <v>55</v>
      </c>
      <c r="N2172" s="10" t="s">
        <v>67</v>
      </c>
      <c r="O2172" s="12" t="s">
        <v>55</v>
      </c>
      <c r="P2172" s="12" t="s">
        <v>55</v>
      </c>
      <c r="Q2172" s="12" t="s">
        <v>55</v>
      </c>
      <c r="R2172" s="8" t="s">
        <v>54</v>
      </c>
      <c r="S2172" s="8" t="s">
        <v>54</v>
      </c>
      <c r="T2172" s="8" t="s">
        <v>54</v>
      </c>
      <c r="U2172" s="10" t="s">
        <v>67</v>
      </c>
      <c r="V2172" s="8" t="s">
        <v>54</v>
      </c>
      <c r="W2172" s="8" t="s">
        <v>54</v>
      </c>
      <c r="X2172" s="8" t="s">
        <v>54</v>
      </c>
      <c r="Y2172" s="8" t="s">
        <v>54</v>
      </c>
      <c r="Z2172" s="8" t="s">
        <v>54</v>
      </c>
      <c r="AA2172" s="8" t="s">
        <v>54</v>
      </c>
      <c r="AB2172" s="10" t="s">
        <v>67</v>
      </c>
      <c r="AC2172" s="8" t="s">
        <v>54</v>
      </c>
      <c r="AD2172" s="8" t="s">
        <v>54</v>
      </c>
      <c r="AE2172" s="8" t="s">
        <v>54</v>
      </c>
      <c r="AF2172" s="8" t="s">
        <v>54</v>
      </c>
      <c r="AG2172" s="8" t="s">
        <v>54</v>
      </c>
      <c r="AH2172" s="12" t="s">
        <v>55</v>
      </c>
      <c r="AI2172" s="10" t="s">
        <v>67</v>
      </c>
      <c r="AJ2172" s="8">
        <f>COUNTIF($E$2172:$AI$2172,"P")</f>
        <v>21</v>
      </c>
      <c r="AK2172" s="8">
        <f>COUNTIF($E$2172:$AI$2172,"A")</f>
        <v>5</v>
      </c>
      <c r="AL2172" s="8">
        <f>SUM($E$2173:$AI$2173)</f>
        <v>24</v>
      </c>
      <c r="AM2172" s="8">
        <f>SUM($E$2174:$AI$2174)</f>
        <v>97.5</v>
      </c>
      <c r="AN2172" s="8">
        <f>AL2172+AM2172</f>
        <v>121.5</v>
      </c>
      <c r="AO2172" s="8">
        <f>COUNTIF($E$2172:$AI$2172,"CL")</f>
        <v>0</v>
      </c>
      <c r="AP2172" s="8">
        <f>COUNTIF($E$2172:$AI$2172,"SL")</f>
        <v>0</v>
      </c>
      <c r="AQ2172" s="8">
        <f>COUNTIF($E$2172:$AI$2172,"EL")</f>
        <v>0</v>
      </c>
      <c r="AR2172" s="8">
        <f>COUNTIF($E$2172:$AI$2172,"H")</f>
        <v>0</v>
      </c>
      <c r="AS2172" s="8"/>
      <c r="AT2172" s="11" t="s">
        <v>257</v>
      </c>
    </row>
    <row r="2173" spans="1:46" ht="15.1" customHeight="1">
      <c r="A2173" s="8"/>
      <c r="B2173" s="9"/>
      <c r="C2173" s="8"/>
      <c r="D2173" s="9"/>
      <c r="E2173" s="8">
        <v>2</v>
      </c>
      <c r="F2173" s="8">
        <v>2</v>
      </c>
      <c r="G2173" s="8">
        <v>0</v>
      </c>
      <c r="H2173" s="8">
        <v>2</v>
      </c>
      <c r="I2173" s="8">
        <v>2</v>
      </c>
      <c r="J2173" s="8">
        <v>2</v>
      </c>
      <c r="K2173" s="8">
        <v>2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2</v>
      </c>
      <c r="S2173" s="8">
        <v>2</v>
      </c>
      <c r="T2173" s="8">
        <v>2</v>
      </c>
      <c r="U2173" s="8">
        <v>0</v>
      </c>
      <c r="V2173" s="8">
        <v>2</v>
      </c>
      <c r="W2173" s="8">
        <v>2</v>
      </c>
      <c r="X2173" s="8">
        <v>2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8">
        <v>0</v>
      </c>
      <c r="AH2173" s="8">
        <v>0</v>
      </c>
      <c r="AI2173" s="8">
        <v>0</v>
      </c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11" t="s">
        <v>257</v>
      </c>
    </row>
    <row r="2174" spans="1:46" ht="15.1" customHeight="1">
      <c r="A2174" s="8"/>
      <c r="B2174" s="9"/>
      <c r="C2174" s="8"/>
      <c r="D2174" s="9"/>
      <c r="E2174" s="8">
        <v>4</v>
      </c>
      <c r="F2174" s="8">
        <v>3</v>
      </c>
      <c r="G2174" s="8">
        <v>14.5</v>
      </c>
      <c r="H2174" s="8">
        <v>7</v>
      </c>
      <c r="I2174" s="8">
        <v>7</v>
      </c>
      <c r="J2174" s="8">
        <v>5</v>
      </c>
      <c r="K2174" s="8">
        <v>7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7</v>
      </c>
      <c r="S2174" s="8">
        <v>7</v>
      </c>
      <c r="T2174" s="8">
        <v>4</v>
      </c>
      <c r="U2174" s="8">
        <v>12.5</v>
      </c>
      <c r="V2174" s="8">
        <v>7</v>
      </c>
      <c r="W2174" s="8">
        <v>6.5</v>
      </c>
      <c r="X2174" s="8">
        <v>6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11" t="s">
        <v>257</v>
      </c>
    </row>
    <row r="2175" spans="1:46" ht="15.1" customHeight="1">
      <c r="A2175" s="8">
        <v>724</v>
      </c>
      <c r="B2175" s="9" t="s">
        <v>1685</v>
      </c>
      <c r="C2175" s="8" t="s">
        <v>1686</v>
      </c>
      <c r="D2175" s="9" t="s">
        <v>451</v>
      </c>
      <c r="E2175" s="8" t="s">
        <v>54</v>
      </c>
      <c r="F2175" s="8" t="s">
        <v>54</v>
      </c>
      <c r="G2175" s="10" t="s">
        <v>67</v>
      </c>
      <c r="H2175" s="8" t="s">
        <v>54</v>
      </c>
      <c r="I2175" s="8" t="s">
        <v>54</v>
      </c>
      <c r="J2175" s="8" t="s">
        <v>54</v>
      </c>
      <c r="K2175" s="8" t="s">
        <v>54</v>
      </c>
      <c r="L2175" s="8" t="s">
        <v>54</v>
      </c>
      <c r="M2175" s="8" t="s">
        <v>54</v>
      </c>
      <c r="N2175" s="10" t="s">
        <v>67</v>
      </c>
      <c r="O2175" s="8" t="s">
        <v>54</v>
      </c>
      <c r="P2175" s="8" t="s">
        <v>54</v>
      </c>
      <c r="Q2175" s="8" t="s">
        <v>54</v>
      </c>
      <c r="R2175" s="8" t="s">
        <v>54</v>
      </c>
      <c r="S2175" s="8" t="s">
        <v>54</v>
      </c>
      <c r="T2175" s="8" t="s">
        <v>54</v>
      </c>
      <c r="U2175" s="10" t="s">
        <v>67</v>
      </c>
      <c r="V2175" s="8" t="s">
        <v>54</v>
      </c>
      <c r="W2175" s="8" t="s">
        <v>54</v>
      </c>
      <c r="X2175" s="8" t="s">
        <v>54</v>
      </c>
      <c r="Y2175" s="8" t="s">
        <v>54</v>
      </c>
      <c r="Z2175" s="8" t="s">
        <v>54</v>
      </c>
      <c r="AA2175" s="8" t="s">
        <v>54</v>
      </c>
      <c r="AB2175" s="10" t="s">
        <v>67</v>
      </c>
      <c r="AC2175" s="8" t="s">
        <v>54</v>
      </c>
      <c r="AD2175" s="8" t="s">
        <v>54</v>
      </c>
      <c r="AE2175" s="8" t="s">
        <v>54</v>
      </c>
      <c r="AF2175" s="8" t="s">
        <v>54</v>
      </c>
      <c r="AG2175" s="8" t="s">
        <v>54</v>
      </c>
      <c r="AH2175" s="12" t="s">
        <v>55</v>
      </c>
      <c r="AI2175" s="10" t="s">
        <v>67</v>
      </c>
      <c r="AJ2175" s="8">
        <f>COUNTIF($E$2175:$AI$2175,"P")</f>
        <v>25</v>
      </c>
      <c r="AK2175" s="8">
        <f>COUNTIF($E$2175:$AI$2175,"A")</f>
        <v>1</v>
      </c>
      <c r="AL2175" s="8">
        <f>SUM($E$2176:$AI$2176)</f>
        <v>38</v>
      </c>
      <c r="AM2175" s="8">
        <f>SUM($E$2177:$AI$2177)</f>
        <v>136</v>
      </c>
      <c r="AN2175" s="8">
        <f>AL2175+AM2175</f>
        <v>174</v>
      </c>
      <c r="AO2175" s="8">
        <f>COUNTIF($E$2175:$AI$2175,"CL")</f>
        <v>0</v>
      </c>
      <c r="AP2175" s="8">
        <f>COUNTIF($E$2175:$AI$2175,"SL")</f>
        <v>0</v>
      </c>
      <c r="AQ2175" s="8">
        <f>COUNTIF($E$2175:$AI$2175,"EL")</f>
        <v>0</v>
      </c>
      <c r="AR2175" s="8">
        <f>COUNTIF($E$2175:$AI$2175,"H")</f>
        <v>0</v>
      </c>
      <c r="AS2175" s="8"/>
      <c r="AT2175" s="11" t="s">
        <v>257</v>
      </c>
    </row>
    <row r="2176" spans="1:46" ht="15.1" customHeight="1">
      <c r="A2176" s="8"/>
      <c r="B2176" s="9"/>
      <c r="C2176" s="8"/>
      <c r="D2176" s="9"/>
      <c r="E2176" s="8">
        <v>2</v>
      </c>
      <c r="F2176" s="8">
        <v>2</v>
      </c>
      <c r="G2176" s="8">
        <v>0</v>
      </c>
      <c r="H2176" s="8">
        <v>2</v>
      </c>
      <c r="I2176" s="8">
        <v>2</v>
      </c>
      <c r="J2176" s="8">
        <v>2</v>
      </c>
      <c r="K2176" s="8">
        <v>2</v>
      </c>
      <c r="L2176" s="8">
        <v>2</v>
      </c>
      <c r="M2176" s="8">
        <v>2</v>
      </c>
      <c r="N2176" s="8">
        <v>0</v>
      </c>
      <c r="O2176" s="8">
        <v>2</v>
      </c>
      <c r="P2176" s="8">
        <v>2</v>
      </c>
      <c r="Q2176" s="8">
        <v>2</v>
      </c>
      <c r="R2176" s="8">
        <v>2</v>
      </c>
      <c r="S2176" s="8">
        <v>2</v>
      </c>
      <c r="T2176" s="8">
        <v>2</v>
      </c>
      <c r="U2176" s="8">
        <v>0</v>
      </c>
      <c r="V2176" s="8">
        <v>2</v>
      </c>
      <c r="W2176" s="8">
        <v>2</v>
      </c>
      <c r="X2176" s="8">
        <v>2</v>
      </c>
      <c r="Y2176" s="8">
        <v>0</v>
      </c>
      <c r="Z2176" s="8">
        <v>0</v>
      </c>
      <c r="AA2176" s="8">
        <v>0</v>
      </c>
      <c r="AB2176" s="8">
        <v>0</v>
      </c>
      <c r="AC2176" s="8">
        <v>2</v>
      </c>
      <c r="AD2176" s="8">
        <v>2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11" t="s">
        <v>257</v>
      </c>
    </row>
    <row r="2177" spans="1:46" ht="15.1" customHeight="1">
      <c r="A2177" s="8"/>
      <c r="B2177" s="9"/>
      <c r="C2177" s="8"/>
      <c r="D2177" s="9"/>
      <c r="E2177" s="8">
        <v>4</v>
      </c>
      <c r="F2177" s="8">
        <v>3</v>
      </c>
      <c r="G2177" s="8">
        <v>0</v>
      </c>
      <c r="H2177" s="8">
        <v>7</v>
      </c>
      <c r="I2177" s="8">
        <v>7</v>
      </c>
      <c r="J2177" s="8">
        <v>5</v>
      </c>
      <c r="K2177" s="8">
        <v>7</v>
      </c>
      <c r="L2177" s="8">
        <v>7</v>
      </c>
      <c r="M2177" s="8">
        <v>5</v>
      </c>
      <c r="N2177" s="8">
        <v>16.5</v>
      </c>
      <c r="O2177" s="8">
        <v>7</v>
      </c>
      <c r="P2177" s="8">
        <v>7</v>
      </c>
      <c r="Q2177" s="8">
        <v>7</v>
      </c>
      <c r="R2177" s="8">
        <v>7</v>
      </c>
      <c r="S2177" s="8">
        <v>7</v>
      </c>
      <c r="T2177" s="8">
        <v>4</v>
      </c>
      <c r="U2177" s="8">
        <v>12.5</v>
      </c>
      <c r="V2177" s="8">
        <v>7</v>
      </c>
      <c r="W2177" s="8">
        <v>7</v>
      </c>
      <c r="X2177" s="8">
        <v>5</v>
      </c>
      <c r="Y2177" s="8">
        <v>0</v>
      </c>
      <c r="Z2177" s="8">
        <v>0</v>
      </c>
      <c r="AA2177" s="8">
        <v>0</v>
      </c>
      <c r="AB2177" s="8">
        <v>0</v>
      </c>
      <c r="AC2177" s="8">
        <v>1</v>
      </c>
      <c r="AD2177" s="8">
        <v>3</v>
      </c>
      <c r="AE2177" s="8">
        <v>0</v>
      </c>
      <c r="AF2177" s="8">
        <v>0</v>
      </c>
      <c r="AG2177" s="8">
        <v>0</v>
      </c>
      <c r="AH2177" s="8">
        <v>0</v>
      </c>
      <c r="AI2177" s="8">
        <v>0</v>
      </c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11" t="s">
        <v>257</v>
      </c>
    </row>
    <row r="2178" spans="1:46" ht="15.1" customHeight="1">
      <c r="A2178" s="8">
        <v>725</v>
      </c>
      <c r="B2178" s="9" t="s">
        <v>1687</v>
      </c>
      <c r="C2178" s="8" t="s">
        <v>1688</v>
      </c>
      <c r="D2178" s="9" t="s">
        <v>451</v>
      </c>
      <c r="E2178" s="8" t="s">
        <v>54</v>
      </c>
      <c r="F2178" s="8" t="s">
        <v>54</v>
      </c>
      <c r="G2178" s="10" t="s">
        <v>67</v>
      </c>
      <c r="H2178" s="8" t="s">
        <v>54</v>
      </c>
      <c r="I2178" s="8" t="s">
        <v>54</v>
      </c>
      <c r="J2178" s="8" t="s">
        <v>54</v>
      </c>
      <c r="K2178" s="8" t="s">
        <v>54</v>
      </c>
      <c r="L2178" s="8" t="s">
        <v>54</v>
      </c>
      <c r="M2178" s="8" t="s">
        <v>54</v>
      </c>
      <c r="N2178" s="10" t="s">
        <v>67</v>
      </c>
      <c r="O2178" s="8" t="s">
        <v>54</v>
      </c>
      <c r="P2178" s="8" t="s">
        <v>54</v>
      </c>
      <c r="Q2178" s="8" t="s">
        <v>54</v>
      </c>
      <c r="R2178" s="8" t="s">
        <v>54</v>
      </c>
      <c r="S2178" s="8" t="s">
        <v>54</v>
      </c>
      <c r="T2178" s="8" t="s">
        <v>54</v>
      </c>
      <c r="U2178" s="10" t="s">
        <v>67</v>
      </c>
      <c r="V2178" s="8" t="s">
        <v>54</v>
      </c>
      <c r="W2178" s="8" t="s">
        <v>54</v>
      </c>
      <c r="X2178" s="8" t="s">
        <v>54</v>
      </c>
      <c r="Y2178" s="8" t="s">
        <v>54</v>
      </c>
      <c r="Z2178" s="8" t="s">
        <v>54</v>
      </c>
      <c r="AA2178" s="8" t="s">
        <v>54</v>
      </c>
      <c r="AB2178" s="10" t="s">
        <v>67</v>
      </c>
      <c r="AC2178" s="8" t="s">
        <v>54</v>
      </c>
      <c r="AD2178" s="8" t="s">
        <v>54</v>
      </c>
      <c r="AE2178" s="8" t="s">
        <v>54</v>
      </c>
      <c r="AF2178" s="8" t="s">
        <v>54</v>
      </c>
      <c r="AG2178" s="8" t="s">
        <v>54</v>
      </c>
      <c r="AH2178" s="12" t="s">
        <v>55</v>
      </c>
      <c r="AI2178" s="10" t="s">
        <v>67</v>
      </c>
      <c r="AJ2178" s="8">
        <f>COUNTIF($E$2178:$AI$2178,"P")</f>
        <v>25</v>
      </c>
      <c r="AK2178" s="8">
        <f>COUNTIF($E$2178:$AI$2178,"A")</f>
        <v>1</v>
      </c>
      <c r="AL2178" s="8">
        <f>SUM($E$2179:$AI$2179)</f>
        <v>34</v>
      </c>
      <c r="AM2178" s="8">
        <f>SUM($E$2180:$AI$2180)</f>
        <v>145.5</v>
      </c>
      <c r="AN2178" s="8">
        <f>AL2178+AM2178</f>
        <v>179.5</v>
      </c>
      <c r="AO2178" s="8">
        <f>COUNTIF($E$2178:$AI$2178,"CL")</f>
        <v>0</v>
      </c>
      <c r="AP2178" s="8">
        <f>COUNTIF($E$2178:$AI$2178,"SL")</f>
        <v>0</v>
      </c>
      <c r="AQ2178" s="8">
        <f>COUNTIF($E$2178:$AI$2178,"EL")</f>
        <v>0</v>
      </c>
      <c r="AR2178" s="8">
        <f>COUNTIF($E$2178:$AI$2178,"H")</f>
        <v>0</v>
      </c>
      <c r="AS2178" s="8"/>
      <c r="AT2178" s="11" t="s">
        <v>257</v>
      </c>
    </row>
    <row r="2179" spans="1:46" ht="15.1" customHeight="1">
      <c r="A2179" s="8"/>
      <c r="B2179" s="9"/>
      <c r="C2179" s="8"/>
      <c r="D2179" s="9"/>
      <c r="E2179" s="8">
        <v>2</v>
      </c>
      <c r="F2179" s="8">
        <v>2</v>
      </c>
      <c r="G2179" s="8">
        <v>0</v>
      </c>
      <c r="H2179" s="8">
        <v>2</v>
      </c>
      <c r="I2179" s="8">
        <v>2</v>
      </c>
      <c r="J2179" s="8">
        <v>2</v>
      </c>
      <c r="K2179" s="8">
        <v>2</v>
      </c>
      <c r="L2179" s="8">
        <v>2</v>
      </c>
      <c r="M2179" s="8">
        <v>2</v>
      </c>
      <c r="N2179" s="8">
        <v>0</v>
      </c>
      <c r="O2179" s="8">
        <v>2</v>
      </c>
      <c r="P2179" s="8">
        <v>2</v>
      </c>
      <c r="Q2179" s="8">
        <v>2</v>
      </c>
      <c r="R2179" s="8">
        <v>2</v>
      </c>
      <c r="S2179" s="8">
        <v>2</v>
      </c>
      <c r="T2179" s="8">
        <v>2</v>
      </c>
      <c r="U2179" s="8">
        <v>0</v>
      </c>
      <c r="V2179" s="8">
        <v>2</v>
      </c>
      <c r="W2179" s="8">
        <v>2</v>
      </c>
      <c r="X2179" s="8">
        <v>2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8">
        <v>0</v>
      </c>
      <c r="AH2179" s="8">
        <v>0</v>
      </c>
      <c r="AI2179" s="8">
        <v>0</v>
      </c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11" t="s">
        <v>257</v>
      </c>
    </row>
    <row r="2180" spans="1:46" ht="15.1" customHeight="1">
      <c r="A2180" s="8"/>
      <c r="B2180" s="9"/>
      <c r="C2180" s="8"/>
      <c r="D2180" s="9"/>
      <c r="E2180" s="8">
        <v>3.5</v>
      </c>
      <c r="F2180" s="8">
        <v>3</v>
      </c>
      <c r="G2180" s="8">
        <v>15</v>
      </c>
      <c r="H2180" s="8">
        <v>7</v>
      </c>
      <c r="I2180" s="8">
        <v>6.5</v>
      </c>
      <c r="J2180" s="8">
        <v>4.5</v>
      </c>
      <c r="K2180" s="8">
        <v>7</v>
      </c>
      <c r="L2180" s="8">
        <v>7</v>
      </c>
      <c r="M2180" s="8">
        <v>5</v>
      </c>
      <c r="N2180" s="8">
        <v>16.5</v>
      </c>
      <c r="O2180" s="8">
        <v>7</v>
      </c>
      <c r="P2180" s="8">
        <v>7</v>
      </c>
      <c r="Q2180" s="8">
        <v>7</v>
      </c>
      <c r="R2180" s="8">
        <v>6.5</v>
      </c>
      <c r="S2180" s="8">
        <v>6.5</v>
      </c>
      <c r="T2180" s="8">
        <v>4</v>
      </c>
      <c r="U2180" s="8">
        <v>12.5</v>
      </c>
      <c r="V2180" s="8">
        <v>7</v>
      </c>
      <c r="W2180" s="8">
        <v>7</v>
      </c>
      <c r="X2180" s="8">
        <v>6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11" t="s">
        <v>257</v>
      </c>
    </row>
    <row r="2181" spans="1:46" ht="15.1" customHeight="1">
      <c r="A2181" s="8">
        <v>726</v>
      </c>
      <c r="B2181" s="9" t="s">
        <v>1689</v>
      </c>
      <c r="C2181" s="8" t="s">
        <v>1690</v>
      </c>
      <c r="D2181" s="9" t="s">
        <v>451</v>
      </c>
      <c r="E2181" s="8" t="s">
        <v>54</v>
      </c>
      <c r="F2181" s="12" t="s">
        <v>55</v>
      </c>
      <c r="G2181" s="10" t="s">
        <v>67</v>
      </c>
      <c r="H2181" s="8" t="s">
        <v>54</v>
      </c>
      <c r="I2181" s="8" t="s">
        <v>54</v>
      </c>
      <c r="J2181" s="8" t="s">
        <v>54</v>
      </c>
      <c r="K2181" s="8" t="s">
        <v>54</v>
      </c>
      <c r="L2181" s="8" t="s">
        <v>54</v>
      </c>
      <c r="M2181" s="8" t="s">
        <v>54</v>
      </c>
      <c r="N2181" s="10" t="s">
        <v>67</v>
      </c>
      <c r="O2181" s="8" t="s">
        <v>54</v>
      </c>
      <c r="P2181" s="8" t="s">
        <v>54</v>
      </c>
      <c r="Q2181" s="8" t="s">
        <v>54</v>
      </c>
      <c r="R2181" s="8" t="s">
        <v>54</v>
      </c>
      <c r="S2181" s="12" t="s">
        <v>55</v>
      </c>
      <c r="T2181" s="8" t="s">
        <v>54</v>
      </c>
      <c r="U2181" s="10" t="s">
        <v>67</v>
      </c>
      <c r="V2181" s="8" t="s">
        <v>54</v>
      </c>
      <c r="W2181" s="8" t="s">
        <v>54</v>
      </c>
      <c r="X2181" s="8" t="s">
        <v>54</v>
      </c>
      <c r="Y2181" s="8" t="s">
        <v>54</v>
      </c>
      <c r="Z2181" s="8" t="s">
        <v>54</v>
      </c>
      <c r="AA2181" s="8" t="s">
        <v>54</v>
      </c>
      <c r="AB2181" s="10" t="s">
        <v>67</v>
      </c>
      <c r="AC2181" s="8" t="s">
        <v>54</v>
      </c>
      <c r="AD2181" s="8" t="s">
        <v>54</v>
      </c>
      <c r="AE2181" s="8" t="s">
        <v>54</v>
      </c>
      <c r="AF2181" s="8" t="s">
        <v>54</v>
      </c>
      <c r="AG2181" s="8" t="s">
        <v>54</v>
      </c>
      <c r="AH2181" s="12" t="s">
        <v>55</v>
      </c>
      <c r="AI2181" s="10" t="s">
        <v>67</v>
      </c>
      <c r="AJ2181" s="8">
        <f>COUNTIF($E$2181:$AI$2181,"P")</f>
        <v>23</v>
      </c>
      <c r="AK2181" s="8">
        <f>COUNTIF($E$2181:$AI$2181,"A")</f>
        <v>3</v>
      </c>
      <c r="AL2181" s="8">
        <f>SUM($E$2182:$AI$2182)</f>
        <v>34</v>
      </c>
      <c r="AM2181" s="8">
        <f>SUM($E$2183:$AI$2183)</f>
        <v>138.5</v>
      </c>
      <c r="AN2181" s="8">
        <f>AL2181+AM2181</f>
        <v>172.5</v>
      </c>
      <c r="AO2181" s="8">
        <f>COUNTIF($E$2181:$AI$2181,"CL")</f>
        <v>0</v>
      </c>
      <c r="AP2181" s="8">
        <f>COUNTIF($E$2181:$AI$2181,"SL")</f>
        <v>0</v>
      </c>
      <c r="AQ2181" s="8">
        <f>COUNTIF($E$2181:$AI$2181,"EL")</f>
        <v>0</v>
      </c>
      <c r="AR2181" s="8">
        <f>COUNTIF($E$2181:$AI$2181,"H")</f>
        <v>0</v>
      </c>
      <c r="AS2181" s="8"/>
      <c r="AT2181" s="11" t="s">
        <v>257</v>
      </c>
    </row>
    <row r="2182" spans="1:46" ht="15.1" customHeight="1">
      <c r="A2182" s="8"/>
      <c r="B2182" s="9"/>
      <c r="C2182" s="8"/>
      <c r="D2182" s="9"/>
      <c r="E2182" s="8">
        <v>2</v>
      </c>
      <c r="F2182" s="8">
        <v>0</v>
      </c>
      <c r="G2182" s="8">
        <v>0</v>
      </c>
      <c r="H2182" s="8">
        <v>2</v>
      </c>
      <c r="I2182" s="8">
        <v>2</v>
      </c>
      <c r="J2182" s="8">
        <v>2</v>
      </c>
      <c r="K2182" s="8">
        <v>2</v>
      </c>
      <c r="L2182" s="8">
        <v>2</v>
      </c>
      <c r="M2182" s="8">
        <v>2</v>
      </c>
      <c r="N2182" s="8">
        <v>0</v>
      </c>
      <c r="O2182" s="8">
        <v>2</v>
      </c>
      <c r="P2182" s="8">
        <v>2</v>
      </c>
      <c r="Q2182" s="8">
        <v>2</v>
      </c>
      <c r="R2182" s="8">
        <v>2</v>
      </c>
      <c r="S2182" s="8">
        <v>0</v>
      </c>
      <c r="T2182" s="8">
        <v>2</v>
      </c>
      <c r="U2182" s="8">
        <v>0</v>
      </c>
      <c r="V2182" s="8">
        <v>2</v>
      </c>
      <c r="W2182" s="8">
        <v>2</v>
      </c>
      <c r="X2182" s="8">
        <v>2</v>
      </c>
      <c r="Y2182" s="8">
        <v>0</v>
      </c>
      <c r="Z2182" s="8">
        <v>0</v>
      </c>
      <c r="AA2182" s="8">
        <v>0</v>
      </c>
      <c r="AB2182" s="8">
        <v>0</v>
      </c>
      <c r="AC2182" s="8">
        <v>2</v>
      </c>
      <c r="AD2182" s="8">
        <v>2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11" t="s">
        <v>257</v>
      </c>
    </row>
    <row r="2183" spans="1:46" ht="15.1" customHeight="1">
      <c r="A2183" s="8"/>
      <c r="B2183" s="9"/>
      <c r="C2183" s="8"/>
      <c r="D2183" s="9"/>
      <c r="E2183" s="8">
        <v>0</v>
      </c>
      <c r="F2183" s="8">
        <v>0</v>
      </c>
      <c r="G2183" s="8">
        <v>15</v>
      </c>
      <c r="H2183" s="8">
        <v>7</v>
      </c>
      <c r="I2183" s="8">
        <v>7</v>
      </c>
      <c r="J2183" s="8">
        <v>5</v>
      </c>
      <c r="K2183" s="8">
        <v>7</v>
      </c>
      <c r="L2183" s="8">
        <v>7</v>
      </c>
      <c r="M2183" s="8">
        <v>5</v>
      </c>
      <c r="N2183" s="8">
        <v>17</v>
      </c>
      <c r="O2183" s="8">
        <v>7</v>
      </c>
      <c r="P2183" s="8">
        <v>7</v>
      </c>
      <c r="Q2183" s="8">
        <v>6.5</v>
      </c>
      <c r="R2183" s="8">
        <v>7</v>
      </c>
      <c r="S2183" s="8">
        <v>0</v>
      </c>
      <c r="T2183" s="8">
        <v>4.5</v>
      </c>
      <c r="U2183" s="8">
        <v>12.5</v>
      </c>
      <c r="V2183" s="8">
        <v>7</v>
      </c>
      <c r="W2183" s="8">
        <v>7</v>
      </c>
      <c r="X2183" s="8">
        <v>6</v>
      </c>
      <c r="Y2183" s="8">
        <v>0</v>
      </c>
      <c r="Z2183" s="8">
        <v>0</v>
      </c>
      <c r="AA2183" s="8">
        <v>0</v>
      </c>
      <c r="AB2183" s="8">
        <v>0</v>
      </c>
      <c r="AC2183" s="8">
        <v>1</v>
      </c>
      <c r="AD2183" s="8">
        <v>3</v>
      </c>
      <c r="AE2183" s="8">
        <v>0</v>
      </c>
      <c r="AF2183" s="8">
        <v>0</v>
      </c>
      <c r="AG2183" s="8">
        <v>0</v>
      </c>
      <c r="AH2183" s="8">
        <v>0</v>
      </c>
      <c r="AI2183" s="8">
        <v>0</v>
      </c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11" t="s">
        <v>257</v>
      </c>
    </row>
    <row r="2184" spans="1:46" ht="15.1" customHeight="1">
      <c r="A2184" s="8">
        <v>727</v>
      </c>
      <c r="B2184" s="9" t="s">
        <v>1691</v>
      </c>
      <c r="C2184" s="8" t="s">
        <v>1692</v>
      </c>
      <c r="D2184" s="9" t="s">
        <v>451</v>
      </c>
      <c r="E2184" s="8" t="s">
        <v>54</v>
      </c>
      <c r="F2184" s="8" t="s">
        <v>54</v>
      </c>
      <c r="G2184" s="10" t="s">
        <v>67</v>
      </c>
      <c r="H2184" s="8" t="s">
        <v>54</v>
      </c>
      <c r="I2184" s="8" t="s">
        <v>54</v>
      </c>
      <c r="J2184" s="8" t="s">
        <v>54</v>
      </c>
      <c r="K2184" s="8" t="s">
        <v>54</v>
      </c>
      <c r="L2184" s="8" t="s">
        <v>54</v>
      </c>
      <c r="M2184" s="8" t="s">
        <v>54</v>
      </c>
      <c r="N2184" s="10" t="s">
        <v>67</v>
      </c>
      <c r="O2184" s="8" t="s">
        <v>54</v>
      </c>
      <c r="P2184" s="8" t="s">
        <v>54</v>
      </c>
      <c r="Q2184" s="8" t="s">
        <v>54</v>
      </c>
      <c r="R2184" s="8" t="s">
        <v>54</v>
      </c>
      <c r="S2184" s="8" t="s">
        <v>54</v>
      </c>
      <c r="T2184" s="8" t="s">
        <v>54</v>
      </c>
      <c r="U2184" s="10" t="s">
        <v>67</v>
      </c>
      <c r="V2184" s="8" t="s">
        <v>54</v>
      </c>
      <c r="W2184" s="8" t="s">
        <v>54</v>
      </c>
      <c r="X2184" s="8" t="s">
        <v>54</v>
      </c>
      <c r="Y2184" s="8" t="s">
        <v>54</v>
      </c>
      <c r="Z2184" s="8" t="s">
        <v>54</v>
      </c>
      <c r="AA2184" s="8" t="s">
        <v>54</v>
      </c>
      <c r="AB2184" s="10" t="s">
        <v>67</v>
      </c>
      <c r="AC2184" s="8" t="s">
        <v>54</v>
      </c>
      <c r="AD2184" s="8" t="s">
        <v>54</v>
      </c>
      <c r="AE2184" s="8" t="s">
        <v>54</v>
      </c>
      <c r="AF2184" s="8" t="s">
        <v>54</v>
      </c>
      <c r="AG2184" s="8" t="s">
        <v>54</v>
      </c>
      <c r="AH2184" s="12" t="s">
        <v>55</v>
      </c>
      <c r="AI2184" s="10" t="s">
        <v>67</v>
      </c>
      <c r="AJ2184" s="8">
        <f>COUNTIF($E$2184:$AI$2184,"P")</f>
        <v>25</v>
      </c>
      <c r="AK2184" s="8">
        <f>COUNTIF($E$2184:$AI$2184,"A")</f>
        <v>1</v>
      </c>
      <c r="AL2184" s="8">
        <f>SUM($E$2185:$AI$2185)</f>
        <v>37</v>
      </c>
      <c r="AM2184" s="8">
        <f>SUM($E$2186:$AI$2186)</f>
        <v>156</v>
      </c>
      <c r="AN2184" s="8">
        <f>AL2184+AM2184</f>
        <v>193</v>
      </c>
      <c r="AO2184" s="8">
        <f>COUNTIF($E$2184:$AI$2184,"CL")</f>
        <v>0</v>
      </c>
      <c r="AP2184" s="8">
        <f>COUNTIF($E$2184:$AI$2184,"SL")</f>
        <v>0</v>
      </c>
      <c r="AQ2184" s="8">
        <f>COUNTIF($E$2184:$AI$2184,"EL")</f>
        <v>0</v>
      </c>
      <c r="AR2184" s="8">
        <f>COUNTIF($E$2184:$AI$2184,"H")</f>
        <v>0</v>
      </c>
      <c r="AS2184" s="8"/>
      <c r="AT2184" s="11" t="s">
        <v>257</v>
      </c>
    </row>
    <row r="2185" spans="1:46" ht="15.1" customHeight="1">
      <c r="A2185" s="8"/>
      <c r="B2185" s="9"/>
      <c r="C2185" s="8"/>
      <c r="D2185" s="9"/>
      <c r="E2185" s="8">
        <v>2</v>
      </c>
      <c r="F2185" s="8">
        <v>2</v>
      </c>
      <c r="G2185" s="8">
        <v>0</v>
      </c>
      <c r="H2185" s="8">
        <v>2</v>
      </c>
      <c r="I2185" s="8">
        <v>2</v>
      </c>
      <c r="J2185" s="8">
        <v>2</v>
      </c>
      <c r="K2185" s="8">
        <v>2</v>
      </c>
      <c r="L2185" s="8">
        <v>2</v>
      </c>
      <c r="M2185" s="8">
        <v>2</v>
      </c>
      <c r="N2185" s="8">
        <v>0</v>
      </c>
      <c r="O2185" s="8">
        <v>2</v>
      </c>
      <c r="P2185" s="8">
        <v>2</v>
      </c>
      <c r="Q2185" s="8">
        <v>2</v>
      </c>
      <c r="R2185" s="8">
        <v>2</v>
      </c>
      <c r="S2185" s="8">
        <v>2</v>
      </c>
      <c r="T2185" s="8">
        <v>2</v>
      </c>
      <c r="U2185" s="8">
        <v>0</v>
      </c>
      <c r="V2185" s="8">
        <v>2</v>
      </c>
      <c r="W2185" s="8">
        <v>2</v>
      </c>
      <c r="X2185" s="8">
        <v>2</v>
      </c>
      <c r="Y2185" s="8">
        <v>0</v>
      </c>
      <c r="Z2185" s="8">
        <v>0</v>
      </c>
      <c r="AA2185" s="8">
        <v>1</v>
      </c>
      <c r="AB2185" s="8">
        <v>0</v>
      </c>
      <c r="AC2185" s="8">
        <v>2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11" t="s">
        <v>257</v>
      </c>
    </row>
    <row r="2186" spans="1:46" ht="15.1" customHeight="1">
      <c r="A2186" s="8"/>
      <c r="B2186" s="9"/>
      <c r="C2186" s="8"/>
      <c r="D2186" s="9"/>
      <c r="E2186" s="8">
        <v>3</v>
      </c>
      <c r="F2186" s="8">
        <v>3</v>
      </c>
      <c r="G2186" s="8">
        <v>15</v>
      </c>
      <c r="H2186" s="8">
        <v>7</v>
      </c>
      <c r="I2186" s="8">
        <v>7</v>
      </c>
      <c r="J2186" s="8">
        <v>6</v>
      </c>
      <c r="K2186" s="8">
        <v>7</v>
      </c>
      <c r="L2186" s="8">
        <v>8</v>
      </c>
      <c r="M2186" s="8">
        <v>4.5</v>
      </c>
      <c r="N2186" s="8">
        <v>17</v>
      </c>
      <c r="O2186" s="8">
        <v>8</v>
      </c>
      <c r="P2186" s="8">
        <v>8</v>
      </c>
      <c r="Q2186" s="8">
        <v>7.5</v>
      </c>
      <c r="R2186" s="8">
        <v>6.5</v>
      </c>
      <c r="S2186" s="8">
        <v>10</v>
      </c>
      <c r="T2186" s="8">
        <v>4.5</v>
      </c>
      <c r="U2186" s="8">
        <v>13</v>
      </c>
      <c r="V2186" s="8">
        <v>7</v>
      </c>
      <c r="W2186" s="8">
        <v>7</v>
      </c>
      <c r="X2186" s="8">
        <v>6</v>
      </c>
      <c r="Y2186" s="8">
        <v>0</v>
      </c>
      <c r="Z2186" s="8">
        <v>0</v>
      </c>
      <c r="AA2186" s="8">
        <v>0</v>
      </c>
      <c r="AB2186" s="8">
        <v>0</v>
      </c>
      <c r="AC2186" s="8">
        <v>1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11" t="s">
        <v>257</v>
      </c>
    </row>
    <row r="2187" spans="1:46" ht="15.1" customHeight="1">
      <c r="A2187" s="8">
        <v>728</v>
      </c>
      <c r="B2187" s="9" t="s">
        <v>1693</v>
      </c>
      <c r="C2187" s="8" t="s">
        <v>1694</v>
      </c>
      <c r="D2187" s="9" t="s">
        <v>451</v>
      </c>
      <c r="E2187" s="8" t="s">
        <v>54</v>
      </c>
      <c r="F2187" s="8" t="s">
        <v>54</v>
      </c>
      <c r="G2187" s="10" t="s">
        <v>67</v>
      </c>
      <c r="H2187" s="8" t="s">
        <v>54</v>
      </c>
      <c r="I2187" s="8" t="s">
        <v>54</v>
      </c>
      <c r="J2187" s="8" t="s">
        <v>54</v>
      </c>
      <c r="K2187" s="8" t="s">
        <v>54</v>
      </c>
      <c r="L2187" s="8" t="s">
        <v>54</v>
      </c>
      <c r="M2187" s="8" t="s">
        <v>54</v>
      </c>
      <c r="N2187" s="10" t="s">
        <v>67</v>
      </c>
      <c r="O2187" s="8" t="s">
        <v>54</v>
      </c>
      <c r="P2187" s="8" t="s">
        <v>54</v>
      </c>
      <c r="Q2187" s="8" t="s">
        <v>54</v>
      </c>
      <c r="R2187" s="8" t="s">
        <v>54</v>
      </c>
      <c r="S2187" s="8" t="s">
        <v>54</v>
      </c>
      <c r="T2187" s="8" t="s">
        <v>54</v>
      </c>
      <c r="U2187" s="10" t="s">
        <v>67</v>
      </c>
      <c r="V2187" s="8" t="s">
        <v>54</v>
      </c>
      <c r="W2187" s="8" t="s">
        <v>54</v>
      </c>
      <c r="X2187" s="8" t="s">
        <v>54</v>
      </c>
      <c r="Y2187" s="8" t="s">
        <v>54</v>
      </c>
      <c r="Z2187" s="8" t="s">
        <v>54</v>
      </c>
      <c r="AA2187" s="8" t="s">
        <v>54</v>
      </c>
      <c r="AB2187" s="10" t="s">
        <v>67</v>
      </c>
      <c r="AC2187" s="8" t="s">
        <v>54</v>
      </c>
      <c r="AD2187" s="8" t="s">
        <v>54</v>
      </c>
      <c r="AE2187" s="8" t="s">
        <v>54</v>
      </c>
      <c r="AF2187" s="8" t="s">
        <v>54</v>
      </c>
      <c r="AG2187" s="8" t="s">
        <v>54</v>
      </c>
      <c r="AH2187" s="12" t="s">
        <v>55</v>
      </c>
      <c r="AI2187" s="10" t="s">
        <v>67</v>
      </c>
      <c r="AJ2187" s="8">
        <f>COUNTIF($E$2187:$AI$2187,"P")</f>
        <v>25</v>
      </c>
      <c r="AK2187" s="8">
        <f>COUNTIF($E$2187:$AI$2187,"A")</f>
        <v>1</v>
      </c>
      <c r="AL2187" s="8">
        <f>SUM($E$2188:$AI$2188)</f>
        <v>38</v>
      </c>
      <c r="AM2187" s="8">
        <f>SUM($E$2189:$AI$2189)</f>
        <v>152</v>
      </c>
      <c r="AN2187" s="8">
        <f>AL2187+AM2187</f>
        <v>190</v>
      </c>
      <c r="AO2187" s="8">
        <f>COUNTIF($E$2187:$AI$2187,"CL")</f>
        <v>0</v>
      </c>
      <c r="AP2187" s="8">
        <f>COUNTIF($E$2187:$AI$2187,"SL")</f>
        <v>0</v>
      </c>
      <c r="AQ2187" s="8">
        <f>COUNTIF($E$2187:$AI$2187,"EL")</f>
        <v>0</v>
      </c>
      <c r="AR2187" s="8">
        <f>COUNTIF($E$2187:$AI$2187,"H")</f>
        <v>0</v>
      </c>
      <c r="AS2187" s="8"/>
      <c r="AT2187" s="11" t="s">
        <v>257</v>
      </c>
    </row>
    <row r="2188" spans="1:46" ht="15.1" customHeight="1">
      <c r="A2188" s="8"/>
      <c r="B2188" s="9"/>
      <c r="C2188" s="8"/>
      <c r="D2188" s="9"/>
      <c r="E2188" s="8">
        <v>2</v>
      </c>
      <c r="F2188" s="8">
        <v>2</v>
      </c>
      <c r="G2188" s="8">
        <v>0</v>
      </c>
      <c r="H2188" s="8">
        <v>2</v>
      </c>
      <c r="I2188" s="8">
        <v>2</v>
      </c>
      <c r="J2188" s="8">
        <v>2</v>
      </c>
      <c r="K2188" s="8">
        <v>2</v>
      </c>
      <c r="L2188" s="8">
        <v>2</v>
      </c>
      <c r="M2188" s="8">
        <v>2</v>
      </c>
      <c r="N2188" s="8">
        <v>0</v>
      </c>
      <c r="O2188" s="8">
        <v>2</v>
      </c>
      <c r="P2188" s="8">
        <v>2</v>
      </c>
      <c r="Q2188" s="8">
        <v>2</v>
      </c>
      <c r="R2188" s="8">
        <v>2</v>
      </c>
      <c r="S2188" s="8">
        <v>2</v>
      </c>
      <c r="T2188" s="8">
        <v>2</v>
      </c>
      <c r="U2188" s="8">
        <v>0</v>
      </c>
      <c r="V2188" s="8">
        <v>2</v>
      </c>
      <c r="W2188" s="8">
        <v>2</v>
      </c>
      <c r="X2188" s="8">
        <v>2</v>
      </c>
      <c r="Y2188" s="8">
        <v>0</v>
      </c>
      <c r="Z2188" s="8">
        <v>0</v>
      </c>
      <c r="AA2188" s="8">
        <v>0</v>
      </c>
      <c r="AB2188" s="8">
        <v>0</v>
      </c>
      <c r="AC2188" s="8">
        <v>2</v>
      </c>
      <c r="AD2188" s="8">
        <v>2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11" t="s">
        <v>257</v>
      </c>
    </row>
    <row r="2189" spans="1:46" ht="15.1" customHeight="1">
      <c r="A2189" s="8"/>
      <c r="B2189" s="9"/>
      <c r="C2189" s="8"/>
      <c r="D2189" s="9"/>
      <c r="E2189" s="8">
        <v>3.5</v>
      </c>
      <c r="F2189" s="8">
        <v>3</v>
      </c>
      <c r="G2189" s="8">
        <v>14.5</v>
      </c>
      <c r="H2189" s="8">
        <v>7</v>
      </c>
      <c r="I2189" s="8">
        <v>7</v>
      </c>
      <c r="J2189" s="8">
        <v>5</v>
      </c>
      <c r="K2189" s="8">
        <v>7</v>
      </c>
      <c r="L2189" s="8">
        <v>7</v>
      </c>
      <c r="M2189" s="8">
        <v>5</v>
      </c>
      <c r="N2189" s="8">
        <v>17</v>
      </c>
      <c r="O2189" s="8">
        <v>7</v>
      </c>
      <c r="P2189" s="8">
        <v>7</v>
      </c>
      <c r="Q2189" s="8">
        <v>7</v>
      </c>
      <c r="R2189" s="8">
        <v>7</v>
      </c>
      <c r="S2189" s="8">
        <v>7</v>
      </c>
      <c r="T2189" s="8">
        <v>4.5</v>
      </c>
      <c r="U2189" s="8">
        <v>12.5</v>
      </c>
      <c r="V2189" s="8">
        <v>7</v>
      </c>
      <c r="W2189" s="8">
        <v>7</v>
      </c>
      <c r="X2189" s="8">
        <v>6</v>
      </c>
      <c r="Y2189" s="8">
        <v>0</v>
      </c>
      <c r="Z2189" s="8">
        <v>0</v>
      </c>
      <c r="AA2189" s="8">
        <v>0</v>
      </c>
      <c r="AB2189" s="8">
        <v>0</v>
      </c>
      <c r="AC2189" s="8">
        <v>1</v>
      </c>
      <c r="AD2189" s="8">
        <v>3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11" t="s">
        <v>257</v>
      </c>
    </row>
    <row r="2190" spans="1:46" ht="15.1" customHeight="1">
      <c r="A2190" s="8">
        <v>729</v>
      </c>
      <c r="B2190" s="9" t="s">
        <v>1695</v>
      </c>
      <c r="C2190" s="8" t="s">
        <v>1696</v>
      </c>
      <c r="D2190" s="9" t="s">
        <v>451</v>
      </c>
      <c r="E2190" s="8" t="s">
        <v>54</v>
      </c>
      <c r="F2190" s="12" t="s">
        <v>55</v>
      </c>
      <c r="G2190" s="10" t="s">
        <v>67</v>
      </c>
      <c r="H2190" s="8" t="s">
        <v>54</v>
      </c>
      <c r="I2190" s="8" t="s">
        <v>54</v>
      </c>
      <c r="J2190" s="8" t="s">
        <v>54</v>
      </c>
      <c r="K2190" s="8" t="s">
        <v>54</v>
      </c>
      <c r="L2190" s="8" t="s">
        <v>54</v>
      </c>
      <c r="M2190" s="8" t="s">
        <v>54</v>
      </c>
      <c r="N2190" s="10" t="s">
        <v>67</v>
      </c>
      <c r="O2190" s="8" t="s">
        <v>54</v>
      </c>
      <c r="P2190" s="8" t="s">
        <v>54</v>
      </c>
      <c r="Q2190" s="8" t="s">
        <v>54</v>
      </c>
      <c r="R2190" s="8" t="s">
        <v>54</v>
      </c>
      <c r="S2190" s="12" t="s">
        <v>55</v>
      </c>
      <c r="T2190" s="8" t="s">
        <v>54</v>
      </c>
      <c r="U2190" s="10" t="s">
        <v>67</v>
      </c>
      <c r="V2190" s="8" t="s">
        <v>54</v>
      </c>
      <c r="W2190" s="8" t="s">
        <v>54</v>
      </c>
      <c r="X2190" s="8" t="s">
        <v>19</v>
      </c>
      <c r="Y2190" s="8" t="s">
        <v>19</v>
      </c>
      <c r="Z2190" s="8" t="s">
        <v>19</v>
      </c>
      <c r="AA2190" s="8" t="s">
        <v>19</v>
      </c>
      <c r="AB2190" s="10" t="s">
        <v>67</v>
      </c>
      <c r="AC2190" s="8" t="s">
        <v>54</v>
      </c>
      <c r="AD2190" s="8" t="s">
        <v>54</v>
      </c>
      <c r="AE2190" s="8" t="s">
        <v>54</v>
      </c>
      <c r="AF2190" s="8" t="s">
        <v>54</v>
      </c>
      <c r="AG2190" s="8" t="s">
        <v>54</v>
      </c>
      <c r="AH2190" s="12" t="s">
        <v>55</v>
      </c>
      <c r="AI2190" s="10" t="s">
        <v>67</v>
      </c>
      <c r="AJ2190" s="8">
        <f>COUNTIF($E$2190:$AI$2190,"P")</f>
        <v>19</v>
      </c>
      <c r="AK2190" s="8">
        <f>COUNTIF($E$2190:$AI$2190,"A")</f>
        <v>3</v>
      </c>
      <c r="AL2190" s="8">
        <f>SUM($E$2191:$AI$2191)</f>
        <v>31</v>
      </c>
      <c r="AM2190" s="8">
        <f>SUM($E$2192:$AI$2192)</f>
        <v>127</v>
      </c>
      <c r="AN2190" s="8">
        <f>AL2190+AM2190</f>
        <v>157.5</v>
      </c>
      <c r="AO2190" s="8">
        <f>COUNTIF($E$2190:$AI$2190,"CL")</f>
        <v>0</v>
      </c>
      <c r="AP2190" s="8">
        <f>COUNTIF($E$2190:$AI$2190,"SL")</f>
        <v>4</v>
      </c>
      <c r="AQ2190" s="8">
        <f>COUNTIF($E$2190:$AI$2190,"EL")</f>
        <v>0</v>
      </c>
      <c r="AR2190" s="8">
        <f>COUNTIF($E$2190:$AI$2190,"H")</f>
        <v>0</v>
      </c>
      <c r="AS2190" s="8"/>
      <c r="AT2190" s="11" t="s">
        <v>257</v>
      </c>
    </row>
    <row r="2191" spans="1:46" ht="15.1" customHeight="1">
      <c r="A2191" s="8"/>
      <c r="B2191" s="9"/>
      <c r="C2191" s="8"/>
      <c r="D2191" s="9"/>
      <c r="E2191" s="8">
        <v>2</v>
      </c>
      <c r="F2191" s="8">
        <v>0</v>
      </c>
      <c r="G2191" s="8">
        <v>0</v>
      </c>
      <c r="H2191" s="8">
        <v>2</v>
      </c>
      <c r="I2191" s="8">
        <v>2</v>
      </c>
      <c r="J2191" s="8">
        <v>2</v>
      </c>
      <c r="K2191" s="8">
        <v>2</v>
      </c>
      <c r="L2191" s="8">
        <v>2</v>
      </c>
      <c r="M2191" s="8">
        <v>2</v>
      </c>
      <c r="N2191" s="8">
        <v>0</v>
      </c>
      <c r="O2191" s="8">
        <v>2</v>
      </c>
      <c r="P2191" s="8">
        <v>2</v>
      </c>
      <c r="Q2191" s="8">
        <v>2</v>
      </c>
      <c r="R2191" s="8">
        <v>2</v>
      </c>
      <c r="S2191" s="8">
        <v>0</v>
      </c>
      <c r="T2191" s="8">
        <v>2</v>
      </c>
      <c r="U2191" s="8">
        <v>0</v>
      </c>
      <c r="V2191" s="8">
        <v>2</v>
      </c>
      <c r="W2191" s="8">
        <v>2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1</v>
      </c>
      <c r="AD2191" s="8">
        <v>2</v>
      </c>
      <c r="AE2191" s="8">
        <v>0</v>
      </c>
      <c r="AF2191" s="8">
        <v>0</v>
      </c>
      <c r="AG2191" s="8">
        <v>0</v>
      </c>
      <c r="AH2191" s="8">
        <v>0</v>
      </c>
      <c r="AI2191" s="8">
        <v>0</v>
      </c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11" t="s">
        <v>257</v>
      </c>
    </row>
    <row r="2192" spans="1:46" ht="15.1" customHeight="1">
      <c r="A2192" s="8"/>
      <c r="B2192" s="9"/>
      <c r="C2192" s="8"/>
      <c r="D2192" s="9"/>
      <c r="E2192" s="8">
        <v>3</v>
      </c>
      <c r="F2192" s="8">
        <v>0</v>
      </c>
      <c r="G2192" s="8">
        <v>15</v>
      </c>
      <c r="H2192" s="8">
        <v>7</v>
      </c>
      <c r="I2192" s="8">
        <v>11</v>
      </c>
      <c r="J2192" s="8">
        <v>1</v>
      </c>
      <c r="K2192" s="8">
        <v>10</v>
      </c>
      <c r="L2192" s="8">
        <v>5</v>
      </c>
      <c r="M2192" s="8">
        <v>5</v>
      </c>
      <c r="N2192" s="8">
        <v>17</v>
      </c>
      <c r="O2192" s="8">
        <v>8</v>
      </c>
      <c r="P2192" s="8">
        <v>8</v>
      </c>
      <c r="Q2192" s="8">
        <v>9</v>
      </c>
      <c r="R2192" s="8">
        <v>2</v>
      </c>
      <c r="S2192" s="8">
        <v>0</v>
      </c>
      <c r="T2192" s="8">
        <v>3</v>
      </c>
      <c r="U2192" s="8">
        <v>13</v>
      </c>
      <c r="V2192" s="8">
        <v>7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3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11" t="s">
        <v>257</v>
      </c>
    </row>
    <row r="2193" spans="1:46" ht="15.1" customHeight="1">
      <c r="A2193" s="8">
        <v>730</v>
      </c>
      <c r="B2193" s="9" t="s">
        <v>1697</v>
      </c>
      <c r="C2193" s="8" t="s">
        <v>1698</v>
      </c>
      <c r="D2193" s="9" t="s">
        <v>451</v>
      </c>
      <c r="E2193" s="8" t="s">
        <v>54</v>
      </c>
      <c r="F2193" s="8" t="s">
        <v>54</v>
      </c>
      <c r="G2193" s="10" t="s">
        <v>67</v>
      </c>
      <c r="H2193" s="8" t="s">
        <v>54</v>
      </c>
      <c r="I2193" s="8" t="s">
        <v>54</v>
      </c>
      <c r="J2193" s="8" t="s">
        <v>54</v>
      </c>
      <c r="K2193" s="8" t="s">
        <v>54</v>
      </c>
      <c r="L2193" s="8" t="s">
        <v>54</v>
      </c>
      <c r="M2193" s="8" t="s">
        <v>54</v>
      </c>
      <c r="N2193" s="10" t="s">
        <v>67</v>
      </c>
      <c r="O2193" s="8" t="s">
        <v>54</v>
      </c>
      <c r="P2193" s="8" t="s">
        <v>54</v>
      </c>
      <c r="Q2193" s="8" t="s">
        <v>54</v>
      </c>
      <c r="R2193" s="8" t="s">
        <v>54</v>
      </c>
      <c r="S2193" s="8" t="s">
        <v>54</v>
      </c>
      <c r="T2193" s="8" t="s">
        <v>54</v>
      </c>
      <c r="U2193" s="10" t="s">
        <v>67</v>
      </c>
      <c r="V2193" s="8" t="s">
        <v>54</v>
      </c>
      <c r="W2193" s="8" t="s">
        <v>54</v>
      </c>
      <c r="X2193" s="12" t="s">
        <v>55</v>
      </c>
      <c r="Y2193" s="12" t="s">
        <v>55</v>
      </c>
      <c r="Z2193" s="8" t="s">
        <v>54</v>
      </c>
      <c r="AA2193" s="8" t="s">
        <v>54</v>
      </c>
      <c r="AB2193" s="10" t="s">
        <v>67</v>
      </c>
      <c r="AC2193" s="8" t="s">
        <v>54</v>
      </c>
      <c r="AD2193" s="8" t="s">
        <v>54</v>
      </c>
      <c r="AE2193" s="8" t="s">
        <v>54</v>
      </c>
      <c r="AF2193" s="8" t="s">
        <v>54</v>
      </c>
      <c r="AG2193" s="8" t="s">
        <v>54</v>
      </c>
      <c r="AH2193" s="12" t="s">
        <v>55</v>
      </c>
      <c r="AI2193" s="10" t="s">
        <v>67</v>
      </c>
      <c r="AJ2193" s="8">
        <f>COUNTIF($E$2193:$AI$2193,"P")</f>
        <v>23</v>
      </c>
      <c r="AK2193" s="8">
        <f>COUNTIF($E$2193:$AI$2193,"A")</f>
        <v>3</v>
      </c>
      <c r="AL2193" s="8">
        <f>SUM($E$2194:$AI$2194)</f>
        <v>41</v>
      </c>
      <c r="AM2193" s="8">
        <f>SUM($E$2195:$AI$2195)</f>
        <v>145</v>
      </c>
      <c r="AN2193" s="8">
        <f>AL2193+AM2193</f>
        <v>186</v>
      </c>
      <c r="AO2193" s="8">
        <f>COUNTIF($E$2193:$AI$2193,"CL")</f>
        <v>0</v>
      </c>
      <c r="AP2193" s="8">
        <f>COUNTIF($E$2193:$AI$2193,"SL")</f>
        <v>0</v>
      </c>
      <c r="AQ2193" s="8">
        <f>COUNTIF($E$2193:$AI$2193,"EL")</f>
        <v>0</v>
      </c>
      <c r="AR2193" s="8">
        <f>COUNTIF($E$2193:$AI$2193,"H")</f>
        <v>0</v>
      </c>
      <c r="AS2193" s="8"/>
      <c r="AT2193" s="11" t="s">
        <v>257</v>
      </c>
    </row>
    <row r="2194" spans="1:46" ht="15.1" customHeight="1">
      <c r="A2194" s="8"/>
      <c r="B2194" s="9"/>
      <c r="C2194" s="8"/>
      <c r="D2194" s="9"/>
      <c r="E2194" s="8">
        <v>2</v>
      </c>
      <c r="F2194" s="8">
        <v>2</v>
      </c>
      <c r="G2194" s="8">
        <v>0</v>
      </c>
      <c r="H2194" s="8">
        <v>2</v>
      </c>
      <c r="I2194" s="8">
        <v>2</v>
      </c>
      <c r="J2194" s="8">
        <v>2</v>
      </c>
      <c r="K2194" s="8">
        <v>2</v>
      </c>
      <c r="L2194" s="8">
        <v>2</v>
      </c>
      <c r="M2194" s="8">
        <v>2</v>
      </c>
      <c r="N2194" s="8">
        <v>0</v>
      </c>
      <c r="O2194" s="8">
        <v>2</v>
      </c>
      <c r="P2194" s="8">
        <v>2</v>
      </c>
      <c r="Q2194" s="8">
        <v>2</v>
      </c>
      <c r="R2194" s="8">
        <v>2</v>
      </c>
      <c r="S2194" s="8">
        <v>2</v>
      </c>
      <c r="T2194" s="8">
        <v>2</v>
      </c>
      <c r="U2194" s="8">
        <v>0</v>
      </c>
      <c r="V2194" s="8">
        <v>2</v>
      </c>
      <c r="W2194" s="8">
        <v>2</v>
      </c>
      <c r="X2194" s="8">
        <v>0</v>
      </c>
      <c r="Y2194" s="8">
        <v>0</v>
      </c>
      <c r="Z2194" s="8">
        <v>0</v>
      </c>
      <c r="AA2194" s="8">
        <v>1</v>
      </c>
      <c r="AB2194" s="8">
        <v>0</v>
      </c>
      <c r="AC2194" s="8">
        <v>2</v>
      </c>
      <c r="AD2194" s="8">
        <v>2</v>
      </c>
      <c r="AE2194" s="8">
        <v>2</v>
      </c>
      <c r="AF2194" s="8">
        <v>0</v>
      </c>
      <c r="AG2194" s="8">
        <v>2</v>
      </c>
      <c r="AH2194" s="8">
        <v>0</v>
      </c>
      <c r="AI2194" s="8">
        <v>0</v>
      </c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11" t="s">
        <v>257</v>
      </c>
    </row>
    <row r="2195" spans="1:46" ht="15.1" customHeight="1">
      <c r="A2195" s="8"/>
      <c r="B2195" s="9"/>
      <c r="C2195" s="8"/>
      <c r="D2195" s="9"/>
      <c r="E2195" s="8">
        <v>0</v>
      </c>
      <c r="F2195" s="8">
        <v>3</v>
      </c>
      <c r="G2195" s="8">
        <v>0</v>
      </c>
      <c r="H2195" s="8">
        <v>7</v>
      </c>
      <c r="I2195" s="8">
        <v>4</v>
      </c>
      <c r="J2195" s="8">
        <v>5</v>
      </c>
      <c r="K2195" s="8">
        <v>7</v>
      </c>
      <c r="L2195" s="8">
        <v>7</v>
      </c>
      <c r="M2195" s="8">
        <v>5</v>
      </c>
      <c r="N2195" s="8">
        <v>19.5</v>
      </c>
      <c r="O2195" s="8">
        <v>8</v>
      </c>
      <c r="P2195" s="8">
        <v>10</v>
      </c>
      <c r="Q2195" s="8">
        <v>10</v>
      </c>
      <c r="R2195" s="8">
        <v>8</v>
      </c>
      <c r="S2195" s="8">
        <v>7.5</v>
      </c>
      <c r="T2195" s="8">
        <v>3</v>
      </c>
      <c r="U2195" s="8">
        <v>13</v>
      </c>
      <c r="V2195" s="8">
        <v>7</v>
      </c>
      <c r="W2195" s="8">
        <v>10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3</v>
      </c>
      <c r="AD2195" s="8">
        <v>2.5</v>
      </c>
      <c r="AE2195" s="8">
        <v>3</v>
      </c>
      <c r="AF2195" s="8">
        <v>0</v>
      </c>
      <c r="AG2195" s="8">
        <v>2.5</v>
      </c>
      <c r="AH2195" s="8">
        <v>0</v>
      </c>
      <c r="AI2195" s="8">
        <v>0</v>
      </c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11" t="s">
        <v>257</v>
      </c>
    </row>
    <row r="2196" spans="1:46" ht="15.1" customHeight="1">
      <c r="A2196" s="8">
        <v>731</v>
      </c>
      <c r="B2196" s="9" t="s">
        <v>1699</v>
      </c>
      <c r="C2196" s="8" t="s">
        <v>1700</v>
      </c>
      <c r="D2196" s="9" t="s">
        <v>451</v>
      </c>
      <c r="E2196" s="8" t="s">
        <v>54</v>
      </c>
      <c r="F2196" s="8" t="s">
        <v>54</v>
      </c>
      <c r="G2196" s="10" t="s">
        <v>67</v>
      </c>
      <c r="H2196" s="12" t="s">
        <v>55</v>
      </c>
      <c r="I2196" s="8" t="s">
        <v>54</v>
      </c>
      <c r="J2196" s="8" t="s">
        <v>54</v>
      </c>
      <c r="K2196" s="8" t="s">
        <v>54</v>
      </c>
      <c r="L2196" s="8" t="s">
        <v>54</v>
      </c>
      <c r="M2196" s="8" t="s">
        <v>54</v>
      </c>
      <c r="N2196" s="10" t="s">
        <v>67</v>
      </c>
      <c r="O2196" s="8" t="s">
        <v>54</v>
      </c>
      <c r="P2196" s="12" t="s">
        <v>55</v>
      </c>
      <c r="Q2196" s="8" t="s">
        <v>54</v>
      </c>
      <c r="R2196" s="8" t="s">
        <v>54</v>
      </c>
      <c r="S2196" s="8" t="s">
        <v>54</v>
      </c>
      <c r="T2196" s="8" t="s">
        <v>54</v>
      </c>
      <c r="U2196" s="10" t="s">
        <v>67</v>
      </c>
      <c r="V2196" s="8" t="s">
        <v>54</v>
      </c>
      <c r="W2196" s="8" t="s">
        <v>54</v>
      </c>
      <c r="X2196" s="12" t="s">
        <v>55</v>
      </c>
      <c r="Y2196" s="12" t="s">
        <v>55</v>
      </c>
      <c r="Z2196" s="8" t="s">
        <v>54</v>
      </c>
      <c r="AA2196" s="8" t="s">
        <v>54</v>
      </c>
      <c r="AB2196" s="10" t="s">
        <v>67</v>
      </c>
      <c r="AC2196" s="8" t="s">
        <v>54</v>
      </c>
      <c r="AD2196" s="8" t="s">
        <v>54</v>
      </c>
      <c r="AE2196" s="8" t="s">
        <v>54</v>
      </c>
      <c r="AF2196" s="8" t="s">
        <v>54</v>
      </c>
      <c r="AG2196" s="8" t="s">
        <v>54</v>
      </c>
      <c r="AH2196" s="12" t="s">
        <v>55</v>
      </c>
      <c r="AI2196" s="10" t="s">
        <v>67</v>
      </c>
      <c r="AJ2196" s="8">
        <f>COUNTIF($E$2196:$AI$2196,"P")</f>
        <v>21</v>
      </c>
      <c r="AK2196" s="8">
        <f>COUNTIF($E$2196:$AI$2196,"A")</f>
        <v>5</v>
      </c>
      <c r="AL2196" s="8">
        <f>SUM($E$2197:$AI$2197)</f>
        <v>36</v>
      </c>
      <c r="AM2196" s="8">
        <f>SUM($E$2198:$AI$2198)</f>
        <v>125</v>
      </c>
      <c r="AN2196" s="8">
        <f>AL2196+AM2196</f>
        <v>161</v>
      </c>
      <c r="AO2196" s="8">
        <f>COUNTIF($E$2196:$AI$2196,"CL")</f>
        <v>0</v>
      </c>
      <c r="AP2196" s="8">
        <f>COUNTIF($E$2196:$AI$2196,"SL")</f>
        <v>0</v>
      </c>
      <c r="AQ2196" s="8">
        <f>COUNTIF($E$2196:$AI$2196,"EL")</f>
        <v>0</v>
      </c>
      <c r="AR2196" s="8">
        <f>COUNTIF($E$2196:$AI$2196,"H")</f>
        <v>0</v>
      </c>
      <c r="AS2196" s="8"/>
      <c r="AT2196" s="11" t="s">
        <v>257</v>
      </c>
    </row>
    <row r="2197" spans="1:46" ht="15.1" customHeight="1">
      <c r="A2197" s="8"/>
      <c r="B2197" s="9"/>
      <c r="C2197" s="8"/>
      <c r="D2197" s="9"/>
      <c r="E2197" s="8">
        <v>2</v>
      </c>
      <c r="F2197" s="8">
        <v>2</v>
      </c>
      <c r="G2197" s="8">
        <v>0</v>
      </c>
      <c r="H2197" s="8">
        <v>0</v>
      </c>
      <c r="I2197" s="8">
        <v>2</v>
      </c>
      <c r="J2197" s="8">
        <v>2</v>
      </c>
      <c r="K2197" s="8">
        <v>2</v>
      </c>
      <c r="L2197" s="8">
        <v>2</v>
      </c>
      <c r="M2197" s="8">
        <v>2</v>
      </c>
      <c r="N2197" s="8">
        <v>0</v>
      </c>
      <c r="O2197" s="8">
        <v>2</v>
      </c>
      <c r="P2197" s="8">
        <v>0</v>
      </c>
      <c r="Q2197" s="8">
        <v>2</v>
      </c>
      <c r="R2197" s="8">
        <v>2</v>
      </c>
      <c r="S2197" s="8">
        <v>2</v>
      </c>
      <c r="T2197" s="8">
        <v>2</v>
      </c>
      <c r="U2197" s="8">
        <v>0</v>
      </c>
      <c r="V2197" s="8">
        <v>2</v>
      </c>
      <c r="W2197" s="8">
        <v>2</v>
      </c>
      <c r="X2197" s="8">
        <v>0</v>
      </c>
      <c r="Y2197" s="8">
        <v>0</v>
      </c>
      <c r="Z2197" s="8">
        <v>0</v>
      </c>
      <c r="AA2197" s="8">
        <v>0</v>
      </c>
      <c r="AB2197" s="8">
        <v>0</v>
      </c>
      <c r="AC2197" s="8">
        <v>2</v>
      </c>
      <c r="AD2197" s="8">
        <v>2</v>
      </c>
      <c r="AE2197" s="8">
        <v>2</v>
      </c>
      <c r="AF2197" s="8">
        <v>0</v>
      </c>
      <c r="AG2197" s="8">
        <v>2</v>
      </c>
      <c r="AH2197" s="8">
        <v>0</v>
      </c>
      <c r="AI2197" s="8">
        <v>0</v>
      </c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11" t="s">
        <v>257</v>
      </c>
    </row>
    <row r="2198" spans="1:46" ht="15.1" customHeight="1">
      <c r="A2198" s="8"/>
      <c r="B2198" s="9"/>
      <c r="C2198" s="8"/>
      <c r="D2198" s="9"/>
      <c r="E2198" s="8">
        <v>0</v>
      </c>
      <c r="F2198" s="8">
        <v>3</v>
      </c>
      <c r="G2198" s="8">
        <v>0</v>
      </c>
      <c r="H2198" s="8">
        <v>0</v>
      </c>
      <c r="I2198" s="8">
        <v>7</v>
      </c>
      <c r="J2198" s="8">
        <v>5</v>
      </c>
      <c r="K2198" s="8">
        <v>7</v>
      </c>
      <c r="L2198" s="8">
        <v>7</v>
      </c>
      <c r="M2198" s="8">
        <v>5</v>
      </c>
      <c r="N2198" s="8">
        <v>18</v>
      </c>
      <c r="O2198" s="8">
        <v>7</v>
      </c>
      <c r="P2198" s="8">
        <v>0</v>
      </c>
      <c r="Q2198" s="8">
        <v>8</v>
      </c>
      <c r="R2198" s="8">
        <v>7</v>
      </c>
      <c r="S2198" s="8">
        <v>7</v>
      </c>
      <c r="T2198" s="8">
        <v>4.5</v>
      </c>
      <c r="U2198" s="8">
        <v>13</v>
      </c>
      <c r="V2198" s="8">
        <v>7</v>
      </c>
      <c r="W2198" s="8">
        <v>10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3</v>
      </c>
      <c r="AD2198" s="8">
        <v>2.5</v>
      </c>
      <c r="AE2198" s="8">
        <v>3</v>
      </c>
      <c r="AF2198" s="8">
        <v>0</v>
      </c>
      <c r="AG2198" s="8">
        <v>1</v>
      </c>
      <c r="AH2198" s="8">
        <v>0</v>
      </c>
      <c r="AI2198" s="8">
        <v>0</v>
      </c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11" t="s">
        <v>257</v>
      </c>
    </row>
    <row r="2199" spans="1:46" ht="15.1" customHeight="1">
      <c r="A2199" s="8">
        <v>732</v>
      </c>
      <c r="B2199" s="9" t="s">
        <v>1701</v>
      </c>
      <c r="C2199" s="8" t="s">
        <v>1702</v>
      </c>
      <c r="D2199" s="9" t="s">
        <v>451</v>
      </c>
      <c r="E2199" s="8" t="s">
        <v>54</v>
      </c>
      <c r="F2199" s="8" t="s">
        <v>54</v>
      </c>
      <c r="G2199" s="10" t="s">
        <v>67</v>
      </c>
      <c r="H2199" s="8" t="s">
        <v>54</v>
      </c>
      <c r="I2199" s="8" t="s">
        <v>54</v>
      </c>
      <c r="J2199" s="8" t="s">
        <v>54</v>
      </c>
      <c r="K2199" s="8" t="s">
        <v>54</v>
      </c>
      <c r="L2199" s="8" t="s">
        <v>54</v>
      </c>
      <c r="M2199" s="8" t="s">
        <v>54</v>
      </c>
      <c r="N2199" s="10" t="s">
        <v>67</v>
      </c>
      <c r="O2199" s="8" t="s">
        <v>54</v>
      </c>
      <c r="P2199" s="8" t="s">
        <v>54</v>
      </c>
      <c r="Q2199" s="8" t="s">
        <v>54</v>
      </c>
      <c r="R2199" s="8" t="s">
        <v>54</v>
      </c>
      <c r="S2199" s="8" t="s">
        <v>54</v>
      </c>
      <c r="T2199" s="8" t="s">
        <v>54</v>
      </c>
      <c r="U2199" s="10" t="s">
        <v>67</v>
      </c>
      <c r="V2199" s="8" t="s">
        <v>54</v>
      </c>
      <c r="W2199" s="8" t="s">
        <v>54</v>
      </c>
      <c r="X2199" s="8" t="s">
        <v>54</v>
      </c>
      <c r="Y2199" s="8" t="s">
        <v>54</v>
      </c>
      <c r="Z2199" s="8" t="s">
        <v>54</v>
      </c>
      <c r="AA2199" s="8" t="s">
        <v>54</v>
      </c>
      <c r="AB2199" s="10" t="s">
        <v>67</v>
      </c>
      <c r="AC2199" s="8" t="s">
        <v>54</v>
      </c>
      <c r="AD2199" s="8" t="s">
        <v>54</v>
      </c>
      <c r="AE2199" s="8" t="s">
        <v>54</v>
      </c>
      <c r="AF2199" s="8" t="s">
        <v>54</v>
      </c>
      <c r="AG2199" s="8" t="s">
        <v>54</v>
      </c>
      <c r="AH2199" s="12" t="s">
        <v>55</v>
      </c>
      <c r="AI2199" s="10" t="s">
        <v>67</v>
      </c>
      <c r="AJ2199" s="8">
        <f>COUNTIF($E$2199:$AI$2199,"P")</f>
        <v>25</v>
      </c>
      <c r="AK2199" s="8">
        <f>COUNTIF($E$2199:$AI$2199,"A")</f>
        <v>1</v>
      </c>
      <c r="AL2199" s="8">
        <f>SUM($E$2200:$AI$2200)</f>
        <v>39</v>
      </c>
      <c r="AM2199" s="8">
        <f>SUM($E$2201:$AI$2201)</f>
        <v>149.5</v>
      </c>
      <c r="AN2199" s="8">
        <f>AL2199+AM2199</f>
        <v>188.5</v>
      </c>
      <c r="AO2199" s="8">
        <f>COUNTIF($E$2199:$AI$2199,"CL")</f>
        <v>0</v>
      </c>
      <c r="AP2199" s="8">
        <f>COUNTIF($E$2199:$AI$2199,"SL")</f>
        <v>0</v>
      </c>
      <c r="AQ2199" s="8">
        <f>COUNTIF($E$2199:$AI$2199,"EL")</f>
        <v>0</v>
      </c>
      <c r="AR2199" s="8">
        <f>COUNTIF($E$2199:$AI$2199,"H")</f>
        <v>0</v>
      </c>
      <c r="AS2199" s="8"/>
      <c r="AT2199" s="11" t="s">
        <v>257</v>
      </c>
    </row>
    <row r="2200" spans="1:46" ht="15.1" customHeight="1">
      <c r="A2200" s="8"/>
      <c r="B2200" s="9"/>
      <c r="C2200" s="8"/>
      <c r="D2200" s="9"/>
      <c r="E2200" s="8">
        <v>2</v>
      </c>
      <c r="F2200" s="8">
        <v>2</v>
      </c>
      <c r="G2200" s="8">
        <v>0</v>
      </c>
      <c r="H2200" s="8">
        <v>2</v>
      </c>
      <c r="I2200" s="8">
        <v>2</v>
      </c>
      <c r="J2200" s="8">
        <v>2</v>
      </c>
      <c r="K2200" s="8">
        <v>2</v>
      </c>
      <c r="L2200" s="8">
        <v>2</v>
      </c>
      <c r="M2200" s="8">
        <v>2</v>
      </c>
      <c r="N2200" s="8">
        <v>0</v>
      </c>
      <c r="O2200" s="8">
        <v>2</v>
      </c>
      <c r="P2200" s="8">
        <v>2</v>
      </c>
      <c r="Q2200" s="8">
        <v>2</v>
      </c>
      <c r="R2200" s="8">
        <v>2</v>
      </c>
      <c r="S2200" s="8">
        <v>2</v>
      </c>
      <c r="T2200" s="8">
        <v>2</v>
      </c>
      <c r="U2200" s="8">
        <v>0</v>
      </c>
      <c r="V2200" s="8">
        <v>2</v>
      </c>
      <c r="W2200" s="8">
        <v>2</v>
      </c>
      <c r="X2200" s="8">
        <v>2</v>
      </c>
      <c r="Y2200" s="8">
        <v>0</v>
      </c>
      <c r="Z2200" s="8">
        <v>2</v>
      </c>
      <c r="AA2200" s="8">
        <v>1</v>
      </c>
      <c r="AB2200" s="8">
        <v>0</v>
      </c>
      <c r="AC2200" s="8">
        <v>0</v>
      </c>
      <c r="AD2200" s="8">
        <v>2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11" t="s">
        <v>257</v>
      </c>
    </row>
    <row r="2201" spans="1:46" ht="15.1" customHeight="1">
      <c r="A2201" s="8"/>
      <c r="B2201" s="9"/>
      <c r="C2201" s="8"/>
      <c r="D2201" s="9"/>
      <c r="E2201" s="8">
        <v>2</v>
      </c>
      <c r="F2201" s="8">
        <v>3</v>
      </c>
      <c r="G2201" s="8">
        <v>14.5</v>
      </c>
      <c r="H2201" s="8">
        <v>7</v>
      </c>
      <c r="I2201" s="8">
        <v>7</v>
      </c>
      <c r="J2201" s="8">
        <v>5</v>
      </c>
      <c r="K2201" s="8">
        <v>7</v>
      </c>
      <c r="L2201" s="8">
        <v>7</v>
      </c>
      <c r="M2201" s="8">
        <v>4</v>
      </c>
      <c r="N2201" s="8">
        <v>16.5</v>
      </c>
      <c r="O2201" s="8">
        <v>7</v>
      </c>
      <c r="P2201" s="8">
        <v>7</v>
      </c>
      <c r="Q2201" s="8">
        <v>6.5</v>
      </c>
      <c r="R2201" s="8">
        <v>7</v>
      </c>
      <c r="S2201" s="8">
        <v>6</v>
      </c>
      <c r="T2201" s="8">
        <v>5</v>
      </c>
      <c r="U2201" s="8">
        <v>11.5</v>
      </c>
      <c r="V2201" s="8">
        <v>7</v>
      </c>
      <c r="W2201" s="8">
        <v>7</v>
      </c>
      <c r="X2201" s="8">
        <v>6.5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6</v>
      </c>
      <c r="AE2201" s="8">
        <v>0</v>
      </c>
      <c r="AF2201" s="8">
        <v>0</v>
      </c>
      <c r="AG2201" s="8">
        <v>0</v>
      </c>
      <c r="AH2201" s="8">
        <v>0</v>
      </c>
      <c r="AI2201" s="8">
        <v>0</v>
      </c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11" t="s">
        <v>257</v>
      </c>
    </row>
    <row r="2202" spans="1:46" ht="15.1" customHeight="1">
      <c r="A2202" s="8">
        <v>733</v>
      </c>
      <c r="B2202" s="9" t="s">
        <v>1703</v>
      </c>
      <c r="C2202" s="8" t="s">
        <v>1704</v>
      </c>
      <c r="D2202" s="9" t="s">
        <v>451</v>
      </c>
      <c r="E2202" s="12" t="s">
        <v>55</v>
      </c>
      <c r="F2202" s="8" t="s">
        <v>54</v>
      </c>
      <c r="G2202" s="10" t="s">
        <v>67</v>
      </c>
      <c r="H2202" s="8" t="s">
        <v>54</v>
      </c>
      <c r="I2202" s="8" t="s">
        <v>54</v>
      </c>
      <c r="J2202" s="8" t="s">
        <v>54</v>
      </c>
      <c r="K2202" s="8" t="s">
        <v>54</v>
      </c>
      <c r="L2202" s="8" t="s">
        <v>54</v>
      </c>
      <c r="M2202" s="12" t="s">
        <v>55</v>
      </c>
      <c r="N2202" s="10" t="s">
        <v>67</v>
      </c>
      <c r="O2202" s="8" t="s">
        <v>54</v>
      </c>
      <c r="P2202" s="8" t="s">
        <v>54</v>
      </c>
      <c r="Q2202" s="8" t="s">
        <v>54</v>
      </c>
      <c r="R2202" s="8" t="s">
        <v>54</v>
      </c>
      <c r="S2202" s="8" t="s">
        <v>54</v>
      </c>
      <c r="T2202" s="8" t="s">
        <v>54</v>
      </c>
      <c r="U2202" s="10" t="s">
        <v>67</v>
      </c>
      <c r="V2202" s="8" t="s">
        <v>54</v>
      </c>
      <c r="W2202" s="12" t="s">
        <v>55</v>
      </c>
      <c r="X2202" s="8" t="s">
        <v>54</v>
      </c>
      <c r="Y2202" s="8" t="s">
        <v>54</v>
      </c>
      <c r="Z2202" s="8" t="s">
        <v>54</v>
      </c>
      <c r="AA2202" s="8" t="s">
        <v>54</v>
      </c>
      <c r="AB2202" s="10" t="s">
        <v>67</v>
      </c>
      <c r="AC2202" s="8" t="s">
        <v>54</v>
      </c>
      <c r="AD2202" s="8" t="s">
        <v>59</v>
      </c>
      <c r="AE2202" s="8" t="s">
        <v>59</v>
      </c>
      <c r="AF2202" s="8" t="s">
        <v>59</v>
      </c>
      <c r="AG2202" s="8" t="s">
        <v>54</v>
      </c>
      <c r="AH2202" s="12" t="s">
        <v>55</v>
      </c>
      <c r="AI2202" s="10" t="s">
        <v>67</v>
      </c>
      <c r="AJ2202" s="8">
        <f>COUNTIF($E$2202:$AI$2202,"P")</f>
        <v>19</v>
      </c>
      <c r="AK2202" s="8">
        <f>COUNTIF($E$2202:$AI$2202,"A")</f>
        <v>4</v>
      </c>
      <c r="AL2202" s="8">
        <f>SUM($E$2203:$AI$2203)</f>
        <v>29</v>
      </c>
      <c r="AM2202" s="8">
        <f>SUM($E$2204:$AI$2204)</f>
        <v>137</v>
      </c>
      <c r="AN2202" s="8">
        <f>AL2202+AM2202</f>
        <v>165.5</v>
      </c>
      <c r="AO2202" s="8">
        <f>COUNTIF($E$2202:$AI$2202,"CL")</f>
        <v>3</v>
      </c>
      <c r="AP2202" s="8">
        <f>COUNTIF($E$2202:$AI$2202,"SL")</f>
        <v>0</v>
      </c>
      <c r="AQ2202" s="8">
        <f>COUNTIF($E$2202:$AI$2202,"EL")</f>
        <v>0</v>
      </c>
      <c r="AR2202" s="8">
        <f>COUNTIF($E$2202:$AI$2202,"H")</f>
        <v>0</v>
      </c>
      <c r="AS2202" s="8"/>
      <c r="AT2202" s="11" t="s">
        <v>257</v>
      </c>
    </row>
    <row r="2203" spans="1:46" ht="15.1" customHeight="1">
      <c r="A2203" s="8"/>
      <c r="B2203" s="9"/>
      <c r="C2203" s="8"/>
      <c r="D2203" s="9"/>
      <c r="E2203" s="8">
        <v>0</v>
      </c>
      <c r="F2203" s="8">
        <v>2</v>
      </c>
      <c r="G2203" s="8">
        <v>0</v>
      </c>
      <c r="H2203" s="8">
        <v>2</v>
      </c>
      <c r="I2203" s="8">
        <v>2</v>
      </c>
      <c r="J2203" s="8">
        <v>2</v>
      </c>
      <c r="K2203" s="8">
        <v>2</v>
      </c>
      <c r="L2203" s="8">
        <v>2</v>
      </c>
      <c r="M2203" s="8">
        <v>0</v>
      </c>
      <c r="N2203" s="8">
        <v>0</v>
      </c>
      <c r="O2203" s="8">
        <v>2</v>
      </c>
      <c r="P2203" s="8">
        <v>2</v>
      </c>
      <c r="Q2203" s="8">
        <v>2</v>
      </c>
      <c r="R2203" s="8">
        <v>2</v>
      </c>
      <c r="S2203" s="8">
        <v>2</v>
      </c>
      <c r="T2203" s="8">
        <v>2</v>
      </c>
      <c r="U2203" s="8">
        <v>0</v>
      </c>
      <c r="V2203" s="8">
        <v>2</v>
      </c>
      <c r="W2203" s="8">
        <v>0</v>
      </c>
      <c r="X2203" s="8">
        <v>2</v>
      </c>
      <c r="Y2203" s="8">
        <v>0</v>
      </c>
      <c r="Z2203" s="8">
        <v>0</v>
      </c>
      <c r="AA2203" s="8">
        <v>0</v>
      </c>
      <c r="AB2203" s="8">
        <v>0</v>
      </c>
      <c r="AC2203" s="8">
        <v>1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0</v>
      </c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11" t="s">
        <v>257</v>
      </c>
    </row>
    <row r="2204" spans="1:46" ht="15.1" customHeight="1">
      <c r="A2204" s="8"/>
      <c r="B2204" s="9"/>
      <c r="C2204" s="8"/>
      <c r="D2204" s="9"/>
      <c r="E2204" s="8">
        <v>0</v>
      </c>
      <c r="F2204" s="8">
        <v>3</v>
      </c>
      <c r="G2204" s="8">
        <v>14</v>
      </c>
      <c r="H2204" s="8">
        <v>6</v>
      </c>
      <c r="I2204" s="8">
        <v>7</v>
      </c>
      <c r="J2204" s="8">
        <v>6</v>
      </c>
      <c r="K2204" s="8">
        <v>7</v>
      </c>
      <c r="L2204" s="8">
        <v>8</v>
      </c>
      <c r="M2204" s="8">
        <v>0</v>
      </c>
      <c r="N2204" s="8">
        <v>17</v>
      </c>
      <c r="O2204" s="8">
        <v>7</v>
      </c>
      <c r="P2204" s="8">
        <v>7</v>
      </c>
      <c r="Q2204" s="8">
        <v>7</v>
      </c>
      <c r="R2204" s="8">
        <v>7</v>
      </c>
      <c r="S2204" s="8">
        <v>7</v>
      </c>
      <c r="T2204" s="8">
        <v>4</v>
      </c>
      <c r="U2204" s="8">
        <v>13</v>
      </c>
      <c r="V2204" s="8">
        <v>11</v>
      </c>
      <c r="W2204" s="8">
        <v>0</v>
      </c>
      <c r="X2204" s="8">
        <v>6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11" t="s">
        <v>257</v>
      </c>
    </row>
    <row r="2205" spans="1:46" ht="15.1" customHeight="1">
      <c r="A2205" s="8">
        <v>734</v>
      </c>
      <c r="B2205" s="9" t="s">
        <v>1705</v>
      </c>
      <c r="C2205" s="8" t="s">
        <v>1706</v>
      </c>
      <c r="D2205" s="9" t="s">
        <v>451</v>
      </c>
      <c r="E2205" s="8" t="s">
        <v>54</v>
      </c>
      <c r="F2205" s="8" t="s">
        <v>54</v>
      </c>
      <c r="G2205" s="10" t="s">
        <v>67</v>
      </c>
      <c r="H2205" s="8" t="s">
        <v>54</v>
      </c>
      <c r="I2205" s="8" t="s">
        <v>54</v>
      </c>
      <c r="J2205" s="8" t="s">
        <v>54</v>
      </c>
      <c r="K2205" s="8" t="s">
        <v>54</v>
      </c>
      <c r="L2205" s="8" t="s">
        <v>54</v>
      </c>
      <c r="M2205" s="8" t="s">
        <v>54</v>
      </c>
      <c r="N2205" s="10" t="s">
        <v>67</v>
      </c>
      <c r="O2205" s="8" t="s">
        <v>54</v>
      </c>
      <c r="P2205" s="8" t="s">
        <v>54</v>
      </c>
      <c r="Q2205" s="8" t="s">
        <v>54</v>
      </c>
      <c r="R2205" s="8" t="s">
        <v>54</v>
      </c>
      <c r="S2205" s="8" t="s">
        <v>54</v>
      </c>
      <c r="T2205" s="8" t="s">
        <v>54</v>
      </c>
      <c r="U2205" s="10" t="s">
        <v>67</v>
      </c>
      <c r="V2205" s="8" t="s">
        <v>54</v>
      </c>
      <c r="W2205" s="8" t="s">
        <v>54</v>
      </c>
      <c r="X2205" s="8" t="s">
        <v>54</v>
      </c>
      <c r="Y2205" s="8" t="s">
        <v>54</v>
      </c>
      <c r="Z2205" s="8" t="s">
        <v>54</v>
      </c>
      <c r="AA2205" s="8" t="s">
        <v>54</v>
      </c>
      <c r="AB2205" s="10" t="s">
        <v>67</v>
      </c>
      <c r="AC2205" s="8" t="s">
        <v>54</v>
      </c>
      <c r="AD2205" s="8" t="s">
        <v>54</v>
      </c>
      <c r="AE2205" s="8" t="s">
        <v>54</v>
      </c>
      <c r="AF2205" s="8" t="s">
        <v>54</v>
      </c>
      <c r="AG2205" s="8" t="s">
        <v>54</v>
      </c>
      <c r="AH2205" s="12" t="s">
        <v>55</v>
      </c>
      <c r="AI2205" s="10" t="s">
        <v>67</v>
      </c>
      <c r="AJ2205" s="8">
        <f>COUNTIF($E$2205:$AI$2205,"P")</f>
        <v>25</v>
      </c>
      <c r="AK2205" s="8">
        <f>COUNTIF($E$2205:$AI$2205,"A")</f>
        <v>1</v>
      </c>
      <c r="AL2205" s="8">
        <f>SUM($E$2206:$AI$2206)</f>
        <v>36</v>
      </c>
      <c r="AM2205" s="8">
        <f>SUM($E$2207:$AI$2207)</f>
        <v>147.5</v>
      </c>
      <c r="AN2205" s="8">
        <f>AL2205+AM2205</f>
        <v>183.5</v>
      </c>
      <c r="AO2205" s="8">
        <f>COUNTIF($E$2205:$AI$2205,"CL")</f>
        <v>0</v>
      </c>
      <c r="AP2205" s="8">
        <f>COUNTIF($E$2205:$AI$2205,"SL")</f>
        <v>0</v>
      </c>
      <c r="AQ2205" s="8">
        <f>COUNTIF($E$2205:$AI$2205,"EL")</f>
        <v>0</v>
      </c>
      <c r="AR2205" s="8">
        <f>COUNTIF($E$2205:$AI$2205,"H")</f>
        <v>0</v>
      </c>
      <c r="AS2205" s="8"/>
      <c r="AT2205" s="11" t="s">
        <v>257</v>
      </c>
    </row>
    <row r="2206" spans="1:46" ht="15.1" customHeight="1">
      <c r="A2206" s="8"/>
      <c r="B2206" s="9"/>
      <c r="C2206" s="8"/>
      <c r="D2206" s="9"/>
      <c r="E2206" s="8">
        <v>2</v>
      </c>
      <c r="F2206" s="8">
        <v>2</v>
      </c>
      <c r="G2206" s="8">
        <v>0</v>
      </c>
      <c r="H2206" s="8">
        <v>2</v>
      </c>
      <c r="I2206" s="8">
        <v>2</v>
      </c>
      <c r="J2206" s="8">
        <v>2</v>
      </c>
      <c r="K2206" s="8">
        <v>2</v>
      </c>
      <c r="L2206" s="8">
        <v>2</v>
      </c>
      <c r="M2206" s="8">
        <v>2</v>
      </c>
      <c r="N2206" s="8">
        <v>0</v>
      </c>
      <c r="O2206" s="8">
        <v>2</v>
      </c>
      <c r="P2206" s="8">
        <v>2</v>
      </c>
      <c r="Q2206" s="8">
        <v>2</v>
      </c>
      <c r="R2206" s="8">
        <v>2</v>
      </c>
      <c r="S2206" s="8">
        <v>2</v>
      </c>
      <c r="T2206" s="8">
        <v>2</v>
      </c>
      <c r="U2206" s="8">
        <v>0</v>
      </c>
      <c r="V2206" s="8">
        <v>2</v>
      </c>
      <c r="W2206" s="8">
        <v>2</v>
      </c>
      <c r="X2206" s="8">
        <v>2</v>
      </c>
      <c r="Y2206" s="8">
        <v>0</v>
      </c>
      <c r="Z2206" s="8">
        <v>0</v>
      </c>
      <c r="AA2206" s="8">
        <v>0</v>
      </c>
      <c r="AB2206" s="8">
        <v>0</v>
      </c>
      <c r="AC2206" s="8">
        <v>2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11" t="s">
        <v>257</v>
      </c>
    </row>
    <row r="2207" spans="1:46" ht="15.1" customHeight="1">
      <c r="A2207" s="8"/>
      <c r="B2207" s="9"/>
      <c r="C2207" s="8"/>
      <c r="D2207" s="9"/>
      <c r="E2207" s="8">
        <v>4</v>
      </c>
      <c r="F2207" s="8">
        <v>3</v>
      </c>
      <c r="G2207" s="8">
        <v>14.5</v>
      </c>
      <c r="H2207" s="8">
        <v>6.5</v>
      </c>
      <c r="I2207" s="8">
        <v>7</v>
      </c>
      <c r="J2207" s="8">
        <v>5</v>
      </c>
      <c r="K2207" s="8">
        <v>7</v>
      </c>
      <c r="L2207" s="8">
        <v>6.5</v>
      </c>
      <c r="M2207" s="8">
        <v>6.5</v>
      </c>
      <c r="N2207" s="8">
        <v>16.5</v>
      </c>
      <c r="O2207" s="8">
        <v>7</v>
      </c>
      <c r="P2207" s="8">
        <v>7</v>
      </c>
      <c r="Q2207" s="8">
        <v>6.5</v>
      </c>
      <c r="R2207" s="8">
        <v>6.5</v>
      </c>
      <c r="S2207" s="8">
        <v>7</v>
      </c>
      <c r="T2207" s="8">
        <v>4.5</v>
      </c>
      <c r="U2207" s="8">
        <v>12.5</v>
      </c>
      <c r="V2207" s="8">
        <v>7</v>
      </c>
      <c r="W2207" s="8">
        <v>7</v>
      </c>
      <c r="X2207" s="8">
        <v>6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0</v>
      </c>
      <c r="AH2207" s="8">
        <v>0</v>
      </c>
      <c r="AI2207" s="8">
        <v>0</v>
      </c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11" t="s">
        <v>257</v>
      </c>
    </row>
    <row r="2208" spans="1:46" ht="15.1" customHeight="1">
      <c r="A2208" s="8">
        <v>735</v>
      </c>
      <c r="B2208" s="9" t="s">
        <v>1495</v>
      </c>
      <c r="C2208" s="8" t="s">
        <v>1707</v>
      </c>
      <c r="D2208" s="9" t="s">
        <v>451</v>
      </c>
      <c r="E2208" s="8" t="s">
        <v>54</v>
      </c>
      <c r="F2208" s="8" t="s">
        <v>54</v>
      </c>
      <c r="G2208" s="10" t="s">
        <v>67</v>
      </c>
      <c r="H2208" s="8" t="s">
        <v>54</v>
      </c>
      <c r="I2208" s="8" t="s">
        <v>54</v>
      </c>
      <c r="J2208" s="8" t="s">
        <v>54</v>
      </c>
      <c r="K2208" s="8" t="s">
        <v>54</v>
      </c>
      <c r="L2208" s="8" t="s">
        <v>54</v>
      </c>
      <c r="M2208" s="8" t="s">
        <v>54</v>
      </c>
      <c r="N2208" s="10" t="s">
        <v>67</v>
      </c>
      <c r="O2208" s="8" t="s">
        <v>54</v>
      </c>
      <c r="P2208" s="8" t="s">
        <v>54</v>
      </c>
      <c r="Q2208" s="8" t="s">
        <v>54</v>
      </c>
      <c r="R2208" s="8" t="s">
        <v>54</v>
      </c>
      <c r="S2208" s="8" t="s">
        <v>54</v>
      </c>
      <c r="T2208" s="8" t="s">
        <v>54</v>
      </c>
      <c r="U2208" s="10" t="s">
        <v>67</v>
      </c>
      <c r="V2208" s="8" t="s">
        <v>54</v>
      </c>
      <c r="W2208" s="8" t="s">
        <v>54</v>
      </c>
      <c r="X2208" s="8" t="s">
        <v>54</v>
      </c>
      <c r="Y2208" s="8" t="s">
        <v>54</v>
      </c>
      <c r="Z2208" s="8" t="s">
        <v>54</v>
      </c>
      <c r="AA2208" s="8" t="s">
        <v>54</v>
      </c>
      <c r="AB2208" s="10" t="s">
        <v>67</v>
      </c>
      <c r="AC2208" s="8" t="s">
        <v>54</v>
      </c>
      <c r="AD2208" s="8" t="s">
        <v>54</v>
      </c>
      <c r="AE2208" s="8" t="s">
        <v>54</v>
      </c>
      <c r="AF2208" s="8" t="s">
        <v>54</v>
      </c>
      <c r="AG2208" s="8" t="s">
        <v>54</v>
      </c>
      <c r="AH2208" s="12" t="s">
        <v>55</v>
      </c>
      <c r="AI2208" s="10" t="s">
        <v>67</v>
      </c>
      <c r="AJ2208" s="8">
        <f>COUNTIF($E$2208:$AI$2208,"P")</f>
        <v>25</v>
      </c>
      <c r="AK2208" s="8">
        <f>COUNTIF($E$2208:$AI$2208,"A")</f>
        <v>1</v>
      </c>
      <c r="AL2208" s="8">
        <f>SUM($E$2209:$AI$2209)</f>
        <v>38</v>
      </c>
      <c r="AM2208" s="8">
        <f>SUM($E$2210:$AI$2210)</f>
        <v>150.5</v>
      </c>
      <c r="AN2208" s="8">
        <f>AL2208+AM2208</f>
        <v>188.5</v>
      </c>
      <c r="AO2208" s="8">
        <f>COUNTIF($E$2208:$AI$2208,"CL")</f>
        <v>0</v>
      </c>
      <c r="AP2208" s="8">
        <f>COUNTIF($E$2208:$AI$2208,"SL")</f>
        <v>0</v>
      </c>
      <c r="AQ2208" s="8">
        <f>COUNTIF($E$2208:$AI$2208,"EL")</f>
        <v>0</v>
      </c>
      <c r="AR2208" s="8">
        <f>COUNTIF($E$2208:$AI$2208,"H")</f>
        <v>0</v>
      </c>
      <c r="AS2208" s="8"/>
      <c r="AT2208" s="11" t="s">
        <v>257</v>
      </c>
    </row>
    <row r="2209" spans="1:46" ht="15.1" customHeight="1">
      <c r="A2209" s="8"/>
      <c r="B2209" s="9"/>
      <c r="C2209" s="8"/>
      <c r="D2209" s="9"/>
      <c r="E2209" s="8">
        <v>2</v>
      </c>
      <c r="F2209" s="8">
        <v>2</v>
      </c>
      <c r="G2209" s="8">
        <v>0</v>
      </c>
      <c r="H2209" s="8">
        <v>2</v>
      </c>
      <c r="I2209" s="8">
        <v>2</v>
      </c>
      <c r="J2209" s="8">
        <v>2</v>
      </c>
      <c r="K2209" s="8">
        <v>2</v>
      </c>
      <c r="L2209" s="8">
        <v>2</v>
      </c>
      <c r="M2209" s="8">
        <v>2</v>
      </c>
      <c r="N2209" s="8">
        <v>0</v>
      </c>
      <c r="O2209" s="8">
        <v>2</v>
      </c>
      <c r="P2209" s="8">
        <v>2</v>
      </c>
      <c r="Q2209" s="8">
        <v>2</v>
      </c>
      <c r="R2209" s="8">
        <v>2</v>
      </c>
      <c r="S2209" s="8">
        <v>2</v>
      </c>
      <c r="T2209" s="8">
        <v>2</v>
      </c>
      <c r="U2209" s="8">
        <v>0</v>
      </c>
      <c r="V2209" s="8">
        <v>2</v>
      </c>
      <c r="W2209" s="8">
        <v>2</v>
      </c>
      <c r="X2209" s="8">
        <v>2</v>
      </c>
      <c r="Y2209" s="8">
        <v>0</v>
      </c>
      <c r="Z2209" s="8">
        <v>0</v>
      </c>
      <c r="AA2209" s="8">
        <v>0</v>
      </c>
      <c r="AB2209" s="8">
        <v>0</v>
      </c>
      <c r="AC2209" s="8">
        <v>2</v>
      </c>
      <c r="AD2209" s="8">
        <v>2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11" t="s">
        <v>257</v>
      </c>
    </row>
    <row r="2210" spans="1:46" ht="15.1" customHeight="1">
      <c r="A2210" s="8"/>
      <c r="B2210" s="9"/>
      <c r="C2210" s="8"/>
      <c r="D2210" s="9"/>
      <c r="E2210" s="8">
        <v>3.5</v>
      </c>
      <c r="F2210" s="8">
        <v>3</v>
      </c>
      <c r="G2210" s="8">
        <v>15</v>
      </c>
      <c r="H2210" s="8">
        <v>7</v>
      </c>
      <c r="I2210" s="8">
        <v>7</v>
      </c>
      <c r="J2210" s="8">
        <v>5</v>
      </c>
      <c r="K2210" s="8">
        <v>7</v>
      </c>
      <c r="L2210" s="8">
        <v>7</v>
      </c>
      <c r="M2210" s="8">
        <v>5</v>
      </c>
      <c r="N2210" s="8">
        <v>16.5</v>
      </c>
      <c r="O2210" s="8">
        <v>7</v>
      </c>
      <c r="P2210" s="8">
        <v>7</v>
      </c>
      <c r="Q2210" s="8">
        <v>7</v>
      </c>
      <c r="R2210" s="8">
        <v>7</v>
      </c>
      <c r="S2210" s="8">
        <v>7</v>
      </c>
      <c r="T2210" s="8">
        <v>3</v>
      </c>
      <c r="U2210" s="8">
        <v>12.5</v>
      </c>
      <c r="V2210" s="8">
        <v>7</v>
      </c>
      <c r="W2210" s="8">
        <v>7</v>
      </c>
      <c r="X2210" s="8">
        <v>6</v>
      </c>
      <c r="Y2210" s="8">
        <v>0</v>
      </c>
      <c r="Z2210" s="8">
        <v>0</v>
      </c>
      <c r="AA2210" s="8">
        <v>0</v>
      </c>
      <c r="AB2210" s="8">
        <v>0</v>
      </c>
      <c r="AC2210" s="8">
        <v>1</v>
      </c>
      <c r="AD2210" s="8">
        <v>3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11" t="s">
        <v>257</v>
      </c>
    </row>
    <row r="2211" spans="1:46" ht="15.1" customHeight="1">
      <c r="A2211" s="8">
        <v>736</v>
      </c>
      <c r="B2211" s="9" t="s">
        <v>1708</v>
      </c>
      <c r="C2211" s="8" t="s">
        <v>1709</v>
      </c>
      <c r="D2211" s="9" t="s">
        <v>451</v>
      </c>
      <c r="E2211" s="12" t="s">
        <v>55</v>
      </c>
      <c r="F2211" s="8" t="s">
        <v>54</v>
      </c>
      <c r="G2211" s="10" t="s">
        <v>67</v>
      </c>
      <c r="H2211" s="8" t="s">
        <v>54</v>
      </c>
      <c r="I2211" s="8" t="s">
        <v>54</v>
      </c>
      <c r="J2211" s="8" t="s">
        <v>54</v>
      </c>
      <c r="K2211" s="8" t="s">
        <v>54</v>
      </c>
      <c r="L2211" s="8" t="s">
        <v>54</v>
      </c>
      <c r="M2211" s="8" t="s">
        <v>54</v>
      </c>
      <c r="N2211" s="10" t="s">
        <v>67</v>
      </c>
      <c r="O2211" s="8" t="s">
        <v>54</v>
      </c>
      <c r="P2211" s="8" t="s">
        <v>54</v>
      </c>
      <c r="Q2211" s="8" t="s">
        <v>54</v>
      </c>
      <c r="R2211" s="8" t="s">
        <v>54</v>
      </c>
      <c r="S2211" s="8" t="s">
        <v>54</v>
      </c>
      <c r="T2211" s="8" t="s">
        <v>54</v>
      </c>
      <c r="U2211" s="10" t="s">
        <v>67</v>
      </c>
      <c r="V2211" s="8" t="s">
        <v>54</v>
      </c>
      <c r="W2211" s="8" t="s">
        <v>54</v>
      </c>
      <c r="X2211" s="8" t="s">
        <v>54</v>
      </c>
      <c r="Y2211" s="8" t="s">
        <v>54</v>
      </c>
      <c r="Z2211" s="8" t="s">
        <v>54</v>
      </c>
      <c r="AA2211" s="8" t="s">
        <v>54</v>
      </c>
      <c r="AB2211" s="10" t="s">
        <v>67</v>
      </c>
      <c r="AC2211" s="8" t="s">
        <v>54</v>
      </c>
      <c r="AD2211" s="8" t="s">
        <v>54</v>
      </c>
      <c r="AE2211" s="8" t="s">
        <v>54</v>
      </c>
      <c r="AF2211" s="8" t="s">
        <v>54</v>
      </c>
      <c r="AG2211" s="8" t="s">
        <v>54</v>
      </c>
      <c r="AH2211" s="12" t="s">
        <v>55</v>
      </c>
      <c r="AI2211" s="10" t="s">
        <v>67</v>
      </c>
      <c r="AJ2211" s="8">
        <f>COUNTIF($E$2211:$AI$2211,"P")</f>
        <v>24</v>
      </c>
      <c r="AK2211" s="8">
        <f>COUNTIF($E$2211:$AI$2211,"A")</f>
        <v>2</v>
      </c>
      <c r="AL2211" s="8">
        <f>SUM($E$2212:$AI$2212)</f>
        <v>34</v>
      </c>
      <c r="AM2211" s="8">
        <f>SUM($E$2213:$AI$2213)</f>
        <v>145</v>
      </c>
      <c r="AN2211" s="8">
        <f>AL2211+AM2211</f>
        <v>179</v>
      </c>
      <c r="AO2211" s="8">
        <f>COUNTIF($E$2211:$AI$2211,"CL")</f>
        <v>0</v>
      </c>
      <c r="AP2211" s="8">
        <f>COUNTIF($E$2211:$AI$2211,"SL")</f>
        <v>0</v>
      </c>
      <c r="AQ2211" s="8">
        <f>COUNTIF($E$2211:$AI$2211,"EL")</f>
        <v>0</v>
      </c>
      <c r="AR2211" s="8">
        <f>COUNTIF($E$2211:$AI$2211,"H")</f>
        <v>0</v>
      </c>
      <c r="AS2211" s="8"/>
      <c r="AT2211" s="11" t="s">
        <v>257</v>
      </c>
    </row>
    <row r="2212" spans="1:46" ht="15.1" customHeight="1">
      <c r="A2212" s="8"/>
      <c r="B2212" s="9"/>
      <c r="C2212" s="8"/>
      <c r="D2212" s="9"/>
      <c r="E2212" s="8">
        <v>0</v>
      </c>
      <c r="F2212" s="8">
        <v>2</v>
      </c>
      <c r="G2212" s="8">
        <v>0</v>
      </c>
      <c r="H2212" s="8">
        <v>2</v>
      </c>
      <c r="I2212" s="8">
        <v>2</v>
      </c>
      <c r="J2212" s="8">
        <v>2</v>
      </c>
      <c r="K2212" s="8">
        <v>2</v>
      </c>
      <c r="L2212" s="8">
        <v>2</v>
      </c>
      <c r="M2212" s="8">
        <v>2</v>
      </c>
      <c r="N2212" s="8">
        <v>0</v>
      </c>
      <c r="O2212" s="8">
        <v>2</v>
      </c>
      <c r="P2212" s="8">
        <v>2</v>
      </c>
      <c r="Q2212" s="8">
        <v>2</v>
      </c>
      <c r="R2212" s="8">
        <v>2</v>
      </c>
      <c r="S2212" s="8">
        <v>2</v>
      </c>
      <c r="T2212" s="8">
        <v>2</v>
      </c>
      <c r="U2212" s="8">
        <v>0</v>
      </c>
      <c r="V2212" s="8">
        <v>2</v>
      </c>
      <c r="W2212" s="8">
        <v>2</v>
      </c>
      <c r="X2212" s="8">
        <v>2</v>
      </c>
      <c r="Y2212" s="8">
        <v>0</v>
      </c>
      <c r="Z2212" s="8">
        <v>0</v>
      </c>
      <c r="AA2212" s="8">
        <v>0</v>
      </c>
      <c r="AB2212" s="8">
        <v>0</v>
      </c>
      <c r="AC2212" s="8">
        <v>2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11" t="s">
        <v>257</v>
      </c>
    </row>
    <row r="2213" spans="1:46" ht="15.1" customHeight="1">
      <c r="A2213" s="8"/>
      <c r="B2213" s="9"/>
      <c r="C2213" s="8"/>
      <c r="D2213" s="9"/>
      <c r="E2213" s="8">
        <v>0</v>
      </c>
      <c r="F2213" s="8">
        <v>3</v>
      </c>
      <c r="G2213" s="8">
        <v>14.5</v>
      </c>
      <c r="H2213" s="8">
        <v>7</v>
      </c>
      <c r="I2213" s="8">
        <v>7</v>
      </c>
      <c r="J2213" s="8">
        <v>5</v>
      </c>
      <c r="K2213" s="8">
        <v>7</v>
      </c>
      <c r="L2213" s="8">
        <v>7</v>
      </c>
      <c r="M2213" s="8">
        <v>5</v>
      </c>
      <c r="N2213" s="8">
        <v>16.5</v>
      </c>
      <c r="O2213" s="8">
        <v>7</v>
      </c>
      <c r="P2213" s="8">
        <v>7</v>
      </c>
      <c r="Q2213" s="8">
        <v>7</v>
      </c>
      <c r="R2213" s="8">
        <v>7</v>
      </c>
      <c r="S2213" s="8">
        <v>7</v>
      </c>
      <c r="T2213" s="8">
        <v>4</v>
      </c>
      <c r="U2213" s="8">
        <v>13</v>
      </c>
      <c r="V2213" s="8">
        <v>7</v>
      </c>
      <c r="W2213" s="8">
        <v>7</v>
      </c>
      <c r="X2213" s="8">
        <v>6</v>
      </c>
      <c r="Y2213" s="8">
        <v>0</v>
      </c>
      <c r="Z2213" s="8">
        <v>0</v>
      </c>
      <c r="AA2213" s="8">
        <v>0</v>
      </c>
      <c r="AB2213" s="8">
        <v>0</v>
      </c>
      <c r="AC2213" s="8">
        <v>1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11" t="s">
        <v>257</v>
      </c>
    </row>
    <row r="2214" spans="1:46" ht="15.1" customHeight="1">
      <c r="A2214" s="8">
        <v>737</v>
      </c>
      <c r="B2214" s="9" t="s">
        <v>1710</v>
      </c>
      <c r="C2214" s="8" t="s">
        <v>1711</v>
      </c>
      <c r="D2214" s="9" t="s">
        <v>451</v>
      </c>
      <c r="E2214" s="8" t="s">
        <v>54</v>
      </c>
      <c r="F2214" s="8" t="s">
        <v>54</v>
      </c>
      <c r="G2214" s="10" t="s">
        <v>67</v>
      </c>
      <c r="H2214" s="8" t="s">
        <v>54</v>
      </c>
      <c r="I2214" s="8" t="s">
        <v>54</v>
      </c>
      <c r="J2214" s="8" t="s">
        <v>54</v>
      </c>
      <c r="K2214" s="8" t="s">
        <v>54</v>
      </c>
      <c r="L2214" s="8" t="s">
        <v>54</v>
      </c>
      <c r="M2214" s="8" t="s">
        <v>54</v>
      </c>
      <c r="N2214" s="10" t="s">
        <v>67</v>
      </c>
      <c r="O2214" s="8" t="s">
        <v>54</v>
      </c>
      <c r="P2214" s="12" t="s">
        <v>55</v>
      </c>
      <c r="Q2214" s="12" t="s">
        <v>55</v>
      </c>
      <c r="R2214" s="12" t="s">
        <v>55</v>
      </c>
      <c r="S2214" s="8" t="s">
        <v>54</v>
      </c>
      <c r="T2214" s="8" t="s">
        <v>54</v>
      </c>
      <c r="U2214" s="10" t="s">
        <v>67</v>
      </c>
      <c r="V2214" s="8" t="s">
        <v>54</v>
      </c>
      <c r="W2214" s="8" t="s">
        <v>54</v>
      </c>
      <c r="X2214" s="8" t="s">
        <v>54</v>
      </c>
      <c r="Y2214" s="8" t="s">
        <v>54</v>
      </c>
      <c r="Z2214" s="8" t="s">
        <v>54</v>
      </c>
      <c r="AA2214" s="8" t="s">
        <v>54</v>
      </c>
      <c r="AB2214" s="10" t="s">
        <v>67</v>
      </c>
      <c r="AC2214" s="8" t="s">
        <v>54</v>
      </c>
      <c r="AD2214" s="8" t="s">
        <v>54</v>
      </c>
      <c r="AE2214" s="8" t="s">
        <v>54</v>
      </c>
      <c r="AF2214" s="8" t="s">
        <v>54</v>
      </c>
      <c r="AG2214" s="8" t="s">
        <v>54</v>
      </c>
      <c r="AH2214" s="12" t="s">
        <v>55</v>
      </c>
      <c r="AI2214" s="10" t="s">
        <v>67</v>
      </c>
      <c r="AJ2214" s="8">
        <f>COUNTIF($E$2214:$AI$2214,"P")</f>
        <v>22</v>
      </c>
      <c r="AK2214" s="8">
        <f>COUNTIF($E$2214:$AI$2214,"A")</f>
        <v>4</v>
      </c>
      <c r="AL2214" s="8">
        <f>SUM($E$2215:$AI$2215)</f>
        <v>30</v>
      </c>
      <c r="AM2214" s="8">
        <f>SUM($E$2216:$AI$2216)</f>
        <v>120.5</v>
      </c>
      <c r="AN2214" s="8">
        <f>AL2214+AM2214</f>
        <v>150.5</v>
      </c>
      <c r="AO2214" s="8">
        <f>COUNTIF($E$2214:$AI$2214,"CL")</f>
        <v>0</v>
      </c>
      <c r="AP2214" s="8">
        <f>COUNTIF($E$2214:$AI$2214,"SL")</f>
        <v>0</v>
      </c>
      <c r="AQ2214" s="8">
        <f>COUNTIF($E$2214:$AI$2214,"EL")</f>
        <v>0</v>
      </c>
      <c r="AR2214" s="8">
        <f>COUNTIF($E$2214:$AI$2214,"H")</f>
        <v>0</v>
      </c>
      <c r="AS2214" s="8"/>
      <c r="AT2214" s="11" t="s">
        <v>257</v>
      </c>
    </row>
    <row r="2215" spans="1:46" ht="15.1" customHeight="1">
      <c r="A2215" s="8"/>
      <c r="B2215" s="9"/>
      <c r="C2215" s="8"/>
      <c r="D2215" s="9"/>
      <c r="E2215" s="8">
        <v>2</v>
      </c>
      <c r="F2215" s="8">
        <v>2</v>
      </c>
      <c r="G2215" s="8">
        <v>0</v>
      </c>
      <c r="H2215" s="8">
        <v>2</v>
      </c>
      <c r="I2215" s="8">
        <v>2</v>
      </c>
      <c r="J2215" s="8">
        <v>2</v>
      </c>
      <c r="K2215" s="8">
        <v>2</v>
      </c>
      <c r="L2215" s="8">
        <v>2</v>
      </c>
      <c r="M2215" s="8">
        <v>2</v>
      </c>
      <c r="N2215" s="8">
        <v>0</v>
      </c>
      <c r="O2215" s="8">
        <v>2</v>
      </c>
      <c r="P2215" s="8">
        <v>0</v>
      </c>
      <c r="Q2215" s="8">
        <v>0</v>
      </c>
      <c r="R2215" s="8">
        <v>0</v>
      </c>
      <c r="S2215" s="8">
        <v>2</v>
      </c>
      <c r="T2215" s="8">
        <v>2</v>
      </c>
      <c r="U2215" s="8">
        <v>0</v>
      </c>
      <c r="V2215" s="8">
        <v>2</v>
      </c>
      <c r="W2215" s="8">
        <v>2</v>
      </c>
      <c r="X2215" s="8">
        <v>2</v>
      </c>
      <c r="Y2215" s="8">
        <v>0</v>
      </c>
      <c r="Z2215" s="8">
        <v>0</v>
      </c>
      <c r="AA2215" s="8">
        <v>0</v>
      </c>
      <c r="AB2215" s="8">
        <v>0</v>
      </c>
      <c r="AC2215" s="8">
        <v>2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11" t="s">
        <v>257</v>
      </c>
    </row>
    <row r="2216" spans="1:46" ht="15.1" customHeight="1">
      <c r="A2216" s="8"/>
      <c r="B2216" s="9"/>
      <c r="C2216" s="8"/>
      <c r="D2216" s="9"/>
      <c r="E2216" s="8">
        <v>0</v>
      </c>
      <c r="F2216" s="8">
        <v>3</v>
      </c>
      <c r="G2216" s="8">
        <v>14.5</v>
      </c>
      <c r="H2216" s="8">
        <v>7</v>
      </c>
      <c r="I2216" s="8">
        <v>7</v>
      </c>
      <c r="J2216" s="8">
        <v>5</v>
      </c>
      <c r="K2216" s="8">
        <v>7</v>
      </c>
      <c r="L2216" s="8">
        <v>7</v>
      </c>
      <c r="M2216" s="8">
        <v>5</v>
      </c>
      <c r="N2216" s="8">
        <v>16.5</v>
      </c>
      <c r="O2216" s="8">
        <v>7</v>
      </c>
      <c r="P2216" s="8">
        <v>0</v>
      </c>
      <c r="Q2216" s="8">
        <v>0</v>
      </c>
      <c r="R2216" s="8">
        <v>0</v>
      </c>
      <c r="S2216" s="8">
        <v>7</v>
      </c>
      <c r="T2216" s="8">
        <v>4.5</v>
      </c>
      <c r="U2216" s="8">
        <v>13</v>
      </c>
      <c r="V2216" s="8">
        <v>7</v>
      </c>
      <c r="W2216" s="8">
        <v>7</v>
      </c>
      <c r="X2216" s="8">
        <v>3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11" t="s">
        <v>257</v>
      </c>
    </row>
    <row r="2217" spans="1:46" ht="15.1" customHeight="1">
      <c r="A2217" s="8">
        <v>738</v>
      </c>
      <c r="B2217" s="9" t="s">
        <v>1712</v>
      </c>
      <c r="C2217" s="8" t="s">
        <v>1713</v>
      </c>
      <c r="D2217" s="9" t="s">
        <v>451</v>
      </c>
      <c r="E2217" s="8" t="s">
        <v>54</v>
      </c>
      <c r="F2217" s="8" t="s">
        <v>54</v>
      </c>
      <c r="G2217" s="10" t="s">
        <v>67</v>
      </c>
      <c r="H2217" s="8" t="s">
        <v>54</v>
      </c>
      <c r="I2217" s="8" t="s">
        <v>54</v>
      </c>
      <c r="J2217" s="12" t="s">
        <v>55</v>
      </c>
      <c r="K2217" s="12" t="s">
        <v>55</v>
      </c>
      <c r="L2217" s="12" t="s">
        <v>55</v>
      </c>
      <c r="M2217" s="8" t="s">
        <v>54</v>
      </c>
      <c r="N2217" s="10" t="s">
        <v>67</v>
      </c>
      <c r="O2217" s="8" t="s">
        <v>54</v>
      </c>
      <c r="P2217" s="8" t="s">
        <v>54</v>
      </c>
      <c r="Q2217" s="8" t="s">
        <v>54</v>
      </c>
      <c r="R2217" s="8" t="s">
        <v>54</v>
      </c>
      <c r="S2217" s="8" t="s">
        <v>54</v>
      </c>
      <c r="T2217" s="8" t="s">
        <v>54</v>
      </c>
      <c r="U2217" s="10" t="s">
        <v>67</v>
      </c>
      <c r="V2217" s="8" t="s">
        <v>54</v>
      </c>
      <c r="W2217" s="12" t="s">
        <v>55</v>
      </c>
      <c r="X2217" s="8" t="s">
        <v>54</v>
      </c>
      <c r="Y2217" s="8" t="s">
        <v>54</v>
      </c>
      <c r="Z2217" s="8" t="s">
        <v>54</v>
      </c>
      <c r="AA2217" s="8" t="s">
        <v>54</v>
      </c>
      <c r="AB2217" s="10" t="s">
        <v>67</v>
      </c>
      <c r="AC2217" s="8" t="s">
        <v>54</v>
      </c>
      <c r="AD2217" s="8" t="s">
        <v>54</v>
      </c>
      <c r="AE2217" s="8" t="s">
        <v>54</v>
      </c>
      <c r="AF2217" s="8" t="s">
        <v>54</v>
      </c>
      <c r="AG2217" s="8" t="s">
        <v>54</v>
      </c>
      <c r="AH2217" s="12" t="s">
        <v>55</v>
      </c>
      <c r="AI2217" s="10" t="s">
        <v>67</v>
      </c>
      <c r="AJ2217" s="8">
        <f>COUNTIF($E$2217:$AI$2217,"P")</f>
        <v>21</v>
      </c>
      <c r="AK2217" s="8">
        <f>COUNTIF($E$2217:$AI$2217,"A")</f>
        <v>5</v>
      </c>
      <c r="AL2217" s="8">
        <f>SUM($E$2218:$AI$2218)</f>
        <v>28</v>
      </c>
      <c r="AM2217" s="8">
        <f>SUM($E$2219:$AI$2219)</f>
        <v>97</v>
      </c>
      <c r="AN2217" s="8">
        <f>AL2217+AM2217</f>
        <v>125</v>
      </c>
      <c r="AO2217" s="8">
        <f>COUNTIF($E$2217:$AI$2217,"CL")</f>
        <v>0</v>
      </c>
      <c r="AP2217" s="8">
        <f>COUNTIF($E$2217:$AI$2217,"SL")</f>
        <v>0</v>
      </c>
      <c r="AQ2217" s="8">
        <f>COUNTIF($E$2217:$AI$2217,"EL")</f>
        <v>0</v>
      </c>
      <c r="AR2217" s="8">
        <f>COUNTIF($E$2217:$AI$2217,"H")</f>
        <v>0</v>
      </c>
      <c r="AS2217" s="8"/>
      <c r="AT2217" s="11" t="s">
        <v>257</v>
      </c>
    </row>
    <row r="2218" spans="1:46" ht="15.1" customHeight="1">
      <c r="A2218" s="8"/>
      <c r="B2218" s="9"/>
      <c r="C2218" s="8"/>
      <c r="D2218" s="9"/>
      <c r="E2218" s="8">
        <v>2</v>
      </c>
      <c r="F2218" s="8">
        <v>2</v>
      </c>
      <c r="G2218" s="8">
        <v>0</v>
      </c>
      <c r="H2218" s="8">
        <v>2</v>
      </c>
      <c r="I2218" s="8">
        <v>2</v>
      </c>
      <c r="J2218" s="8">
        <v>0</v>
      </c>
      <c r="K2218" s="8">
        <v>0</v>
      </c>
      <c r="L2218" s="8">
        <v>0</v>
      </c>
      <c r="M2218" s="8">
        <v>1</v>
      </c>
      <c r="N2218" s="8">
        <v>0</v>
      </c>
      <c r="O2218" s="8">
        <v>2</v>
      </c>
      <c r="P2218" s="8">
        <v>2</v>
      </c>
      <c r="Q2218" s="8">
        <v>2</v>
      </c>
      <c r="R2218" s="8">
        <v>2</v>
      </c>
      <c r="S2218" s="8">
        <v>2</v>
      </c>
      <c r="T2218" s="8">
        <v>2</v>
      </c>
      <c r="U2218" s="8">
        <v>0</v>
      </c>
      <c r="V2218" s="8">
        <v>2</v>
      </c>
      <c r="W2218" s="8">
        <v>0</v>
      </c>
      <c r="X2218" s="8">
        <v>2</v>
      </c>
      <c r="Y2218" s="8">
        <v>0</v>
      </c>
      <c r="Z2218" s="8">
        <v>1</v>
      </c>
      <c r="AA2218" s="8">
        <v>0</v>
      </c>
      <c r="AB2218" s="8">
        <v>0</v>
      </c>
      <c r="AC2218" s="8">
        <v>2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11" t="s">
        <v>257</v>
      </c>
    </row>
    <row r="2219" spans="1:46" ht="15.1" customHeight="1">
      <c r="A2219" s="8"/>
      <c r="B2219" s="9"/>
      <c r="C2219" s="8"/>
      <c r="D2219" s="9"/>
      <c r="E2219" s="8">
        <v>3</v>
      </c>
      <c r="F2219" s="8">
        <v>3</v>
      </c>
      <c r="G2219" s="8">
        <v>0</v>
      </c>
      <c r="H2219" s="8">
        <v>7</v>
      </c>
      <c r="I2219" s="8">
        <v>7</v>
      </c>
      <c r="J2219" s="8">
        <v>0</v>
      </c>
      <c r="K2219" s="8">
        <v>0</v>
      </c>
      <c r="L2219" s="8">
        <v>0</v>
      </c>
      <c r="M2219" s="8">
        <v>0</v>
      </c>
      <c r="N2219" s="8">
        <v>17</v>
      </c>
      <c r="O2219" s="8">
        <v>7</v>
      </c>
      <c r="P2219" s="8">
        <v>7</v>
      </c>
      <c r="Q2219" s="8">
        <v>7</v>
      </c>
      <c r="R2219" s="8">
        <v>6.5</v>
      </c>
      <c r="S2219" s="8">
        <v>6</v>
      </c>
      <c r="T2219" s="8">
        <v>4</v>
      </c>
      <c r="U2219" s="8">
        <v>9.5</v>
      </c>
      <c r="V2219" s="8">
        <v>7</v>
      </c>
      <c r="W2219" s="8">
        <v>0</v>
      </c>
      <c r="X2219" s="8">
        <v>6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11" t="s">
        <v>257</v>
      </c>
    </row>
    <row r="2220" spans="1:46" ht="15.1" customHeight="1">
      <c r="A2220" s="8">
        <v>739</v>
      </c>
      <c r="B2220" s="9" t="s">
        <v>1714</v>
      </c>
      <c r="C2220" s="8" t="s">
        <v>1715</v>
      </c>
      <c r="D2220" s="9" t="s">
        <v>451</v>
      </c>
      <c r="E2220" s="8" t="s">
        <v>54</v>
      </c>
      <c r="F2220" s="8" t="s">
        <v>54</v>
      </c>
      <c r="G2220" s="10" t="s">
        <v>67</v>
      </c>
      <c r="H2220" s="8" t="s">
        <v>54</v>
      </c>
      <c r="I2220" s="8" t="s">
        <v>54</v>
      </c>
      <c r="J2220" s="8" t="s">
        <v>54</v>
      </c>
      <c r="K2220" s="8" t="s">
        <v>54</v>
      </c>
      <c r="L2220" s="8" t="s">
        <v>54</v>
      </c>
      <c r="M2220" s="8" t="s">
        <v>54</v>
      </c>
      <c r="N2220" s="10" t="s">
        <v>67</v>
      </c>
      <c r="O2220" s="8" t="s">
        <v>54</v>
      </c>
      <c r="P2220" s="8" t="s">
        <v>54</v>
      </c>
      <c r="Q2220" s="8" t="s">
        <v>54</v>
      </c>
      <c r="R2220" s="8" t="s">
        <v>54</v>
      </c>
      <c r="S2220" s="8" t="s">
        <v>54</v>
      </c>
      <c r="T2220" s="8" t="s">
        <v>54</v>
      </c>
      <c r="U2220" s="10" t="s">
        <v>67</v>
      </c>
      <c r="V2220" s="8" t="s">
        <v>54</v>
      </c>
      <c r="W2220" s="8" t="s">
        <v>54</v>
      </c>
      <c r="X2220" s="8" t="s">
        <v>54</v>
      </c>
      <c r="Y2220" s="8" t="s">
        <v>54</v>
      </c>
      <c r="Z2220" s="8" t="s">
        <v>54</v>
      </c>
      <c r="AA2220" s="8" t="s">
        <v>54</v>
      </c>
      <c r="AB2220" s="10" t="s">
        <v>67</v>
      </c>
      <c r="AC2220" s="8" t="s">
        <v>54</v>
      </c>
      <c r="AD2220" s="8" t="s">
        <v>54</v>
      </c>
      <c r="AE2220" s="8" t="s">
        <v>54</v>
      </c>
      <c r="AF2220" s="8" t="s">
        <v>54</v>
      </c>
      <c r="AG2220" s="8" t="s">
        <v>54</v>
      </c>
      <c r="AH2220" s="12" t="s">
        <v>55</v>
      </c>
      <c r="AI2220" s="10" t="s">
        <v>67</v>
      </c>
      <c r="AJ2220" s="8">
        <f>COUNTIF($E$2220:$AI$2220,"P")</f>
        <v>25</v>
      </c>
      <c r="AK2220" s="8">
        <f>COUNTIF($E$2220:$AI$2220,"A")</f>
        <v>1</v>
      </c>
      <c r="AL2220" s="8">
        <f>SUM($E$2221:$AI$2221)</f>
        <v>39</v>
      </c>
      <c r="AM2220" s="8">
        <f>SUM($E$2222:$AI$2222)</f>
        <v>149.5</v>
      </c>
      <c r="AN2220" s="8">
        <f>AL2220+AM2220</f>
        <v>188.5</v>
      </c>
      <c r="AO2220" s="8">
        <f>COUNTIF($E$2220:$AI$2220,"CL")</f>
        <v>0</v>
      </c>
      <c r="AP2220" s="8">
        <f>COUNTIF($E$2220:$AI$2220,"SL")</f>
        <v>0</v>
      </c>
      <c r="AQ2220" s="8">
        <f>COUNTIF($E$2220:$AI$2220,"EL")</f>
        <v>0</v>
      </c>
      <c r="AR2220" s="8">
        <f>COUNTIF($E$2220:$AI$2220,"H")</f>
        <v>0</v>
      </c>
      <c r="AS2220" s="8"/>
      <c r="AT2220" s="11" t="s">
        <v>257</v>
      </c>
    </row>
    <row r="2221" spans="1:46" ht="15.1" customHeight="1">
      <c r="A2221" s="8"/>
      <c r="B2221" s="9"/>
      <c r="C2221" s="8"/>
      <c r="D2221" s="9"/>
      <c r="E2221" s="8">
        <v>2</v>
      </c>
      <c r="F2221" s="8">
        <v>2</v>
      </c>
      <c r="G2221" s="8">
        <v>0</v>
      </c>
      <c r="H2221" s="8">
        <v>2</v>
      </c>
      <c r="I2221" s="8">
        <v>2</v>
      </c>
      <c r="J2221" s="8">
        <v>2</v>
      </c>
      <c r="K2221" s="8">
        <v>2</v>
      </c>
      <c r="L2221" s="8">
        <v>2</v>
      </c>
      <c r="M2221" s="8">
        <v>2</v>
      </c>
      <c r="N2221" s="8">
        <v>0</v>
      </c>
      <c r="O2221" s="8">
        <v>2</v>
      </c>
      <c r="P2221" s="8">
        <v>2</v>
      </c>
      <c r="Q2221" s="8">
        <v>2</v>
      </c>
      <c r="R2221" s="8">
        <v>2</v>
      </c>
      <c r="S2221" s="8">
        <v>2</v>
      </c>
      <c r="T2221" s="8">
        <v>2</v>
      </c>
      <c r="U2221" s="8">
        <v>0</v>
      </c>
      <c r="V2221" s="8">
        <v>2</v>
      </c>
      <c r="W2221" s="8">
        <v>2</v>
      </c>
      <c r="X2221" s="8">
        <v>2</v>
      </c>
      <c r="Y2221" s="8">
        <v>0</v>
      </c>
      <c r="Z2221" s="8">
        <v>0</v>
      </c>
      <c r="AA2221" s="8">
        <v>1</v>
      </c>
      <c r="AB2221" s="8">
        <v>0</v>
      </c>
      <c r="AC2221" s="8">
        <v>2</v>
      </c>
      <c r="AD2221" s="8">
        <v>2</v>
      </c>
      <c r="AE2221" s="8">
        <v>0</v>
      </c>
      <c r="AF2221" s="8">
        <v>0</v>
      </c>
      <c r="AG2221" s="8">
        <v>0</v>
      </c>
      <c r="AH2221" s="8">
        <v>0</v>
      </c>
      <c r="AI2221" s="8">
        <v>0</v>
      </c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11" t="s">
        <v>257</v>
      </c>
    </row>
    <row r="2222" spans="1:46" ht="15.1" customHeight="1">
      <c r="A2222" s="8"/>
      <c r="B2222" s="9"/>
      <c r="C2222" s="8"/>
      <c r="D2222" s="9"/>
      <c r="E2222" s="8">
        <v>3</v>
      </c>
      <c r="F2222" s="8">
        <v>3</v>
      </c>
      <c r="G2222" s="8">
        <v>14.5</v>
      </c>
      <c r="H2222" s="8">
        <v>7</v>
      </c>
      <c r="I2222" s="8">
        <v>7</v>
      </c>
      <c r="J2222" s="8">
        <v>5</v>
      </c>
      <c r="K2222" s="8">
        <v>7</v>
      </c>
      <c r="L2222" s="8">
        <v>5.5</v>
      </c>
      <c r="M2222" s="8">
        <v>5</v>
      </c>
      <c r="N2222" s="8">
        <v>16.5</v>
      </c>
      <c r="O2222" s="8">
        <v>7</v>
      </c>
      <c r="P2222" s="8">
        <v>7</v>
      </c>
      <c r="Q2222" s="8">
        <v>7</v>
      </c>
      <c r="R2222" s="8">
        <v>7</v>
      </c>
      <c r="S2222" s="8">
        <v>7</v>
      </c>
      <c r="T2222" s="8">
        <v>4.5</v>
      </c>
      <c r="U2222" s="8">
        <v>12.5</v>
      </c>
      <c r="V2222" s="8">
        <v>7</v>
      </c>
      <c r="W2222" s="8">
        <v>7</v>
      </c>
      <c r="X2222" s="8">
        <v>6</v>
      </c>
      <c r="Y2222" s="8">
        <v>0</v>
      </c>
      <c r="Z2222" s="8">
        <v>0</v>
      </c>
      <c r="AA2222" s="8">
        <v>0</v>
      </c>
      <c r="AB2222" s="8">
        <v>0</v>
      </c>
      <c r="AC2222" s="8">
        <v>1</v>
      </c>
      <c r="AD2222" s="8">
        <v>3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11" t="s">
        <v>257</v>
      </c>
    </row>
    <row r="2223" spans="1:46" ht="15.1" customHeight="1">
      <c r="A2223" s="8">
        <v>740</v>
      </c>
      <c r="B2223" s="9" t="s">
        <v>1716</v>
      </c>
      <c r="C2223" s="8" t="s">
        <v>1717</v>
      </c>
      <c r="D2223" s="9" t="s">
        <v>451</v>
      </c>
      <c r="E2223" s="8" t="s">
        <v>54</v>
      </c>
      <c r="F2223" s="8" t="s">
        <v>54</v>
      </c>
      <c r="G2223" s="10" t="s">
        <v>67</v>
      </c>
      <c r="H2223" s="8" t="s">
        <v>54</v>
      </c>
      <c r="I2223" s="8" t="s">
        <v>54</v>
      </c>
      <c r="J2223" s="8" t="s">
        <v>54</v>
      </c>
      <c r="K2223" s="8" t="s">
        <v>54</v>
      </c>
      <c r="L2223" s="8" t="s">
        <v>54</v>
      </c>
      <c r="M2223" s="8" t="s">
        <v>54</v>
      </c>
      <c r="N2223" s="10" t="s">
        <v>67</v>
      </c>
      <c r="O2223" s="8" t="s">
        <v>54</v>
      </c>
      <c r="P2223" s="8" t="s">
        <v>54</v>
      </c>
      <c r="Q2223" s="8" t="s">
        <v>54</v>
      </c>
      <c r="R2223" s="8" t="s">
        <v>54</v>
      </c>
      <c r="S2223" s="8" t="s">
        <v>54</v>
      </c>
      <c r="T2223" s="8" t="s">
        <v>54</v>
      </c>
      <c r="U2223" s="10" t="s">
        <v>67</v>
      </c>
      <c r="V2223" s="8" t="s">
        <v>54</v>
      </c>
      <c r="W2223" s="8" t="s">
        <v>54</v>
      </c>
      <c r="X2223" s="8" t="s">
        <v>54</v>
      </c>
      <c r="Y2223" s="8" t="s">
        <v>54</v>
      </c>
      <c r="Z2223" s="8" t="s">
        <v>54</v>
      </c>
      <c r="AA2223" s="8" t="s">
        <v>54</v>
      </c>
      <c r="AB2223" s="10" t="s">
        <v>67</v>
      </c>
      <c r="AC2223" s="8" t="s">
        <v>54</v>
      </c>
      <c r="AD2223" s="12" t="s">
        <v>55</v>
      </c>
      <c r="AE2223" s="12" t="s">
        <v>55</v>
      </c>
      <c r="AF2223" s="12" t="s">
        <v>55</v>
      </c>
      <c r="AG2223" s="12" t="s">
        <v>55</v>
      </c>
      <c r="AH2223" s="12" t="s">
        <v>55</v>
      </c>
      <c r="AI2223" s="10" t="s">
        <v>67</v>
      </c>
      <c r="AJ2223" s="8">
        <f>COUNTIF($E$2223:$AI$2223,"P")</f>
        <v>21</v>
      </c>
      <c r="AK2223" s="8">
        <f>COUNTIF($E$2223:$AI$2223,"A")</f>
        <v>5</v>
      </c>
      <c r="AL2223" s="8">
        <f>SUM($E$2224:$AI$2224)</f>
        <v>36</v>
      </c>
      <c r="AM2223" s="8">
        <f>SUM($E$2225:$AI$2225)</f>
        <v>145.5</v>
      </c>
      <c r="AN2223" s="8">
        <f>AL2223+AM2223</f>
        <v>181.5</v>
      </c>
      <c r="AO2223" s="8">
        <f>COUNTIF($E$2223:$AI$2223,"CL")</f>
        <v>0</v>
      </c>
      <c r="AP2223" s="8">
        <f>COUNTIF($E$2223:$AI$2223,"SL")</f>
        <v>0</v>
      </c>
      <c r="AQ2223" s="8">
        <f>COUNTIF($E$2223:$AI$2223,"EL")</f>
        <v>0</v>
      </c>
      <c r="AR2223" s="8">
        <f>COUNTIF($E$2223:$AI$2223,"H")</f>
        <v>0</v>
      </c>
      <c r="AS2223" s="8"/>
      <c r="AT2223" s="11" t="s">
        <v>257</v>
      </c>
    </row>
    <row r="2224" spans="1:46" ht="15.1" customHeight="1">
      <c r="A2224" s="8"/>
      <c r="B2224" s="9"/>
      <c r="C2224" s="8"/>
      <c r="D2224" s="9"/>
      <c r="E2224" s="8">
        <v>2</v>
      </c>
      <c r="F2224" s="8">
        <v>2</v>
      </c>
      <c r="G2224" s="8">
        <v>0</v>
      </c>
      <c r="H2224" s="8">
        <v>2</v>
      </c>
      <c r="I2224" s="8">
        <v>2</v>
      </c>
      <c r="J2224" s="8">
        <v>2</v>
      </c>
      <c r="K2224" s="8">
        <v>2</v>
      </c>
      <c r="L2224" s="8">
        <v>2</v>
      </c>
      <c r="M2224" s="8">
        <v>2</v>
      </c>
      <c r="N2224" s="8">
        <v>0</v>
      </c>
      <c r="O2224" s="8">
        <v>2</v>
      </c>
      <c r="P2224" s="8">
        <v>2</v>
      </c>
      <c r="Q2224" s="8">
        <v>2</v>
      </c>
      <c r="R2224" s="8">
        <v>2</v>
      </c>
      <c r="S2224" s="8">
        <v>2</v>
      </c>
      <c r="T2224" s="8">
        <v>2</v>
      </c>
      <c r="U2224" s="8">
        <v>0</v>
      </c>
      <c r="V2224" s="8">
        <v>2</v>
      </c>
      <c r="W2224" s="8">
        <v>2</v>
      </c>
      <c r="X2224" s="8">
        <v>2</v>
      </c>
      <c r="Y2224" s="8">
        <v>0</v>
      </c>
      <c r="Z2224" s="8">
        <v>0</v>
      </c>
      <c r="AA2224" s="8">
        <v>0</v>
      </c>
      <c r="AB2224" s="8">
        <v>0</v>
      </c>
      <c r="AC2224" s="8">
        <v>2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11" t="s">
        <v>257</v>
      </c>
    </row>
    <row r="2225" spans="1:46" ht="15.1" customHeight="1">
      <c r="A2225" s="8"/>
      <c r="B2225" s="9"/>
      <c r="C2225" s="8"/>
      <c r="D2225" s="9"/>
      <c r="E2225" s="8">
        <v>3</v>
      </c>
      <c r="F2225" s="8">
        <v>3</v>
      </c>
      <c r="G2225" s="8">
        <v>14.5</v>
      </c>
      <c r="H2225" s="8">
        <v>7</v>
      </c>
      <c r="I2225" s="8">
        <v>7</v>
      </c>
      <c r="J2225" s="8">
        <v>5</v>
      </c>
      <c r="K2225" s="8">
        <v>7</v>
      </c>
      <c r="L2225" s="8">
        <v>7</v>
      </c>
      <c r="M2225" s="8">
        <v>5</v>
      </c>
      <c r="N2225" s="8">
        <v>17</v>
      </c>
      <c r="O2225" s="8">
        <v>7</v>
      </c>
      <c r="P2225" s="8">
        <v>7</v>
      </c>
      <c r="Q2225" s="8">
        <v>5.5</v>
      </c>
      <c r="R2225" s="8">
        <v>7</v>
      </c>
      <c r="S2225" s="8">
        <v>7</v>
      </c>
      <c r="T2225" s="8">
        <v>4.5</v>
      </c>
      <c r="U2225" s="8">
        <v>11</v>
      </c>
      <c r="V2225" s="8">
        <v>7</v>
      </c>
      <c r="W2225" s="8">
        <v>7</v>
      </c>
      <c r="X2225" s="8">
        <v>6</v>
      </c>
      <c r="Y2225" s="8">
        <v>0</v>
      </c>
      <c r="Z2225" s="8">
        <v>0</v>
      </c>
      <c r="AA2225" s="8">
        <v>0</v>
      </c>
      <c r="AB2225" s="8">
        <v>0</v>
      </c>
      <c r="AC2225" s="8">
        <v>1</v>
      </c>
      <c r="AD2225" s="8">
        <v>0</v>
      </c>
      <c r="AE2225" s="8">
        <v>0</v>
      </c>
      <c r="AF2225" s="8">
        <v>0</v>
      </c>
      <c r="AG2225" s="8">
        <v>0</v>
      </c>
      <c r="AH2225" s="8">
        <v>0</v>
      </c>
      <c r="AI2225" s="8">
        <v>0</v>
      </c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11" t="s">
        <v>257</v>
      </c>
    </row>
    <row r="2226" spans="1:46" ht="15.1" customHeight="1">
      <c r="A2226" s="8">
        <v>741</v>
      </c>
      <c r="B2226" s="9" t="s">
        <v>1718</v>
      </c>
      <c r="C2226" s="8" t="s">
        <v>1719</v>
      </c>
      <c r="D2226" s="9" t="s">
        <v>451</v>
      </c>
      <c r="E2226" s="8" t="s">
        <v>54</v>
      </c>
      <c r="F2226" s="8" t="s">
        <v>54</v>
      </c>
      <c r="G2226" s="10" t="s">
        <v>67</v>
      </c>
      <c r="H2226" s="8" t="s">
        <v>54</v>
      </c>
      <c r="I2226" s="8" t="s">
        <v>54</v>
      </c>
      <c r="J2226" s="8" t="s">
        <v>54</v>
      </c>
      <c r="K2226" s="8" t="s">
        <v>54</v>
      </c>
      <c r="L2226" s="8" t="s">
        <v>54</v>
      </c>
      <c r="M2226" s="8" t="s">
        <v>54</v>
      </c>
      <c r="N2226" s="10" t="s">
        <v>67</v>
      </c>
      <c r="O2226" s="8" t="s">
        <v>54</v>
      </c>
      <c r="P2226" s="8" t="s">
        <v>54</v>
      </c>
      <c r="Q2226" s="8" t="s">
        <v>54</v>
      </c>
      <c r="R2226" s="8" t="s">
        <v>54</v>
      </c>
      <c r="S2226" s="8" t="s">
        <v>54</v>
      </c>
      <c r="T2226" s="8" t="s">
        <v>54</v>
      </c>
      <c r="U2226" s="10" t="s">
        <v>67</v>
      </c>
      <c r="V2226" s="8" t="s">
        <v>54</v>
      </c>
      <c r="W2226" s="8" t="s">
        <v>54</v>
      </c>
      <c r="X2226" s="8" t="s">
        <v>54</v>
      </c>
      <c r="Y2226" s="8" t="s">
        <v>54</v>
      </c>
      <c r="Z2226" s="8" t="s">
        <v>54</v>
      </c>
      <c r="AA2226" s="12" t="s">
        <v>55</v>
      </c>
      <c r="AB2226" s="10" t="s">
        <v>67</v>
      </c>
      <c r="AC2226" s="8" t="s">
        <v>54</v>
      </c>
      <c r="AD2226" s="8" t="s">
        <v>54</v>
      </c>
      <c r="AE2226" s="8" t="s">
        <v>54</v>
      </c>
      <c r="AF2226" s="8" t="s">
        <v>54</v>
      </c>
      <c r="AG2226" s="8" t="s">
        <v>54</v>
      </c>
      <c r="AH2226" s="12" t="s">
        <v>55</v>
      </c>
      <c r="AI2226" s="10" t="s">
        <v>67</v>
      </c>
      <c r="AJ2226" s="8">
        <f>COUNTIF($E$2226:$AI$2226,"P")</f>
        <v>24</v>
      </c>
      <c r="AK2226" s="8">
        <f>COUNTIF($E$2226:$AI$2226,"A")</f>
        <v>2</v>
      </c>
      <c r="AL2226" s="8">
        <f>SUM($E$2227:$AI$2227)</f>
        <v>36</v>
      </c>
      <c r="AM2226" s="8">
        <f>SUM($E$2228:$AI$2228)</f>
        <v>146.5</v>
      </c>
      <c r="AN2226" s="8">
        <f>AL2226+AM2226</f>
        <v>182.5</v>
      </c>
      <c r="AO2226" s="8">
        <f>COUNTIF($E$2226:$AI$2226,"CL")</f>
        <v>0</v>
      </c>
      <c r="AP2226" s="8">
        <f>COUNTIF($E$2226:$AI$2226,"SL")</f>
        <v>0</v>
      </c>
      <c r="AQ2226" s="8">
        <f>COUNTIF($E$2226:$AI$2226,"EL")</f>
        <v>0</v>
      </c>
      <c r="AR2226" s="8">
        <f>COUNTIF($E$2226:$AI$2226,"H")</f>
        <v>0</v>
      </c>
      <c r="AS2226" s="8"/>
      <c r="AT2226" s="11" t="s">
        <v>257</v>
      </c>
    </row>
    <row r="2227" spans="1:46" ht="15.1" customHeight="1">
      <c r="A2227" s="8"/>
      <c r="B2227" s="9"/>
      <c r="C2227" s="8"/>
      <c r="D2227" s="9"/>
      <c r="E2227" s="8">
        <v>2</v>
      </c>
      <c r="F2227" s="8">
        <v>2</v>
      </c>
      <c r="G2227" s="8">
        <v>0</v>
      </c>
      <c r="H2227" s="8">
        <v>2</v>
      </c>
      <c r="I2227" s="8">
        <v>2</v>
      </c>
      <c r="J2227" s="8">
        <v>2</v>
      </c>
      <c r="K2227" s="8">
        <v>2</v>
      </c>
      <c r="L2227" s="8">
        <v>2</v>
      </c>
      <c r="M2227" s="8">
        <v>2</v>
      </c>
      <c r="N2227" s="8">
        <v>0</v>
      </c>
      <c r="O2227" s="8">
        <v>2</v>
      </c>
      <c r="P2227" s="8">
        <v>2</v>
      </c>
      <c r="Q2227" s="8">
        <v>2</v>
      </c>
      <c r="R2227" s="8">
        <v>2</v>
      </c>
      <c r="S2227" s="8">
        <v>2</v>
      </c>
      <c r="T2227" s="8">
        <v>2</v>
      </c>
      <c r="U2227" s="8">
        <v>0</v>
      </c>
      <c r="V2227" s="8">
        <v>2</v>
      </c>
      <c r="W2227" s="8">
        <v>2</v>
      </c>
      <c r="X2227" s="8">
        <v>2</v>
      </c>
      <c r="Y2227" s="8">
        <v>0</v>
      </c>
      <c r="Z2227" s="8">
        <v>0</v>
      </c>
      <c r="AA2227" s="8">
        <v>0</v>
      </c>
      <c r="AB2227" s="8">
        <v>0</v>
      </c>
      <c r="AC2227" s="8">
        <v>2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11" t="s">
        <v>257</v>
      </c>
    </row>
    <row r="2228" spans="1:46" ht="15.1" customHeight="1">
      <c r="A2228" s="8"/>
      <c r="B2228" s="9"/>
      <c r="C2228" s="8"/>
      <c r="D2228" s="9"/>
      <c r="E2228" s="8">
        <v>4</v>
      </c>
      <c r="F2228" s="8">
        <v>3</v>
      </c>
      <c r="G2228" s="8">
        <v>14.5</v>
      </c>
      <c r="H2228" s="8">
        <v>7</v>
      </c>
      <c r="I2228" s="8">
        <v>7</v>
      </c>
      <c r="J2228" s="8">
        <v>5</v>
      </c>
      <c r="K2228" s="8">
        <v>7</v>
      </c>
      <c r="L2228" s="8">
        <v>7</v>
      </c>
      <c r="M2228" s="8">
        <v>5</v>
      </c>
      <c r="N2228" s="8">
        <v>17</v>
      </c>
      <c r="O2228" s="8">
        <v>7</v>
      </c>
      <c r="P2228" s="8">
        <v>6.5</v>
      </c>
      <c r="Q2228" s="8">
        <v>6</v>
      </c>
      <c r="R2228" s="8">
        <v>7</v>
      </c>
      <c r="S2228" s="8">
        <v>7</v>
      </c>
      <c r="T2228" s="8">
        <v>3.5</v>
      </c>
      <c r="U2228" s="8">
        <v>13</v>
      </c>
      <c r="V2228" s="8">
        <v>7</v>
      </c>
      <c r="W2228" s="8">
        <v>7</v>
      </c>
      <c r="X2228" s="8">
        <v>6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11" t="s">
        <v>257</v>
      </c>
    </row>
    <row r="2229" spans="1:46" ht="15.1" customHeight="1">
      <c r="A2229" s="8">
        <v>742</v>
      </c>
      <c r="B2229" s="9" t="s">
        <v>1720</v>
      </c>
      <c r="C2229" s="8" t="s">
        <v>1721</v>
      </c>
      <c r="D2229" s="9" t="s">
        <v>451</v>
      </c>
      <c r="E2229" s="8" t="s">
        <v>54</v>
      </c>
      <c r="F2229" s="8" t="s">
        <v>54</v>
      </c>
      <c r="G2229" s="10" t="s">
        <v>67</v>
      </c>
      <c r="H2229" s="8" t="s">
        <v>54</v>
      </c>
      <c r="I2229" s="8" t="s">
        <v>54</v>
      </c>
      <c r="J2229" s="8" t="s">
        <v>54</v>
      </c>
      <c r="K2229" s="8" t="s">
        <v>54</v>
      </c>
      <c r="L2229" s="8" t="s">
        <v>54</v>
      </c>
      <c r="M2229" s="8" t="s">
        <v>54</v>
      </c>
      <c r="N2229" s="10" t="s">
        <v>67</v>
      </c>
      <c r="O2229" s="8" t="s">
        <v>54</v>
      </c>
      <c r="P2229" s="8" t="s">
        <v>54</v>
      </c>
      <c r="Q2229" s="8" t="s">
        <v>54</v>
      </c>
      <c r="R2229" s="8" t="s">
        <v>54</v>
      </c>
      <c r="S2229" s="8" t="s">
        <v>54</v>
      </c>
      <c r="T2229" s="8" t="s">
        <v>54</v>
      </c>
      <c r="U2229" s="10" t="s">
        <v>67</v>
      </c>
      <c r="V2229" s="8" t="s">
        <v>54</v>
      </c>
      <c r="W2229" s="8" t="s">
        <v>54</v>
      </c>
      <c r="X2229" s="8" t="s">
        <v>54</v>
      </c>
      <c r="Y2229" s="8" t="s">
        <v>54</v>
      </c>
      <c r="Z2229" s="8" t="s">
        <v>54</v>
      </c>
      <c r="AA2229" s="8" t="s">
        <v>54</v>
      </c>
      <c r="AB2229" s="10" t="s">
        <v>67</v>
      </c>
      <c r="AC2229" s="8" t="s">
        <v>54</v>
      </c>
      <c r="AD2229" s="8" t="s">
        <v>54</v>
      </c>
      <c r="AE2229" s="8" t="s">
        <v>54</v>
      </c>
      <c r="AF2229" s="8" t="s">
        <v>54</v>
      </c>
      <c r="AG2229" s="8" t="s">
        <v>54</v>
      </c>
      <c r="AH2229" s="12" t="s">
        <v>55</v>
      </c>
      <c r="AI2229" s="10" t="s">
        <v>67</v>
      </c>
      <c r="AJ2229" s="8">
        <f>COUNTIF($E$2229:$AI$2229,"P")</f>
        <v>25</v>
      </c>
      <c r="AK2229" s="8">
        <f>COUNTIF($E$2229:$AI$2229,"A")</f>
        <v>1</v>
      </c>
      <c r="AL2229" s="8">
        <f>SUM($E$2230:$AI$2230)</f>
        <v>39</v>
      </c>
      <c r="AM2229" s="8">
        <f>SUM($E$2231:$AI$2231)</f>
        <v>153</v>
      </c>
      <c r="AN2229" s="8">
        <f>AL2229+AM2229</f>
        <v>192</v>
      </c>
      <c r="AO2229" s="8">
        <f>COUNTIF($E$2229:$AI$2229,"CL")</f>
        <v>0</v>
      </c>
      <c r="AP2229" s="8">
        <f>COUNTIF($E$2229:$AI$2229,"SL")</f>
        <v>0</v>
      </c>
      <c r="AQ2229" s="8">
        <f>COUNTIF($E$2229:$AI$2229,"EL")</f>
        <v>0</v>
      </c>
      <c r="AR2229" s="8">
        <f>COUNTIF($E$2229:$AI$2229,"H")</f>
        <v>0</v>
      </c>
      <c r="AS2229" s="8"/>
      <c r="AT2229" s="11" t="s">
        <v>257</v>
      </c>
    </row>
    <row r="2230" spans="1:46" ht="15.1" customHeight="1">
      <c r="A2230" s="8"/>
      <c r="B2230" s="9"/>
      <c r="C2230" s="8"/>
      <c r="D2230" s="9"/>
      <c r="E2230" s="8">
        <v>2</v>
      </c>
      <c r="F2230" s="8">
        <v>2</v>
      </c>
      <c r="G2230" s="8">
        <v>0</v>
      </c>
      <c r="H2230" s="8">
        <v>2</v>
      </c>
      <c r="I2230" s="8">
        <v>2</v>
      </c>
      <c r="J2230" s="8">
        <v>2</v>
      </c>
      <c r="K2230" s="8">
        <v>2</v>
      </c>
      <c r="L2230" s="8">
        <v>2</v>
      </c>
      <c r="M2230" s="8">
        <v>2</v>
      </c>
      <c r="N2230" s="8">
        <v>0</v>
      </c>
      <c r="O2230" s="8">
        <v>2</v>
      </c>
      <c r="P2230" s="8">
        <v>2</v>
      </c>
      <c r="Q2230" s="8">
        <v>2</v>
      </c>
      <c r="R2230" s="8">
        <v>2</v>
      </c>
      <c r="S2230" s="8">
        <v>2</v>
      </c>
      <c r="T2230" s="8">
        <v>2</v>
      </c>
      <c r="U2230" s="8">
        <v>0</v>
      </c>
      <c r="V2230" s="8">
        <v>2</v>
      </c>
      <c r="W2230" s="8">
        <v>2</v>
      </c>
      <c r="X2230" s="8">
        <v>2</v>
      </c>
      <c r="Y2230" s="8">
        <v>0</v>
      </c>
      <c r="Z2230" s="8">
        <v>0</v>
      </c>
      <c r="AA2230" s="8">
        <v>1</v>
      </c>
      <c r="AB2230" s="8">
        <v>0</v>
      </c>
      <c r="AC2230" s="8">
        <v>2</v>
      </c>
      <c r="AD2230" s="8">
        <v>2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11" t="s">
        <v>257</v>
      </c>
    </row>
    <row r="2231" spans="1:46" ht="15.1" customHeight="1">
      <c r="A2231" s="8"/>
      <c r="B2231" s="9"/>
      <c r="C2231" s="8"/>
      <c r="D2231" s="9"/>
      <c r="E2231" s="8">
        <v>3</v>
      </c>
      <c r="F2231" s="8">
        <v>3</v>
      </c>
      <c r="G2231" s="8">
        <v>14.5</v>
      </c>
      <c r="H2231" s="8">
        <v>7</v>
      </c>
      <c r="I2231" s="8">
        <v>7</v>
      </c>
      <c r="J2231" s="8">
        <v>5</v>
      </c>
      <c r="K2231" s="8">
        <v>7</v>
      </c>
      <c r="L2231" s="8">
        <v>7</v>
      </c>
      <c r="M2231" s="8">
        <v>5</v>
      </c>
      <c r="N2231" s="8">
        <v>17</v>
      </c>
      <c r="O2231" s="8">
        <v>7</v>
      </c>
      <c r="P2231" s="8">
        <v>7</v>
      </c>
      <c r="Q2231" s="8">
        <v>7</v>
      </c>
      <c r="R2231" s="8">
        <v>7</v>
      </c>
      <c r="S2231" s="8">
        <v>6.5</v>
      </c>
      <c r="T2231" s="8">
        <v>5</v>
      </c>
      <c r="U2231" s="8">
        <v>13</v>
      </c>
      <c r="V2231" s="8">
        <v>7</v>
      </c>
      <c r="W2231" s="8">
        <v>7</v>
      </c>
      <c r="X2231" s="8">
        <v>7</v>
      </c>
      <c r="Y2231" s="8">
        <v>0</v>
      </c>
      <c r="Z2231" s="8">
        <v>0</v>
      </c>
      <c r="AA2231" s="8">
        <v>0</v>
      </c>
      <c r="AB2231" s="8">
        <v>0</v>
      </c>
      <c r="AC2231" s="8">
        <v>1</v>
      </c>
      <c r="AD2231" s="8">
        <v>3</v>
      </c>
      <c r="AE2231" s="8">
        <v>0</v>
      </c>
      <c r="AF2231" s="8">
        <v>0</v>
      </c>
      <c r="AG2231" s="8">
        <v>0</v>
      </c>
      <c r="AH2231" s="8">
        <v>0</v>
      </c>
      <c r="AI2231" s="8">
        <v>0</v>
      </c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11" t="s">
        <v>257</v>
      </c>
    </row>
    <row r="2232" spans="1:46" ht="15.1" customHeight="1">
      <c r="A2232" s="8">
        <v>743</v>
      </c>
      <c r="B2232" s="9" t="s">
        <v>1722</v>
      </c>
      <c r="C2232" s="8" t="s">
        <v>1723</v>
      </c>
      <c r="D2232" s="9" t="s">
        <v>451</v>
      </c>
      <c r="E2232" s="12" t="s">
        <v>55</v>
      </c>
      <c r="F2232" s="12" t="s">
        <v>55</v>
      </c>
      <c r="G2232" s="10" t="s">
        <v>67</v>
      </c>
      <c r="H2232" s="8" t="s">
        <v>54</v>
      </c>
      <c r="I2232" s="8" t="s">
        <v>54</v>
      </c>
      <c r="J2232" s="12" t="s">
        <v>55</v>
      </c>
      <c r="K2232" s="12" t="s">
        <v>55</v>
      </c>
      <c r="L2232" s="8" t="s">
        <v>54</v>
      </c>
      <c r="M2232" s="8" t="s">
        <v>54</v>
      </c>
      <c r="N2232" s="10" t="s">
        <v>67</v>
      </c>
      <c r="O2232" s="8" t="s">
        <v>54</v>
      </c>
      <c r="P2232" s="8" t="s">
        <v>54</v>
      </c>
      <c r="Q2232" s="8" t="s">
        <v>54</v>
      </c>
      <c r="R2232" s="8" t="s">
        <v>54</v>
      </c>
      <c r="S2232" s="8" t="s">
        <v>54</v>
      </c>
      <c r="T2232" s="8" t="s">
        <v>54</v>
      </c>
      <c r="U2232" s="10" t="s">
        <v>67</v>
      </c>
      <c r="V2232" s="12" t="s">
        <v>55</v>
      </c>
      <c r="W2232" s="12" t="s">
        <v>55</v>
      </c>
      <c r="X2232" s="12" t="s">
        <v>55</v>
      </c>
      <c r="Y2232" s="12" t="s">
        <v>55</v>
      </c>
      <c r="Z2232" s="8" t="s">
        <v>54</v>
      </c>
      <c r="AA2232" s="8" t="s">
        <v>54</v>
      </c>
      <c r="AB2232" s="10" t="s">
        <v>67</v>
      </c>
      <c r="AC2232" s="8" t="s">
        <v>54</v>
      </c>
      <c r="AD2232" s="8" t="s">
        <v>54</v>
      </c>
      <c r="AE2232" s="8" t="s">
        <v>54</v>
      </c>
      <c r="AF2232" s="8" t="s">
        <v>54</v>
      </c>
      <c r="AG2232" s="8" t="s">
        <v>54</v>
      </c>
      <c r="AH2232" s="12" t="s">
        <v>55</v>
      </c>
      <c r="AI2232" s="10" t="s">
        <v>67</v>
      </c>
      <c r="AJ2232" s="8">
        <f>COUNTIF($E$2232:$AI$2232,"P")</f>
        <v>17</v>
      </c>
      <c r="AK2232" s="8">
        <f>COUNTIF($E$2232:$AI$2232,"A")</f>
        <v>9</v>
      </c>
      <c r="AL2232" s="8">
        <f>SUM($E$2233:$AI$2233)</f>
        <v>16</v>
      </c>
      <c r="AM2232" s="8">
        <f>SUM($E$2234:$AI$2234)</f>
        <v>60.5</v>
      </c>
      <c r="AN2232" s="8">
        <f>AL2232+AM2232</f>
        <v>76.5</v>
      </c>
      <c r="AO2232" s="8">
        <f>COUNTIF($E$2232:$AI$2232,"CL")</f>
        <v>0</v>
      </c>
      <c r="AP2232" s="8">
        <f>COUNTIF($E$2232:$AI$2232,"SL")</f>
        <v>0</v>
      </c>
      <c r="AQ2232" s="8">
        <f>COUNTIF($E$2232:$AI$2232,"EL")</f>
        <v>0</v>
      </c>
      <c r="AR2232" s="8">
        <f>COUNTIF($E$2232:$AI$2232,"H")</f>
        <v>0</v>
      </c>
      <c r="AS2232" s="8"/>
      <c r="AT2232" s="11" t="s">
        <v>257</v>
      </c>
    </row>
    <row r="2233" spans="1:46" ht="15.1" customHeight="1">
      <c r="A2233" s="8"/>
      <c r="B2233" s="9"/>
      <c r="C2233" s="8"/>
      <c r="D2233" s="9"/>
      <c r="E2233" s="8">
        <v>0</v>
      </c>
      <c r="F2233" s="8">
        <v>0</v>
      </c>
      <c r="G2233" s="8">
        <v>0</v>
      </c>
      <c r="H2233" s="8">
        <v>2</v>
      </c>
      <c r="I2233" s="8">
        <v>0</v>
      </c>
      <c r="J2233" s="8">
        <v>0</v>
      </c>
      <c r="K2233" s="8">
        <v>0</v>
      </c>
      <c r="L2233" s="8">
        <v>2</v>
      </c>
      <c r="M2233" s="8">
        <v>2</v>
      </c>
      <c r="N2233" s="8">
        <v>0</v>
      </c>
      <c r="O2233" s="8">
        <v>2</v>
      </c>
      <c r="P2233" s="8">
        <v>2</v>
      </c>
      <c r="Q2233" s="8">
        <v>2</v>
      </c>
      <c r="R2233" s="8">
        <v>2</v>
      </c>
      <c r="S2233" s="8">
        <v>2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11" t="s">
        <v>257</v>
      </c>
    </row>
    <row r="2234" spans="1:46" ht="15.1" customHeight="1">
      <c r="A2234" s="8"/>
      <c r="B2234" s="9"/>
      <c r="C2234" s="8"/>
      <c r="D2234" s="9"/>
      <c r="E2234" s="8">
        <v>0</v>
      </c>
      <c r="F2234" s="8">
        <v>0</v>
      </c>
      <c r="G2234" s="8">
        <v>0</v>
      </c>
      <c r="H2234" s="8">
        <v>5</v>
      </c>
      <c r="I2234" s="8">
        <v>0</v>
      </c>
      <c r="J2234" s="8">
        <v>0</v>
      </c>
      <c r="K2234" s="8">
        <v>0</v>
      </c>
      <c r="L2234" s="8">
        <v>7</v>
      </c>
      <c r="M2234" s="8">
        <v>3</v>
      </c>
      <c r="N2234" s="8">
        <v>17</v>
      </c>
      <c r="O2234" s="8">
        <v>5.5</v>
      </c>
      <c r="P2234" s="8">
        <v>7</v>
      </c>
      <c r="Q2234" s="8">
        <v>6</v>
      </c>
      <c r="R2234" s="8">
        <v>7</v>
      </c>
      <c r="S2234" s="8">
        <v>3</v>
      </c>
      <c r="T2234" s="8">
        <v>0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11" t="s">
        <v>257</v>
      </c>
    </row>
    <row r="2235" spans="1:46" ht="15.1" customHeight="1">
      <c r="A2235" s="8">
        <v>744</v>
      </c>
      <c r="B2235" s="9" t="s">
        <v>1724</v>
      </c>
      <c r="C2235" s="8" t="s">
        <v>1725</v>
      </c>
      <c r="D2235" s="9" t="s">
        <v>451</v>
      </c>
      <c r="E2235" s="8" t="s">
        <v>54</v>
      </c>
      <c r="F2235" s="8" t="s">
        <v>54</v>
      </c>
      <c r="G2235" s="10" t="s">
        <v>67</v>
      </c>
      <c r="H2235" s="8" t="s">
        <v>54</v>
      </c>
      <c r="I2235" s="12" t="s">
        <v>55</v>
      </c>
      <c r="J2235" s="8" t="s">
        <v>54</v>
      </c>
      <c r="K2235" s="8" t="s">
        <v>54</v>
      </c>
      <c r="L2235" s="8" t="s">
        <v>54</v>
      </c>
      <c r="M2235" s="8" t="s">
        <v>54</v>
      </c>
      <c r="N2235" s="10" t="s">
        <v>67</v>
      </c>
      <c r="O2235" s="8" t="s">
        <v>54</v>
      </c>
      <c r="P2235" s="8" t="s">
        <v>54</v>
      </c>
      <c r="Q2235" s="8" t="s">
        <v>54</v>
      </c>
      <c r="R2235" s="8" t="s">
        <v>54</v>
      </c>
      <c r="S2235" s="8" t="s">
        <v>54</v>
      </c>
      <c r="T2235" s="8" t="s">
        <v>54</v>
      </c>
      <c r="U2235" s="10" t="s">
        <v>67</v>
      </c>
      <c r="V2235" s="8" t="s">
        <v>54</v>
      </c>
      <c r="W2235" s="8" t="s">
        <v>54</v>
      </c>
      <c r="X2235" s="8" t="s">
        <v>54</v>
      </c>
      <c r="Y2235" s="8" t="s">
        <v>54</v>
      </c>
      <c r="Z2235" s="8" t="s">
        <v>54</v>
      </c>
      <c r="AA2235" s="8" t="s">
        <v>54</v>
      </c>
      <c r="AB2235" s="10" t="s">
        <v>67</v>
      </c>
      <c r="AC2235" s="8" t="s">
        <v>54</v>
      </c>
      <c r="AD2235" s="8" t="s">
        <v>54</v>
      </c>
      <c r="AE2235" s="8" t="s">
        <v>54</v>
      </c>
      <c r="AF2235" s="8" t="s">
        <v>54</v>
      </c>
      <c r="AG2235" s="8" t="s">
        <v>54</v>
      </c>
      <c r="AH2235" s="12" t="s">
        <v>55</v>
      </c>
      <c r="AI2235" s="10" t="s">
        <v>67</v>
      </c>
      <c r="AJ2235" s="8">
        <f>COUNTIF($E$2235:$AI$2235,"P")</f>
        <v>24</v>
      </c>
      <c r="AK2235" s="8">
        <f>COUNTIF($E$2235:$AI$2235,"A")</f>
        <v>2</v>
      </c>
      <c r="AL2235" s="8">
        <f>SUM($E$2236:$AI$2236)</f>
        <v>32</v>
      </c>
      <c r="AM2235" s="8">
        <f>SUM($E$2237:$AI$2237)</f>
        <v>140.5</v>
      </c>
      <c r="AN2235" s="8">
        <f>AL2235+AM2235</f>
        <v>172.5</v>
      </c>
      <c r="AO2235" s="8">
        <f>COUNTIF($E$2235:$AI$2235,"CL")</f>
        <v>0</v>
      </c>
      <c r="AP2235" s="8">
        <f>COUNTIF($E$2235:$AI$2235,"SL")</f>
        <v>0</v>
      </c>
      <c r="AQ2235" s="8">
        <f>COUNTIF($E$2235:$AI$2235,"EL")</f>
        <v>0</v>
      </c>
      <c r="AR2235" s="8">
        <f>COUNTIF($E$2235:$AI$2235,"H")</f>
        <v>0</v>
      </c>
      <c r="AS2235" s="8"/>
      <c r="AT2235" s="11" t="s">
        <v>257</v>
      </c>
    </row>
    <row r="2236" spans="1:46" ht="15.1" customHeight="1">
      <c r="A2236" s="8"/>
      <c r="B2236" s="9"/>
      <c r="C2236" s="8"/>
      <c r="D2236" s="9"/>
      <c r="E2236" s="8">
        <v>2</v>
      </c>
      <c r="F2236" s="8">
        <v>2</v>
      </c>
      <c r="G2236" s="8">
        <v>0</v>
      </c>
      <c r="H2236" s="8">
        <v>2</v>
      </c>
      <c r="I2236" s="8">
        <v>0</v>
      </c>
      <c r="J2236" s="8">
        <v>2</v>
      </c>
      <c r="K2236" s="8">
        <v>2</v>
      </c>
      <c r="L2236" s="8">
        <v>2</v>
      </c>
      <c r="M2236" s="8">
        <v>2</v>
      </c>
      <c r="N2236" s="8">
        <v>0</v>
      </c>
      <c r="O2236" s="8">
        <v>2</v>
      </c>
      <c r="P2236" s="8">
        <v>2</v>
      </c>
      <c r="Q2236" s="8">
        <v>2</v>
      </c>
      <c r="R2236" s="8">
        <v>2</v>
      </c>
      <c r="S2236" s="8">
        <v>2</v>
      </c>
      <c r="T2236" s="8">
        <v>2</v>
      </c>
      <c r="U2236" s="8">
        <v>0</v>
      </c>
      <c r="V2236" s="8">
        <v>2</v>
      </c>
      <c r="W2236" s="8">
        <v>2</v>
      </c>
      <c r="X2236" s="8">
        <v>2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11" t="s">
        <v>257</v>
      </c>
    </row>
    <row r="2237" spans="1:46" ht="15.1" customHeight="1">
      <c r="A2237" s="8"/>
      <c r="B2237" s="9"/>
      <c r="C2237" s="8"/>
      <c r="D2237" s="9"/>
      <c r="E2237" s="8">
        <v>4</v>
      </c>
      <c r="F2237" s="8">
        <v>3</v>
      </c>
      <c r="G2237" s="8">
        <v>14.5</v>
      </c>
      <c r="H2237" s="8">
        <v>7</v>
      </c>
      <c r="I2237" s="8">
        <v>0</v>
      </c>
      <c r="J2237" s="8">
        <v>5</v>
      </c>
      <c r="K2237" s="8">
        <v>7</v>
      </c>
      <c r="L2237" s="8">
        <v>7</v>
      </c>
      <c r="M2237" s="8">
        <v>5</v>
      </c>
      <c r="N2237" s="8">
        <v>17</v>
      </c>
      <c r="O2237" s="8">
        <v>7</v>
      </c>
      <c r="P2237" s="8">
        <v>6</v>
      </c>
      <c r="Q2237" s="8">
        <v>7</v>
      </c>
      <c r="R2237" s="8">
        <v>7</v>
      </c>
      <c r="S2237" s="8">
        <v>7</v>
      </c>
      <c r="T2237" s="8">
        <v>4.5</v>
      </c>
      <c r="U2237" s="8">
        <v>13</v>
      </c>
      <c r="V2237" s="8">
        <v>7</v>
      </c>
      <c r="W2237" s="8">
        <v>6.5</v>
      </c>
      <c r="X2237" s="8">
        <v>6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0</v>
      </c>
      <c r="AG2237" s="8">
        <v>0</v>
      </c>
      <c r="AH2237" s="8">
        <v>0</v>
      </c>
      <c r="AI2237" s="8">
        <v>0</v>
      </c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11" t="s">
        <v>257</v>
      </c>
    </row>
    <row r="2238" spans="1:46" ht="15.1" customHeight="1">
      <c r="A2238" s="8">
        <v>745</v>
      </c>
      <c r="B2238" s="9" t="s">
        <v>1726</v>
      </c>
      <c r="C2238" s="8" t="s">
        <v>1727</v>
      </c>
      <c r="D2238" s="9" t="s">
        <v>451</v>
      </c>
      <c r="E2238" s="8" t="s">
        <v>54</v>
      </c>
      <c r="F2238" s="8" t="s">
        <v>54</v>
      </c>
      <c r="G2238" s="10" t="s">
        <v>67</v>
      </c>
      <c r="H2238" s="8" t="s">
        <v>54</v>
      </c>
      <c r="I2238" s="8" t="s">
        <v>54</v>
      </c>
      <c r="J2238" s="8" t="s">
        <v>54</v>
      </c>
      <c r="K2238" s="8" t="s">
        <v>54</v>
      </c>
      <c r="L2238" s="8" t="s">
        <v>54</v>
      </c>
      <c r="M2238" s="8" t="s">
        <v>54</v>
      </c>
      <c r="N2238" s="10" t="s">
        <v>67</v>
      </c>
      <c r="O2238" s="8" t="s">
        <v>54</v>
      </c>
      <c r="P2238" s="8" t="s">
        <v>54</v>
      </c>
      <c r="Q2238" s="8" t="s">
        <v>54</v>
      </c>
      <c r="R2238" s="8" t="s">
        <v>54</v>
      </c>
      <c r="S2238" s="8" t="s">
        <v>54</v>
      </c>
      <c r="T2238" s="8" t="s">
        <v>54</v>
      </c>
      <c r="U2238" s="10" t="s">
        <v>67</v>
      </c>
      <c r="V2238" s="8" t="s">
        <v>54</v>
      </c>
      <c r="W2238" s="8" t="s">
        <v>54</v>
      </c>
      <c r="X2238" s="8" t="s">
        <v>54</v>
      </c>
      <c r="Y2238" s="8" t="s">
        <v>54</v>
      </c>
      <c r="Z2238" s="8" t="s">
        <v>54</v>
      </c>
      <c r="AA2238" s="8" t="s">
        <v>54</v>
      </c>
      <c r="AB2238" s="10" t="s">
        <v>67</v>
      </c>
      <c r="AC2238" s="8" t="s">
        <v>54</v>
      </c>
      <c r="AD2238" s="8" t="s">
        <v>54</v>
      </c>
      <c r="AE2238" s="8" t="s">
        <v>54</v>
      </c>
      <c r="AF2238" s="8" t="s">
        <v>54</v>
      </c>
      <c r="AG2238" s="8" t="s">
        <v>54</v>
      </c>
      <c r="AH2238" s="12" t="s">
        <v>55</v>
      </c>
      <c r="AI2238" s="10" t="s">
        <v>67</v>
      </c>
      <c r="AJ2238" s="8">
        <f>COUNTIF($E$2238:$AI$2238,"P")</f>
        <v>25</v>
      </c>
      <c r="AK2238" s="8">
        <f>COUNTIF($E$2238:$AI$2238,"A")</f>
        <v>1</v>
      </c>
      <c r="AL2238" s="8">
        <f>SUM($E$2239:$AI$2239)</f>
        <v>38</v>
      </c>
      <c r="AM2238" s="8">
        <f>SUM($E$2240:$AI$2240)</f>
        <v>150</v>
      </c>
      <c r="AN2238" s="8">
        <f>AL2238+AM2238</f>
        <v>188</v>
      </c>
      <c r="AO2238" s="8">
        <f>COUNTIF($E$2238:$AI$2238,"CL")</f>
        <v>0</v>
      </c>
      <c r="AP2238" s="8">
        <f>COUNTIF($E$2238:$AI$2238,"SL")</f>
        <v>0</v>
      </c>
      <c r="AQ2238" s="8">
        <f>COUNTIF($E$2238:$AI$2238,"EL")</f>
        <v>0</v>
      </c>
      <c r="AR2238" s="8">
        <f>COUNTIF($E$2238:$AI$2238,"H")</f>
        <v>0</v>
      </c>
      <c r="AS2238" s="8"/>
      <c r="AT2238" s="11" t="s">
        <v>257</v>
      </c>
    </row>
    <row r="2239" spans="1:46" ht="15.1" customHeight="1">
      <c r="A2239" s="8"/>
      <c r="B2239" s="9"/>
      <c r="C2239" s="8"/>
      <c r="D2239" s="9"/>
      <c r="E2239" s="8">
        <v>0</v>
      </c>
      <c r="F2239" s="8">
        <v>2</v>
      </c>
      <c r="G2239" s="8">
        <v>0</v>
      </c>
      <c r="H2239" s="8">
        <v>2</v>
      </c>
      <c r="I2239" s="8">
        <v>2</v>
      </c>
      <c r="J2239" s="8">
        <v>2</v>
      </c>
      <c r="K2239" s="8">
        <v>2</v>
      </c>
      <c r="L2239" s="8">
        <v>2</v>
      </c>
      <c r="M2239" s="8">
        <v>2</v>
      </c>
      <c r="N2239" s="8">
        <v>0</v>
      </c>
      <c r="O2239" s="8">
        <v>2</v>
      </c>
      <c r="P2239" s="8">
        <v>2</v>
      </c>
      <c r="Q2239" s="8">
        <v>2</v>
      </c>
      <c r="R2239" s="8">
        <v>2</v>
      </c>
      <c r="S2239" s="8">
        <v>2</v>
      </c>
      <c r="T2239" s="8">
        <v>2</v>
      </c>
      <c r="U2239" s="8">
        <v>0</v>
      </c>
      <c r="V2239" s="8">
        <v>2</v>
      </c>
      <c r="W2239" s="8">
        <v>2</v>
      </c>
      <c r="X2239" s="8">
        <v>2</v>
      </c>
      <c r="Y2239" s="8">
        <v>0</v>
      </c>
      <c r="Z2239" s="8">
        <v>1</v>
      </c>
      <c r="AA2239" s="8">
        <v>1</v>
      </c>
      <c r="AB2239" s="8">
        <v>0</v>
      </c>
      <c r="AC2239" s="8">
        <v>2</v>
      </c>
      <c r="AD2239" s="8">
        <v>2</v>
      </c>
      <c r="AE2239" s="8">
        <v>0</v>
      </c>
      <c r="AF2239" s="8">
        <v>0</v>
      </c>
      <c r="AG2239" s="8">
        <v>0</v>
      </c>
      <c r="AH2239" s="8">
        <v>0</v>
      </c>
      <c r="AI2239" s="8">
        <v>0</v>
      </c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11" t="s">
        <v>257</v>
      </c>
    </row>
    <row r="2240" spans="1:46" ht="15.1" customHeight="1">
      <c r="A2240" s="8"/>
      <c r="B2240" s="9"/>
      <c r="C2240" s="8"/>
      <c r="D2240" s="9"/>
      <c r="E2240" s="8">
        <v>0</v>
      </c>
      <c r="F2240" s="8">
        <v>3</v>
      </c>
      <c r="G2240" s="8">
        <v>15</v>
      </c>
      <c r="H2240" s="8">
        <v>7</v>
      </c>
      <c r="I2240" s="8">
        <v>7</v>
      </c>
      <c r="J2240" s="8">
        <v>6</v>
      </c>
      <c r="K2240" s="8">
        <v>7</v>
      </c>
      <c r="L2240" s="8">
        <v>6</v>
      </c>
      <c r="M2240" s="8">
        <v>5</v>
      </c>
      <c r="N2240" s="8">
        <v>17</v>
      </c>
      <c r="O2240" s="8">
        <v>7</v>
      </c>
      <c r="P2240" s="8">
        <v>7</v>
      </c>
      <c r="Q2240" s="8">
        <v>7</v>
      </c>
      <c r="R2240" s="8">
        <v>7</v>
      </c>
      <c r="S2240" s="8">
        <v>7</v>
      </c>
      <c r="T2240" s="8">
        <v>11</v>
      </c>
      <c r="U2240" s="8">
        <v>6</v>
      </c>
      <c r="V2240" s="8">
        <v>7</v>
      </c>
      <c r="W2240" s="8">
        <v>7</v>
      </c>
      <c r="X2240" s="8">
        <v>7</v>
      </c>
      <c r="Y2240" s="8">
        <v>0</v>
      </c>
      <c r="Z2240" s="8">
        <v>0</v>
      </c>
      <c r="AA2240" s="8">
        <v>0</v>
      </c>
      <c r="AB2240" s="8">
        <v>0</v>
      </c>
      <c r="AC2240" s="8">
        <v>1</v>
      </c>
      <c r="AD2240" s="8">
        <v>3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11" t="s">
        <v>257</v>
      </c>
    </row>
    <row r="2241" spans="1:46" ht="15.1" customHeight="1">
      <c r="A2241" s="8">
        <v>746</v>
      </c>
      <c r="B2241" s="9" t="s">
        <v>1728</v>
      </c>
      <c r="C2241" s="8" t="s">
        <v>1729</v>
      </c>
      <c r="D2241" s="9" t="s">
        <v>451</v>
      </c>
      <c r="E2241" s="12" t="s">
        <v>55</v>
      </c>
      <c r="F2241" s="12" t="s">
        <v>55</v>
      </c>
      <c r="G2241" s="10" t="s">
        <v>67</v>
      </c>
      <c r="H2241" s="8" t="s">
        <v>54</v>
      </c>
      <c r="I2241" s="8" t="s">
        <v>54</v>
      </c>
      <c r="J2241" s="8" t="s">
        <v>54</v>
      </c>
      <c r="K2241" s="8" t="s">
        <v>54</v>
      </c>
      <c r="L2241" s="8" t="s">
        <v>54</v>
      </c>
      <c r="M2241" s="8" t="s">
        <v>54</v>
      </c>
      <c r="N2241" s="10" t="s">
        <v>67</v>
      </c>
      <c r="O2241" s="8" t="s">
        <v>54</v>
      </c>
      <c r="P2241" s="8" t="s">
        <v>54</v>
      </c>
      <c r="Q2241" s="8" t="s">
        <v>54</v>
      </c>
      <c r="R2241" s="8" t="s">
        <v>54</v>
      </c>
      <c r="S2241" s="8" t="s">
        <v>54</v>
      </c>
      <c r="T2241" s="8" t="s">
        <v>54</v>
      </c>
      <c r="U2241" s="10" t="s">
        <v>67</v>
      </c>
      <c r="V2241" s="8" t="s">
        <v>54</v>
      </c>
      <c r="W2241" s="8" t="s">
        <v>54</v>
      </c>
      <c r="X2241" s="8" t="s">
        <v>54</v>
      </c>
      <c r="Y2241" s="8" t="s">
        <v>54</v>
      </c>
      <c r="Z2241" s="8" t="s">
        <v>54</v>
      </c>
      <c r="AA2241" s="8" t="s">
        <v>54</v>
      </c>
      <c r="AB2241" s="10" t="s">
        <v>67</v>
      </c>
      <c r="AC2241" s="8" t="s">
        <v>54</v>
      </c>
      <c r="AD2241" s="8" t="s">
        <v>54</v>
      </c>
      <c r="AE2241" s="8" t="s">
        <v>54</v>
      </c>
      <c r="AF2241" s="8" t="s">
        <v>54</v>
      </c>
      <c r="AG2241" s="8" t="s">
        <v>54</v>
      </c>
      <c r="AH2241" s="12" t="s">
        <v>55</v>
      </c>
      <c r="AI2241" s="10" t="s">
        <v>67</v>
      </c>
      <c r="AJ2241" s="8">
        <f>COUNTIF($E$2241:$AI$2241,"P")</f>
        <v>23</v>
      </c>
      <c r="AK2241" s="8">
        <f>COUNTIF($E$2241:$AI$2241,"A")</f>
        <v>3</v>
      </c>
      <c r="AL2241" s="8">
        <f>SUM($E$2242:$AI$2242)</f>
        <v>34</v>
      </c>
      <c r="AM2241" s="8">
        <f>SUM($E$2243:$AI$2243)</f>
        <v>144</v>
      </c>
      <c r="AN2241" s="8">
        <f>AL2241+AM2241</f>
        <v>178</v>
      </c>
      <c r="AO2241" s="8">
        <f>COUNTIF($E$2241:$AI$2241,"CL")</f>
        <v>0</v>
      </c>
      <c r="AP2241" s="8">
        <f>COUNTIF($E$2241:$AI$2241,"SL")</f>
        <v>0</v>
      </c>
      <c r="AQ2241" s="8">
        <f>COUNTIF($E$2241:$AI$2241,"EL")</f>
        <v>0</v>
      </c>
      <c r="AR2241" s="8">
        <f>COUNTIF($E$2241:$AI$2241,"H")</f>
        <v>0</v>
      </c>
      <c r="AS2241" s="8"/>
      <c r="AT2241" s="11" t="s">
        <v>257</v>
      </c>
    </row>
    <row r="2242" spans="1:46" ht="15.1" customHeight="1">
      <c r="A2242" s="8"/>
      <c r="B2242" s="9"/>
      <c r="C2242" s="8"/>
      <c r="D2242" s="9"/>
      <c r="E2242" s="8">
        <v>0</v>
      </c>
      <c r="F2242" s="8">
        <v>0</v>
      </c>
      <c r="G2242" s="8">
        <v>0</v>
      </c>
      <c r="H2242" s="8">
        <v>2</v>
      </c>
      <c r="I2242" s="8">
        <v>2</v>
      </c>
      <c r="J2242" s="8">
        <v>2</v>
      </c>
      <c r="K2242" s="8">
        <v>2</v>
      </c>
      <c r="L2242" s="8">
        <v>2</v>
      </c>
      <c r="M2242" s="8">
        <v>2</v>
      </c>
      <c r="N2242" s="8">
        <v>0</v>
      </c>
      <c r="O2242" s="8">
        <v>2</v>
      </c>
      <c r="P2242" s="8">
        <v>2</v>
      </c>
      <c r="Q2242" s="8">
        <v>2</v>
      </c>
      <c r="R2242" s="8">
        <v>2</v>
      </c>
      <c r="S2242" s="8">
        <v>2</v>
      </c>
      <c r="T2242" s="8">
        <v>2</v>
      </c>
      <c r="U2242" s="8">
        <v>0</v>
      </c>
      <c r="V2242" s="8">
        <v>2</v>
      </c>
      <c r="W2242" s="8">
        <v>2</v>
      </c>
      <c r="X2242" s="8">
        <v>2</v>
      </c>
      <c r="Y2242" s="8">
        <v>0</v>
      </c>
      <c r="Z2242" s="8">
        <v>0</v>
      </c>
      <c r="AA2242" s="8">
        <v>0</v>
      </c>
      <c r="AB2242" s="8">
        <v>0</v>
      </c>
      <c r="AC2242" s="8">
        <v>2</v>
      </c>
      <c r="AD2242" s="8">
        <v>2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11" t="s">
        <v>257</v>
      </c>
    </row>
    <row r="2243" spans="1:46" ht="15.1" customHeight="1">
      <c r="A2243" s="8"/>
      <c r="B2243" s="9"/>
      <c r="C2243" s="8"/>
      <c r="D2243" s="9"/>
      <c r="E2243" s="8">
        <v>0</v>
      </c>
      <c r="F2243" s="8">
        <v>0</v>
      </c>
      <c r="G2243" s="8">
        <v>15</v>
      </c>
      <c r="H2243" s="8">
        <v>7</v>
      </c>
      <c r="I2243" s="8">
        <v>7</v>
      </c>
      <c r="J2243" s="8">
        <v>5</v>
      </c>
      <c r="K2243" s="8">
        <v>7</v>
      </c>
      <c r="L2243" s="8">
        <v>7</v>
      </c>
      <c r="M2243" s="8">
        <v>5</v>
      </c>
      <c r="N2243" s="8">
        <v>17</v>
      </c>
      <c r="O2243" s="8">
        <v>7</v>
      </c>
      <c r="P2243" s="8">
        <v>7</v>
      </c>
      <c r="Q2243" s="8">
        <v>7</v>
      </c>
      <c r="R2243" s="8">
        <v>7</v>
      </c>
      <c r="S2243" s="8">
        <v>7</v>
      </c>
      <c r="T2243" s="8">
        <v>4</v>
      </c>
      <c r="U2243" s="8">
        <v>12.5</v>
      </c>
      <c r="V2243" s="8">
        <v>7</v>
      </c>
      <c r="W2243" s="8">
        <v>7</v>
      </c>
      <c r="X2243" s="8">
        <v>6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2.5</v>
      </c>
      <c r="AE2243" s="8">
        <v>0</v>
      </c>
      <c r="AF2243" s="8">
        <v>0</v>
      </c>
      <c r="AG2243" s="8">
        <v>0</v>
      </c>
      <c r="AH2243" s="8">
        <v>0</v>
      </c>
      <c r="AI2243" s="8">
        <v>0</v>
      </c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11" t="s">
        <v>257</v>
      </c>
    </row>
    <row r="2244" spans="1:46" ht="15.1" customHeight="1">
      <c r="A2244" s="8">
        <v>747</v>
      </c>
      <c r="B2244" s="9" t="s">
        <v>1730</v>
      </c>
      <c r="C2244" s="8" t="s">
        <v>1731</v>
      </c>
      <c r="D2244" s="9" t="s">
        <v>451</v>
      </c>
      <c r="E2244" s="12" t="s">
        <v>55</v>
      </c>
      <c r="F2244" s="8" t="s">
        <v>54</v>
      </c>
      <c r="G2244" s="10" t="s">
        <v>67</v>
      </c>
      <c r="H2244" s="8" t="s">
        <v>54</v>
      </c>
      <c r="I2244" s="8" t="s">
        <v>54</v>
      </c>
      <c r="J2244" s="8" t="s">
        <v>54</v>
      </c>
      <c r="K2244" s="8" t="s">
        <v>54</v>
      </c>
      <c r="L2244" s="8" t="s">
        <v>54</v>
      </c>
      <c r="M2244" s="8" t="s">
        <v>54</v>
      </c>
      <c r="N2244" s="10" t="s">
        <v>67</v>
      </c>
      <c r="O2244" s="8" t="s">
        <v>54</v>
      </c>
      <c r="P2244" s="8" t="s">
        <v>54</v>
      </c>
      <c r="Q2244" s="8" t="s">
        <v>54</v>
      </c>
      <c r="R2244" s="8" t="s">
        <v>54</v>
      </c>
      <c r="S2244" s="8" t="s">
        <v>54</v>
      </c>
      <c r="T2244" s="8" t="s">
        <v>54</v>
      </c>
      <c r="U2244" s="10" t="s">
        <v>67</v>
      </c>
      <c r="V2244" s="8" t="s">
        <v>54</v>
      </c>
      <c r="W2244" s="8" t="s">
        <v>54</v>
      </c>
      <c r="X2244" s="8" t="s">
        <v>54</v>
      </c>
      <c r="Y2244" s="8" t="s">
        <v>54</v>
      </c>
      <c r="Z2244" s="8" t="s">
        <v>54</v>
      </c>
      <c r="AA2244" s="8" t="s">
        <v>54</v>
      </c>
      <c r="AB2244" s="10" t="s">
        <v>67</v>
      </c>
      <c r="AC2244" s="8" t="s">
        <v>54</v>
      </c>
      <c r="AD2244" s="8" t="s">
        <v>54</v>
      </c>
      <c r="AE2244" s="8" t="s">
        <v>54</v>
      </c>
      <c r="AF2244" s="8" t="s">
        <v>54</v>
      </c>
      <c r="AG2244" s="8" t="s">
        <v>54</v>
      </c>
      <c r="AH2244" s="12" t="s">
        <v>55</v>
      </c>
      <c r="AI2244" s="10" t="s">
        <v>67</v>
      </c>
      <c r="AJ2244" s="8">
        <f>COUNTIF($E$2244:$AI$2244,"P")</f>
        <v>24</v>
      </c>
      <c r="AK2244" s="8">
        <f>COUNTIF($E$2244:$AI$2244,"A")</f>
        <v>2</v>
      </c>
      <c r="AL2244" s="8">
        <f>SUM($E$2245:$AI$2245)</f>
        <v>34</v>
      </c>
      <c r="AM2244" s="8">
        <f>SUM($E$2246:$AI$2246)</f>
        <v>133.5</v>
      </c>
      <c r="AN2244" s="8">
        <f>AL2244+AM2244</f>
        <v>167.5</v>
      </c>
      <c r="AO2244" s="8">
        <f>COUNTIF($E$2244:$AI$2244,"CL")</f>
        <v>0</v>
      </c>
      <c r="AP2244" s="8">
        <f>COUNTIF($E$2244:$AI$2244,"SL")</f>
        <v>0</v>
      </c>
      <c r="AQ2244" s="8">
        <f>COUNTIF($E$2244:$AI$2244,"EL")</f>
        <v>0</v>
      </c>
      <c r="AR2244" s="8">
        <f>COUNTIF($E$2244:$AI$2244,"H")</f>
        <v>0</v>
      </c>
      <c r="AS2244" s="8"/>
      <c r="AT2244" s="11" t="s">
        <v>257</v>
      </c>
    </row>
    <row r="2245" spans="1:46" ht="15.1" customHeight="1">
      <c r="A2245" s="8"/>
      <c r="B2245" s="9"/>
      <c r="C2245" s="8"/>
      <c r="D2245" s="9"/>
      <c r="E2245" s="8">
        <v>0</v>
      </c>
      <c r="F2245" s="8">
        <v>2</v>
      </c>
      <c r="G2245" s="8">
        <v>0</v>
      </c>
      <c r="H2245" s="8">
        <v>2</v>
      </c>
      <c r="I2245" s="8">
        <v>2</v>
      </c>
      <c r="J2245" s="8">
        <v>2</v>
      </c>
      <c r="K2245" s="8">
        <v>2</v>
      </c>
      <c r="L2245" s="8">
        <v>2</v>
      </c>
      <c r="M2245" s="8">
        <v>2</v>
      </c>
      <c r="N2245" s="8">
        <v>0</v>
      </c>
      <c r="O2245" s="8">
        <v>2</v>
      </c>
      <c r="P2245" s="8">
        <v>2</v>
      </c>
      <c r="Q2245" s="8">
        <v>2</v>
      </c>
      <c r="R2245" s="8">
        <v>2</v>
      </c>
      <c r="S2245" s="8">
        <v>2</v>
      </c>
      <c r="T2245" s="8">
        <v>2</v>
      </c>
      <c r="U2245" s="8">
        <v>0</v>
      </c>
      <c r="V2245" s="8">
        <v>2</v>
      </c>
      <c r="W2245" s="8">
        <v>2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2</v>
      </c>
      <c r="AD2245" s="8">
        <v>2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11" t="s">
        <v>257</v>
      </c>
    </row>
    <row r="2246" spans="1:46" ht="15.1" customHeight="1">
      <c r="A2246" s="8"/>
      <c r="B2246" s="9"/>
      <c r="C2246" s="8"/>
      <c r="D2246" s="9"/>
      <c r="E2246" s="8">
        <v>0</v>
      </c>
      <c r="F2246" s="8">
        <v>3</v>
      </c>
      <c r="G2246" s="8">
        <v>15</v>
      </c>
      <c r="H2246" s="8">
        <v>7</v>
      </c>
      <c r="I2246" s="8">
        <v>7</v>
      </c>
      <c r="J2246" s="8">
        <v>5</v>
      </c>
      <c r="K2246" s="8">
        <v>7</v>
      </c>
      <c r="L2246" s="8">
        <v>3</v>
      </c>
      <c r="M2246" s="8">
        <v>5</v>
      </c>
      <c r="N2246" s="8">
        <v>17</v>
      </c>
      <c r="O2246" s="8">
        <v>7</v>
      </c>
      <c r="P2246" s="8">
        <v>7</v>
      </c>
      <c r="Q2246" s="8">
        <v>7</v>
      </c>
      <c r="R2246" s="8">
        <v>1</v>
      </c>
      <c r="S2246" s="8">
        <v>7</v>
      </c>
      <c r="T2246" s="8">
        <v>4.5</v>
      </c>
      <c r="U2246" s="8">
        <v>13</v>
      </c>
      <c r="V2246" s="8">
        <v>7</v>
      </c>
      <c r="W2246" s="8">
        <v>7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1</v>
      </c>
      <c r="AD2246" s="8">
        <v>3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11" t="s">
        <v>257</v>
      </c>
    </row>
    <row r="2247" spans="1:46" ht="15.1" customHeight="1">
      <c r="A2247" s="8">
        <v>748</v>
      </c>
      <c r="B2247" s="9" t="s">
        <v>1732</v>
      </c>
      <c r="C2247" s="8" t="s">
        <v>1733</v>
      </c>
      <c r="D2247" s="9" t="s">
        <v>451</v>
      </c>
      <c r="E2247" s="8" t="s">
        <v>54</v>
      </c>
      <c r="F2247" s="8" t="s">
        <v>54</v>
      </c>
      <c r="G2247" s="10" t="s">
        <v>67</v>
      </c>
      <c r="H2247" s="12" t="s">
        <v>55</v>
      </c>
      <c r="I2247" s="12" t="s">
        <v>55</v>
      </c>
      <c r="J2247" s="12" t="s">
        <v>55</v>
      </c>
      <c r="K2247" s="8" t="s">
        <v>54</v>
      </c>
      <c r="L2247" s="8" t="s">
        <v>54</v>
      </c>
      <c r="M2247" s="8" t="s">
        <v>54</v>
      </c>
      <c r="N2247" s="10" t="s">
        <v>67</v>
      </c>
      <c r="O2247" s="8" t="s">
        <v>54</v>
      </c>
      <c r="P2247" s="8" t="s">
        <v>54</v>
      </c>
      <c r="Q2247" s="8" t="s">
        <v>54</v>
      </c>
      <c r="R2247" s="8" t="s">
        <v>54</v>
      </c>
      <c r="S2247" s="8" t="s">
        <v>54</v>
      </c>
      <c r="T2247" s="8" t="s">
        <v>54</v>
      </c>
      <c r="U2247" s="10" t="s">
        <v>67</v>
      </c>
      <c r="V2247" s="8" t="s">
        <v>54</v>
      </c>
      <c r="W2247" s="8" t="s">
        <v>54</v>
      </c>
      <c r="X2247" s="8" t="s">
        <v>54</v>
      </c>
      <c r="Y2247" s="8" t="s">
        <v>54</v>
      </c>
      <c r="Z2247" s="8" t="s">
        <v>54</v>
      </c>
      <c r="AA2247" s="12" t="s">
        <v>55</v>
      </c>
      <c r="AB2247" s="10" t="s">
        <v>67</v>
      </c>
      <c r="AC2247" s="8" t="s">
        <v>54</v>
      </c>
      <c r="AD2247" s="8" t="s">
        <v>54</v>
      </c>
      <c r="AE2247" s="8" t="s">
        <v>54</v>
      </c>
      <c r="AF2247" s="8" t="s">
        <v>54</v>
      </c>
      <c r="AG2247" s="8" t="s">
        <v>54</v>
      </c>
      <c r="AH2247" s="12" t="s">
        <v>55</v>
      </c>
      <c r="AI2247" s="10" t="s">
        <v>67</v>
      </c>
      <c r="AJ2247" s="8">
        <f>COUNTIF($E$2247:$AI$2247,"P")</f>
        <v>21</v>
      </c>
      <c r="AK2247" s="8">
        <f>COUNTIF($E$2247:$AI$2247,"A")</f>
        <v>5</v>
      </c>
      <c r="AL2247" s="8">
        <f>SUM($E$2248:$AI$2248)</f>
        <v>32</v>
      </c>
      <c r="AM2247" s="8">
        <f>SUM($E$2249:$AI$2249)</f>
        <v>128.5</v>
      </c>
      <c r="AN2247" s="8">
        <f>AL2247+AM2247</f>
        <v>160.5</v>
      </c>
      <c r="AO2247" s="8">
        <f>COUNTIF($E$2247:$AI$2247,"CL")</f>
        <v>0</v>
      </c>
      <c r="AP2247" s="8">
        <f>COUNTIF($E$2247:$AI$2247,"SL")</f>
        <v>0</v>
      </c>
      <c r="AQ2247" s="8">
        <f>COUNTIF($E$2247:$AI$2247,"EL")</f>
        <v>0</v>
      </c>
      <c r="AR2247" s="8">
        <f>COUNTIF($E$2247:$AI$2247,"H")</f>
        <v>0</v>
      </c>
      <c r="AS2247" s="8"/>
      <c r="AT2247" s="11" t="s">
        <v>257</v>
      </c>
    </row>
    <row r="2248" spans="1:46" ht="15.1" customHeight="1">
      <c r="A2248" s="8"/>
      <c r="B2248" s="9"/>
      <c r="C2248" s="8"/>
      <c r="D2248" s="9"/>
      <c r="E2248" s="8">
        <v>2</v>
      </c>
      <c r="F2248" s="8">
        <v>2</v>
      </c>
      <c r="G2248" s="8">
        <v>0</v>
      </c>
      <c r="H2248" s="8">
        <v>0</v>
      </c>
      <c r="I2248" s="8">
        <v>0</v>
      </c>
      <c r="J2248" s="8">
        <v>0</v>
      </c>
      <c r="K2248" s="8">
        <v>2</v>
      </c>
      <c r="L2248" s="8">
        <v>2</v>
      </c>
      <c r="M2248" s="8">
        <v>2</v>
      </c>
      <c r="N2248" s="8">
        <v>0</v>
      </c>
      <c r="O2248" s="8">
        <v>2</v>
      </c>
      <c r="P2248" s="8">
        <v>2</v>
      </c>
      <c r="Q2248" s="8">
        <v>2</v>
      </c>
      <c r="R2248" s="8">
        <v>2</v>
      </c>
      <c r="S2248" s="8">
        <v>2</v>
      </c>
      <c r="T2248" s="8">
        <v>2</v>
      </c>
      <c r="U2248" s="8">
        <v>0</v>
      </c>
      <c r="V2248" s="8">
        <v>2</v>
      </c>
      <c r="W2248" s="8">
        <v>2</v>
      </c>
      <c r="X2248" s="8">
        <v>2</v>
      </c>
      <c r="Y2248" s="8">
        <v>0</v>
      </c>
      <c r="Z2248" s="8">
        <v>0</v>
      </c>
      <c r="AA2248" s="8">
        <v>0</v>
      </c>
      <c r="AB2248" s="8">
        <v>0</v>
      </c>
      <c r="AC2248" s="8">
        <v>2</v>
      </c>
      <c r="AD2248" s="8">
        <v>2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11" t="s">
        <v>257</v>
      </c>
    </row>
    <row r="2249" spans="1:46" ht="15.1" customHeight="1">
      <c r="A2249" s="8"/>
      <c r="B2249" s="9"/>
      <c r="C2249" s="8"/>
      <c r="D2249" s="9"/>
      <c r="E2249" s="8">
        <v>5</v>
      </c>
      <c r="F2249" s="8">
        <v>3</v>
      </c>
      <c r="G2249" s="8">
        <v>15</v>
      </c>
      <c r="H2249" s="8">
        <v>0</v>
      </c>
      <c r="I2249" s="8">
        <v>0</v>
      </c>
      <c r="J2249" s="8">
        <v>0</v>
      </c>
      <c r="K2249" s="8">
        <v>7</v>
      </c>
      <c r="L2249" s="8">
        <v>7</v>
      </c>
      <c r="M2249" s="8">
        <v>5</v>
      </c>
      <c r="N2249" s="8">
        <v>17</v>
      </c>
      <c r="O2249" s="8">
        <v>7</v>
      </c>
      <c r="P2249" s="8">
        <v>7</v>
      </c>
      <c r="Q2249" s="8">
        <v>7</v>
      </c>
      <c r="R2249" s="8">
        <v>0</v>
      </c>
      <c r="S2249" s="8">
        <v>7</v>
      </c>
      <c r="T2249" s="8">
        <v>4.5</v>
      </c>
      <c r="U2249" s="8">
        <v>13</v>
      </c>
      <c r="V2249" s="8">
        <v>7</v>
      </c>
      <c r="W2249" s="8">
        <v>7</v>
      </c>
      <c r="X2249" s="8">
        <v>6</v>
      </c>
      <c r="Y2249" s="8">
        <v>0</v>
      </c>
      <c r="Z2249" s="8">
        <v>0</v>
      </c>
      <c r="AA2249" s="8">
        <v>0</v>
      </c>
      <c r="AB2249" s="8">
        <v>0</v>
      </c>
      <c r="AC2249" s="8">
        <v>1</v>
      </c>
      <c r="AD2249" s="8">
        <v>3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11" t="s">
        <v>257</v>
      </c>
    </row>
    <row r="2250" spans="1:46" ht="15.1" customHeight="1">
      <c r="A2250" s="8">
        <v>749</v>
      </c>
      <c r="B2250" s="9" t="s">
        <v>1734</v>
      </c>
      <c r="C2250" s="8" t="s">
        <v>1735</v>
      </c>
      <c r="D2250" s="9" t="s">
        <v>1736</v>
      </c>
      <c r="E2250" s="8" t="s">
        <v>54</v>
      </c>
      <c r="F2250" s="8" t="s">
        <v>54</v>
      </c>
      <c r="G2250" s="10" t="s">
        <v>67</v>
      </c>
      <c r="H2250" s="8" t="s">
        <v>54</v>
      </c>
      <c r="I2250" s="8" t="s">
        <v>54</v>
      </c>
      <c r="J2250" s="8" t="s">
        <v>54</v>
      </c>
      <c r="K2250" s="8" t="s">
        <v>54</v>
      </c>
      <c r="L2250" s="8" t="s">
        <v>54</v>
      </c>
      <c r="M2250" s="8" t="s">
        <v>54</v>
      </c>
      <c r="N2250" s="10" t="s">
        <v>67</v>
      </c>
      <c r="O2250" s="8" t="s">
        <v>54</v>
      </c>
      <c r="P2250" s="8" t="s">
        <v>54</v>
      </c>
      <c r="Q2250" s="8" t="s">
        <v>54</v>
      </c>
      <c r="R2250" s="8" t="s">
        <v>54</v>
      </c>
      <c r="S2250" s="8" t="s">
        <v>54</v>
      </c>
      <c r="T2250" s="8" t="s">
        <v>54</v>
      </c>
      <c r="U2250" s="10" t="s">
        <v>67</v>
      </c>
      <c r="V2250" s="8" t="s">
        <v>54</v>
      </c>
      <c r="W2250" s="8" t="s">
        <v>54</v>
      </c>
      <c r="X2250" s="8" t="s">
        <v>54</v>
      </c>
      <c r="Y2250" s="8" t="s">
        <v>54</v>
      </c>
      <c r="Z2250" s="12" t="s">
        <v>55</v>
      </c>
      <c r="AA2250" s="12" t="s">
        <v>55</v>
      </c>
      <c r="AB2250" s="10" t="s">
        <v>67</v>
      </c>
      <c r="AC2250" s="8" t="s">
        <v>54</v>
      </c>
      <c r="AD2250" s="8" t="s">
        <v>54</v>
      </c>
      <c r="AE2250" s="8" t="s">
        <v>54</v>
      </c>
      <c r="AF2250" s="8" t="s">
        <v>54</v>
      </c>
      <c r="AG2250" s="8" t="s">
        <v>54</v>
      </c>
      <c r="AH2250" s="12" t="s">
        <v>55</v>
      </c>
      <c r="AI2250" s="10" t="s">
        <v>67</v>
      </c>
      <c r="AJ2250" s="8">
        <f>COUNTIF($E$2250:$AI$2250,"P")</f>
        <v>23</v>
      </c>
      <c r="AK2250" s="8">
        <f>COUNTIF($E$2250:$AI$2250,"A")</f>
        <v>3</v>
      </c>
      <c r="AL2250" s="8">
        <f>SUM($E$2251:$AI$2251)</f>
        <v>0</v>
      </c>
      <c r="AM2250" s="8">
        <f>SUM($E$2252:$AI$2252)</f>
        <v>0</v>
      </c>
      <c r="AN2250" s="8">
        <f>AL2250+AM2250</f>
        <v>0</v>
      </c>
      <c r="AO2250" s="8">
        <f>COUNTIF($E$2250:$AI$2250,"CL")</f>
        <v>0</v>
      </c>
      <c r="AP2250" s="8">
        <f>COUNTIF($E$2250:$AI$2250,"SL")</f>
        <v>0</v>
      </c>
      <c r="AQ2250" s="8">
        <f>COUNTIF($E$2250:$AI$2250,"EL")</f>
        <v>0</v>
      </c>
      <c r="AR2250" s="8">
        <f>COUNTIF($E$2250:$AI$2250,"H")</f>
        <v>0</v>
      </c>
      <c r="AS2250" s="8"/>
      <c r="AT2250" s="11" t="s">
        <v>258</v>
      </c>
    </row>
    <row r="2251" spans="1:46" ht="15.1" customHeight="1">
      <c r="A2251" s="8"/>
      <c r="B2251" s="9"/>
      <c r="C2251" s="8"/>
      <c r="D2251" s="9"/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11" t="s">
        <v>258</v>
      </c>
    </row>
    <row r="2252" spans="1:46" ht="15.1" customHeight="1">
      <c r="A2252" s="8"/>
      <c r="B2252" s="9"/>
      <c r="C2252" s="8"/>
      <c r="D2252" s="9"/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11" t="s">
        <v>258</v>
      </c>
    </row>
    <row r="2253" spans="1:46" ht="15.1" customHeight="1">
      <c r="A2253" s="8">
        <v>750</v>
      </c>
      <c r="B2253" s="9" t="s">
        <v>1737</v>
      </c>
      <c r="C2253" s="8" t="s">
        <v>1738</v>
      </c>
      <c r="D2253" s="9" t="s">
        <v>1739</v>
      </c>
      <c r="E2253" s="8" t="s">
        <v>54</v>
      </c>
      <c r="F2253" s="8" t="s">
        <v>54</v>
      </c>
      <c r="G2253" s="10" t="s">
        <v>67</v>
      </c>
      <c r="H2253" s="8" t="s">
        <v>54</v>
      </c>
      <c r="I2253" s="8" t="s">
        <v>54</v>
      </c>
      <c r="J2253" s="8" t="s">
        <v>54</v>
      </c>
      <c r="K2253" s="8" t="s">
        <v>54</v>
      </c>
      <c r="L2253" s="8" t="s">
        <v>54</v>
      </c>
      <c r="M2253" s="8" t="s">
        <v>54</v>
      </c>
      <c r="N2253" s="10" t="s">
        <v>67</v>
      </c>
      <c r="O2253" s="8" t="s">
        <v>54</v>
      </c>
      <c r="P2253" s="8" t="s">
        <v>54</v>
      </c>
      <c r="Q2253" s="8" t="s">
        <v>54</v>
      </c>
      <c r="R2253" s="8" t="s">
        <v>54</v>
      </c>
      <c r="S2253" s="8" t="s">
        <v>54</v>
      </c>
      <c r="T2253" s="8" t="s">
        <v>54</v>
      </c>
      <c r="U2253" s="10" t="s">
        <v>67</v>
      </c>
      <c r="V2253" s="8" t="s">
        <v>54</v>
      </c>
      <c r="W2253" s="8" t="s">
        <v>54</v>
      </c>
      <c r="X2253" s="8" t="s">
        <v>54</v>
      </c>
      <c r="Y2253" s="8" t="s">
        <v>54</v>
      </c>
      <c r="Z2253" s="8" t="s">
        <v>54</v>
      </c>
      <c r="AA2253" s="8" t="s">
        <v>54</v>
      </c>
      <c r="AB2253" s="10" t="s">
        <v>67</v>
      </c>
      <c r="AC2253" s="8" t="s">
        <v>54</v>
      </c>
      <c r="AD2253" s="8" t="s">
        <v>54</v>
      </c>
      <c r="AE2253" s="8" t="s">
        <v>54</v>
      </c>
      <c r="AF2253" s="8" t="s">
        <v>54</v>
      </c>
      <c r="AG2253" s="8" t="s">
        <v>54</v>
      </c>
      <c r="AH2253" s="8" t="s">
        <v>54</v>
      </c>
      <c r="AI2253" s="10" t="s">
        <v>67</v>
      </c>
      <c r="AJ2253" s="8">
        <f>COUNTIF($E$2253:$AI$2253,"P")</f>
        <v>26</v>
      </c>
      <c r="AK2253" s="8">
        <f>COUNTIF($E$2253:$AI$2253,"A")</f>
        <v>0</v>
      </c>
      <c r="AL2253" s="8">
        <f>SUM($E$2254:$AI$2254)</f>
        <v>0</v>
      </c>
      <c r="AM2253" s="8">
        <f>SUM($E$2255:$AI$2255)</f>
        <v>0</v>
      </c>
      <c r="AN2253" s="8">
        <f>AL2253+AM2253</f>
        <v>0</v>
      </c>
      <c r="AO2253" s="8">
        <f>COUNTIF($E$2253:$AI$2253,"CL")</f>
        <v>0</v>
      </c>
      <c r="AP2253" s="8">
        <f>COUNTIF($E$2253:$AI$2253,"SL")</f>
        <v>0</v>
      </c>
      <c r="AQ2253" s="8">
        <f>COUNTIF($E$2253:$AI$2253,"EL")</f>
        <v>0</v>
      </c>
      <c r="AR2253" s="8">
        <f>COUNTIF($E$2253:$AI$2253,"H")</f>
        <v>0</v>
      </c>
      <c r="AS2253" s="8"/>
      <c r="AT2253" s="11" t="s">
        <v>258</v>
      </c>
    </row>
    <row r="2254" spans="1:46" ht="15.1" customHeight="1">
      <c r="A2254" s="8"/>
      <c r="B2254" s="9"/>
      <c r="C2254" s="8"/>
      <c r="D2254" s="9"/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11" t="s">
        <v>258</v>
      </c>
    </row>
    <row r="2255" spans="1:46" ht="15.1" customHeight="1">
      <c r="A2255" s="8"/>
      <c r="B2255" s="9"/>
      <c r="C2255" s="8"/>
      <c r="D2255" s="9"/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11" t="s">
        <v>258</v>
      </c>
    </row>
    <row r="2256" spans="1:46" ht="15.1" customHeight="1">
      <c r="A2256" s="8">
        <v>751</v>
      </c>
      <c r="B2256" s="9" t="s">
        <v>1740</v>
      </c>
      <c r="C2256" s="8" t="s">
        <v>1741</v>
      </c>
      <c r="D2256" s="9" t="s">
        <v>1742</v>
      </c>
      <c r="E2256" s="8" t="s">
        <v>54</v>
      </c>
      <c r="F2256" s="8" t="s">
        <v>54</v>
      </c>
      <c r="G2256" s="10" t="s">
        <v>54</v>
      </c>
      <c r="H2256" s="8" t="s">
        <v>54</v>
      </c>
      <c r="I2256" s="8" t="s">
        <v>54</v>
      </c>
      <c r="J2256" s="8" t="s">
        <v>67</v>
      </c>
      <c r="K2256" s="8" t="s">
        <v>54</v>
      </c>
      <c r="L2256" s="8" t="s">
        <v>54</v>
      </c>
      <c r="M2256" s="8" t="s">
        <v>54</v>
      </c>
      <c r="N2256" s="10" t="s">
        <v>54</v>
      </c>
      <c r="O2256" s="8" t="s">
        <v>54</v>
      </c>
      <c r="P2256" s="8" t="s">
        <v>54</v>
      </c>
      <c r="Q2256" s="8" t="s">
        <v>67</v>
      </c>
      <c r="R2256" s="8" t="s">
        <v>54</v>
      </c>
      <c r="S2256" s="8" t="s">
        <v>54</v>
      </c>
      <c r="T2256" s="8" t="s">
        <v>54</v>
      </c>
      <c r="U2256" s="10" t="s">
        <v>54</v>
      </c>
      <c r="V2256" s="8" t="s">
        <v>54</v>
      </c>
      <c r="W2256" s="8" t="s">
        <v>54</v>
      </c>
      <c r="X2256" s="8" t="s">
        <v>67</v>
      </c>
      <c r="Y2256" s="12" t="s">
        <v>55</v>
      </c>
      <c r="Z2256" s="12" t="s">
        <v>55</v>
      </c>
      <c r="AA2256" s="8" t="s">
        <v>54</v>
      </c>
      <c r="AB2256" s="10" t="s">
        <v>54</v>
      </c>
      <c r="AC2256" s="8" t="s">
        <v>54</v>
      </c>
      <c r="AD2256" s="8" t="s">
        <v>54</v>
      </c>
      <c r="AE2256" s="8" t="s">
        <v>67</v>
      </c>
      <c r="AF2256" s="8" t="s">
        <v>54</v>
      </c>
      <c r="AG2256" s="8" t="s">
        <v>54</v>
      </c>
      <c r="AH2256" s="8" t="s">
        <v>54</v>
      </c>
      <c r="AI2256" s="10" t="s">
        <v>55</v>
      </c>
      <c r="AJ2256" s="8">
        <f>COUNTIF($E$2256:$AI$2256,"P")</f>
        <v>24</v>
      </c>
      <c r="AK2256" s="8">
        <f>COUNTIF($E$2256:$AI$2256,"A")</f>
        <v>3</v>
      </c>
      <c r="AL2256" s="8">
        <f>SUM($E$2257:$AI$2257)</f>
        <v>0</v>
      </c>
      <c r="AM2256" s="8">
        <f>SUM($E$2258:$AI$2258)</f>
        <v>0</v>
      </c>
      <c r="AN2256" s="8">
        <f>AL2256+AM2256</f>
        <v>0</v>
      </c>
      <c r="AO2256" s="8">
        <f>COUNTIF($E$2256:$AI$2256,"CL")</f>
        <v>0</v>
      </c>
      <c r="AP2256" s="8">
        <f>COUNTIF($E$2256:$AI$2256,"SL")</f>
        <v>0</v>
      </c>
      <c r="AQ2256" s="8">
        <f>COUNTIF($E$2256:$AI$2256,"EL")</f>
        <v>0</v>
      </c>
      <c r="AR2256" s="8">
        <f>COUNTIF($E$2256:$AI$2256,"H")</f>
        <v>0</v>
      </c>
      <c r="AS2256" s="8"/>
      <c r="AT2256" s="11" t="s">
        <v>258</v>
      </c>
    </row>
    <row r="2257" spans="1:46" ht="15.1" customHeight="1">
      <c r="A2257" s="8"/>
      <c r="B2257" s="9"/>
      <c r="C2257" s="8"/>
      <c r="D2257" s="9"/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8">
        <v>0</v>
      </c>
      <c r="AH2257" s="8">
        <v>0</v>
      </c>
      <c r="AI2257" s="8">
        <v>0</v>
      </c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11" t="s">
        <v>258</v>
      </c>
    </row>
    <row r="2258" spans="1:46" ht="15.1" customHeight="1">
      <c r="A2258" s="8"/>
      <c r="B2258" s="9"/>
      <c r="C2258" s="8"/>
      <c r="D2258" s="9"/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11" t="s">
        <v>258</v>
      </c>
    </row>
    <row r="2259" spans="1:46" ht="15.1" customHeight="1">
      <c r="A2259" s="8">
        <v>752</v>
      </c>
      <c r="B2259" s="9" t="s">
        <v>1743</v>
      </c>
      <c r="C2259" s="8" t="s">
        <v>1744</v>
      </c>
      <c r="D2259" s="9" t="s">
        <v>1742</v>
      </c>
      <c r="E2259" s="8" t="s">
        <v>54</v>
      </c>
      <c r="F2259" s="8" t="s">
        <v>54</v>
      </c>
      <c r="G2259" s="10" t="s">
        <v>54</v>
      </c>
      <c r="H2259" s="8" t="s">
        <v>54</v>
      </c>
      <c r="I2259" s="8" t="s">
        <v>67</v>
      </c>
      <c r="J2259" s="8" t="s">
        <v>54</v>
      </c>
      <c r="K2259" s="8" t="s">
        <v>54</v>
      </c>
      <c r="L2259" s="8" t="s">
        <v>54</v>
      </c>
      <c r="M2259" s="8" t="s">
        <v>54</v>
      </c>
      <c r="N2259" s="10" t="s">
        <v>54</v>
      </c>
      <c r="O2259" s="8" t="s">
        <v>54</v>
      </c>
      <c r="P2259" s="8" t="s">
        <v>67</v>
      </c>
      <c r="Q2259" s="8" t="s">
        <v>54</v>
      </c>
      <c r="R2259" s="8" t="s">
        <v>54</v>
      </c>
      <c r="S2259" s="8" t="s">
        <v>54</v>
      </c>
      <c r="T2259" s="8" t="s">
        <v>54</v>
      </c>
      <c r="U2259" s="10" t="s">
        <v>54</v>
      </c>
      <c r="V2259" s="8" t="s">
        <v>54</v>
      </c>
      <c r="W2259" s="8" t="s">
        <v>67</v>
      </c>
      <c r="X2259" s="8" t="s">
        <v>54</v>
      </c>
      <c r="Y2259" s="8" t="s">
        <v>54</v>
      </c>
      <c r="Z2259" s="8" t="s">
        <v>54</v>
      </c>
      <c r="AA2259" s="8" t="s">
        <v>54</v>
      </c>
      <c r="AB2259" s="10" t="s">
        <v>54</v>
      </c>
      <c r="AC2259" s="12" t="s">
        <v>55</v>
      </c>
      <c r="AD2259" s="8" t="s">
        <v>67</v>
      </c>
      <c r="AE2259" s="12" t="s">
        <v>55</v>
      </c>
      <c r="AF2259" s="8" t="s">
        <v>54</v>
      </c>
      <c r="AG2259" s="8" t="s">
        <v>54</v>
      </c>
      <c r="AH2259" s="8" t="s">
        <v>54</v>
      </c>
      <c r="AI2259" s="10" t="s">
        <v>54</v>
      </c>
      <c r="AJ2259" s="8">
        <f>COUNTIF($E$2259:$AI$2259,"P")</f>
        <v>25</v>
      </c>
      <c r="AK2259" s="8">
        <f>COUNTIF($E$2259:$AI$2259,"A")</f>
        <v>2</v>
      </c>
      <c r="AL2259" s="8">
        <f>SUM($E$2260:$AI$2260)</f>
        <v>0</v>
      </c>
      <c r="AM2259" s="8">
        <f>SUM($E$2261:$AI$2261)</f>
        <v>0</v>
      </c>
      <c r="AN2259" s="8">
        <f>AL2259+AM2259</f>
        <v>0</v>
      </c>
      <c r="AO2259" s="8">
        <f>COUNTIF($E$2259:$AI$2259,"CL")</f>
        <v>0</v>
      </c>
      <c r="AP2259" s="8">
        <f>COUNTIF($E$2259:$AI$2259,"SL")</f>
        <v>0</v>
      </c>
      <c r="AQ2259" s="8">
        <f>COUNTIF($E$2259:$AI$2259,"EL")</f>
        <v>0</v>
      </c>
      <c r="AR2259" s="8">
        <f>COUNTIF($E$2259:$AI$2259,"H")</f>
        <v>0</v>
      </c>
      <c r="AS2259" s="8"/>
      <c r="AT2259" s="11" t="s">
        <v>258</v>
      </c>
    </row>
    <row r="2260" spans="1:46" ht="15.1" customHeight="1">
      <c r="A2260" s="8"/>
      <c r="B2260" s="9"/>
      <c r="C2260" s="8"/>
      <c r="D2260" s="9"/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11" t="s">
        <v>258</v>
      </c>
    </row>
    <row r="2261" spans="1:46" ht="15.1" customHeight="1">
      <c r="A2261" s="8"/>
      <c r="B2261" s="9"/>
      <c r="C2261" s="8"/>
      <c r="D2261" s="9"/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11" t="s">
        <v>258</v>
      </c>
    </row>
    <row r="2262" spans="1:46" ht="15.1" customHeight="1">
      <c r="A2262" s="8">
        <v>753</v>
      </c>
      <c r="B2262" s="9" t="s">
        <v>1745</v>
      </c>
      <c r="C2262" s="8" t="s">
        <v>1746</v>
      </c>
      <c r="D2262" s="9" t="s">
        <v>1742</v>
      </c>
      <c r="E2262" s="8" t="s">
        <v>54</v>
      </c>
      <c r="F2262" s="8" t="s">
        <v>54</v>
      </c>
      <c r="G2262" s="10" t="s">
        <v>54</v>
      </c>
      <c r="H2262" s="8" t="s">
        <v>54</v>
      </c>
      <c r="I2262" s="8" t="s">
        <v>54</v>
      </c>
      <c r="J2262" s="8" t="s">
        <v>67</v>
      </c>
      <c r="K2262" s="8" t="s">
        <v>54</v>
      </c>
      <c r="L2262" s="8" t="s">
        <v>54</v>
      </c>
      <c r="M2262" s="8" t="s">
        <v>54</v>
      </c>
      <c r="N2262" s="10" t="s">
        <v>54</v>
      </c>
      <c r="O2262" s="8" t="s">
        <v>54</v>
      </c>
      <c r="P2262" s="8" t="s">
        <v>54</v>
      </c>
      <c r="Q2262" s="8" t="s">
        <v>67</v>
      </c>
      <c r="R2262" s="8" t="s">
        <v>54</v>
      </c>
      <c r="S2262" s="8" t="s">
        <v>54</v>
      </c>
      <c r="T2262" s="8" t="s">
        <v>54</v>
      </c>
      <c r="U2262" s="10" t="s">
        <v>54</v>
      </c>
      <c r="V2262" s="8" t="s">
        <v>54</v>
      </c>
      <c r="W2262" s="8" t="s">
        <v>54</v>
      </c>
      <c r="X2262" s="8" t="s">
        <v>67</v>
      </c>
      <c r="Y2262" s="8" t="s">
        <v>54</v>
      </c>
      <c r="Z2262" s="8" t="s">
        <v>54</v>
      </c>
      <c r="AA2262" s="8" t="s">
        <v>54</v>
      </c>
      <c r="AB2262" s="10" t="s">
        <v>54</v>
      </c>
      <c r="AC2262" s="8" t="s">
        <v>54</v>
      </c>
      <c r="AD2262" s="8" t="s">
        <v>54</v>
      </c>
      <c r="AE2262" s="8" t="s">
        <v>67</v>
      </c>
      <c r="AF2262" s="8" t="s">
        <v>54</v>
      </c>
      <c r="AG2262" s="8" t="s">
        <v>54</v>
      </c>
      <c r="AH2262" s="8" t="s">
        <v>54</v>
      </c>
      <c r="AI2262" s="10" t="s">
        <v>54</v>
      </c>
      <c r="AJ2262" s="8">
        <f>COUNTIF($E$2262:$AI$2262,"P")</f>
        <v>27</v>
      </c>
      <c r="AK2262" s="8">
        <f>COUNTIF($E$2262:$AI$2262,"A")</f>
        <v>0</v>
      </c>
      <c r="AL2262" s="8">
        <f>SUM($E$2263:$AI$2263)</f>
        <v>0</v>
      </c>
      <c r="AM2262" s="8">
        <f>SUM($E$2264:$AI$2264)</f>
        <v>0</v>
      </c>
      <c r="AN2262" s="8">
        <f>AL2262+AM2262</f>
        <v>0</v>
      </c>
      <c r="AO2262" s="8">
        <f>COUNTIF($E$2262:$AI$2262,"CL")</f>
        <v>0</v>
      </c>
      <c r="AP2262" s="8">
        <f>COUNTIF($E$2262:$AI$2262,"SL")</f>
        <v>0</v>
      </c>
      <c r="AQ2262" s="8">
        <f>COUNTIF($E$2262:$AI$2262,"EL")</f>
        <v>0</v>
      </c>
      <c r="AR2262" s="8">
        <f>COUNTIF($E$2262:$AI$2262,"H")</f>
        <v>0</v>
      </c>
      <c r="AS2262" s="8"/>
      <c r="AT2262" s="11" t="s">
        <v>258</v>
      </c>
    </row>
    <row r="2263" spans="1:46" ht="15.1" customHeight="1">
      <c r="A2263" s="8"/>
      <c r="B2263" s="9"/>
      <c r="C2263" s="8"/>
      <c r="D2263" s="9"/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11" t="s">
        <v>258</v>
      </c>
    </row>
    <row r="2264" spans="1:46" ht="15.1" customHeight="1">
      <c r="A2264" s="8"/>
      <c r="B2264" s="9"/>
      <c r="C2264" s="8"/>
      <c r="D2264" s="9"/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11" t="s">
        <v>258</v>
      </c>
    </row>
    <row r="2265" spans="1:46" ht="15.1" customHeight="1">
      <c r="A2265" s="8">
        <v>754</v>
      </c>
      <c r="B2265" s="9" t="s">
        <v>1747</v>
      </c>
      <c r="C2265" s="8" t="s">
        <v>1748</v>
      </c>
      <c r="D2265" s="9" t="s">
        <v>1742</v>
      </c>
      <c r="E2265" s="12" t="s">
        <v>55</v>
      </c>
      <c r="F2265" s="12" t="s">
        <v>55</v>
      </c>
      <c r="G2265" s="10" t="s">
        <v>55</v>
      </c>
      <c r="H2265" s="8" t="s">
        <v>67</v>
      </c>
      <c r="I2265" s="12" t="s">
        <v>55</v>
      </c>
      <c r="J2265" s="12" t="s">
        <v>55</v>
      </c>
      <c r="K2265" s="12" t="s">
        <v>55</v>
      </c>
      <c r="L2265" s="12" t="s">
        <v>55</v>
      </c>
      <c r="M2265" s="12" t="s">
        <v>55</v>
      </c>
      <c r="N2265" s="10" t="s">
        <v>55</v>
      </c>
      <c r="O2265" s="8" t="s">
        <v>67</v>
      </c>
      <c r="P2265" s="12" t="s">
        <v>55</v>
      </c>
      <c r="Q2265" s="12" t="s">
        <v>55</v>
      </c>
      <c r="R2265" s="12" t="s">
        <v>55</v>
      </c>
      <c r="S2265" s="12" t="s">
        <v>55</v>
      </c>
      <c r="T2265" s="12" t="s">
        <v>55</v>
      </c>
      <c r="U2265" s="10" t="s">
        <v>55</v>
      </c>
      <c r="V2265" s="8" t="s">
        <v>67</v>
      </c>
      <c r="W2265" s="12" t="s">
        <v>55</v>
      </c>
      <c r="X2265" s="12" t="s">
        <v>55</v>
      </c>
      <c r="Y2265" s="12" t="s">
        <v>55</v>
      </c>
      <c r="Z2265" s="12" t="s">
        <v>55</v>
      </c>
      <c r="AA2265" s="12" t="s">
        <v>55</v>
      </c>
      <c r="AB2265" s="10" t="s">
        <v>55</v>
      </c>
      <c r="AC2265" s="8" t="s">
        <v>67</v>
      </c>
      <c r="AD2265" s="12" t="s">
        <v>55</v>
      </c>
      <c r="AE2265" s="12" t="s">
        <v>55</v>
      </c>
      <c r="AF2265" s="12" t="s">
        <v>55</v>
      </c>
      <c r="AG2265" s="12" t="s">
        <v>55</v>
      </c>
      <c r="AH2265" s="12" t="s">
        <v>55</v>
      </c>
      <c r="AI2265" s="10" t="s">
        <v>55</v>
      </c>
      <c r="AJ2265" s="8">
        <f>COUNTIF($E$2265:$AI$2265,"P")</f>
        <v>0</v>
      </c>
      <c r="AK2265" s="8">
        <f>COUNTIF($E$2265:$AI$2265,"A")</f>
        <v>27</v>
      </c>
      <c r="AL2265" s="8">
        <f>SUM($E$2266:$AI$2266)</f>
        <v>0</v>
      </c>
      <c r="AM2265" s="8">
        <f>SUM($E$2267:$AI$2267)</f>
        <v>0</v>
      </c>
      <c r="AN2265" s="8">
        <f>AL2265+AM2265</f>
        <v>0</v>
      </c>
      <c r="AO2265" s="8">
        <f>COUNTIF($E$2265:$AI$2265,"CL")</f>
        <v>0</v>
      </c>
      <c r="AP2265" s="8">
        <f>COUNTIF($E$2265:$AI$2265,"SL")</f>
        <v>0</v>
      </c>
      <c r="AQ2265" s="8">
        <f>COUNTIF($E$2265:$AI$2265,"EL")</f>
        <v>0</v>
      </c>
      <c r="AR2265" s="8">
        <f>COUNTIF($E$2265:$AI$2265,"H")</f>
        <v>0</v>
      </c>
      <c r="AS2265" s="8"/>
      <c r="AT2265" s="11" t="s">
        <v>258</v>
      </c>
    </row>
    <row r="2266" spans="1:46" ht="15.1" customHeight="1">
      <c r="A2266" s="8"/>
      <c r="B2266" s="9"/>
      <c r="C2266" s="8"/>
      <c r="D2266" s="9"/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11" t="s">
        <v>258</v>
      </c>
    </row>
    <row r="2267" spans="1:46" ht="15.1" customHeight="1">
      <c r="A2267" s="8"/>
      <c r="B2267" s="9"/>
      <c r="C2267" s="8"/>
      <c r="D2267" s="9"/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0</v>
      </c>
      <c r="AH2267" s="8">
        <v>0</v>
      </c>
      <c r="AI2267" s="8">
        <v>0</v>
      </c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11" t="s">
        <v>258</v>
      </c>
    </row>
    <row r="2268" spans="1:46" ht="15.1" customHeight="1">
      <c r="A2268" s="8">
        <v>755</v>
      </c>
      <c r="B2268" s="9" t="s">
        <v>1749</v>
      </c>
      <c r="C2268" s="8" t="s">
        <v>1750</v>
      </c>
      <c r="D2268" s="9" t="s">
        <v>1742</v>
      </c>
      <c r="E2268" s="8" t="s">
        <v>54</v>
      </c>
      <c r="F2268" s="8" t="s">
        <v>54</v>
      </c>
      <c r="G2268" s="10" t="s">
        <v>54</v>
      </c>
      <c r="H2268" s="8" t="s">
        <v>54</v>
      </c>
      <c r="I2268" s="8" t="s">
        <v>54</v>
      </c>
      <c r="J2268" s="8" t="s">
        <v>54</v>
      </c>
      <c r="K2268" s="8" t="s">
        <v>67</v>
      </c>
      <c r="L2268" s="8" t="s">
        <v>54</v>
      </c>
      <c r="M2268" s="8" t="s">
        <v>54</v>
      </c>
      <c r="N2268" s="10" t="s">
        <v>54</v>
      </c>
      <c r="O2268" s="8" t="s">
        <v>54</v>
      </c>
      <c r="P2268" s="8" t="s">
        <v>54</v>
      </c>
      <c r="Q2268" s="12" t="s">
        <v>55</v>
      </c>
      <c r="R2268" s="8" t="s">
        <v>67</v>
      </c>
      <c r="S2268" s="8" t="s">
        <v>54</v>
      </c>
      <c r="T2268" s="12" t="s">
        <v>55</v>
      </c>
      <c r="U2268" s="10" t="s">
        <v>54</v>
      </c>
      <c r="V2268" s="8" t="s">
        <v>54</v>
      </c>
      <c r="W2268" s="8" t="s">
        <v>54</v>
      </c>
      <c r="X2268" s="8" t="s">
        <v>54</v>
      </c>
      <c r="Y2268" s="8" t="s">
        <v>67</v>
      </c>
      <c r="Z2268" s="8" t="s">
        <v>54</v>
      </c>
      <c r="AA2268" s="8" t="s">
        <v>54</v>
      </c>
      <c r="AB2268" s="10" t="s">
        <v>54</v>
      </c>
      <c r="AC2268" s="8" t="s">
        <v>54</v>
      </c>
      <c r="AD2268" s="8" t="s">
        <v>54</v>
      </c>
      <c r="AE2268" s="8" t="s">
        <v>54</v>
      </c>
      <c r="AF2268" s="8" t="s">
        <v>67</v>
      </c>
      <c r="AG2268" s="8" t="s">
        <v>54</v>
      </c>
      <c r="AH2268" s="8" t="s">
        <v>54</v>
      </c>
      <c r="AI2268" s="10" t="s">
        <v>54</v>
      </c>
      <c r="AJ2268" s="8">
        <f>COUNTIF($E$2268:$AI$2268,"P")</f>
        <v>25</v>
      </c>
      <c r="AK2268" s="8">
        <f>COUNTIF($E$2268:$AI$2268,"A")</f>
        <v>2</v>
      </c>
      <c r="AL2268" s="8">
        <f>SUM($E$2269:$AI$2269)</f>
        <v>0</v>
      </c>
      <c r="AM2268" s="8">
        <f>SUM($E$2270:$AI$2270)</f>
        <v>0</v>
      </c>
      <c r="AN2268" s="8">
        <f>AL2268+AM2268</f>
        <v>0</v>
      </c>
      <c r="AO2268" s="8">
        <f>COUNTIF($E$2268:$AI$2268,"CL")</f>
        <v>0</v>
      </c>
      <c r="AP2268" s="8">
        <f>COUNTIF($E$2268:$AI$2268,"SL")</f>
        <v>0</v>
      </c>
      <c r="AQ2268" s="8">
        <f>COUNTIF($E$2268:$AI$2268,"EL")</f>
        <v>0</v>
      </c>
      <c r="AR2268" s="8">
        <f>COUNTIF($E$2268:$AI$2268,"H")</f>
        <v>0</v>
      </c>
      <c r="AS2268" s="8"/>
      <c r="AT2268" s="11" t="s">
        <v>258</v>
      </c>
    </row>
    <row r="2269" spans="1:46" ht="15.1" customHeight="1">
      <c r="A2269" s="8"/>
      <c r="B2269" s="9"/>
      <c r="C2269" s="8"/>
      <c r="D2269" s="9"/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  <c r="M2269" s="8">
        <v>0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0</v>
      </c>
      <c r="AA2269" s="8">
        <v>0</v>
      </c>
      <c r="AB2269" s="8">
        <v>0</v>
      </c>
      <c r="AC2269" s="8">
        <v>0</v>
      </c>
      <c r="AD2269" s="8">
        <v>0</v>
      </c>
      <c r="AE2269" s="8">
        <v>0</v>
      </c>
      <c r="AF2269" s="8">
        <v>0</v>
      </c>
      <c r="AG2269" s="8">
        <v>0</v>
      </c>
      <c r="AH2269" s="8">
        <v>0</v>
      </c>
      <c r="AI2269" s="8">
        <v>0</v>
      </c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11" t="s">
        <v>258</v>
      </c>
    </row>
    <row r="2270" spans="1:46" ht="15.1" customHeight="1">
      <c r="A2270" s="8"/>
      <c r="B2270" s="9"/>
      <c r="C2270" s="8"/>
      <c r="D2270" s="9"/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11" t="s">
        <v>258</v>
      </c>
    </row>
    <row r="2271" spans="1:46" ht="15.1" customHeight="1">
      <c r="A2271" s="8">
        <v>756</v>
      </c>
      <c r="B2271" s="9" t="s">
        <v>1751</v>
      </c>
      <c r="C2271" s="8" t="s">
        <v>1752</v>
      </c>
      <c r="D2271" s="9" t="s">
        <v>1742</v>
      </c>
      <c r="E2271" s="8" t="s">
        <v>67</v>
      </c>
      <c r="F2271" s="8" t="s">
        <v>54</v>
      </c>
      <c r="G2271" s="10" t="s">
        <v>54</v>
      </c>
      <c r="H2271" s="8" t="s">
        <v>54</v>
      </c>
      <c r="I2271" s="8" t="s">
        <v>54</v>
      </c>
      <c r="J2271" s="8" t="s">
        <v>54</v>
      </c>
      <c r="K2271" s="12" t="s">
        <v>55</v>
      </c>
      <c r="L2271" s="8" t="s">
        <v>67</v>
      </c>
      <c r="M2271" s="8" t="s">
        <v>54</v>
      </c>
      <c r="N2271" s="10" t="s">
        <v>54</v>
      </c>
      <c r="O2271" s="8" t="s">
        <v>54</v>
      </c>
      <c r="P2271" s="8" t="s">
        <v>54</v>
      </c>
      <c r="Q2271" s="8" t="s">
        <v>54</v>
      </c>
      <c r="R2271" s="8" t="s">
        <v>54</v>
      </c>
      <c r="S2271" s="8" t="s">
        <v>67</v>
      </c>
      <c r="T2271" s="8" t="s">
        <v>54</v>
      </c>
      <c r="U2271" s="10" t="s">
        <v>54</v>
      </c>
      <c r="V2271" s="8" t="s">
        <v>54</v>
      </c>
      <c r="W2271" s="8" t="s">
        <v>54</v>
      </c>
      <c r="X2271" s="8" t="s">
        <v>54</v>
      </c>
      <c r="Y2271" s="8" t="s">
        <v>54</v>
      </c>
      <c r="Z2271" s="8" t="s">
        <v>67</v>
      </c>
      <c r="AA2271" s="8" t="s">
        <v>54</v>
      </c>
      <c r="AB2271" s="10" t="s">
        <v>54</v>
      </c>
      <c r="AC2271" s="8" t="s">
        <v>54</v>
      </c>
      <c r="AD2271" s="8" t="s">
        <v>54</v>
      </c>
      <c r="AE2271" s="8" t="s">
        <v>54</v>
      </c>
      <c r="AF2271" s="8" t="s">
        <v>54</v>
      </c>
      <c r="AG2271" s="8" t="s">
        <v>67</v>
      </c>
      <c r="AH2271" s="8" t="s">
        <v>54</v>
      </c>
      <c r="AI2271" s="10" t="s">
        <v>55</v>
      </c>
      <c r="AJ2271" s="8">
        <f>COUNTIF($E$2271:$AI$2271,"P")</f>
        <v>24</v>
      </c>
      <c r="AK2271" s="8">
        <f>COUNTIF($E$2271:$AI$2271,"A")</f>
        <v>2</v>
      </c>
      <c r="AL2271" s="8">
        <f>SUM($E$2272:$AI$2272)</f>
        <v>0</v>
      </c>
      <c r="AM2271" s="8">
        <f>SUM($E$2273:$AI$2273)</f>
        <v>0</v>
      </c>
      <c r="AN2271" s="8">
        <f>AL2271+AM2271</f>
        <v>0</v>
      </c>
      <c r="AO2271" s="8">
        <f>COUNTIF($E$2271:$AI$2271,"CL")</f>
        <v>0</v>
      </c>
      <c r="AP2271" s="8">
        <f>COUNTIF($E$2271:$AI$2271,"SL")</f>
        <v>0</v>
      </c>
      <c r="AQ2271" s="8">
        <f>COUNTIF($E$2271:$AI$2271,"EL")</f>
        <v>0</v>
      </c>
      <c r="AR2271" s="8">
        <f>COUNTIF($E$2271:$AI$2271,"H")</f>
        <v>0</v>
      </c>
      <c r="AS2271" s="8"/>
      <c r="AT2271" s="11" t="s">
        <v>258</v>
      </c>
    </row>
    <row r="2272" spans="1:46" ht="15.1" customHeight="1">
      <c r="A2272" s="8"/>
      <c r="B2272" s="9"/>
      <c r="C2272" s="8"/>
      <c r="D2272" s="9"/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11" t="s">
        <v>258</v>
      </c>
    </row>
    <row r="2273" spans="1:46" ht="15.1" customHeight="1">
      <c r="A2273" s="8"/>
      <c r="B2273" s="9"/>
      <c r="C2273" s="8"/>
      <c r="D2273" s="9"/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0</v>
      </c>
      <c r="AH2273" s="8">
        <v>0</v>
      </c>
      <c r="AI2273" s="8">
        <v>0</v>
      </c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11" t="s">
        <v>258</v>
      </c>
    </row>
    <row r="2274" spans="1:46" ht="15.1" customHeight="1">
      <c r="A2274" s="8">
        <v>757</v>
      </c>
      <c r="B2274" s="9" t="s">
        <v>1753</v>
      </c>
      <c r="C2274" s="8" t="s">
        <v>1754</v>
      </c>
      <c r="D2274" s="9" t="s">
        <v>1742</v>
      </c>
      <c r="E2274" s="8" t="s">
        <v>54</v>
      </c>
      <c r="F2274" s="8" t="s">
        <v>67</v>
      </c>
      <c r="G2274" s="10" t="s">
        <v>54</v>
      </c>
      <c r="H2274" s="8" t="s">
        <v>54</v>
      </c>
      <c r="I2274" s="8" t="s">
        <v>54</v>
      </c>
      <c r="J2274" s="8" t="s">
        <v>54</v>
      </c>
      <c r="K2274" s="8" t="s">
        <v>54</v>
      </c>
      <c r="L2274" s="8" t="s">
        <v>54</v>
      </c>
      <c r="M2274" s="8" t="s">
        <v>67</v>
      </c>
      <c r="N2274" s="10" t="s">
        <v>54</v>
      </c>
      <c r="O2274" s="8" t="s">
        <v>54</v>
      </c>
      <c r="P2274" s="8" t="s">
        <v>54</v>
      </c>
      <c r="Q2274" s="8" t="s">
        <v>54</v>
      </c>
      <c r="R2274" s="8" t="s">
        <v>54</v>
      </c>
      <c r="S2274" s="12" t="s">
        <v>55</v>
      </c>
      <c r="T2274" s="8" t="s">
        <v>67</v>
      </c>
      <c r="U2274" s="10" t="s">
        <v>54</v>
      </c>
      <c r="V2274" s="8" t="s">
        <v>54</v>
      </c>
      <c r="W2274" s="8" t="s">
        <v>54</v>
      </c>
      <c r="X2274" s="8" t="s">
        <v>54</v>
      </c>
      <c r="Y2274" s="8" t="s">
        <v>54</v>
      </c>
      <c r="Z2274" s="8" t="s">
        <v>54</v>
      </c>
      <c r="AA2274" s="8" t="s">
        <v>67</v>
      </c>
      <c r="AB2274" s="10" t="s">
        <v>54</v>
      </c>
      <c r="AC2274" s="8" t="s">
        <v>54</v>
      </c>
      <c r="AD2274" s="8" t="s">
        <v>54</v>
      </c>
      <c r="AE2274" s="8" t="s">
        <v>54</v>
      </c>
      <c r="AF2274" s="8" t="s">
        <v>54</v>
      </c>
      <c r="AG2274" s="8" t="s">
        <v>54</v>
      </c>
      <c r="AH2274" s="8" t="s">
        <v>67</v>
      </c>
      <c r="AI2274" s="10" t="s">
        <v>54</v>
      </c>
      <c r="AJ2274" s="8">
        <f>COUNTIF($E$2274:$AI$2274,"P")</f>
        <v>25</v>
      </c>
      <c r="AK2274" s="8">
        <f>COUNTIF($E$2274:$AI$2274,"A")</f>
        <v>1</v>
      </c>
      <c r="AL2274" s="8">
        <f>SUM($E$2275:$AI$2275)</f>
        <v>0</v>
      </c>
      <c r="AM2274" s="8">
        <f>SUM($E$2276:$AI$2276)</f>
        <v>0</v>
      </c>
      <c r="AN2274" s="8">
        <f>AL2274+AM2274</f>
        <v>0</v>
      </c>
      <c r="AO2274" s="8">
        <f>COUNTIF($E$2274:$AI$2274,"CL")</f>
        <v>0</v>
      </c>
      <c r="AP2274" s="8">
        <f>COUNTIF($E$2274:$AI$2274,"SL")</f>
        <v>0</v>
      </c>
      <c r="AQ2274" s="8">
        <f>COUNTIF($E$2274:$AI$2274,"EL")</f>
        <v>0</v>
      </c>
      <c r="AR2274" s="8">
        <f>COUNTIF($E$2274:$AI$2274,"H")</f>
        <v>0</v>
      </c>
      <c r="AS2274" s="8"/>
      <c r="AT2274" s="11" t="s">
        <v>258</v>
      </c>
    </row>
    <row r="2275" spans="1:46" ht="15.1" customHeight="1">
      <c r="A2275" s="8"/>
      <c r="B2275" s="9"/>
      <c r="C2275" s="8"/>
      <c r="D2275" s="9"/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  <c r="M2275" s="8">
        <v>0</v>
      </c>
      <c r="N2275" s="8">
        <v>0</v>
      </c>
      <c r="O2275" s="8">
        <v>0</v>
      </c>
      <c r="P2275" s="8">
        <v>0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11" t="s">
        <v>258</v>
      </c>
    </row>
    <row r="2276" spans="1:46" ht="15.1" customHeight="1">
      <c r="A2276" s="8"/>
      <c r="B2276" s="9"/>
      <c r="C2276" s="8"/>
      <c r="D2276" s="9"/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  <c r="M2276" s="8">
        <v>0</v>
      </c>
      <c r="N2276" s="8">
        <v>0</v>
      </c>
      <c r="O2276" s="8">
        <v>0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11" t="s">
        <v>258</v>
      </c>
    </row>
    <row r="2277" spans="1:46" ht="15.1" customHeight="1">
      <c r="A2277" s="8">
        <v>758</v>
      </c>
      <c r="B2277" s="9" t="s">
        <v>1755</v>
      </c>
      <c r="C2277" s="8" t="s">
        <v>1756</v>
      </c>
      <c r="D2277" s="9" t="s">
        <v>1742</v>
      </c>
      <c r="E2277" s="8" t="s">
        <v>54</v>
      </c>
      <c r="F2277" s="8" t="s">
        <v>54</v>
      </c>
      <c r="G2277" s="10" t="s">
        <v>67</v>
      </c>
      <c r="H2277" s="8" t="s">
        <v>54</v>
      </c>
      <c r="I2277" s="8" t="s">
        <v>54</v>
      </c>
      <c r="J2277" s="8" t="s">
        <v>54</v>
      </c>
      <c r="K2277" s="8" t="s">
        <v>54</v>
      </c>
      <c r="L2277" s="8" t="s">
        <v>54</v>
      </c>
      <c r="M2277" s="8" t="s">
        <v>54</v>
      </c>
      <c r="N2277" s="10" t="s">
        <v>67</v>
      </c>
      <c r="O2277" s="8" t="s">
        <v>54</v>
      </c>
      <c r="P2277" s="8" t="s">
        <v>54</v>
      </c>
      <c r="Q2277" s="8" t="s">
        <v>54</v>
      </c>
      <c r="R2277" s="8" t="s">
        <v>54</v>
      </c>
      <c r="S2277" s="8" t="s">
        <v>54</v>
      </c>
      <c r="T2277" s="8" t="s">
        <v>54</v>
      </c>
      <c r="U2277" s="10" t="s">
        <v>67</v>
      </c>
      <c r="V2277" s="8" t="s">
        <v>54</v>
      </c>
      <c r="W2277" s="8" t="s">
        <v>54</v>
      </c>
      <c r="X2277" s="8" t="s">
        <v>54</v>
      </c>
      <c r="Y2277" s="8" t="s">
        <v>54</v>
      </c>
      <c r="Z2277" s="8" t="s">
        <v>54</v>
      </c>
      <c r="AA2277" s="8" t="s">
        <v>54</v>
      </c>
      <c r="AB2277" s="10" t="s">
        <v>67</v>
      </c>
      <c r="AC2277" s="8" t="s">
        <v>54</v>
      </c>
      <c r="AD2277" s="8" t="s">
        <v>54</v>
      </c>
      <c r="AE2277" s="8" t="s">
        <v>54</v>
      </c>
      <c r="AF2277" s="8" t="s">
        <v>54</v>
      </c>
      <c r="AG2277" s="8" t="s">
        <v>54</v>
      </c>
      <c r="AH2277" s="8" t="s">
        <v>54</v>
      </c>
      <c r="AI2277" s="10" t="s">
        <v>67</v>
      </c>
      <c r="AJ2277" s="8">
        <f>COUNTIF($E$2277:$AI$2277,"P")</f>
        <v>26</v>
      </c>
      <c r="AK2277" s="8">
        <f>COUNTIF($E$2277:$AI$2277,"A")</f>
        <v>0</v>
      </c>
      <c r="AL2277" s="8">
        <f>SUM($E$2278:$AI$2278)</f>
        <v>0</v>
      </c>
      <c r="AM2277" s="8">
        <f>SUM($E$2279:$AI$2279)</f>
        <v>0</v>
      </c>
      <c r="AN2277" s="8">
        <f>AL2277+AM2277</f>
        <v>0</v>
      </c>
      <c r="AO2277" s="8">
        <f>COUNTIF($E$2277:$AI$2277,"CL")</f>
        <v>0</v>
      </c>
      <c r="AP2277" s="8">
        <f>COUNTIF($E$2277:$AI$2277,"SL")</f>
        <v>0</v>
      </c>
      <c r="AQ2277" s="8">
        <f>COUNTIF($E$2277:$AI$2277,"EL")</f>
        <v>0</v>
      </c>
      <c r="AR2277" s="8">
        <f>COUNTIF($E$2277:$AI$2277,"H")</f>
        <v>0</v>
      </c>
      <c r="AS2277" s="8"/>
      <c r="AT2277" s="11" t="s">
        <v>258</v>
      </c>
    </row>
    <row r="2278" spans="1:46" ht="15.1" customHeight="1">
      <c r="A2278" s="8"/>
      <c r="B2278" s="9"/>
      <c r="C2278" s="8"/>
      <c r="D2278" s="9"/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  <c r="M2278" s="8">
        <v>0</v>
      </c>
      <c r="N2278" s="8">
        <v>0</v>
      </c>
      <c r="O2278" s="8">
        <v>0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8">
        <v>0</v>
      </c>
      <c r="AH2278" s="8">
        <v>0</v>
      </c>
      <c r="AI2278" s="8">
        <v>0</v>
      </c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11" t="s">
        <v>258</v>
      </c>
    </row>
    <row r="2279" spans="1:46" ht="15.1" customHeight="1">
      <c r="A2279" s="8"/>
      <c r="B2279" s="9"/>
      <c r="C2279" s="8"/>
      <c r="D2279" s="9"/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  <c r="O2279" s="8">
        <v>0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  <c r="AH2279" s="8">
        <v>0</v>
      </c>
      <c r="AI2279" s="8">
        <v>0</v>
      </c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11" t="s">
        <v>258</v>
      </c>
    </row>
    <row r="2280" spans="1:46" ht="15.1" customHeight="1">
      <c r="A2280" s="8">
        <v>759</v>
      </c>
      <c r="B2280" s="9" t="s">
        <v>1757</v>
      </c>
      <c r="C2280" s="8" t="s">
        <v>1758</v>
      </c>
      <c r="D2280" s="9" t="s">
        <v>1759</v>
      </c>
      <c r="E2280" s="8" t="s">
        <v>54</v>
      </c>
      <c r="F2280" s="8" t="s">
        <v>54</v>
      </c>
      <c r="G2280" s="10" t="s">
        <v>54</v>
      </c>
      <c r="H2280" s="8" t="s">
        <v>54</v>
      </c>
      <c r="I2280" s="8" t="s">
        <v>67</v>
      </c>
      <c r="J2280" s="8" t="s">
        <v>54</v>
      </c>
      <c r="K2280" s="8" t="s">
        <v>54</v>
      </c>
      <c r="L2280" s="8" t="s">
        <v>54</v>
      </c>
      <c r="M2280" s="12" t="s">
        <v>55</v>
      </c>
      <c r="N2280" s="10" t="s">
        <v>54</v>
      </c>
      <c r="O2280" s="8" t="s">
        <v>54</v>
      </c>
      <c r="P2280" s="8" t="s">
        <v>67</v>
      </c>
      <c r="Q2280" s="8" t="s">
        <v>54</v>
      </c>
      <c r="R2280" s="8" t="s">
        <v>54</v>
      </c>
      <c r="S2280" s="8" t="s">
        <v>54</v>
      </c>
      <c r="T2280" s="8" t="s">
        <v>54</v>
      </c>
      <c r="U2280" s="10" t="s">
        <v>54</v>
      </c>
      <c r="V2280" s="8" t="s">
        <v>54</v>
      </c>
      <c r="W2280" s="8" t="s">
        <v>67</v>
      </c>
      <c r="X2280" s="8" t="s">
        <v>54</v>
      </c>
      <c r="Y2280" s="8" t="s">
        <v>54</v>
      </c>
      <c r="Z2280" s="8" t="s">
        <v>54</v>
      </c>
      <c r="AA2280" s="8" t="s">
        <v>54</v>
      </c>
      <c r="AB2280" s="10" t="s">
        <v>54</v>
      </c>
      <c r="AC2280" s="12" t="s">
        <v>55</v>
      </c>
      <c r="AD2280" s="8" t="s">
        <v>67</v>
      </c>
      <c r="AE2280" s="8" t="s">
        <v>54</v>
      </c>
      <c r="AF2280" s="8" t="s">
        <v>54</v>
      </c>
      <c r="AG2280" s="8" t="s">
        <v>54</v>
      </c>
      <c r="AH2280" s="8" t="s">
        <v>54</v>
      </c>
      <c r="AI2280" s="10" t="s">
        <v>55</v>
      </c>
      <c r="AJ2280" s="8">
        <f>COUNTIF($E$2280:$AI$2280,"P")</f>
        <v>24</v>
      </c>
      <c r="AK2280" s="8">
        <f>COUNTIF($E$2280:$AI$2280,"A")</f>
        <v>3</v>
      </c>
      <c r="AL2280" s="8">
        <f>SUM($E$2281:$AI$2281)</f>
        <v>0</v>
      </c>
      <c r="AM2280" s="8">
        <f>SUM($E$2282:$AI$2282)</f>
        <v>0</v>
      </c>
      <c r="AN2280" s="8">
        <f>AL2280+AM2280</f>
        <v>0</v>
      </c>
      <c r="AO2280" s="8">
        <f>COUNTIF($E$2280:$AI$2280,"CL")</f>
        <v>0</v>
      </c>
      <c r="AP2280" s="8">
        <f>COUNTIF($E$2280:$AI$2280,"SL")</f>
        <v>0</v>
      </c>
      <c r="AQ2280" s="8">
        <f>COUNTIF($E$2280:$AI$2280,"EL")</f>
        <v>0</v>
      </c>
      <c r="AR2280" s="8">
        <f>COUNTIF($E$2280:$AI$2280,"H")</f>
        <v>0</v>
      </c>
      <c r="AS2280" s="8"/>
      <c r="AT2280" s="11" t="s">
        <v>258</v>
      </c>
    </row>
    <row r="2281" spans="1:46" ht="15.1" customHeight="1">
      <c r="A2281" s="8"/>
      <c r="B2281" s="9"/>
      <c r="C2281" s="8"/>
      <c r="D2281" s="9"/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11" t="s">
        <v>258</v>
      </c>
    </row>
    <row r="2282" spans="1:46" ht="15.1" customHeight="1">
      <c r="A2282" s="8"/>
      <c r="B2282" s="9"/>
      <c r="C2282" s="8"/>
      <c r="D2282" s="9"/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11" t="s">
        <v>258</v>
      </c>
    </row>
    <row r="2283" spans="1:46" ht="15.1" customHeight="1">
      <c r="A2283" s="8">
        <v>760</v>
      </c>
      <c r="B2283" s="9" t="s">
        <v>1760</v>
      </c>
      <c r="C2283" s="8" t="s">
        <v>1761</v>
      </c>
      <c r="D2283" s="9" t="s">
        <v>1759</v>
      </c>
      <c r="E2283" s="8" t="s">
        <v>67</v>
      </c>
      <c r="F2283" s="8" t="s">
        <v>54</v>
      </c>
      <c r="G2283" s="10" t="s">
        <v>54</v>
      </c>
      <c r="H2283" s="8" t="s">
        <v>54</v>
      </c>
      <c r="I2283" s="8" t="s">
        <v>54</v>
      </c>
      <c r="J2283" s="8" t="s">
        <v>54</v>
      </c>
      <c r="K2283" s="8" t="s">
        <v>54</v>
      </c>
      <c r="L2283" s="8" t="s">
        <v>67</v>
      </c>
      <c r="M2283" s="8" t="s">
        <v>54</v>
      </c>
      <c r="N2283" s="10" t="s">
        <v>54</v>
      </c>
      <c r="O2283" s="8" t="s">
        <v>54</v>
      </c>
      <c r="P2283" s="8" t="s">
        <v>54</v>
      </c>
      <c r="Q2283" s="8" t="s">
        <v>54</v>
      </c>
      <c r="R2283" s="8" t="s">
        <v>54</v>
      </c>
      <c r="S2283" s="8" t="s">
        <v>67</v>
      </c>
      <c r="T2283" s="12" t="s">
        <v>55</v>
      </c>
      <c r="U2283" s="10" t="s">
        <v>55</v>
      </c>
      <c r="V2283" s="12" t="s">
        <v>55</v>
      </c>
      <c r="W2283" s="8" t="s">
        <v>54</v>
      </c>
      <c r="X2283" s="8" t="s">
        <v>54</v>
      </c>
      <c r="Y2283" s="8" t="s">
        <v>54</v>
      </c>
      <c r="Z2283" s="8" t="s">
        <v>67</v>
      </c>
      <c r="AA2283" s="8" t="s">
        <v>54</v>
      </c>
      <c r="AB2283" s="10" t="s">
        <v>54</v>
      </c>
      <c r="AC2283" s="8" t="s">
        <v>54</v>
      </c>
      <c r="AD2283" s="8" t="s">
        <v>54</v>
      </c>
      <c r="AE2283" s="8" t="s">
        <v>54</v>
      </c>
      <c r="AF2283" s="8" t="s">
        <v>54</v>
      </c>
      <c r="AG2283" s="8" t="s">
        <v>67</v>
      </c>
      <c r="AH2283" s="8" t="s">
        <v>54</v>
      </c>
      <c r="AI2283" s="10" t="s">
        <v>54</v>
      </c>
      <c r="AJ2283" s="8">
        <f>COUNTIF($E$2283:$AI$2283,"P")</f>
        <v>23</v>
      </c>
      <c r="AK2283" s="8">
        <f>COUNTIF($E$2283:$AI$2283,"A")</f>
        <v>3</v>
      </c>
      <c r="AL2283" s="8">
        <f>SUM($E$2284:$AI$2284)</f>
        <v>0</v>
      </c>
      <c r="AM2283" s="8">
        <f>SUM($E$2285:$AI$2285)</f>
        <v>0</v>
      </c>
      <c r="AN2283" s="8">
        <f>AL2283+AM2283</f>
        <v>0</v>
      </c>
      <c r="AO2283" s="8">
        <f>COUNTIF($E$2283:$AI$2283,"CL")</f>
        <v>0</v>
      </c>
      <c r="AP2283" s="8">
        <f>COUNTIF($E$2283:$AI$2283,"SL")</f>
        <v>0</v>
      </c>
      <c r="AQ2283" s="8">
        <f>COUNTIF($E$2283:$AI$2283,"EL")</f>
        <v>0</v>
      </c>
      <c r="AR2283" s="8">
        <f>COUNTIF($E$2283:$AI$2283,"H")</f>
        <v>0</v>
      </c>
      <c r="AS2283" s="8"/>
      <c r="AT2283" s="11" t="s">
        <v>258</v>
      </c>
    </row>
    <row r="2284" spans="1:46" ht="15.1" customHeight="1">
      <c r="A2284" s="8"/>
      <c r="B2284" s="9"/>
      <c r="C2284" s="8"/>
      <c r="D2284" s="9"/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11" t="s">
        <v>258</v>
      </c>
    </row>
    <row r="2285" spans="1:46" ht="15.1" customHeight="1">
      <c r="A2285" s="8"/>
      <c r="B2285" s="9"/>
      <c r="C2285" s="8"/>
      <c r="D2285" s="9"/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11" t="s">
        <v>258</v>
      </c>
    </row>
    <row r="2286" spans="1:46" ht="15.1" customHeight="1">
      <c r="A2286" s="8">
        <v>761</v>
      </c>
      <c r="B2286" s="9" t="s">
        <v>1762</v>
      </c>
      <c r="C2286" s="8" t="s">
        <v>1763</v>
      </c>
      <c r="D2286" s="9" t="s">
        <v>1742</v>
      </c>
      <c r="E2286" s="8" t="s">
        <v>54</v>
      </c>
      <c r="F2286" s="8" t="s">
        <v>67</v>
      </c>
      <c r="G2286" s="10" t="s">
        <v>54</v>
      </c>
      <c r="H2286" s="8" t="s">
        <v>54</v>
      </c>
      <c r="I2286" s="8" t="s">
        <v>54</v>
      </c>
      <c r="J2286" s="8" t="s">
        <v>54</v>
      </c>
      <c r="K2286" s="8" t="s">
        <v>54</v>
      </c>
      <c r="L2286" s="8" t="s">
        <v>54</v>
      </c>
      <c r="M2286" s="8" t="s">
        <v>67</v>
      </c>
      <c r="N2286" s="10" t="s">
        <v>54</v>
      </c>
      <c r="O2286" s="8" t="s">
        <v>54</v>
      </c>
      <c r="P2286" s="8" t="s">
        <v>54</v>
      </c>
      <c r="Q2286" s="8" t="s">
        <v>54</v>
      </c>
      <c r="R2286" s="8" t="s">
        <v>54</v>
      </c>
      <c r="S2286" s="8" t="s">
        <v>54</v>
      </c>
      <c r="T2286" s="8" t="s">
        <v>67</v>
      </c>
      <c r="U2286" s="10" t="s">
        <v>54</v>
      </c>
      <c r="V2286" s="8" t="s">
        <v>54</v>
      </c>
      <c r="W2286" s="8" t="s">
        <v>54</v>
      </c>
      <c r="X2286" s="8" t="s">
        <v>54</v>
      </c>
      <c r="Y2286" s="8" t="s">
        <v>54</v>
      </c>
      <c r="Z2286" s="8" t="s">
        <v>54</v>
      </c>
      <c r="AA2286" s="8" t="s">
        <v>67</v>
      </c>
      <c r="AB2286" s="10" t="s">
        <v>54</v>
      </c>
      <c r="AC2286" s="8" t="s">
        <v>54</v>
      </c>
      <c r="AD2286" s="8" t="s">
        <v>54</v>
      </c>
      <c r="AE2286" s="8" t="s">
        <v>54</v>
      </c>
      <c r="AF2286" s="8" t="s">
        <v>54</v>
      </c>
      <c r="AG2286" s="8" t="s">
        <v>54</v>
      </c>
      <c r="AH2286" s="8" t="s">
        <v>67</v>
      </c>
      <c r="AI2286" s="10" t="s">
        <v>54</v>
      </c>
      <c r="AJ2286" s="8">
        <f>COUNTIF($E$2286:$AI$2286,"P")</f>
        <v>26</v>
      </c>
      <c r="AK2286" s="8">
        <f>COUNTIF($E$2286:$AI$2286,"A")</f>
        <v>0</v>
      </c>
      <c r="AL2286" s="8">
        <f>SUM($E$2287:$AI$2287)</f>
        <v>0</v>
      </c>
      <c r="AM2286" s="8">
        <f>SUM($E$2288:$AI$2288)</f>
        <v>0</v>
      </c>
      <c r="AN2286" s="8">
        <f>AL2286+AM2286</f>
        <v>0</v>
      </c>
      <c r="AO2286" s="8">
        <f>COUNTIF($E$2286:$AI$2286,"CL")</f>
        <v>0</v>
      </c>
      <c r="AP2286" s="8">
        <f>COUNTIF($E$2286:$AI$2286,"SL")</f>
        <v>0</v>
      </c>
      <c r="AQ2286" s="8">
        <f>COUNTIF($E$2286:$AI$2286,"EL")</f>
        <v>0</v>
      </c>
      <c r="AR2286" s="8">
        <f>COUNTIF($E$2286:$AI$2286,"H")</f>
        <v>0</v>
      </c>
      <c r="AS2286" s="8"/>
      <c r="AT2286" s="11" t="s">
        <v>258</v>
      </c>
    </row>
    <row r="2287" spans="1:46" ht="15.1" customHeight="1">
      <c r="A2287" s="8"/>
      <c r="B2287" s="9"/>
      <c r="C2287" s="8"/>
      <c r="D2287" s="9"/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11" t="s">
        <v>258</v>
      </c>
    </row>
    <row r="2288" spans="1:46" ht="15.1" customHeight="1">
      <c r="A2288" s="8"/>
      <c r="B2288" s="9"/>
      <c r="C2288" s="8"/>
      <c r="D2288" s="9"/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11" t="s">
        <v>258</v>
      </c>
    </row>
    <row r="2289" spans="1:46" ht="15.1" customHeight="1">
      <c r="A2289" s="8">
        <v>762</v>
      </c>
      <c r="B2289" s="9" t="s">
        <v>1764</v>
      </c>
      <c r="C2289" s="8" t="s">
        <v>1765</v>
      </c>
      <c r="D2289" s="9" t="s">
        <v>1742</v>
      </c>
      <c r="E2289" s="8" t="s">
        <v>67</v>
      </c>
      <c r="F2289" s="8" t="s">
        <v>54</v>
      </c>
      <c r="G2289" s="10" t="s">
        <v>54</v>
      </c>
      <c r="H2289" s="8" t="s">
        <v>54</v>
      </c>
      <c r="I2289" s="8" t="s">
        <v>54</v>
      </c>
      <c r="J2289" s="8" t="s">
        <v>54</v>
      </c>
      <c r="K2289" s="8" t="s">
        <v>54</v>
      </c>
      <c r="L2289" s="8" t="s">
        <v>67</v>
      </c>
      <c r="M2289" s="8" t="s">
        <v>54</v>
      </c>
      <c r="N2289" s="10" t="s">
        <v>54</v>
      </c>
      <c r="O2289" s="8" t="s">
        <v>54</v>
      </c>
      <c r="P2289" s="8" t="s">
        <v>54</v>
      </c>
      <c r="Q2289" s="8" t="s">
        <v>54</v>
      </c>
      <c r="R2289" s="8" t="s">
        <v>54</v>
      </c>
      <c r="S2289" s="8" t="s">
        <v>67</v>
      </c>
      <c r="T2289" s="8" t="s">
        <v>54</v>
      </c>
      <c r="U2289" s="10" t="s">
        <v>54</v>
      </c>
      <c r="V2289" s="8" t="s">
        <v>54</v>
      </c>
      <c r="W2289" s="8" t="s">
        <v>54</v>
      </c>
      <c r="X2289" s="8" t="s">
        <v>54</v>
      </c>
      <c r="Y2289" s="8" t="s">
        <v>54</v>
      </c>
      <c r="Z2289" s="8" t="s">
        <v>67</v>
      </c>
      <c r="AA2289" s="8" t="s">
        <v>54</v>
      </c>
      <c r="AB2289" s="10" t="s">
        <v>54</v>
      </c>
      <c r="AC2289" s="8" t="s">
        <v>54</v>
      </c>
      <c r="AD2289" s="8" t="s">
        <v>54</v>
      </c>
      <c r="AE2289" s="8" t="s">
        <v>54</v>
      </c>
      <c r="AF2289" s="8" t="s">
        <v>54</v>
      </c>
      <c r="AG2289" s="8" t="s">
        <v>67</v>
      </c>
      <c r="AH2289" s="8" t="s">
        <v>54</v>
      </c>
      <c r="AI2289" s="10" t="s">
        <v>55</v>
      </c>
      <c r="AJ2289" s="8">
        <f>COUNTIF($E$2289:$AI$2289,"P")</f>
        <v>25</v>
      </c>
      <c r="AK2289" s="8">
        <f>COUNTIF($E$2289:$AI$2289,"A")</f>
        <v>1</v>
      </c>
      <c r="AL2289" s="8">
        <f>SUM($E$2290:$AI$2290)</f>
        <v>0</v>
      </c>
      <c r="AM2289" s="8">
        <f>SUM($E$2291:$AI$2291)</f>
        <v>0</v>
      </c>
      <c r="AN2289" s="8">
        <f>AL2289+AM2289</f>
        <v>0</v>
      </c>
      <c r="AO2289" s="8">
        <f>COUNTIF($E$2289:$AI$2289,"CL")</f>
        <v>0</v>
      </c>
      <c r="AP2289" s="8">
        <f>COUNTIF($E$2289:$AI$2289,"SL")</f>
        <v>0</v>
      </c>
      <c r="AQ2289" s="8">
        <f>COUNTIF($E$2289:$AI$2289,"EL")</f>
        <v>0</v>
      </c>
      <c r="AR2289" s="8">
        <f>COUNTIF($E$2289:$AI$2289,"H")</f>
        <v>0</v>
      </c>
      <c r="AS2289" s="8"/>
      <c r="AT2289" s="11" t="s">
        <v>258</v>
      </c>
    </row>
    <row r="2290" spans="1:46" ht="15.1" customHeight="1">
      <c r="A2290" s="8"/>
      <c r="B2290" s="9"/>
      <c r="C2290" s="8"/>
      <c r="D2290" s="9"/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11" t="s">
        <v>258</v>
      </c>
    </row>
    <row r="2291" spans="1:46" ht="15.1" customHeight="1">
      <c r="A2291" s="8"/>
      <c r="B2291" s="9"/>
      <c r="C2291" s="8"/>
      <c r="D2291" s="9"/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  <c r="M2291" s="8">
        <v>0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11" t="s">
        <v>258</v>
      </c>
    </row>
    <row r="2292" spans="1:46" ht="15.1" customHeight="1">
      <c r="A2292" s="8">
        <v>763</v>
      </c>
      <c r="B2292" s="9" t="s">
        <v>1766</v>
      </c>
      <c r="C2292" s="8" t="s">
        <v>1767</v>
      </c>
      <c r="D2292" s="9" t="s">
        <v>1742</v>
      </c>
      <c r="E2292" s="8" t="s">
        <v>54</v>
      </c>
      <c r="F2292" s="8" t="s">
        <v>54</v>
      </c>
      <c r="G2292" s="10" t="s">
        <v>54</v>
      </c>
      <c r="H2292" s="8" t="s">
        <v>54</v>
      </c>
      <c r="I2292" s="8" t="s">
        <v>54</v>
      </c>
      <c r="J2292" s="8" t="s">
        <v>67</v>
      </c>
      <c r="K2292" s="8" t="s">
        <v>54</v>
      </c>
      <c r="L2292" s="8" t="s">
        <v>54</v>
      </c>
      <c r="M2292" s="8" t="s">
        <v>54</v>
      </c>
      <c r="N2292" s="10" t="s">
        <v>54</v>
      </c>
      <c r="O2292" s="8" t="s">
        <v>54</v>
      </c>
      <c r="P2292" s="8" t="s">
        <v>54</v>
      </c>
      <c r="Q2292" s="8" t="s">
        <v>67</v>
      </c>
      <c r="R2292" s="8" t="s">
        <v>54</v>
      </c>
      <c r="S2292" s="8" t="s">
        <v>54</v>
      </c>
      <c r="T2292" s="8" t="s">
        <v>54</v>
      </c>
      <c r="U2292" s="10" t="s">
        <v>54</v>
      </c>
      <c r="V2292" s="8" t="s">
        <v>54</v>
      </c>
      <c r="W2292" s="8" t="s">
        <v>54</v>
      </c>
      <c r="X2292" s="8" t="s">
        <v>67</v>
      </c>
      <c r="Y2292" s="8" t="s">
        <v>54</v>
      </c>
      <c r="Z2292" s="8" t="s">
        <v>54</v>
      </c>
      <c r="AA2292" s="8" t="s">
        <v>54</v>
      </c>
      <c r="AB2292" s="10" t="s">
        <v>55</v>
      </c>
      <c r="AC2292" s="8" t="s">
        <v>54</v>
      </c>
      <c r="AD2292" s="8" t="s">
        <v>54</v>
      </c>
      <c r="AE2292" s="8" t="s">
        <v>67</v>
      </c>
      <c r="AF2292" s="8" t="s">
        <v>54</v>
      </c>
      <c r="AG2292" s="8" t="s">
        <v>54</v>
      </c>
      <c r="AH2292" s="8" t="s">
        <v>54</v>
      </c>
      <c r="AI2292" s="10" t="s">
        <v>54</v>
      </c>
      <c r="AJ2292" s="8">
        <f>COUNTIF($E$2292:$AI$2292,"P")</f>
        <v>26</v>
      </c>
      <c r="AK2292" s="8">
        <f>COUNTIF($E$2292:$AI$2292,"A")</f>
        <v>1</v>
      </c>
      <c r="AL2292" s="8">
        <f>SUM($E$2293:$AI$2293)</f>
        <v>0</v>
      </c>
      <c r="AM2292" s="8">
        <f>SUM($E$2294:$AI$2294)</f>
        <v>0</v>
      </c>
      <c r="AN2292" s="8">
        <f>AL2292+AM2292</f>
        <v>0</v>
      </c>
      <c r="AO2292" s="8">
        <f>COUNTIF($E$2292:$AI$2292,"CL")</f>
        <v>0</v>
      </c>
      <c r="AP2292" s="8">
        <f>COUNTIF($E$2292:$AI$2292,"SL")</f>
        <v>0</v>
      </c>
      <c r="AQ2292" s="8">
        <f>COUNTIF($E$2292:$AI$2292,"EL")</f>
        <v>0</v>
      </c>
      <c r="AR2292" s="8">
        <f>COUNTIF($E$2292:$AI$2292,"H")</f>
        <v>0</v>
      </c>
      <c r="AS2292" s="8"/>
      <c r="AT2292" s="11" t="s">
        <v>258</v>
      </c>
    </row>
    <row r="2293" spans="1:46" ht="15.1" customHeight="1">
      <c r="A2293" s="8"/>
      <c r="B2293" s="9"/>
      <c r="C2293" s="8"/>
      <c r="D2293" s="9"/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11" t="s">
        <v>258</v>
      </c>
    </row>
    <row r="2294" spans="1:46" ht="15.1" customHeight="1">
      <c r="A2294" s="8"/>
      <c r="B2294" s="9"/>
      <c r="C2294" s="8"/>
      <c r="D2294" s="9"/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  <c r="M2294" s="8">
        <v>0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11" t="s">
        <v>258</v>
      </c>
    </row>
    <row r="2295" spans="1:46" ht="15.1" customHeight="1">
      <c r="A2295" s="8">
        <v>764</v>
      </c>
      <c r="B2295" s="9" t="s">
        <v>1768</v>
      </c>
      <c r="C2295" s="8" t="s">
        <v>1769</v>
      </c>
      <c r="D2295" s="9" t="s">
        <v>1742</v>
      </c>
      <c r="E2295" s="8" t="s">
        <v>54</v>
      </c>
      <c r="F2295" s="8" t="s">
        <v>54</v>
      </c>
      <c r="G2295" s="10" t="s">
        <v>54</v>
      </c>
      <c r="H2295" s="8" t="s">
        <v>54</v>
      </c>
      <c r="I2295" s="8" t="s">
        <v>54</v>
      </c>
      <c r="J2295" s="8" t="s">
        <v>54</v>
      </c>
      <c r="K2295" s="8" t="s">
        <v>67</v>
      </c>
      <c r="L2295" s="8" t="s">
        <v>54</v>
      </c>
      <c r="M2295" s="8" t="s">
        <v>54</v>
      </c>
      <c r="N2295" s="10" t="s">
        <v>54</v>
      </c>
      <c r="O2295" s="8" t="s">
        <v>54</v>
      </c>
      <c r="P2295" s="8" t="s">
        <v>54</v>
      </c>
      <c r="Q2295" s="8" t="s">
        <v>54</v>
      </c>
      <c r="R2295" s="8" t="s">
        <v>67</v>
      </c>
      <c r="S2295" s="8" t="s">
        <v>54</v>
      </c>
      <c r="T2295" s="8" t="s">
        <v>54</v>
      </c>
      <c r="U2295" s="10" t="s">
        <v>54</v>
      </c>
      <c r="V2295" s="8" t="s">
        <v>54</v>
      </c>
      <c r="W2295" s="8" t="s">
        <v>54</v>
      </c>
      <c r="X2295" s="8" t="s">
        <v>54</v>
      </c>
      <c r="Y2295" s="8" t="s">
        <v>67</v>
      </c>
      <c r="Z2295" s="8" t="s">
        <v>54</v>
      </c>
      <c r="AA2295" s="8" t="s">
        <v>54</v>
      </c>
      <c r="AB2295" s="10" t="s">
        <v>54</v>
      </c>
      <c r="AC2295" s="8" t="s">
        <v>54</v>
      </c>
      <c r="AD2295" s="8" t="s">
        <v>54</v>
      </c>
      <c r="AE2295" s="8" t="s">
        <v>54</v>
      </c>
      <c r="AF2295" s="8" t="s">
        <v>67</v>
      </c>
      <c r="AG2295" s="8" t="s">
        <v>54</v>
      </c>
      <c r="AH2295" s="8" t="s">
        <v>54</v>
      </c>
      <c r="AI2295" s="10" t="s">
        <v>54</v>
      </c>
      <c r="AJ2295" s="8">
        <f>COUNTIF($E$2295:$AI$2295,"P")</f>
        <v>27</v>
      </c>
      <c r="AK2295" s="8">
        <f>COUNTIF($E$2295:$AI$2295,"A")</f>
        <v>0</v>
      </c>
      <c r="AL2295" s="8">
        <f>SUM($E$2296:$AI$2296)</f>
        <v>0</v>
      </c>
      <c r="AM2295" s="8">
        <f>SUM($E$2297:$AI$2297)</f>
        <v>0</v>
      </c>
      <c r="AN2295" s="8">
        <f>AL2295+AM2295</f>
        <v>0</v>
      </c>
      <c r="AO2295" s="8">
        <f>COUNTIF($E$2295:$AI$2295,"CL")</f>
        <v>0</v>
      </c>
      <c r="AP2295" s="8">
        <f>COUNTIF($E$2295:$AI$2295,"SL")</f>
        <v>0</v>
      </c>
      <c r="AQ2295" s="8">
        <f>COUNTIF($E$2295:$AI$2295,"EL")</f>
        <v>0</v>
      </c>
      <c r="AR2295" s="8">
        <f>COUNTIF($E$2295:$AI$2295,"H")</f>
        <v>0</v>
      </c>
      <c r="AS2295" s="8"/>
      <c r="AT2295" s="11" t="s">
        <v>258</v>
      </c>
    </row>
    <row r="2296" spans="1:46" ht="15.1" customHeight="1">
      <c r="A2296" s="8"/>
      <c r="B2296" s="9"/>
      <c r="C2296" s="8"/>
      <c r="D2296" s="9"/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  <c r="M2296" s="8">
        <v>0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11" t="s">
        <v>258</v>
      </c>
    </row>
    <row r="2297" spans="1:46" ht="15.1" customHeight="1">
      <c r="A2297" s="8"/>
      <c r="B2297" s="9"/>
      <c r="C2297" s="8"/>
      <c r="D2297" s="9"/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11" t="s">
        <v>258</v>
      </c>
    </row>
    <row r="2298" spans="1:46" ht="15.1" customHeight="1">
      <c r="A2298" s="8">
        <v>765</v>
      </c>
      <c r="B2298" s="9" t="s">
        <v>1770</v>
      </c>
      <c r="C2298" s="8" t="s">
        <v>1771</v>
      </c>
      <c r="D2298" s="9" t="s">
        <v>1742</v>
      </c>
      <c r="E2298" s="8" t="s">
        <v>67</v>
      </c>
      <c r="F2298" s="8" t="s">
        <v>54</v>
      </c>
      <c r="G2298" s="10" t="s">
        <v>54</v>
      </c>
      <c r="H2298" s="8" t="s">
        <v>54</v>
      </c>
      <c r="I2298" s="8" t="s">
        <v>54</v>
      </c>
      <c r="J2298" s="8" t="s">
        <v>54</v>
      </c>
      <c r="K2298" s="8" t="s">
        <v>54</v>
      </c>
      <c r="L2298" s="8" t="s">
        <v>67</v>
      </c>
      <c r="M2298" s="8" t="s">
        <v>54</v>
      </c>
      <c r="N2298" s="10" t="s">
        <v>55</v>
      </c>
      <c r="O2298" s="8" t="s">
        <v>54</v>
      </c>
      <c r="P2298" s="8" t="s">
        <v>54</v>
      </c>
      <c r="Q2298" s="8" t="s">
        <v>54</v>
      </c>
      <c r="R2298" s="8" t="s">
        <v>54</v>
      </c>
      <c r="S2298" s="8" t="s">
        <v>67</v>
      </c>
      <c r="T2298" s="8" t="s">
        <v>54</v>
      </c>
      <c r="U2298" s="10" t="s">
        <v>54</v>
      </c>
      <c r="V2298" s="8" t="s">
        <v>54</v>
      </c>
      <c r="W2298" s="8" t="s">
        <v>54</v>
      </c>
      <c r="X2298" s="8" t="s">
        <v>54</v>
      </c>
      <c r="Y2298" s="8" t="s">
        <v>54</v>
      </c>
      <c r="Z2298" s="8" t="s">
        <v>67</v>
      </c>
      <c r="AA2298" s="8" t="s">
        <v>54</v>
      </c>
      <c r="AB2298" s="10" t="s">
        <v>54</v>
      </c>
      <c r="AC2298" s="8" t="s">
        <v>54</v>
      </c>
      <c r="AD2298" s="8" t="s">
        <v>54</v>
      </c>
      <c r="AE2298" s="8" t="s">
        <v>54</v>
      </c>
      <c r="AF2298" s="8" t="s">
        <v>54</v>
      </c>
      <c r="AG2298" s="8" t="s">
        <v>67</v>
      </c>
      <c r="AH2298" s="8" t="s">
        <v>54</v>
      </c>
      <c r="AI2298" s="10" t="s">
        <v>55</v>
      </c>
      <c r="AJ2298" s="8">
        <f>COUNTIF($E$2298:$AI$2298,"P")</f>
        <v>24</v>
      </c>
      <c r="AK2298" s="8">
        <f>COUNTIF($E$2298:$AI$2298,"A")</f>
        <v>2</v>
      </c>
      <c r="AL2298" s="8">
        <f>SUM($E$2299:$AI$2299)</f>
        <v>0</v>
      </c>
      <c r="AM2298" s="8">
        <f>SUM($E$2300:$AI$2300)</f>
        <v>0</v>
      </c>
      <c r="AN2298" s="8">
        <f>AL2298+AM2298</f>
        <v>0</v>
      </c>
      <c r="AO2298" s="8">
        <f>COUNTIF($E$2298:$AI$2298,"CL")</f>
        <v>0</v>
      </c>
      <c r="AP2298" s="8">
        <f>COUNTIF($E$2298:$AI$2298,"SL")</f>
        <v>0</v>
      </c>
      <c r="AQ2298" s="8">
        <f>COUNTIF($E$2298:$AI$2298,"EL")</f>
        <v>0</v>
      </c>
      <c r="AR2298" s="8">
        <f>COUNTIF($E$2298:$AI$2298,"H")</f>
        <v>0</v>
      </c>
      <c r="AS2298" s="8"/>
      <c r="AT2298" s="11" t="s">
        <v>258</v>
      </c>
    </row>
    <row r="2299" spans="1:46" ht="15.1" customHeight="1">
      <c r="A2299" s="8"/>
      <c r="B2299" s="9"/>
      <c r="C2299" s="8"/>
      <c r="D2299" s="9"/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  <c r="M2299" s="8">
        <v>0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11" t="s">
        <v>258</v>
      </c>
    </row>
    <row r="2300" spans="1:46" ht="15.1" customHeight="1">
      <c r="A2300" s="8"/>
      <c r="B2300" s="9"/>
      <c r="C2300" s="8"/>
      <c r="D2300" s="9"/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11" t="s">
        <v>258</v>
      </c>
    </row>
    <row r="2301" spans="1:46" ht="15.1" customHeight="1">
      <c r="A2301" s="8">
        <v>766</v>
      </c>
      <c r="B2301" s="9" t="s">
        <v>1772</v>
      </c>
      <c r="C2301" s="8" t="s">
        <v>1773</v>
      </c>
      <c r="D2301" s="9" t="s">
        <v>1742</v>
      </c>
      <c r="E2301" s="8" t="s">
        <v>54</v>
      </c>
      <c r="F2301" s="8" t="s">
        <v>67</v>
      </c>
      <c r="G2301" s="10" t="s">
        <v>54</v>
      </c>
      <c r="H2301" s="8" t="s">
        <v>54</v>
      </c>
      <c r="I2301" s="8" t="s">
        <v>54</v>
      </c>
      <c r="J2301" s="8" t="s">
        <v>54</v>
      </c>
      <c r="K2301" s="8" t="s">
        <v>54</v>
      </c>
      <c r="L2301" s="8" t="s">
        <v>54</v>
      </c>
      <c r="M2301" s="8" t="s">
        <v>67</v>
      </c>
      <c r="N2301" s="10" t="s">
        <v>54</v>
      </c>
      <c r="O2301" s="8" t="s">
        <v>54</v>
      </c>
      <c r="P2301" s="8" t="s">
        <v>54</v>
      </c>
      <c r="Q2301" s="8" t="s">
        <v>54</v>
      </c>
      <c r="R2301" s="8" t="s">
        <v>54</v>
      </c>
      <c r="S2301" s="8" t="s">
        <v>54</v>
      </c>
      <c r="T2301" s="8" t="s">
        <v>67</v>
      </c>
      <c r="U2301" s="10" t="s">
        <v>54</v>
      </c>
      <c r="V2301" s="8" t="s">
        <v>54</v>
      </c>
      <c r="W2301" s="8" t="s">
        <v>54</v>
      </c>
      <c r="X2301" s="8" t="s">
        <v>54</v>
      </c>
      <c r="Y2301" s="8" t="s">
        <v>54</v>
      </c>
      <c r="Z2301" s="8" t="s">
        <v>54</v>
      </c>
      <c r="AA2301" s="8" t="s">
        <v>67</v>
      </c>
      <c r="AB2301" s="10" t="s">
        <v>54</v>
      </c>
      <c r="AC2301" s="8" t="s">
        <v>54</v>
      </c>
      <c r="AD2301" s="8" t="s">
        <v>54</v>
      </c>
      <c r="AE2301" s="8" t="s">
        <v>54</v>
      </c>
      <c r="AF2301" s="8" t="s">
        <v>54</v>
      </c>
      <c r="AG2301" s="8" t="s">
        <v>54</v>
      </c>
      <c r="AH2301" s="8" t="s">
        <v>67</v>
      </c>
      <c r="AI2301" s="10" t="s">
        <v>54</v>
      </c>
      <c r="AJ2301" s="8">
        <f>COUNTIF($E$2301:$AI$2301,"P")</f>
        <v>26</v>
      </c>
      <c r="AK2301" s="8">
        <f>COUNTIF($E$2301:$AI$2301,"A")</f>
        <v>0</v>
      </c>
      <c r="AL2301" s="8">
        <f>SUM($E$2302:$AI$2302)</f>
        <v>0</v>
      </c>
      <c r="AM2301" s="8">
        <f>SUM($E$2303:$AI$2303)</f>
        <v>0</v>
      </c>
      <c r="AN2301" s="8">
        <f>AL2301+AM2301</f>
        <v>0</v>
      </c>
      <c r="AO2301" s="8">
        <f>COUNTIF($E$2301:$AI$2301,"CL")</f>
        <v>0</v>
      </c>
      <c r="AP2301" s="8">
        <f>COUNTIF($E$2301:$AI$2301,"SL")</f>
        <v>0</v>
      </c>
      <c r="AQ2301" s="8">
        <f>COUNTIF($E$2301:$AI$2301,"EL")</f>
        <v>0</v>
      </c>
      <c r="AR2301" s="8">
        <f>COUNTIF($E$2301:$AI$2301,"H")</f>
        <v>0</v>
      </c>
      <c r="AS2301" s="8"/>
      <c r="AT2301" s="11" t="s">
        <v>258</v>
      </c>
    </row>
    <row r="2302" spans="1:46" ht="15.1" customHeight="1">
      <c r="A2302" s="8"/>
      <c r="B2302" s="9"/>
      <c r="C2302" s="8"/>
      <c r="D2302" s="9"/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  <c r="M2302" s="8">
        <v>0</v>
      </c>
      <c r="N2302" s="8">
        <v>0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11" t="s">
        <v>258</v>
      </c>
    </row>
    <row r="2303" spans="1:46" ht="15.1" customHeight="1">
      <c r="A2303" s="8"/>
      <c r="B2303" s="9"/>
      <c r="C2303" s="8"/>
      <c r="D2303" s="9"/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  <c r="AH2303" s="8">
        <v>0</v>
      </c>
      <c r="AI2303" s="8">
        <v>0</v>
      </c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11" t="s">
        <v>258</v>
      </c>
    </row>
    <row r="2304" spans="1:46" ht="15.1" customHeight="1">
      <c r="A2304" s="8">
        <v>767</v>
      </c>
      <c r="B2304" s="9" t="s">
        <v>1774</v>
      </c>
      <c r="C2304" s="8" t="s">
        <v>1775</v>
      </c>
      <c r="D2304" s="9" t="s">
        <v>1742</v>
      </c>
      <c r="E2304" s="8" t="s">
        <v>54</v>
      </c>
      <c r="F2304" s="8" t="s">
        <v>54</v>
      </c>
      <c r="G2304" s="10" t="s">
        <v>54</v>
      </c>
      <c r="H2304" s="8" t="s">
        <v>54</v>
      </c>
      <c r="I2304" s="8" t="s">
        <v>67</v>
      </c>
      <c r="J2304" s="8" t="s">
        <v>54</v>
      </c>
      <c r="K2304" s="8" t="s">
        <v>54</v>
      </c>
      <c r="L2304" s="8" t="s">
        <v>54</v>
      </c>
      <c r="M2304" s="8" t="s">
        <v>54</v>
      </c>
      <c r="N2304" s="10" t="s">
        <v>54</v>
      </c>
      <c r="O2304" s="8" t="s">
        <v>54</v>
      </c>
      <c r="P2304" s="8" t="s">
        <v>67</v>
      </c>
      <c r="Q2304" s="8" t="s">
        <v>54</v>
      </c>
      <c r="R2304" s="8" t="s">
        <v>54</v>
      </c>
      <c r="S2304" s="8" t="s">
        <v>54</v>
      </c>
      <c r="T2304" s="8" t="s">
        <v>54</v>
      </c>
      <c r="U2304" s="10" t="s">
        <v>54</v>
      </c>
      <c r="V2304" s="8" t="s">
        <v>54</v>
      </c>
      <c r="W2304" s="8" t="s">
        <v>67</v>
      </c>
      <c r="X2304" s="8" t="s">
        <v>54</v>
      </c>
      <c r="Y2304" s="8" t="s">
        <v>54</v>
      </c>
      <c r="Z2304" s="8" t="s">
        <v>54</v>
      </c>
      <c r="AA2304" s="8" t="s">
        <v>54</v>
      </c>
      <c r="AB2304" s="10" t="s">
        <v>54</v>
      </c>
      <c r="AC2304" s="8" t="s">
        <v>54</v>
      </c>
      <c r="AD2304" s="8" t="s">
        <v>67</v>
      </c>
      <c r="AE2304" s="8" t="s">
        <v>54</v>
      </c>
      <c r="AF2304" s="12" t="s">
        <v>55</v>
      </c>
      <c r="AG2304" s="8" t="s">
        <v>54</v>
      </c>
      <c r="AH2304" s="8" t="s">
        <v>54</v>
      </c>
      <c r="AI2304" s="10" t="s">
        <v>55</v>
      </c>
      <c r="AJ2304" s="8">
        <f>COUNTIF($E$2304:$AI$2304,"P")</f>
        <v>25</v>
      </c>
      <c r="AK2304" s="8">
        <f>COUNTIF($E$2304:$AI$2304,"A")</f>
        <v>2</v>
      </c>
      <c r="AL2304" s="8">
        <f>SUM($E$2305:$AI$2305)</f>
        <v>0</v>
      </c>
      <c r="AM2304" s="8">
        <f>SUM($E$2306:$AI$2306)</f>
        <v>0</v>
      </c>
      <c r="AN2304" s="8">
        <f>AL2304+AM2304</f>
        <v>0</v>
      </c>
      <c r="AO2304" s="8">
        <f>COUNTIF($E$2304:$AI$2304,"CL")</f>
        <v>0</v>
      </c>
      <c r="AP2304" s="8">
        <f>COUNTIF($E$2304:$AI$2304,"SL")</f>
        <v>0</v>
      </c>
      <c r="AQ2304" s="8">
        <f>COUNTIF($E$2304:$AI$2304,"EL")</f>
        <v>0</v>
      </c>
      <c r="AR2304" s="8">
        <f>COUNTIF($E$2304:$AI$2304,"H")</f>
        <v>0</v>
      </c>
      <c r="AS2304" s="8"/>
      <c r="AT2304" s="11" t="s">
        <v>258</v>
      </c>
    </row>
    <row r="2305" spans="1:46" ht="15.1" customHeight="1">
      <c r="A2305" s="8"/>
      <c r="B2305" s="9"/>
      <c r="C2305" s="8"/>
      <c r="D2305" s="9"/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11" t="s">
        <v>258</v>
      </c>
    </row>
    <row r="2306" spans="1:46" ht="15.1" customHeight="1">
      <c r="A2306" s="8"/>
      <c r="B2306" s="9"/>
      <c r="C2306" s="8"/>
      <c r="D2306" s="9"/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11" t="s">
        <v>258</v>
      </c>
    </row>
    <row r="2307" spans="1:46" ht="15.1" customHeight="1">
      <c r="A2307" s="8">
        <v>768</v>
      </c>
      <c r="B2307" s="9" t="s">
        <v>1776</v>
      </c>
      <c r="C2307" s="8" t="s">
        <v>1777</v>
      </c>
      <c r="D2307" s="9" t="s">
        <v>1742</v>
      </c>
      <c r="E2307" s="8" t="s">
        <v>54</v>
      </c>
      <c r="F2307" s="8" t="s">
        <v>54</v>
      </c>
      <c r="G2307" s="10" t="s">
        <v>67</v>
      </c>
      <c r="H2307" s="8" t="s">
        <v>54</v>
      </c>
      <c r="I2307" s="8" t="s">
        <v>54</v>
      </c>
      <c r="J2307" s="8" t="s">
        <v>54</v>
      </c>
      <c r="K2307" s="8" t="s">
        <v>54</v>
      </c>
      <c r="L2307" s="8" t="s">
        <v>54</v>
      </c>
      <c r="M2307" s="8" t="s">
        <v>54</v>
      </c>
      <c r="N2307" s="10" t="s">
        <v>67</v>
      </c>
      <c r="O2307" s="8" t="s">
        <v>54</v>
      </c>
      <c r="P2307" s="8" t="s">
        <v>54</v>
      </c>
      <c r="Q2307" s="8" t="s">
        <v>54</v>
      </c>
      <c r="R2307" s="8" t="s">
        <v>54</v>
      </c>
      <c r="S2307" s="8" t="s">
        <v>54</v>
      </c>
      <c r="T2307" s="8" t="s">
        <v>54</v>
      </c>
      <c r="U2307" s="10" t="s">
        <v>67</v>
      </c>
      <c r="V2307" s="8" t="s">
        <v>54</v>
      </c>
      <c r="W2307" s="8" t="s">
        <v>54</v>
      </c>
      <c r="X2307" s="8" t="s">
        <v>54</v>
      </c>
      <c r="Y2307" s="8" t="s">
        <v>54</v>
      </c>
      <c r="Z2307" s="8" t="s">
        <v>54</v>
      </c>
      <c r="AA2307" s="8" t="s">
        <v>54</v>
      </c>
      <c r="AB2307" s="10" t="s">
        <v>67</v>
      </c>
      <c r="AC2307" s="8" t="s">
        <v>54</v>
      </c>
      <c r="AD2307" s="8" t="s">
        <v>54</v>
      </c>
      <c r="AE2307" s="8" t="s">
        <v>54</v>
      </c>
      <c r="AF2307" s="8" t="s">
        <v>54</v>
      </c>
      <c r="AG2307" s="8" t="s">
        <v>54</v>
      </c>
      <c r="AH2307" s="8" t="s">
        <v>54</v>
      </c>
      <c r="AI2307" s="10" t="s">
        <v>67</v>
      </c>
      <c r="AJ2307" s="8">
        <f>COUNTIF($E$2307:$AI$2307,"P")</f>
        <v>26</v>
      </c>
      <c r="AK2307" s="8">
        <f>COUNTIF($E$2307:$AI$2307,"A")</f>
        <v>0</v>
      </c>
      <c r="AL2307" s="8">
        <f>SUM($E$2308:$AI$2308)</f>
        <v>0</v>
      </c>
      <c r="AM2307" s="8">
        <f>SUM($E$2309:$AI$2309)</f>
        <v>0</v>
      </c>
      <c r="AN2307" s="8">
        <f>AL2307+AM2307</f>
        <v>0</v>
      </c>
      <c r="AO2307" s="8">
        <f>COUNTIF($E$2307:$AI$2307,"CL")</f>
        <v>0</v>
      </c>
      <c r="AP2307" s="8">
        <f>COUNTIF($E$2307:$AI$2307,"SL")</f>
        <v>0</v>
      </c>
      <c r="AQ2307" s="8">
        <f>COUNTIF($E$2307:$AI$2307,"EL")</f>
        <v>0</v>
      </c>
      <c r="AR2307" s="8">
        <f>COUNTIF($E$2307:$AI$2307,"H")</f>
        <v>0</v>
      </c>
      <c r="AS2307" s="8"/>
      <c r="AT2307" s="11" t="s">
        <v>258</v>
      </c>
    </row>
    <row r="2308" spans="1:46" ht="15.1" customHeight="1">
      <c r="A2308" s="8"/>
      <c r="B2308" s="9"/>
      <c r="C2308" s="8"/>
      <c r="D2308" s="9"/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8">
        <v>0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  <c r="AH2308" s="8">
        <v>0</v>
      </c>
      <c r="AI2308" s="8">
        <v>0</v>
      </c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11" t="s">
        <v>258</v>
      </c>
    </row>
    <row r="2309" spans="1:46" ht="15.1" customHeight="1">
      <c r="A2309" s="8"/>
      <c r="B2309" s="9"/>
      <c r="C2309" s="8"/>
      <c r="D2309" s="9"/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11" t="s">
        <v>258</v>
      </c>
    </row>
    <row r="2310" spans="1:46" ht="15.1" customHeight="1">
      <c r="A2310" s="8">
        <v>769</v>
      </c>
      <c r="B2310" s="9" t="s">
        <v>1778</v>
      </c>
      <c r="C2310" s="8" t="s">
        <v>1779</v>
      </c>
      <c r="D2310" s="9" t="s">
        <v>1742</v>
      </c>
      <c r="E2310" s="12" t="s">
        <v>55</v>
      </c>
      <c r="F2310" s="8" t="s">
        <v>67</v>
      </c>
      <c r="G2310" s="10" t="s">
        <v>55</v>
      </c>
      <c r="H2310" s="12" t="s">
        <v>55</v>
      </c>
      <c r="I2310" s="8" t="s">
        <v>54</v>
      </c>
      <c r="J2310" s="8" t="s">
        <v>54</v>
      </c>
      <c r="K2310" s="8" t="s">
        <v>54</v>
      </c>
      <c r="L2310" s="8" t="s">
        <v>54</v>
      </c>
      <c r="M2310" s="8" t="s">
        <v>67</v>
      </c>
      <c r="N2310" s="10" t="s">
        <v>54</v>
      </c>
      <c r="O2310" s="8" t="s">
        <v>54</v>
      </c>
      <c r="P2310" s="8" t="s">
        <v>54</v>
      </c>
      <c r="Q2310" s="8" t="s">
        <v>54</v>
      </c>
      <c r="R2310" s="8" t="s">
        <v>54</v>
      </c>
      <c r="S2310" s="8" t="s">
        <v>54</v>
      </c>
      <c r="T2310" s="8" t="s">
        <v>67</v>
      </c>
      <c r="U2310" s="10" t="s">
        <v>54</v>
      </c>
      <c r="V2310" s="8" t="s">
        <v>54</v>
      </c>
      <c r="W2310" s="8" t="s">
        <v>54</v>
      </c>
      <c r="X2310" s="8" t="s">
        <v>54</v>
      </c>
      <c r="Y2310" s="8" t="s">
        <v>54</v>
      </c>
      <c r="Z2310" s="8" t="s">
        <v>54</v>
      </c>
      <c r="AA2310" s="8" t="s">
        <v>67</v>
      </c>
      <c r="AB2310" s="10" t="s">
        <v>54</v>
      </c>
      <c r="AC2310" s="8" t="s">
        <v>54</v>
      </c>
      <c r="AD2310" s="8" t="s">
        <v>54</v>
      </c>
      <c r="AE2310" s="8" t="s">
        <v>54</v>
      </c>
      <c r="AF2310" s="8" t="s">
        <v>54</v>
      </c>
      <c r="AG2310" s="8" t="s">
        <v>54</v>
      </c>
      <c r="AH2310" s="8" t="s">
        <v>67</v>
      </c>
      <c r="AI2310" s="10" t="s">
        <v>54</v>
      </c>
      <c r="AJ2310" s="8">
        <f>COUNTIF($E$2310:$AI$2310,"P")</f>
        <v>23</v>
      </c>
      <c r="AK2310" s="8">
        <f>COUNTIF($E$2310:$AI$2310,"A")</f>
        <v>3</v>
      </c>
      <c r="AL2310" s="8">
        <f>SUM($E$2311:$AI$2311)</f>
        <v>0</v>
      </c>
      <c r="AM2310" s="8">
        <f>SUM($E$2312:$AI$2312)</f>
        <v>0</v>
      </c>
      <c r="AN2310" s="8">
        <f>AL2310+AM2310</f>
        <v>0</v>
      </c>
      <c r="AO2310" s="8">
        <f>COUNTIF($E$2310:$AI$2310,"CL")</f>
        <v>0</v>
      </c>
      <c r="AP2310" s="8">
        <f>COUNTIF($E$2310:$AI$2310,"SL")</f>
        <v>0</v>
      </c>
      <c r="AQ2310" s="8">
        <f>COUNTIF($E$2310:$AI$2310,"EL")</f>
        <v>0</v>
      </c>
      <c r="AR2310" s="8">
        <f>COUNTIF($E$2310:$AI$2310,"H")</f>
        <v>0</v>
      </c>
      <c r="AS2310" s="8"/>
      <c r="AT2310" s="11" t="s">
        <v>258</v>
      </c>
    </row>
    <row r="2311" spans="1:46" ht="15.1" customHeight="1">
      <c r="A2311" s="8"/>
      <c r="B2311" s="9"/>
      <c r="C2311" s="8"/>
      <c r="D2311" s="9"/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  <c r="M2311" s="8">
        <v>0</v>
      </c>
      <c r="N2311" s="8">
        <v>0</v>
      </c>
      <c r="O2311" s="8">
        <v>0</v>
      </c>
      <c r="P2311" s="8">
        <v>0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  <c r="AH2311" s="8">
        <v>0</v>
      </c>
      <c r="AI2311" s="8">
        <v>0</v>
      </c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11" t="s">
        <v>258</v>
      </c>
    </row>
    <row r="2312" spans="1:46" ht="15.1" customHeight="1">
      <c r="A2312" s="8"/>
      <c r="B2312" s="9"/>
      <c r="C2312" s="8"/>
      <c r="D2312" s="9"/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  <c r="AH2312" s="8">
        <v>0</v>
      </c>
      <c r="AI2312" s="8">
        <v>0</v>
      </c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11" t="s">
        <v>258</v>
      </c>
    </row>
    <row r="2313" spans="1:46" ht="15.1" customHeight="1">
      <c r="A2313" s="8">
        <v>770</v>
      </c>
      <c r="B2313" s="9" t="s">
        <v>1780</v>
      </c>
      <c r="C2313" s="8" t="s">
        <v>1781</v>
      </c>
      <c r="D2313" s="9" t="s">
        <v>1742</v>
      </c>
      <c r="E2313" s="8" t="s">
        <v>54</v>
      </c>
      <c r="F2313" s="8" t="s">
        <v>54</v>
      </c>
      <c r="G2313" s="10" t="s">
        <v>54</v>
      </c>
      <c r="H2313" s="8" t="s">
        <v>54</v>
      </c>
      <c r="I2313" s="8" t="s">
        <v>54</v>
      </c>
      <c r="J2313" s="8" t="s">
        <v>54</v>
      </c>
      <c r="K2313" s="8" t="s">
        <v>67</v>
      </c>
      <c r="L2313" s="8" t="s">
        <v>54</v>
      </c>
      <c r="M2313" s="8" t="s">
        <v>54</v>
      </c>
      <c r="N2313" s="10" t="s">
        <v>54</v>
      </c>
      <c r="O2313" s="8" t="s">
        <v>54</v>
      </c>
      <c r="P2313" s="8" t="s">
        <v>54</v>
      </c>
      <c r="Q2313" s="8" t="s">
        <v>54</v>
      </c>
      <c r="R2313" s="8" t="s">
        <v>67</v>
      </c>
      <c r="S2313" s="8" t="s">
        <v>54</v>
      </c>
      <c r="T2313" s="8" t="s">
        <v>54</v>
      </c>
      <c r="U2313" s="10" t="s">
        <v>54</v>
      </c>
      <c r="V2313" s="8" t="s">
        <v>54</v>
      </c>
      <c r="W2313" s="8" t="s">
        <v>54</v>
      </c>
      <c r="X2313" s="8" t="s">
        <v>54</v>
      </c>
      <c r="Y2313" s="8" t="s">
        <v>67</v>
      </c>
      <c r="Z2313" s="8" t="s">
        <v>54</v>
      </c>
      <c r="AA2313" s="8" t="s">
        <v>54</v>
      </c>
      <c r="AB2313" s="10" t="s">
        <v>54</v>
      </c>
      <c r="AC2313" s="8" t="s">
        <v>54</v>
      </c>
      <c r="AD2313" s="8" t="s">
        <v>54</v>
      </c>
      <c r="AE2313" s="8" t="s">
        <v>54</v>
      </c>
      <c r="AF2313" s="8" t="s">
        <v>67</v>
      </c>
      <c r="AG2313" s="8" t="s">
        <v>54</v>
      </c>
      <c r="AH2313" s="8" t="s">
        <v>54</v>
      </c>
      <c r="AI2313" s="10" t="s">
        <v>55</v>
      </c>
      <c r="AJ2313" s="8">
        <f>COUNTIF($E$2313:$AI$2313,"P")</f>
        <v>26</v>
      </c>
      <c r="AK2313" s="8">
        <f>COUNTIF($E$2313:$AI$2313,"A")</f>
        <v>1</v>
      </c>
      <c r="AL2313" s="8">
        <f>SUM($E$2314:$AI$2314)</f>
        <v>0</v>
      </c>
      <c r="AM2313" s="8">
        <f>SUM($E$2315:$AI$2315)</f>
        <v>0</v>
      </c>
      <c r="AN2313" s="8">
        <f>AL2313+AM2313</f>
        <v>0</v>
      </c>
      <c r="AO2313" s="8">
        <f>COUNTIF($E$2313:$AI$2313,"CL")</f>
        <v>0</v>
      </c>
      <c r="AP2313" s="8">
        <f>COUNTIF($E$2313:$AI$2313,"SL")</f>
        <v>0</v>
      </c>
      <c r="AQ2313" s="8">
        <f>COUNTIF($E$2313:$AI$2313,"EL")</f>
        <v>0</v>
      </c>
      <c r="AR2313" s="8">
        <f>COUNTIF($E$2313:$AI$2313,"H")</f>
        <v>0</v>
      </c>
      <c r="AS2313" s="8"/>
      <c r="AT2313" s="11" t="s">
        <v>258</v>
      </c>
    </row>
    <row r="2314" spans="1:46" ht="15.1" customHeight="1">
      <c r="A2314" s="8"/>
      <c r="B2314" s="9"/>
      <c r="C2314" s="8"/>
      <c r="D2314" s="9"/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11" t="s">
        <v>258</v>
      </c>
    </row>
    <row r="2315" spans="1:46" ht="15.1" customHeight="1">
      <c r="A2315" s="8"/>
      <c r="B2315" s="9"/>
      <c r="C2315" s="8"/>
      <c r="D2315" s="9"/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  <c r="M2315" s="8">
        <v>0</v>
      </c>
      <c r="N2315" s="8">
        <v>0</v>
      </c>
      <c r="O2315" s="8">
        <v>0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11" t="s">
        <v>258</v>
      </c>
    </row>
    <row r="2316" spans="1:46" ht="15.1" customHeight="1">
      <c r="A2316" s="8">
        <v>771</v>
      </c>
      <c r="B2316" s="9" t="s">
        <v>999</v>
      </c>
      <c r="C2316" s="8" t="s">
        <v>1782</v>
      </c>
      <c r="D2316" s="9" t="s">
        <v>1742</v>
      </c>
      <c r="E2316" s="8" t="s">
        <v>54</v>
      </c>
      <c r="F2316" s="8" t="s">
        <v>67</v>
      </c>
      <c r="G2316" s="10" t="s">
        <v>54</v>
      </c>
      <c r="H2316" s="8" t="s">
        <v>54</v>
      </c>
      <c r="I2316" s="8" t="s">
        <v>54</v>
      </c>
      <c r="J2316" s="8" t="s">
        <v>54</v>
      </c>
      <c r="K2316" s="8" t="s">
        <v>54</v>
      </c>
      <c r="L2316" s="8" t="s">
        <v>54</v>
      </c>
      <c r="M2316" s="8" t="s">
        <v>67</v>
      </c>
      <c r="N2316" s="10" t="s">
        <v>54</v>
      </c>
      <c r="O2316" s="8" t="s">
        <v>54</v>
      </c>
      <c r="P2316" s="8" t="s">
        <v>54</v>
      </c>
      <c r="Q2316" s="8" t="s">
        <v>54</v>
      </c>
      <c r="R2316" s="8" t="s">
        <v>54</v>
      </c>
      <c r="S2316" s="8" t="s">
        <v>54</v>
      </c>
      <c r="T2316" s="8" t="s">
        <v>67</v>
      </c>
      <c r="U2316" s="10" t="s">
        <v>54</v>
      </c>
      <c r="V2316" s="8" t="s">
        <v>54</v>
      </c>
      <c r="W2316" s="8" t="s">
        <v>54</v>
      </c>
      <c r="X2316" s="8" t="s">
        <v>54</v>
      </c>
      <c r="Y2316" s="8" t="s">
        <v>54</v>
      </c>
      <c r="Z2316" s="8" t="s">
        <v>54</v>
      </c>
      <c r="AA2316" s="8" t="s">
        <v>67</v>
      </c>
      <c r="AB2316" s="10" t="s">
        <v>54</v>
      </c>
      <c r="AC2316" s="8" t="s">
        <v>54</v>
      </c>
      <c r="AD2316" s="8" t="s">
        <v>54</v>
      </c>
      <c r="AE2316" s="8" t="s">
        <v>54</v>
      </c>
      <c r="AF2316" s="8" t="s">
        <v>54</v>
      </c>
      <c r="AG2316" s="8" t="s">
        <v>54</v>
      </c>
      <c r="AH2316" s="8" t="s">
        <v>67</v>
      </c>
      <c r="AI2316" s="10" t="s">
        <v>54</v>
      </c>
      <c r="AJ2316" s="8">
        <f>COUNTIF($E$2316:$AI$2316,"P")</f>
        <v>26</v>
      </c>
      <c r="AK2316" s="8">
        <f>COUNTIF($E$2316:$AI$2316,"A")</f>
        <v>0</v>
      </c>
      <c r="AL2316" s="8">
        <f>SUM($E$2317:$AI$2317)</f>
        <v>0</v>
      </c>
      <c r="AM2316" s="8">
        <f>SUM($E$2318:$AI$2318)</f>
        <v>0</v>
      </c>
      <c r="AN2316" s="8">
        <f>AL2316+AM2316</f>
        <v>0</v>
      </c>
      <c r="AO2316" s="8">
        <f>COUNTIF($E$2316:$AI$2316,"CL")</f>
        <v>0</v>
      </c>
      <c r="AP2316" s="8">
        <f>COUNTIF($E$2316:$AI$2316,"SL")</f>
        <v>0</v>
      </c>
      <c r="AQ2316" s="8">
        <f>COUNTIF($E$2316:$AI$2316,"EL")</f>
        <v>0</v>
      </c>
      <c r="AR2316" s="8">
        <f>COUNTIF($E$2316:$AI$2316,"H")</f>
        <v>0</v>
      </c>
      <c r="AS2316" s="8"/>
      <c r="AT2316" s="11" t="s">
        <v>258</v>
      </c>
    </row>
    <row r="2317" spans="1:46" ht="15.1" customHeight="1">
      <c r="A2317" s="8"/>
      <c r="B2317" s="9"/>
      <c r="C2317" s="8"/>
      <c r="D2317" s="9"/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  <c r="M2317" s="8">
        <v>0</v>
      </c>
      <c r="N2317" s="8">
        <v>0</v>
      </c>
      <c r="O2317" s="8">
        <v>0</v>
      </c>
      <c r="P2317" s="8">
        <v>0</v>
      </c>
      <c r="Q2317" s="8">
        <v>0</v>
      </c>
      <c r="R2317" s="8">
        <v>0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11" t="s">
        <v>258</v>
      </c>
    </row>
    <row r="2318" spans="1:46" ht="15.1" customHeight="1">
      <c r="A2318" s="8"/>
      <c r="B2318" s="9"/>
      <c r="C2318" s="8"/>
      <c r="D2318" s="9"/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  <c r="M2318" s="8">
        <v>0</v>
      </c>
      <c r="N2318" s="8">
        <v>0</v>
      </c>
      <c r="O2318" s="8">
        <v>0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11" t="s">
        <v>258</v>
      </c>
    </row>
    <row r="2319" spans="1:46" ht="15.1" customHeight="1">
      <c r="A2319" s="8">
        <v>772</v>
      </c>
      <c r="B2319" s="9" t="s">
        <v>1783</v>
      </c>
      <c r="C2319" s="8" t="s">
        <v>1784</v>
      </c>
      <c r="D2319" s="9" t="s">
        <v>1742</v>
      </c>
      <c r="E2319" s="8" t="s">
        <v>67</v>
      </c>
      <c r="F2319" s="8" t="s">
        <v>54</v>
      </c>
      <c r="G2319" s="10" t="s">
        <v>54</v>
      </c>
      <c r="H2319" s="8" t="s">
        <v>54</v>
      </c>
      <c r="I2319" s="8" t="s">
        <v>54</v>
      </c>
      <c r="J2319" s="8" t="s">
        <v>54</v>
      </c>
      <c r="K2319" s="8" t="s">
        <v>54</v>
      </c>
      <c r="L2319" s="8" t="s">
        <v>67</v>
      </c>
      <c r="M2319" s="8" t="s">
        <v>54</v>
      </c>
      <c r="N2319" s="10" t="s">
        <v>54</v>
      </c>
      <c r="O2319" s="8" t="s">
        <v>54</v>
      </c>
      <c r="P2319" s="8" t="s">
        <v>54</v>
      </c>
      <c r="Q2319" s="8" t="s">
        <v>54</v>
      </c>
      <c r="R2319" s="8" t="s">
        <v>54</v>
      </c>
      <c r="S2319" s="8" t="s">
        <v>67</v>
      </c>
      <c r="T2319" s="8" t="s">
        <v>54</v>
      </c>
      <c r="U2319" s="10" t="s">
        <v>54</v>
      </c>
      <c r="V2319" s="8" t="s">
        <v>54</v>
      </c>
      <c r="W2319" s="8" t="s">
        <v>54</v>
      </c>
      <c r="X2319" s="8" t="s">
        <v>54</v>
      </c>
      <c r="Y2319" s="8" t="s">
        <v>54</v>
      </c>
      <c r="Z2319" s="8" t="s">
        <v>67</v>
      </c>
      <c r="AA2319" s="8" t="s">
        <v>54</v>
      </c>
      <c r="AB2319" s="10" t="s">
        <v>54</v>
      </c>
      <c r="AC2319" s="8" t="s">
        <v>54</v>
      </c>
      <c r="AD2319" s="8" t="s">
        <v>54</v>
      </c>
      <c r="AE2319" s="8" t="s">
        <v>54</v>
      </c>
      <c r="AF2319" s="8" t="s">
        <v>54</v>
      </c>
      <c r="AG2319" s="8" t="s">
        <v>67</v>
      </c>
      <c r="AH2319" s="8" t="s">
        <v>54</v>
      </c>
      <c r="AI2319" s="10" t="s">
        <v>55</v>
      </c>
      <c r="AJ2319" s="8">
        <f>COUNTIF($E$2319:$AI$2319,"P")</f>
        <v>25</v>
      </c>
      <c r="AK2319" s="8">
        <f>COUNTIF($E$2319:$AI$2319,"A")</f>
        <v>1</v>
      </c>
      <c r="AL2319" s="8">
        <f>SUM($E$2320:$AI$2320)</f>
        <v>0</v>
      </c>
      <c r="AM2319" s="8">
        <f>SUM($E$2321:$AI$2321)</f>
        <v>0</v>
      </c>
      <c r="AN2319" s="8">
        <f>AL2319+AM2319</f>
        <v>0</v>
      </c>
      <c r="AO2319" s="8">
        <f>COUNTIF($E$2319:$AI$2319,"CL")</f>
        <v>0</v>
      </c>
      <c r="AP2319" s="8">
        <f>COUNTIF($E$2319:$AI$2319,"SL")</f>
        <v>0</v>
      </c>
      <c r="AQ2319" s="8">
        <f>COUNTIF($E$2319:$AI$2319,"EL")</f>
        <v>0</v>
      </c>
      <c r="AR2319" s="8">
        <f>COUNTIF($E$2319:$AI$2319,"H")</f>
        <v>0</v>
      </c>
      <c r="AS2319" s="8"/>
      <c r="AT2319" s="11" t="s">
        <v>258</v>
      </c>
    </row>
    <row r="2320" spans="1:46" ht="15.1" customHeight="1">
      <c r="A2320" s="8"/>
      <c r="B2320" s="9"/>
      <c r="C2320" s="8"/>
      <c r="D2320" s="9"/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11" t="s">
        <v>258</v>
      </c>
    </row>
    <row r="2321" spans="1:46" ht="15.1" customHeight="1">
      <c r="A2321" s="8"/>
      <c r="B2321" s="9"/>
      <c r="C2321" s="8"/>
      <c r="D2321" s="9"/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11" t="s">
        <v>258</v>
      </c>
    </row>
    <row r="2322" spans="1:46" ht="15.1" customHeight="1">
      <c r="A2322" s="8">
        <v>773</v>
      </c>
      <c r="B2322" s="9" t="s">
        <v>1785</v>
      </c>
      <c r="C2322" s="8" t="s">
        <v>1786</v>
      </c>
      <c r="D2322" s="9" t="s">
        <v>1742</v>
      </c>
      <c r="E2322" s="8" t="s">
        <v>54</v>
      </c>
      <c r="F2322" s="8" t="s">
        <v>54</v>
      </c>
      <c r="G2322" s="10" t="s">
        <v>54</v>
      </c>
      <c r="H2322" s="8" t="s">
        <v>54</v>
      </c>
      <c r="I2322" s="8" t="s">
        <v>54</v>
      </c>
      <c r="J2322" s="8" t="s">
        <v>67</v>
      </c>
      <c r="K2322" s="8" t="s">
        <v>54</v>
      </c>
      <c r="L2322" s="8" t="s">
        <v>54</v>
      </c>
      <c r="M2322" s="8" t="s">
        <v>54</v>
      </c>
      <c r="N2322" s="10" t="s">
        <v>54</v>
      </c>
      <c r="O2322" s="8" t="s">
        <v>54</v>
      </c>
      <c r="P2322" s="8" t="s">
        <v>54</v>
      </c>
      <c r="Q2322" s="8" t="s">
        <v>67</v>
      </c>
      <c r="R2322" s="8" t="s">
        <v>54</v>
      </c>
      <c r="S2322" s="8" t="s">
        <v>54</v>
      </c>
      <c r="T2322" s="8" t="s">
        <v>54</v>
      </c>
      <c r="U2322" s="10" t="s">
        <v>54</v>
      </c>
      <c r="V2322" s="8" t="s">
        <v>54</v>
      </c>
      <c r="W2322" s="8" t="s">
        <v>54</v>
      </c>
      <c r="X2322" s="8" t="s">
        <v>67</v>
      </c>
      <c r="Y2322" s="8" t="s">
        <v>54</v>
      </c>
      <c r="Z2322" s="8" t="s">
        <v>54</v>
      </c>
      <c r="AA2322" s="8" t="s">
        <v>54</v>
      </c>
      <c r="AB2322" s="10" t="s">
        <v>54</v>
      </c>
      <c r="AC2322" s="8" t="s">
        <v>54</v>
      </c>
      <c r="AD2322" s="8" t="s">
        <v>54</v>
      </c>
      <c r="AE2322" s="8" t="s">
        <v>67</v>
      </c>
      <c r="AF2322" s="8" t="s">
        <v>54</v>
      </c>
      <c r="AG2322" s="8" t="s">
        <v>54</v>
      </c>
      <c r="AH2322" s="8" t="s">
        <v>54</v>
      </c>
      <c r="AI2322" s="10" t="s">
        <v>55</v>
      </c>
      <c r="AJ2322" s="8">
        <f>COUNTIF($E$2322:$AI$2322,"P")</f>
        <v>26</v>
      </c>
      <c r="AK2322" s="8">
        <f>COUNTIF($E$2322:$AI$2322,"A")</f>
        <v>1</v>
      </c>
      <c r="AL2322" s="8">
        <f>SUM($E$2323:$AI$2323)</f>
        <v>0</v>
      </c>
      <c r="AM2322" s="8">
        <f>SUM($E$2324:$AI$2324)</f>
        <v>0</v>
      </c>
      <c r="AN2322" s="8">
        <f>AL2322+AM2322</f>
        <v>0</v>
      </c>
      <c r="AO2322" s="8">
        <f>COUNTIF($E$2322:$AI$2322,"CL")</f>
        <v>0</v>
      </c>
      <c r="AP2322" s="8">
        <f>COUNTIF($E$2322:$AI$2322,"SL")</f>
        <v>0</v>
      </c>
      <c r="AQ2322" s="8">
        <f>COUNTIF($E$2322:$AI$2322,"EL")</f>
        <v>0</v>
      </c>
      <c r="AR2322" s="8">
        <f>COUNTIF($E$2322:$AI$2322,"H")</f>
        <v>0</v>
      </c>
      <c r="AS2322" s="8"/>
      <c r="AT2322" s="11" t="s">
        <v>258</v>
      </c>
    </row>
    <row r="2323" spans="1:46" ht="15.1" customHeight="1">
      <c r="A2323" s="8"/>
      <c r="B2323" s="9"/>
      <c r="C2323" s="8"/>
      <c r="D2323" s="9"/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  <c r="M2323" s="8">
        <v>0</v>
      </c>
      <c r="N2323" s="8">
        <v>0</v>
      </c>
      <c r="O2323" s="8">
        <v>0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11" t="s">
        <v>258</v>
      </c>
    </row>
    <row r="2324" spans="1:46" ht="15.1" customHeight="1">
      <c r="A2324" s="8"/>
      <c r="B2324" s="9"/>
      <c r="C2324" s="8"/>
      <c r="D2324" s="9"/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11" t="s">
        <v>258</v>
      </c>
    </row>
    <row r="2325" spans="1:46" ht="15.1" customHeight="1">
      <c r="A2325" s="8">
        <v>774</v>
      </c>
      <c r="B2325" s="9" t="s">
        <v>1787</v>
      </c>
      <c r="C2325" s="8" t="s">
        <v>1788</v>
      </c>
      <c r="D2325" s="9" t="s">
        <v>1742</v>
      </c>
      <c r="E2325" s="8" t="s">
        <v>54</v>
      </c>
      <c r="F2325" s="8" t="s">
        <v>54</v>
      </c>
      <c r="G2325" s="10" t="s">
        <v>54</v>
      </c>
      <c r="H2325" s="8" t="s">
        <v>54</v>
      </c>
      <c r="I2325" s="8" t="s">
        <v>54</v>
      </c>
      <c r="J2325" s="8" t="s">
        <v>67</v>
      </c>
      <c r="K2325" s="8" t="s">
        <v>54</v>
      </c>
      <c r="L2325" s="8" t="s">
        <v>54</v>
      </c>
      <c r="M2325" s="8" t="s">
        <v>54</v>
      </c>
      <c r="N2325" s="10" t="s">
        <v>54</v>
      </c>
      <c r="O2325" s="8" t="s">
        <v>54</v>
      </c>
      <c r="P2325" s="8" t="s">
        <v>54</v>
      </c>
      <c r="Q2325" s="8" t="s">
        <v>67</v>
      </c>
      <c r="R2325" s="8" t="s">
        <v>54</v>
      </c>
      <c r="S2325" s="8" t="s">
        <v>54</v>
      </c>
      <c r="T2325" s="8" t="s">
        <v>54</v>
      </c>
      <c r="U2325" s="10" t="s">
        <v>54</v>
      </c>
      <c r="V2325" s="8" t="s">
        <v>54</v>
      </c>
      <c r="W2325" s="8" t="s">
        <v>54</v>
      </c>
      <c r="X2325" s="8" t="s">
        <v>67</v>
      </c>
      <c r="Y2325" s="8" t="s">
        <v>54</v>
      </c>
      <c r="Z2325" s="8" t="s">
        <v>54</v>
      </c>
      <c r="AA2325" s="8" t="s">
        <v>54</v>
      </c>
      <c r="AB2325" s="10" t="s">
        <v>54</v>
      </c>
      <c r="AC2325" s="8" t="s">
        <v>54</v>
      </c>
      <c r="AD2325" s="8" t="s">
        <v>54</v>
      </c>
      <c r="AE2325" s="8" t="s">
        <v>67</v>
      </c>
      <c r="AF2325" s="8" t="s">
        <v>54</v>
      </c>
      <c r="AG2325" s="8" t="s">
        <v>54</v>
      </c>
      <c r="AH2325" s="8" t="s">
        <v>54</v>
      </c>
      <c r="AI2325" s="10" t="s">
        <v>54</v>
      </c>
      <c r="AJ2325" s="8">
        <f>COUNTIF($E$2325:$AI$2325,"P")</f>
        <v>27</v>
      </c>
      <c r="AK2325" s="8">
        <f>COUNTIF($E$2325:$AI$2325,"A")</f>
        <v>0</v>
      </c>
      <c r="AL2325" s="8">
        <f>SUM($E$2326:$AI$2326)</f>
        <v>0</v>
      </c>
      <c r="AM2325" s="8">
        <f>SUM($E$2327:$AI$2327)</f>
        <v>0</v>
      </c>
      <c r="AN2325" s="8">
        <f>AL2325+AM2325</f>
        <v>0</v>
      </c>
      <c r="AO2325" s="8">
        <f>COUNTIF($E$2325:$AI$2325,"CL")</f>
        <v>0</v>
      </c>
      <c r="AP2325" s="8">
        <f>COUNTIF($E$2325:$AI$2325,"SL")</f>
        <v>0</v>
      </c>
      <c r="AQ2325" s="8">
        <f>COUNTIF($E$2325:$AI$2325,"EL")</f>
        <v>0</v>
      </c>
      <c r="AR2325" s="8">
        <f>COUNTIF($E$2325:$AI$2325,"H")</f>
        <v>0</v>
      </c>
      <c r="AS2325" s="8"/>
      <c r="AT2325" s="11" t="s">
        <v>258</v>
      </c>
    </row>
    <row r="2326" spans="1:46" ht="15.1" customHeight="1">
      <c r="A2326" s="8"/>
      <c r="B2326" s="9"/>
      <c r="C2326" s="8"/>
      <c r="D2326" s="9"/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11" t="s">
        <v>258</v>
      </c>
    </row>
    <row r="2327" spans="1:46" ht="15.1" customHeight="1">
      <c r="A2327" s="8"/>
      <c r="B2327" s="9"/>
      <c r="C2327" s="8"/>
      <c r="D2327" s="9"/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11" t="s">
        <v>258</v>
      </c>
    </row>
    <row r="2328" spans="1:46" ht="15.1" customHeight="1">
      <c r="A2328" s="8">
        <v>775</v>
      </c>
      <c r="B2328" s="9" t="s">
        <v>1789</v>
      </c>
      <c r="C2328" s="8" t="s">
        <v>1790</v>
      </c>
      <c r="D2328" s="9" t="s">
        <v>1742</v>
      </c>
      <c r="E2328" s="12" t="s">
        <v>55</v>
      </c>
      <c r="F2328" s="12" t="s">
        <v>55</v>
      </c>
      <c r="G2328" s="10" t="s">
        <v>55</v>
      </c>
      <c r="H2328" s="12" t="s">
        <v>55</v>
      </c>
      <c r="I2328" s="8" t="s">
        <v>67</v>
      </c>
      <c r="J2328" s="12" t="s">
        <v>55</v>
      </c>
      <c r="K2328" s="12" t="s">
        <v>55</v>
      </c>
      <c r="L2328" s="12" t="s">
        <v>55</v>
      </c>
      <c r="M2328" s="12" t="s">
        <v>55</v>
      </c>
      <c r="N2328" s="10" t="s">
        <v>55</v>
      </c>
      <c r="O2328" s="12" t="s">
        <v>55</v>
      </c>
      <c r="P2328" s="8" t="s">
        <v>67</v>
      </c>
      <c r="Q2328" s="12" t="s">
        <v>55</v>
      </c>
      <c r="R2328" s="12" t="s">
        <v>55</v>
      </c>
      <c r="S2328" s="12" t="s">
        <v>55</v>
      </c>
      <c r="T2328" s="12" t="s">
        <v>55</v>
      </c>
      <c r="U2328" s="10" t="s">
        <v>55</v>
      </c>
      <c r="V2328" s="12" t="s">
        <v>55</v>
      </c>
      <c r="W2328" s="8" t="s">
        <v>67</v>
      </c>
      <c r="X2328" s="12" t="s">
        <v>55</v>
      </c>
      <c r="Y2328" s="12" t="s">
        <v>55</v>
      </c>
      <c r="Z2328" s="12" t="s">
        <v>55</v>
      </c>
      <c r="AA2328" s="12" t="s">
        <v>55</v>
      </c>
      <c r="AB2328" s="10" t="s">
        <v>55</v>
      </c>
      <c r="AC2328" s="12" t="s">
        <v>55</v>
      </c>
      <c r="AD2328" s="8" t="s">
        <v>67</v>
      </c>
      <c r="AE2328" s="12" t="s">
        <v>55</v>
      </c>
      <c r="AF2328" s="12" t="s">
        <v>55</v>
      </c>
      <c r="AG2328" s="12" t="s">
        <v>55</v>
      </c>
      <c r="AH2328" s="12" t="s">
        <v>55</v>
      </c>
      <c r="AI2328" s="10" t="s">
        <v>55</v>
      </c>
      <c r="AJ2328" s="8">
        <f>COUNTIF($E$2328:$AI$2328,"P")</f>
        <v>0</v>
      </c>
      <c r="AK2328" s="8">
        <f>COUNTIF($E$2328:$AI$2328,"A")</f>
        <v>27</v>
      </c>
      <c r="AL2328" s="8">
        <f>SUM($E$2329:$AI$2329)</f>
        <v>0</v>
      </c>
      <c r="AM2328" s="8">
        <f>SUM($E$2330:$AI$2330)</f>
        <v>0</v>
      </c>
      <c r="AN2328" s="8">
        <f>AL2328+AM2328</f>
        <v>0</v>
      </c>
      <c r="AO2328" s="8">
        <f>COUNTIF($E$2328:$AI$2328,"CL")</f>
        <v>0</v>
      </c>
      <c r="AP2328" s="8">
        <f>COUNTIF($E$2328:$AI$2328,"SL")</f>
        <v>0</v>
      </c>
      <c r="AQ2328" s="8">
        <f>COUNTIF($E$2328:$AI$2328,"EL")</f>
        <v>0</v>
      </c>
      <c r="AR2328" s="8">
        <f>COUNTIF($E$2328:$AI$2328,"H")</f>
        <v>0</v>
      </c>
      <c r="AS2328" s="8"/>
      <c r="AT2328" s="11" t="s">
        <v>258</v>
      </c>
    </row>
    <row r="2329" spans="1:46" ht="15.1" customHeight="1">
      <c r="A2329" s="8"/>
      <c r="B2329" s="9"/>
      <c r="C2329" s="8"/>
      <c r="D2329" s="9"/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11" t="s">
        <v>258</v>
      </c>
    </row>
    <row r="2330" spans="1:46" ht="15.1" customHeight="1">
      <c r="A2330" s="8"/>
      <c r="B2330" s="9"/>
      <c r="C2330" s="8"/>
      <c r="D2330" s="9"/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11" t="s">
        <v>258</v>
      </c>
    </row>
    <row r="2331" spans="1:46" ht="15.1" customHeight="1">
      <c r="A2331" s="8">
        <v>776</v>
      </c>
      <c r="B2331" s="9" t="s">
        <v>1791</v>
      </c>
      <c r="C2331" s="8" t="s">
        <v>1792</v>
      </c>
      <c r="D2331" s="9" t="s">
        <v>1742</v>
      </c>
      <c r="E2331" s="8" t="s">
        <v>54</v>
      </c>
      <c r="F2331" s="8" t="s">
        <v>54</v>
      </c>
      <c r="G2331" s="10" t="s">
        <v>54</v>
      </c>
      <c r="H2331" s="8" t="s">
        <v>67</v>
      </c>
      <c r="I2331" s="8" t="s">
        <v>54</v>
      </c>
      <c r="J2331" s="8" t="s">
        <v>54</v>
      </c>
      <c r="K2331" s="8" t="s">
        <v>54</v>
      </c>
      <c r="L2331" s="8" t="s">
        <v>54</v>
      </c>
      <c r="M2331" s="8" t="s">
        <v>54</v>
      </c>
      <c r="N2331" s="10" t="s">
        <v>54</v>
      </c>
      <c r="O2331" s="8" t="s">
        <v>67</v>
      </c>
      <c r="P2331" s="8" t="s">
        <v>54</v>
      </c>
      <c r="Q2331" s="8" t="s">
        <v>54</v>
      </c>
      <c r="R2331" s="8" t="s">
        <v>54</v>
      </c>
      <c r="S2331" s="8" t="s">
        <v>54</v>
      </c>
      <c r="T2331" s="8" t="s">
        <v>54</v>
      </c>
      <c r="U2331" s="10" t="s">
        <v>55</v>
      </c>
      <c r="V2331" s="8" t="s">
        <v>67</v>
      </c>
      <c r="W2331" s="8" t="s">
        <v>54</v>
      </c>
      <c r="X2331" s="8" t="s">
        <v>54</v>
      </c>
      <c r="Y2331" s="8" t="s">
        <v>54</v>
      </c>
      <c r="Z2331" s="8" t="s">
        <v>54</v>
      </c>
      <c r="AA2331" s="8" t="s">
        <v>54</v>
      </c>
      <c r="AB2331" s="10" t="s">
        <v>54</v>
      </c>
      <c r="AC2331" s="8" t="s">
        <v>67</v>
      </c>
      <c r="AD2331" s="8" t="s">
        <v>54</v>
      </c>
      <c r="AE2331" s="8" t="s">
        <v>54</v>
      </c>
      <c r="AF2331" s="8" t="s">
        <v>54</v>
      </c>
      <c r="AG2331" s="8" t="s">
        <v>54</v>
      </c>
      <c r="AH2331" s="8" t="s">
        <v>54</v>
      </c>
      <c r="AI2331" s="10" t="s">
        <v>55</v>
      </c>
      <c r="AJ2331" s="8">
        <f>COUNTIF($E$2331:$AI$2331,"P")</f>
        <v>25</v>
      </c>
      <c r="AK2331" s="8">
        <f>COUNTIF($E$2331:$AI$2331,"A")</f>
        <v>2</v>
      </c>
      <c r="AL2331" s="8">
        <f>SUM($E$2332:$AI$2332)</f>
        <v>0</v>
      </c>
      <c r="AM2331" s="8">
        <f>SUM($E$2333:$AI$2333)</f>
        <v>0</v>
      </c>
      <c r="AN2331" s="8">
        <f>AL2331+AM2331</f>
        <v>0</v>
      </c>
      <c r="AO2331" s="8">
        <f>COUNTIF($E$2331:$AI$2331,"CL")</f>
        <v>0</v>
      </c>
      <c r="AP2331" s="8">
        <f>COUNTIF($E$2331:$AI$2331,"SL")</f>
        <v>0</v>
      </c>
      <c r="AQ2331" s="8">
        <f>COUNTIF($E$2331:$AI$2331,"EL")</f>
        <v>0</v>
      </c>
      <c r="AR2331" s="8">
        <f>COUNTIF($E$2331:$AI$2331,"H")</f>
        <v>0</v>
      </c>
      <c r="AS2331" s="8"/>
      <c r="AT2331" s="11" t="s">
        <v>258</v>
      </c>
    </row>
    <row r="2332" spans="1:46" ht="15.1" customHeight="1">
      <c r="A2332" s="8"/>
      <c r="B2332" s="9"/>
      <c r="C2332" s="8"/>
      <c r="D2332" s="9"/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11" t="s">
        <v>258</v>
      </c>
    </row>
    <row r="2333" spans="1:46" ht="15.1" customHeight="1">
      <c r="A2333" s="8"/>
      <c r="B2333" s="9"/>
      <c r="C2333" s="8"/>
      <c r="D2333" s="9"/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  <c r="M2333" s="8">
        <v>0</v>
      </c>
      <c r="N2333" s="8">
        <v>0</v>
      </c>
      <c r="O2333" s="8">
        <v>0</v>
      </c>
      <c r="P2333" s="8">
        <v>0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11" t="s">
        <v>258</v>
      </c>
    </row>
    <row r="2334" spans="1:46" ht="15.1" customHeight="1">
      <c r="A2334" s="8">
        <v>777</v>
      </c>
      <c r="B2334" s="9" t="s">
        <v>1793</v>
      </c>
      <c r="C2334" s="8" t="s">
        <v>1794</v>
      </c>
      <c r="D2334" s="9" t="s">
        <v>1742</v>
      </c>
      <c r="E2334" s="8" t="s">
        <v>54</v>
      </c>
      <c r="F2334" s="8" t="s">
        <v>54</v>
      </c>
      <c r="G2334" s="10" t="s">
        <v>54</v>
      </c>
      <c r="H2334" s="8" t="s">
        <v>54</v>
      </c>
      <c r="I2334" s="8" t="s">
        <v>67</v>
      </c>
      <c r="J2334" s="8" t="s">
        <v>54</v>
      </c>
      <c r="K2334" s="8" t="s">
        <v>54</v>
      </c>
      <c r="L2334" s="8" t="s">
        <v>54</v>
      </c>
      <c r="M2334" s="8" t="s">
        <v>54</v>
      </c>
      <c r="N2334" s="10" t="s">
        <v>55</v>
      </c>
      <c r="O2334" s="8" t="s">
        <v>54</v>
      </c>
      <c r="P2334" s="8" t="s">
        <v>67</v>
      </c>
      <c r="Q2334" s="8" t="s">
        <v>54</v>
      </c>
      <c r="R2334" s="8" t="s">
        <v>54</v>
      </c>
      <c r="S2334" s="8" t="s">
        <v>54</v>
      </c>
      <c r="T2334" s="8" t="s">
        <v>54</v>
      </c>
      <c r="U2334" s="10" t="s">
        <v>54</v>
      </c>
      <c r="V2334" s="8" t="s">
        <v>54</v>
      </c>
      <c r="W2334" s="8" t="s">
        <v>67</v>
      </c>
      <c r="X2334" s="8" t="s">
        <v>54</v>
      </c>
      <c r="Y2334" s="8" t="s">
        <v>54</v>
      </c>
      <c r="Z2334" s="8" t="s">
        <v>54</v>
      </c>
      <c r="AA2334" s="8" t="s">
        <v>54</v>
      </c>
      <c r="AB2334" s="10" t="s">
        <v>54</v>
      </c>
      <c r="AC2334" s="8" t="s">
        <v>54</v>
      </c>
      <c r="AD2334" s="8" t="s">
        <v>67</v>
      </c>
      <c r="AE2334" s="8" t="s">
        <v>54</v>
      </c>
      <c r="AF2334" s="8" t="s">
        <v>54</v>
      </c>
      <c r="AG2334" s="8" t="s">
        <v>54</v>
      </c>
      <c r="AH2334" s="8" t="s">
        <v>54</v>
      </c>
      <c r="AI2334" s="10" t="s">
        <v>55</v>
      </c>
      <c r="AJ2334" s="8">
        <f>COUNTIF($E$2334:$AI$2334,"P")</f>
        <v>25</v>
      </c>
      <c r="AK2334" s="8">
        <f>COUNTIF($E$2334:$AI$2334,"A")</f>
        <v>2</v>
      </c>
      <c r="AL2334" s="8">
        <f>SUM($E$2335:$AI$2335)</f>
        <v>0</v>
      </c>
      <c r="AM2334" s="8">
        <f>SUM($E$2336:$AI$2336)</f>
        <v>0</v>
      </c>
      <c r="AN2334" s="8">
        <f>AL2334+AM2334</f>
        <v>0</v>
      </c>
      <c r="AO2334" s="8">
        <f>COUNTIF($E$2334:$AI$2334,"CL")</f>
        <v>0</v>
      </c>
      <c r="AP2334" s="8">
        <f>COUNTIF($E$2334:$AI$2334,"SL")</f>
        <v>0</v>
      </c>
      <c r="AQ2334" s="8">
        <f>COUNTIF($E$2334:$AI$2334,"EL")</f>
        <v>0</v>
      </c>
      <c r="AR2334" s="8">
        <f>COUNTIF($E$2334:$AI$2334,"H")</f>
        <v>0</v>
      </c>
      <c r="AS2334" s="8"/>
      <c r="AT2334" s="11" t="s">
        <v>258</v>
      </c>
    </row>
    <row r="2335" spans="1:46" ht="15.1" customHeight="1">
      <c r="A2335" s="8"/>
      <c r="B2335" s="9"/>
      <c r="C2335" s="8"/>
      <c r="D2335" s="9"/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11" t="s">
        <v>258</v>
      </c>
    </row>
    <row r="2336" spans="1:46" ht="15.1" customHeight="1">
      <c r="A2336" s="8"/>
      <c r="B2336" s="9"/>
      <c r="C2336" s="8"/>
      <c r="D2336" s="9"/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11" t="s">
        <v>258</v>
      </c>
    </row>
    <row r="2337" spans="1:46" ht="15.1" customHeight="1">
      <c r="A2337" s="8">
        <v>778</v>
      </c>
      <c r="B2337" s="9" t="s">
        <v>1795</v>
      </c>
      <c r="C2337" s="8" t="s">
        <v>1796</v>
      </c>
      <c r="D2337" s="9" t="s">
        <v>1742</v>
      </c>
      <c r="E2337" s="8" t="s">
        <v>54</v>
      </c>
      <c r="F2337" s="8" t="s">
        <v>54</v>
      </c>
      <c r="G2337" s="10" t="s">
        <v>67</v>
      </c>
      <c r="H2337" s="8" t="s">
        <v>54</v>
      </c>
      <c r="I2337" s="8" t="s">
        <v>54</v>
      </c>
      <c r="J2337" s="8" t="s">
        <v>54</v>
      </c>
      <c r="K2337" s="8" t="s">
        <v>54</v>
      </c>
      <c r="L2337" s="8" t="s">
        <v>54</v>
      </c>
      <c r="M2337" s="12" t="s">
        <v>55</v>
      </c>
      <c r="N2337" s="10" t="s">
        <v>67</v>
      </c>
      <c r="O2337" s="8" t="s">
        <v>54</v>
      </c>
      <c r="P2337" s="8" t="s">
        <v>54</v>
      </c>
      <c r="Q2337" s="8" t="s">
        <v>54</v>
      </c>
      <c r="R2337" s="8" t="s">
        <v>54</v>
      </c>
      <c r="S2337" s="8" t="s">
        <v>54</v>
      </c>
      <c r="T2337" s="8" t="s">
        <v>54</v>
      </c>
      <c r="U2337" s="10" t="s">
        <v>67</v>
      </c>
      <c r="V2337" s="8" t="s">
        <v>54</v>
      </c>
      <c r="W2337" s="8" t="s">
        <v>54</v>
      </c>
      <c r="X2337" s="8" t="s">
        <v>54</v>
      </c>
      <c r="Y2337" s="8" t="s">
        <v>54</v>
      </c>
      <c r="Z2337" s="8" t="s">
        <v>54</v>
      </c>
      <c r="AA2337" s="8" t="s">
        <v>54</v>
      </c>
      <c r="AB2337" s="10" t="s">
        <v>67</v>
      </c>
      <c r="AC2337" s="8" t="s">
        <v>54</v>
      </c>
      <c r="AD2337" s="8" t="s">
        <v>54</v>
      </c>
      <c r="AE2337" s="8" t="s">
        <v>54</v>
      </c>
      <c r="AF2337" s="8" t="s">
        <v>54</v>
      </c>
      <c r="AG2337" s="8" t="s">
        <v>54</v>
      </c>
      <c r="AH2337" s="8" t="s">
        <v>54</v>
      </c>
      <c r="AI2337" s="10" t="s">
        <v>67</v>
      </c>
      <c r="AJ2337" s="8">
        <f>COUNTIF($E$2337:$AI$2337,"P")</f>
        <v>25</v>
      </c>
      <c r="AK2337" s="8">
        <f>COUNTIF($E$2337:$AI$2337,"A")</f>
        <v>1</v>
      </c>
      <c r="AL2337" s="8">
        <f>SUM($E$2338:$AI$2338)</f>
        <v>0</v>
      </c>
      <c r="AM2337" s="8">
        <f>SUM($E$2339:$AI$2339)</f>
        <v>0</v>
      </c>
      <c r="AN2337" s="8">
        <f>AL2337+AM2337</f>
        <v>0</v>
      </c>
      <c r="AO2337" s="8">
        <f>COUNTIF($E$2337:$AI$2337,"CL")</f>
        <v>0</v>
      </c>
      <c r="AP2337" s="8">
        <f>COUNTIF($E$2337:$AI$2337,"SL")</f>
        <v>0</v>
      </c>
      <c r="AQ2337" s="8">
        <f>COUNTIF($E$2337:$AI$2337,"EL")</f>
        <v>0</v>
      </c>
      <c r="AR2337" s="8">
        <f>COUNTIF($E$2337:$AI$2337,"H")</f>
        <v>0</v>
      </c>
      <c r="AS2337" s="8"/>
      <c r="AT2337" s="11" t="s">
        <v>258</v>
      </c>
    </row>
    <row r="2338" spans="1:46" ht="15.1" customHeight="1">
      <c r="A2338" s="8"/>
      <c r="B2338" s="9"/>
      <c r="C2338" s="8"/>
      <c r="D2338" s="9"/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11" t="s">
        <v>258</v>
      </c>
    </row>
    <row r="2339" spans="1:46" ht="15.1" customHeight="1">
      <c r="A2339" s="8"/>
      <c r="B2339" s="9"/>
      <c r="C2339" s="8"/>
      <c r="D2339" s="9"/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  <c r="M2339" s="8">
        <v>0</v>
      </c>
      <c r="N2339" s="8">
        <v>0</v>
      </c>
      <c r="O2339" s="8">
        <v>0</v>
      </c>
      <c r="P2339" s="8">
        <v>0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11" t="s">
        <v>258</v>
      </c>
    </row>
    <row r="2340" spans="1:46" ht="15.1" customHeight="1">
      <c r="A2340" s="8">
        <v>779</v>
      </c>
      <c r="B2340" s="9" t="s">
        <v>1797</v>
      </c>
      <c r="C2340" s="8" t="s">
        <v>1798</v>
      </c>
      <c r="D2340" s="9" t="s">
        <v>1742</v>
      </c>
      <c r="E2340" s="8" t="s">
        <v>67</v>
      </c>
      <c r="F2340" s="8" t="s">
        <v>54</v>
      </c>
      <c r="G2340" s="10" t="s">
        <v>54</v>
      </c>
      <c r="H2340" s="8" t="s">
        <v>54</v>
      </c>
      <c r="I2340" s="8" t="s">
        <v>54</v>
      </c>
      <c r="J2340" s="8" t="s">
        <v>54</v>
      </c>
      <c r="K2340" s="8" t="s">
        <v>54</v>
      </c>
      <c r="L2340" s="8" t="s">
        <v>67</v>
      </c>
      <c r="M2340" s="8" t="s">
        <v>54</v>
      </c>
      <c r="N2340" s="10" t="s">
        <v>54</v>
      </c>
      <c r="O2340" s="8" t="s">
        <v>54</v>
      </c>
      <c r="P2340" s="8" t="s">
        <v>54</v>
      </c>
      <c r="Q2340" s="8" t="s">
        <v>54</v>
      </c>
      <c r="R2340" s="8" t="s">
        <v>54</v>
      </c>
      <c r="S2340" s="8" t="s">
        <v>67</v>
      </c>
      <c r="T2340" s="8" t="s">
        <v>54</v>
      </c>
      <c r="U2340" s="10" t="s">
        <v>54</v>
      </c>
      <c r="V2340" s="8" t="s">
        <v>54</v>
      </c>
      <c r="W2340" s="8" t="s">
        <v>54</v>
      </c>
      <c r="X2340" s="8" t="s">
        <v>54</v>
      </c>
      <c r="Y2340" s="8" t="s">
        <v>54</v>
      </c>
      <c r="Z2340" s="8" t="s">
        <v>67</v>
      </c>
      <c r="AA2340" s="8" t="s">
        <v>54</v>
      </c>
      <c r="AB2340" s="10" t="s">
        <v>54</v>
      </c>
      <c r="AC2340" s="8" t="s">
        <v>54</v>
      </c>
      <c r="AD2340" s="8" t="s">
        <v>54</v>
      </c>
      <c r="AE2340" s="8" t="s">
        <v>54</v>
      </c>
      <c r="AF2340" s="8" t="s">
        <v>54</v>
      </c>
      <c r="AG2340" s="8" t="s">
        <v>67</v>
      </c>
      <c r="AH2340" s="8" t="s">
        <v>54</v>
      </c>
      <c r="AI2340" s="10" t="s">
        <v>54</v>
      </c>
      <c r="AJ2340" s="8">
        <f>COUNTIF($E$2340:$AI$2340,"P")</f>
        <v>26</v>
      </c>
      <c r="AK2340" s="8">
        <f>COUNTIF($E$2340:$AI$2340,"A")</f>
        <v>0</v>
      </c>
      <c r="AL2340" s="8">
        <f>SUM($E$2341:$AI$2341)</f>
        <v>0</v>
      </c>
      <c r="AM2340" s="8">
        <f>SUM($E$2342:$AI$2342)</f>
        <v>0</v>
      </c>
      <c r="AN2340" s="8">
        <f>AL2340+AM2340</f>
        <v>0</v>
      </c>
      <c r="AO2340" s="8">
        <f>COUNTIF($E$2340:$AI$2340,"CL")</f>
        <v>0</v>
      </c>
      <c r="AP2340" s="8">
        <f>COUNTIF($E$2340:$AI$2340,"SL")</f>
        <v>0</v>
      </c>
      <c r="AQ2340" s="8">
        <f>COUNTIF($E$2340:$AI$2340,"EL")</f>
        <v>0</v>
      </c>
      <c r="AR2340" s="8">
        <f>COUNTIF($E$2340:$AI$2340,"H")</f>
        <v>0</v>
      </c>
      <c r="AS2340" s="8"/>
      <c r="AT2340" s="11" t="s">
        <v>258</v>
      </c>
    </row>
    <row r="2341" spans="1:46" ht="15.1" customHeight="1">
      <c r="A2341" s="8"/>
      <c r="B2341" s="9"/>
      <c r="C2341" s="8"/>
      <c r="D2341" s="9"/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11" t="s">
        <v>258</v>
      </c>
    </row>
    <row r="2342" spans="1:46" ht="15.1" customHeight="1">
      <c r="A2342" s="8"/>
      <c r="B2342" s="9"/>
      <c r="C2342" s="8"/>
      <c r="D2342" s="9"/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11" t="s">
        <v>258</v>
      </c>
    </row>
    <row r="2343" spans="1:46" ht="15.1" customHeight="1">
      <c r="A2343" s="8">
        <v>780</v>
      </c>
      <c r="B2343" s="9" t="s">
        <v>1799</v>
      </c>
      <c r="C2343" s="8" t="s">
        <v>1800</v>
      </c>
      <c r="D2343" s="9" t="s">
        <v>1742</v>
      </c>
      <c r="E2343" s="8" t="s">
        <v>67</v>
      </c>
      <c r="F2343" s="8" t="s">
        <v>54</v>
      </c>
      <c r="G2343" s="10" t="s">
        <v>54</v>
      </c>
      <c r="H2343" s="8" t="s">
        <v>54</v>
      </c>
      <c r="I2343" s="8" t="s">
        <v>54</v>
      </c>
      <c r="J2343" s="8" t="s">
        <v>54</v>
      </c>
      <c r="K2343" s="8" t="s">
        <v>54</v>
      </c>
      <c r="L2343" s="8" t="s">
        <v>67</v>
      </c>
      <c r="M2343" s="8" t="s">
        <v>54</v>
      </c>
      <c r="N2343" s="10" t="s">
        <v>54</v>
      </c>
      <c r="O2343" s="8" t="s">
        <v>54</v>
      </c>
      <c r="P2343" s="8" t="s">
        <v>54</v>
      </c>
      <c r="Q2343" s="8" t="s">
        <v>54</v>
      </c>
      <c r="R2343" s="8" t="s">
        <v>54</v>
      </c>
      <c r="S2343" s="8" t="s">
        <v>67</v>
      </c>
      <c r="T2343" s="8" t="s">
        <v>54</v>
      </c>
      <c r="U2343" s="10" t="s">
        <v>54</v>
      </c>
      <c r="V2343" s="8" t="s">
        <v>54</v>
      </c>
      <c r="W2343" s="8" t="s">
        <v>54</v>
      </c>
      <c r="X2343" s="8" t="s">
        <v>54</v>
      </c>
      <c r="Y2343" s="8" t="s">
        <v>54</v>
      </c>
      <c r="Z2343" s="8" t="s">
        <v>67</v>
      </c>
      <c r="AA2343" s="8" t="s">
        <v>54</v>
      </c>
      <c r="AB2343" s="10" t="s">
        <v>54</v>
      </c>
      <c r="AC2343" s="8" t="s">
        <v>54</v>
      </c>
      <c r="AD2343" s="8" t="s">
        <v>54</v>
      </c>
      <c r="AE2343" s="8" t="s">
        <v>54</v>
      </c>
      <c r="AF2343" s="8" t="s">
        <v>54</v>
      </c>
      <c r="AG2343" s="8" t="s">
        <v>67</v>
      </c>
      <c r="AH2343" s="12" t="s">
        <v>55</v>
      </c>
      <c r="AI2343" s="10" t="s">
        <v>55</v>
      </c>
      <c r="AJ2343" s="8">
        <f>COUNTIF($E$2343:$AI$2343,"P")</f>
        <v>24</v>
      </c>
      <c r="AK2343" s="8">
        <f>COUNTIF($E$2343:$AI$2343,"A")</f>
        <v>2</v>
      </c>
      <c r="AL2343" s="8">
        <f>SUM($E$2344:$AI$2344)</f>
        <v>0</v>
      </c>
      <c r="AM2343" s="8">
        <f>SUM($E$2345:$AI$2345)</f>
        <v>0</v>
      </c>
      <c r="AN2343" s="8">
        <f>AL2343+AM2343</f>
        <v>0</v>
      </c>
      <c r="AO2343" s="8">
        <f>COUNTIF($E$2343:$AI$2343,"CL")</f>
        <v>0</v>
      </c>
      <c r="AP2343" s="8">
        <f>COUNTIF($E$2343:$AI$2343,"SL")</f>
        <v>0</v>
      </c>
      <c r="AQ2343" s="8">
        <f>COUNTIF($E$2343:$AI$2343,"EL")</f>
        <v>0</v>
      </c>
      <c r="AR2343" s="8">
        <f>COUNTIF($E$2343:$AI$2343,"H")</f>
        <v>0</v>
      </c>
      <c r="AS2343" s="8"/>
      <c r="AT2343" s="11" t="s">
        <v>258</v>
      </c>
    </row>
    <row r="2344" spans="1:46" ht="15.1" customHeight="1">
      <c r="A2344" s="8"/>
      <c r="B2344" s="9"/>
      <c r="C2344" s="8"/>
      <c r="D2344" s="9"/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11" t="s">
        <v>258</v>
      </c>
    </row>
    <row r="2345" spans="1:46" ht="15.1" customHeight="1">
      <c r="A2345" s="8"/>
      <c r="B2345" s="9"/>
      <c r="C2345" s="8"/>
      <c r="D2345" s="9"/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  <c r="M2345" s="8">
        <v>0</v>
      </c>
      <c r="N2345" s="8">
        <v>0</v>
      </c>
      <c r="O2345" s="8">
        <v>0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11" t="s">
        <v>258</v>
      </c>
    </row>
    <row r="2346" spans="1:46" ht="15.1" customHeight="1">
      <c r="A2346" s="8">
        <v>781</v>
      </c>
      <c r="B2346" s="9" t="s">
        <v>1801</v>
      </c>
      <c r="C2346" s="8" t="s">
        <v>1802</v>
      </c>
      <c r="D2346" s="9" t="s">
        <v>1739</v>
      </c>
      <c r="E2346" s="8" t="s">
        <v>54</v>
      </c>
      <c r="F2346" s="8" t="s">
        <v>54</v>
      </c>
      <c r="G2346" s="10" t="s">
        <v>67</v>
      </c>
      <c r="H2346" s="12" t="s">
        <v>55</v>
      </c>
      <c r="I2346" s="12" t="s">
        <v>55</v>
      </c>
      <c r="J2346" s="12" t="s">
        <v>55</v>
      </c>
      <c r="K2346" s="12" t="s">
        <v>55</v>
      </c>
      <c r="L2346" s="8" t="s">
        <v>54</v>
      </c>
      <c r="M2346" s="8" t="s">
        <v>54</v>
      </c>
      <c r="N2346" s="10" t="s">
        <v>67</v>
      </c>
      <c r="O2346" s="8" t="s">
        <v>54</v>
      </c>
      <c r="P2346" s="8" t="s">
        <v>54</v>
      </c>
      <c r="Q2346" s="8" t="s">
        <v>54</v>
      </c>
      <c r="R2346" s="8" t="s">
        <v>54</v>
      </c>
      <c r="S2346" s="8" t="s">
        <v>54</v>
      </c>
      <c r="T2346" s="8" t="s">
        <v>54</v>
      </c>
      <c r="U2346" s="10" t="s">
        <v>67</v>
      </c>
      <c r="V2346" s="8" t="s">
        <v>54</v>
      </c>
      <c r="W2346" s="8" t="s">
        <v>54</v>
      </c>
      <c r="X2346" s="8" t="s">
        <v>54</v>
      </c>
      <c r="Y2346" s="8" t="s">
        <v>54</v>
      </c>
      <c r="Z2346" s="8" t="s">
        <v>54</v>
      </c>
      <c r="AA2346" s="8" t="s">
        <v>54</v>
      </c>
      <c r="AB2346" s="10" t="s">
        <v>67</v>
      </c>
      <c r="AC2346" s="8" t="s">
        <v>54</v>
      </c>
      <c r="AD2346" s="8" t="s">
        <v>54</v>
      </c>
      <c r="AE2346" s="8" t="s">
        <v>54</v>
      </c>
      <c r="AF2346" s="8" t="s">
        <v>54</v>
      </c>
      <c r="AG2346" s="8" t="s">
        <v>54</v>
      </c>
      <c r="AH2346" s="8" t="s">
        <v>54</v>
      </c>
      <c r="AI2346" s="10" t="s">
        <v>67</v>
      </c>
      <c r="AJ2346" s="8">
        <f>COUNTIF($E$2346:$AI$2346,"P")</f>
        <v>22</v>
      </c>
      <c r="AK2346" s="8">
        <f>COUNTIF($E$2346:$AI$2346,"A")</f>
        <v>4</v>
      </c>
      <c r="AL2346" s="8">
        <f>SUM($E$2347:$AI$2347)</f>
        <v>0</v>
      </c>
      <c r="AM2346" s="8">
        <f>SUM($E$2348:$AI$2348)</f>
        <v>0</v>
      </c>
      <c r="AN2346" s="8">
        <f>AL2346+AM2346</f>
        <v>0</v>
      </c>
      <c r="AO2346" s="8">
        <f>COUNTIF($E$2346:$AI$2346,"CL")</f>
        <v>0</v>
      </c>
      <c r="AP2346" s="8">
        <f>COUNTIF($E$2346:$AI$2346,"SL")</f>
        <v>0</v>
      </c>
      <c r="AQ2346" s="8">
        <f>COUNTIF($E$2346:$AI$2346,"EL")</f>
        <v>0</v>
      </c>
      <c r="AR2346" s="8">
        <f>COUNTIF($E$2346:$AI$2346,"H")</f>
        <v>0</v>
      </c>
      <c r="AS2346" s="8"/>
      <c r="AT2346" s="11" t="s">
        <v>258</v>
      </c>
    </row>
    <row r="2347" spans="1:46" ht="15.1" customHeight="1">
      <c r="A2347" s="8"/>
      <c r="B2347" s="9"/>
      <c r="C2347" s="8"/>
      <c r="D2347" s="9"/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  <c r="M2347" s="8">
        <v>0</v>
      </c>
      <c r="N2347" s="8">
        <v>0</v>
      </c>
      <c r="O2347" s="8">
        <v>0</v>
      </c>
      <c r="P2347" s="8">
        <v>0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11" t="s">
        <v>258</v>
      </c>
    </row>
    <row r="2348" spans="1:46" ht="15.1" customHeight="1">
      <c r="A2348" s="8"/>
      <c r="B2348" s="9"/>
      <c r="C2348" s="8"/>
      <c r="D2348" s="9"/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11" t="s">
        <v>258</v>
      </c>
    </row>
    <row r="2349" spans="1:46" ht="15.1" customHeight="1">
      <c r="A2349" s="8">
        <v>782</v>
      </c>
      <c r="B2349" s="9" t="s">
        <v>1803</v>
      </c>
      <c r="C2349" s="8" t="s">
        <v>1804</v>
      </c>
      <c r="D2349" s="9" t="s">
        <v>1742</v>
      </c>
      <c r="E2349" s="8" t="s">
        <v>54</v>
      </c>
      <c r="F2349" s="8" t="s">
        <v>54</v>
      </c>
      <c r="G2349" s="10" t="s">
        <v>54</v>
      </c>
      <c r="H2349" s="8" t="s">
        <v>67</v>
      </c>
      <c r="I2349" s="8" t="s">
        <v>54</v>
      </c>
      <c r="J2349" s="8" t="s">
        <v>54</v>
      </c>
      <c r="K2349" s="8" t="s">
        <v>54</v>
      </c>
      <c r="L2349" s="8" t="s">
        <v>54</v>
      </c>
      <c r="M2349" s="8" t="s">
        <v>54</v>
      </c>
      <c r="N2349" s="10" t="s">
        <v>54</v>
      </c>
      <c r="O2349" s="8" t="s">
        <v>67</v>
      </c>
      <c r="P2349" s="8" t="s">
        <v>54</v>
      </c>
      <c r="Q2349" s="8" t="s">
        <v>54</v>
      </c>
      <c r="R2349" s="8" t="s">
        <v>54</v>
      </c>
      <c r="S2349" s="8" t="s">
        <v>54</v>
      </c>
      <c r="T2349" s="8" t="s">
        <v>54</v>
      </c>
      <c r="U2349" s="10" t="s">
        <v>54</v>
      </c>
      <c r="V2349" s="8" t="s">
        <v>67</v>
      </c>
      <c r="W2349" s="8" t="s">
        <v>54</v>
      </c>
      <c r="X2349" s="8" t="s">
        <v>54</v>
      </c>
      <c r="Y2349" s="8" t="s">
        <v>54</v>
      </c>
      <c r="Z2349" s="8" t="s">
        <v>54</v>
      </c>
      <c r="AA2349" s="8" t="s">
        <v>54</v>
      </c>
      <c r="AB2349" s="10" t="s">
        <v>54</v>
      </c>
      <c r="AC2349" s="8" t="s">
        <v>67</v>
      </c>
      <c r="AD2349" s="8" t="s">
        <v>54</v>
      </c>
      <c r="AE2349" s="8" t="s">
        <v>54</v>
      </c>
      <c r="AF2349" s="8" t="s">
        <v>54</v>
      </c>
      <c r="AG2349" s="8" t="s">
        <v>54</v>
      </c>
      <c r="AH2349" s="8" t="s">
        <v>54</v>
      </c>
      <c r="AI2349" s="10" t="s">
        <v>54</v>
      </c>
      <c r="AJ2349" s="8">
        <f>COUNTIF($E$2349:$AI$2349,"P")</f>
        <v>27</v>
      </c>
      <c r="AK2349" s="8">
        <f>COUNTIF($E$2349:$AI$2349,"A")</f>
        <v>0</v>
      </c>
      <c r="AL2349" s="8">
        <f>SUM($E$2350:$AI$2350)</f>
        <v>0</v>
      </c>
      <c r="AM2349" s="8">
        <f>SUM($E$2351:$AI$2351)</f>
        <v>0</v>
      </c>
      <c r="AN2349" s="8">
        <f>AL2349+AM2349</f>
        <v>0</v>
      </c>
      <c r="AO2349" s="8">
        <f>COUNTIF($E$2349:$AI$2349,"CL")</f>
        <v>0</v>
      </c>
      <c r="AP2349" s="8">
        <f>COUNTIF($E$2349:$AI$2349,"SL")</f>
        <v>0</v>
      </c>
      <c r="AQ2349" s="8">
        <f>COUNTIF($E$2349:$AI$2349,"EL")</f>
        <v>0</v>
      </c>
      <c r="AR2349" s="8">
        <f>COUNTIF($E$2349:$AI$2349,"H")</f>
        <v>0</v>
      </c>
      <c r="AS2349" s="8"/>
      <c r="AT2349" s="11" t="s">
        <v>258</v>
      </c>
    </row>
    <row r="2350" spans="1:46" ht="15.1" customHeight="1">
      <c r="A2350" s="8"/>
      <c r="B2350" s="9"/>
      <c r="C2350" s="8"/>
      <c r="D2350" s="9"/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11" t="s">
        <v>258</v>
      </c>
    </row>
    <row r="2351" spans="1:46" ht="15.1" customHeight="1">
      <c r="A2351" s="8"/>
      <c r="B2351" s="9"/>
      <c r="C2351" s="8"/>
      <c r="D2351" s="9"/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11" t="s">
        <v>258</v>
      </c>
    </row>
    <row r="2352" spans="1:46" ht="15.1" customHeight="1">
      <c r="A2352" s="8">
        <v>783</v>
      </c>
      <c r="B2352" s="9" t="s">
        <v>1805</v>
      </c>
      <c r="C2352" s="8" t="s">
        <v>1806</v>
      </c>
      <c r="D2352" s="9" t="s">
        <v>1742</v>
      </c>
      <c r="E2352" s="8" t="s">
        <v>54</v>
      </c>
      <c r="F2352" s="8" t="s">
        <v>54</v>
      </c>
      <c r="G2352" s="10" t="s">
        <v>54</v>
      </c>
      <c r="H2352" s="8" t="s">
        <v>54</v>
      </c>
      <c r="I2352" s="8" t="s">
        <v>67</v>
      </c>
      <c r="J2352" s="8" t="s">
        <v>54</v>
      </c>
      <c r="K2352" s="8" t="s">
        <v>54</v>
      </c>
      <c r="L2352" s="8" t="s">
        <v>54</v>
      </c>
      <c r="M2352" s="8" t="s">
        <v>54</v>
      </c>
      <c r="N2352" s="10" t="s">
        <v>54</v>
      </c>
      <c r="O2352" s="8" t="s">
        <v>54</v>
      </c>
      <c r="P2352" s="8" t="s">
        <v>67</v>
      </c>
      <c r="Q2352" s="8" t="s">
        <v>54</v>
      </c>
      <c r="R2352" s="8" t="s">
        <v>54</v>
      </c>
      <c r="S2352" s="8" t="s">
        <v>54</v>
      </c>
      <c r="T2352" s="8" t="s">
        <v>54</v>
      </c>
      <c r="U2352" s="10" t="s">
        <v>54</v>
      </c>
      <c r="V2352" s="8" t="s">
        <v>54</v>
      </c>
      <c r="W2352" s="8" t="s">
        <v>67</v>
      </c>
      <c r="X2352" s="8" t="s">
        <v>54</v>
      </c>
      <c r="Y2352" s="8" t="s">
        <v>54</v>
      </c>
      <c r="Z2352" s="8" t="s">
        <v>54</v>
      </c>
      <c r="AA2352" s="8" t="s">
        <v>54</v>
      </c>
      <c r="AB2352" s="10" t="s">
        <v>54</v>
      </c>
      <c r="AC2352" s="8" t="s">
        <v>54</v>
      </c>
      <c r="AD2352" s="8" t="s">
        <v>67</v>
      </c>
      <c r="AE2352" s="8" t="s">
        <v>54</v>
      </c>
      <c r="AF2352" s="8" t="s">
        <v>54</v>
      </c>
      <c r="AG2352" s="8" t="s">
        <v>54</v>
      </c>
      <c r="AH2352" s="8" t="s">
        <v>54</v>
      </c>
      <c r="AI2352" s="10" t="s">
        <v>55</v>
      </c>
      <c r="AJ2352" s="8">
        <f>COUNTIF($E$2352:$AI$2352,"P")</f>
        <v>26</v>
      </c>
      <c r="AK2352" s="8">
        <f>COUNTIF($E$2352:$AI$2352,"A")</f>
        <v>1</v>
      </c>
      <c r="AL2352" s="8">
        <f>SUM($E$2353:$AI$2353)</f>
        <v>0</v>
      </c>
      <c r="AM2352" s="8">
        <f>SUM($E$2354:$AI$2354)</f>
        <v>0</v>
      </c>
      <c r="AN2352" s="8">
        <f>AL2352+AM2352</f>
        <v>0</v>
      </c>
      <c r="AO2352" s="8">
        <f>COUNTIF($E$2352:$AI$2352,"CL")</f>
        <v>0</v>
      </c>
      <c r="AP2352" s="8">
        <f>COUNTIF($E$2352:$AI$2352,"SL")</f>
        <v>0</v>
      </c>
      <c r="AQ2352" s="8">
        <f>COUNTIF($E$2352:$AI$2352,"EL")</f>
        <v>0</v>
      </c>
      <c r="AR2352" s="8">
        <f>COUNTIF($E$2352:$AI$2352,"H")</f>
        <v>0</v>
      </c>
      <c r="AS2352" s="8"/>
      <c r="AT2352" s="11" t="s">
        <v>258</v>
      </c>
    </row>
    <row r="2353" spans="1:46" ht="15.1" customHeight="1">
      <c r="A2353" s="8"/>
      <c r="B2353" s="9"/>
      <c r="C2353" s="8"/>
      <c r="D2353" s="9"/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  <c r="Q2353" s="8">
        <v>0</v>
      </c>
      <c r="R2353" s="8">
        <v>0</v>
      </c>
      <c r="S2353" s="8">
        <v>0</v>
      </c>
      <c r="T2353" s="8">
        <v>0</v>
      </c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8">
        <v>0</v>
      </c>
      <c r="AH2353" s="8">
        <v>0</v>
      </c>
      <c r="AI2353" s="8">
        <v>0</v>
      </c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11" t="s">
        <v>258</v>
      </c>
    </row>
    <row r="2354" spans="1:46" ht="15.1" customHeight="1">
      <c r="A2354" s="8"/>
      <c r="B2354" s="9"/>
      <c r="C2354" s="8"/>
      <c r="D2354" s="9"/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11" t="s">
        <v>258</v>
      </c>
    </row>
    <row r="2355" spans="1:46" ht="15.1" customHeight="1">
      <c r="A2355" s="8">
        <v>784</v>
      </c>
      <c r="B2355" s="9" t="s">
        <v>1807</v>
      </c>
      <c r="C2355" s="8" t="s">
        <v>1808</v>
      </c>
      <c r="D2355" s="9" t="s">
        <v>1742</v>
      </c>
      <c r="E2355" s="8" t="s">
        <v>54</v>
      </c>
      <c r="F2355" s="8" t="s">
        <v>54</v>
      </c>
      <c r="G2355" s="10" t="s">
        <v>54</v>
      </c>
      <c r="H2355" s="8" t="s">
        <v>67</v>
      </c>
      <c r="I2355" s="8" t="s">
        <v>54</v>
      </c>
      <c r="J2355" s="8" t="s">
        <v>54</v>
      </c>
      <c r="K2355" s="8" t="s">
        <v>54</v>
      </c>
      <c r="L2355" s="8" t="s">
        <v>54</v>
      </c>
      <c r="M2355" s="8" t="s">
        <v>54</v>
      </c>
      <c r="N2355" s="10" t="s">
        <v>54</v>
      </c>
      <c r="O2355" s="8" t="s">
        <v>67</v>
      </c>
      <c r="P2355" s="8" t="s">
        <v>54</v>
      </c>
      <c r="Q2355" s="8" t="s">
        <v>54</v>
      </c>
      <c r="R2355" s="8" t="s">
        <v>54</v>
      </c>
      <c r="S2355" s="8" t="s">
        <v>54</v>
      </c>
      <c r="T2355" s="8" t="s">
        <v>54</v>
      </c>
      <c r="U2355" s="10" t="s">
        <v>54</v>
      </c>
      <c r="V2355" s="8" t="s">
        <v>67</v>
      </c>
      <c r="W2355" s="8" t="s">
        <v>54</v>
      </c>
      <c r="X2355" s="8" t="s">
        <v>54</v>
      </c>
      <c r="Y2355" s="8" t="s">
        <v>54</v>
      </c>
      <c r="Z2355" s="8" t="s">
        <v>54</v>
      </c>
      <c r="AA2355" s="8" t="s">
        <v>54</v>
      </c>
      <c r="AB2355" s="10" t="s">
        <v>54</v>
      </c>
      <c r="AC2355" s="8" t="s">
        <v>67</v>
      </c>
      <c r="AD2355" s="8" t="s">
        <v>54</v>
      </c>
      <c r="AE2355" s="8" t="s">
        <v>54</v>
      </c>
      <c r="AF2355" s="8" t="s">
        <v>54</v>
      </c>
      <c r="AG2355" s="8" t="s">
        <v>54</v>
      </c>
      <c r="AH2355" s="8" t="s">
        <v>54</v>
      </c>
      <c r="AI2355" s="10" t="s">
        <v>55</v>
      </c>
      <c r="AJ2355" s="8">
        <f>COUNTIF($E$2355:$AI$2355,"P")</f>
        <v>26</v>
      </c>
      <c r="AK2355" s="8">
        <f>COUNTIF($E$2355:$AI$2355,"A")</f>
        <v>1</v>
      </c>
      <c r="AL2355" s="8">
        <f>SUM($E$2356:$AI$2356)</f>
        <v>0</v>
      </c>
      <c r="AM2355" s="8">
        <f>SUM($E$2357:$AI$2357)</f>
        <v>0</v>
      </c>
      <c r="AN2355" s="8">
        <f>AL2355+AM2355</f>
        <v>0</v>
      </c>
      <c r="AO2355" s="8">
        <f>COUNTIF($E$2355:$AI$2355,"CL")</f>
        <v>0</v>
      </c>
      <c r="AP2355" s="8">
        <f>COUNTIF($E$2355:$AI$2355,"SL")</f>
        <v>0</v>
      </c>
      <c r="AQ2355" s="8">
        <f>COUNTIF($E$2355:$AI$2355,"EL")</f>
        <v>0</v>
      </c>
      <c r="AR2355" s="8">
        <f>COUNTIF($E$2355:$AI$2355,"H")</f>
        <v>0</v>
      </c>
      <c r="AS2355" s="8"/>
      <c r="AT2355" s="11" t="s">
        <v>258</v>
      </c>
    </row>
    <row r="2356" spans="1:46" ht="15.1" customHeight="1">
      <c r="A2356" s="8"/>
      <c r="B2356" s="9"/>
      <c r="C2356" s="8"/>
      <c r="D2356" s="9"/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11" t="s">
        <v>258</v>
      </c>
    </row>
    <row r="2357" spans="1:46" ht="15.1" customHeight="1">
      <c r="A2357" s="8"/>
      <c r="B2357" s="9"/>
      <c r="C2357" s="8"/>
      <c r="D2357" s="9"/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  <c r="R2357" s="8">
        <v>0</v>
      </c>
      <c r="S2357" s="8">
        <v>0</v>
      </c>
      <c r="T2357" s="8">
        <v>0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11" t="s">
        <v>258</v>
      </c>
    </row>
    <row r="2358" spans="1:46" ht="15.1" customHeight="1">
      <c r="A2358" s="8">
        <v>785</v>
      </c>
      <c r="B2358" s="9" t="s">
        <v>1809</v>
      </c>
      <c r="C2358" s="8" t="s">
        <v>1810</v>
      </c>
      <c r="D2358" s="9" t="s">
        <v>1742</v>
      </c>
      <c r="E2358" s="8" t="s">
        <v>54</v>
      </c>
      <c r="F2358" s="8" t="s">
        <v>54</v>
      </c>
      <c r="G2358" s="10" t="s">
        <v>67</v>
      </c>
      <c r="H2358" s="8" t="s">
        <v>54</v>
      </c>
      <c r="I2358" s="8" t="s">
        <v>54</v>
      </c>
      <c r="J2358" s="8" t="s">
        <v>54</v>
      </c>
      <c r="K2358" s="8" t="s">
        <v>54</v>
      </c>
      <c r="L2358" s="8" t="s">
        <v>54</v>
      </c>
      <c r="M2358" s="8" t="s">
        <v>54</v>
      </c>
      <c r="N2358" s="10" t="s">
        <v>67</v>
      </c>
      <c r="O2358" s="8" t="s">
        <v>54</v>
      </c>
      <c r="P2358" s="8" t="s">
        <v>54</v>
      </c>
      <c r="Q2358" s="8" t="s">
        <v>54</v>
      </c>
      <c r="R2358" s="8" t="s">
        <v>54</v>
      </c>
      <c r="S2358" s="8" t="s">
        <v>54</v>
      </c>
      <c r="T2358" s="8" t="s">
        <v>54</v>
      </c>
      <c r="U2358" s="10" t="s">
        <v>67</v>
      </c>
      <c r="V2358" s="8" t="s">
        <v>54</v>
      </c>
      <c r="W2358" s="8" t="s">
        <v>54</v>
      </c>
      <c r="X2358" s="8" t="s">
        <v>54</v>
      </c>
      <c r="Y2358" s="8" t="s">
        <v>54</v>
      </c>
      <c r="Z2358" s="8" t="s">
        <v>54</v>
      </c>
      <c r="AA2358" s="8" t="s">
        <v>54</v>
      </c>
      <c r="AB2358" s="10" t="s">
        <v>67</v>
      </c>
      <c r="AC2358" s="8" t="s">
        <v>54</v>
      </c>
      <c r="AD2358" s="8" t="s">
        <v>54</v>
      </c>
      <c r="AE2358" s="8" t="s">
        <v>54</v>
      </c>
      <c r="AF2358" s="8" t="s">
        <v>54</v>
      </c>
      <c r="AG2358" s="8" t="s">
        <v>54</v>
      </c>
      <c r="AH2358" s="8" t="s">
        <v>54</v>
      </c>
      <c r="AI2358" s="10" t="s">
        <v>67</v>
      </c>
      <c r="AJ2358" s="8">
        <f>COUNTIF($E$2358:$AI$2358,"P")</f>
        <v>26</v>
      </c>
      <c r="AK2358" s="8">
        <f>COUNTIF($E$2358:$AI$2358,"A")</f>
        <v>0</v>
      </c>
      <c r="AL2358" s="8">
        <f>SUM($E$2359:$AI$2359)</f>
        <v>0</v>
      </c>
      <c r="AM2358" s="8">
        <f>SUM($E$2360:$AI$2360)</f>
        <v>0</v>
      </c>
      <c r="AN2358" s="8">
        <f>AL2358+AM2358</f>
        <v>0</v>
      </c>
      <c r="AO2358" s="8">
        <f>COUNTIF($E$2358:$AI$2358,"CL")</f>
        <v>0</v>
      </c>
      <c r="AP2358" s="8">
        <f>COUNTIF($E$2358:$AI$2358,"SL")</f>
        <v>0</v>
      </c>
      <c r="AQ2358" s="8">
        <f>COUNTIF($E$2358:$AI$2358,"EL")</f>
        <v>0</v>
      </c>
      <c r="AR2358" s="8">
        <f>COUNTIF($E$2358:$AI$2358,"H")</f>
        <v>0</v>
      </c>
      <c r="AS2358" s="8"/>
      <c r="AT2358" s="11" t="s">
        <v>258</v>
      </c>
    </row>
    <row r="2359" spans="1:46" ht="15.1" customHeight="1">
      <c r="A2359" s="8"/>
      <c r="B2359" s="9"/>
      <c r="C2359" s="8"/>
      <c r="D2359" s="9"/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0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11" t="s">
        <v>258</v>
      </c>
    </row>
    <row r="2360" spans="1:46" ht="15.1" customHeight="1">
      <c r="A2360" s="8"/>
      <c r="B2360" s="9"/>
      <c r="C2360" s="8"/>
      <c r="D2360" s="9"/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11" t="s">
        <v>258</v>
      </c>
    </row>
    <row r="2361" spans="1:46" ht="15.1" customHeight="1">
      <c r="A2361" s="8">
        <v>786</v>
      </c>
      <c r="B2361" s="9" t="s">
        <v>1811</v>
      </c>
      <c r="C2361" s="8" t="s">
        <v>1812</v>
      </c>
      <c r="D2361" s="9" t="s">
        <v>1742</v>
      </c>
      <c r="E2361" s="8" t="s">
        <v>54</v>
      </c>
      <c r="F2361" s="8" t="s">
        <v>54</v>
      </c>
      <c r="G2361" s="10" t="s">
        <v>67</v>
      </c>
      <c r="H2361" s="8" t="s">
        <v>54</v>
      </c>
      <c r="I2361" s="12" t="s">
        <v>55</v>
      </c>
      <c r="J2361" s="8" t="s">
        <v>54</v>
      </c>
      <c r="K2361" s="8" t="s">
        <v>54</v>
      </c>
      <c r="L2361" s="8" t="s">
        <v>54</v>
      </c>
      <c r="M2361" s="8" t="s">
        <v>54</v>
      </c>
      <c r="N2361" s="10" t="s">
        <v>67</v>
      </c>
      <c r="O2361" s="8" t="s">
        <v>54</v>
      </c>
      <c r="P2361" s="12" t="s">
        <v>55</v>
      </c>
      <c r="Q2361" s="8" t="s">
        <v>54</v>
      </c>
      <c r="R2361" s="8" t="s">
        <v>54</v>
      </c>
      <c r="S2361" s="8" t="s">
        <v>54</v>
      </c>
      <c r="T2361" s="8" t="s">
        <v>54</v>
      </c>
      <c r="U2361" s="10" t="s">
        <v>67</v>
      </c>
      <c r="V2361" s="8" t="s">
        <v>54</v>
      </c>
      <c r="W2361" s="8" t="s">
        <v>54</v>
      </c>
      <c r="X2361" s="8" t="s">
        <v>54</v>
      </c>
      <c r="Y2361" s="8" t="s">
        <v>54</v>
      </c>
      <c r="Z2361" s="8" t="s">
        <v>54</v>
      </c>
      <c r="AA2361" s="8" t="s">
        <v>54</v>
      </c>
      <c r="AB2361" s="10" t="s">
        <v>67</v>
      </c>
      <c r="AC2361" s="8" t="s">
        <v>54</v>
      </c>
      <c r="AD2361" s="12" t="s">
        <v>55</v>
      </c>
      <c r="AE2361" s="8" t="s">
        <v>54</v>
      </c>
      <c r="AF2361" s="8" t="s">
        <v>54</v>
      </c>
      <c r="AG2361" s="8" t="s">
        <v>54</v>
      </c>
      <c r="AH2361" s="8" t="s">
        <v>54</v>
      </c>
      <c r="AI2361" s="10" t="s">
        <v>67</v>
      </c>
      <c r="AJ2361" s="8">
        <f>COUNTIF($E$2361:$AI$2361,"P")</f>
        <v>23</v>
      </c>
      <c r="AK2361" s="8">
        <f>COUNTIF($E$2361:$AI$2361,"A")</f>
        <v>3</v>
      </c>
      <c r="AL2361" s="8">
        <f>SUM($E$2362:$AI$2362)</f>
        <v>0</v>
      </c>
      <c r="AM2361" s="8">
        <f>SUM($E$2363:$AI$2363)</f>
        <v>0</v>
      </c>
      <c r="AN2361" s="8">
        <f>AL2361+AM2361</f>
        <v>0</v>
      </c>
      <c r="AO2361" s="8">
        <f>COUNTIF($E$2361:$AI$2361,"CL")</f>
        <v>0</v>
      </c>
      <c r="AP2361" s="8">
        <f>COUNTIF($E$2361:$AI$2361,"SL")</f>
        <v>0</v>
      </c>
      <c r="AQ2361" s="8">
        <f>COUNTIF($E$2361:$AI$2361,"EL")</f>
        <v>0</v>
      </c>
      <c r="AR2361" s="8">
        <f>COUNTIF($E$2361:$AI$2361,"H")</f>
        <v>0</v>
      </c>
      <c r="AS2361" s="8"/>
      <c r="AT2361" s="11" t="s">
        <v>258</v>
      </c>
    </row>
    <row r="2362" spans="1:46" ht="15.1" customHeight="1">
      <c r="A2362" s="8"/>
      <c r="B2362" s="9"/>
      <c r="C2362" s="8"/>
      <c r="D2362" s="9"/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11" t="s">
        <v>258</v>
      </c>
    </row>
    <row r="2363" spans="1:46" ht="15.1" customHeight="1">
      <c r="A2363" s="8"/>
      <c r="B2363" s="9"/>
      <c r="C2363" s="8"/>
      <c r="D2363" s="9"/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11" t="s">
        <v>258</v>
      </c>
    </row>
    <row r="2364" spans="1:46" ht="15.1" customHeight="1">
      <c r="A2364" s="8">
        <v>787</v>
      </c>
      <c r="B2364" s="9" t="s">
        <v>1813</v>
      </c>
      <c r="C2364" s="8" t="s">
        <v>1814</v>
      </c>
      <c r="D2364" s="9" t="s">
        <v>1742</v>
      </c>
      <c r="E2364" s="12" t="s">
        <v>55</v>
      </c>
      <c r="F2364" s="12" t="s">
        <v>55</v>
      </c>
      <c r="G2364" s="10" t="s">
        <v>67</v>
      </c>
      <c r="H2364" s="12" t="s">
        <v>55</v>
      </c>
      <c r="I2364" s="12" t="s">
        <v>55</v>
      </c>
      <c r="J2364" s="12" t="s">
        <v>55</v>
      </c>
      <c r="K2364" s="12" t="s">
        <v>55</v>
      </c>
      <c r="L2364" s="12" t="s">
        <v>55</v>
      </c>
      <c r="M2364" s="12" t="s">
        <v>55</v>
      </c>
      <c r="N2364" s="10" t="s">
        <v>67</v>
      </c>
      <c r="O2364" s="12" t="s">
        <v>55</v>
      </c>
      <c r="P2364" s="12" t="s">
        <v>55</v>
      </c>
      <c r="Q2364" s="12" t="s">
        <v>55</v>
      </c>
      <c r="R2364" s="12" t="s">
        <v>55</v>
      </c>
      <c r="S2364" s="12" t="s">
        <v>55</v>
      </c>
      <c r="T2364" s="12" t="s">
        <v>55</v>
      </c>
      <c r="U2364" s="10" t="s">
        <v>67</v>
      </c>
      <c r="V2364" s="12" t="s">
        <v>55</v>
      </c>
      <c r="W2364" s="12" t="s">
        <v>55</v>
      </c>
      <c r="X2364" s="12" t="s">
        <v>55</v>
      </c>
      <c r="Y2364" s="12" t="s">
        <v>55</v>
      </c>
      <c r="Z2364" s="12" t="s">
        <v>55</v>
      </c>
      <c r="AA2364" s="12" t="s">
        <v>55</v>
      </c>
      <c r="AB2364" s="10" t="s">
        <v>67</v>
      </c>
      <c r="AC2364" s="12" t="s">
        <v>55</v>
      </c>
      <c r="AD2364" s="12" t="s">
        <v>55</v>
      </c>
      <c r="AE2364" s="12" t="s">
        <v>55</v>
      </c>
      <c r="AF2364" s="12" t="s">
        <v>55</v>
      </c>
      <c r="AG2364" s="12" t="s">
        <v>55</v>
      </c>
      <c r="AH2364" s="12" t="s">
        <v>55</v>
      </c>
      <c r="AI2364" s="10" t="s">
        <v>67</v>
      </c>
      <c r="AJ2364" s="8">
        <f>COUNTIF($E$2364:$AI$2364,"P")</f>
        <v>0</v>
      </c>
      <c r="AK2364" s="8">
        <f>COUNTIF($E$2364:$AI$2364,"A")</f>
        <v>26</v>
      </c>
      <c r="AL2364" s="8">
        <f>SUM($E$2365:$AI$2365)</f>
        <v>0</v>
      </c>
      <c r="AM2364" s="8">
        <f>SUM($E$2366:$AI$2366)</f>
        <v>0</v>
      </c>
      <c r="AN2364" s="8">
        <f>AL2364+AM2364</f>
        <v>0</v>
      </c>
      <c r="AO2364" s="8">
        <f>COUNTIF($E$2364:$AI$2364,"CL")</f>
        <v>0</v>
      </c>
      <c r="AP2364" s="8">
        <f>COUNTIF($E$2364:$AI$2364,"SL")</f>
        <v>0</v>
      </c>
      <c r="AQ2364" s="8">
        <f>COUNTIF($E$2364:$AI$2364,"EL")</f>
        <v>0</v>
      </c>
      <c r="AR2364" s="8">
        <f>COUNTIF($E$2364:$AI$2364,"H")</f>
        <v>0</v>
      </c>
      <c r="AS2364" s="8"/>
      <c r="AT2364" s="11" t="s">
        <v>258</v>
      </c>
    </row>
    <row r="2365" spans="1:46" ht="15.1" customHeight="1">
      <c r="A2365" s="8"/>
      <c r="B2365" s="9"/>
      <c r="C2365" s="8"/>
      <c r="D2365" s="9"/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  <c r="M2365" s="8">
        <v>0</v>
      </c>
      <c r="N2365" s="8">
        <v>0</v>
      </c>
      <c r="O2365" s="8">
        <v>0</v>
      </c>
      <c r="P2365" s="8">
        <v>0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11" t="s">
        <v>258</v>
      </c>
    </row>
    <row r="2366" spans="1:46" ht="15.1" customHeight="1">
      <c r="A2366" s="8"/>
      <c r="B2366" s="9"/>
      <c r="C2366" s="8"/>
      <c r="D2366" s="9"/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0</v>
      </c>
      <c r="O2366" s="8">
        <v>0</v>
      </c>
      <c r="P2366" s="8">
        <v>0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11" t="s">
        <v>258</v>
      </c>
    </row>
    <row r="2367" spans="1:46" ht="15.1" customHeight="1">
      <c r="A2367" s="8">
        <v>788</v>
      </c>
      <c r="B2367" s="9" t="s">
        <v>1815</v>
      </c>
      <c r="C2367" s="8" t="s">
        <v>1816</v>
      </c>
      <c r="D2367" s="9" t="s">
        <v>888</v>
      </c>
      <c r="E2367" s="8" t="s">
        <v>54</v>
      </c>
      <c r="F2367" s="8" t="s">
        <v>54</v>
      </c>
      <c r="G2367" s="10" t="s">
        <v>67</v>
      </c>
      <c r="H2367" s="8" t="s">
        <v>54</v>
      </c>
      <c r="I2367" s="8" t="s">
        <v>54</v>
      </c>
      <c r="J2367" s="8" t="s">
        <v>54</v>
      </c>
      <c r="K2367" s="8" t="s">
        <v>54</v>
      </c>
      <c r="L2367" s="8" t="s">
        <v>54</v>
      </c>
      <c r="M2367" s="8" t="s">
        <v>54</v>
      </c>
      <c r="N2367" s="10" t="s">
        <v>67</v>
      </c>
      <c r="O2367" s="8" t="s">
        <v>54</v>
      </c>
      <c r="P2367" s="8" t="s">
        <v>54</v>
      </c>
      <c r="Q2367" s="8" t="s">
        <v>54</v>
      </c>
      <c r="R2367" s="8" t="s">
        <v>54</v>
      </c>
      <c r="S2367" s="8" t="s">
        <v>54</v>
      </c>
      <c r="T2367" s="8" t="s">
        <v>54</v>
      </c>
      <c r="U2367" s="10" t="s">
        <v>67</v>
      </c>
      <c r="V2367" s="8" t="s">
        <v>54</v>
      </c>
      <c r="W2367" s="8" t="s">
        <v>54</v>
      </c>
      <c r="X2367" s="8" t="s">
        <v>54</v>
      </c>
      <c r="Y2367" s="8" t="s">
        <v>54</v>
      </c>
      <c r="Z2367" s="8" t="s">
        <v>54</v>
      </c>
      <c r="AA2367" s="8" t="s">
        <v>54</v>
      </c>
      <c r="AB2367" s="10" t="s">
        <v>67</v>
      </c>
      <c r="AC2367" s="8" t="s">
        <v>54</v>
      </c>
      <c r="AD2367" s="8" t="s">
        <v>54</v>
      </c>
      <c r="AE2367" s="8" t="s">
        <v>54</v>
      </c>
      <c r="AF2367" s="8" t="s">
        <v>54</v>
      </c>
      <c r="AG2367" s="8" t="s">
        <v>54</v>
      </c>
      <c r="AH2367" s="8" t="s">
        <v>54</v>
      </c>
      <c r="AI2367" s="10" t="s">
        <v>67</v>
      </c>
      <c r="AJ2367" s="8">
        <f>COUNTIF($E$2367:$AI$2367,"P")</f>
        <v>26</v>
      </c>
      <c r="AK2367" s="8">
        <f>COUNTIF($E$2367:$AI$2367,"A")</f>
        <v>0</v>
      </c>
      <c r="AL2367" s="8">
        <f>SUM($E$2368:$AI$2368)</f>
        <v>32</v>
      </c>
      <c r="AM2367" s="8">
        <f>SUM($E$2369:$AI$2369)</f>
        <v>116</v>
      </c>
      <c r="AN2367" s="8">
        <f>AL2367+AM2367</f>
        <v>148</v>
      </c>
      <c r="AO2367" s="8">
        <f>COUNTIF($E$2367:$AI$2367,"CL")</f>
        <v>0</v>
      </c>
      <c r="AP2367" s="8">
        <f>COUNTIF($E$2367:$AI$2367,"SL")</f>
        <v>0</v>
      </c>
      <c r="AQ2367" s="8">
        <f>COUNTIF($E$2367:$AI$2367,"EL")</f>
        <v>0</v>
      </c>
      <c r="AR2367" s="8">
        <f>COUNTIF($E$2367:$AI$2367,"H")</f>
        <v>0</v>
      </c>
      <c r="AS2367" s="8"/>
      <c r="AT2367" s="11" t="s">
        <v>259</v>
      </c>
    </row>
    <row r="2368" spans="1:46" ht="15.1" customHeight="1">
      <c r="A2368" s="8"/>
      <c r="B2368" s="9"/>
      <c r="C2368" s="8"/>
      <c r="D2368" s="9"/>
      <c r="E2368" s="8">
        <v>2</v>
      </c>
      <c r="F2368" s="8">
        <v>2</v>
      </c>
      <c r="G2368" s="8">
        <v>0</v>
      </c>
      <c r="H2368" s="8">
        <v>2</v>
      </c>
      <c r="I2368" s="8">
        <v>2</v>
      </c>
      <c r="J2368" s="8">
        <v>2</v>
      </c>
      <c r="K2368" s="8">
        <v>2</v>
      </c>
      <c r="L2368" s="8">
        <v>2</v>
      </c>
      <c r="M2368" s="8">
        <v>2</v>
      </c>
      <c r="N2368" s="8">
        <v>0</v>
      </c>
      <c r="O2368" s="8">
        <v>2</v>
      </c>
      <c r="P2368" s="8">
        <v>2</v>
      </c>
      <c r="Q2368" s="8">
        <v>2</v>
      </c>
      <c r="R2368" s="8">
        <v>2</v>
      </c>
      <c r="S2368" s="8">
        <v>2</v>
      </c>
      <c r="T2368" s="8">
        <v>2</v>
      </c>
      <c r="U2368" s="8">
        <v>0</v>
      </c>
      <c r="V2368" s="8">
        <v>2</v>
      </c>
      <c r="W2368" s="8">
        <v>2</v>
      </c>
      <c r="X2368" s="8">
        <v>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11" t="s">
        <v>259</v>
      </c>
    </row>
    <row r="2369" spans="1:46" ht="15.1" customHeight="1">
      <c r="A2369" s="8"/>
      <c r="B2369" s="9"/>
      <c r="C2369" s="8"/>
      <c r="D2369" s="9"/>
      <c r="E2369" s="8">
        <v>4.5</v>
      </c>
      <c r="F2369" s="8">
        <v>3</v>
      </c>
      <c r="G2369" s="8">
        <v>13.5</v>
      </c>
      <c r="H2369" s="8">
        <v>5</v>
      </c>
      <c r="I2369" s="8">
        <v>7</v>
      </c>
      <c r="J2369" s="8">
        <v>7</v>
      </c>
      <c r="K2369" s="8">
        <v>7</v>
      </c>
      <c r="L2369" s="8">
        <v>7</v>
      </c>
      <c r="M2369" s="8">
        <v>5</v>
      </c>
      <c r="N2369" s="8">
        <v>0</v>
      </c>
      <c r="O2369" s="8">
        <v>7</v>
      </c>
      <c r="P2369" s="8">
        <v>7</v>
      </c>
      <c r="Q2369" s="8">
        <v>5</v>
      </c>
      <c r="R2369" s="8">
        <v>8</v>
      </c>
      <c r="S2369" s="8">
        <v>7</v>
      </c>
      <c r="T2369" s="8">
        <v>3</v>
      </c>
      <c r="U2369" s="8">
        <v>13</v>
      </c>
      <c r="V2369" s="8">
        <v>7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11" t="s">
        <v>259</v>
      </c>
    </row>
    <row r="2370" spans="1:46" ht="15.1" customHeight="1">
      <c r="A2370" s="8">
        <v>789</v>
      </c>
      <c r="B2370" s="9" t="s">
        <v>1817</v>
      </c>
      <c r="C2370" s="8" t="s">
        <v>1818</v>
      </c>
      <c r="D2370" s="9" t="s">
        <v>451</v>
      </c>
      <c r="E2370" s="8" t="s">
        <v>54</v>
      </c>
      <c r="F2370" s="8" t="s">
        <v>54</v>
      </c>
      <c r="G2370" s="10" t="s">
        <v>67</v>
      </c>
      <c r="H2370" s="8" t="s">
        <v>54</v>
      </c>
      <c r="I2370" s="8" t="s">
        <v>54</v>
      </c>
      <c r="J2370" s="8" t="s">
        <v>54</v>
      </c>
      <c r="K2370" s="8" t="s">
        <v>54</v>
      </c>
      <c r="L2370" s="8" t="s">
        <v>54</v>
      </c>
      <c r="M2370" s="8" t="s">
        <v>54</v>
      </c>
      <c r="N2370" s="10" t="s">
        <v>67</v>
      </c>
      <c r="O2370" s="8" t="s">
        <v>54</v>
      </c>
      <c r="P2370" s="8" t="s">
        <v>54</v>
      </c>
      <c r="Q2370" s="8" t="s">
        <v>54</v>
      </c>
      <c r="R2370" s="8" t="s">
        <v>54</v>
      </c>
      <c r="S2370" s="8" t="s">
        <v>54</v>
      </c>
      <c r="T2370" s="8" t="s">
        <v>54</v>
      </c>
      <c r="U2370" s="10" t="s">
        <v>67</v>
      </c>
      <c r="V2370" s="8" t="s">
        <v>54</v>
      </c>
      <c r="W2370" s="8" t="s">
        <v>54</v>
      </c>
      <c r="X2370" s="8" t="s">
        <v>54</v>
      </c>
      <c r="Y2370" s="8" t="s">
        <v>54</v>
      </c>
      <c r="Z2370" s="8" t="s">
        <v>54</v>
      </c>
      <c r="AA2370" s="8" t="s">
        <v>54</v>
      </c>
      <c r="AB2370" s="10" t="s">
        <v>67</v>
      </c>
      <c r="AC2370" s="8" t="s">
        <v>54</v>
      </c>
      <c r="AD2370" s="8" t="s">
        <v>54</v>
      </c>
      <c r="AE2370" s="8" t="s">
        <v>54</v>
      </c>
      <c r="AF2370" s="8" t="s">
        <v>54</v>
      </c>
      <c r="AG2370" s="8" t="s">
        <v>54</v>
      </c>
      <c r="AH2370" s="8" t="s">
        <v>54</v>
      </c>
      <c r="AI2370" s="10" t="s">
        <v>67</v>
      </c>
      <c r="AJ2370" s="8">
        <f>COUNTIF($E$2370:$AI$2370,"P")</f>
        <v>26</v>
      </c>
      <c r="AK2370" s="8">
        <f>COUNTIF($E$2370:$AI$2370,"A")</f>
        <v>0</v>
      </c>
      <c r="AL2370" s="8">
        <f>SUM($E$2371:$AI$2371)</f>
        <v>36</v>
      </c>
      <c r="AM2370" s="8">
        <f>SUM($E$2372:$AI$2372)</f>
        <v>137</v>
      </c>
      <c r="AN2370" s="8">
        <f>AL2370+AM2370</f>
        <v>173</v>
      </c>
      <c r="AO2370" s="8">
        <f>COUNTIF($E$2370:$AI$2370,"CL")</f>
        <v>0</v>
      </c>
      <c r="AP2370" s="8">
        <f>COUNTIF($E$2370:$AI$2370,"SL")</f>
        <v>0</v>
      </c>
      <c r="AQ2370" s="8">
        <f>COUNTIF($E$2370:$AI$2370,"EL")</f>
        <v>0</v>
      </c>
      <c r="AR2370" s="8">
        <f>COUNTIF($E$2370:$AI$2370,"H")</f>
        <v>0</v>
      </c>
      <c r="AS2370" s="8"/>
      <c r="AT2370" s="11" t="s">
        <v>259</v>
      </c>
    </row>
    <row r="2371" spans="1:46" ht="15.1" customHeight="1">
      <c r="A2371" s="8"/>
      <c r="B2371" s="9"/>
      <c r="C2371" s="8"/>
      <c r="D2371" s="9"/>
      <c r="E2371" s="8">
        <v>2</v>
      </c>
      <c r="F2371" s="8">
        <v>2</v>
      </c>
      <c r="G2371" s="8">
        <v>0</v>
      </c>
      <c r="H2371" s="8">
        <v>2</v>
      </c>
      <c r="I2371" s="8">
        <v>2</v>
      </c>
      <c r="J2371" s="8">
        <v>2</v>
      </c>
      <c r="K2371" s="8">
        <v>2</v>
      </c>
      <c r="L2371" s="8">
        <v>2</v>
      </c>
      <c r="M2371" s="8">
        <v>2</v>
      </c>
      <c r="N2371" s="8">
        <v>0</v>
      </c>
      <c r="O2371" s="8">
        <v>2</v>
      </c>
      <c r="P2371" s="8">
        <v>2</v>
      </c>
      <c r="Q2371" s="8">
        <v>2</v>
      </c>
      <c r="R2371" s="8">
        <v>2</v>
      </c>
      <c r="S2371" s="8">
        <v>2</v>
      </c>
      <c r="T2371" s="8">
        <v>2</v>
      </c>
      <c r="U2371" s="8">
        <v>0</v>
      </c>
      <c r="V2371" s="8">
        <v>2</v>
      </c>
      <c r="W2371" s="8">
        <v>2</v>
      </c>
      <c r="X2371" s="8">
        <v>0</v>
      </c>
      <c r="Y2371" s="8">
        <v>0</v>
      </c>
      <c r="Z2371" s="8">
        <v>0</v>
      </c>
      <c r="AA2371" s="8">
        <v>0</v>
      </c>
      <c r="AB2371" s="8">
        <v>0</v>
      </c>
      <c r="AC2371" s="8">
        <v>2</v>
      </c>
      <c r="AD2371" s="8">
        <v>0</v>
      </c>
      <c r="AE2371" s="8">
        <v>0</v>
      </c>
      <c r="AF2371" s="8">
        <v>0</v>
      </c>
      <c r="AG2371" s="8">
        <v>0</v>
      </c>
      <c r="AH2371" s="8">
        <v>2</v>
      </c>
      <c r="AI2371" s="8">
        <v>0</v>
      </c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11" t="s">
        <v>259</v>
      </c>
    </row>
    <row r="2372" spans="1:46" ht="15.1" customHeight="1">
      <c r="A2372" s="8"/>
      <c r="B2372" s="9"/>
      <c r="C2372" s="8"/>
      <c r="D2372" s="9"/>
      <c r="E2372" s="8">
        <v>4.5</v>
      </c>
      <c r="F2372" s="8">
        <v>3</v>
      </c>
      <c r="G2372" s="8">
        <v>13.5</v>
      </c>
      <c r="H2372" s="8">
        <v>5</v>
      </c>
      <c r="I2372" s="8">
        <v>7</v>
      </c>
      <c r="J2372" s="8">
        <v>7</v>
      </c>
      <c r="K2372" s="8">
        <v>7</v>
      </c>
      <c r="L2372" s="8">
        <v>7</v>
      </c>
      <c r="M2372" s="8">
        <v>4.5</v>
      </c>
      <c r="N2372" s="8">
        <v>16.5</v>
      </c>
      <c r="O2372" s="8">
        <v>11</v>
      </c>
      <c r="P2372" s="8">
        <v>7</v>
      </c>
      <c r="Q2372" s="8">
        <v>5</v>
      </c>
      <c r="R2372" s="8">
        <v>6.5</v>
      </c>
      <c r="S2372" s="8">
        <v>7</v>
      </c>
      <c r="T2372" s="8">
        <v>3</v>
      </c>
      <c r="U2372" s="8">
        <v>12.5</v>
      </c>
      <c r="V2372" s="8">
        <v>7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3</v>
      </c>
      <c r="AI2372" s="8">
        <v>0</v>
      </c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11" t="s">
        <v>259</v>
      </c>
    </row>
    <row r="2373" spans="1:46" ht="15.1" customHeight="1">
      <c r="A2373" s="8">
        <v>790</v>
      </c>
      <c r="B2373" s="9" t="s">
        <v>1819</v>
      </c>
      <c r="C2373" s="8" t="s">
        <v>1820</v>
      </c>
      <c r="D2373" s="9" t="s">
        <v>451</v>
      </c>
      <c r="E2373" s="8" t="s">
        <v>54</v>
      </c>
      <c r="F2373" s="8" t="s">
        <v>54</v>
      </c>
      <c r="G2373" s="10" t="s">
        <v>67</v>
      </c>
      <c r="H2373" s="12" t="s">
        <v>55</v>
      </c>
      <c r="I2373" s="12" t="s">
        <v>55</v>
      </c>
      <c r="J2373" s="12" t="s">
        <v>55</v>
      </c>
      <c r="K2373" s="8" t="s">
        <v>54</v>
      </c>
      <c r="L2373" s="8" t="s">
        <v>54</v>
      </c>
      <c r="M2373" s="8" t="s">
        <v>54</v>
      </c>
      <c r="N2373" s="10" t="s">
        <v>67</v>
      </c>
      <c r="O2373" s="8" t="s">
        <v>54</v>
      </c>
      <c r="P2373" s="8" t="s">
        <v>54</v>
      </c>
      <c r="Q2373" s="8" t="s">
        <v>54</v>
      </c>
      <c r="R2373" s="8" t="s">
        <v>54</v>
      </c>
      <c r="S2373" s="8" t="s">
        <v>54</v>
      </c>
      <c r="T2373" s="8" t="s">
        <v>54</v>
      </c>
      <c r="U2373" s="10" t="s">
        <v>67</v>
      </c>
      <c r="V2373" s="8" t="s">
        <v>54</v>
      </c>
      <c r="W2373" s="8" t="s">
        <v>54</v>
      </c>
      <c r="X2373" s="8" t="s">
        <v>54</v>
      </c>
      <c r="Y2373" s="8" t="s">
        <v>54</v>
      </c>
      <c r="Z2373" s="8" t="s">
        <v>54</v>
      </c>
      <c r="AA2373" s="8" t="s">
        <v>54</v>
      </c>
      <c r="AB2373" s="10" t="s">
        <v>67</v>
      </c>
      <c r="AC2373" s="8" t="s">
        <v>54</v>
      </c>
      <c r="AD2373" s="12" t="s">
        <v>55</v>
      </c>
      <c r="AE2373" s="8" t="s">
        <v>54</v>
      </c>
      <c r="AF2373" s="8" t="s">
        <v>54</v>
      </c>
      <c r="AG2373" s="8" t="s">
        <v>54</v>
      </c>
      <c r="AH2373" s="8" t="s">
        <v>54</v>
      </c>
      <c r="AI2373" s="10" t="s">
        <v>67</v>
      </c>
      <c r="AJ2373" s="8">
        <f>COUNTIF($E$2373:$AI$2373,"P")</f>
        <v>22</v>
      </c>
      <c r="AK2373" s="8">
        <f>COUNTIF($E$2373:$AI$2373,"A")</f>
        <v>4</v>
      </c>
      <c r="AL2373" s="8">
        <f>SUM($E$2374:$AI$2374)</f>
        <v>28</v>
      </c>
      <c r="AM2373" s="8">
        <f>SUM($E$2375:$AI$2375)</f>
        <v>95.5</v>
      </c>
      <c r="AN2373" s="8">
        <f>AL2373+AM2373</f>
        <v>123.5</v>
      </c>
      <c r="AO2373" s="8">
        <f>COUNTIF($E$2373:$AI$2373,"CL")</f>
        <v>0</v>
      </c>
      <c r="AP2373" s="8">
        <f>COUNTIF($E$2373:$AI$2373,"SL")</f>
        <v>0</v>
      </c>
      <c r="AQ2373" s="8">
        <f>COUNTIF($E$2373:$AI$2373,"EL")</f>
        <v>0</v>
      </c>
      <c r="AR2373" s="8">
        <f>COUNTIF($E$2373:$AI$2373,"H")</f>
        <v>0</v>
      </c>
      <c r="AS2373" s="8"/>
      <c r="AT2373" s="11" t="s">
        <v>259</v>
      </c>
    </row>
    <row r="2374" spans="1:46" ht="15.1" customHeight="1">
      <c r="A2374" s="8"/>
      <c r="B2374" s="9"/>
      <c r="C2374" s="8"/>
      <c r="D2374" s="9"/>
      <c r="E2374" s="8">
        <v>2</v>
      </c>
      <c r="F2374" s="8">
        <v>2</v>
      </c>
      <c r="G2374" s="8">
        <v>0</v>
      </c>
      <c r="H2374" s="8">
        <v>0</v>
      </c>
      <c r="I2374" s="8">
        <v>0</v>
      </c>
      <c r="J2374" s="8">
        <v>0</v>
      </c>
      <c r="K2374" s="8">
        <v>2</v>
      </c>
      <c r="L2374" s="8">
        <v>2</v>
      </c>
      <c r="M2374" s="8">
        <v>2</v>
      </c>
      <c r="N2374" s="8">
        <v>0</v>
      </c>
      <c r="O2374" s="8">
        <v>2</v>
      </c>
      <c r="P2374" s="8">
        <v>2</v>
      </c>
      <c r="Q2374" s="8">
        <v>2</v>
      </c>
      <c r="R2374" s="8">
        <v>2</v>
      </c>
      <c r="S2374" s="8">
        <v>2</v>
      </c>
      <c r="T2374" s="8">
        <v>2</v>
      </c>
      <c r="U2374" s="8">
        <v>0</v>
      </c>
      <c r="V2374" s="8">
        <v>2</v>
      </c>
      <c r="W2374" s="8">
        <v>2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2</v>
      </c>
      <c r="AI2374" s="8">
        <v>0</v>
      </c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11" t="s">
        <v>259</v>
      </c>
    </row>
    <row r="2375" spans="1:46" ht="15.1" customHeight="1">
      <c r="A2375" s="8"/>
      <c r="B2375" s="9"/>
      <c r="C2375" s="8"/>
      <c r="D2375" s="9"/>
      <c r="E2375" s="8">
        <v>4.5</v>
      </c>
      <c r="F2375" s="8">
        <v>3</v>
      </c>
      <c r="G2375" s="8">
        <v>9.5</v>
      </c>
      <c r="H2375" s="8">
        <v>0</v>
      </c>
      <c r="I2375" s="8">
        <v>0</v>
      </c>
      <c r="J2375" s="8">
        <v>0</v>
      </c>
      <c r="K2375" s="8">
        <v>5</v>
      </c>
      <c r="L2375" s="8">
        <v>5</v>
      </c>
      <c r="M2375" s="8">
        <v>5</v>
      </c>
      <c r="N2375" s="8">
        <v>15</v>
      </c>
      <c r="O2375" s="8">
        <v>5</v>
      </c>
      <c r="P2375" s="8">
        <v>5</v>
      </c>
      <c r="Q2375" s="8">
        <v>5</v>
      </c>
      <c r="R2375" s="8">
        <v>5</v>
      </c>
      <c r="S2375" s="8">
        <v>5</v>
      </c>
      <c r="T2375" s="8">
        <v>3</v>
      </c>
      <c r="U2375" s="8">
        <v>12.5</v>
      </c>
      <c r="V2375" s="8">
        <v>5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3</v>
      </c>
      <c r="AI2375" s="8">
        <v>0</v>
      </c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11" t="s">
        <v>259</v>
      </c>
    </row>
    <row r="2376" spans="1:46" ht="15.1" customHeight="1">
      <c r="A2376" s="8">
        <v>791</v>
      </c>
      <c r="B2376" s="9" t="s">
        <v>1501</v>
      </c>
      <c r="C2376" s="8" t="s">
        <v>1821</v>
      </c>
      <c r="D2376" s="9" t="s">
        <v>451</v>
      </c>
      <c r="E2376" s="8" t="s">
        <v>54</v>
      </c>
      <c r="F2376" s="8" t="s">
        <v>54</v>
      </c>
      <c r="G2376" s="10" t="s">
        <v>67</v>
      </c>
      <c r="H2376" s="8" t="s">
        <v>54</v>
      </c>
      <c r="I2376" s="8" t="s">
        <v>54</v>
      </c>
      <c r="J2376" s="8" t="s">
        <v>54</v>
      </c>
      <c r="K2376" s="8" t="s">
        <v>54</v>
      </c>
      <c r="L2376" s="8" t="s">
        <v>54</v>
      </c>
      <c r="M2376" s="8" t="s">
        <v>54</v>
      </c>
      <c r="N2376" s="10" t="s">
        <v>67</v>
      </c>
      <c r="O2376" s="8" t="s">
        <v>54</v>
      </c>
      <c r="P2376" s="8" t="s">
        <v>54</v>
      </c>
      <c r="Q2376" s="8" t="s">
        <v>54</v>
      </c>
      <c r="R2376" s="8" t="s">
        <v>54</v>
      </c>
      <c r="S2376" s="8" t="s">
        <v>54</v>
      </c>
      <c r="T2376" s="8" t="s">
        <v>54</v>
      </c>
      <c r="U2376" s="10" t="s">
        <v>67</v>
      </c>
      <c r="V2376" s="8" t="s">
        <v>54</v>
      </c>
      <c r="W2376" s="8" t="s">
        <v>54</v>
      </c>
      <c r="X2376" s="8" t="s">
        <v>54</v>
      </c>
      <c r="Y2376" s="8" t="s">
        <v>54</v>
      </c>
      <c r="Z2376" s="8" t="s">
        <v>54</v>
      </c>
      <c r="AA2376" s="8" t="s">
        <v>54</v>
      </c>
      <c r="AB2376" s="10" t="s">
        <v>67</v>
      </c>
      <c r="AC2376" s="8" t="s">
        <v>54</v>
      </c>
      <c r="AD2376" s="8" t="s">
        <v>54</v>
      </c>
      <c r="AE2376" s="8" t="s">
        <v>54</v>
      </c>
      <c r="AF2376" s="8" t="s">
        <v>54</v>
      </c>
      <c r="AG2376" s="8" t="s">
        <v>54</v>
      </c>
      <c r="AH2376" s="8" t="s">
        <v>54</v>
      </c>
      <c r="AI2376" s="10" t="s">
        <v>67</v>
      </c>
      <c r="AJ2376" s="8">
        <f>COUNTIF($E$2376:$AI$2376,"P")</f>
        <v>26</v>
      </c>
      <c r="AK2376" s="8">
        <f>COUNTIF($E$2376:$AI$2376,"A")</f>
        <v>0</v>
      </c>
      <c r="AL2376" s="8">
        <f>SUM($E$2377:$AI$2377)</f>
        <v>36</v>
      </c>
      <c r="AM2376" s="8">
        <f>SUM($E$2378:$AI$2378)</f>
        <v>128.5</v>
      </c>
      <c r="AN2376" s="8">
        <f>AL2376+AM2376</f>
        <v>164.5</v>
      </c>
      <c r="AO2376" s="8">
        <f>COUNTIF($E$2376:$AI$2376,"CL")</f>
        <v>0</v>
      </c>
      <c r="AP2376" s="8">
        <f>COUNTIF($E$2376:$AI$2376,"SL")</f>
        <v>0</v>
      </c>
      <c r="AQ2376" s="8">
        <f>COUNTIF($E$2376:$AI$2376,"EL")</f>
        <v>0</v>
      </c>
      <c r="AR2376" s="8">
        <f>COUNTIF($E$2376:$AI$2376,"H")</f>
        <v>0</v>
      </c>
      <c r="AS2376" s="8"/>
      <c r="AT2376" s="11" t="s">
        <v>259</v>
      </c>
    </row>
    <row r="2377" spans="1:46" ht="15.1" customHeight="1">
      <c r="A2377" s="8"/>
      <c r="B2377" s="9"/>
      <c r="C2377" s="8"/>
      <c r="D2377" s="9"/>
      <c r="E2377" s="8">
        <v>2</v>
      </c>
      <c r="F2377" s="8">
        <v>2</v>
      </c>
      <c r="G2377" s="8">
        <v>0</v>
      </c>
      <c r="H2377" s="8">
        <v>2</v>
      </c>
      <c r="I2377" s="8">
        <v>2</v>
      </c>
      <c r="J2377" s="8">
        <v>2</v>
      </c>
      <c r="K2377" s="8">
        <v>2</v>
      </c>
      <c r="L2377" s="8">
        <v>2</v>
      </c>
      <c r="M2377" s="8">
        <v>2</v>
      </c>
      <c r="N2377" s="8">
        <v>0</v>
      </c>
      <c r="O2377" s="8">
        <v>2</v>
      </c>
      <c r="P2377" s="8">
        <v>2</v>
      </c>
      <c r="Q2377" s="8">
        <v>2</v>
      </c>
      <c r="R2377" s="8">
        <v>2</v>
      </c>
      <c r="S2377" s="8">
        <v>2</v>
      </c>
      <c r="T2377" s="8">
        <v>2</v>
      </c>
      <c r="U2377" s="8">
        <v>0</v>
      </c>
      <c r="V2377" s="8">
        <v>2</v>
      </c>
      <c r="W2377" s="8">
        <v>2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2</v>
      </c>
      <c r="AD2377" s="8">
        <v>0</v>
      </c>
      <c r="AE2377" s="8">
        <v>0</v>
      </c>
      <c r="AF2377" s="8">
        <v>0</v>
      </c>
      <c r="AG2377" s="8">
        <v>0</v>
      </c>
      <c r="AH2377" s="8">
        <v>2</v>
      </c>
      <c r="AI2377" s="8">
        <v>0</v>
      </c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11" t="s">
        <v>259</v>
      </c>
    </row>
    <row r="2378" spans="1:46" ht="15.1" customHeight="1">
      <c r="A2378" s="8"/>
      <c r="B2378" s="9"/>
      <c r="C2378" s="8"/>
      <c r="D2378" s="9"/>
      <c r="E2378" s="8">
        <v>5</v>
      </c>
      <c r="F2378" s="8">
        <v>3</v>
      </c>
      <c r="G2378" s="8">
        <v>13.5</v>
      </c>
      <c r="H2378" s="8">
        <v>5</v>
      </c>
      <c r="I2378" s="8">
        <v>7</v>
      </c>
      <c r="J2378" s="8">
        <v>7</v>
      </c>
      <c r="K2378" s="8">
        <v>5</v>
      </c>
      <c r="L2378" s="8">
        <v>5</v>
      </c>
      <c r="M2378" s="8">
        <v>5</v>
      </c>
      <c r="N2378" s="8">
        <v>16.5</v>
      </c>
      <c r="O2378" s="8">
        <v>7</v>
      </c>
      <c r="P2378" s="8">
        <v>7</v>
      </c>
      <c r="Q2378" s="8">
        <v>5</v>
      </c>
      <c r="R2378" s="8">
        <v>7</v>
      </c>
      <c r="S2378" s="8">
        <v>5</v>
      </c>
      <c r="T2378" s="8">
        <v>3</v>
      </c>
      <c r="U2378" s="8">
        <v>12.5</v>
      </c>
      <c r="V2378" s="8">
        <v>7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3</v>
      </c>
      <c r="AI2378" s="8">
        <v>0</v>
      </c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11" t="s">
        <v>259</v>
      </c>
    </row>
    <row r="2379" spans="1:46" ht="15.1" customHeight="1">
      <c r="A2379" s="8">
        <v>792</v>
      </c>
      <c r="B2379" s="9" t="s">
        <v>1822</v>
      </c>
      <c r="C2379" s="8" t="s">
        <v>1823</v>
      </c>
      <c r="D2379" s="9" t="s">
        <v>451</v>
      </c>
      <c r="E2379" s="8" t="s">
        <v>54</v>
      </c>
      <c r="F2379" s="8" t="s">
        <v>54</v>
      </c>
      <c r="G2379" s="10" t="s">
        <v>67</v>
      </c>
      <c r="H2379" s="8" t="s">
        <v>54</v>
      </c>
      <c r="I2379" s="8" t="s">
        <v>54</v>
      </c>
      <c r="J2379" s="8" t="s">
        <v>54</v>
      </c>
      <c r="K2379" s="8" t="s">
        <v>54</v>
      </c>
      <c r="L2379" s="8" t="s">
        <v>54</v>
      </c>
      <c r="M2379" s="8" t="s">
        <v>54</v>
      </c>
      <c r="N2379" s="10" t="s">
        <v>67</v>
      </c>
      <c r="O2379" s="8" t="s">
        <v>54</v>
      </c>
      <c r="P2379" s="8" t="s">
        <v>54</v>
      </c>
      <c r="Q2379" s="8" t="s">
        <v>54</v>
      </c>
      <c r="R2379" s="8" t="s">
        <v>54</v>
      </c>
      <c r="S2379" s="8" t="s">
        <v>54</v>
      </c>
      <c r="T2379" s="8" t="s">
        <v>54</v>
      </c>
      <c r="U2379" s="10" t="s">
        <v>67</v>
      </c>
      <c r="V2379" s="8" t="s">
        <v>54</v>
      </c>
      <c r="W2379" s="8" t="s">
        <v>54</v>
      </c>
      <c r="X2379" s="8" t="s">
        <v>54</v>
      </c>
      <c r="Y2379" s="8" t="s">
        <v>54</v>
      </c>
      <c r="Z2379" s="8" t="s">
        <v>54</v>
      </c>
      <c r="AA2379" s="8" t="s">
        <v>54</v>
      </c>
      <c r="AB2379" s="10" t="s">
        <v>67</v>
      </c>
      <c r="AC2379" s="8" t="s">
        <v>54</v>
      </c>
      <c r="AD2379" s="8" t="s">
        <v>54</v>
      </c>
      <c r="AE2379" s="8" t="s">
        <v>54</v>
      </c>
      <c r="AF2379" s="8" t="s">
        <v>54</v>
      </c>
      <c r="AG2379" s="8" t="s">
        <v>54</v>
      </c>
      <c r="AH2379" s="8" t="s">
        <v>54</v>
      </c>
      <c r="AI2379" s="10" t="s">
        <v>67</v>
      </c>
      <c r="AJ2379" s="8">
        <f>COUNTIF($E$2379:$AI$2379,"P")</f>
        <v>26</v>
      </c>
      <c r="AK2379" s="8">
        <f>COUNTIF($E$2379:$AI$2379,"A")</f>
        <v>0</v>
      </c>
      <c r="AL2379" s="8">
        <f>SUM($E$2380:$AI$2380)</f>
        <v>34</v>
      </c>
      <c r="AM2379" s="8">
        <f>SUM($E$2381:$AI$2381)</f>
        <v>145.5</v>
      </c>
      <c r="AN2379" s="8">
        <f>AL2379+AM2379</f>
        <v>179.5</v>
      </c>
      <c r="AO2379" s="8">
        <f>COUNTIF($E$2379:$AI$2379,"CL")</f>
        <v>0</v>
      </c>
      <c r="AP2379" s="8">
        <f>COUNTIF($E$2379:$AI$2379,"SL")</f>
        <v>0</v>
      </c>
      <c r="AQ2379" s="8">
        <f>COUNTIF($E$2379:$AI$2379,"EL")</f>
        <v>0</v>
      </c>
      <c r="AR2379" s="8">
        <f>COUNTIF($E$2379:$AI$2379,"H")</f>
        <v>0</v>
      </c>
      <c r="AS2379" s="8"/>
      <c r="AT2379" s="11" t="s">
        <v>259</v>
      </c>
    </row>
    <row r="2380" spans="1:46" ht="15.1" customHeight="1">
      <c r="A2380" s="8"/>
      <c r="B2380" s="9"/>
      <c r="C2380" s="8"/>
      <c r="D2380" s="9"/>
      <c r="E2380" s="8">
        <v>2</v>
      </c>
      <c r="F2380" s="8">
        <v>2</v>
      </c>
      <c r="G2380" s="8">
        <v>0</v>
      </c>
      <c r="H2380" s="8">
        <v>2</v>
      </c>
      <c r="I2380" s="8">
        <v>2</v>
      </c>
      <c r="J2380" s="8">
        <v>2</v>
      </c>
      <c r="K2380" s="8">
        <v>2</v>
      </c>
      <c r="L2380" s="8">
        <v>2</v>
      </c>
      <c r="M2380" s="8">
        <v>2</v>
      </c>
      <c r="N2380" s="8">
        <v>0</v>
      </c>
      <c r="O2380" s="8">
        <v>2</v>
      </c>
      <c r="P2380" s="8">
        <v>2</v>
      </c>
      <c r="Q2380" s="8">
        <v>2</v>
      </c>
      <c r="R2380" s="8">
        <v>2</v>
      </c>
      <c r="S2380" s="8">
        <v>2</v>
      </c>
      <c r="T2380" s="8">
        <v>2</v>
      </c>
      <c r="U2380" s="8">
        <v>0</v>
      </c>
      <c r="V2380" s="8">
        <v>2</v>
      </c>
      <c r="W2380" s="8">
        <v>2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2</v>
      </c>
      <c r="AI2380" s="8">
        <v>0</v>
      </c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11" t="s">
        <v>259</v>
      </c>
    </row>
    <row r="2381" spans="1:46" ht="15.1" customHeight="1">
      <c r="A2381" s="8"/>
      <c r="B2381" s="9"/>
      <c r="C2381" s="8"/>
      <c r="D2381" s="9"/>
      <c r="E2381" s="8">
        <v>5</v>
      </c>
      <c r="F2381" s="8">
        <v>3</v>
      </c>
      <c r="G2381" s="8">
        <v>13.5</v>
      </c>
      <c r="H2381" s="8">
        <v>5</v>
      </c>
      <c r="I2381" s="8">
        <v>11</v>
      </c>
      <c r="J2381" s="8">
        <v>7</v>
      </c>
      <c r="K2381" s="8">
        <v>7</v>
      </c>
      <c r="L2381" s="8">
        <v>7</v>
      </c>
      <c r="M2381" s="8">
        <v>5</v>
      </c>
      <c r="N2381" s="8">
        <v>16.5</v>
      </c>
      <c r="O2381" s="8">
        <v>7</v>
      </c>
      <c r="P2381" s="8">
        <v>7</v>
      </c>
      <c r="Q2381" s="8">
        <v>4.5</v>
      </c>
      <c r="R2381" s="8">
        <v>7</v>
      </c>
      <c r="S2381" s="8">
        <v>6.5</v>
      </c>
      <c r="T2381" s="8">
        <v>3</v>
      </c>
      <c r="U2381" s="8">
        <v>12.5</v>
      </c>
      <c r="V2381" s="8">
        <v>7</v>
      </c>
      <c r="W2381" s="8">
        <v>8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3</v>
      </c>
      <c r="AI2381" s="8">
        <v>0</v>
      </c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11" t="s">
        <v>259</v>
      </c>
    </row>
    <row r="2382" spans="1:46" ht="15.1" customHeight="1">
      <c r="A2382" s="8">
        <v>793</v>
      </c>
      <c r="B2382" s="9" t="s">
        <v>1824</v>
      </c>
      <c r="C2382" s="8" t="s">
        <v>1825</v>
      </c>
      <c r="D2382" s="9" t="s">
        <v>888</v>
      </c>
      <c r="E2382" s="8" t="s">
        <v>54</v>
      </c>
      <c r="F2382" s="8" t="s">
        <v>54</v>
      </c>
      <c r="G2382" s="10" t="s">
        <v>67</v>
      </c>
      <c r="H2382" s="8" t="s">
        <v>54</v>
      </c>
      <c r="I2382" s="8" t="s">
        <v>54</v>
      </c>
      <c r="J2382" s="8" t="s">
        <v>54</v>
      </c>
      <c r="K2382" s="8" t="s">
        <v>54</v>
      </c>
      <c r="L2382" s="12" t="s">
        <v>55</v>
      </c>
      <c r="M2382" s="12" t="s">
        <v>55</v>
      </c>
      <c r="N2382" s="10" t="s">
        <v>67</v>
      </c>
      <c r="O2382" s="12" t="s">
        <v>55</v>
      </c>
      <c r="P2382" s="8" t="s">
        <v>54</v>
      </c>
      <c r="Q2382" s="8" t="s">
        <v>54</v>
      </c>
      <c r="R2382" s="8" t="s">
        <v>54</v>
      </c>
      <c r="S2382" s="8" t="s">
        <v>54</v>
      </c>
      <c r="T2382" s="8" t="s">
        <v>54</v>
      </c>
      <c r="U2382" s="10" t="s">
        <v>67</v>
      </c>
      <c r="V2382" s="8" t="s">
        <v>54</v>
      </c>
      <c r="W2382" s="8" t="s">
        <v>54</v>
      </c>
      <c r="X2382" s="8" t="s">
        <v>54</v>
      </c>
      <c r="Y2382" s="8" t="s">
        <v>54</v>
      </c>
      <c r="Z2382" s="8" t="s">
        <v>54</v>
      </c>
      <c r="AA2382" s="12" t="s">
        <v>55</v>
      </c>
      <c r="AB2382" s="10" t="s">
        <v>67</v>
      </c>
      <c r="AC2382" s="8" t="s">
        <v>54</v>
      </c>
      <c r="AD2382" s="8" t="s">
        <v>54</v>
      </c>
      <c r="AE2382" s="8" t="s">
        <v>54</v>
      </c>
      <c r="AF2382" s="8" t="s">
        <v>54</v>
      </c>
      <c r="AG2382" s="8" t="s">
        <v>54</v>
      </c>
      <c r="AH2382" s="8" t="s">
        <v>54</v>
      </c>
      <c r="AI2382" s="10" t="s">
        <v>67</v>
      </c>
      <c r="AJ2382" s="8">
        <f>COUNTIF($E$2382:$AI$2382,"P")</f>
        <v>22</v>
      </c>
      <c r="AK2382" s="8">
        <f>COUNTIF($E$2382:$AI$2382,"A")</f>
        <v>4</v>
      </c>
      <c r="AL2382" s="8">
        <f>SUM($E$2383:$AI$2383)</f>
        <v>28</v>
      </c>
      <c r="AM2382" s="8">
        <f>SUM($E$2384:$AI$2384)</f>
        <v>96.5</v>
      </c>
      <c r="AN2382" s="8">
        <f>AL2382+AM2382</f>
        <v>124.5</v>
      </c>
      <c r="AO2382" s="8">
        <f>COUNTIF($E$2382:$AI$2382,"CL")</f>
        <v>0</v>
      </c>
      <c r="AP2382" s="8">
        <f>COUNTIF($E$2382:$AI$2382,"SL")</f>
        <v>0</v>
      </c>
      <c r="AQ2382" s="8">
        <f>COUNTIF($E$2382:$AI$2382,"EL")</f>
        <v>0</v>
      </c>
      <c r="AR2382" s="8">
        <f>COUNTIF($E$2382:$AI$2382,"H")</f>
        <v>0</v>
      </c>
      <c r="AS2382" s="8"/>
      <c r="AT2382" s="11" t="s">
        <v>259</v>
      </c>
    </row>
    <row r="2383" spans="1:46" ht="15.1" customHeight="1">
      <c r="A2383" s="8"/>
      <c r="B2383" s="9"/>
      <c r="C2383" s="8"/>
      <c r="D2383" s="9"/>
      <c r="E2383" s="8">
        <v>2</v>
      </c>
      <c r="F2383" s="8">
        <v>2</v>
      </c>
      <c r="G2383" s="8">
        <v>0</v>
      </c>
      <c r="H2383" s="8">
        <v>0</v>
      </c>
      <c r="I2383" s="8">
        <v>2</v>
      </c>
      <c r="J2383" s="8">
        <v>2</v>
      </c>
      <c r="K2383" s="8">
        <v>2</v>
      </c>
      <c r="L2383" s="8">
        <v>0</v>
      </c>
      <c r="M2383" s="8">
        <v>0</v>
      </c>
      <c r="N2383" s="8">
        <v>0</v>
      </c>
      <c r="O2383" s="8">
        <v>0</v>
      </c>
      <c r="P2383" s="8">
        <v>2</v>
      </c>
      <c r="Q2383" s="8">
        <v>2</v>
      </c>
      <c r="R2383" s="8">
        <v>2</v>
      </c>
      <c r="S2383" s="8">
        <v>2</v>
      </c>
      <c r="T2383" s="8">
        <v>2</v>
      </c>
      <c r="U2383" s="8">
        <v>0</v>
      </c>
      <c r="V2383" s="8">
        <v>2</v>
      </c>
      <c r="W2383" s="8">
        <v>2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2</v>
      </c>
      <c r="AE2383" s="8">
        <v>0</v>
      </c>
      <c r="AF2383" s="8">
        <v>0</v>
      </c>
      <c r="AG2383" s="8">
        <v>0</v>
      </c>
      <c r="AH2383" s="8">
        <v>2</v>
      </c>
      <c r="AI2383" s="8">
        <v>0</v>
      </c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11" t="s">
        <v>259</v>
      </c>
    </row>
    <row r="2384" spans="1:46" ht="15.1" customHeight="1">
      <c r="A2384" s="8"/>
      <c r="B2384" s="9"/>
      <c r="C2384" s="8"/>
      <c r="D2384" s="9"/>
      <c r="E2384" s="8">
        <v>4.5</v>
      </c>
      <c r="F2384" s="8">
        <v>3</v>
      </c>
      <c r="G2384" s="8">
        <v>14</v>
      </c>
      <c r="H2384" s="8">
        <v>0</v>
      </c>
      <c r="I2384" s="8">
        <v>7</v>
      </c>
      <c r="J2384" s="8">
        <v>6.5</v>
      </c>
      <c r="K2384" s="8">
        <v>7</v>
      </c>
      <c r="L2384" s="8">
        <v>0</v>
      </c>
      <c r="M2384" s="8">
        <v>0</v>
      </c>
      <c r="N2384" s="8">
        <v>0</v>
      </c>
      <c r="O2384" s="8">
        <v>0</v>
      </c>
      <c r="P2384" s="8">
        <v>7</v>
      </c>
      <c r="Q2384" s="8">
        <v>5</v>
      </c>
      <c r="R2384" s="8">
        <v>8</v>
      </c>
      <c r="S2384" s="8">
        <v>7</v>
      </c>
      <c r="T2384" s="8">
        <v>3</v>
      </c>
      <c r="U2384" s="8">
        <v>12.5</v>
      </c>
      <c r="V2384" s="8">
        <v>7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2</v>
      </c>
      <c r="AE2384" s="8">
        <v>0</v>
      </c>
      <c r="AF2384" s="8">
        <v>0</v>
      </c>
      <c r="AG2384" s="8">
        <v>0</v>
      </c>
      <c r="AH2384" s="8">
        <v>3</v>
      </c>
      <c r="AI2384" s="8">
        <v>0</v>
      </c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11" t="s">
        <v>259</v>
      </c>
    </row>
    <row r="2385" spans="1:46" ht="15.1" customHeight="1">
      <c r="A2385" s="8">
        <v>794</v>
      </c>
      <c r="B2385" s="9" t="s">
        <v>1826</v>
      </c>
      <c r="C2385" s="8" t="s">
        <v>1827</v>
      </c>
      <c r="D2385" s="9" t="s">
        <v>451</v>
      </c>
      <c r="E2385" s="12" t="s">
        <v>55</v>
      </c>
      <c r="F2385" s="12" t="s">
        <v>55</v>
      </c>
      <c r="G2385" s="10" t="s">
        <v>67</v>
      </c>
      <c r="H2385" s="8" t="s">
        <v>54</v>
      </c>
      <c r="I2385" s="8" t="s">
        <v>54</v>
      </c>
      <c r="J2385" s="8" t="s">
        <v>54</v>
      </c>
      <c r="K2385" s="8" t="s">
        <v>54</v>
      </c>
      <c r="L2385" s="8" t="s">
        <v>54</v>
      </c>
      <c r="M2385" s="8" t="s">
        <v>54</v>
      </c>
      <c r="N2385" s="10" t="s">
        <v>67</v>
      </c>
      <c r="O2385" s="8" t="s">
        <v>54</v>
      </c>
      <c r="P2385" s="8" t="s">
        <v>54</v>
      </c>
      <c r="Q2385" s="8" t="s">
        <v>54</v>
      </c>
      <c r="R2385" s="8" t="s">
        <v>54</v>
      </c>
      <c r="S2385" s="8" t="s">
        <v>54</v>
      </c>
      <c r="T2385" s="8" t="s">
        <v>54</v>
      </c>
      <c r="U2385" s="10" t="s">
        <v>67</v>
      </c>
      <c r="V2385" s="12" t="s">
        <v>55</v>
      </c>
      <c r="W2385" s="12" t="s">
        <v>55</v>
      </c>
      <c r="X2385" s="8" t="s">
        <v>54</v>
      </c>
      <c r="Y2385" s="8" t="s">
        <v>54</v>
      </c>
      <c r="Z2385" s="8" t="s">
        <v>54</v>
      </c>
      <c r="AA2385" s="8" t="s">
        <v>54</v>
      </c>
      <c r="AB2385" s="10" t="s">
        <v>67</v>
      </c>
      <c r="AC2385" s="8" t="s">
        <v>54</v>
      </c>
      <c r="AD2385" s="8" t="s">
        <v>54</v>
      </c>
      <c r="AE2385" s="8" t="s">
        <v>54</v>
      </c>
      <c r="AF2385" s="8" t="s">
        <v>54</v>
      </c>
      <c r="AG2385" s="8" t="s">
        <v>54</v>
      </c>
      <c r="AH2385" s="8" t="s">
        <v>54</v>
      </c>
      <c r="AI2385" s="10" t="s">
        <v>67</v>
      </c>
      <c r="AJ2385" s="8">
        <f>COUNTIF($E$2385:$AI$2385,"P")</f>
        <v>22</v>
      </c>
      <c r="AK2385" s="8">
        <f>COUNTIF($E$2385:$AI$2385,"A")</f>
        <v>4</v>
      </c>
      <c r="AL2385" s="8">
        <f>SUM($E$2386:$AI$2386)</f>
        <v>26</v>
      </c>
      <c r="AM2385" s="8">
        <f>SUM($E$2387:$AI$2387)</f>
        <v>91.5</v>
      </c>
      <c r="AN2385" s="8">
        <f>AL2385+AM2385</f>
        <v>117.5</v>
      </c>
      <c r="AO2385" s="8">
        <f>COUNTIF($E$2385:$AI$2385,"CL")</f>
        <v>0</v>
      </c>
      <c r="AP2385" s="8">
        <f>COUNTIF($E$2385:$AI$2385,"SL")</f>
        <v>0</v>
      </c>
      <c r="AQ2385" s="8">
        <f>COUNTIF($E$2385:$AI$2385,"EL")</f>
        <v>0</v>
      </c>
      <c r="AR2385" s="8">
        <f>COUNTIF($E$2385:$AI$2385,"H")</f>
        <v>0</v>
      </c>
      <c r="AS2385" s="8"/>
      <c r="AT2385" s="11" t="s">
        <v>259</v>
      </c>
    </row>
    <row r="2386" spans="1:46" ht="15.1" customHeight="1">
      <c r="A2386" s="8"/>
      <c r="B2386" s="9"/>
      <c r="C2386" s="8"/>
      <c r="D2386" s="9"/>
      <c r="E2386" s="8">
        <v>0</v>
      </c>
      <c r="F2386" s="8">
        <v>0</v>
      </c>
      <c r="G2386" s="8">
        <v>0</v>
      </c>
      <c r="H2386" s="8">
        <v>2</v>
      </c>
      <c r="I2386" s="8">
        <v>2</v>
      </c>
      <c r="J2386" s="8">
        <v>2</v>
      </c>
      <c r="K2386" s="8">
        <v>2</v>
      </c>
      <c r="L2386" s="8">
        <v>2</v>
      </c>
      <c r="M2386" s="8">
        <v>2</v>
      </c>
      <c r="N2386" s="8">
        <v>0</v>
      </c>
      <c r="O2386" s="8">
        <v>2</v>
      </c>
      <c r="P2386" s="8">
        <v>2</v>
      </c>
      <c r="Q2386" s="8">
        <v>2</v>
      </c>
      <c r="R2386" s="8">
        <v>2</v>
      </c>
      <c r="S2386" s="8">
        <v>2</v>
      </c>
      <c r="T2386" s="8">
        <v>2</v>
      </c>
      <c r="U2386" s="8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2</v>
      </c>
      <c r="AI2386" s="8">
        <v>0</v>
      </c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11" t="s">
        <v>259</v>
      </c>
    </row>
    <row r="2387" spans="1:46" ht="15.1" customHeight="1">
      <c r="A2387" s="8"/>
      <c r="B2387" s="9"/>
      <c r="C2387" s="8"/>
      <c r="D2387" s="9"/>
      <c r="E2387" s="8">
        <v>0</v>
      </c>
      <c r="F2387" s="8">
        <v>0</v>
      </c>
      <c r="G2387" s="8">
        <v>0</v>
      </c>
      <c r="H2387" s="8">
        <v>5</v>
      </c>
      <c r="I2387" s="8">
        <v>7</v>
      </c>
      <c r="J2387" s="8">
        <v>7</v>
      </c>
      <c r="K2387" s="8">
        <v>7</v>
      </c>
      <c r="L2387" s="8">
        <v>7</v>
      </c>
      <c r="M2387" s="8">
        <v>5</v>
      </c>
      <c r="N2387" s="8">
        <v>17</v>
      </c>
      <c r="O2387" s="8">
        <v>7</v>
      </c>
      <c r="P2387" s="8">
        <v>7</v>
      </c>
      <c r="Q2387" s="8">
        <v>5</v>
      </c>
      <c r="R2387" s="8">
        <v>7</v>
      </c>
      <c r="S2387" s="8">
        <v>7</v>
      </c>
      <c r="T2387" s="8">
        <v>0.5</v>
      </c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3</v>
      </c>
      <c r="AI2387" s="8">
        <v>0</v>
      </c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11" t="s">
        <v>259</v>
      </c>
    </row>
    <row r="2388" spans="1:46" ht="15.1" customHeight="1">
      <c r="A2388" s="8">
        <v>795</v>
      </c>
      <c r="B2388" s="9" t="s">
        <v>1828</v>
      </c>
      <c r="C2388" s="8" t="s">
        <v>1829</v>
      </c>
      <c r="D2388" s="9" t="s">
        <v>451</v>
      </c>
      <c r="E2388" s="8" t="s">
        <v>54</v>
      </c>
      <c r="F2388" s="8" t="s">
        <v>54</v>
      </c>
      <c r="G2388" s="10" t="s">
        <v>67</v>
      </c>
      <c r="H2388" s="8" t="s">
        <v>54</v>
      </c>
      <c r="I2388" s="8" t="s">
        <v>54</v>
      </c>
      <c r="J2388" s="8" t="s">
        <v>54</v>
      </c>
      <c r="K2388" s="8" t="s">
        <v>54</v>
      </c>
      <c r="L2388" s="8" t="s">
        <v>54</v>
      </c>
      <c r="M2388" s="8" t="s">
        <v>54</v>
      </c>
      <c r="N2388" s="10" t="s">
        <v>67</v>
      </c>
      <c r="O2388" s="8" t="s">
        <v>54</v>
      </c>
      <c r="P2388" s="8" t="s">
        <v>54</v>
      </c>
      <c r="Q2388" s="8" t="s">
        <v>54</v>
      </c>
      <c r="R2388" s="8" t="s">
        <v>54</v>
      </c>
      <c r="S2388" s="8" t="s">
        <v>54</v>
      </c>
      <c r="T2388" s="8" t="s">
        <v>54</v>
      </c>
      <c r="U2388" s="10" t="s">
        <v>67</v>
      </c>
      <c r="V2388" s="8" t="s">
        <v>54</v>
      </c>
      <c r="W2388" s="8" t="s">
        <v>54</v>
      </c>
      <c r="X2388" s="8" t="s">
        <v>54</v>
      </c>
      <c r="Y2388" s="8" t="s">
        <v>54</v>
      </c>
      <c r="Z2388" s="8" t="s">
        <v>54</v>
      </c>
      <c r="AA2388" s="8" t="s">
        <v>54</v>
      </c>
      <c r="AB2388" s="10" t="s">
        <v>67</v>
      </c>
      <c r="AC2388" s="8" t="s">
        <v>54</v>
      </c>
      <c r="AD2388" s="8" t="s">
        <v>54</v>
      </c>
      <c r="AE2388" s="8" t="s">
        <v>54</v>
      </c>
      <c r="AF2388" s="8" t="s">
        <v>54</v>
      </c>
      <c r="AG2388" s="8" t="s">
        <v>54</v>
      </c>
      <c r="AH2388" s="8" t="s">
        <v>54</v>
      </c>
      <c r="AI2388" s="10" t="s">
        <v>67</v>
      </c>
      <c r="AJ2388" s="8">
        <f>COUNTIF($E$2388:$AI$2388,"P")</f>
        <v>26</v>
      </c>
      <c r="AK2388" s="8">
        <f>COUNTIF($E$2388:$AI$2388,"A")</f>
        <v>0</v>
      </c>
      <c r="AL2388" s="8">
        <f>SUM($E$2389:$AI$2389)</f>
        <v>36</v>
      </c>
      <c r="AM2388" s="8">
        <f>SUM($E$2390:$AI$2390)</f>
        <v>144</v>
      </c>
      <c r="AN2388" s="8">
        <f>AL2388+AM2388</f>
        <v>180</v>
      </c>
      <c r="AO2388" s="8">
        <f>COUNTIF($E$2388:$AI$2388,"CL")</f>
        <v>0</v>
      </c>
      <c r="AP2388" s="8">
        <f>COUNTIF($E$2388:$AI$2388,"SL")</f>
        <v>0</v>
      </c>
      <c r="AQ2388" s="8">
        <f>COUNTIF($E$2388:$AI$2388,"EL")</f>
        <v>0</v>
      </c>
      <c r="AR2388" s="8">
        <f>COUNTIF($E$2388:$AI$2388,"H")</f>
        <v>0</v>
      </c>
      <c r="AS2388" s="8"/>
      <c r="AT2388" s="11" t="s">
        <v>259</v>
      </c>
    </row>
    <row r="2389" spans="1:46" ht="15.1" customHeight="1">
      <c r="A2389" s="8"/>
      <c r="B2389" s="9"/>
      <c r="C2389" s="8"/>
      <c r="D2389" s="9"/>
      <c r="E2389" s="8">
        <v>2</v>
      </c>
      <c r="F2389" s="8">
        <v>2</v>
      </c>
      <c r="G2389" s="8">
        <v>0</v>
      </c>
      <c r="H2389" s="8">
        <v>2</v>
      </c>
      <c r="I2389" s="8">
        <v>2</v>
      </c>
      <c r="J2389" s="8">
        <v>2</v>
      </c>
      <c r="K2389" s="8">
        <v>2</v>
      </c>
      <c r="L2389" s="8">
        <v>2</v>
      </c>
      <c r="M2389" s="8">
        <v>2</v>
      </c>
      <c r="N2389" s="8">
        <v>0</v>
      </c>
      <c r="O2389" s="8">
        <v>2</v>
      </c>
      <c r="P2389" s="8">
        <v>2</v>
      </c>
      <c r="Q2389" s="8">
        <v>2</v>
      </c>
      <c r="R2389" s="8">
        <v>2</v>
      </c>
      <c r="S2389" s="8">
        <v>2</v>
      </c>
      <c r="T2389" s="8">
        <v>2</v>
      </c>
      <c r="U2389" s="8">
        <v>0</v>
      </c>
      <c r="V2389" s="8">
        <v>2</v>
      </c>
      <c r="W2389" s="8">
        <v>2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2</v>
      </c>
      <c r="AD2389" s="8">
        <v>0</v>
      </c>
      <c r="AE2389" s="8">
        <v>0</v>
      </c>
      <c r="AF2389" s="8">
        <v>0</v>
      </c>
      <c r="AG2389" s="8">
        <v>0</v>
      </c>
      <c r="AH2389" s="8">
        <v>2</v>
      </c>
      <c r="AI2389" s="8">
        <v>0</v>
      </c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11" t="s">
        <v>259</v>
      </c>
    </row>
    <row r="2390" spans="1:46" ht="15.1" customHeight="1">
      <c r="A2390" s="8"/>
      <c r="B2390" s="9"/>
      <c r="C2390" s="8"/>
      <c r="D2390" s="9"/>
      <c r="E2390" s="8">
        <v>5</v>
      </c>
      <c r="F2390" s="8">
        <v>3</v>
      </c>
      <c r="G2390" s="8">
        <v>14</v>
      </c>
      <c r="H2390" s="8">
        <v>5</v>
      </c>
      <c r="I2390" s="8">
        <v>7</v>
      </c>
      <c r="J2390" s="8">
        <v>7</v>
      </c>
      <c r="K2390" s="8">
        <v>7</v>
      </c>
      <c r="L2390" s="8">
        <v>7</v>
      </c>
      <c r="M2390" s="8">
        <v>5</v>
      </c>
      <c r="N2390" s="8">
        <v>17</v>
      </c>
      <c r="O2390" s="8">
        <v>11</v>
      </c>
      <c r="P2390" s="8">
        <v>7</v>
      </c>
      <c r="Q2390" s="8">
        <v>5</v>
      </c>
      <c r="R2390" s="8">
        <v>7</v>
      </c>
      <c r="S2390" s="8">
        <v>7</v>
      </c>
      <c r="T2390" s="8">
        <v>3</v>
      </c>
      <c r="U2390" s="8">
        <v>13</v>
      </c>
      <c r="V2390" s="8">
        <v>7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4</v>
      </c>
      <c r="AD2390" s="8">
        <v>0</v>
      </c>
      <c r="AE2390" s="8">
        <v>0</v>
      </c>
      <c r="AF2390" s="8">
        <v>0</v>
      </c>
      <c r="AG2390" s="8">
        <v>0</v>
      </c>
      <c r="AH2390" s="8">
        <v>3</v>
      </c>
      <c r="AI2390" s="8">
        <v>0</v>
      </c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11" t="s">
        <v>259</v>
      </c>
    </row>
    <row r="2391" spans="1:46" ht="15.1" customHeight="1">
      <c r="A2391" s="8">
        <v>796</v>
      </c>
      <c r="B2391" s="9" t="s">
        <v>1830</v>
      </c>
      <c r="C2391" s="8" t="s">
        <v>1831</v>
      </c>
      <c r="D2391" s="9" t="s">
        <v>888</v>
      </c>
      <c r="E2391" s="8" t="s">
        <v>54</v>
      </c>
      <c r="F2391" s="8" t="s">
        <v>54</v>
      </c>
      <c r="G2391" s="10" t="s">
        <v>67</v>
      </c>
      <c r="H2391" s="8" t="s">
        <v>54</v>
      </c>
      <c r="I2391" s="8" t="s">
        <v>54</v>
      </c>
      <c r="J2391" s="8" t="s">
        <v>54</v>
      </c>
      <c r="K2391" s="8" t="s">
        <v>54</v>
      </c>
      <c r="L2391" s="8" t="s">
        <v>54</v>
      </c>
      <c r="M2391" s="8" t="s">
        <v>54</v>
      </c>
      <c r="N2391" s="10" t="s">
        <v>67</v>
      </c>
      <c r="O2391" s="8" t="s">
        <v>54</v>
      </c>
      <c r="P2391" s="8" t="s">
        <v>54</v>
      </c>
      <c r="Q2391" s="12" t="s">
        <v>55</v>
      </c>
      <c r="R2391" s="12" t="s">
        <v>55</v>
      </c>
      <c r="S2391" s="8" t="s">
        <v>54</v>
      </c>
      <c r="T2391" s="8" t="s">
        <v>54</v>
      </c>
      <c r="U2391" s="10" t="s">
        <v>67</v>
      </c>
      <c r="V2391" s="8" t="s">
        <v>54</v>
      </c>
      <c r="W2391" s="8" t="s">
        <v>54</v>
      </c>
      <c r="X2391" s="8" t="s">
        <v>54</v>
      </c>
      <c r="Y2391" s="8" t="s">
        <v>54</v>
      </c>
      <c r="Z2391" s="8" t="s">
        <v>54</v>
      </c>
      <c r="AA2391" s="8" t="s">
        <v>54</v>
      </c>
      <c r="AB2391" s="10" t="s">
        <v>67</v>
      </c>
      <c r="AC2391" s="8" t="s">
        <v>54</v>
      </c>
      <c r="AD2391" s="8" t="s">
        <v>54</v>
      </c>
      <c r="AE2391" s="8" t="s">
        <v>784</v>
      </c>
      <c r="AF2391" s="8" t="s">
        <v>784</v>
      </c>
      <c r="AG2391" s="8" t="s">
        <v>784</v>
      </c>
      <c r="AH2391" s="8" t="s">
        <v>784</v>
      </c>
      <c r="AI2391" s="10" t="s">
        <v>784</v>
      </c>
      <c r="AJ2391" s="8">
        <f>COUNTIF($E$2391:$AI$2391,"P")</f>
        <v>20</v>
      </c>
      <c r="AK2391" s="8">
        <f>COUNTIF($E$2391:$AI$2391,"A")</f>
        <v>2</v>
      </c>
      <c r="AL2391" s="8">
        <f>SUM($E$2392:$AI$2392)</f>
        <v>0</v>
      </c>
      <c r="AM2391" s="8">
        <f>SUM($E$2393:$AI$2393)</f>
        <v>0</v>
      </c>
      <c r="AN2391" s="8">
        <f>AL2391+AM2391</f>
        <v>0</v>
      </c>
      <c r="AO2391" s="8">
        <f>COUNTIF($E$2391:$AI$2391,"CL")</f>
        <v>0</v>
      </c>
      <c r="AP2391" s="8">
        <f>COUNTIF($E$2391:$AI$2391,"SL")</f>
        <v>0</v>
      </c>
      <c r="AQ2391" s="8">
        <f>COUNTIF($E$2391:$AI$2391,"EL")</f>
        <v>0</v>
      </c>
      <c r="AR2391" s="8">
        <f>COUNTIF($E$2391:$AI$2391,"H")</f>
        <v>0</v>
      </c>
      <c r="AS2391" s="8"/>
      <c r="AT2391" s="11" t="s">
        <v>259</v>
      </c>
    </row>
    <row r="2392" spans="1:46" ht="15.1" customHeight="1">
      <c r="A2392" s="8"/>
      <c r="B2392" s="9"/>
      <c r="C2392" s="8"/>
      <c r="D2392" s="9"/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11" t="s">
        <v>259</v>
      </c>
    </row>
    <row r="2393" spans="1:46" ht="15.1" customHeight="1">
      <c r="A2393" s="8"/>
      <c r="B2393" s="9"/>
      <c r="C2393" s="8"/>
      <c r="D2393" s="9"/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0</v>
      </c>
      <c r="AG2393" s="8">
        <v>0</v>
      </c>
      <c r="AH2393" s="8">
        <v>0</v>
      </c>
      <c r="AI2393" s="8">
        <v>0</v>
      </c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11" t="s">
        <v>259</v>
      </c>
    </row>
    <row r="2394" spans="1:46" ht="15.1" customHeight="1">
      <c r="A2394" s="8">
        <v>797</v>
      </c>
      <c r="B2394" s="9" t="s">
        <v>1832</v>
      </c>
      <c r="C2394" s="8" t="s">
        <v>1833</v>
      </c>
      <c r="D2394" s="9" t="s">
        <v>451</v>
      </c>
      <c r="E2394" s="8" t="s">
        <v>54</v>
      </c>
      <c r="F2394" s="8" t="s">
        <v>54</v>
      </c>
      <c r="G2394" s="10" t="s">
        <v>67</v>
      </c>
      <c r="H2394" s="8" t="s">
        <v>54</v>
      </c>
      <c r="I2394" s="8" t="s">
        <v>54</v>
      </c>
      <c r="J2394" s="8" t="s">
        <v>54</v>
      </c>
      <c r="K2394" s="8" t="s">
        <v>54</v>
      </c>
      <c r="L2394" s="8" t="s">
        <v>54</v>
      </c>
      <c r="M2394" s="8" t="s">
        <v>54</v>
      </c>
      <c r="N2394" s="10" t="s">
        <v>67</v>
      </c>
      <c r="O2394" s="8" t="s">
        <v>54</v>
      </c>
      <c r="P2394" s="8" t="s">
        <v>54</v>
      </c>
      <c r="Q2394" s="12" t="s">
        <v>55</v>
      </c>
      <c r="R2394" s="12" t="s">
        <v>55</v>
      </c>
      <c r="S2394" s="8" t="s">
        <v>54</v>
      </c>
      <c r="T2394" s="8" t="s">
        <v>54</v>
      </c>
      <c r="U2394" s="10" t="s">
        <v>67</v>
      </c>
      <c r="V2394" s="8" t="s">
        <v>54</v>
      </c>
      <c r="W2394" s="8" t="s">
        <v>54</v>
      </c>
      <c r="X2394" s="8" t="s">
        <v>54</v>
      </c>
      <c r="Y2394" s="8" t="s">
        <v>54</v>
      </c>
      <c r="Z2394" s="8" t="s">
        <v>54</v>
      </c>
      <c r="AA2394" s="8" t="s">
        <v>54</v>
      </c>
      <c r="AB2394" s="10" t="s">
        <v>67</v>
      </c>
      <c r="AC2394" s="8" t="s">
        <v>54</v>
      </c>
      <c r="AD2394" s="8" t="s">
        <v>54</v>
      </c>
      <c r="AE2394" s="8" t="s">
        <v>54</v>
      </c>
      <c r="AF2394" s="8" t="s">
        <v>54</v>
      </c>
      <c r="AG2394" s="8" t="s">
        <v>54</v>
      </c>
      <c r="AH2394" s="8" t="s">
        <v>54</v>
      </c>
      <c r="AI2394" s="10" t="s">
        <v>67</v>
      </c>
      <c r="AJ2394" s="8">
        <f>COUNTIF($E$2394:$AI$2394,"P")</f>
        <v>24</v>
      </c>
      <c r="AK2394" s="8">
        <f>COUNTIF($E$2394:$AI$2394,"A")</f>
        <v>2</v>
      </c>
      <c r="AL2394" s="8">
        <f>SUM($E$2395:$AI$2395)</f>
        <v>28</v>
      </c>
      <c r="AM2394" s="8">
        <f>SUM($E$2396:$AI$2396)</f>
        <v>83.5</v>
      </c>
      <c r="AN2394" s="8">
        <f>AL2394+AM2394</f>
        <v>111.5</v>
      </c>
      <c r="AO2394" s="8">
        <f>COUNTIF($E$2394:$AI$2394,"CL")</f>
        <v>0</v>
      </c>
      <c r="AP2394" s="8">
        <f>COUNTIF($E$2394:$AI$2394,"SL")</f>
        <v>0</v>
      </c>
      <c r="AQ2394" s="8">
        <f>COUNTIF($E$2394:$AI$2394,"EL")</f>
        <v>0</v>
      </c>
      <c r="AR2394" s="8">
        <f>COUNTIF($E$2394:$AI$2394,"H")</f>
        <v>0</v>
      </c>
      <c r="AS2394" s="8"/>
      <c r="AT2394" s="11" t="s">
        <v>259</v>
      </c>
    </row>
    <row r="2395" spans="1:46" ht="15.1" customHeight="1">
      <c r="A2395" s="8"/>
      <c r="B2395" s="9"/>
      <c r="C2395" s="8"/>
      <c r="D2395" s="9"/>
      <c r="E2395" s="8">
        <v>2</v>
      </c>
      <c r="F2395" s="8">
        <v>2</v>
      </c>
      <c r="G2395" s="8">
        <v>0</v>
      </c>
      <c r="H2395" s="8">
        <v>2</v>
      </c>
      <c r="I2395" s="8">
        <v>2</v>
      </c>
      <c r="J2395" s="8">
        <v>2</v>
      </c>
      <c r="K2395" s="8">
        <v>2</v>
      </c>
      <c r="L2395" s="8">
        <v>2</v>
      </c>
      <c r="M2395" s="8">
        <v>2</v>
      </c>
      <c r="N2395" s="8">
        <v>0</v>
      </c>
      <c r="O2395" s="8">
        <v>0</v>
      </c>
      <c r="P2395" s="8">
        <v>2</v>
      </c>
      <c r="Q2395" s="8">
        <v>0</v>
      </c>
      <c r="R2395" s="8">
        <v>0</v>
      </c>
      <c r="S2395" s="8">
        <v>2</v>
      </c>
      <c r="T2395" s="8">
        <v>2</v>
      </c>
      <c r="U2395" s="8">
        <v>0</v>
      </c>
      <c r="V2395" s="8">
        <v>2</v>
      </c>
      <c r="W2395" s="8">
        <v>2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2</v>
      </c>
      <c r="AI2395" s="8">
        <v>0</v>
      </c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11" t="s">
        <v>259</v>
      </c>
    </row>
    <row r="2396" spans="1:46" ht="15.1" customHeight="1">
      <c r="A2396" s="8"/>
      <c r="B2396" s="9"/>
      <c r="C2396" s="8"/>
      <c r="D2396" s="9"/>
      <c r="E2396" s="8">
        <v>5</v>
      </c>
      <c r="F2396" s="8">
        <v>3</v>
      </c>
      <c r="G2396" s="8">
        <v>14</v>
      </c>
      <c r="H2396" s="8">
        <v>5</v>
      </c>
      <c r="I2396" s="8">
        <v>5</v>
      </c>
      <c r="J2396" s="8">
        <v>5</v>
      </c>
      <c r="K2396" s="8">
        <v>5</v>
      </c>
      <c r="L2396" s="8">
        <v>5</v>
      </c>
      <c r="M2396" s="8">
        <v>5</v>
      </c>
      <c r="N2396" s="8">
        <v>0</v>
      </c>
      <c r="O2396" s="8">
        <v>0</v>
      </c>
      <c r="P2396" s="8">
        <v>3</v>
      </c>
      <c r="Q2396" s="8">
        <v>0</v>
      </c>
      <c r="R2396" s="8">
        <v>0</v>
      </c>
      <c r="S2396" s="8">
        <v>5</v>
      </c>
      <c r="T2396" s="8">
        <v>3</v>
      </c>
      <c r="U2396" s="8">
        <v>12.5</v>
      </c>
      <c r="V2396" s="8">
        <v>5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3</v>
      </c>
      <c r="AI2396" s="8">
        <v>0</v>
      </c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11" t="s">
        <v>259</v>
      </c>
    </row>
    <row r="2397" spans="1:46" ht="15.1" customHeight="1">
      <c r="A2397" s="8">
        <v>798</v>
      </c>
      <c r="B2397" s="9" t="s">
        <v>1834</v>
      </c>
      <c r="C2397" s="8" t="s">
        <v>1835</v>
      </c>
      <c r="D2397" s="9" t="s">
        <v>451</v>
      </c>
      <c r="E2397" s="12" t="s">
        <v>55</v>
      </c>
      <c r="F2397" s="12" t="s">
        <v>55</v>
      </c>
      <c r="G2397" s="10" t="s">
        <v>67</v>
      </c>
      <c r="H2397" s="8" t="s">
        <v>54</v>
      </c>
      <c r="I2397" s="8" t="s">
        <v>54</v>
      </c>
      <c r="J2397" s="8" t="s">
        <v>54</v>
      </c>
      <c r="K2397" s="8" t="s">
        <v>54</v>
      </c>
      <c r="L2397" s="8" t="s">
        <v>54</v>
      </c>
      <c r="M2397" s="12" t="s">
        <v>55</v>
      </c>
      <c r="N2397" s="10" t="s">
        <v>67</v>
      </c>
      <c r="O2397" s="8" t="s">
        <v>54</v>
      </c>
      <c r="P2397" s="8" t="s">
        <v>54</v>
      </c>
      <c r="Q2397" s="8" t="s">
        <v>54</v>
      </c>
      <c r="R2397" s="8" t="s">
        <v>54</v>
      </c>
      <c r="S2397" s="8" t="s">
        <v>54</v>
      </c>
      <c r="T2397" s="8" t="s">
        <v>54</v>
      </c>
      <c r="U2397" s="10" t="s">
        <v>67</v>
      </c>
      <c r="V2397" s="8" t="s">
        <v>54</v>
      </c>
      <c r="W2397" s="8" t="s">
        <v>54</v>
      </c>
      <c r="X2397" s="8" t="s">
        <v>54</v>
      </c>
      <c r="Y2397" s="8" t="s">
        <v>54</v>
      </c>
      <c r="Z2397" s="8" t="s">
        <v>54</v>
      </c>
      <c r="AA2397" s="8" t="s">
        <v>54</v>
      </c>
      <c r="AB2397" s="10" t="s">
        <v>67</v>
      </c>
      <c r="AC2397" s="8" t="s">
        <v>54</v>
      </c>
      <c r="AD2397" s="8" t="s">
        <v>54</v>
      </c>
      <c r="AE2397" s="8" t="s">
        <v>54</v>
      </c>
      <c r="AF2397" s="8" t="s">
        <v>54</v>
      </c>
      <c r="AG2397" s="8" t="s">
        <v>54</v>
      </c>
      <c r="AH2397" s="8" t="s">
        <v>54</v>
      </c>
      <c r="AI2397" s="10" t="s">
        <v>67</v>
      </c>
      <c r="AJ2397" s="8">
        <f>COUNTIF($E$2397:$AI$2397,"P")</f>
        <v>23</v>
      </c>
      <c r="AK2397" s="8">
        <f>COUNTIF($E$2397:$AI$2397,"A")</f>
        <v>3</v>
      </c>
      <c r="AL2397" s="8">
        <f>SUM($E$2398:$AI$2398)</f>
        <v>28</v>
      </c>
      <c r="AM2397" s="8">
        <f>SUM($E$2399:$AI$2399)</f>
        <v>101.5</v>
      </c>
      <c r="AN2397" s="8">
        <f>AL2397+AM2397</f>
        <v>129.5</v>
      </c>
      <c r="AO2397" s="8">
        <f>COUNTIF($E$2397:$AI$2397,"CL")</f>
        <v>0</v>
      </c>
      <c r="AP2397" s="8">
        <f>COUNTIF($E$2397:$AI$2397,"SL")</f>
        <v>0</v>
      </c>
      <c r="AQ2397" s="8">
        <f>COUNTIF($E$2397:$AI$2397,"EL")</f>
        <v>0</v>
      </c>
      <c r="AR2397" s="8">
        <f>COUNTIF($E$2397:$AI$2397,"H")</f>
        <v>0</v>
      </c>
      <c r="AS2397" s="8"/>
      <c r="AT2397" s="11" t="s">
        <v>259</v>
      </c>
    </row>
    <row r="2398" spans="1:46" ht="15.1" customHeight="1">
      <c r="A2398" s="8"/>
      <c r="B2398" s="9"/>
      <c r="C2398" s="8"/>
      <c r="D2398" s="9"/>
      <c r="E2398" s="8">
        <v>0</v>
      </c>
      <c r="F2398" s="8">
        <v>0</v>
      </c>
      <c r="G2398" s="8">
        <v>0</v>
      </c>
      <c r="H2398" s="8">
        <v>2</v>
      </c>
      <c r="I2398" s="8">
        <v>2</v>
      </c>
      <c r="J2398" s="8">
        <v>2</v>
      </c>
      <c r="K2398" s="8">
        <v>2</v>
      </c>
      <c r="L2398" s="8">
        <v>2</v>
      </c>
      <c r="M2398" s="8">
        <v>0</v>
      </c>
      <c r="N2398" s="8">
        <v>0</v>
      </c>
      <c r="O2398" s="8">
        <v>2</v>
      </c>
      <c r="P2398" s="8">
        <v>2</v>
      </c>
      <c r="Q2398" s="8">
        <v>2</v>
      </c>
      <c r="R2398" s="8">
        <v>2</v>
      </c>
      <c r="S2398" s="8">
        <v>2</v>
      </c>
      <c r="T2398" s="8">
        <v>2</v>
      </c>
      <c r="U2398" s="8">
        <v>0</v>
      </c>
      <c r="V2398" s="8">
        <v>2</v>
      </c>
      <c r="W2398" s="8">
        <v>2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2</v>
      </c>
      <c r="AE2398" s="8">
        <v>0</v>
      </c>
      <c r="AF2398" s="8">
        <v>0</v>
      </c>
      <c r="AG2398" s="8">
        <v>0</v>
      </c>
      <c r="AH2398" s="8">
        <v>0</v>
      </c>
      <c r="AI2398" s="8">
        <v>0</v>
      </c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11" t="s">
        <v>259</v>
      </c>
    </row>
    <row r="2399" spans="1:46" ht="15.1" customHeight="1">
      <c r="A2399" s="8"/>
      <c r="B2399" s="9"/>
      <c r="C2399" s="8"/>
      <c r="D2399" s="9"/>
      <c r="E2399" s="8">
        <v>0</v>
      </c>
      <c r="F2399" s="8">
        <v>0</v>
      </c>
      <c r="G2399" s="8">
        <v>0</v>
      </c>
      <c r="H2399" s="8">
        <v>5</v>
      </c>
      <c r="I2399" s="8">
        <v>7</v>
      </c>
      <c r="J2399" s="8">
        <v>7</v>
      </c>
      <c r="K2399" s="8">
        <v>7</v>
      </c>
      <c r="L2399" s="8">
        <v>7</v>
      </c>
      <c r="M2399" s="8">
        <v>0</v>
      </c>
      <c r="N2399" s="8">
        <v>17</v>
      </c>
      <c r="O2399" s="8">
        <v>7</v>
      </c>
      <c r="P2399" s="8">
        <v>9.5</v>
      </c>
      <c r="Q2399" s="8">
        <v>3</v>
      </c>
      <c r="R2399" s="8">
        <v>7</v>
      </c>
      <c r="S2399" s="8">
        <v>7</v>
      </c>
      <c r="T2399" s="8">
        <v>3</v>
      </c>
      <c r="U2399" s="8">
        <v>13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2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11" t="s">
        <v>259</v>
      </c>
    </row>
    <row r="2400" spans="1:46" ht="15.1" customHeight="1">
      <c r="A2400" s="8">
        <v>799</v>
      </c>
      <c r="B2400" s="9" t="s">
        <v>1836</v>
      </c>
      <c r="C2400" s="8" t="s">
        <v>1837</v>
      </c>
      <c r="D2400" s="9" t="s">
        <v>451</v>
      </c>
      <c r="E2400" s="8" t="s">
        <v>54</v>
      </c>
      <c r="F2400" s="8" t="s">
        <v>54</v>
      </c>
      <c r="G2400" s="10" t="s">
        <v>67</v>
      </c>
      <c r="H2400" s="8" t="s">
        <v>54</v>
      </c>
      <c r="I2400" s="8" t="s">
        <v>54</v>
      </c>
      <c r="J2400" s="8" t="s">
        <v>54</v>
      </c>
      <c r="K2400" s="8" t="s">
        <v>54</v>
      </c>
      <c r="L2400" s="8" t="s">
        <v>54</v>
      </c>
      <c r="M2400" s="8" t="s">
        <v>54</v>
      </c>
      <c r="N2400" s="10" t="s">
        <v>67</v>
      </c>
      <c r="O2400" s="8" t="s">
        <v>54</v>
      </c>
      <c r="P2400" s="8" t="s">
        <v>54</v>
      </c>
      <c r="Q2400" s="8" t="s">
        <v>54</v>
      </c>
      <c r="R2400" s="8" t="s">
        <v>54</v>
      </c>
      <c r="S2400" s="8" t="s">
        <v>54</v>
      </c>
      <c r="T2400" s="8" t="s">
        <v>54</v>
      </c>
      <c r="U2400" s="10" t="s">
        <v>67</v>
      </c>
      <c r="V2400" s="8" t="s">
        <v>54</v>
      </c>
      <c r="W2400" s="8" t="s">
        <v>54</v>
      </c>
      <c r="X2400" s="8" t="s">
        <v>54</v>
      </c>
      <c r="Y2400" s="8" t="s">
        <v>54</v>
      </c>
      <c r="Z2400" s="8" t="s">
        <v>54</v>
      </c>
      <c r="AA2400" s="8" t="s">
        <v>54</v>
      </c>
      <c r="AB2400" s="10" t="s">
        <v>67</v>
      </c>
      <c r="AC2400" s="8" t="s">
        <v>54</v>
      </c>
      <c r="AD2400" s="8" t="s">
        <v>54</v>
      </c>
      <c r="AE2400" s="8" t="s">
        <v>54</v>
      </c>
      <c r="AF2400" s="8" t="s">
        <v>54</v>
      </c>
      <c r="AG2400" s="8" t="s">
        <v>54</v>
      </c>
      <c r="AH2400" s="8" t="s">
        <v>54</v>
      </c>
      <c r="AI2400" s="10" t="s">
        <v>67</v>
      </c>
      <c r="AJ2400" s="8">
        <f>COUNTIF($E$2400:$AI$2400,"P")</f>
        <v>26</v>
      </c>
      <c r="AK2400" s="8">
        <f>COUNTIF($E$2400:$AI$2400,"A")</f>
        <v>0</v>
      </c>
      <c r="AL2400" s="8">
        <f>SUM($E$2401:$AI$2401)</f>
        <v>30</v>
      </c>
      <c r="AM2400" s="8">
        <f>SUM($E$2402:$AI$2402)</f>
        <v>132.5</v>
      </c>
      <c r="AN2400" s="8">
        <f>AL2400+AM2400</f>
        <v>162.5</v>
      </c>
      <c r="AO2400" s="8">
        <f>COUNTIF($E$2400:$AI$2400,"CL")</f>
        <v>0</v>
      </c>
      <c r="AP2400" s="8">
        <f>COUNTIF($E$2400:$AI$2400,"SL")</f>
        <v>0</v>
      </c>
      <c r="AQ2400" s="8">
        <f>COUNTIF($E$2400:$AI$2400,"EL")</f>
        <v>0</v>
      </c>
      <c r="AR2400" s="8">
        <f>COUNTIF($E$2400:$AI$2400,"H")</f>
        <v>0</v>
      </c>
      <c r="AS2400" s="8"/>
      <c r="AT2400" s="11" t="s">
        <v>259</v>
      </c>
    </row>
    <row r="2401" spans="1:46" ht="15.1" customHeight="1">
      <c r="A2401" s="8"/>
      <c r="B2401" s="9"/>
      <c r="C2401" s="8"/>
      <c r="D2401" s="9"/>
      <c r="E2401" s="8">
        <v>2</v>
      </c>
      <c r="F2401" s="8">
        <v>2</v>
      </c>
      <c r="G2401" s="8">
        <v>0</v>
      </c>
      <c r="H2401" s="8">
        <v>2</v>
      </c>
      <c r="I2401" s="8">
        <v>2</v>
      </c>
      <c r="J2401" s="8">
        <v>2</v>
      </c>
      <c r="K2401" s="8">
        <v>2</v>
      </c>
      <c r="L2401" s="8">
        <v>2</v>
      </c>
      <c r="M2401" s="8">
        <v>2</v>
      </c>
      <c r="N2401" s="8">
        <v>0</v>
      </c>
      <c r="O2401" s="8">
        <v>2</v>
      </c>
      <c r="P2401" s="8">
        <v>2</v>
      </c>
      <c r="Q2401" s="8">
        <v>2</v>
      </c>
      <c r="R2401" s="8">
        <v>2</v>
      </c>
      <c r="S2401" s="8">
        <v>2</v>
      </c>
      <c r="T2401" s="8">
        <v>2</v>
      </c>
      <c r="U2401" s="8">
        <v>0</v>
      </c>
      <c r="V2401" s="8">
        <v>2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11" t="s">
        <v>259</v>
      </c>
    </row>
    <row r="2402" spans="1:46" ht="15.1" customHeight="1">
      <c r="A2402" s="8"/>
      <c r="B2402" s="9"/>
      <c r="C2402" s="8"/>
      <c r="D2402" s="9"/>
      <c r="E2402" s="8">
        <v>5</v>
      </c>
      <c r="F2402" s="8">
        <v>3</v>
      </c>
      <c r="G2402" s="8">
        <v>14</v>
      </c>
      <c r="H2402" s="8">
        <v>5</v>
      </c>
      <c r="I2402" s="8">
        <v>7</v>
      </c>
      <c r="J2402" s="8">
        <v>7</v>
      </c>
      <c r="K2402" s="8">
        <v>7</v>
      </c>
      <c r="L2402" s="8">
        <v>7</v>
      </c>
      <c r="M2402" s="8">
        <v>5</v>
      </c>
      <c r="N2402" s="8">
        <v>17</v>
      </c>
      <c r="O2402" s="8">
        <v>6.5</v>
      </c>
      <c r="P2402" s="8">
        <v>7</v>
      </c>
      <c r="Q2402" s="8">
        <v>5</v>
      </c>
      <c r="R2402" s="8">
        <v>7</v>
      </c>
      <c r="S2402" s="8">
        <v>7</v>
      </c>
      <c r="T2402" s="8">
        <v>3</v>
      </c>
      <c r="U2402" s="8">
        <v>13</v>
      </c>
      <c r="V2402" s="8">
        <v>7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11" t="s">
        <v>259</v>
      </c>
    </row>
    <row r="2403" spans="1:46" ht="15.1" customHeight="1">
      <c r="A2403" s="8">
        <v>800</v>
      </c>
      <c r="B2403" s="9" t="s">
        <v>1838</v>
      </c>
      <c r="C2403" s="8" t="s">
        <v>1839</v>
      </c>
      <c r="D2403" s="9" t="s">
        <v>451</v>
      </c>
      <c r="E2403" s="8" t="s">
        <v>54</v>
      </c>
      <c r="F2403" s="8" t="s">
        <v>54</v>
      </c>
      <c r="G2403" s="10" t="s">
        <v>67</v>
      </c>
      <c r="H2403" s="12" t="s">
        <v>55</v>
      </c>
      <c r="I2403" s="12" t="s">
        <v>55</v>
      </c>
      <c r="J2403" s="12" t="s">
        <v>55</v>
      </c>
      <c r="K2403" s="12" t="s">
        <v>55</v>
      </c>
      <c r="L2403" s="12" t="s">
        <v>55</v>
      </c>
      <c r="M2403" s="12" t="s">
        <v>55</v>
      </c>
      <c r="N2403" s="10" t="s">
        <v>67</v>
      </c>
      <c r="O2403" s="12" t="s">
        <v>55</v>
      </c>
      <c r="P2403" s="12" t="s">
        <v>55</v>
      </c>
      <c r="Q2403" s="12" t="s">
        <v>55</v>
      </c>
      <c r="R2403" s="8"/>
      <c r="S2403" s="8"/>
      <c r="T2403" s="8"/>
      <c r="U2403" s="10"/>
      <c r="V2403" s="8"/>
      <c r="W2403" s="8"/>
      <c r="X2403" s="8"/>
      <c r="Y2403" s="8"/>
      <c r="Z2403" s="8"/>
      <c r="AA2403" s="8"/>
      <c r="AB2403" s="10"/>
      <c r="AC2403" s="8"/>
      <c r="AD2403" s="8"/>
      <c r="AE2403" s="8"/>
      <c r="AF2403" s="8"/>
      <c r="AG2403" s="8"/>
      <c r="AH2403" s="8"/>
      <c r="AI2403" s="10"/>
      <c r="AJ2403" s="8">
        <f>COUNTIF($E$2403:$AI$2403,"P")</f>
        <v>2</v>
      </c>
      <c r="AK2403" s="8">
        <f>COUNTIF($E$2403:$AI$2403,"A")</f>
        <v>9</v>
      </c>
      <c r="AL2403" s="8">
        <f>SUM($E$2404:$AI$2404)</f>
        <v>4</v>
      </c>
      <c r="AM2403" s="8">
        <f>SUM($E$2405:$AI$2405)</f>
        <v>21</v>
      </c>
      <c r="AN2403" s="8">
        <f>AL2403+AM2403</f>
        <v>25</v>
      </c>
      <c r="AO2403" s="8">
        <f>COUNTIF($E$2403:$AI$2403,"CL")</f>
        <v>0</v>
      </c>
      <c r="AP2403" s="8">
        <f>COUNTIF($E$2403:$AI$2403,"SL")</f>
        <v>0</v>
      </c>
      <c r="AQ2403" s="8">
        <f>COUNTIF($E$2403:$AI$2403,"EL")</f>
        <v>0</v>
      </c>
      <c r="AR2403" s="8">
        <f>COUNTIF($E$2403:$AI$2403,"H")</f>
        <v>0</v>
      </c>
      <c r="AS2403" s="8"/>
      <c r="AT2403" s="11" t="s">
        <v>259</v>
      </c>
    </row>
    <row r="2404" spans="1:46" ht="15.1" customHeight="1">
      <c r="A2404" s="8"/>
      <c r="B2404" s="9"/>
      <c r="C2404" s="8"/>
      <c r="D2404" s="9"/>
      <c r="E2404" s="8">
        <v>2</v>
      </c>
      <c r="F2404" s="8">
        <v>2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11" t="s">
        <v>259</v>
      </c>
    </row>
    <row r="2405" spans="1:46" ht="15.1" customHeight="1">
      <c r="A2405" s="8"/>
      <c r="B2405" s="9"/>
      <c r="C2405" s="8"/>
      <c r="D2405" s="9"/>
      <c r="E2405" s="8">
        <v>4.5</v>
      </c>
      <c r="F2405" s="8">
        <v>3</v>
      </c>
      <c r="G2405" s="8">
        <v>13.5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  <c r="M2405" s="8">
        <v>0</v>
      </c>
      <c r="N2405" s="8">
        <v>0</v>
      </c>
      <c r="O2405" s="8">
        <v>0</v>
      </c>
      <c r="P2405" s="8">
        <v>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11" t="s">
        <v>259</v>
      </c>
    </row>
    <row r="2406" spans="1:46" ht="15.1" customHeight="1">
      <c r="A2406" s="8">
        <v>801</v>
      </c>
      <c r="B2406" s="9" t="s">
        <v>1840</v>
      </c>
      <c r="C2406" s="8" t="s">
        <v>1841</v>
      </c>
      <c r="D2406" s="9" t="s">
        <v>451</v>
      </c>
      <c r="E2406" s="8" t="s">
        <v>54</v>
      </c>
      <c r="F2406" s="8" t="s">
        <v>54</v>
      </c>
      <c r="G2406" s="10" t="s">
        <v>67</v>
      </c>
      <c r="H2406" s="8" t="s">
        <v>54</v>
      </c>
      <c r="I2406" s="8" t="s">
        <v>54</v>
      </c>
      <c r="J2406" s="8" t="s">
        <v>54</v>
      </c>
      <c r="K2406" s="8" t="s">
        <v>54</v>
      </c>
      <c r="L2406" s="8" t="s">
        <v>54</v>
      </c>
      <c r="M2406" s="8" t="s">
        <v>54</v>
      </c>
      <c r="N2406" s="10" t="s">
        <v>67</v>
      </c>
      <c r="O2406" s="8" t="s">
        <v>54</v>
      </c>
      <c r="P2406" s="8" t="s">
        <v>54</v>
      </c>
      <c r="Q2406" s="8" t="s">
        <v>54</v>
      </c>
      <c r="R2406" s="8" t="s">
        <v>54</v>
      </c>
      <c r="S2406" s="8" t="s">
        <v>54</v>
      </c>
      <c r="T2406" s="8" t="s">
        <v>54</v>
      </c>
      <c r="U2406" s="10" t="s">
        <v>67</v>
      </c>
      <c r="V2406" s="8" t="s">
        <v>54</v>
      </c>
      <c r="W2406" s="8" t="s">
        <v>54</v>
      </c>
      <c r="X2406" s="8" t="s">
        <v>54</v>
      </c>
      <c r="Y2406" s="8" t="s">
        <v>54</v>
      </c>
      <c r="Z2406" s="8" t="s">
        <v>54</v>
      </c>
      <c r="AA2406" s="8" t="s">
        <v>54</v>
      </c>
      <c r="AB2406" s="10" t="s">
        <v>67</v>
      </c>
      <c r="AC2406" s="8" t="s">
        <v>54</v>
      </c>
      <c r="AD2406" s="8" t="s">
        <v>54</v>
      </c>
      <c r="AE2406" s="8" t="s">
        <v>54</v>
      </c>
      <c r="AF2406" s="8" t="s">
        <v>54</v>
      </c>
      <c r="AG2406" s="8" t="s">
        <v>54</v>
      </c>
      <c r="AH2406" s="8" t="s">
        <v>54</v>
      </c>
      <c r="AI2406" s="10" t="s">
        <v>67</v>
      </c>
      <c r="AJ2406" s="8">
        <f>COUNTIF($E$2406:$AI$2406,"P")</f>
        <v>26</v>
      </c>
      <c r="AK2406" s="8">
        <f>COUNTIF($E$2406:$AI$2406,"A")</f>
        <v>0</v>
      </c>
      <c r="AL2406" s="8">
        <f>SUM($E$2407:$AI$2407)</f>
        <v>30</v>
      </c>
      <c r="AM2406" s="8">
        <f>SUM($E$2408:$AI$2408)</f>
        <v>133.5</v>
      </c>
      <c r="AN2406" s="8">
        <f>AL2406+AM2406</f>
        <v>163.5</v>
      </c>
      <c r="AO2406" s="8">
        <f>COUNTIF($E$2406:$AI$2406,"CL")</f>
        <v>0</v>
      </c>
      <c r="AP2406" s="8">
        <f>COUNTIF($E$2406:$AI$2406,"SL")</f>
        <v>0</v>
      </c>
      <c r="AQ2406" s="8">
        <f>COUNTIF($E$2406:$AI$2406,"EL")</f>
        <v>0</v>
      </c>
      <c r="AR2406" s="8">
        <f>COUNTIF($E$2406:$AI$2406,"H")</f>
        <v>0</v>
      </c>
      <c r="AS2406" s="8"/>
      <c r="AT2406" s="11" t="s">
        <v>259</v>
      </c>
    </row>
    <row r="2407" spans="1:46" ht="15.1" customHeight="1">
      <c r="A2407" s="8"/>
      <c r="B2407" s="9"/>
      <c r="C2407" s="8"/>
      <c r="D2407" s="9"/>
      <c r="E2407" s="8">
        <v>2</v>
      </c>
      <c r="F2407" s="8">
        <v>2</v>
      </c>
      <c r="G2407" s="8">
        <v>0</v>
      </c>
      <c r="H2407" s="8">
        <v>2</v>
      </c>
      <c r="I2407" s="8">
        <v>0</v>
      </c>
      <c r="J2407" s="8">
        <v>2</v>
      </c>
      <c r="K2407" s="8">
        <v>2</v>
      </c>
      <c r="L2407" s="8">
        <v>2</v>
      </c>
      <c r="M2407" s="8">
        <v>2</v>
      </c>
      <c r="N2407" s="8">
        <v>0</v>
      </c>
      <c r="O2407" s="8">
        <v>2</v>
      </c>
      <c r="P2407" s="8">
        <v>2</v>
      </c>
      <c r="Q2407" s="8">
        <v>2</v>
      </c>
      <c r="R2407" s="8">
        <v>2</v>
      </c>
      <c r="S2407" s="8">
        <v>2</v>
      </c>
      <c r="T2407" s="8">
        <v>2</v>
      </c>
      <c r="U2407" s="8">
        <v>0</v>
      </c>
      <c r="V2407" s="8">
        <v>2</v>
      </c>
      <c r="W2407" s="8">
        <v>2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11" t="s">
        <v>259</v>
      </c>
    </row>
    <row r="2408" spans="1:46" ht="15.1" customHeight="1">
      <c r="A2408" s="8"/>
      <c r="B2408" s="9"/>
      <c r="C2408" s="8"/>
      <c r="D2408" s="9"/>
      <c r="E2408" s="8">
        <v>5</v>
      </c>
      <c r="F2408" s="8">
        <v>3</v>
      </c>
      <c r="G2408" s="8">
        <v>13.5</v>
      </c>
      <c r="H2408" s="8">
        <v>5</v>
      </c>
      <c r="I2408" s="8">
        <v>0</v>
      </c>
      <c r="J2408" s="8">
        <v>7</v>
      </c>
      <c r="K2408" s="8">
        <v>7</v>
      </c>
      <c r="L2408" s="8">
        <v>7</v>
      </c>
      <c r="M2408" s="8">
        <v>5</v>
      </c>
      <c r="N2408" s="8">
        <v>16.5</v>
      </c>
      <c r="O2408" s="8">
        <v>7</v>
      </c>
      <c r="P2408" s="8">
        <v>7</v>
      </c>
      <c r="Q2408" s="8">
        <v>5</v>
      </c>
      <c r="R2408" s="8">
        <v>8</v>
      </c>
      <c r="S2408" s="8">
        <v>7</v>
      </c>
      <c r="T2408" s="8">
        <v>3</v>
      </c>
      <c r="U2408" s="8">
        <v>12.5</v>
      </c>
      <c r="V2408" s="8">
        <v>7</v>
      </c>
      <c r="W2408" s="8">
        <v>8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0</v>
      </c>
      <c r="AH2408" s="8">
        <v>0</v>
      </c>
      <c r="AI2408" s="8">
        <v>0</v>
      </c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11" t="s">
        <v>259</v>
      </c>
    </row>
    <row r="2409" spans="1:46" ht="15.1" customHeight="1">
      <c r="A2409" s="8">
        <v>802</v>
      </c>
      <c r="B2409" s="9" t="s">
        <v>1842</v>
      </c>
      <c r="C2409" s="8" t="s">
        <v>1843</v>
      </c>
      <c r="D2409" s="9" t="s">
        <v>451</v>
      </c>
      <c r="E2409" s="8" t="s">
        <v>54</v>
      </c>
      <c r="F2409" s="8" t="s">
        <v>54</v>
      </c>
      <c r="G2409" s="10" t="s">
        <v>67</v>
      </c>
      <c r="H2409" s="8" t="s">
        <v>54</v>
      </c>
      <c r="I2409" s="8" t="s">
        <v>54</v>
      </c>
      <c r="J2409" s="8" t="s">
        <v>54</v>
      </c>
      <c r="K2409" s="8" t="s">
        <v>54</v>
      </c>
      <c r="L2409" s="8" t="s">
        <v>54</v>
      </c>
      <c r="M2409" s="8" t="s">
        <v>54</v>
      </c>
      <c r="N2409" s="10" t="s">
        <v>67</v>
      </c>
      <c r="O2409" s="8" t="s">
        <v>54</v>
      </c>
      <c r="P2409" s="8" t="s">
        <v>54</v>
      </c>
      <c r="Q2409" s="8" t="s">
        <v>54</v>
      </c>
      <c r="R2409" s="8" t="s">
        <v>54</v>
      </c>
      <c r="S2409" s="8" t="s">
        <v>54</v>
      </c>
      <c r="T2409" s="8" t="s">
        <v>54</v>
      </c>
      <c r="U2409" s="10" t="s">
        <v>67</v>
      </c>
      <c r="V2409" s="8" t="s">
        <v>54</v>
      </c>
      <c r="W2409" s="8" t="s">
        <v>54</v>
      </c>
      <c r="X2409" s="8" t="s">
        <v>54</v>
      </c>
      <c r="Y2409" s="8" t="s">
        <v>54</v>
      </c>
      <c r="Z2409" s="8" t="s">
        <v>54</v>
      </c>
      <c r="AA2409" s="8" t="s">
        <v>54</v>
      </c>
      <c r="AB2409" s="10" t="s">
        <v>67</v>
      </c>
      <c r="AC2409" s="8" t="s">
        <v>54</v>
      </c>
      <c r="AD2409" s="8" t="s">
        <v>54</v>
      </c>
      <c r="AE2409" s="8" t="s">
        <v>54</v>
      </c>
      <c r="AF2409" s="8" t="s">
        <v>54</v>
      </c>
      <c r="AG2409" s="8" t="s">
        <v>54</v>
      </c>
      <c r="AH2409" s="8" t="s">
        <v>54</v>
      </c>
      <c r="AI2409" s="10" t="s">
        <v>67</v>
      </c>
      <c r="AJ2409" s="8">
        <f>COUNTIF($E$2409:$AI$2409,"P")</f>
        <v>26</v>
      </c>
      <c r="AK2409" s="8">
        <f>COUNTIF($E$2409:$AI$2409,"A")</f>
        <v>0</v>
      </c>
      <c r="AL2409" s="8">
        <f>SUM($E$2410:$AI$2410)</f>
        <v>36</v>
      </c>
      <c r="AM2409" s="8">
        <f>SUM($E$2411:$AI$2411)</f>
        <v>141.5</v>
      </c>
      <c r="AN2409" s="8">
        <f>AL2409+AM2409</f>
        <v>177.5</v>
      </c>
      <c r="AO2409" s="8">
        <f>COUNTIF($E$2409:$AI$2409,"CL")</f>
        <v>0</v>
      </c>
      <c r="AP2409" s="8">
        <f>COUNTIF($E$2409:$AI$2409,"SL")</f>
        <v>0</v>
      </c>
      <c r="AQ2409" s="8">
        <f>COUNTIF($E$2409:$AI$2409,"EL")</f>
        <v>0</v>
      </c>
      <c r="AR2409" s="8">
        <f>COUNTIF($E$2409:$AI$2409,"H")</f>
        <v>0</v>
      </c>
      <c r="AS2409" s="8"/>
      <c r="AT2409" s="11" t="s">
        <v>259</v>
      </c>
    </row>
    <row r="2410" spans="1:46" ht="15.1" customHeight="1">
      <c r="A2410" s="8"/>
      <c r="B2410" s="9"/>
      <c r="C2410" s="8"/>
      <c r="D2410" s="9"/>
      <c r="E2410" s="8">
        <v>2</v>
      </c>
      <c r="F2410" s="8">
        <v>2</v>
      </c>
      <c r="G2410" s="8">
        <v>0</v>
      </c>
      <c r="H2410" s="8">
        <v>2</v>
      </c>
      <c r="I2410" s="8">
        <v>2</v>
      </c>
      <c r="J2410" s="8">
        <v>2</v>
      </c>
      <c r="K2410" s="8">
        <v>2</v>
      </c>
      <c r="L2410" s="8">
        <v>2</v>
      </c>
      <c r="M2410" s="8">
        <v>2</v>
      </c>
      <c r="N2410" s="8">
        <v>0</v>
      </c>
      <c r="O2410" s="8">
        <v>2</v>
      </c>
      <c r="P2410" s="8">
        <v>2</v>
      </c>
      <c r="Q2410" s="8">
        <v>2</v>
      </c>
      <c r="R2410" s="8">
        <v>2</v>
      </c>
      <c r="S2410" s="8">
        <v>2</v>
      </c>
      <c r="T2410" s="8">
        <v>2</v>
      </c>
      <c r="U2410" s="8">
        <v>0</v>
      </c>
      <c r="V2410" s="8">
        <v>2</v>
      </c>
      <c r="W2410" s="8">
        <v>2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2</v>
      </c>
      <c r="AD2410" s="8">
        <v>0</v>
      </c>
      <c r="AE2410" s="8">
        <v>0</v>
      </c>
      <c r="AF2410" s="8">
        <v>0</v>
      </c>
      <c r="AG2410" s="8">
        <v>0</v>
      </c>
      <c r="AH2410" s="8">
        <v>2</v>
      </c>
      <c r="AI2410" s="8">
        <v>0</v>
      </c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11" t="s">
        <v>259</v>
      </c>
    </row>
    <row r="2411" spans="1:46" ht="15.1" customHeight="1">
      <c r="A2411" s="8"/>
      <c r="B2411" s="9"/>
      <c r="C2411" s="8"/>
      <c r="D2411" s="9"/>
      <c r="E2411" s="8">
        <v>4.5</v>
      </c>
      <c r="F2411" s="8">
        <v>3</v>
      </c>
      <c r="G2411" s="8">
        <v>13.5</v>
      </c>
      <c r="H2411" s="8">
        <v>5</v>
      </c>
      <c r="I2411" s="8">
        <v>7</v>
      </c>
      <c r="J2411" s="8">
        <v>7</v>
      </c>
      <c r="K2411" s="8">
        <v>7</v>
      </c>
      <c r="L2411" s="8">
        <v>7</v>
      </c>
      <c r="M2411" s="8">
        <v>5</v>
      </c>
      <c r="N2411" s="8">
        <v>16.5</v>
      </c>
      <c r="O2411" s="8">
        <v>11</v>
      </c>
      <c r="P2411" s="8">
        <v>7</v>
      </c>
      <c r="Q2411" s="8">
        <v>5</v>
      </c>
      <c r="R2411" s="8">
        <v>7</v>
      </c>
      <c r="S2411" s="8">
        <v>7</v>
      </c>
      <c r="T2411" s="8">
        <v>3</v>
      </c>
      <c r="U2411" s="8">
        <v>12</v>
      </c>
      <c r="V2411" s="8">
        <v>7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4</v>
      </c>
      <c r="AD2411" s="8">
        <v>0</v>
      </c>
      <c r="AE2411" s="8">
        <v>0</v>
      </c>
      <c r="AF2411" s="8">
        <v>0</v>
      </c>
      <c r="AG2411" s="8">
        <v>0</v>
      </c>
      <c r="AH2411" s="8">
        <v>3</v>
      </c>
      <c r="AI2411" s="8">
        <v>0</v>
      </c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11" t="s">
        <v>259</v>
      </c>
    </row>
    <row r="2412" spans="1:46" ht="15.1" customHeight="1">
      <c r="A2412" s="8">
        <v>803</v>
      </c>
      <c r="B2412" s="9" t="s">
        <v>1844</v>
      </c>
      <c r="C2412" s="8" t="s">
        <v>1845</v>
      </c>
      <c r="D2412" s="9" t="s">
        <v>451</v>
      </c>
      <c r="E2412" s="8" t="s">
        <v>54</v>
      </c>
      <c r="F2412" s="8" t="s">
        <v>54</v>
      </c>
      <c r="G2412" s="10" t="s">
        <v>67</v>
      </c>
      <c r="H2412" s="8" t="s">
        <v>54</v>
      </c>
      <c r="I2412" s="8" t="s">
        <v>54</v>
      </c>
      <c r="J2412" s="8" t="s">
        <v>54</v>
      </c>
      <c r="K2412" s="8" t="s">
        <v>54</v>
      </c>
      <c r="L2412" s="8" t="s">
        <v>54</v>
      </c>
      <c r="M2412" s="8" t="s">
        <v>54</v>
      </c>
      <c r="N2412" s="10" t="s">
        <v>67</v>
      </c>
      <c r="O2412" s="8" t="s">
        <v>54</v>
      </c>
      <c r="P2412" s="8" t="s">
        <v>54</v>
      </c>
      <c r="Q2412" s="8" t="s">
        <v>54</v>
      </c>
      <c r="R2412" s="8" t="s">
        <v>54</v>
      </c>
      <c r="S2412" s="8" t="s">
        <v>54</v>
      </c>
      <c r="T2412" s="8" t="s">
        <v>54</v>
      </c>
      <c r="U2412" s="10" t="s">
        <v>67</v>
      </c>
      <c r="V2412" s="8" t="s">
        <v>54</v>
      </c>
      <c r="W2412" s="8" t="s">
        <v>54</v>
      </c>
      <c r="X2412" s="8" t="s">
        <v>54</v>
      </c>
      <c r="Y2412" s="8" t="s">
        <v>54</v>
      </c>
      <c r="Z2412" s="8" t="s">
        <v>54</v>
      </c>
      <c r="AA2412" s="8" t="s">
        <v>54</v>
      </c>
      <c r="AB2412" s="10" t="s">
        <v>67</v>
      </c>
      <c r="AC2412" s="8" t="s">
        <v>54</v>
      </c>
      <c r="AD2412" s="8" t="s">
        <v>54</v>
      </c>
      <c r="AE2412" s="8" t="s">
        <v>54</v>
      </c>
      <c r="AF2412" s="8" t="s">
        <v>54</v>
      </c>
      <c r="AG2412" s="8" t="s">
        <v>54</v>
      </c>
      <c r="AH2412" s="8" t="s">
        <v>54</v>
      </c>
      <c r="AI2412" s="10" t="s">
        <v>67</v>
      </c>
      <c r="AJ2412" s="8">
        <f>COUNTIF($E$2412:$AI$2412,"P")</f>
        <v>26</v>
      </c>
      <c r="AK2412" s="8">
        <f>COUNTIF($E$2412:$AI$2412,"A")</f>
        <v>0</v>
      </c>
      <c r="AL2412" s="8">
        <f>SUM($E$2413:$AI$2413)</f>
        <v>34</v>
      </c>
      <c r="AM2412" s="8">
        <f>SUM($E$2414:$AI$2414)</f>
        <v>139</v>
      </c>
      <c r="AN2412" s="8">
        <f>AL2412+AM2412</f>
        <v>173</v>
      </c>
      <c r="AO2412" s="8">
        <f>COUNTIF($E$2412:$AI$2412,"CL")</f>
        <v>0</v>
      </c>
      <c r="AP2412" s="8">
        <f>COUNTIF($E$2412:$AI$2412,"SL")</f>
        <v>0</v>
      </c>
      <c r="AQ2412" s="8">
        <f>COUNTIF($E$2412:$AI$2412,"EL")</f>
        <v>0</v>
      </c>
      <c r="AR2412" s="8">
        <f>COUNTIF($E$2412:$AI$2412,"H")</f>
        <v>0</v>
      </c>
      <c r="AS2412" s="8"/>
      <c r="AT2412" s="11" t="s">
        <v>259</v>
      </c>
    </row>
    <row r="2413" spans="1:46" ht="15.1" customHeight="1">
      <c r="A2413" s="8"/>
      <c r="B2413" s="9"/>
      <c r="C2413" s="8"/>
      <c r="D2413" s="9"/>
      <c r="E2413" s="8">
        <v>2</v>
      </c>
      <c r="F2413" s="8">
        <v>2</v>
      </c>
      <c r="G2413" s="8">
        <v>0</v>
      </c>
      <c r="H2413" s="8">
        <v>2</v>
      </c>
      <c r="I2413" s="8">
        <v>2</v>
      </c>
      <c r="J2413" s="8">
        <v>2</v>
      </c>
      <c r="K2413" s="8">
        <v>2</v>
      </c>
      <c r="L2413" s="8">
        <v>2</v>
      </c>
      <c r="M2413" s="8">
        <v>2</v>
      </c>
      <c r="N2413" s="8">
        <v>0</v>
      </c>
      <c r="O2413" s="8">
        <v>2</v>
      </c>
      <c r="P2413" s="8">
        <v>2</v>
      </c>
      <c r="Q2413" s="8">
        <v>2</v>
      </c>
      <c r="R2413" s="8">
        <v>2</v>
      </c>
      <c r="S2413" s="8">
        <v>2</v>
      </c>
      <c r="T2413" s="8">
        <v>2</v>
      </c>
      <c r="U2413" s="8">
        <v>0</v>
      </c>
      <c r="V2413" s="8">
        <v>2</v>
      </c>
      <c r="W2413" s="8">
        <v>2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2</v>
      </c>
      <c r="AI2413" s="8">
        <v>0</v>
      </c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11" t="s">
        <v>259</v>
      </c>
    </row>
    <row r="2414" spans="1:46" ht="15.1" customHeight="1">
      <c r="A2414" s="8"/>
      <c r="B2414" s="9"/>
      <c r="C2414" s="8"/>
      <c r="D2414" s="9"/>
      <c r="E2414" s="8">
        <v>4.5</v>
      </c>
      <c r="F2414" s="8">
        <v>3</v>
      </c>
      <c r="G2414" s="8">
        <v>13.5</v>
      </c>
      <c r="H2414" s="8">
        <v>5</v>
      </c>
      <c r="I2414" s="8">
        <v>7</v>
      </c>
      <c r="J2414" s="8">
        <v>7</v>
      </c>
      <c r="K2414" s="8">
        <v>7</v>
      </c>
      <c r="L2414" s="8">
        <v>7</v>
      </c>
      <c r="M2414" s="8">
        <v>5</v>
      </c>
      <c r="N2414" s="8">
        <v>16.5</v>
      </c>
      <c r="O2414" s="8">
        <v>7</v>
      </c>
      <c r="P2414" s="8">
        <v>7</v>
      </c>
      <c r="Q2414" s="8">
        <v>5</v>
      </c>
      <c r="R2414" s="8">
        <v>7</v>
      </c>
      <c r="S2414" s="8">
        <v>7</v>
      </c>
      <c r="T2414" s="8">
        <v>8</v>
      </c>
      <c r="U2414" s="8">
        <v>12.5</v>
      </c>
      <c r="V2414" s="8">
        <v>7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3</v>
      </c>
      <c r="AI2414" s="8">
        <v>0</v>
      </c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11" t="s">
        <v>259</v>
      </c>
    </row>
    <row r="2415" spans="1:46" ht="15.1" customHeight="1">
      <c r="A2415" s="8">
        <v>804</v>
      </c>
      <c r="B2415" s="9" t="s">
        <v>1846</v>
      </c>
      <c r="C2415" s="8" t="s">
        <v>1847</v>
      </c>
      <c r="D2415" s="9" t="s">
        <v>451</v>
      </c>
      <c r="E2415" s="8" t="s">
        <v>54</v>
      </c>
      <c r="F2415" s="8" t="s">
        <v>54</v>
      </c>
      <c r="G2415" s="10" t="s">
        <v>67</v>
      </c>
      <c r="H2415" s="8" t="s">
        <v>54</v>
      </c>
      <c r="I2415" s="8" t="s">
        <v>54</v>
      </c>
      <c r="J2415" s="8" t="s">
        <v>54</v>
      </c>
      <c r="K2415" s="8" t="s">
        <v>54</v>
      </c>
      <c r="L2415" s="8" t="s">
        <v>54</v>
      </c>
      <c r="M2415" s="8" t="s">
        <v>54</v>
      </c>
      <c r="N2415" s="10" t="s">
        <v>67</v>
      </c>
      <c r="O2415" s="8" t="s">
        <v>54</v>
      </c>
      <c r="P2415" s="8" t="s">
        <v>54</v>
      </c>
      <c r="Q2415" s="8" t="s">
        <v>54</v>
      </c>
      <c r="R2415" s="8" t="s">
        <v>54</v>
      </c>
      <c r="S2415" s="8" t="s">
        <v>54</v>
      </c>
      <c r="T2415" s="8" t="s">
        <v>54</v>
      </c>
      <c r="U2415" s="10" t="s">
        <v>67</v>
      </c>
      <c r="V2415" s="8" t="s">
        <v>54</v>
      </c>
      <c r="W2415" s="8" t="s">
        <v>54</v>
      </c>
      <c r="X2415" s="8" t="s">
        <v>54</v>
      </c>
      <c r="Y2415" s="8" t="s">
        <v>54</v>
      </c>
      <c r="Z2415" s="8" t="s">
        <v>54</v>
      </c>
      <c r="AA2415" s="8" t="s">
        <v>54</v>
      </c>
      <c r="AB2415" s="10" t="s">
        <v>67</v>
      </c>
      <c r="AC2415" s="8" t="s">
        <v>54</v>
      </c>
      <c r="AD2415" s="8" t="s">
        <v>54</v>
      </c>
      <c r="AE2415" s="8" t="s">
        <v>54</v>
      </c>
      <c r="AF2415" s="8" t="s">
        <v>54</v>
      </c>
      <c r="AG2415" s="8" t="s">
        <v>54</v>
      </c>
      <c r="AH2415" s="8" t="s">
        <v>54</v>
      </c>
      <c r="AI2415" s="10" t="s">
        <v>67</v>
      </c>
      <c r="AJ2415" s="8">
        <f>COUNTIF($E$2415:$AI$2415,"P")</f>
        <v>26</v>
      </c>
      <c r="AK2415" s="8">
        <f>COUNTIF($E$2415:$AI$2415,"A")</f>
        <v>0</v>
      </c>
      <c r="AL2415" s="8">
        <f>SUM($E$2416:$AI$2416)</f>
        <v>30</v>
      </c>
      <c r="AM2415" s="8">
        <f>SUM($E$2417:$AI$2417)</f>
        <v>138</v>
      </c>
      <c r="AN2415" s="8">
        <f>AL2415+AM2415</f>
        <v>168</v>
      </c>
      <c r="AO2415" s="8">
        <f>COUNTIF($E$2415:$AI$2415,"CL")</f>
        <v>0</v>
      </c>
      <c r="AP2415" s="8">
        <f>COUNTIF($E$2415:$AI$2415,"SL")</f>
        <v>0</v>
      </c>
      <c r="AQ2415" s="8">
        <f>COUNTIF($E$2415:$AI$2415,"EL")</f>
        <v>0</v>
      </c>
      <c r="AR2415" s="8">
        <f>COUNTIF($E$2415:$AI$2415,"H")</f>
        <v>0</v>
      </c>
      <c r="AS2415" s="8"/>
      <c r="AT2415" s="11" t="s">
        <v>259</v>
      </c>
    </row>
    <row r="2416" spans="1:46" ht="15.1" customHeight="1">
      <c r="A2416" s="8"/>
      <c r="B2416" s="9"/>
      <c r="C2416" s="8"/>
      <c r="D2416" s="9"/>
      <c r="E2416" s="8">
        <v>2</v>
      </c>
      <c r="F2416" s="8">
        <v>2</v>
      </c>
      <c r="G2416" s="8">
        <v>0</v>
      </c>
      <c r="H2416" s="8">
        <v>2</v>
      </c>
      <c r="I2416" s="8">
        <v>2</v>
      </c>
      <c r="J2416" s="8">
        <v>2</v>
      </c>
      <c r="K2416" s="8">
        <v>2</v>
      </c>
      <c r="L2416" s="8">
        <v>2</v>
      </c>
      <c r="M2416" s="8">
        <v>2</v>
      </c>
      <c r="N2416" s="8">
        <v>0</v>
      </c>
      <c r="O2416" s="8">
        <v>2</v>
      </c>
      <c r="P2416" s="8">
        <v>0</v>
      </c>
      <c r="Q2416" s="8">
        <v>2</v>
      </c>
      <c r="R2416" s="8">
        <v>2</v>
      </c>
      <c r="S2416" s="8">
        <v>2</v>
      </c>
      <c r="T2416" s="8">
        <v>2</v>
      </c>
      <c r="U2416" s="8">
        <v>0</v>
      </c>
      <c r="V2416" s="8">
        <v>2</v>
      </c>
      <c r="W2416" s="8">
        <v>2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0</v>
      </c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11" t="s">
        <v>259</v>
      </c>
    </row>
    <row r="2417" spans="1:46" ht="15.1" customHeight="1">
      <c r="A2417" s="8"/>
      <c r="B2417" s="9"/>
      <c r="C2417" s="8"/>
      <c r="D2417" s="9"/>
      <c r="E2417" s="8">
        <v>5</v>
      </c>
      <c r="F2417" s="8">
        <v>3</v>
      </c>
      <c r="G2417" s="8">
        <v>14</v>
      </c>
      <c r="H2417" s="8">
        <v>5</v>
      </c>
      <c r="I2417" s="8">
        <v>7</v>
      </c>
      <c r="J2417" s="8">
        <v>7</v>
      </c>
      <c r="K2417" s="8">
        <v>7</v>
      </c>
      <c r="L2417" s="8">
        <v>7</v>
      </c>
      <c r="M2417" s="8">
        <v>5</v>
      </c>
      <c r="N2417" s="8">
        <v>16.5</v>
      </c>
      <c r="O2417" s="8">
        <v>7</v>
      </c>
      <c r="P2417" s="8">
        <v>0</v>
      </c>
      <c r="Q2417" s="8">
        <v>5</v>
      </c>
      <c r="R2417" s="8">
        <v>7</v>
      </c>
      <c r="S2417" s="8">
        <v>7</v>
      </c>
      <c r="T2417" s="8">
        <v>8</v>
      </c>
      <c r="U2417" s="8">
        <v>12.5</v>
      </c>
      <c r="V2417" s="8">
        <v>7</v>
      </c>
      <c r="W2417" s="8">
        <v>8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11" t="s">
        <v>259</v>
      </c>
    </row>
    <row r="2418" spans="1:46" ht="15.1" customHeight="1">
      <c r="A2418" s="8">
        <v>805</v>
      </c>
      <c r="B2418" s="9" t="s">
        <v>1848</v>
      </c>
      <c r="C2418" s="8" t="s">
        <v>1849</v>
      </c>
      <c r="D2418" s="9" t="s">
        <v>451</v>
      </c>
      <c r="E2418" s="8" t="s">
        <v>54</v>
      </c>
      <c r="F2418" s="8" t="s">
        <v>54</v>
      </c>
      <c r="G2418" s="10" t="s">
        <v>67</v>
      </c>
      <c r="H2418" s="8" t="s">
        <v>54</v>
      </c>
      <c r="I2418" s="8" t="s">
        <v>54</v>
      </c>
      <c r="J2418" s="8" t="s">
        <v>54</v>
      </c>
      <c r="K2418" s="8" t="s">
        <v>54</v>
      </c>
      <c r="L2418" s="8" t="s">
        <v>54</v>
      </c>
      <c r="M2418" s="8" t="s">
        <v>54</v>
      </c>
      <c r="N2418" s="10" t="s">
        <v>67</v>
      </c>
      <c r="O2418" s="8" t="s">
        <v>54</v>
      </c>
      <c r="P2418" s="8" t="s">
        <v>54</v>
      </c>
      <c r="Q2418" s="8" t="s">
        <v>54</v>
      </c>
      <c r="R2418" s="8" t="s">
        <v>54</v>
      </c>
      <c r="S2418" s="8" t="s">
        <v>54</v>
      </c>
      <c r="T2418" s="8" t="s">
        <v>54</v>
      </c>
      <c r="U2418" s="10" t="s">
        <v>67</v>
      </c>
      <c r="V2418" s="8" t="s">
        <v>54</v>
      </c>
      <c r="W2418" s="8" t="s">
        <v>54</v>
      </c>
      <c r="X2418" s="8" t="s">
        <v>54</v>
      </c>
      <c r="Y2418" s="8" t="s">
        <v>54</v>
      </c>
      <c r="Z2418" s="12" t="s">
        <v>55</v>
      </c>
      <c r="AA2418" s="12" t="s">
        <v>55</v>
      </c>
      <c r="AB2418" s="10" t="s">
        <v>67</v>
      </c>
      <c r="AC2418" s="8" t="s">
        <v>54</v>
      </c>
      <c r="AD2418" s="8" t="s">
        <v>54</v>
      </c>
      <c r="AE2418" s="8" t="s">
        <v>54</v>
      </c>
      <c r="AF2418" s="8" t="s">
        <v>54</v>
      </c>
      <c r="AG2418" s="8" t="s">
        <v>54</v>
      </c>
      <c r="AH2418" s="8" t="s">
        <v>54</v>
      </c>
      <c r="AI2418" s="10" t="s">
        <v>67</v>
      </c>
      <c r="AJ2418" s="8">
        <f>COUNTIF($E$2418:$AI$2418,"P")</f>
        <v>24</v>
      </c>
      <c r="AK2418" s="8">
        <f>COUNTIF($E$2418:$AI$2418,"A")</f>
        <v>2</v>
      </c>
      <c r="AL2418" s="8">
        <f>SUM($E$2419:$AI$2419)</f>
        <v>34</v>
      </c>
      <c r="AM2418" s="8">
        <f>SUM($E$2420:$AI$2420)</f>
        <v>136.5</v>
      </c>
      <c r="AN2418" s="8">
        <f>AL2418+AM2418</f>
        <v>170.5</v>
      </c>
      <c r="AO2418" s="8">
        <f>COUNTIF($E$2418:$AI$2418,"CL")</f>
        <v>0</v>
      </c>
      <c r="AP2418" s="8">
        <f>COUNTIF($E$2418:$AI$2418,"SL")</f>
        <v>0</v>
      </c>
      <c r="AQ2418" s="8">
        <f>COUNTIF($E$2418:$AI$2418,"EL")</f>
        <v>0</v>
      </c>
      <c r="AR2418" s="8">
        <f>COUNTIF($E$2418:$AI$2418,"H")</f>
        <v>0</v>
      </c>
      <c r="AS2418" s="8"/>
      <c r="AT2418" s="11" t="s">
        <v>259</v>
      </c>
    </row>
    <row r="2419" spans="1:46" ht="15.1" customHeight="1">
      <c r="A2419" s="8"/>
      <c r="B2419" s="9"/>
      <c r="C2419" s="8"/>
      <c r="D2419" s="9"/>
      <c r="E2419" s="8">
        <v>2</v>
      </c>
      <c r="F2419" s="8">
        <v>2</v>
      </c>
      <c r="G2419" s="8">
        <v>0</v>
      </c>
      <c r="H2419" s="8">
        <v>2</v>
      </c>
      <c r="I2419" s="8">
        <v>2</v>
      </c>
      <c r="J2419" s="8">
        <v>2</v>
      </c>
      <c r="K2419" s="8">
        <v>2</v>
      </c>
      <c r="L2419" s="8">
        <v>2</v>
      </c>
      <c r="M2419" s="8">
        <v>2</v>
      </c>
      <c r="N2419" s="8">
        <v>0</v>
      </c>
      <c r="O2419" s="8">
        <v>2</v>
      </c>
      <c r="P2419" s="8">
        <v>2</v>
      </c>
      <c r="Q2419" s="8">
        <v>2</v>
      </c>
      <c r="R2419" s="8">
        <v>2</v>
      </c>
      <c r="S2419" s="8">
        <v>2</v>
      </c>
      <c r="T2419" s="8">
        <v>2</v>
      </c>
      <c r="U2419" s="8">
        <v>0</v>
      </c>
      <c r="V2419" s="8">
        <v>2</v>
      </c>
      <c r="W2419" s="8">
        <v>2</v>
      </c>
      <c r="X2419" s="8">
        <v>0</v>
      </c>
      <c r="Y2419" s="8">
        <v>0</v>
      </c>
      <c r="Z2419" s="8">
        <v>0</v>
      </c>
      <c r="AA2419" s="8">
        <v>0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2</v>
      </c>
      <c r="AI2419" s="8">
        <v>0</v>
      </c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11" t="s">
        <v>259</v>
      </c>
    </row>
    <row r="2420" spans="1:46" ht="15.1" customHeight="1">
      <c r="A2420" s="8"/>
      <c r="B2420" s="9"/>
      <c r="C2420" s="8"/>
      <c r="D2420" s="9"/>
      <c r="E2420" s="8">
        <v>5</v>
      </c>
      <c r="F2420" s="8">
        <v>3</v>
      </c>
      <c r="G2420" s="8">
        <v>14</v>
      </c>
      <c r="H2420" s="8">
        <v>5</v>
      </c>
      <c r="I2420" s="8">
        <v>7</v>
      </c>
      <c r="J2420" s="8">
        <v>7</v>
      </c>
      <c r="K2420" s="8">
        <v>7</v>
      </c>
      <c r="L2420" s="8">
        <v>7</v>
      </c>
      <c r="M2420" s="8">
        <v>5</v>
      </c>
      <c r="N2420" s="8">
        <v>16.5</v>
      </c>
      <c r="O2420" s="8">
        <v>7</v>
      </c>
      <c r="P2420" s="8">
        <v>7</v>
      </c>
      <c r="Q2420" s="8">
        <v>5</v>
      </c>
      <c r="R2420" s="8">
        <v>8</v>
      </c>
      <c r="S2420" s="8">
        <v>7</v>
      </c>
      <c r="T2420" s="8">
        <v>3</v>
      </c>
      <c r="U2420" s="8">
        <v>13</v>
      </c>
      <c r="V2420" s="8">
        <v>7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3</v>
      </c>
      <c r="AI2420" s="8">
        <v>0</v>
      </c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11" t="s">
        <v>259</v>
      </c>
    </row>
    <row r="2421" spans="1:46" ht="15.1" customHeight="1">
      <c r="A2421" s="8">
        <v>806</v>
      </c>
      <c r="B2421" s="9" t="s">
        <v>1850</v>
      </c>
      <c r="C2421" s="8" t="s">
        <v>1851</v>
      </c>
      <c r="D2421" s="9" t="s">
        <v>451</v>
      </c>
      <c r="E2421" s="8" t="s">
        <v>54</v>
      </c>
      <c r="F2421" s="8" t="s">
        <v>54</v>
      </c>
      <c r="G2421" s="10" t="s">
        <v>67</v>
      </c>
      <c r="H2421" s="8" t="s">
        <v>54</v>
      </c>
      <c r="I2421" s="8" t="s">
        <v>54</v>
      </c>
      <c r="J2421" s="8" t="s">
        <v>54</v>
      </c>
      <c r="K2421" s="8" t="s">
        <v>54</v>
      </c>
      <c r="L2421" s="8" t="s">
        <v>54</v>
      </c>
      <c r="M2421" s="8" t="s">
        <v>54</v>
      </c>
      <c r="N2421" s="10" t="s">
        <v>67</v>
      </c>
      <c r="O2421" s="8" t="s">
        <v>54</v>
      </c>
      <c r="P2421" s="8" t="s">
        <v>54</v>
      </c>
      <c r="Q2421" s="8" t="s">
        <v>54</v>
      </c>
      <c r="R2421" s="8" t="s">
        <v>54</v>
      </c>
      <c r="S2421" s="8" t="s">
        <v>54</v>
      </c>
      <c r="T2421" s="8" t="s">
        <v>54</v>
      </c>
      <c r="U2421" s="10" t="s">
        <v>67</v>
      </c>
      <c r="V2421" s="8" t="s">
        <v>54</v>
      </c>
      <c r="W2421" s="8" t="s">
        <v>54</v>
      </c>
      <c r="X2421" s="8" t="s">
        <v>54</v>
      </c>
      <c r="Y2421" s="8" t="s">
        <v>54</v>
      </c>
      <c r="Z2421" s="8" t="s">
        <v>54</v>
      </c>
      <c r="AA2421" s="8" t="s">
        <v>54</v>
      </c>
      <c r="AB2421" s="10" t="s">
        <v>67</v>
      </c>
      <c r="AC2421" s="8" t="s">
        <v>54</v>
      </c>
      <c r="AD2421" s="8" t="s">
        <v>54</v>
      </c>
      <c r="AE2421" s="8" t="s">
        <v>54</v>
      </c>
      <c r="AF2421" s="8" t="s">
        <v>54</v>
      </c>
      <c r="AG2421" s="8" t="s">
        <v>54</v>
      </c>
      <c r="AH2421" s="8" t="s">
        <v>54</v>
      </c>
      <c r="AI2421" s="10" t="s">
        <v>67</v>
      </c>
      <c r="AJ2421" s="8">
        <f>COUNTIF($E$2421:$AI$2421,"P")</f>
        <v>26</v>
      </c>
      <c r="AK2421" s="8">
        <f>COUNTIF($E$2421:$AI$2421,"A")</f>
        <v>0</v>
      </c>
      <c r="AL2421" s="8">
        <f>SUM($E$2422:$AI$2422)</f>
        <v>32</v>
      </c>
      <c r="AM2421" s="8">
        <f>SUM($E$2423:$AI$2423)</f>
        <v>34.5</v>
      </c>
      <c r="AN2421" s="8">
        <f>AL2421+AM2421</f>
        <v>66.5</v>
      </c>
      <c r="AO2421" s="8">
        <f>COUNTIF($E$2421:$AI$2421,"CL")</f>
        <v>0</v>
      </c>
      <c r="AP2421" s="8">
        <f>COUNTIF($E$2421:$AI$2421,"SL")</f>
        <v>0</v>
      </c>
      <c r="AQ2421" s="8">
        <f>COUNTIF($E$2421:$AI$2421,"EL")</f>
        <v>0</v>
      </c>
      <c r="AR2421" s="8">
        <f>COUNTIF($E$2421:$AI$2421,"H")</f>
        <v>0</v>
      </c>
      <c r="AS2421" s="8"/>
      <c r="AT2421" s="11" t="s">
        <v>259</v>
      </c>
    </row>
    <row r="2422" spans="1:46" ht="15.1" customHeight="1">
      <c r="A2422" s="8"/>
      <c r="B2422" s="9"/>
      <c r="C2422" s="8"/>
      <c r="D2422" s="9"/>
      <c r="E2422" s="8">
        <v>0</v>
      </c>
      <c r="F2422" s="8">
        <v>2</v>
      </c>
      <c r="G2422" s="8">
        <v>0</v>
      </c>
      <c r="H2422" s="8">
        <v>2</v>
      </c>
      <c r="I2422" s="8">
        <v>2</v>
      </c>
      <c r="J2422" s="8">
        <v>2</v>
      </c>
      <c r="K2422" s="8">
        <v>2</v>
      </c>
      <c r="L2422" s="8">
        <v>2</v>
      </c>
      <c r="M2422" s="8">
        <v>2</v>
      </c>
      <c r="N2422" s="8">
        <v>0</v>
      </c>
      <c r="O2422" s="8">
        <v>2</v>
      </c>
      <c r="P2422" s="8">
        <v>2</v>
      </c>
      <c r="Q2422" s="8">
        <v>2</v>
      </c>
      <c r="R2422" s="8">
        <v>2</v>
      </c>
      <c r="S2422" s="8">
        <v>2</v>
      </c>
      <c r="T2422" s="8">
        <v>2</v>
      </c>
      <c r="U2422" s="8">
        <v>0</v>
      </c>
      <c r="V2422" s="8">
        <v>2</v>
      </c>
      <c r="W2422" s="8">
        <v>2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2</v>
      </c>
      <c r="AI2422" s="8">
        <v>0</v>
      </c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11" t="s">
        <v>259</v>
      </c>
    </row>
    <row r="2423" spans="1:46" ht="15.1" customHeight="1">
      <c r="A2423" s="8"/>
      <c r="B2423" s="9"/>
      <c r="C2423" s="8"/>
      <c r="D2423" s="9"/>
      <c r="E2423" s="8">
        <v>0</v>
      </c>
      <c r="F2423" s="8">
        <v>0</v>
      </c>
      <c r="G2423" s="8">
        <v>9.5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  <c r="M2423" s="8">
        <v>0</v>
      </c>
      <c r="N2423" s="8">
        <v>9.5</v>
      </c>
      <c r="O2423" s="8">
        <v>0</v>
      </c>
      <c r="P2423" s="8">
        <v>0</v>
      </c>
      <c r="Q2423" s="8">
        <v>0</v>
      </c>
      <c r="R2423" s="8">
        <v>0</v>
      </c>
      <c r="S2423" s="8">
        <v>0</v>
      </c>
      <c r="T2423" s="8">
        <v>3</v>
      </c>
      <c r="U2423" s="8">
        <v>9.5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3</v>
      </c>
      <c r="AI2423" s="8">
        <v>0</v>
      </c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11" t="s">
        <v>259</v>
      </c>
    </row>
    <row r="2424" spans="1:46" ht="15.1" customHeight="1">
      <c r="A2424" s="8">
        <v>807</v>
      </c>
      <c r="B2424" s="9" t="s">
        <v>1852</v>
      </c>
      <c r="C2424" s="8" t="s">
        <v>1853</v>
      </c>
      <c r="D2424" s="9" t="s">
        <v>451</v>
      </c>
      <c r="E2424" s="8" t="s">
        <v>54</v>
      </c>
      <c r="F2424" s="8" t="s">
        <v>54</v>
      </c>
      <c r="G2424" s="10" t="s">
        <v>67</v>
      </c>
      <c r="H2424" s="8" t="s">
        <v>54</v>
      </c>
      <c r="I2424" s="8" t="s">
        <v>54</v>
      </c>
      <c r="J2424" s="8" t="s">
        <v>54</v>
      </c>
      <c r="K2424" s="8" t="s">
        <v>54</v>
      </c>
      <c r="L2424" s="8" t="s">
        <v>54</v>
      </c>
      <c r="M2424" s="8" t="s">
        <v>54</v>
      </c>
      <c r="N2424" s="10" t="s">
        <v>67</v>
      </c>
      <c r="O2424" s="8" t="s">
        <v>54</v>
      </c>
      <c r="P2424" s="8" t="s">
        <v>54</v>
      </c>
      <c r="Q2424" s="8" t="s">
        <v>54</v>
      </c>
      <c r="R2424" s="8" t="s">
        <v>54</v>
      </c>
      <c r="S2424" s="8" t="s">
        <v>54</v>
      </c>
      <c r="T2424" s="8" t="s">
        <v>54</v>
      </c>
      <c r="U2424" s="10" t="s">
        <v>67</v>
      </c>
      <c r="V2424" s="8" t="s">
        <v>54</v>
      </c>
      <c r="W2424" s="8" t="s">
        <v>54</v>
      </c>
      <c r="X2424" s="8" t="s">
        <v>54</v>
      </c>
      <c r="Y2424" s="8" t="s">
        <v>54</v>
      </c>
      <c r="Z2424" s="8" t="s">
        <v>54</v>
      </c>
      <c r="AA2424" s="8" t="s">
        <v>54</v>
      </c>
      <c r="AB2424" s="10" t="s">
        <v>67</v>
      </c>
      <c r="AC2424" s="8" t="s">
        <v>54</v>
      </c>
      <c r="AD2424" s="8" t="s">
        <v>54</v>
      </c>
      <c r="AE2424" s="8" t="s">
        <v>54</v>
      </c>
      <c r="AF2424" s="8" t="s">
        <v>54</v>
      </c>
      <c r="AG2424" s="8" t="s">
        <v>54</v>
      </c>
      <c r="AH2424" s="8" t="s">
        <v>54</v>
      </c>
      <c r="AI2424" s="10" t="s">
        <v>67</v>
      </c>
      <c r="AJ2424" s="8">
        <f>COUNTIF($E$2424:$AI$2424,"P")</f>
        <v>26</v>
      </c>
      <c r="AK2424" s="8">
        <f>COUNTIF($E$2424:$AI$2424,"A")</f>
        <v>0</v>
      </c>
      <c r="AL2424" s="8">
        <f>SUM($E$2425:$AI$2425)</f>
        <v>32</v>
      </c>
      <c r="AM2424" s="8">
        <f>SUM($E$2426:$AI$2426)</f>
        <v>124</v>
      </c>
      <c r="AN2424" s="8">
        <f>AL2424+AM2424</f>
        <v>156</v>
      </c>
      <c r="AO2424" s="8">
        <f>COUNTIF($E$2424:$AI$2424,"CL")</f>
        <v>0</v>
      </c>
      <c r="AP2424" s="8">
        <f>COUNTIF($E$2424:$AI$2424,"SL")</f>
        <v>0</v>
      </c>
      <c r="AQ2424" s="8">
        <f>COUNTIF($E$2424:$AI$2424,"EL")</f>
        <v>0</v>
      </c>
      <c r="AR2424" s="8">
        <f>COUNTIF($E$2424:$AI$2424,"H")</f>
        <v>0</v>
      </c>
      <c r="AS2424" s="8"/>
      <c r="AT2424" s="11" t="s">
        <v>259</v>
      </c>
    </row>
    <row r="2425" spans="1:46" ht="15.1" customHeight="1">
      <c r="A2425" s="8"/>
      <c r="B2425" s="9"/>
      <c r="C2425" s="8"/>
      <c r="D2425" s="9"/>
      <c r="E2425" s="8">
        <v>2</v>
      </c>
      <c r="F2425" s="8">
        <v>2</v>
      </c>
      <c r="G2425" s="8">
        <v>0</v>
      </c>
      <c r="H2425" s="8">
        <v>2</v>
      </c>
      <c r="I2425" s="8">
        <v>0</v>
      </c>
      <c r="J2425" s="8">
        <v>2</v>
      </c>
      <c r="K2425" s="8">
        <v>2</v>
      </c>
      <c r="L2425" s="8">
        <v>2</v>
      </c>
      <c r="M2425" s="8">
        <v>2</v>
      </c>
      <c r="N2425" s="8">
        <v>0</v>
      </c>
      <c r="O2425" s="8">
        <v>2</v>
      </c>
      <c r="P2425" s="8">
        <v>2</v>
      </c>
      <c r="Q2425" s="8">
        <v>2</v>
      </c>
      <c r="R2425" s="8">
        <v>2</v>
      </c>
      <c r="S2425" s="8">
        <v>2</v>
      </c>
      <c r="T2425" s="8">
        <v>2</v>
      </c>
      <c r="U2425" s="8">
        <v>0</v>
      </c>
      <c r="V2425" s="8">
        <v>2</v>
      </c>
      <c r="W2425" s="8">
        <v>2</v>
      </c>
      <c r="X2425" s="8">
        <v>0</v>
      </c>
      <c r="Y2425" s="8">
        <v>0</v>
      </c>
      <c r="Z2425" s="8">
        <v>0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2</v>
      </c>
      <c r="AI2425" s="8">
        <v>0</v>
      </c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11" t="s">
        <v>259</v>
      </c>
    </row>
    <row r="2426" spans="1:46" ht="15.1" customHeight="1">
      <c r="A2426" s="8"/>
      <c r="B2426" s="9"/>
      <c r="C2426" s="8"/>
      <c r="D2426" s="9"/>
      <c r="E2426" s="8">
        <v>5</v>
      </c>
      <c r="F2426" s="8">
        <v>3</v>
      </c>
      <c r="G2426" s="8">
        <v>13.5</v>
      </c>
      <c r="H2426" s="8">
        <v>5</v>
      </c>
      <c r="I2426" s="8">
        <v>0</v>
      </c>
      <c r="J2426" s="8">
        <v>7</v>
      </c>
      <c r="K2426" s="8">
        <v>4</v>
      </c>
      <c r="L2426" s="8">
        <v>7</v>
      </c>
      <c r="M2426" s="8">
        <v>5</v>
      </c>
      <c r="N2426" s="8">
        <v>13</v>
      </c>
      <c r="O2426" s="8">
        <v>7</v>
      </c>
      <c r="P2426" s="8">
        <v>9.5</v>
      </c>
      <c r="Q2426" s="8">
        <v>5</v>
      </c>
      <c r="R2426" s="8">
        <v>7</v>
      </c>
      <c r="S2426" s="8">
        <v>7</v>
      </c>
      <c r="T2426" s="8">
        <v>3</v>
      </c>
      <c r="U2426" s="8">
        <v>13</v>
      </c>
      <c r="V2426" s="8">
        <v>7</v>
      </c>
      <c r="W2426" s="8">
        <v>0</v>
      </c>
      <c r="X2426" s="8">
        <v>0</v>
      </c>
      <c r="Y2426" s="8">
        <v>0</v>
      </c>
      <c r="Z2426" s="8">
        <v>0</v>
      </c>
      <c r="AA2426" s="8">
        <v>0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3</v>
      </c>
      <c r="AI2426" s="8">
        <v>0</v>
      </c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11" t="s">
        <v>259</v>
      </c>
    </row>
    <row r="2427" spans="1:46" ht="15.1" customHeight="1">
      <c r="A2427" s="8">
        <v>808</v>
      </c>
      <c r="B2427" s="9" t="s">
        <v>1854</v>
      </c>
      <c r="C2427" s="8" t="s">
        <v>1855</v>
      </c>
      <c r="D2427" s="9" t="s">
        <v>451</v>
      </c>
      <c r="E2427" s="8" t="s">
        <v>54</v>
      </c>
      <c r="F2427" s="8" t="s">
        <v>54</v>
      </c>
      <c r="G2427" s="10" t="s">
        <v>67</v>
      </c>
      <c r="H2427" s="8" t="s">
        <v>54</v>
      </c>
      <c r="I2427" s="8" t="s">
        <v>54</v>
      </c>
      <c r="J2427" s="8" t="s">
        <v>54</v>
      </c>
      <c r="K2427" s="8" t="s">
        <v>54</v>
      </c>
      <c r="L2427" s="8" t="s">
        <v>54</v>
      </c>
      <c r="M2427" s="8" t="s">
        <v>54</v>
      </c>
      <c r="N2427" s="10" t="s">
        <v>67</v>
      </c>
      <c r="O2427" s="8" t="s">
        <v>54</v>
      </c>
      <c r="P2427" s="8" t="s">
        <v>54</v>
      </c>
      <c r="Q2427" s="8" t="s">
        <v>54</v>
      </c>
      <c r="R2427" s="8" t="s">
        <v>54</v>
      </c>
      <c r="S2427" s="8" t="s">
        <v>54</v>
      </c>
      <c r="T2427" s="8" t="s">
        <v>54</v>
      </c>
      <c r="U2427" s="10" t="s">
        <v>67</v>
      </c>
      <c r="V2427" s="8" t="s">
        <v>54</v>
      </c>
      <c r="W2427" s="8" t="s">
        <v>54</v>
      </c>
      <c r="X2427" s="8" t="s">
        <v>54</v>
      </c>
      <c r="Y2427" s="8" t="s">
        <v>54</v>
      </c>
      <c r="Z2427" s="8" t="s">
        <v>54</v>
      </c>
      <c r="AA2427" s="8" t="s">
        <v>54</v>
      </c>
      <c r="AB2427" s="10" t="s">
        <v>67</v>
      </c>
      <c r="AC2427" s="8" t="s">
        <v>54</v>
      </c>
      <c r="AD2427" s="8" t="s">
        <v>54</v>
      </c>
      <c r="AE2427" s="8" t="s">
        <v>54</v>
      </c>
      <c r="AF2427" s="8" t="s">
        <v>54</v>
      </c>
      <c r="AG2427" s="8" t="s">
        <v>54</v>
      </c>
      <c r="AH2427" s="8" t="s">
        <v>54</v>
      </c>
      <c r="AI2427" s="10" t="s">
        <v>67</v>
      </c>
      <c r="AJ2427" s="8">
        <f>COUNTIF($E$2427:$AI$2427,"P")</f>
        <v>26</v>
      </c>
      <c r="AK2427" s="8">
        <f>COUNTIF($E$2427:$AI$2427,"A")</f>
        <v>0</v>
      </c>
      <c r="AL2427" s="8">
        <f>SUM($E$2428:$AI$2428)</f>
        <v>36</v>
      </c>
      <c r="AM2427" s="8">
        <f>SUM($E$2429:$AI$2429)</f>
        <v>138.5</v>
      </c>
      <c r="AN2427" s="8">
        <f>AL2427+AM2427</f>
        <v>174.5</v>
      </c>
      <c r="AO2427" s="8">
        <f>COUNTIF($E$2427:$AI$2427,"CL")</f>
        <v>0</v>
      </c>
      <c r="AP2427" s="8">
        <f>COUNTIF($E$2427:$AI$2427,"SL")</f>
        <v>0</v>
      </c>
      <c r="AQ2427" s="8">
        <f>COUNTIF($E$2427:$AI$2427,"EL")</f>
        <v>0</v>
      </c>
      <c r="AR2427" s="8">
        <f>COUNTIF($E$2427:$AI$2427,"H")</f>
        <v>0</v>
      </c>
      <c r="AS2427" s="8"/>
      <c r="AT2427" s="11" t="s">
        <v>259</v>
      </c>
    </row>
    <row r="2428" spans="1:46" ht="15.1" customHeight="1">
      <c r="A2428" s="8"/>
      <c r="B2428" s="9"/>
      <c r="C2428" s="8"/>
      <c r="D2428" s="9"/>
      <c r="E2428" s="8">
        <v>2</v>
      </c>
      <c r="F2428" s="8">
        <v>2</v>
      </c>
      <c r="G2428" s="8">
        <v>0</v>
      </c>
      <c r="H2428" s="8">
        <v>2</v>
      </c>
      <c r="I2428" s="8">
        <v>2</v>
      </c>
      <c r="J2428" s="8">
        <v>2</v>
      </c>
      <c r="K2428" s="8">
        <v>2</v>
      </c>
      <c r="L2428" s="8">
        <v>2</v>
      </c>
      <c r="M2428" s="8">
        <v>2</v>
      </c>
      <c r="N2428" s="8">
        <v>0</v>
      </c>
      <c r="O2428" s="8">
        <v>2</v>
      </c>
      <c r="P2428" s="8">
        <v>2</v>
      </c>
      <c r="Q2428" s="8">
        <v>2</v>
      </c>
      <c r="R2428" s="8">
        <v>2</v>
      </c>
      <c r="S2428" s="8">
        <v>2</v>
      </c>
      <c r="T2428" s="8">
        <v>2</v>
      </c>
      <c r="U2428" s="8">
        <v>0</v>
      </c>
      <c r="V2428" s="8">
        <v>2</v>
      </c>
      <c r="W2428" s="8">
        <v>2</v>
      </c>
      <c r="X2428" s="8">
        <v>0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2</v>
      </c>
      <c r="AE2428" s="8">
        <v>0</v>
      </c>
      <c r="AF2428" s="8">
        <v>0</v>
      </c>
      <c r="AG2428" s="8">
        <v>0</v>
      </c>
      <c r="AH2428" s="8">
        <v>2</v>
      </c>
      <c r="AI2428" s="8">
        <v>0</v>
      </c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11" t="s">
        <v>259</v>
      </c>
    </row>
    <row r="2429" spans="1:46" ht="15.1" customHeight="1">
      <c r="A2429" s="8"/>
      <c r="B2429" s="9"/>
      <c r="C2429" s="8"/>
      <c r="D2429" s="9"/>
      <c r="E2429" s="8">
        <v>5</v>
      </c>
      <c r="F2429" s="8">
        <v>3</v>
      </c>
      <c r="G2429" s="8">
        <v>14</v>
      </c>
      <c r="H2429" s="8">
        <v>5</v>
      </c>
      <c r="I2429" s="8">
        <v>7</v>
      </c>
      <c r="J2429" s="8">
        <v>7</v>
      </c>
      <c r="K2429" s="8">
        <v>7</v>
      </c>
      <c r="L2429" s="8">
        <v>7</v>
      </c>
      <c r="M2429" s="8">
        <v>5</v>
      </c>
      <c r="N2429" s="8">
        <v>17</v>
      </c>
      <c r="O2429" s="8">
        <v>7</v>
      </c>
      <c r="P2429" s="8">
        <v>9.5</v>
      </c>
      <c r="Q2429" s="8">
        <v>3</v>
      </c>
      <c r="R2429" s="8">
        <v>7</v>
      </c>
      <c r="S2429" s="8">
        <v>7</v>
      </c>
      <c r="T2429" s="8">
        <v>3</v>
      </c>
      <c r="U2429" s="8">
        <v>13</v>
      </c>
      <c r="V2429" s="8">
        <v>7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2</v>
      </c>
      <c r="AE2429" s="8">
        <v>0</v>
      </c>
      <c r="AF2429" s="8">
        <v>0</v>
      </c>
      <c r="AG2429" s="8">
        <v>0</v>
      </c>
      <c r="AH2429" s="8">
        <v>3</v>
      </c>
      <c r="AI2429" s="8">
        <v>0</v>
      </c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11" t="s">
        <v>259</v>
      </c>
    </row>
    <row r="2430" spans="1:46" ht="15.1" customHeight="1">
      <c r="A2430" s="8">
        <v>809</v>
      </c>
      <c r="B2430" s="9" t="s">
        <v>1856</v>
      </c>
      <c r="C2430" s="8" t="s">
        <v>1857</v>
      </c>
      <c r="D2430" s="9" t="s">
        <v>451</v>
      </c>
      <c r="E2430" s="8" t="s">
        <v>54</v>
      </c>
      <c r="F2430" s="8" t="s">
        <v>54</v>
      </c>
      <c r="G2430" s="10" t="s">
        <v>67</v>
      </c>
      <c r="H2430" s="8" t="s">
        <v>54</v>
      </c>
      <c r="I2430" s="8" t="s">
        <v>54</v>
      </c>
      <c r="J2430" s="8" t="s">
        <v>54</v>
      </c>
      <c r="K2430" s="8" t="s">
        <v>54</v>
      </c>
      <c r="L2430" s="8" t="s">
        <v>54</v>
      </c>
      <c r="M2430" s="8" t="s">
        <v>54</v>
      </c>
      <c r="N2430" s="10" t="s">
        <v>67</v>
      </c>
      <c r="O2430" s="8" t="s">
        <v>54</v>
      </c>
      <c r="P2430" s="8" t="s">
        <v>54</v>
      </c>
      <c r="Q2430" s="8" t="s">
        <v>54</v>
      </c>
      <c r="R2430" s="8" t="s">
        <v>54</v>
      </c>
      <c r="S2430" s="8" t="s">
        <v>54</v>
      </c>
      <c r="T2430" s="8" t="s">
        <v>54</v>
      </c>
      <c r="U2430" s="10" t="s">
        <v>67</v>
      </c>
      <c r="V2430" s="8" t="s">
        <v>54</v>
      </c>
      <c r="W2430" s="8" t="s">
        <v>54</v>
      </c>
      <c r="X2430" s="8" t="s">
        <v>54</v>
      </c>
      <c r="Y2430" s="8" t="s">
        <v>54</v>
      </c>
      <c r="Z2430" s="8" t="s">
        <v>54</v>
      </c>
      <c r="AA2430" s="8" t="s">
        <v>54</v>
      </c>
      <c r="AB2430" s="10" t="s">
        <v>67</v>
      </c>
      <c r="AC2430" s="8" t="s">
        <v>54</v>
      </c>
      <c r="AD2430" s="8" t="s">
        <v>54</v>
      </c>
      <c r="AE2430" s="8" t="s">
        <v>54</v>
      </c>
      <c r="AF2430" s="8" t="s">
        <v>54</v>
      </c>
      <c r="AG2430" s="8" t="s">
        <v>54</v>
      </c>
      <c r="AH2430" s="8" t="s">
        <v>54</v>
      </c>
      <c r="AI2430" s="10" t="s">
        <v>67</v>
      </c>
      <c r="AJ2430" s="8">
        <f>COUNTIF($E$2430:$AI$2430,"P")</f>
        <v>26</v>
      </c>
      <c r="AK2430" s="8">
        <f>COUNTIF($E$2430:$AI$2430,"A")</f>
        <v>0</v>
      </c>
      <c r="AL2430" s="8">
        <f>SUM($E$2431:$AI$2431)</f>
        <v>32</v>
      </c>
      <c r="AM2430" s="8">
        <f>SUM($E$2432:$AI$2432)</f>
        <v>129</v>
      </c>
      <c r="AN2430" s="8">
        <f>AL2430+AM2430</f>
        <v>161</v>
      </c>
      <c r="AO2430" s="8">
        <f>COUNTIF($E$2430:$AI$2430,"CL")</f>
        <v>0</v>
      </c>
      <c r="AP2430" s="8">
        <f>COUNTIF($E$2430:$AI$2430,"SL")</f>
        <v>0</v>
      </c>
      <c r="AQ2430" s="8">
        <f>COUNTIF($E$2430:$AI$2430,"EL")</f>
        <v>0</v>
      </c>
      <c r="AR2430" s="8">
        <f>COUNTIF($E$2430:$AI$2430,"H")</f>
        <v>0</v>
      </c>
      <c r="AS2430" s="8"/>
      <c r="AT2430" s="11" t="s">
        <v>259</v>
      </c>
    </row>
    <row r="2431" spans="1:46" ht="15.1" customHeight="1">
      <c r="A2431" s="8"/>
      <c r="B2431" s="9"/>
      <c r="C2431" s="8"/>
      <c r="D2431" s="9"/>
      <c r="E2431" s="8">
        <v>2</v>
      </c>
      <c r="F2431" s="8">
        <v>2</v>
      </c>
      <c r="G2431" s="8">
        <v>0</v>
      </c>
      <c r="H2431" s="8">
        <v>0</v>
      </c>
      <c r="I2431" s="8">
        <v>2</v>
      </c>
      <c r="J2431" s="8">
        <v>2</v>
      </c>
      <c r="K2431" s="8">
        <v>2</v>
      </c>
      <c r="L2431" s="8">
        <v>2</v>
      </c>
      <c r="M2431" s="8">
        <v>2</v>
      </c>
      <c r="N2431" s="8">
        <v>0</v>
      </c>
      <c r="O2431" s="8">
        <v>2</v>
      </c>
      <c r="P2431" s="8">
        <v>2</v>
      </c>
      <c r="Q2431" s="8">
        <v>2</v>
      </c>
      <c r="R2431" s="8">
        <v>2</v>
      </c>
      <c r="S2431" s="8">
        <v>2</v>
      </c>
      <c r="T2431" s="8">
        <v>2</v>
      </c>
      <c r="U2431" s="8">
        <v>0</v>
      </c>
      <c r="V2431" s="8">
        <v>2</v>
      </c>
      <c r="W2431" s="8">
        <v>2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2</v>
      </c>
      <c r="AI2431" s="8">
        <v>0</v>
      </c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11" t="s">
        <v>259</v>
      </c>
    </row>
    <row r="2432" spans="1:46" ht="15.1" customHeight="1">
      <c r="A2432" s="8"/>
      <c r="B2432" s="9"/>
      <c r="C2432" s="8"/>
      <c r="D2432" s="9"/>
      <c r="E2432" s="8">
        <v>4.5</v>
      </c>
      <c r="F2432" s="8">
        <v>3</v>
      </c>
      <c r="G2432" s="8">
        <v>14</v>
      </c>
      <c r="H2432" s="8">
        <v>0</v>
      </c>
      <c r="I2432" s="8">
        <v>7</v>
      </c>
      <c r="J2432" s="8">
        <v>6.5</v>
      </c>
      <c r="K2432" s="8">
        <v>7</v>
      </c>
      <c r="L2432" s="8">
        <v>7</v>
      </c>
      <c r="M2432" s="8">
        <v>5</v>
      </c>
      <c r="N2432" s="8">
        <v>16.5</v>
      </c>
      <c r="O2432" s="8">
        <v>7</v>
      </c>
      <c r="P2432" s="8">
        <v>7</v>
      </c>
      <c r="Q2432" s="8">
        <v>5</v>
      </c>
      <c r="R2432" s="8">
        <v>7</v>
      </c>
      <c r="S2432" s="8">
        <v>7</v>
      </c>
      <c r="T2432" s="8">
        <v>3</v>
      </c>
      <c r="U2432" s="8">
        <v>12.5</v>
      </c>
      <c r="V2432" s="8">
        <v>7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8">
        <v>0</v>
      </c>
      <c r="AH2432" s="8">
        <v>3</v>
      </c>
      <c r="AI2432" s="8">
        <v>0</v>
      </c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11" t="s">
        <v>259</v>
      </c>
    </row>
    <row r="2433" spans="1:46" ht="15.1" customHeight="1">
      <c r="A2433" s="8">
        <v>810</v>
      </c>
      <c r="B2433" s="9" t="s">
        <v>1858</v>
      </c>
      <c r="C2433" s="8" t="s">
        <v>1859</v>
      </c>
      <c r="D2433" s="9" t="s">
        <v>451</v>
      </c>
      <c r="E2433" s="8" t="s">
        <v>54</v>
      </c>
      <c r="F2433" s="8" t="s">
        <v>54</v>
      </c>
      <c r="G2433" s="10" t="s">
        <v>67</v>
      </c>
      <c r="H2433" s="8" t="s">
        <v>54</v>
      </c>
      <c r="I2433" s="8" t="s">
        <v>54</v>
      </c>
      <c r="J2433" s="8" t="s">
        <v>54</v>
      </c>
      <c r="K2433" s="8" t="s">
        <v>54</v>
      </c>
      <c r="L2433" s="8" t="s">
        <v>54</v>
      </c>
      <c r="M2433" s="8" t="s">
        <v>54</v>
      </c>
      <c r="N2433" s="10" t="s">
        <v>67</v>
      </c>
      <c r="O2433" s="8" t="s">
        <v>54</v>
      </c>
      <c r="P2433" s="8" t="s">
        <v>54</v>
      </c>
      <c r="Q2433" s="8" t="s">
        <v>54</v>
      </c>
      <c r="R2433" s="12" t="s">
        <v>55</v>
      </c>
      <c r="S2433" s="12" t="s">
        <v>55</v>
      </c>
      <c r="T2433" s="8" t="s">
        <v>54</v>
      </c>
      <c r="U2433" s="10" t="s">
        <v>67</v>
      </c>
      <c r="V2433" s="8" t="s">
        <v>54</v>
      </c>
      <c r="W2433" s="8" t="s">
        <v>54</v>
      </c>
      <c r="X2433" s="8" t="s">
        <v>54</v>
      </c>
      <c r="Y2433" s="8" t="s">
        <v>54</v>
      </c>
      <c r="Z2433" s="8" t="s">
        <v>54</v>
      </c>
      <c r="AA2433" s="8" t="s">
        <v>54</v>
      </c>
      <c r="AB2433" s="10" t="s">
        <v>67</v>
      </c>
      <c r="AC2433" s="8" t="s">
        <v>54</v>
      </c>
      <c r="AD2433" s="8" t="s">
        <v>54</v>
      </c>
      <c r="AE2433" s="8" t="s">
        <v>54</v>
      </c>
      <c r="AF2433" s="8" t="s">
        <v>54</v>
      </c>
      <c r="AG2433" s="8" t="s">
        <v>54</v>
      </c>
      <c r="AH2433" s="8" t="s">
        <v>54</v>
      </c>
      <c r="AI2433" s="10" t="s">
        <v>67</v>
      </c>
      <c r="AJ2433" s="8">
        <f>COUNTIF($E$2433:$AI$2433,"P")</f>
        <v>24</v>
      </c>
      <c r="AK2433" s="8">
        <f>COUNTIF($E$2433:$AI$2433,"A")</f>
        <v>2</v>
      </c>
      <c r="AL2433" s="8">
        <f>SUM($E$2434:$AI$2434)</f>
        <v>30</v>
      </c>
      <c r="AM2433" s="8">
        <f>SUM($E$2435:$AI$2435)</f>
        <v>119.5</v>
      </c>
      <c r="AN2433" s="8">
        <f>AL2433+AM2433</f>
        <v>149.5</v>
      </c>
      <c r="AO2433" s="8">
        <f>COUNTIF($E$2433:$AI$2433,"CL")</f>
        <v>0</v>
      </c>
      <c r="AP2433" s="8">
        <f>COUNTIF($E$2433:$AI$2433,"SL")</f>
        <v>0</v>
      </c>
      <c r="AQ2433" s="8">
        <f>COUNTIF($E$2433:$AI$2433,"EL")</f>
        <v>0</v>
      </c>
      <c r="AR2433" s="8">
        <f>COUNTIF($E$2433:$AI$2433,"H")</f>
        <v>0</v>
      </c>
      <c r="AS2433" s="8"/>
      <c r="AT2433" s="11" t="s">
        <v>259</v>
      </c>
    </row>
    <row r="2434" spans="1:46" ht="15.1" customHeight="1">
      <c r="A2434" s="8"/>
      <c r="B2434" s="9"/>
      <c r="C2434" s="8"/>
      <c r="D2434" s="9"/>
      <c r="E2434" s="8">
        <v>2</v>
      </c>
      <c r="F2434" s="8">
        <v>2</v>
      </c>
      <c r="G2434" s="8">
        <v>0</v>
      </c>
      <c r="H2434" s="8">
        <v>2</v>
      </c>
      <c r="I2434" s="8">
        <v>2</v>
      </c>
      <c r="J2434" s="8">
        <v>2</v>
      </c>
      <c r="K2434" s="8">
        <v>2</v>
      </c>
      <c r="L2434" s="8">
        <v>2</v>
      </c>
      <c r="M2434" s="8">
        <v>2</v>
      </c>
      <c r="N2434" s="8">
        <v>0</v>
      </c>
      <c r="O2434" s="8">
        <v>2</v>
      </c>
      <c r="P2434" s="8">
        <v>2</v>
      </c>
      <c r="Q2434" s="8">
        <v>2</v>
      </c>
      <c r="R2434" s="8">
        <v>0</v>
      </c>
      <c r="S2434" s="8">
        <v>0</v>
      </c>
      <c r="T2434" s="8">
        <v>2</v>
      </c>
      <c r="U2434" s="8">
        <v>0</v>
      </c>
      <c r="V2434" s="8">
        <v>2</v>
      </c>
      <c r="W2434" s="8">
        <v>2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2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11" t="s">
        <v>259</v>
      </c>
    </row>
    <row r="2435" spans="1:46" ht="15.1" customHeight="1">
      <c r="A2435" s="8"/>
      <c r="B2435" s="9"/>
      <c r="C2435" s="8"/>
      <c r="D2435" s="9"/>
      <c r="E2435" s="8">
        <v>5</v>
      </c>
      <c r="F2435" s="8">
        <v>3</v>
      </c>
      <c r="G2435" s="8">
        <v>14</v>
      </c>
      <c r="H2435" s="8">
        <v>5</v>
      </c>
      <c r="I2435" s="8">
        <v>7</v>
      </c>
      <c r="J2435" s="8">
        <v>7</v>
      </c>
      <c r="K2435" s="8">
        <v>7</v>
      </c>
      <c r="L2435" s="8">
        <v>7</v>
      </c>
      <c r="M2435" s="8">
        <v>5</v>
      </c>
      <c r="N2435" s="8">
        <v>17</v>
      </c>
      <c r="O2435" s="8">
        <v>7</v>
      </c>
      <c r="P2435" s="8">
        <v>7</v>
      </c>
      <c r="Q2435" s="8">
        <v>3.5</v>
      </c>
      <c r="R2435" s="8">
        <v>0</v>
      </c>
      <c r="S2435" s="8">
        <v>0</v>
      </c>
      <c r="T2435" s="8">
        <v>3</v>
      </c>
      <c r="U2435" s="8">
        <v>13</v>
      </c>
      <c r="V2435" s="8">
        <v>7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2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11" t="s">
        <v>259</v>
      </c>
    </row>
    <row r="2436" spans="1:46" ht="15.1" customHeight="1">
      <c r="A2436" s="8">
        <v>811</v>
      </c>
      <c r="B2436" s="9" t="s">
        <v>1679</v>
      </c>
      <c r="C2436" s="8" t="s">
        <v>1860</v>
      </c>
      <c r="D2436" s="9" t="s">
        <v>451</v>
      </c>
      <c r="E2436" s="8" t="s">
        <v>54</v>
      </c>
      <c r="F2436" s="8" t="s">
        <v>54</v>
      </c>
      <c r="G2436" s="10" t="s">
        <v>67</v>
      </c>
      <c r="H2436" s="8" t="s">
        <v>54</v>
      </c>
      <c r="I2436" s="8" t="s">
        <v>54</v>
      </c>
      <c r="J2436" s="8" t="s">
        <v>54</v>
      </c>
      <c r="K2436" s="8" t="s">
        <v>54</v>
      </c>
      <c r="L2436" s="8" t="s">
        <v>54</v>
      </c>
      <c r="M2436" s="12" t="s">
        <v>55</v>
      </c>
      <c r="N2436" s="10" t="s">
        <v>67</v>
      </c>
      <c r="O2436" s="12" t="s">
        <v>55</v>
      </c>
      <c r="P2436" s="8" t="s">
        <v>54</v>
      </c>
      <c r="Q2436" s="8" t="s">
        <v>54</v>
      </c>
      <c r="R2436" s="8" t="s">
        <v>54</v>
      </c>
      <c r="S2436" s="8" t="s">
        <v>54</v>
      </c>
      <c r="T2436" s="8" t="s">
        <v>54</v>
      </c>
      <c r="U2436" s="10" t="s">
        <v>67</v>
      </c>
      <c r="V2436" s="8" t="s">
        <v>54</v>
      </c>
      <c r="W2436" s="12" t="s">
        <v>55</v>
      </c>
      <c r="X2436" s="12" t="s">
        <v>55</v>
      </c>
      <c r="Y2436" s="12" t="s">
        <v>55</v>
      </c>
      <c r="Z2436" s="8" t="s">
        <v>54</v>
      </c>
      <c r="AA2436" s="8" t="s">
        <v>54</v>
      </c>
      <c r="AB2436" s="10" t="s">
        <v>67</v>
      </c>
      <c r="AC2436" s="8" t="s">
        <v>54</v>
      </c>
      <c r="AD2436" s="8" t="s">
        <v>54</v>
      </c>
      <c r="AE2436" s="8" t="s">
        <v>54</v>
      </c>
      <c r="AF2436" s="8" t="s">
        <v>54</v>
      </c>
      <c r="AG2436" s="8" t="s">
        <v>54</v>
      </c>
      <c r="AH2436" s="8" t="s">
        <v>54</v>
      </c>
      <c r="AI2436" s="10" t="s">
        <v>67</v>
      </c>
      <c r="AJ2436" s="8">
        <f>COUNTIF($E$2436:$AI$2436,"P")</f>
        <v>21</v>
      </c>
      <c r="AK2436" s="8">
        <f>COUNTIF($E$2436:$AI$2436,"A")</f>
        <v>5</v>
      </c>
      <c r="AL2436" s="8">
        <f>SUM($E$2437:$AI$2437)</f>
        <v>28</v>
      </c>
      <c r="AM2436" s="8">
        <f>SUM($E$2438:$AI$2438)</f>
        <v>101.5</v>
      </c>
      <c r="AN2436" s="8">
        <f>AL2436+AM2436</f>
        <v>129.5</v>
      </c>
      <c r="AO2436" s="8">
        <f>COUNTIF($E$2436:$AI$2436,"CL")</f>
        <v>0</v>
      </c>
      <c r="AP2436" s="8">
        <f>COUNTIF($E$2436:$AI$2436,"SL")</f>
        <v>0</v>
      </c>
      <c r="AQ2436" s="8">
        <f>COUNTIF($E$2436:$AI$2436,"EL")</f>
        <v>0</v>
      </c>
      <c r="AR2436" s="8">
        <f>COUNTIF($E$2436:$AI$2436,"H")</f>
        <v>0</v>
      </c>
      <c r="AS2436" s="8"/>
      <c r="AT2436" s="11" t="s">
        <v>259</v>
      </c>
    </row>
    <row r="2437" spans="1:46" ht="15.1" customHeight="1">
      <c r="A2437" s="8"/>
      <c r="B2437" s="9"/>
      <c r="C2437" s="8"/>
      <c r="D2437" s="9"/>
      <c r="E2437" s="8">
        <v>2</v>
      </c>
      <c r="F2437" s="8">
        <v>2</v>
      </c>
      <c r="G2437" s="8">
        <v>0</v>
      </c>
      <c r="H2437" s="8">
        <v>2</v>
      </c>
      <c r="I2437" s="8">
        <v>2</v>
      </c>
      <c r="J2437" s="8">
        <v>2</v>
      </c>
      <c r="K2437" s="8">
        <v>2</v>
      </c>
      <c r="L2437" s="8">
        <v>2</v>
      </c>
      <c r="M2437" s="8">
        <v>0</v>
      </c>
      <c r="N2437" s="8">
        <v>0</v>
      </c>
      <c r="O2437" s="8">
        <v>0</v>
      </c>
      <c r="P2437" s="8">
        <v>2</v>
      </c>
      <c r="Q2437" s="8">
        <v>2</v>
      </c>
      <c r="R2437" s="8">
        <v>2</v>
      </c>
      <c r="S2437" s="8">
        <v>2</v>
      </c>
      <c r="T2437" s="8">
        <v>2</v>
      </c>
      <c r="U2437" s="8">
        <v>0</v>
      </c>
      <c r="V2437" s="8">
        <v>2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2</v>
      </c>
      <c r="AI2437" s="8">
        <v>0</v>
      </c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11" t="s">
        <v>259</v>
      </c>
    </row>
    <row r="2438" spans="1:46" ht="15.1" customHeight="1">
      <c r="A2438" s="8"/>
      <c r="B2438" s="9"/>
      <c r="C2438" s="8"/>
      <c r="D2438" s="9"/>
      <c r="E2438" s="8">
        <v>5</v>
      </c>
      <c r="F2438" s="8">
        <v>3</v>
      </c>
      <c r="G2438" s="8">
        <v>14</v>
      </c>
      <c r="H2438" s="8">
        <v>5</v>
      </c>
      <c r="I2438" s="8">
        <v>7</v>
      </c>
      <c r="J2438" s="8">
        <v>7</v>
      </c>
      <c r="K2438" s="8">
        <v>7</v>
      </c>
      <c r="L2438" s="8">
        <v>7</v>
      </c>
      <c r="M2438" s="8">
        <v>0</v>
      </c>
      <c r="N2438" s="8">
        <v>0</v>
      </c>
      <c r="O2438" s="8">
        <v>0</v>
      </c>
      <c r="P2438" s="8">
        <v>7</v>
      </c>
      <c r="Q2438" s="8">
        <v>5</v>
      </c>
      <c r="R2438" s="8">
        <v>7</v>
      </c>
      <c r="S2438" s="8">
        <v>7</v>
      </c>
      <c r="T2438" s="8">
        <v>3</v>
      </c>
      <c r="U2438" s="8">
        <v>12.5</v>
      </c>
      <c r="V2438" s="8">
        <v>2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3</v>
      </c>
      <c r="AI2438" s="8">
        <v>0</v>
      </c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11" t="s">
        <v>259</v>
      </c>
    </row>
    <row r="2439" spans="1:46" ht="15.1" customHeight="1">
      <c r="A2439" s="8">
        <v>812</v>
      </c>
      <c r="B2439" s="9" t="s">
        <v>1861</v>
      </c>
      <c r="C2439" s="8" t="s">
        <v>1862</v>
      </c>
      <c r="D2439" s="9" t="s">
        <v>451</v>
      </c>
      <c r="E2439" s="8" t="s">
        <v>54</v>
      </c>
      <c r="F2439" s="8" t="s">
        <v>54</v>
      </c>
      <c r="G2439" s="10" t="s">
        <v>67</v>
      </c>
      <c r="H2439" s="12" t="s">
        <v>55</v>
      </c>
      <c r="I2439" s="12" t="s">
        <v>55</v>
      </c>
      <c r="J2439" s="8" t="s">
        <v>54</v>
      </c>
      <c r="K2439" s="8" t="s">
        <v>54</v>
      </c>
      <c r="L2439" s="8" t="s">
        <v>54</v>
      </c>
      <c r="M2439" s="12" t="s">
        <v>55</v>
      </c>
      <c r="N2439" s="10" t="s">
        <v>67</v>
      </c>
      <c r="O2439" s="8" t="s">
        <v>54</v>
      </c>
      <c r="P2439" s="8" t="s">
        <v>54</v>
      </c>
      <c r="Q2439" s="8" t="s">
        <v>54</v>
      </c>
      <c r="R2439" s="8" t="s">
        <v>54</v>
      </c>
      <c r="S2439" s="8" t="s">
        <v>54</v>
      </c>
      <c r="T2439" s="8" t="s">
        <v>54</v>
      </c>
      <c r="U2439" s="10" t="s">
        <v>67</v>
      </c>
      <c r="V2439" s="12" t="s">
        <v>55</v>
      </c>
      <c r="W2439" s="12" t="s">
        <v>55</v>
      </c>
      <c r="X2439" s="12" t="s">
        <v>55</v>
      </c>
      <c r="Y2439" s="12" t="s">
        <v>55</v>
      </c>
      <c r="Z2439" s="8" t="s">
        <v>54</v>
      </c>
      <c r="AA2439" s="8" t="s">
        <v>54</v>
      </c>
      <c r="AB2439" s="10" t="s">
        <v>67</v>
      </c>
      <c r="AC2439" s="8" t="s">
        <v>54</v>
      </c>
      <c r="AD2439" s="8" t="s">
        <v>54</v>
      </c>
      <c r="AE2439" s="8" t="s">
        <v>54</v>
      </c>
      <c r="AF2439" s="8" t="s">
        <v>54</v>
      </c>
      <c r="AG2439" s="8" t="s">
        <v>54</v>
      </c>
      <c r="AH2439" s="8" t="s">
        <v>54</v>
      </c>
      <c r="AI2439" s="10" t="s">
        <v>67</v>
      </c>
      <c r="AJ2439" s="8">
        <f>COUNTIF($E$2439:$AI$2439,"P")</f>
        <v>19</v>
      </c>
      <c r="AK2439" s="8">
        <f>COUNTIF($E$2439:$AI$2439,"A")</f>
        <v>7</v>
      </c>
      <c r="AL2439" s="8">
        <f>SUM($E$2440:$AI$2440)</f>
        <v>26</v>
      </c>
      <c r="AM2439" s="8">
        <f>SUM($E$2441:$AI$2441)</f>
        <v>92.5</v>
      </c>
      <c r="AN2439" s="8">
        <f>AL2439+AM2439</f>
        <v>118.5</v>
      </c>
      <c r="AO2439" s="8">
        <f>COUNTIF($E$2439:$AI$2439,"CL")</f>
        <v>0</v>
      </c>
      <c r="AP2439" s="8">
        <f>COUNTIF($E$2439:$AI$2439,"SL")</f>
        <v>0</v>
      </c>
      <c r="AQ2439" s="8">
        <f>COUNTIF($E$2439:$AI$2439,"EL")</f>
        <v>0</v>
      </c>
      <c r="AR2439" s="8">
        <f>COUNTIF($E$2439:$AI$2439,"H")</f>
        <v>0</v>
      </c>
      <c r="AS2439" s="8"/>
      <c r="AT2439" s="11" t="s">
        <v>259</v>
      </c>
    </row>
    <row r="2440" spans="1:46" ht="15.1" customHeight="1">
      <c r="A2440" s="8"/>
      <c r="B2440" s="9"/>
      <c r="C2440" s="8"/>
      <c r="D2440" s="9"/>
      <c r="E2440" s="8">
        <v>2</v>
      </c>
      <c r="F2440" s="8">
        <v>2</v>
      </c>
      <c r="G2440" s="8">
        <v>0</v>
      </c>
      <c r="H2440" s="8">
        <v>0</v>
      </c>
      <c r="I2440" s="8">
        <v>0</v>
      </c>
      <c r="J2440" s="8">
        <v>2</v>
      </c>
      <c r="K2440" s="8">
        <v>2</v>
      </c>
      <c r="L2440" s="8">
        <v>2</v>
      </c>
      <c r="M2440" s="8">
        <v>0</v>
      </c>
      <c r="N2440" s="8">
        <v>0</v>
      </c>
      <c r="O2440" s="8">
        <v>2</v>
      </c>
      <c r="P2440" s="8">
        <v>2</v>
      </c>
      <c r="Q2440" s="8">
        <v>2</v>
      </c>
      <c r="R2440" s="8">
        <v>2</v>
      </c>
      <c r="S2440" s="8">
        <v>2</v>
      </c>
      <c r="T2440" s="8">
        <v>2</v>
      </c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>
        <v>0</v>
      </c>
      <c r="AC2440" s="8">
        <v>0</v>
      </c>
      <c r="AD2440" s="8">
        <v>2</v>
      </c>
      <c r="AE2440" s="8">
        <v>0</v>
      </c>
      <c r="AF2440" s="8">
        <v>0</v>
      </c>
      <c r="AG2440" s="8">
        <v>0</v>
      </c>
      <c r="AH2440" s="8">
        <v>2</v>
      </c>
      <c r="AI2440" s="8">
        <v>0</v>
      </c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11" t="s">
        <v>259</v>
      </c>
    </row>
    <row r="2441" spans="1:46" ht="15.1" customHeight="1">
      <c r="A2441" s="8"/>
      <c r="B2441" s="9"/>
      <c r="C2441" s="8"/>
      <c r="D2441" s="9"/>
      <c r="E2441" s="8">
        <v>5</v>
      </c>
      <c r="F2441" s="8">
        <v>3</v>
      </c>
      <c r="G2441" s="8">
        <v>0</v>
      </c>
      <c r="H2441" s="8">
        <v>0</v>
      </c>
      <c r="I2441" s="8">
        <v>0</v>
      </c>
      <c r="J2441" s="8">
        <v>7</v>
      </c>
      <c r="K2441" s="8">
        <v>7</v>
      </c>
      <c r="L2441" s="8">
        <v>7</v>
      </c>
      <c r="M2441" s="8">
        <v>0</v>
      </c>
      <c r="N2441" s="8">
        <v>17</v>
      </c>
      <c r="O2441" s="8">
        <v>7</v>
      </c>
      <c r="P2441" s="8">
        <v>9.5</v>
      </c>
      <c r="Q2441" s="8">
        <v>5</v>
      </c>
      <c r="R2441" s="8">
        <v>7</v>
      </c>
      <c r="S2441" s="8">
        <v>7</v>
      </c>
      <c r="T2441" s="8">
        <v>3</v>
      </c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5</v>
      </c>
      <c r="AE2441" s="8">
        <v>0</v>
      </c>
      <c r="AF2441" s="8">
        <v>0</v>
      </c>
      <c r="AG2441" s="8">
        <v>0</v>
      </c>
      <c r="AH2441" s="8">
        <v>3</v>
      </c>
      <c r="AI2441" s="8">
        <v>0</v>
      </c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11" t="s">
        <v>259</v>
      </c>
    </row>
    <row r="2442" spans="1:46" ht="15.1" customHeight="1">
      <c r="A2442" s="8">
        <v>813</v>
      </c>
      <c r="B2442" s="9" t="s">
        <v>1863</v>
      </c>
      <c r="C2442" s="8" t="s">
        <v>1864</v>
      </c>
      <c r="D2442" s="9" t="s">
        <v>451</v>
      </c>
      <c r="E2442" s="8" t="s">
        <v>54</v>
      </c>
      <c r="F2442" s="8" t="s">
        <v>54</v>
      </c>
      <c r="G2442" s="10" t="s">
        <v>67</v>
      </c>
      <c r="H2442" s="8" t="s">
        <v>54</v>
      </c>
      <c r="I2442" s="8" t="s">
        <v>54</v>
      </c>
      <c r="J2442" s="8" t="s">
        <v>54</v>
      </c>
      <c r="K2442" s="8" t="s">
        <v>54</v>
      </c>
      <c r="L2442" s="8" t="s">
        <v>54</v>
      </c>
      <c r="M2442" s="8" t="s">
        <v>54</v>
      </c>
      <c r="N2442" s="10" t="s">
        <v>67</v>
      </c>
      <c r="O2442" s="8" t="s">
        <v>54</v>
      </c>
      <c r="P2442" s="8" t="s">
        <v>54</v>
      </c>
      <c r="Q2442" s="8" t="s">
        <v>54</v>
      </c>
      <c r="R2442" s="8" t="s">
        <v>54</v>
      </c>
      <c r="S2442" s="8" t="s">
        <v>54</v>
      </c>
      <c r="T2442" s="8" t="s">
        <v>54</v>
      </c>
      <c r="U2442" s="10" t="s">
        <v>67</v>
      </c>
      <c r="V2442" s="8" t="s">
        <v>54</v>
      </c>
      <c r="W2442" s="12" t="s">
        <v>55</v>
      </c>
      <c r="X2442" s="12" t="s">
        <v>55</v>
      </c>
      <c r="Y2442" s="8" t="s">
        <v>54</v>
      </c>
      <c r="Z2442" s="8" t="s">
        <v>54</v>
      </c>
      <c r="AA2442" s="8" t="s">
        <v>54</v>
      </c>
      <c r="AB2442" s="10" t="s">
        <v>67</v>
      </c>
      <c r="AC2442" s="8" t="s">
        <v>54</v>
      </c>
      <c r="AD2442" s="8" t="s">
        <v>54</v>
      </c>
      <c r="AE2442" s="8" t="s">
        <v>54</v>
      </c>
      <c r="AF2442" s="8" t="s">
        <v>54</v>
      </c>
      <c r="AG2442" s="8" t="s">
        <v>54</v>
      </c>
      <c r="AH2442" s="8" t="s">
        <v>54</v>
      </c>
      <c r="AI2442" s="10" t="s">
        <v>67</v>
      </c>
      <c r="AJ2442" s="8">
        <f>COUNTIF($E$2442:$AI$2442,"P")</f>
        <v>24</v>
      </c>
      <c r="AK2442" s="8">
        <f>COUNTIF($E$2442:$AI$2442,"A")</f>
        <v>2</v>
      </c>
      <c r="AL2442" s="8">
        <f>SUM($E$2443:$AI$2443)</f>
        <v>32</v>
      </c>
      <c r="AM2442" s="8">
        <f>SUM($E$2444:$AI$2444)</f>
        <v>143.5</v>
      </c>
      <c r="AN2442" s="8">
        <f>AL2442+AM2442</f>
        <v>175.5</v>
      </c>
      <c r="AO2442" s="8">
        <f>COUNTIF($E$2442:$AI$2442,"CL")</f>
        <v>0</v>
      </c>
      <c r="AP2442" s="8">
        <f>COUNTIF($E$2442:$AI$2442,"SL")</f>
        <v>0</v>
      </c>
      <c r="AQ2442" s="8">
        <f>COUNTIF($E$2442:$AI$2442,"EL")</f>
        <v>0</v>
      </c>
      <c r="AR2442" s="8">
        <f>COUNTIF($E$2442:$AI$2442,"H")</f>
        <v>0</v>
      </c>
      <c r="AS2442" s="8"/>
      <c r="AT2442" s="11" t="s">
        <v>259</v>
      </c>
    </row>
    <row r="2443" spans="1:46" ht="15.1" customHeight="1">
      <c r="A2443" s="8"/>
      <c r="B2443" s="9"/>
      <c r="C2443" s="8"/>
      <c r="D2443" s="9"/>
      <c r="E2443" s="8">
        <v>2</v>
      </c>
      <c r="F2443" s="8">
        <v>2</v>
      </c>
      <c r="G2443" s="8">
        <v>0</v>
      </c>
      <c r="H2443" s="8">
        <v>2</v>
      </c>
      <c r="I2443" s="8">
        <v>2</v>
      </c>
      <c r="J2443" s="8">
        <v>2</v>
      </c>
      <c r="K2443" s="8">
        <v>2</v>
      </c>
      <c r="L2443" s="8">
        <v>2</v>
      </c>
      <c r="M2443" s="8">
        <v>2</v>
      </c>
      <c r="N2443" s="8">
        <v>0</v>
      </c>
      <c r="O2443" s="8">
        <v>2</v>
      </c>
      <c r="P2443" s="8">
        <v>2</v>
      </c>
      <c r="Q2443" s="8">
        <v>0</v>
      </c>
      <c r="R2443" s="8">
        <v>2</v>
      </c>
      <c r="S2443" s="8">
        <v>2</v>
      </c>
      <c r="T2443" s="8">
        <v>2</v>
      </c>
      <c r="U2443" s="8">
        <v>0</v>
      </c>
      <c r="V2443" s="8">
        <v>2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2</v>
      </c>
      <c r="AE2443" s="8">
        <v>0</v>
      </c>
      <c r="AF2443" s="8">
        <v>0</v>
      </c>
      <c r="AG2443" s="8">
        <v>0</v>
      </c>
      <c r="AH2443" s="8">
        <v>2</v>
      </c>
      <c r="AI2443" s="8">
        <v>0</v>
      </c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11" t="s">
        <v>259</v>
      </c>
    </row>
    <row r="2444" spans="1:46" ht="15.1" customHeight="1">
      <c r="A2444" s="8"/>
      <c r="B2444" s="9"/>
      <c r="C2444" s="8"/>
      <c r="D2444" s="9"/>
      <c r="E2444" s="8">
        <v>5</v>
      </c>
      <c r="F2444" s="8">
        <v>3</v>
      </c>
      <c r="G2444" s="8">
        <v>14</v>
      </c>
      <c r="H2444" s="8">
        <v>5</v>
      </c>
      <c r="I2444" s="8">
        <v>7</v>
      </c>
      <c r="J2444" s="8">
        <v>7</v>
      </c>
      <c r="K2444" s="8">
        <v>7</v>
      </c>
      <c r="L2444" s="8">
        <v>7</v>
      </c>
      <c r="M2444" s="8">
        <v>5</v>
      </c>
      <c r="N2444" s="8">
        <v>17</v>
      </c>
      <c r="O2444" s="8">
        <v>7</v>
      </c>
      <c r="P2444" s="8">
        <v>9.5</v>
      </c>
      <c r="Q2444" s="8">
        <v>0</v>
      </c>
      <c r="R2444" s="8">
        <v>7</v>
      </c>
      <c r="S2444" s="8">
        <v>7</v>
      </c>
      <c r="T2444" s="8">
        <v>8</v>
      </c>
      <c r="U2444" s="8">
        <v>13</v>
      </c>
      <c r="V2444" s="8">
        <v>7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5</v>
      </c>
      <c r="AE2444" s="8">
        <v>0</v>
      </c>
      <c r="AF2444" s="8">
        <v>0</v>
      </c>
      <c r="AG2444" s="8">
        <v>0</v>
      </c>
      <c r="AH2444" s="8">
        <v>3</v>
      </c>
      <c r="AI2444" s="8">
        <v>0</v>
      </c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11" t="s">
        <v>259</v>
      </c>
    </row>
    <row r="2445" spans="1:46" ht="15.1" customHeight="1">
      <c r="A2445" s="8">
        <v>814</v>
      </c>
      <c r="B2445" s="9" t="s">
        <v>1865</v>
      </c>
      <c r="C2445" s="8" t="s">
        <v>1866</v>
      </c>
      <c r="D2445" s="9" t="s">
        <v>451</v>
      </c>
      <c r="E2445" s="8" t="s">
        <v>54</v>
      </c>
      <c r="F2445" s="8" t="s">
        <v>54</v>
      </c>
      <c r="G2445" s="10" t="s">
        <v>67</v>
      </c>
      <c r="H2445" s="8" t="s">
        <v>54</v>
      </c>
      <c r="I2445" s="8" t="s">
        <v>54</v>
      </c>
      <c r="J2445" s="8" t="s">
        <v>54</v>
      </c>
      <c r="K2445" s="8" t="s">
        <v>54</v>
      </c>
      <c r="L2445" s="8" t="s">
        <v>54</v>
      </c>
      <c r="M2445" s="8" t="s">
        <v>54</v>
      </c>
      <c r="N2445" s="10" t="s">
        <v>67</v>
      </c>
      <c r="O2445" s="8" t="s">
        <v>54</v>
      </c>
      <c r="P2445" s="8" t="s">
        <v>54</v>
      </c>
      <c r="Q2445" s="8" t="s">
        <v>54</v>
      </c>
      <c r="R2445" s="8" t="s">
        <v>54</v>
      </c>
      <c r="S2445" s="8" t="s">
        <v>54</v>
      </c>
      <c r="T2445" s="8" t="s">
        <v>54</v>
      </c>
      <c r="U2445" s="10" t="s">
        <v>67</v>
      </c>
      <c r="V2445" s="8" t="s">
        <v>54</v>
      </c>
      <c r="W2445" s="8" t="s">
        <v>54</v>
      </c>
      <c r="X2445" s="8" t="s">
        <v>54</v>
      </c>
      <c r="Y2445" s="8" t="s">
        <v>54</v>
      </c>
      <c r="Z2445" s="8" t="s">
        <v>54</v>
      </c>
      <c r="AA2445" s="8" t="s">
        <v>54</v>
      </c>
      <c r="AB2445" s="10" t="s">
        <v>67</v>
      </c>
      <c r="AC2445" s="8" t="s">
        <v>54</v>
      </c>
      <c r="AD2445" s="8" t="s">
        <v>54</v>
      </c>
      <c r="AE2445" s="8" t="s">
        <v>54</v>
      </c>
      <c r="AF2445" s="8" t="s">
        <v>54</v>
      </c>
      <c r="AG2445" s="8" t="s">
        <v>54</v>
      </c>
      <c r="AH2445" s="8" t="s">
        <v>54</v>
      </c>
      <c r="AI2445" s="10" t="s">
        <v>67</v>
      </c>
      <c r="AJ2445" s="8">
        <f>COUNTIF($E$2445:$AI$2445,"P")</f>
        <v>26</v>
      </c>
      <c r="AK2445" s="8">
        <f>COUNTIF($E$2445:$AI$2445,"A")</f>
        <v>0</v>
      </c>
      <c r="AL2445" s="8">
        <f>SUM($E$2446:$AI$2446)</f>
        <v>38</v>
      </c>
      <c r="AM2445" s="8">
        <f>SUM($E$2447:$AI$2447)</f>
        <v>143.5</v>
      </c>
      <c r="AN2445" s="8">
        <f>AL2445+AM2445</f>
        <v>181.5</v>
      </c>
      <c r="AO2445" s="8">
        <f>COUNTIF($E$2445:$AI$2445,"CL")</f>
        <v>0</v>
      </c>
      <c r="AP2445" s="8">
        <f>COUNTIF($E$2445:$AI$2445,"SL")</f>
        <v>0</v>
      </c>
      <c r="AQ2445" s="8">
        <f>COUNTIF($E$2445:$AI$2445,"EL")</f>
        <v>0</v>
      </c>
      <c r="AR2445" s="8">
        <f>COUNTIF($E$2445:$AI$2445,"H")</f>
        <v>0</v>
      </c>
      <c r="AS2445" s="8"/>
      <c r="AT2445" s="11" t="s">
        <v>259</v>
      </c>
    </row>
    <row r="2446" spans="1:46" ht="15.1" customHeight="1">
      <c r="A2446" s="8"/>
      <c r="B2446" s="9"/>
      <c r="C2446" s="8"/>
      <c r="D2446" s="9"/>
      <c r="E2446" s="8">
        <v>2</v>
      </c>
      <c r="F2446" s="8">
        <v>2</v>
      </c>
      <c r="G2446" s="8">
        <v>0</v>
      </c>
      <c r="H2446" s="8">
        <v>2</v>
      </c>
      <c r="I2446" s="8">
        <v>2</v>
      </c>
      <c r="J2446" s="8">
        <v>2</v>
      </c>
      <c r="K2446" s="8">
        <v>2</v>
      </c>
      <c r="L2446" s="8">
        <v>2</v>
      </c>
      <c r="M2446" s="8">
        <v>2</v>
      </c>
      <c r="N2446" s="8">
        <v>0</v>
      </c>
      <c r="O2446" s="8">
        <v>2</v>
      </c>
      <c r="P2446" s="8">
        <v>2</v>
      </c>
      <c r="Q2446" s="8">
        <v>2</v>
      </c>
      <c r="R2446" s="8">
        <v>2</v>
      </c>
      <c r="S2446" s="8">
        <v>2</v>
      </c>
      <c r="T2446" s="8">
        <v>2</v>
      </c>
      <c r="U2446" s="8">
        <v>0</v>
      </c>
      <c r="V2446" s="8">
        <v>2</v>
      </c>
      <c r="W2446" s="8">
        <v>2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2</v>
      </c>
      <c r="AE2446" s="8">
        <v>2</v>
      </c>
      <c r="AF2446" s="8">
        <v>0</v>
      </c>
      <c r="AG2446" s="8">
        <v>0</v>
      </c>
      <c r="AH2446" s="8">
        <v>2</v>
      </c>
      <c r="AI2446" s="8">
        <v>0</v>
      </c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11" t="s">
        <v>259</v>
      </c>
    </row>
    <row r="2447" spans="1:46" ht="15.1" customHeight="1">
      <c r="A2447" s="8"/>
      <c r="B2447" s="9"/>
      <c r="C2447" s="8"/>
      <c r="D2447" s="9"/>
      <c r="E2447" s="8">
        <v>5</v>
      </c>
      <c r="F2447" s="8">
        <v>3</v>
      </c>
      <c r="G2447" s="8">
        <v>14</v>
      </c>
      <c r="H2447" s="8">
        <v>5</v>
      </c>
      <c r="I2447" s="8">
        <v>7</v>
      </c>
      <c r="J2447" s="8">
        <v>7</v>
      </c>
      <c r="K2447" s="8">
        <v>7</v>
      </c>
      <c r="L2447" s="8">
        <v>7</v>
      </c>
      <c r="M2447" s="8">
        <v>5</v>
      </c>
      <c r="N2447" s="8">
        <v>17</v>
      </c>
      <c r="O2447" s="8">
        <v>7</v>
      </c>
      <c r="P2447" s="8">
        <v>9.5</v>
      </c>
      <c r="Q2447" s="8">
        <v>5</v>
      </c>
      <c r="R2447" s="8">
        <v>7</v>
      </c>
      <c r="S2447" s="8">
        <v>7</v>
      </c>
      <c r="T2447" s="8">
        <v>3</v>
      </c>
      <c r="U2447" s="8">
        <v>13</v>
      </c>
      <c r="V2447" s="8">
        <v>7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2</v>
      </c>
      <c r="AE2447" s="8">
        <v>3</v>
      </c>
      <c r="AF2447" s="8">
        <v>0</v>
      </c>
      <c r="AG2447" s="8">
        <v>0</v>
      </c>
      <c r="AH2447" s="8">
        <v>3</v>
      </c>
      <c r="AI2447" s="8">
        <v>0</v>
      </c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11" t="s">
        <v>259</v>
      </c>
    </row>
    <row r="2448" spans="1:46" ht="15.1" customHeight="1">
      <c r="A2448" s="8">
        <v>815</v>
      </c>
      <c r="B2448" s="9" t="s">
        <v>1867</v>
      </c>
      <c r="C2448" s="8" t="s">
        <v>1868</v>
      </c>
      <c r="D2448" s="9" t="s">
        <v>451</v>
      </c>
      <c r="E2448" s="8" t="s">
        <v>54</v>
      </c>
      <c r="F2448" s="8" t="s">
        <v>54</v>
      </c>
      <c r="G2448" s="10" t="s">
        <v>67</v>
      </c>
      <c r="H2448" s="8" t="s">
        <v>54</v>
      </c>
      <c r="I2448" s="8" t="s">
        <v>54</v>
      </c>
      <c r="J2448" s="8" t="s">
        <v>54</v>
      </c>
      <c r="K2448" s="8" t="s">
        <v>54</v>
      </c>
      <c r="L2448" s="12" t="s">
        <v>55</v>
      </c>
      <c r="M2448" s="12" t="s">
        <v>55</v>
      </c>
      <c r="N2448" s="10" t="s">
        <v>67</v>
      </c>
      <c r="O2448" s="8" t="s">
        <v>54</v>
      </c>
      <c r="P2448" s="8" t="s">
        <v>54</v>
      </c>
      <c r="Q2448" s="8" t="s">
        <v>54</v>
      </c>
      <c r="R2448" s="8" t="s">
        <v>54</v>
      </c>
      <c r="S2448" s="8" t="s">
        <v>54</v>
      </c>
      <c r="T2448" s="8" t="s">
        <v>54</v>
      </c>
      <c r="U2448" s="10" t="s">
        <v>67</v>
      </c>
      <c r="V2448" s="8" t="s">
        <v>54</v>
      </c>
      <c r="W2448" s="8" t="s">
        <v>54</v>
      </c>
      <c r="X2448" s="8" t="s">
        <v>54</v>
      </c>
      <c r="Y2448" s="8" t="s">
        <v>54</v>
      </c>
      <c r="Z2448" s="8" t="s">
        <v>54</v>
      </c>
      <c r="AA2448" s="8" t="s">
        <v>54</v>
      </c>
      <c r="AB2448" s="10" t="s">
        <v>67</v>
      </c>
      <c r="AC2448" s="8" t="s">
        <v>54</v>
      </c>
      <c r="AD2448" s="8" t="s">
        <v>54</v>
      </c>
      <c r="AE2448" s="8" t="s">
        <v>54</v>
      </c>
      <c r="AF2448" s="8" t="s">
        <v>54</v>
      </c>
      <c r="AG2448" s="8" t="s">
        <v>54</v>
      </c>
      <c r="AH2448" s="8" t="s">
        <v>54</v>
      </c>
      <c r="AI2448" s="10" t="s">
        <v>67</v>
      </c>
      <c r="AJ2448" s="8">
        <f>COUNTIF($E$2448:$AI$2448,"P")</f>
        <v>24</v>
      </c>
      <c r="AK2448" s="8">
        <f>COUNTIF($E$2448:$AI$2448,"A")</f>
        <v>2</v>
      </c>
      <c r="AL2448" s="8">
        <f>SUM($E$2449:$AI$2449)</f>
        <v>33</v>
      </c>
      <c r="AM2448" s="8">
        <f>SUM($E$2450:$AI$2450)</f>
        <v>128.5</v>
      </c>
      <c r="AN2448" s="8">
        <f>AL2448+AM2448</f>
        <v>161.5</v>
      </c>
      <c r="AO2448" s="8">
        <f>COUNTIF($E$2448:$AI$2448,"CL")</f>
        <v>0</v>
      </c>
      <c r="AP2448" s="8">
        <f>COUNTIF($E$2448:$AI$2448,"SL")</f>
        <v>0</v>
      </c>
      <c r="AQ2448" s="8">
        <f>COUNTIF($E$2448:$AI$2448,"EL")</f>
        <v>0</v>
      </c>
      <c r="AR2448" s="8">
        <f>COUNTIF($E$2448:$AI$2448,"H")</f>
        <v>0</v>
      </c>
      <c r="AS2448" s="8"/>
      <c r="AT2448" s="11" t="s">
        <v>259</v>
      </c>
    </row>
    <row r="2449" spans="1:46" ht="15.1" customHeight="1">
      <c r="A2449" s="8"/>
      <c r="B2449" s="9"/>
      <c r="C2449" s="8"/>
      <c r="D2449" s="9"/>
      <c r="E2449" s="8">
        <v>2</v>
      </c>
      <c r="F2449" s="8">
        <v>2</v>
      </c>
      <c r="G2449" s="8">
        <v>0</v>
      </c>
      <c r="H2449" s="8">
        <v>2</v>
      </c>
      <c r="I2449" s="8">
        <v>2</v>
      </c>
      <c r="J2449" s="8">
        <v>2</v>
      </c>
      <c r="K2449" s="8">
        <v>2</v>
      </c>
      <c r="L2449" s="8">
        <v>0</v>
      </c>
      <c r="M2449" s="8">
        <v>0</v>
      </c>
      <c r="N2449" s="8">
        <v>0</v>
      </c>
      <c r="O2449" s="8">
        <v>2</v>
      </c>
      <c r="P2449" s="8">
        <v>2</v>
      </c>
      <c r="Q2449" s="8">
        <v>2</v>
      </c>
      <c r="R2449" s="8">
        <v>2</v>
      </c>
      <c r="S2449" s="8">
        <v>2</v>
      </c>
      <c r="T2449" s="8">
        <v>2</v>
      </c>
      <c r="U2449" s="8">
        <v>0</v>
      </c>
      <c r="V2449" s="8">
        <v>2</v>
      </c>
      <c r="W2449" s="8">
        <v>2</v>
      </c>
      <c r="X2449" s="8">
        <v>2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1</v>
      </c>
      <c r="AG2449" s="8">
        <v>0</v>
      </c>
      <c r="AH2449" s="8">
        <v>2</v>
      </c>
      <c r="AI2449" s="8">
        <v>0</v>
      </c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11" t="s">
        <v>259</v>
      </c>
    </row>
    <row r="2450" spans="1:46" ht="15.1" customHeight="1">
      <c r="A2450" s="8"/>
      <c r="B2450" s="9"/>
      <c r="C2450" s="8"/>
      <c r="D2450" s="9"/>
      <c r="E2450" s="8">
        <v>4.5</v>
      </c>
      <c r="F2450" s="8">
        <v>3</v>
      </c>
      <c r="G2450" s="8">
        <v>14</v>
      </c>
      <c r="H2450" s="8">
        <v>5</v>
      </c>
      <c r="I2450" s="8">
        <v>7</v>
      </c>
      <c r="J2450" s="8">
        <v>11</v>
      </c>
      <c r="K2450" s="8">
        <v>7</v>
      </c>
      <c r="L2450" s="8">
        <v>0</v>
      </c>
      <c r="M2450" s="8">
        <v>0</v>
      </c>
      <c r="N2450" s="8">
        <v>16.5</v>
      </c>
      <c r="O2450" s="8">
        <v>7</v>
      </c>
      <c r="P2450" s="8">
        <v>7</v>
      </c>
      <c r="Q2450" s="8">
        <v>4.5</v>
      </c>
      <c r="R2450" s="8">
        <v>7</v>
      </c>
      <c r="S2450" s="8">
        <v>7</v>
      </c>
      <c r="T2450" s="8">
        <v>2.5</v>
      </c>
      <c r="U2450" s="8">
        <v>12.5</v>
      </c>
      <c r="V2450" s="8">
        <v>7</v>
      </c>
      <c r="W2450" s="8">
        <v>0</v>
      </c>
      <c r="X2450" s="8">
        <v>3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3</v>
      </c>
      <c r="AI2450" s="8">
        <v>0</v>
      </c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11" t="s">
        <v>259</v>
      </c>
    </row>
    <row r="2451" spans="1:46" ht="15.1" customHeight="1">
      <c r="A2451" s="8">
        <v>816</v>
      </c>
      <c r="B2451" s="9" t="s">
        <v>1869</v>
      </c>
      <c r="C2451" s="8" t="s">
        <v>1870</v>
      </c>
      <c r="D2451" s="9" t="s">
        <v>451</v>
      </c>
      <c r="E2451" s="8" t="s">
        <v>54</v>
      </c>
      <c r="F2451" s="8" t="s">
        <v>54</v>
      </c>
      <c r="G2451" s="10" t="s">
        <v>67</v>
      </c>
      <c r="H2451" s="8" t="s">
        <v>54</v>
      </c>
      <c r="I2451" s="8" t="s">
        <v>54</v>
      </c>
      <c r="J2451" s="8" t="s">
        <v>54</v>
      </c>
      <c r="K2451" s="8" t="s">
        <v>54</v>
      </c>
      <c r="L2451" s="8" t="s">
        <v>54</v>
      </c>
      <c r="M2451" s="8" t="s">
        <v>54</v>
      </c>
      <c r="N2451" s="10" t="s">
        <v>67</v>
      </c>
      <c r="O2451" s="8" t="s">
        <v>54</v>
      </c>
      <c r="P2451" s="8" t="s">
        <v>54</v>
      </c>
      <c r="Q2451" s="8" t="s">
        <v>54</v>
      </c>
      <c r="R2451" s="8" t="s">
        <v>54</v>
      </c>
      <c r="S2451" s="8" t="s">
        <v>54</v>
      </c>
      <c r="T2451" s="8" t="s">
        <v>54</v>
      </c>
      <c r="U2451" s="10" t="s">
        <v>67</v>
      </c>
      <c r="V2451" s="8" t="s">
        <v>54</v>
      </c>
      <c r="W2451" s="8" t="s">
        <v>54</v>
      </c>
      <c r="X2451" s="8" t="s">
        <v>54</v>
      </c>
      <c r="Y2451" s="8" t="s">
        <v>54</v>
      </c>
      <c r="Z2451" s="8" t="s">
        <v>54</v>
      </c>
      <c r="AA2451" s="8" t="s">
        <v>54</v>
      </c>
      <c r="AB2451" s="10" t="s">
        <v>67</v>
      </c>
      <c r="AC2451" s="8" t="s">
        <v>54</v>
      </c>
      <c r="AD2451" s="8" t="s">
        <v>54</v>
      </c>
      <c r="AE2451" s="8" t="s">
        <v>54</v>
      </c>
      <c r="AF2451" s="8" t="s">
        <v>54</v>
      </c>
      <c r="AG2451" s="8" t="s">
        <v>54</v>
      </c>
      <c r="AH2451" s="8" t="s">
        <v>54</v>
      </c>
      <c r="AI2451" s="10" t="s">
        <v>67</v>
      </c>
      <c r="AJ2451" s="8">
        <f>COUNTIF($E$2451:$AI$2451,"P")</f>
        <v>26</v>
      </c>
      <c r="AK2451" s="8">
        <f>COUNTIF($E$2451:$AI$2451,"A")</f>
        <v>0</v>
      </c>
      <c r="AL2451" s="8">
        <f>SUM($E$2452:$AI$2452)</f>
        <v>34</v>
      </c>
      <c r="AM2451" s="8">
        <f>SUM($E$2453:$AI$2453)</f>
        <v>136</v>
      </c>
      <c r="AN2451" s="8">
        <f>AL2451+AM2451</f>
        <v>170</v>
      </c>
      <c r="AO2451" s="8">
        <f>COUNTIF($E$2451:$AI$2451,"CL")</f>
        <v>0</v>
      </c>
      <c r="AP2451" s="8">
        <f>COUNTIF($E$2451:$AI$2451,"SL")</f>
        <v>0</v>
      </c>
      <c r="AQ2451" s="8">
        <f>COUNTIF($E$2451:$AI$2451,"EL")</f>
        <v>0</v>
      </c>
      <c r="AR2451" s="8">
        <f>COUNTIF($E$2451:$AI$2451,"H")</f>
        <v>0</v>
      </c>
      <c r="AS2451" s="8"/>
      <c r="AT2451" s="11" t="s">
        <v>259</v>
      </c>
    </row>
    <row r="2452" spans="1:46" ht="15.1" customHeight="1">
      <c r="A2452" s="8"/>
      <c r="B2452" s="9"/>
      <c r="C2452" s="8"/>
      <c r="D2452" s="9"/>
      <c r="E2452" s="8">
        <v>2</v>
      </c>
      <c r="F2452" s="8">
        <v>2</v>
      </c>
      <c r="G2452" s="8">
        <v>0</v>
      </c>
      <c r="H2452" s="8">
        <v>2</v>
      </c>
      <c r="I2452" s="8">
        <v>2</v>
      </c>
      <c r="J2452" s="8">
        <v>2</v>
      </c>
      <c r="K2452" s="8">
        <v>2</v>
      </c>
      <c r="L2452" s="8">
        <v>2</v>
      </c>
      <c r="M2452" s="8">
        <v>2</v>
      </c>
      <c r="N2452" s="8">
        <v>0</v>
      </c>
      <c r="O2452" s="8">
        <v>2</v>
      </c>
      <c r="P2452" s="8">
        <v>2</v>
      </c>
      <c r="Q2452" s="8">
        <v>2</v>
      </c>
      <c r="R2452" s="8">
        <v>2</v>
      </c>
      <c r="S2452" s="8">
        <v>2</v>
      </c>
      <c r="T2452" s="8">
        <v>2</v>
      </c>
      <c r="U2452" s="8">
        <v>0</v>
      </c>
      <c r="V2452" s="8">
        <v>2</v>
      </c>
      <c r="W2452" s="8">
        <v>2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2</v>
      </c>
      <c r="AI2452" s="8">
        <v>0</v>
      </c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11" t="s">
        <v>259</v>
      </c>
    </row>
    <row r="2453" spans="1:46" ht="15.1" customHeight="1">
      <c r="A2453" s="8"/>
      <c r="B2453" s="9"/>
      <c r="C2453" s="8"/>
      <c r="D2453" s="9"/>
      <c r="E2453" s="8">
        <v>5</v>
      </c>
      <c r="F2453" s="8">
        <v>3</v>
      </c>
      <c r="G2453" s="8">
        <v>14</v>
      </c>
      <c r="H2453" s="8">
        <v>5</v>
      </c>
      <c r="I2453" s="8">
        <v>7</v>
      </c>
      <c r="J2453" s="8">
        <v>7</v>
      </c>
      <c r="K2453" s="8">
        <v>7</v>
      </c>
      <c r="L2453" s="8">
        <v>7</v>
      </c>
      <c r="M2453" s="8">
        <v>5</v>
      </c>
      <c r="N2453" s="8">
        <v>17</v>
      </c>
      <c r="O2453" s="8">
        <v>7</v>
      </c>
      <c r="P2453" s="8">
        <v>7</v>
      </c>
      <c r="Q2453" s="8">
        <v>5</v>
      </c>
      <c r="R2453" s="8">
        <v>7</v>
      </c>
      <c r="S2453" s="8">
        <v>7</v>
      </c>
      <c r="T2453" s="8">
        <v>3</v>
      </c>
      <c r="U2453" s="8">
        <v>13</v>
      </c>
      <c r="V2453" s="8">
        <v>7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3</v>
      </c>
      <c r="AI2453" s="8">
        <v>0</v>
      </c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11" t="s">
        <v>259</v>
      </c>
    </row>
    <row r="2454" spans="1:46" ht="15.1" customHeight="1">
      <c r="A2454" s="8">
        <v>817</v>
      </c>
      <c r="B2454" s="9" t="s">
        <v>1871</v>
      </c>
      <c r="C2454" s="8" t="s">
        <v>1872</v>
      </c>
      <c r="D2454" s="9" t="s">
        <v>451</v>
      </c>
      <c r="E2454" s="8" t="s">
        <v>54</v>
      </c>
      <c r="F2454" s="8" t="s">
        <v>54</v>
      </c>
      <c r="G2454" s="10" t="s">
        <v>67</v>
      </c>
      <c r="H2454" s="8" t="s">
        <v>54</v>
      </c>
      <c r="I2454" s="8" t="s">
        <v>54</v>
      </c>
      <c r="J2454" s="8" t="s">
        <v>54</v>
      </c>
      <c r="K2454" s="8" t="s">
        <v>54</v>
      </c>
      <c r="L2454" s="8" t="s">
        <v>54</v>
      </c>
      <c r="M2454" s="8" t="s">
        <v>54</v>
      </c>
      <c r="N2454" s="10" t="s">
        <v>67</v>
      </c>
      <c r="O2454" s="8" t="s">
        <v>54</v>
      </c>
      <c r="P2454" s="8" t="s">
        <v>54</v>
      </c>
      <c r="Q2454" s="8" t="s">
        <v>54</v>
      </c>
      <c r="R2454" s="8" t="s">
        <v>54</v>
      </c>
      <c r="S2454" s="8" t="s">
        <v>54</v>
      </c>
      <c r="T2454" s="8" t="s">
        <v>54</v>
      </c>
      <c r="U2454" s="10" t="s">
        <v>67</v>
      </c>
      <c r="V2454" s="8" t="s">
        <v>54</v>
      </c>
      <c r="W2454" s="8" t="s">
        <v>54</v>
      </c>
      <c r="X2454" s="8" t="s">
        <v>54</v>
      </c>
      <c r="Y2454" s="12" t="s">
        <v>55</v>
      </c>
      <c r="Z2454" s="12" t="s">
        <v>55</v>
      </c>
      <c r="AA2454" s="12" t="s">
        <v>55</v>
      </c>
      <c r="AB2454" s="10" t="s">
        <v>67</v>
      </c>
      <c r="AC2454" s="8" t="s">
        <v>54</v>
      </c>
      <c r="AD2454" s="8" t="s">
        <v>54</v>
      </c>
      <c r="AE2454" s="8" t="s">
        <v>54</v>
      </c>
      <c r="AF2454" s="8" t="s">
        <v>54</v>
      </c>
      <c r="AG2454" s="8" t="s">
        <v>54</v>
      </c>
      <c r="AH2454" s="8" t="s">
        <v>54</v>
      </c>
      <c r="AI2454" s="10" t="s">
        <v>67</v>
      </c>
      <c r="AJ2454" s="8">
        <f>COUNTIF($E$2454:$AI$2454,"P")</f>
        <v>23</v>
      </c>
      <c r="AK2454" s="8">
        <f>COUNTIF($E$2454:$AI$2454,"A")</f>
        <v>3</v>
      </c>
      <c r="AL2454" s="8">
        <f>SUM($E$2455:$AI$2455)</f>
        <v>36</v>
      </c>
      <c r="AM2454" s="8">
        <f>SUM($E$2456:$AI$2456)</f>
        <v>139.5</v>
      </c>
      <c r="AN2454" s="8">
        <f>AL2454+AM2454</f>
        <v>175.5</v>
      </c>
      <c r="AO2454" s="8">
        <f>COUNTIF($E$2454:$AI$2454,"CL")</f>
        <v>0</v>
      </c>
      <c r="AP2454" s="8">
        <f>COUNTIF($E$2454:$AI$2454,"SL")</f>
        <v>0</v>
      </c>
      <c r="AQ2454" s="8">
        <f>COUNTIF($E$2454:$AI$2454,"EL")</f>
        <v>0</v>
      </c>
      <c r="AR2454" s="8">
        <f>COUNTIF($E$2454:$AI$2454,"H")</f>
        <v>0</v>
      </c>
      <c r="AS2454" s="8"/>
      <c r="AT2454" s="11" t="s">
        <v>259</v>
      </c>
    </row>
    <row r="2455" spans="1:46" ht="15.1" customHeight="1">
      <c r="A2455" s="8"/>
      <c r="B2455" s="9"/>
      <c r="C2455" s="8"/>
      <c r="D2455" s="9"/>
      <c r="E2455" s="8">
        <v>2</v>
      </c>
      <c r="F2455" s="8">
        <v>2</v>
      </c>
      <c r="G2455" s="8">
        <v>0</v>
      </c>
      <c r="H2455" s="8">
        <v>2</v>
      </c>
      <c r="I2455" s="8">
        <v>2</v>
      </c>
      <c r="J2455" s="8">
        <v>2</v>
      </c>
      <c r="K2455" s="8">
        <v>2</v>
      </c>
      <c r="L2455" s="8">
        <v>2</v>
      </c>
      <c r="M2455" s="8">
        <v>2</v>
      </c>
      <c r="N2455" s="8">
        <v>0</v>
      </c>
      <c r="O2455" s="8">
        <v>2</v>
      </c>
      <c r="P2455" s="8">
        <v>2</v>
      </c>
      <c r="Q2455" s="8">
        <v>2</v>
      </c>
      <c r="R2455" s="8">
        <v>2</v>
      </c>
      <c r="S2455" s="8">
        <v>2</v>
      </c>
      <c r="T2455" s="8">
        <v>2</v>
      </c>
      <c r="U2455" s="8">
        <v>0</v>
      </c>
      <c r="V2455" s="8">
        <v>2</v>
      </c>
      <c r="W2455" s="8">
        <v>2</v>
      </c>
      <c r="X2455" s="8">
        <v>2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8">
        <v>0</v>
      </c>
      <c r="AH2455" s="8">
        <v>2</v>
      </c>
      <c r="AI2455" s="8">
        <v>0</v>
      </c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11" t="s">
        <v>259</v>
      </c>
    </row>
    <row r="2456" spans="1:46" ht="15.1" customHeight="1">
      <c r="A2456" s="8"/>
      <c r="B2456" s="9"/>
      <c r="C2456" s="8"/>
      <c r="D2456" s="9"/>
      <c r="E2456" s="8">
        <v>5</v>
      </c>
      <c r="F2456" s="8">
        <v>3</v>
      </c>
      <c r="G2456" s="8">
        <v>14</v>
      </c>
      <c r="H2456" s="8">
        <v>5</v>
      </c>
      <c r="I2456" s="8">
        <v>7</v>
      </c>
      <c r="J2456" s="8">
        <v>11</v>
      </c>
      <c r="K2456" s="8">
        <v>7</v>
      </c>
      <c r="L2456" s="8">
        <v>7</v>
      </c>
      <c r="M2456" s="8">
        <v>5</v>
      </c>
      <c r="N2456" s="8">
        <v>16.5</v>
      </c>
      <c r="O2456" s="8">
        <v>7</v>
      </c>
      <c r="P2456" s="8">
        <v>7</v>
      </c>
      <c r="Q2456" s="8">
        <v>5</v>
      </c>
      <c r="R2456" s="8">
        <v>7</v>
      </c>
      <c r="S2456" s="8">
        <v>7</v>
      </c>
      <c r="T2456" s="8">
        <v>3</v>
      </c>
      <c r="U2456" s="8">
        <v>12.5</v>
      </c>
      <c r="V2456" s="8">
        <v>6.5</v>
      </c>
      <c r="W2456" s="8">
        <v>0</v>
      </c>
      <c r="X2456" s="8">
        <v>1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3</v>
      </c>
      <c r="AI2456" s="8">
        <v>0</v>
      </c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11" t="s">
        <v>259</v>
      </c>
    </row>
    <row r="2457" spans="1:46" ht="15.1" customHeight="1">
      <c r="A2457" s="8">
        <v>818</v>
      </c>
      <c r="B2457" s="9" t="s">
        <v>1873</v>
      </c>
      <c r="C2457" s="8" t="s">
        <v>1874</v>
      </c>
      <c r="D2457" s="9" t="s">
        <v>451</v>
      </c>
      <c r="E2457" s="8" t="s">
        <v>54</v>
      </c>
      <c r="F2457" s="8" t="s">
        <v>54</v>
      </c>
      <c r="G2457" s="10" t="s">
        <v>67</v>
      </c>
      <c r="H2457" s="12" t="s">
        <v>55</v>
      </c>
      <c r="I2457" s="12" t="s">
        <v>55</v>
      </c>
      <c r="J2457" s="12" t="s">
        <v>55</v>
      </c>
      <c r="K2457" s="8" t="s">
        <v>54</v>
      </c>
      <c r="L2457" s="8" t="s">
        <v>54</v>
      </c>
      <c r="M2457" s="12" t="s">
        <v>55</v>
      </c>
      <c r="N2457" s="10" t="s">
        <v>67</v>
      </c>
      <c r="O2457" s="12" t="s">
        <v>55</v>
      </c>
      <c r="P2457" s="12" t="s">
        <v>55</v>
      </c>
      <c r="Q2457" s="8" t="s">
        <v>54</v>
      </c>
      <c r="R2457" s="8"/>
      <c r="S2457" s="8"/>
      <c r="T2457" s="8"/>
      <c r="U2457" s="10"/>
      <c r="V2457" s="8"/>
      <c r="W2457" s="8"/>
      <c r="X2457" s="8"/>
      <c r="Y2457" s="8"/>
      <c r="Z2457" s="8"/>
      <c r="AA2457" s="8"/>
      <c r="AB2457" s="10"/>
      <c r="AC2457" s="8"/>
      <c r="AD2457" s="8"/>
      <c r="AE2457" s="8"/>
      <c r="AF2457" s="8"/>
      <c r="AG2457" s="8"/>
      <c r="AH2457" s="8"/>
      <c r="AI2457" s="10"/>
      <c r="AJ2457" s="8">
        <f>COUNTIF($E$2457:$AI$2457,"P")</f>
        <v>5</v>
      </c>
      <c r="AK2457" s="8">
        <f>COUNTIF($E$2457:$AI$2457,"A")</f>
        <v>6</v>
      </c>
      <c r="AL2457" s="8">
        <f>SUM($E$2458:$AI$2458)</f>
        <v>0</v>
      </c>
      <c r="AM2457" s="8">
        <f>SUM($E$2459:$AI$2459)</f>
        <v>0</v>
      </c>
      <c r="AN2457" s="8">
        <f>AL2457+AM2457</f>
        <v>0</v>
      </c>
      <c r="AO2457" s="8">
        <f>COUNTIF($E$2457:$AI$2457,"CL")</f>
        <v>0</v>
      </c>
      <c r="AP2457" s="8">
        <f>COUNTIF($E$2457:$AI$2457,"SL")</f>
        <v>0</v>
      </c>
      <c r="AQ2457" s="8">
        <f>COUNTIF($E$2457:$AI$2457,"EL")</f>
        <v>0</v>
      </c>
      <c r="AR2457" s="8">
        <f>COUNTIF($E$2457:$AI$2457,"H")</f>
        <v>0</v>
      </c>
      <c r="AS2457" s="8"/>
      <c r="AT2457" s="11" t="s">
        <v>259</v>
      </c>
    </row>
    <row r="2458" spans="1:46" ht="15.1" customHeight="1">
      <c r="A2458" s="8"/>
      <c r="B2458" s="9"/>
      <c r="C2458" s="8"/>
      <c r="D2458" s="9"/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11" t="s">
        <v>259</v>
      </c>
    </row>
    <row r="2459" spans="1:46" ht="15.1" customHeight="1">
      <c r="A2459" s="8"/>
      <c r="B2459" s="9"/>
      <c r="C2459" s="8"/>
      <c r="D2459" s="9"/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11" t="s">
        <v>259</v>
      </c>
    </row>
    <row r="2460" spans="1:46" ht="15.1" customHeight="1">
      <c r="A2460" s="8">
        <v>819</v>
      </c>
      <c r="B2460" s="9" t="s">
        <v>1875</v>
      </c>
      <c r="C2460" s="8" t="s">
        <v>1876</v>
      </c>
      <c r="D2460" s="9" t="s">
        <v>451</v>
      </c>
      <c r="E2460" s="8" t="s">
        <v>54</v>
      </c>
      <c r="F2460" s="8" t="s">
        <v>54</v>
      </c>
      <c r="G2460" s="10" t="s">
        <v>67</v>
      </c>
      <c r="H2460" s="8" t="s">
        <v>54</v>
      </c>
      <c r="I2460" s="8" t="s">
        <v>54</v>
      </c>
      <c r="J2460" s="12" t="s">
        <v>55</v>
      </c>
      <c r="K2460" s="12" t="s">
        <v>55</v>
      </c>
      <c r="L2460" s="8" t="s">
        <v>54</v>
      </c>
      <c r="M2460" s="8" t="s">
        <v>54</v>
      </c>
      <c r="N2460" s="10" t="s">
        <v>67</v>
      </c>
      <c r="O2460" s="8" t="s">
        <v>54</v>
      </c>
      <c r="P2460" s="8" t="s">
        <v>54</v>
      </c>
      <c r="Q2460" s="8" t="s">
        <v>54</v>
      </c>
      <c r="R2460" s="8" t="s">
        <v>54</v>
      </c>
      <c r="S2460" s="8" t="s">
        <v>54</v>
      </c>
      <c r="T2460" s="8" t="s">
        <v>54</v>
      </c>
      <c r="U2460" s="10" t="s">
        <v>67</v>
      </c>
      <c r="V2460" s="8" t="s">
        <v>54</v>
      </c>
      <c r="W2460" s="8" t="s">
        <v>54</v>
      </c>
      <c r="X2460" s="8" t="s">
        <v>54</v>
      </c>
      <c r="Y2460" s="8" t="s">
        <v>54</v>
      </c>
      <c r="Z2460" s="8" t="s">
        <v>54</v>
      </c>
      <c r="AA2460" s="8" t="s">
        <v>54</v>
      </c>
      <c r="AB2460" s="10" t="s">
        <v>67</v>
      </c>
      <c r="AC2460" s="8" t="s">
        <v>54</v>
      </c>
      <c r="AD2460" s="8" t="s">
        <v>54</v>
      </c>
      <c r="AE2460" s="8" t="s">
        <v>54</v>
      </c>
      <c r="AF2460" s="8" t="s">
        <v>54</v>
      </c>
      <c r="AG2460" s="8" t="s">
        <v>54</v>
      </c>
      <c r="AH2460" s="8" t="s">
        <v>54</v>
      </c>
      <c r="AI2460" s="10" t="s">
        <v>67</v>
      </c>
      <c r="AJ2460" s="8">
        <f>COUNTIF($E$2460:$AI$2460,"P")</f>
        <v>24</v>
      </c>
      <c r="AK2460" s="8">
        <f>COUNTIF($E$2460:$AI$2460,"A")</f>
        <v>2</v>
      </c>
      <c r="AL2460" s="8">
        <f>SUM($E$2461:$AI$2461)</f>
        <v>0</v>
      </c>
      <c r="AM2460" s="8">
        <f>SUM($E$2462:$AI$2462)</f>
        <v>0</v>
      </c>
      <c r="AN2460" s="8">
        <f>AL2460+AM2460</f>
        <v>0</v>
      </c>
      <c r="AO2460" s="8">
        <f>COUNTIF($E$2460:$AI$2460,"CL")</f>
        <v>0</v>
      </c>
      <c r="AP2460" s="8">
        <f>COUNTIF($E$2460:$AI$2460,"SL")</f>
        <v>0</v>
      </c>
      <c r="AQ2460" s="8">
        <f>COUNTIF($E$2460:$AI$2460,"EL")</f>
        <v>0</v>
      </c>
      <c r="AR2460" s="8">
        <f>COUNTIF($E$2460:$AI$2460,"H")</f>
        <v>0</v>
      </c>
      <c r="AS2460" s="8"/>
      <c r="AT2460" s="11" t="s">
        <v>259</v>
      </c>
    </row>
    <row r="2461" spans="1:46" ht="15.1" customHeight="1">
      <c r="A2461" s="8"/>
      <c r="B2461" s="9"/>
      <c r="C2461" s="8"/>
      <c r="D2461" s="9"/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  <c r="M2461" s="8">
        <v>0</v>
      </c>
      <c r="N2461" s="8">
        <v>0</v>
      </c>
      <c r="O2461" s="8">
        <v>0</v>
      </c>
      <c r="P2461" s="8">
        <v>0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11" t="s">
        <v>259</v>
      </c>
    </row>
    <row r="2462" spans="1:46" ht="15.1" customHeight="1">
      <c r="A2462" s="8"/>
      <c r="B2462" s="9"/>
      <c r="C2462" s="8"/>
      <c r="D2462" s="9"/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0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11" t="s">
        <v>259</v>
      </c>
    </row>
    <row r="2463" spans="1:46" ht="15.1" customHeight="1">
      <c r="A2463" s="8">
        <v>820</v>
      </c>
      <c r="B2463" s="9" t="s">
        <v>1877</v>
      </c>
      <c r="C2463" s="8" t="s">
        <v>1878</v>
      </c>
      <c r="D2463" s="9" t="s">
        <v>451</v>
      </c>
      <c r="E2463" s="8" t="s">
        <v>54</v>
      </c>
      <c r="F2463" s="8" t="s">
        <v>54</v>
      </c>
      <c r="G2463" s="10" t="s">
        <v>67</v>
      </c>
      <c r="H2463" s="8" t="s">
        <v>54</v>
      </c>
      <c r="I2463" s="8" t="s">
        <v>54</v>
      </c>
      <c r="J2463" s="8" t="s">
        <v>54</v>
      </c>
      <c r="K2463" s="12" t="s">
        <v>55</v>
      </c>
      <c r="L2463" s="12" t="s">
        <v>55</v>
      </c>
      <c r="M2463" s="8" t="s">
        <v>54</v>
      </c>
      <c r="N2463" s="10" t="s">
        <v>67</v>
      </c>
      <c r="O2463" s="8" t="s">
        <v>54</v>
      </c>
      <c r="P2463" s="8" t="s">
        <v>54</v>
      </c>
      <c r="Q2463" s="8" t="s">
        <v>54</v>
      </c>
      <c r="R2463" s="8" t="s">
        <v>54</v>
      </c>
      <c r="S2463" s="8" t="s">
        <v>54</v>
      </c>
      <c r="T2463" s="8" t="s">
        <v>54</v>
      </c>
      <c r="U2463" s="10" t="s">
        <v>67</v>
      </c>
      <c r="V2463" s="8" t="s">
        <v>54</v>
      </c>
      <c r="W2463" s="8" t="s">
        <v>54</v>
      </c>
      <c r="X2463" s="8" t="s">
        <v>54</v>
      </c>
      <c r="Y2463" s="8" t="s">
        <v>54</v>
      </c>
      <c r="Z2463" s="8" t="s">
        <v>54</v>
      </c>
      <c r="AA2463" s="8" t="s">
        <v>54</v>
      </c>
      <c r="AB2463" s="10" t="s">
        <v>67</v>
      </c>
      <c r="AC2463" s="8" t="s">
        <v>54</v>
      </c>
      <c r="AD2463" s="8" t="s">
        <v>54</v>
      </c>
      <c r="AE2463" s="8" t="s">
        <v>54</v>
      </c>
      <c r="AF2463" s="8" t="s">
        <v>54</v>
      </c>
      <c r="AG2463" s="8" t="s">
        <v>54</v>
      </c>
      <c r="AH2463" s="12" t="s">
        <v>55</v>
      </c>
      <c r="AI2463" s="10" t="s">
        <v>67</v>
      </c>
      <c r="AJ2463" s="8">
        <f>COUNTIF($E$2463:$AI$2463,"P")</f>
        <v>23</v>
      </c>
      <c r="AK2463" s="8">
        <f>COUNTIF($E$2463:$AI$2463,"A")</f>
        <v>3</v>
      </c>
      <c r="AL2463" s="8">
        <f>SUM($E$2464:$AI$2464)</f>
        <v>30</v>
      </c>
      <c r="AM2463" s="8">
        <f>SUM($E$2465:$AI$2465)</f>
        <v>111</v>
      </c>
      <c r="AN2463" s="8">
        <f>AL2463+AM2463</f>
        <v>141</v>
      </c>
      <c r="AO2463" s="8">
        <f>COUNTIF($E$2463:$AI$2463,"CL")</f>
        <v>0</v>
      </c>
      <c r="AP2463" s="8">
        <f>COUNTIF($E$2463:$AI$2463,"SL")</f>
        <v>0</v>
      </c>
      <c r="AQ2463" s="8">
        <f>COUNTIF($E$2463:$AI$2463,"EL")</f>
        <v>0</v>
      </c>
      <c r="AR2463" s="8">
        <f>COUNTIF($E$2463:$AI$2463,"H")</f>
        <v>0</v>
      </c>
      <c r="AS2463" s="8"/>
      <c r="AT2463" s="11" t="s">
        <v>259</v>
      </c>
    </row>
    <row r="2464" spans="1:46" ht="15.1" customHeight="1">
      <c r="A2464" s="8"/>
      <c r="B2464" s="9"/>
      <c r="C2464" s="8"/>
      <c r="D2464" s="9"/>
      <c r="E2464" s="8">
        <v>2</v>
      </c>
      <c r="F2464" s="8">
        <v>2</v>
      </c>
      <c r="G2464" s="8">
        <v>0</v>
      </c>
      <c r="H2464" s="8">
        <v>2</v>
      </c>
      <c r="I2464" s="8">
        <v>2</v>
      </c>
      <c r="J2464" s="8">
        <v>2</v>
      </c>
      <c r="K2464" s="8">
        <v>0</v>
      </c>
      <c r="L2464" s="8">
        <v>0</v>
      </c>
      <c r="M2464" s="8">
        <v>2</v>
      </c>
      <c r="N2464" s="8">
        <v>0</v>
      </c>
      <c r="O2464" s="8">
        <v>2</v>
      </c>
      <c r="P2464" s="8">
        <v>2</v>
      </c>
      <c r="Q2464" s="8">
        <v>2</v>
      </c>
      <c r="R2464" s="8">
        <v>2</v>
      </c>
      <c r="S2464" s="8">
        <v>2</v>
      </c>
      <c r="T2464" s="8">
        <v>2</v>
      </c>
      <c r="U2464" s="8">
        <v>0</v>
      </c>
      <c r="V2464" s="8">
        <v>2</v>
      </c>
      <c r="W2464" s="8">
        <v>2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2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11" t="s">
        <v>259</v>
      </c>
    </row>
    <row r="2465" spans="1:46" ht="15.1" customHeight="1">
      <c r="A2465" s="8"/>
      <c r="B2465" s="9"/>
      <c r="C2465" s="8"/>
      <c r="D2465" s="9"/>
      <c r="E2465" s="8">
        <v>2.5</v>
      </c>
      <c r="F2465" s="8">
        <v>3</v>
      </c>
      <c r="G2465" s="8">
        <v>14</v>
      </c>
      <c r="H2465" s="8">
        <v>5</v>
      </c>
      <c r="I2465" s="8">
        <v>7</v>
      </c>
      <c r="J2465" s="8">
        <v>7</v>
      </c>
      <c r="K2465" s="8">
        <v>0</v>
      </c>
      <c r="L2465" s="8">
        <v>0</v>
      </c>
      <c r="M2465" s="8">
        <v>5</v>
      </c>
      <c r="N2465" s="8">
        <v>17</v>
      </c>
      <c r="O2465" s="8">
        <v>6.5</v>
      </c>
      <c r="P2465" s="8">
        <v>7</v>
      </c>
      <c r="Q2465" s="8">
        <v>5</v>
      </c>
      <c r="R2465" s="8">
        <v>7</v>
      </c>
      <c r="S2465" s="8">
        <v>7</v>
      </c>
      <c r="T2465" s="8">
        <v>3</v>
      </c>
      <c r="U2465" s="8">
        <v>13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2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11" t="s">
        <v>259</v>
      </c>
    </row>
    <row r="2466" spans="1:46" ht="15.1" customHeight="1">
      <c r="A2466" s="8">
        <v>821</v>
      </c>
      <c r="B2466" s="9" t="s">
        <v>1879</v>
      </c>
      <c r="C2466" s="8" t="s">
        <v>1880</v>
      </c>
      <c r="D2466" s="9" t="s">
        <v>451</v>
      </c>
      <c r="E2466" s="8" t="s">
        <v>54</v>
      </c>
      <c r="F2466" s="8" t="s">
        <v>54</v>
      </c>
      <c r="G2466" s="10" t="s">
        <v>67</v>
      </c>
      <c r="H2466" s="8" t="s">
        <v>54</v>
      </c>
      <c r="I2466" s="8" t="s">
        <v>54</v>
      </c>
      <c r="J2466" s="12" t="s">
        <v>55</v>
      </c>
      <c r="K2466" s="12" t="s">
        <v>55</v>
      </c>
      <c r="L2466" s="8" t="s">
        <v>54</v>
      </c>
      <c r="M2466" s="8" t="s">
        <v>54</v>
      </c>
      <c r="N2466" s="10" t="s">
        <v>67</v>
      </c>
      <c r="O2466" s="8" t="s">
        <v>54</v>
      </c>
      <c r="P2466" s="8" t="s">
        <v>54</v>
      </c>
      <c r="Q2466" s="8" t="s">
        <v>54</v>
      </c>
      <c r="R2466" s="8" t="s">
        <v>54</v>
      </c>
      <c r="S2466" s="8" t="s">
        <v>54</v>
      </c>
      <c r="T2466" s="8" t="s">
        <v>54</v>
      </c>
      <c r="U2466" s="10" t="s">
        <v>67</v>
      </c>
      <c r="V2466" s="8" t="s">
        <v>54</v>
      </c>
      <c r="W2466" s="8" t="s">
        <v>54</v>
      </c>
      <c r="X2466" s="8" t="s">
        <v>54</v>
      </c>
      <c r="Y2466" s="8" t="s">
        <v>54</v>
      </c>
      <c r="Z2466" s="8" t="s">
        <v>54</v>
      </c>
      <c r="AA2466" s="8" t="s">
        <v>54</v>
      </c>
      <c r="AB2466" s="10" t="s">
        <v>67</v>
      </c>
      <c r="AC2466" s="8" t="s">
        <v>54</v>
      </c>
      <c r="AD2466" s="8" t="s">
        <v>54</v>
      </c>
      <c r="AE2466" s="8" t="s">
        <v>54</v>
      </c>
      <c r="AF2466" s="8" t="s">
        <v>54</v>
      </c>
      <c r="AG2466" s="8" t="s">
        <v>54</v>
      </c>
      <c r="AH2466" s="8" t="s">
        <v>54</v>
      </c>
      <c r="AI2466" s="10" t="s">
        <v>67</v>
      </c>
      <c r="AJ2466" s="8">
        <f>COUNTIF($E$2466:$AI$2466,"P")</f>
        <v>24</v>
      </c>
      <c r="AK2466" s="8">
        <f>COUNTIF($E$2466:$AI$2466,"A")</f>
        <v>2</v>
      </c>
      <c r="AL2466" s="8">
        <f>SUM($E$2467:$AI$2467)</f>
        <v>32</v>
      </c>
      <c r="AM2466" s="8">
        <f>SUM($E$2468:$AI$2468)</f>
        <v>120</v>
      </c>
      <c r="AN2466" s="8">
        <f>AL2466+AM2466</f>
        <v>152</v>
      </c>
      <c r="AO2466" s="8">
        <f>COUNTIF($E$2466:$AI$2466,"CL")</f>
        <v>0</v>
      </c>
      <c r="AP2466" s="8">
        <f>COUNTIF($E$2466:$AI$2466,"SL")</f>
        <v>0</v>
      </c>
      <c r="AQ2466" s="8">
        <f>COUNTIF($E$2466:$AI$2466,"EL")</f>
        <v>0</v>
      </c>
      <c r="AR2466" s="8">
        <f>COUNTIF($E$2466:$AI$2466,"H")</f>
        <v>0</v>
      </c>
      <c r="AS2466" s="8"/>
      <c r="AT2466" s="11" t="s">
        <v>259</v>
      </c>
    </row>
    <row r="2467" spans="1:46" ht="15.1" customHeight="1">
      <c r="A2467" s="8"/>
      <c r="B2467" s="9"/>
      <c r="C2467" s="8"/>
      <c r="D2467" s="9"/>
      <c r="E2467" s="8">
        <v>2</v>
      </c>
      <c r="F2467" s="8">
        <v>2</v>
      </c>
      <c r="G2467" s="8">
        <v>0</v>
      </c>
      <c r="H2467" s="8">
        <v>2</v>
      </c>
      <c r="I2467" s="8">
        <v>2</v>
      </c>
      <c r="J2467" s="8">
        <v>0</v>
      </c>
      <c r="K2467" s="8">
        <v>0</v>
      </c>
      <c r="L2467" s="8">
        <v>2</v>
      </c>
      <c r="M2467" s="8">
        <v>2</v>
      </c>
      <c r="N2467" s="8">
        <v>0</v>
      </c>
      <c r="O2467" s="8">
        <v>2</v>
      </c>
      <c r="P2467" s="8">
        <v>2</v>
      </c>
      <c r="Q2467" s="8">
        <v>2</v>
      </c>
      <c r="R2467" s="8">
        <v>2</v>
      </c>
      <c r="S2467" s="8">
        <v>2</v>
      </c>
      <c r="T2467" s="8">
        <v>2</v>
      </c>
      <c r="U2467" s="8">
        <v>0</v>
      </c>
      <c r="V2467" s="8">
        <v>2</v>
      </c>
      <c r="W2467" s="8">
        <v>2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2</v>
      </c>
      <c r="AD2467" s="8">
        <v>0</v>
      </c>
      <c r="AE2467" s="8">
        <v>0</v>
      </c>
      <c r="AF2467" s="8">
        <v>0</v>
      </c>
      <c r="AG2467" s="8">
        <v>0</v>
      </c>
      <c r="AH2467" s="8">
        <v>2</v>
      </c>
      <c r="AI2467" s="8">
        <v>0</v>
      </c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11" t="s">
        <v>259</v>
      </c>
    </row>
    <row r="2468" spans="1:46" ht="15.1" customHeight="1">
      <c r="A2468" s="8"/>
      <c r="B2468" s="9"/>
      <c r="C2468" s="8"/>
      <c r="D2468" s="9"/>
      <c r="E2468" s="8">
        <v>4.5</v>
      </c>
      <c r="F2468" s="8">
        <v>3</v>
      </c>
      <c r="G2468" s="8">
        <v>13.5</v>
      </c>
      <c r="H2468" s="8">
        <v>5</v>
      </c>
      <c r="I2468" s="8">
        <v>7</v>
      </c>
      <c r="J2468" s="8">
        <v>0</v>
      </c>
      <c r="K2468" s="8">
        <v>0</v>
      </c>
      <c r="L2468" s="8">
        <v>7</v>
      </c>
      <c r="M2468" s="8">
        <v>5</v>
      </c>
      <c r="N2468" s="8">
        <v>16.5</v>
      </c>
      <c r="O2468" s="8">
        <v>7</v>
      </c>
      <c r="P2468" s="8">
        <v>7</v>
      </c>
      <c r="Q2468" s="8">
        <v>5</v>
      </c>
      <c r="R2468" s="8">
        <v>7</v>
      </c>
      <c r="S2468" s="8">
        <v>7</v>
      </c>
      <c r="T2468" s="8">
        <v>3</v>
      </c>
      <c r="U2468" s="8">
        <v>12.5</v>
      </c>
      <c r="V2468" s="8">
        <v>7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3</v>
      </c>
      <c r="AI2468" s="8">
        <v>0</v>
      </c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11" t="s">
        <v>259</v>
      </c>
    </row>
    <row r="2469" spans="1:46" ht="15.1" customHeight="1">
      <c r="A2469" s="8">
        <v>822</v>
      </c>
      <c r="B2469" s="9" t="s">
        <v>1881</v>
      </c>
      <c r="C2469" s="8" t="s">
        <v>1882</v>
      </c>
      <c r="D2469" s="9" t="s">
        <v>451</v>
      </c>
      <c r="E2469" s="8" t="s">
        <v>54</v>
      </c>
      <c r="F2469" s="8" t="s">
        <v>54</v>
      </c>
      <c r="G2469" s="10" t="s">
        <v>67</v>
      </c>
      <c r="H2469" s="8" t="s">
        <v>54</v>
      </c>
      <c r="I2469" s="8" t="s">
        <v>54</v>
      </c>
      <c r="J2469" s="8" t="s">
        <v>54</v>
      </c>
      <c r="K2469" s="8" t="s">
        <v>54</v>
      </c>
      <c r="L2469" s="8" t="s">
        <v>54</v>
      </c>
      <c r="M2469" s="8" t="s">
        <v>54</v>
      </c>
      <c r="N2469" s="10" t="s">
        <v>67</v>
      </c>
      <c r="O2469" s="8" t="s">
        <v>54</v>
      </c>
      <c r="P2469" s="8" t="s">
        <v>54</v>
      </c>
      <c r="Q2469" s="8" t="s">
        <v>54</v>
      </c>
      <c r="R2469" s="8" t="s">
        <v>54</v>
      </c>
      <c r="S2469" s="8" t="s">
        <v>54</v>
      </c>
      <c r="T2469" s="8" t="s">
        <v>54</v>
      </c>
      <c r="U2469" s="10" t="s">
        <v>67</v>
      </c>
      <c r="V2469" s="8" t="s">
        <v>54</v>
      </c>
      <c r="W2469" s="8" t="s">
        <v>54</v>
      </c>
      <c r="X2469" s="8" t="s">
        <v>54</v>
      </c>
      <c r="Y2469" s="12" t="s">
        <v>55</v>
      </c>
      <c r="Z2469" s="12" t="s">
        <v>55</v>
      </c>
      <c r="AA2469" s="12" t="s">
        <v>55</v>
      </c>
      <c r="AB2469" s="10" t="s">
        <v>67</v>
      </c>
      <c r="AC2469" s="8" t="s">
        <v>54</v>
      </c>
      <c r="AD2469" s="8" t="s">
        <v>54</v>
      </c>
      <c r="AE2469" s="8" t="s">
        <v>54</v>
      </c>
      <c r="AF2469" s="8" t="s">
        <v>54</v>
      </c>
      <c r="AG2469" s="8" t="s">
        <v>54</v>
      </c>
      <c r="AH2469" s="8" t="s">
        <v>54</v>
      </c>
      <c r="AI2469" s="10" t="s">
        <v>67</v>
      </c>
      <c r="AJ2469" s="8">
        <f>COUNTIF($E$2469:$AI$2469,"P")</f>
        <v>23</v>
      </c>
      <c r="AK2469" s="8">
        <f>COUNTIF($E$2469:$AI$2469,"A")</f>
        <v>3</v>
      </c>
      <c r="AL2469" s="8">
        <f>SUM($E$2470:$AI$2470)</f>
        <v>34</v>
      </c>
      <c r="AM2469" s="8">
        <f>SUM($E$2471:$AI$2471)</f>
        <v>138</v>
      </c>
      <c r="AN2469" s="8">
        <f>AL2469+AM2469</f>
        <v>172</v>
      </c>
      <c r="AO2469" s="8">
        <f>COUNTIF($E$2469:$AI$2469,"CL")</f>
        <v>0</v>
      </c>
      <c r="AP2469" s="8">
        <f>COUNTIF($E$2469:$AI$2469,"SL")</f>
        <v>0</v>
      </c>
      <c r="AQ2469" s="8">
        <f>COUNTIF($E$2469:$AI$2469,"EL")</f>
        <v>0</v>
      </c>
      <c r="AR2469" s="8">
        <f>COUNTIF($E$2469:$AI$2469,"H")</f>
        <v>0</v>
      </c>
      <c r="AS2469" s="8"/>
      <c r="AT2469" s="11" t="s">
        <v>259</v>
      </c>
    </row>
    <row r="2470" spans="1:46" ht="15.1" customHeight="1">
      <c r="A2470" s="8"/>
      <c r="B2470" s="9"/>
      <c r="C2470" s="8"/>
      <c r="D2470" s="9"/>
      <c r="E2470" s="8">
        <v>2</v>
      </c>
      <c r="F2470" s="8">
        <v>2</v>
      </c>
      <c r="G2470" s="8">
        <v>0</v>
      </c>
      <c r="H2470" s="8">
        <v>2</v>
      </c>
      <c r="I2470" s="8">
        <v>2</v>
      </c>
      <c r="J2470" s="8">
        <v>2</v>
      </c>
      <c r="K2470" s="8">
        <v>2</v>
      </c>
      <c r="L2470" s="8">
        <v>2</v>
      </c>
      <c r="M2470" s="8">
        <v>2</v>
      </c>
      <c r="N2470" s="8">
        <v>0</v>
      </c>
      <c r="O2470" s="8">
        <v>2</v>
      </c>
      <c r="P2470" s="8">
        <v>2</v>
      </c>
      <c r="Q2470" s="8">
        <v>2</v>
      </c>
      <c r="R2470" s="8">
        <v>2</v>
      </c>
      <c r="S2470" s="8">
        <v>2</v>
      </c>
      <c r="T2470" s="8">
        <v>2</v>
      </c>
      <c r="U2470" s="8">
        <v>0</v>
      </c>
      <c r="V2470" s="8">
        <v>2</v>
      </c>
      <c r="W2470" s="8">
        <v>2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2</v>
      </c>
      <c r="AI2470" s="8">
        <v>0</v>
      </c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11" t="s">
        <v>259</v>
      </c>
    </row>
    <row r="2471" spans="1:46" ht="15.1" customHeight="1">
      <c r="A2471" s="8"/>
      <c r="B2471" s="9"/>
      <c r="C2471" s="8"/>
      <c r="D2471" s="9"/>
      <c r="E2471" s="8">
        <v>5</v>
      </c>
      <c r="F2471" s="8">
        <v>3</v>
      </c>
      <c r="G2471" s="8">
        <v>13.5</v>
      </c>
      <c r="H2471" s="8">
        <v>5</v>
      </c>
      <c r="I2471" s="8">
        <v>7</v>
      </c>
      <c r="J2471" s="8">
        <v>11</v>
      </c>
      <c r="K2471" s="8">
        <v>7</v>
      </c>
      <c r="L2471" s="8">
        <v>7</v>
      </c>
      <c r="M2471" s="8">
        <v>5</v>
      </c>
      <c r="N2471" s="8">
        <v>16.5</v>
      </c>
      <c r="O2471" s="8">
        <v>7</v>
      </c>
      <c r="P2471" s="8">
        <v>7</v>
      </c>
      <c r="Q2471" s="8">
        <v>5</v>
      </c>
      <c r="R2471" s="8">
        <v>7</v>
      </c>
      <c r="S2471" s="8">
        <v>7</v>
      </c>
      <c r="T2471" s="8">
        <v>3</v>
      </c>
      <c r="U2471" s="8">
        <v>12.5</v>
      </c>
      <c r="V2471" s="8">
        <v>6.5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3</v>
      </c>
      <c r="AI2471" s="8">
        <v>0</v>
      </c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11" t="s">
        <v>259</v>
      </c>
    </row>
    <row r="2472" spans="1:46" ht="15.1" customHeight="1">
      <c r="A2472" s="8">
        <v>823</v>
      </c>
      <c r="B2472" s="9" t="s">
        <v>1865</v>
      </c>
      <c r="C2472" s="8" t="s">
        <v>1883</v>
      </c>
      <c r="D2472" s="9" t="s">
        <v>451</v>
      </c>
      <c r="E2472" s="8" t="s">
        <v>54</v>
      </c>
      <c r="F2472" s="8" t="s">
        <v>54</v>
      </c>
      <c r="G2472" s="10" t="s">
        <v>67</v>
      </c>
      <c r="H2472" s="8" t="s">
        <v>54</v>
      </c>
      <c r="I2472" s="8" t="s">
        <v>54</v>
      </c>
      <c r="J2472" s="8" t="s">
        <v>54</v>
      </c>
      <c r="K2472" s="8" t="s">
        <v>54</v>
      </c>
      <c r="L2472" s="8" t="s">
        <v>54</v>
      </c>
      <c r="M2472" s="8" t="s">
        <v>54</v>
      </c>
      <c r="N2472" s="10" t="s">
        <v>67</v>
      </c>
      <c r="O2472" s="8" t="s">
        <v>54</v>
      </c>
      <c r="P2472" s="8" t="s">
        <v>54</v>
      </c>
      <c r="Q2472" s="12" t="s">
        <v>55</v>
      </c>
      <c r="R2472" s="12" t="s">
        <v>55</v>
      </c>
      <c r="S2472" s="8" t="s">
        <v>54</v>
      </c>
      <c r="T2472" s="8" t="s">
        <v>54</v>
      </c>
      <c r="U2472" s="10" t="s">
        <v>67</v>
      </c>
      <c r="V2472" s="8" t="s">
        <v>54</v>
      </c>
      <c r="W2472" s="8" t="s">
        <v>54</v>
      </c>
      <c r="X2472" s="8" t="s">
        <v>54</v>
      </c>
      <c r="Y2472" s="8" t="s">
        <v>54</v>
      </c>
      <c r="Z2472" s="12" t="s">
        <v>55</v>
      </c>
      <c r="AA2472" s="12" t="s">
        <v>55</v>
      </c>
      <c r="AB2472" s="10" t="s">
        <v>67</v>
      </c>
      <c r="AC2472" s="8" t="s">
        <v>54</v>
      </c>
      <c r="AD2472" s="8" t="s">
        <v>54</v>
      </c>
      <c r="AE2472" s="8" t="s">
        <v>54</v>
      </c>
      <c r="AF2472" s="8" t="s">
        <v>54</v>
      </c>
      <c r="AG2472" s="8" t="s">
        <v>54</v>
      </c>
      <c r="AH2472" s="8" t="s">
        <v>54</v>
      </c>
      <c r="AI2472" s="10" t="s">
        <v>67</v>
      </c>
      <c r="AJ2472" s="8">
        <f>COUNTIF($E$2472:$AI$2472,"P")</f>
        <v>22</v>
      </c>
      <c r="AK2472" s="8">
        <f>COUNTIF($E$2472:$AI$2472,"A")</f>
        <v>4</v>
      </c>
      <c r="AL2472" s="8">
        <f>SUM($E$2473:$AI$2473)</f>
        <v>30</v>
      </c>
      <c r="AM2472" s="8">
        <f>SUM($E$2474:$AI$2474)</f>
        <v>133</v>
      </c>
      <c r="AN2472" s="8">
        <f>AL2472+AM2472</f>
        <v>163</v>
      </c>
      <c r="AO2472" s="8">
        <f>COUNTIF($E$2472:$AI$2472,"CL")</f>
        <v>0</v>
      </c>
      <c r="AP2472" s="8">
        <f>COUNTIF($E$2472:$AI$2472,"SL")</f>
        <v>0</v>
      </c>
      <c r="AQ2472" s="8">
        <f>COUNTIF($E$2472:$AI$2472,"EL")</f>
        <v>0</v>
      </c>
      <c r="AR2472" s="8">
        <f>COUNTIF($E$2472:$AI$2472,"H")</f>
        <v>0</v>
      </c>
      <c r="AS2472" s="8"/>
      <c r="AT2472" s="11" t="s">
        <v>259</v>
      </c>
    </row>
    <row r="2473" spans="1:46" ht="15.1" customHeight="1">
      <c r="A2473" s="8"/>
      <c r="B2473" s="9"/>
      <c r="C2473" s="8"/>
      <c r="D2473" s="9"/>
      <c r="E2473" s="8">
        <v>2</v>
      </c>
      <c r="F2473" s="8">
        <v>2</v>
      </c>
      <c r="G2473" s="8">
        <v>0</v>
      </c>
      <c r="H2473" s="8">
        <v>2</v>
      </c>
      <c r="I2473" s="8">
        <v>2</v>
      </c>
      <c r="J2473" s="8">
        <v>2</v>
      </c>
      <c r="K2473" s="8">
        <v>2</v>
      </c>
      <c r="L2473" s="8">
        <v>2</v>
      </c>
      <c r="M2473" s="8">
        <v>2</v>
      </c>
      <c r="N2473" s="8">
        <v>0</v>
      </c>
      <c r="O2473" s="8">
        <v>2</v>
      </c>
      <c r="P2473" s="8">
        <v>2</v>
      </c>
      <c r="Q2473" s="8">
        <v>0</v>
      </c>
      <c r="R2473" s="8">
        <v>0</v>
      </c>
      <c r="S2473" s="8">
        <v>2</v>
      </c>
      <c r="T2473" s="8">
        <v>2</v>
      </c>
      <c r="U2473" s="8">
        <v>0</v>
      </c>
      <c r="V2473" s="8">
        <v>2</v>
      </c>
      <c r="W2473" s="8">
        <v>2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2</v>
      </c>
      <c r="AI2473" s="8">
        <v>0</v>
      </c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11" t="s">
        <v>259</v>
      </c>
    </row>
    <row r="2474" spans="1:46" ht="15.1" customHeight="1">
      <c r="A2474" s="8"/>
      <c r="B2474" s="9"/>
      <c r="C2474" s="8"/>
      <c r="D2474" s="9"/>
      <c r="E2474" s="8">
        <v>4.5</v>
      </c>
      <c r="F2474" s="8">
        <v>3</v>
      </c>
      <c r="G2474" s="8">
        <v>13.5</v>
      </c>
      <c r="H2474" s="8">
        <v>5</v>
      </c>
      <c r="I2474" s="8">
        <v>11</v>
      </c>
      <c r="J2474" s="8">
        <v>7</v>
      </c>
      <c r="K2474" s="8">
        <v>6.5</v>
      </c>
      <c r="L2474" s="8">
        <v>7</v>
      </c>
      <c r="M2474" s="8">
        <v>5</v>
      </c>
      <c r="N2474" s="8">
        <v>16.5</v>
      </c>
      <c r="O2474" s="8">
        <v>7</v>
      </c>
      <c r="P2474" s="8">
        <v>7</v>
      </c>
      <c r="Q2474" s="8">
        <v>0</v>
      </c>
      <c r="R2474" s="8">
        <v>0</v>
      </c>
      <c r="S2474" s="8">
        <v>7</v>
      </c>
      <c r="T2474" s="8">
        <v>3</v>
      </c>
      <c r="U2474" s="8">
        <v>12.5</v>
      </c>
      <c r="V2474" s="8">
        <v>6.5</v>
      </c>
      <c r="W2474" s="8">
        <v>8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3</v>
      </c>
      <c r="AI2474" s="8">
        <v>0</v>
      </c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11" t="s">
        <v>259</v>
      </c>
    </row>
    <row r="2475" spans="1:46" ht="15.1" customHeight="1">
      <c r="A2475" s="8">
        <v>824</v>
      </c>
      <c r="B2475" s="9" t="s">
        <v>1884</v>
      </c>
      <c r="C2475" s="8" t="s">
        <v>1885</v>
      </c>
      <c r="D2475" s="9" t="s">
        <v>451</v>
      </c>
      <c r="E2475" s="8" t="s">
        <v>54</v>
      </c>
      <c r="F2475" s="8" t="s">
        <v>54</v>
      </c>
      <c r="G2475" s="10" t="s">
        <v>67</v>
      </c>
      <c r="H2475" s="8" t="s">
        <v>54</v>
      </c>
      <c r="I2475" s="8" t="s">
        <v>54</v>
      </c>
      <c r="J2475" s="8" t="s">
        <v>54</v>
      </c>
      <c r="K2475" s="8" t="s">
        <v>54</v>
      </c>
      <c r="L2475" s="12" t="s">
        <v>55</v>
      </c>
      <c r="M2475" s="12" t="s">
        <v>55</v>
      </c>
      <c r="N2475" s="10" t="s">
        <v>67</v>
      </c>
      <c r="O2475" s="8" t="s">
        <v>54</v>
      </c>
      <c r="P2475" s="8" t="s">
        <v>54</v>
      </c>
      <c r="Q2475" s="8" t="s">
        <v>54</v>
      </c>
      <c r="R2475" s="8" t="s">
        <v>54</v>
      </c>
      <c r="S2475" s="8" t="s">
        <v>54</v>
      </c>
      <c r="T2475" s="8" t="s">
        <v>54</v>
      </c>
      <c r="U2475" s="10" t="s">
        <v>67</v>
      </c>
      <c r="V2475" s="8" t="s">
        <v>54</v>
      </c>
      <c r="W2475" s="8" t="s">
        <v>54</v>
      </c>
      <c r="X2475" s="8" t="s">
        <v>54</v>
      </c>
      <c r="Y2475" s="8" t="s">
        <v>54</v>
      </c>
      <c r="Z2475" s="8" t="s">
        <v>54</v>
      </c>
      <c r="AA2475" s="8" t="s">
        <v>54</v>
      </c>
      <c r="AB2475" s="10" t="s">
        <v>67</v>
      </c>
      <c r="AC2475" s="8" t="s">
        <v>54</v>
      </c>
      <c r="AD2475" s="8" t="s">
        <v>54</v>
      </c>
      <c r="AE2475" s="8" t="s">
        <v>54</v>
      </c>
      <c r="AF2475" s="8" t="s">
        <v>54</v>
      </c>
      <c r="AG2475" s="12" t="s">
        <v>55</v>
      </c>
      <c r="AH2475" s="8" t="s">
        <v>54</v>
      </c>
      <c r="AI2475" s="10" t="s">
        <v>67</v>
      </c>
      <c r="AJ2475" s="8">
        <f>COUNTIF($E$2475:$AI$2475,"P")</f>
        <v>23</v>
      </c>
      <c r="AK2475" s="8">
        <f>COUNTIF($E$2475:$AI$2475,"A")</f>
        <v>3</v>
      </c>
      <c r="AL2475" s="8">
        <f>SUM($E$2476:$AI$2476)</f>
        <v>26</v>
      </c>
      <c r="AM2475" s="8">
        <f>SUM($E$2477:$AI$2477)</f>
        <v>113.5</v>
      </c>
      <c r="AN2475" s="8">
        <f>AL2475+AM2475</f>
        <v>139.5</v>
      </c>
      <c r="AO2475" s="8">
        <f>COUNTIF($E$2475:$AI$2475,"CL")</f>
        <v>0</v>
      </c>
      <c r="AP2475" s="8">
        <f>COUNTIF($E$2475:$AI$2475,"SL")</f>
        <v>0</v>
      </c>
      <c r="AQ2475" s="8">
        <f>COUNTIF($E$2475:$AI$2475,"EL")</f>
        <v>0</v>
      </c>
      <c r="AR2475" s="8">
        <f>COUNTIF($E$2475:$AI$2475,"H")</f>
        <v>0</v>
      </c>
      <c r="AS2475" s="8"/>
      <c r="AT2475" s="11" t="s">
        <v>259</v>
      </c>
    </row>
    <row r="2476" spans="1:46" ht="15.1" customHeight="1">
      <c r="A2476" s="8"/>
      <c r="B2476" s="9"/>
      <c r="C2476" s="8"/>
      <c r="D2476" s="9"/>
      <c r="E2476" s="8">
        <v>2</v>
      </c>
      <c r="F2476" s="8">
        <v>2</v>
      </c>
      <c r="G2476" s="8">
        <v>0</v>
      </c>
      <c r="H2476" s="8">
        <v>2</v>
      </c>
      <c r="I2476" s="8">
        <v>2</v>
      </c>
      <c r="J2476" s="8">
        <v>2</v>
      </c>
      <c r="K2476" s="8">
        <v>0</v>
      </c>
      <c r="L2476" s="8">
        <v>0</v>
      </c>
      <c r="M2476" s="8">
        <v>0</v>
      </c>
      <c r="N2476" s="8">
        <v>0</v>
      </c>
      <c r="O2476" s="8">
        <v>2</v>
      </c>
      <c r="P2476" s="8">
        <v>2</v>
      </c>
      <c r="Q2476" s="8">
        <v>2</v>
      </c>
      <c r="R2476" s="8">
        <v>2</v>
      </c>
      <c r="S2476" s="8">
        <v>2</v>
      </c>
      <c r="T2476" s="8">
        <v>2</v>
      </c>
      <c r="U2476" s="8">
        <v>0</v>
      </c>
      <c r="V2476" s="8">
        <v>0</v>
      </c>
      <c r="W2476" s="8">
        <v>2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  <c r="AH2476" s="8">
        <v>2</v>
      </c>
      <c r="AI2476" s="8">
        <v>0</v>
      </c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11" t="s">
        <v>259</v>
      </c>
    </row>
    <row r="2477" spans="1:46" ht="15.1" customHeight="1">
      <c r="A2477" s="8"/>
      <c r="B2477" s="9"/>
      <c r="C2477" s="8"/>
      <c r="D2477" s="9"/>
      <c r="E2477" s="8">
        <v>5</v>
      </c>
      <c r="F2477" s="8">
        <v>3</v>
      </c>
      <c r="G2477" s="8">
        <v>14</v>
      </c>
      <c r="H2477" s="8">
        <v>5</v>
      </c>
      <c r="I2477" s="8">
        <v>7</v>
      </c>
      <c r="J2477" s="8">
        <v>11</v>
      </c>
      <c r="K2477" s="8">
        <v>0</v>
      </c>
      <c r="L2477" s="8">
        <v>0</v>
      </c>
      <c r="M2477" s="8">
        <v>0</v>
      </c>
      <c r="N2477" s="8">
        <v>17</v>
      </c>
      <c r="O2477" s="8">
        <v>7</v>
      </c>
      <c r="P2477" s="8">
        <v>7</v>
      </c>
      <c r="Q2477" s="8">
        <v>5</v>
      </c>
      <c r="R2477" s="8">
        <v>7</v>
      </c>
      <c r="S2477" s="8">
        <v>7</v>
      </c>
      <c r="T2477" s="8">
        <v>3</v>
      </c>
      <c r="U2477" s="8">
        <v>12.5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3</v>
      </c>
      <c r="AI2477" s="8">
        <v>0</v>
      </c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11" t="s">
        <v>259</v>
      </c>
    </row>
    <row r="2478" spans="1:46" ht="15.1" customHeight="1">
      <c r="A2478" s="8">
        <v>825</v>
      </c>
      <c r="B2478" s="9" t="s">
        <v>1886</v>
      </c>
      <c r="C2478" s="8" t="s">
        <v>1887</v>
      </c>
      <c r="D2478" s="9" t="s">
        <v>451</v>
      </c>
      <c r="E2478" s="8" t="s">
        <v>54</v>
      </c>
      <c r="F2478" s="8" t="s">
        <v>54</v>
      </c>
      <c r="G2478" s="10" t="s">
        <v>67</v>
      </c>
      <c r="H2478" s="8" t="s">
        <v>54</v>
      </c>
      <c r="I2478" s="8" t="s">
        <v>54</v>
      </c>
      <c r="J2478" s="8" t="s">
        <v>54</v>
      </c>
      <c r="K2478" s="8" t="s">
        <v>54</v>
      </c>
      <c r="L2478" s="8" t="s">
        <v>54</v>
      </c>
      <c r="M2478" s="8" t="s">
        <v>54</v>
      </c>
      <c r="N2478" s="10" t="s">
        <v>67</v>
      </c>
      <c r="O2478" s="8" t="s">
        <v>54</v>
      </c>
      <c r="P2478" s="8" t="s">
        <v>54</v>
      </c>
      <c r="Q2478" s="8" t="s">
        <v>54</v>
      </c>
      <c r="R2478" s="8" t="s">
        <v>54</v>
      </c>
      <c r="S2478" s="8" t="s">
        <v>54</v>
      </c>
      <c r="T2478" s="8" t="s">
        <v>54</v>
      </c>
      <c r="U2478" s="10" t="s">
        <v>67</v>
      </c>
      <c r="V2478" s="8" t="s">
        <v>54</v>
      </c>
      <c r="W2478" s="8" t="s">
        <v>54</v>
      </c>
      <c r="X2478" s="8" t="s">
        <v>54</v>
      </c>
      <c r="Y2478" s="8" t="s">
        <v>54</v>
      </c>
      <c r="Z2478" s="8" t="s">
        <v>54</v>
      </c>
      <c r="AA2478" s="8" t="s">
        <v>54</v>
      </c>
      <c r="AB2478" s="10" t="s">
        <v>67</v>
      </c>
      <c r="AC2478" s="8" t="s">
        <v>54</v>
      </c>
      <c r="AD2478" s="8" t="s">
        <v>54</v>
      </c>
      <c r="AE2478" s="8" t="s">
        <v>54</v>
      </c>
      <c r="AF2478" s="8" t="s">
        <v>54</v>
      </c>
      <c r="AG2478" s="8" t="s">
        <v>54</v>
      </c>
      <c r="AH2478" s="8" t="s">
        <v>54</v>
      </c>
      <c r="AI2478" s="10" t="s">
        <v>67</v>
      </c>
      <c r="AJ2478" s="8">
        <f>COUNTIF($E$2478:$AI$2478,"P")</f>
        <v>26</v>
      </c>
      <c r="AK2478" s="8">
        <f>COUNTIF($E$2478:$AI$2478,"A")</f>
        <v>0</v>
      </c>
      <c r="AL2478" s="8">
        <f>SUM($E$2479:$AI$2479)</f>
        <v>34</v>
      </c>
      <c r="AM2478" s="8">
        <f>SUM($E$2480:$AI$2480)</f>
        <v>128.5</v>
      </c>
      <c r="AN2478" s="8">
        <f>AL2478+AM2478</f>
        <v>162.5</v>
      </c>
      <c r="AO2478" s="8">
        <f>COUNTIF($E$2478:$AI$2478,"CL")</f>
        <v>0</v>
      </c>
      <c r="AP2478" s="8">
        <f>COUNTIF($E$2478:$AI$2478,"SL")</f>
        <v>0</v>
      </c>
      <c r="AQ2478" s="8">
        <f>COUNTIF($E$2478:$AI$2478,"EL")</f>
        <v>0</v>
      </c>
      <c r="AR2478" s="8">
        <f>COUNTIF($E$2478:$AI$2478,"H")</f>
        <v>0</v>
      </c>
      <c r="AS2478" s="8"/>
      <c r="AT2478" s="11" t="s">
        <v>259</v>
      </c>
    </row>
    <row r="2479" spans="1:46" ht="15.1" customHeight="1">
      <c r="A2479" s="8"/>
      <c r="B2479" s="9"/>
      <c r="C2479" s="8"/>
      <c r="D2479" s="9"/>
      <c r="E2479" s="8">
        <v>2</v>
      </c>
      <c r="F2479" s="8">
        <v>2</v>
      </c>
      <c r="G2479" s="8">
        <v>0</v>
      </c>
      <c r="H2479" s="8">
        <v>2</v>
      </c>
      <c r="I2479" s="8">
        <v>2</v>
      </c>
      <c r="J2479" s="8">
        <v>2</v>
      </c>
      <c r="K2479" s="8">
        <v>2</v>
      </c>
      <c r="L2479" s="8">
        <v>2</v>
      </c>
      <c r="M2479" s="8">
        <v>2</v>
      </c>
      <c r="N2479" s="8">
        <v>0</v>
      </c>
      <c r="O2479" s="8">
        <v>2</v>
      </c>
      <c r="P2479" s="8">
        <v>2</v>
      </c>
      <c r="Q2479" s="8">
        <v>2</v>
      </c>
      <c r="R2479" s="8">
        <v>2</v>
      </c>
      <c r="S2479" s="8">
        <v>2</v>
      </c>
      <c r="T2479" s="8">
        <v>2</v>
      </c>
      <c r="U2479" s="8">
        <v>0</v>
      </c>
      <c r="V2479" s="8">
        <v>2</v>
      </c>
      <c r="W2479" s="8">
        <v>2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  <c r="AH2479" s="8">
        <v>2</v>
      </c>
      <c r="AI2479" s="8">
        <v>0</v>
      </c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11" t="s">
        <v>259</v>
      </c>
    </row>
    <row r="2480" spans="1:46" ht="15.1" customHeight="1">
      <c r="A2480" s="8"/>
      <c r="B2480" s="9"/>
      <c r="C2480" s="8"/>
      <c r="D2480" s="9"/>
      <c r="E2480" s="8">
        <v>5</v>
      </c>
      <c r="F2480" s="8">
        <v>3</v>
      </c>
      <c r="G2480" s="8">
        <v>14</v>
      </c>
      <c r="H2480" s="8">
        <v>5</v>
      </c>
      <c r="I2480" s="8">
        <v>7</v>
      </c>
      <c r="J2480" s="8">
        <v>7</v>
      </c>
      <c r="K2480" s="8">
        <v>7</v>
      </c>
      <c r="L2480" s="8">
        <v>7</v>
      </c>
      <c r="M2480" s="8">
        <v>5</v>
      </c>
      <c r="N2480" s="8">
        <v>16.5</v>
      </c>
      <c r="O2480" s="8">
        <v>7</v>
      </c>
      <c r="P2480" s="8">
        <v>7</v>
      </c>
      <c r="Q2480" s="8">
        <v>5</v>
      </c>
      <c r="R2480" s="8">
        <v>7</v>
      </c>
      <c r="S2480" s="8">
        <v>0</v>
      </c>
      <c r="T2480" s="8">
        <v>3</v>
      </c>
      <c r="U2480" s="8">
        <v>13</v>
      </c>
      <c r="V2480" s="8">
        <v>7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3</v>
      </c>
      <c r="AI2480" s="8">
        <v>0</v>
      </c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11" t="s">
        <v>259</v>
      </c>
    </row>
    <row r="2481" spans="1:46" ht="15.1" customHeight="1">
      <c r="A2481" s="8">
        <v>826</v>
      </c>
      <c r="B2481" s="9" t="s">
        <v>1888</v>
      </c>
      <c r="C2481" s="8" t="s">
        <v>1889</v>
      </c>
      <c r="D2481" s="9" t="s">
        <v>451</v>
      </c>
      <c r="E2481" s="8" t="s">
        <v>54</v>
      </c>
      <c r="F2481" s="8" t="s">
        <v>54</v>
      </c>
      <c r="G2481" s="10" t="s">
        <v>67</v>
      </c>
      <c r="H2481" s="8" t="s">
        <v>54</v>
      </c>
      <c r="I2481" s="8" t="s">
        <v>54</v>
      </c>
      <c r="J2481" s="8" t="s">
        <v>54</v>
      </c>
      <c r="K2481" s="8" t="s">
        <v>54</v>
      </c>
      <c r="L2481" s="8" t="s">
        <v>54</v>
      </c>
      <c r="M2481" s="8" t="s">
        <v>54</v>
      </c>
      <c r="N2481" s="10" t="s">
        <v>67</v>
      </c>
      <c r="O2481" s="8" t="s">
        <v>54</v>
      </c>
      <c r="P2481" s="8" t="s">
        <v>54</v>
      </c>
      <c r="Q2481" s="12" t="s">
        <v>55</v>
      </c>
      <c r="R2481" s="12" t="s">
        <v>55</v>
      </c>
      <c r="S2481" s="8" t="s">
        <v>54</v>
      </c>
      <c r="T2481" s="8" t="s">
        <v>54</v>
      </c>
      <c r="U2481" s="10" t="s">
        <v>67</v>
      </c>
      <c r="V2481" s="8" t="s">
        <v>54</v>
      </c>
      <c r="W2481" s="12" t="s">
        <v>55</v>
      </c>
      <c r="X2481" s="8" t="s">
        <v>54</v>
      </c>
      <c r="Y2481" s="8" t="s">
        <v>54</v>
      </c>
      <c r="Z2481" s="8" t="s">
        <v>54</v>
      </c>
      <c r="AA2481" s="8" t="s">
        <v>54</v>
      </c>
      <c r="AB2481" s="10" t="s">
        <v>67</v>
      </c>
      <c r="AC2481" s="8" t="s">
        <v>54</v>
      </c>
      <c r="AD2481" s="8" t="s">
        <v>54</v>
      </c>
      <c r="AE2481" s="8" t="s">
        <v>54</v>
      </c>
      <c r="AF2481" s="8" t="s">
        <v>54</v>
      </c>
      <c r="AG2481" s="8" t="s">
        <v>54</v>
      </c>
      <c r="AH2481" s="8" t="s">
        <v>54</v>
      </c>
      <c r="AI2481" s="10" t="s">
        <v>67</v>
      </c>
      <c r="AJ2481" s="8">
        <f>COUNTIF($E$2481:$AI$2481,"P")</f>
        <v>23</v>
      </c>
      <c r="AK2481" s="8">
        <f>COUNTIF($E$2481:$AI$2481,"A")</f>
        <v>3</v>
      </c>
      <c r="AL2481" s="8">
        <f>SUM($E$2482:$AI$2482)</f>
        <v>28</v>
      </c>
      <c r="AM2481" s="8">
        <f>SUM($E$2483:$AI$2483)</f>
        <v>117</v>
      </c>
      <c r="AN2481" s="8">
        <f>AL2481+AM2481</f>
        <v>145</v>
      </c>
      <c r="AO2481" s="8">
        <f>COUNTIF($E$2481:$AI$2481,"CL")</f>
        <v>0</v>
      </c>
      <c r="AP2481" s="8">
        <f>COUNTIF($E$2481:$AI$2481,"SL")</f>
        <v>0</v>
      </c>
      <c r="AQ2481" s="8">
        <f>COUNTIF($E$2481:$AI$2481,"EL")</f>
        <v>0</v>
      </c>
      <c r="AR2481" s="8">
        <f>COUNTIF($E$2481:$AI$2481,"H")</f>
        <v>0</v>
      </c>
      <c r="AS2481" s="8"/>
      <c r="AT2481" s="11" t="s">
        <v>259</v>
      </c>
    </row>
    <row r="2482" spans="1:46" ht="15.1" customHeight="1">
      <c r="A2482" s="8"/>
      <c r="B2482" s="9"/>
      <c r="C2482" s="8"/>
      <c r="D2482" s="9"/>
      <c r="E2482" s="8">
        <v>2</v>
      </c>
      <c r="F2482" s="8">
        <v>2</v>
      </c>
      <c r="G2482" s="8">
        <v>0</v>
      </c>
      <c r="H2482" s="8">
        <v>2</v>
      </c>
      <c r="I2482" s="8">
        <v>2</v>
      </c>
      <c r="J2482" s="8">
        <v>0</v>
      </c>
      <c r="K2482" s="8">
        <v>2</v>
      </c>
      <c r="L2482" s="8">
        <v>2</v>
      </c>
      <c r="M2482" s="8">
        <v>2</v>
      </c>
      <c r="N2482" s="8">
        <v>0</v>
      </c>
      <c r="O2482" s="8">
        <v>2</v>
      </c>
      <c r="P2482" s="8">
        <v>2</v>
      </c>
      <c r="Q2482" s="8">
        <v>0</v>
      </c>
      <c r="R2482" s="8">
        <v>0</v>
      </c>
      <c r="S2482" s="8">
        <v>2</v>
      </c>
      <c r="T2482" s="8">
        <v>2</v>
      </c>
      <c r="U2482" s="8">
        <v>0</v>
      </c>
      <c r="V2482" s="8">
        <v>2</v>
      </c>
      <c r="W2482" s="8">
        <v>0</v>
      </c>
      <c r="X2482" s="8">
        <v>2</v>
      </c>
      <c r="Y2482" s="8">
        <v>0</v>
      </c>
      <c r="Z2482" s="8">
        <v>0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2</v>
      </c>
      <c r="AI2482" s="8">
        <v>0</v>
      </c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11" t="s">
        <v>259</v>
      </c>
    </row>
    <row r="2483" spans="1:46" ht="15.1" customHeight="1">
      <c r="A2483" s="8"/>
      <c r="B2483" s="9"/>
      <c r="C2483" s="8"/>
      <c r="D2483" s="9"/>
      <c r="E2483" s="8">
        <v>4.5</v>
      </c>
      <c r="F2483" s="8">
        <v>3</v>
      </c>
      <c r="G2483" s="8">
        <v>13.5</v>
      </c>
      <c r="H2483" s="8">
        <v>5</v>
      </c>
      <c r="I2483" s="8">
        <v>7</v>
      </c>
      <c r="J2483" s="8">
        <v>0</v>
      </c>
      <c r="K2483" s="8">
        <v>7</v>
      </c>
      <c r="L2483" s="8">
        <v>7</v>
      </c>
      <c r="M2483" s="8">
        <v>5</v>
      </c>
      <c r="N2483" s="8">
        <v>16.5</v>
      </c>
      <c r="O2483" s="8">
        <v>6.5</v>
      </c>
      <c r="P2483" s="8">
        <v>7</v>
      </c>
      <c r="Q2483" s="8">
        <v>0</v>
      </c>
      <c r="R2483" s="8">
        <v>0</v>
      </c>
      <c r="S2483" s="8">
        <v>7</v>
      </c>
      <c r="T2483" s="8">
        <v>2.5</v>
      </c>
      <c r="U2483" s="8">
        <v>12.5</v>
      </c>
      <c r="V2483" s="8">
        <v>7</v>
      </c>
      <c r="W2483" s="8">
        <v>0</v>
      </c>
      <c r="X2483" s="8">
        <v>3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3</v>
      </c>
      <c r="AI2483" s="8">
        <v>0</v>
      </c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11" t="s">
        <v>259</v>
      </c>
    </row>
    <row r="2484" spans="1:46" ht="15.1" customHeight="1">
      <c r="A2484" s="8">
        <v>827</v>
      </c>
      <c r="B2484" s="9" t="s">
        <v>1890</v>
      </c>
      <c r="C2484" s="8" t="s">
        <v>1891</v>
      </c>
      <c r="D2484" s="9" t="s">
        <v>451</v>
      </c>
      <c r="E2484" s="8" t="s">
        <v>54</v>
      </c>
      <c r="F2484" s="8" t="s">
        <v>54</v>
      </c>
      <c r="G2484" s="10" t="s">
        <v>67</v>
      </c>
      <c r="H2484" s="8" t="s">
        <v>54</v>
      </c>
      <c r="I2484" s="8" t="s">
        <v>54</v>
      </c>
      <c r="J2484" s="8" t="s">
        <v>54</v>
      </c>
      <c r="K2484" s="8" t="s">
        <v>54</v>
      </c>
      <c r="L2484" s="8" t="s">
        <v>54</v>
      </c>
      <c r="M2484" s="8" t="s">
        <v>54</v>
      </c>
      <c r="N2484" s="10" t="s">
        <v>67</v>
      </c>
      <c r="O2484" s="8" t="s">
        <v>54</v>
      </c>
      <c r="P2484" s="8" t="s">
        <v>54</v>
      </c>
      <c r="Q2484" s="8" t="s">
        <v>54</v>
      </c>
      <c r="R2484" s="8" t="s">
        <v>54</v>
      </c>
      <c r="S2484" s="8" t="s">
        <v>54</v>
      </c>
      <c r="T2484" s="8" t="s">
        <v>54</v>
      </c>
      <c r="U2484" s="10" t="s">
        <v>67</v>
      </c>
      <c r="V2484" s="8" t="s">
        <v>54</v>
      </c>
      <c r="W2484" s="8" t="s">
        <v>54</v>
      </c>
      <c r="X2484" s="12" t="s">
        <v>55</v>
      </c>
      <c r="Y2484" s="12" t="s">
        <v>55</v>
      </c>
      <c r="Z2484" s="12" t="s">
        <v>55</v>
      </c>
      <c r="AA2484" s="8" t="s">
        <v>54</v>
      </c>
      <c r="AB2484" s="10" t="s">
        <v>67</v>
      </c>
      <c r="AC2484" s="8" t="s">
        <v>54</v>
      </c>
      <c r="AD2484" s="8" t="s">
        <v>54</v>
      </c>
      <c r="AE2484" s="8" t="s">
        <v>54</v>
      </c>
      <c r="AF2484" s="8" t="s">
        <v>54</v>
      </c>
      <c r="AG2484" s="8" t="s">
        <v>54</v>
      </c>
      <c r="AH2484" s="8" t="s">
        <v>54</v>
      </c>
      <c r="AI2484" s="10" t="s">
        <v>67</v>
      </c>
      <c r="AJ2484" s="8">
        <f>COUNTIF($E$2484:$AI$2484,"P")</f>
        <v>23</v>
      </c>
      <c r="AK2484" s="8">
        <f>COUNTIF($E$2484:$AI$2484,"A")</f>
        <v>3</v>
      </c>
      <c r="AL2484" s="8">
        <f>SUM($E$2485:$AI$2485)</f>
        <v>34</v>
      </c>
      <c r="AM2484" s="8">
        <f>SUM($E$2486:$AI$2486)</f>
        <v>136</v>
      </c>
      <c r="AN2484" s="8">
        <f>AL2484+AM2484</f>
        <v>170</v>
      </c>
      <c r="AO2484" s="8">
        <f>COUNTIF($E$2484:$AI$2484,"CL")</f>
        <v>0</v>
      </c>
      <c r="AP2484" s="8">
        <f>COUNTIF($E$2484:$AI$2484,"SL")</f>
        <v>0</v>
      </c>
      <c r="AQ2484" s="8">
        <f>COUNTIF($E$2484:$AI$2484,"EL")</f>
        <v>0</v>
      </c>
      <c r="AR2484" s="8">
        <f>COUNTIF($E$2484:$AI$2484,"H")</f>
        <v>0</v>
      </c>
      <c r="AS2484" s="8"/>
      <c r="AT2484" s="11" t="s">
        <v>259</v>
      </c>
    </row>
    <row r="2485" spans="1:46" ht="15.1" customHeight="1">
      <c r="A2485" s="8"/>
      <c r="B2485" s="9"/>
      <c r="C2485" s="8"/>
      <c r="D2485" s="9"/>
      <c r="E2485" s="8">
        <v>2</v>
      </c>
      <c r="F2485" s="8">
        <v>2</v>
      </c>
      <c r="G2485" s="8">
        <v>0</v>
      </c>
      <c r="H2485" s="8">
        <v>2</v>
      </c>
      <c r="I2485" s="8">
        <v>2</v>
      </c>
      <c r="J2485" s="8">
        <v>2</v>
      </c>
      <c r="K2485" s="8">
        <v>2</v>
      </c>
      <c r="L2485" s="8">
        <v>2</v>
      </c>
      <c r="M2485" s="8">
        <v>2</v>
      </c>
      <c r="N2485" s="8">
        <v>0</v>
      </c>
      <c r="O2485" s="8">
        <v>2</v>
      </c>
      <c r="P2485" s="8">
        <v>2</v>
      </c>
      <c r="Q2485" s="8">
        <v>2</v>
      </c>
      <c r="R2485" s="8">
        <v>2</v>
      </c>
      <c r="S2485" s="8">
        <v>2</v>
      </c>
      <c r="T2485" s="8">
        <v>2</v>
      </c>
      <c r="U2485" s="8">
        <v>0</v>
      </c>
      <c r="V2485" s="8">
        <v>2</v>
      </c>
      <c r="W2485" s="8">
        <v>2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2</v>
      </c>
      <c r="AI2485" s="8">
        <v>0</v>
      </c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11" t="s">
        <v>259</v>
      </c>
    </row>
    <row r="2486" spans="1:46" ht="15.1" customHeight="1">
      <c r="A2486" s="8"/>
      <c r="B2486" s="9"/>
      <c r="C2486" s="8"/>
      <c r="D2486" s="9"/>
      <c r="E2486" s="8">
        <v>5</v>
      </c>
      <c r="F2486" s="8">
        <v>3</v>
      </c>
      <c r="G2486" s="8">
        <v>14</v>
      </c>
      <c r="H2486" s="8">
        <v>5</v>
      </c>
      <c r="I2486" s="8">
        <v>7</v>
      </c>
      <c r="J2486" s="8">
        <v>7</v>
      </c>
      <c r="K2486" s="8">
        <v>7</v>
      </c>
      <c r="L2486" s="8">
        <v>7</v>
      </c>
      <c r="M2486" s="8">
        <v>5</v>
      </c>
      <c r="N2486" s="8">
        <v>17</v>
      </c>
      <c r="O2486" s="8">
        <v>7</v>
      </c>
      <c r="P2486" s="8">
        <v>7</v>
      </c>
      <c r="Q2486" s="8">
        <v>5</v>
      </c>
      <c r="R2486" s="8">
        <v>7</v>
      </c>
      <c r="S2486" s="8">
        <v>7</v>
      </c>
      <c r="T2486" s="8">
        <v>3</v>
      </c>
      <c r="U2486" s="8">
        <v>13</v>
      </c>
      <c r="V2486" s="8">
        <v>7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3</v>
      </c>
      <c r="AI2486" s="8">
        <v>0</v>
      </c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11" t="s">
        <v>259</v>
      </c>
    </row>
    <row r="2487" spans="1:46" ht="15.1" customHeight="1">
      <c r="A2487" s="8">
        <v>828</v>
      </c>
      <c r="B2487" s="9" t="s">
        <v>1892</v>
      </c>
      <c r="C2487" s="8" t="s">
        <v>1893</v>
      </c>
      <c r="D2487" s="9" t="s">
        <v>451</v>
      </c>
      <c r="E2487" s="8" t="s">
        <v>54</v>
      </c>
      <c r="F2487" s="8" t="s">
        <v>54</v>
      </c>
      <c r="G2487" s="10" t="s">
        <v>67</v>
      </c>
      <c r="H2487" s="8" t="s">
        <v>54</v>
      </c>
      <c r="I2487" s="8" t="s">
        <v>54</v>
      </c>
      <c r="J2487" s="8" t="s">
        <v>54</v>
      </c>
      <c r="K2487" s="8" t="s">
        <v>54</v>
      </c>
      <c r="L2487" s="8" t="s">
        <v>54</v>
      </c>
      <c r="M2487" s="8" t="s">
        <v>54</v>
      </c>
      <c r="N2487" s="10" t="s">
        <v>67</v>
      </c>
      <c r="O2487" s="8" t="s">
        <v>54</v>
      </c>
      <c r="P2487" s="8" t="s">
        <v>54</v>
      </c>
      <c r="Q2487" s="8" t="s">
        <v>54</v>
      </c>
      <c r="R2487" s="8" t="s">
        <v>54</v>
      </c>
      <c r="S2487" s="8" t="s">
        <v>54</v>
      </c>
      <c r="T2487" s="8" t="s">
        <v>54</v>
      </c>
      <c r="U2487" s="10" t="s">
        <v>67</v>
      </c>
      <c r="V2487" s="8" t="s">
        <v>54</v>
      </c>
      <c r="W2487" s="8" t="s">
        <v>54</v>
      </c>
      <c r="X2487" s="8" t="s">
        <v>54</v>
      </c>
      <c r="Y2487" s="8" t="s">
        <v>54</v>
      </c>
      <c r="Z2487" s="8" t="s">
        <v>54</v>
      </c>
      <c r="AA2487" s="8" t="s">
        <v>54</v>
      </c>
      <c r="AB2487" s="10" t="s">
        <v>67</v>
      </c>
      <c r="AC2487" s="8" t="s">
        <v>54</v>
      </c>
      <c r="AD2487" s="8" t="s">
        <v>54</v>
      </c>
      <c r="AE2487" s="8" t="s">
        <v>54</v>
      </c>
      <c r="AF2487" s="8" t="s">
        <v>54</v>
      </c>
      <c r="AG2487" s="8" t="s">
        <v>54</v>
      </c>
      <c r="AH2487" s="8" t="s">
        <v>54</v>
      </c>
      <c r="AI2487" s="10" t="s">
        <v>67</v>
      </c>
      <c r="AJ2487" s="8">
        <f>COUNTIF($E$2487:$AI$2487,"P")</f>
        <v>26</v>
      </c>
      <c r="AK2487" s="8">
        <f>COUNTIF($E$2487:$AI$2487,"A")</f>
        <v>0</v>
      </c>
      <c r="AL2487" s="8">
        <f>SUM($E$2488:$AI$2488)</f>
        <v>36</v>
      </c>
      <c r="AM2487" s="8">
        <f>SUM($E$2489:$AI$2489)</f>
        <v>138</v>
      </c>
      <c r="AN2487" s="8">
        <f>AL2487+AM2487</f>
        <v>174</v>
      </c>
      <c r="AO2487" s="8">
        <f>COUNTIF($E$2487:$AI$2487,"CL")</f>
        <v>0</v>
      </c>
      <c r="AP2487" s="8">
        <f>COUNTIF($E$2487:$AI$2487,"SL")</f>
        <v>0</v>
      </c>
      <c r="AQ2487" s="8">
        <f>COUNTIF($E$2487:$AI$2487,"EL")</f>
        <v>0</v>
      </c>
      <c r="AR2487" s="8">
        <f>COUNTIF($E$2487:$AI$2487,"H")</f>
        <v>0</v>
      </c>
      <c r="AS2487" s="8"/>
      <c r="AT2487" s="11" t="s">
        <v>259</v>
      </c>
    </row>
    <row r="2488" spans="1:46" ht="15.1" customHeight="1">
      <c r="A2488" s="8"/>
      <c r="B2488" s="9"/>
      <c r="C2488" s="8"/>
      <c r="D2488" s="9"/>
      <c r="E2488" s="8">
        <v>2</v>
      </c>
      <c r="F2488" s="8">
        <v>2</v>
      </c>
      <c r="G2488" s="8">
        <v>0</v>
      </c>
      <c r="H2488" s="8">
        <v>2</v>
      </c>
      <c r="I2488" s="8">
        <v>2</v>
      </c>
      <c r="J2488" s="8">
        <v>2</v>
      </c>
      <c r="K2488" s="8">
        <v>2</v>
      </c>
      <c r="L2488" s="8">
        <v>2</v>
      </c>
      <c r="M2488" s="8">
        <v>2</v>
      </c>
      <c r="N2488" s="8">
        <v>0</v>
      </c>
      <c r="O2488" s="8">
        <v>2</v>
      </c>
      <c r="P2488" s="8">
        <v>2</v>
      </c>
      <c r="Q2488" s="8">
        <v>2</v>
      </c>
      <c r="R2488" s="8">
        <v>2</v>
      </c>
      <c r="S2488" s="8">
        <v>2</v>
      </c>
      <c r="T2488" s="8">
        <v>2</v>
      </c>
      <c r="U2488" s="8">
        <v>0</v>
      </c>
      <c r="V2488" s="8">
        <v>2</v>
      </c>
      <c r="W2488" s="8">
        <v>2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2</v>
      </c>
      <c r="AE2488" s="8">
        <v>0</v>
      </c>
      <c r="AF2488" s="8">
        <v>0</v>
      </c>
      <c r="AG2488" s="8">
        <v>0</v>
      </c>
      <c r="AH2488" s="8">
        <v>2</v>
      </c>
      <c r="AI2488" s="8">
        <v>0</v>
      </c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11" t="s">
        <v>259</v>
      </c>
    </row>
    <row r="2489" spans="1:46" ht="15.1" customHeight="1">
      <c r="A2489" s="8"/>
      <c r="B2489" s="9"/>
      <c r="C2489" s="8"/>
      <c r="D2489" s="9"/>
      <c r="E2489" s="8">
        <v>5</v>
      </c>
      <c r="F2489" s="8">
        <v>3</v>
      </c>
      <c r="G2489" s="8">
        <v>14</v>
      </c>
      <c r="H2489" s="8">
        <v>5</v>
      </c>
      <c r="I2489" s="8">
        <v>7</v>
      </c>
      <c r="J2489" s="8">
        <v>7</v>
      </c>
      <c r="K2489" s="8">
        <v>7</v>
      </c>
      <c r="L2489" s="8">
        <v>7</v>
      </c>
      <c r="M2489" s="8">
        <v>5</v>
      </c>
      <c r="N2489" s="8">
        <v>16.5</v>
      </c>
      <c r="O2489" s="8">
        <v>7</v>
      </c>
      <c r="P2489" s="8">
        <v>9.5</v>
      </c>
      <c r="Q2489" s="8">
        <v>3</v>
      </c>
      <c r="R2489" s="8">
        <v>7</v>
      </c>
      <c r="S2489" s="8">
        <v>7</v>
      </c>
      <c r="T2489" s="8">
        <v>3</v>
      </c>
      <c r="U2489" s="8">
        <v>13</v>
      </c>
      <c r="V2489" s="8">
        <v>7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2</v>
      </c>
      <c r="AE2489" s="8">
        <v>0</v>
      </c>
      <c r="AF2489" s="8">
        <v>0</v>
      </c>
      <c r="AG2489" s="8">
        <v>0</v>
      </c>
      <c r="AH2489" s="8">
        <v>3</v>
      </c>
      <c r="AI2489" s="8">
        <v>0</v>
      </c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11" t="s">
        <v>259</v>
      </c>
    </row>
    <row r="2490" spans="1:46" ht="15.1" customHeight="1">
      <c r="A2490" s="8">
        <v>829</v>
      </c>
      <c r="B2490" s="9" t="s">
        <v>1511</v>
      </c>
      <c r="C2490" s="8" t="s">
        <v>1894</v>
      </c>
      <c r="D2490" s="9" t="s">
        <v>451</v>
      </c>
      <c r="E2490" s="12" t="s">
        <v>55</v>
      </c>
      <c r="F2490" s="12" t="s">
        <v>55</v>
      </c>
      <c r="G2490" s="10" t="s">
        <v>67</v>
      </c>
      <c r="H2490" s="12" t="s">
        <v>55</v>
      </c>
      <c r="I2490" s="12" t="s">
        <v>55</v>
      </c>
      <c r="J2490" s="8" t="s">
        <v>54</v>
      </c>
      <c r="K2490" s="8" t="s">
        <v>54</v>
      </c>
      <c r="L2490" s="8" t="s">
        <v>54</v>
      </c>
      <c r="M2490" s="8" t="s">
        <v>54</v>
      </c>
      <c r="N2490" s="10" t="s">
        <v>67</v>
      </c>
      <c r="O2490" s="8" t="s">
        <v>54</v>
      </c>
      <c r="P2490" s="8" t="s">
        <v>54</v>
      </c>
      <c r="Q2490" s="8" t="s">
        <v>54</v>
      </c>
      <c r="R2490" s="8" t="s">
        <v>54</v>
      </c>
      <c r="S2490" s="8" t="s">
        <v>54</v>
      </c>
      <c r="T2490" s="8" t="s">
        <v>54</v>
      </c>
      <c r="U2490" s="10" t="s">
        <v>67</v>
      </c>
      <c r="V2490" s="8" t="s">
        <v>54</v>
      </c>
      <c r="W2490" s="8" t="s">
        <v>54</v>
      </c>
      <c r="X2490" s="8" t="s">
        <v>54</v>
      </c>
      <c r="Y2490" s="8" t="s">
        <v>54</v>
      </c>
      <c r="Z2490" s="8" t="s">
        <v>54</v>
      </c>
      <c r="AA2490" s="8" t="s">
        <v>54</v>
      </c>
      <c r="AB2490" s="10" t="s">
        <v>67</v>
      </c>
      <c r="AC2490" s="8" t="s">
        <v>54</v>
      </c>
      <c r="AD2490" s="8" t="s">
        <v>54</v>
      </c>
      <c r="AE2490" s="8" t="s">
        <v>54</v>
      </c>
      <c r="AF2490" s="8" t="s">
        <v>54</v>
      </c>
      <c r="AG2490" s="8" t="s">
        <v>54</v>
      </c>
      <c r="AH2490" s="8" t="s">
        <v>54</v>
      </c>
      <c r="AI2490" s="10" t="s">
        <v>67</v>
      </c>
      <c r="AJ2490" s="8">
        <f>COUNTIF($E$2490:$AI$2490,"P")</f>
        <v>22</v>
      </c>
      <c r="AK2490" s="8">
        <f>COUNTIF($E$2490:$AI$2490,"A")</f>
        <v>4</v>
      </c>
      <c r="AL2490" s="8">
        <f>SUM($E$2491:$AI$2491)</f>
        <v>26</v>
      </c>
      <c r="AM2490" s="8">
        <f>SUM($E$2492:$AI$2492)</f>
        <v>109.5</v>
      </c>
      <c r="AN2490" s="8">
        <f>AL2490+AM2490</f>
        <v>135.5</v>
      </c>
      <c r="AO2490" s="8">
        <f>COUNTIF($E$2490:$AI$2490,"CL")</f>
        <v>0</v>
      </c>
      <c r="AP2490" s="8">
        <f>COUNTIF($E$2490:$AI$2490,"SL")</f>
        <v>0</v>
      </c>
      <c r="AQ2490" s="8">
        <f>COUNTIF($E$2490:$AI$2490,"EL")</f>
        <v>0</v>
      </c>
      <c r="AR2490" s="8">
        <f>COUNTIF($E$2490:$AI$2490,"H")</f>
        <v>0</v>
      </c>
      <c r="AS2490" s="8"/>
      <c r="AT2490" s="11" t="s">
        <v>259</v>
      </c>
    </row>
    <row r="2491" spans="1:46" ht="15.1" customHeight="1">
      <c r="A2491" s="8"/>
      <c r="B2491" s="9"/>
      <c r="C2491" s="8"/>
      <c r="D2491" s="9"/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2</v>
      </c>
      <c r="K2491" s="8">
        <v>2</v>
      </c>
      <c r="L2491" s="8">
        <v>2</v>
      </c>
      <c r="M2491" s="8">
        <v>2</v>
      </c>
      <c r="N2491" s="8">
        <v>0</v>
      </c>
      <c r="O2491" s="8">
        <v>2</v>
      </c>
      <c r="P2491" s="8">
        <v>2</v>
      </c>
      <c r="Q2491" s="8">
        <v>2</v>
      </c>
      <c r="R2491" s="8">
        <v>2</v>
      </c>
      <c r="S2491" s="8">
        <v>2</v>
      </c>
      <c r="T2491" s="8">
        <v>2</v>
      </c>
      <c r="U2491" s="8">
        <v>0</v>
      </c>
      <c r="V2491" s="8">
        <v>2</v>
      </c>
      <c r="W2491" s="8">
        <v>2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2</v>
      </c>
      <c r="AI2491" s="8">
        <v>0</v>
      </c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11" t="s">
        <v>259</v>
      </c>
    </row>
    <row r="2492" spans="1:46" ht="15.1" customHeight="1">
      <c r="A2492" s="8"/>
      <c r="B2492" s="9"/>
      <c r="C2492" s="8"/>
      <c r="D2492" s="9"/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7</v>
      </c>
      <c r="K2492" s="8">
        <v>7</v>
      </c>
      <c r="L2492" s="8">
        <v>6.5</v>
      </c>
      <c r="M2492" s="8">
        <v>5</v>
      </c>
      <c r="N2492" s="8">
        <v>17</v>
      </c>
      <c r="O2492" s="8">
        <v>7</v>
      </c>
      <c r="P2492" s="8">
        <v>7</v>
      </c>
      <c r="Q2492" s="8">
        <v>5</v>
      </c>
      <c r="R2492" s="8">
        <v>7</v>
      </c>
      <c r="S2492" s="8">
        <v>7</v>
      </c>
      <c r="T2492" s="8">
        <v>3</v>
      </c>
      <c r="U2492" s="8">
        <v>13</v>
      </c>
      <c r="V2492" s="8">
        <v>7</v>
      </c>
      <c r="W2492" s="8">
        <v>8</v>
      </c>
      <c r="X2492" s="8">
        <v>0</v>
      </c>
      <c r="Y2492" s="8">
        <v>0</v>
      </c>
      <c r="Z2492" s="8">
        <v>0</v>
      </c>
      <c r="AA2492" s="8">
        <v>0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8">
        <v>0</v>
      </c>
      <c r="AH2492" s="8">
        <v>3</v>
      </c>
      <c r="AI2492" s="8">
        <v>0</v>
      </c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11" t="s">
        <v>259</v>
      </c>
    </row>
    <row r="2493" spans="1:46" ht="15.1" customHeight="1">
      <c r="A2493" s="8">
        <v>830</v>
      </c>
      <c r="B2493" s="9" t="s">
        <v>1895</v>
      </c>
      <c r="C2493" s="8" t="s">
        <v>1896</v>
      </c>
      <c r="D2493" s="9" t="s">
        <v>451</v>
      </c>
      <c r="E2493" s="8" t="s">
        <v>54</v>
      </c>
      <c r="F2493" s="8" t="s">
        <v>54</v>
      </c>
      <c r="G2493" s="10" t="s">
        <v>67</v>
      </c>
      <c r="H2493" s="8" t="s">
        <v>54</v>
      </c>
      <c r="I2493" s="8" t="s">
        <v>54</v>
      </c>
      <c r="J2493" s="8" t="s">
        <v>54</v>
      </c>
      <c r="K2493" s="8" t="s">
        <v>54</v>
      </c>
      <c r="L2493" s="8" t="s">
        <v>54</v>
      </c>
      <c r="M2493" s="8" t="s">
        <v>54</v>
      </c>
      <c r="N2493" s="10" t="s">
        <v>67</v>
      </c>
      <c r="O2493" s="8" t="s">
        <v>54</v>
      </c>
      <c r="P2493" s="8" t="s">
        <v>54</v>
      </c>
      <c r="Q2493" s="8" t="s">
        <v>54</v>
      </c>
      <c r="R2493" s="8" t="s">
        <v>54</v>
      </c>
      <c r="S2493" s="8" t="s">
        <v>54</v>
      </c>
      <c r="T2493" s="8" t="s">
        <v>54</v>
      </c>
      <c r="U2493" s="10" t="s">
        <v>67</v>
      </c>
      <c r="V2493" s="8" t="s">
        <v>54</v>
      </c>
      <c r="W2493" s="8" t="s">
        <v>54</v>
      </c>
      <c r="X2493" s="8" t="s">
        <v>54</v>
      </c>
      <c r="Y2493" s="8" t="s">
        <v>54</v>
      </c>
      <c r="Z2493" s="8" t="s">
        <v>54</v>
      </c>
      <c r="AA2493" s="8" t="s">
        <v>54</v>
      </c>
      <c r="AB2493" s="10" t="s">
        <v>67</v>
      </c>
      <c r="AC2493" s="8" t="s">
        <v>54</v>
      </c>
      <c r="AD2493" s="8" t="s">
        <v>54</v>
      </c>
      <c r="AE2493" s="8" t="s">
        <v>54</v>
      </c>
      <c r="AF2493" s="8" t="s">
        <v>54</v>
      </c>
      <c r="AG2493" s="8" t="s">
        <v>54</v>
      </c>
      <c r="AH2493" s="8" t="s">
        <v>54</v>
      </c>
      <c r="AI2493" s="10" t="s">
        <v>67</v>
      </c>
      <c r="AJ2493" s="8">
        <f>COUNTIF($E$2493:$AI$2493,"P")</f>
        <v>26</v>
      </c>
      <c r="AK2493" s="8">
        <f>COUNTIF($E$2493:$AI$2493,"A")</f>
        <v>0</v>
      </c>
      <c r="AL2493" s="8">
        <f>SUM($E$2494:$AI$2494)</f>
        <v>34</v>
      </c>
      <c r="AM2493" s="8">
        <f>SUM($E$2495:$AI$2495)</f>
        <v>135</v>
      </c>
      <c r="AN2493" s="8">
        <f>AL2493+AM2493</f>
        <v>169</v>
      </c>
      <c r="AO2493" s="8">
        <f>COUNTIF($E$2493:$AI$2493,"CL")</f>
        <v>0</v>
      </c>
      <c r="AP2493" s="8">
        <f>COUNTIF($E$2493:$AI$2493,"SL")</f>
        <v>0</v>
      </c>
      <c r="AQ2493" s="8">
        <f>COUNTIF($E$2493:$AI$2493,"EL")</f>
        <v>0</v>
      </c>
      <c r="AR2493" s="8">
        <f>COUNTIF($E$2493:$AI$2493,"H")</f>
        <v>0</v>
      </c>
      <c r="AS2493" s="8"/>
      <c r="AT2493" s="11" t="s">
        <v>259</v>
      </c>
    </row>
    <row r="2494" spans="1:46" ht="15.1" customHeight="1">
      <c r="A2494" s="8"/>
      <c r="B2494" s="9"/>
      <c r="C2494" s="8"/>
      <c r="D2494" s="9"/>
      <c r="E2494" s="8">
        <v>2</v>
      </c>
      <c r="F2494" s="8">
        <v>2</v>
      </c>
      <c r="G2494" s="8">
        <v>0</v>
      </c>
      <c r="H2494" s="8">
        <v>2</v>
      </c>
      <c r="I2494" s="8">
        <v>2</v>
      </c>
      <c r="J2494" s="8">
        <v>2</v>
      </c>
      <c r="K2494" s="8">
        <v>2</v>
      </c>
      <c r="L2494" s="8">
        <v>2</v>
      </c>
      <c r="M2494" s="8">
        <v>2</v>
      </c>
      <c r="N2494" s="8">
        <v>0</v>
      </c>
      <c r="O2494" s="8">
        <v>2</v>
      </c>
      <c r="P2494" s="8">
        <v>2</v>
      </c>
      <c r="Q2494" s="8">
        <v>2</v>
      </c>
      <c r="R2494" s="8">
        <v>2</v>
      </c>
      <c r="S2494" s="8">
        <v>2</v>
      </c>
      <c r="T2494" s="8">
        <v>2</v>
      </c>
      <c r="U2494" s="8">
        <v>0</v>
      </c>
      <c r="V2494" s="8">
        <v>2</v>
      </c>
      <c r="W2494" s="8">
        <v>2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2</v>
      </c>
      <c r="AI2494" s="8">
        <v>0</v>
      </c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11" t="s">
        <v>259</v>
      </c>
    </row>
    <row r="2495" spans="1:46" ht="15.1" customHeight="1">
      <c r="A2495" s="8"/>
      <c r="B2495" s="9"/>
      <c r="C2495" s="8"/>
      <c r="D2495" s="9"/>
      <c r="E2495" s="8">
        <v>5</v>
      </c>
      <c r="F2495" s="8">
        <v>3</v>
      </c>
      <c r="G2495" s="8">
        <v>14</v>
      </c>
      <c r="H2495" s="8">
        <v>5</v>
      </c>
      <c r="I2495" s="8">
        <v>7</v>
      </c>
      <c r="J2495" s="8">
        <v>7</v>
      </c>
      <c r="K2495" s="8">
        <v>7</v>
      </c>
      <c r="L2495" s="8">
        <v>7</v>
      </c>
      <c r="M2495" s="8">
        <v>5</v>
      </c>
      <c r="N2495" s="8">
        <v>16.5</v>
      </c>
      <c r="O2495" s="8">
        <v>7</v>
      </c>
      <c r="P2495" s="8">
        <v>7</v>
      </c>
      <c r="Q2495" s="8">
        <v>5</v>
      </c>
      <c r="R2495" s="8">
        <v>7</v>
      </c>
      <c r="S2495" s="8">
        <v>7</v>
      </c>
      <c r="T2495" s="8">
        <v>3</v>
      </c>
      <c r="U2495" s="8">
        <v>12.5</v>
      </c>
      <c r="V2495" s="8">
        <v>7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8">
        <v>0</v>
      </c>
      <c r="AH2495" s="8">
        <v>3</v>
      </c>
      <c r="AI2495" s="8">
        <v>0</v>
      </c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11" t="s">
        <v>259</v>
      </c>
    </row>
    <row r="2496" spans="1:46" ht="15.1" customHeight="1">
      <c r="A2496" s="8">
        <v>831</v>
      </c>
      <c r="B2496" s="9" t="s">
        <v>1897</v>
      </c>
      <c r="C2496" s="8" t="s">
        <v>1898</v>
      </c>
      <c r="D2496" s="9" t="s">
        <v>451</v>
      </c>
      <c r="E2496" s="8" t="s">
        <v>54</v>
      </c>
      <c r="F2496" s="8" t="s">
        <v>54</v>
      </c>
      <c r="G2496" s="10" t="s">
        <v>67</v>
      </c>
      <c r="H2496" s="8" t="s">
        <v>54</v>
      </c>
      <c r="I2496" s="8" t="s">
        <v>54</v>
      </c>
      <c r="J2496" s="12" t="s">
        <v>55</v>
      </c>
      <c r="K2496" s="8" t="s">
        <v>54</v>
      </c>
      <c r="L2496" s="12" t="s">
        <v>55</v>
      </c>
      <c r="M2496" s="8" t="s">
        <v>54</v>
      </c>
      <c r="N2496" s="10" t="s">
        <v>67</v>
      </c>
      <c r="O2496" s="8" t="s">
        <v>54</v>
      </c>
      <c r="P2496" s="8" t="s">
        <v>54</v>
      </c>
      <c r="Q2496" s="8" t="s">
        <v>54</v>
      </c>
      <c r="R2496" s="8" t="s">
        <v>54</v>
      </c>
      <c r="S2496" s="8" t="s">
        <v>54</v>
      </c>
      <c r="T2496" s="8" t="s">
        <v>54</v>
      </c>
      <c r="U2496" s="10" t="s">
        <v>67</v>
      </c>
      <c r="V2496" s="8" t="s">
        <v>54</v>
      </c>
      <c r="W2496" s="8" t="s">
        <v>54</v>
      </c>
      <c r="X2496" s="8" t="s">
        <v>54</v>
      </c>
      <c r="Y2496" s="8" t="s">
        <v>54</v>
      </c>
      <c r="Z2496" s="8" t="s">
        <v>54</v>
      </c>
      <c r="AA2496" s="8" t="s">
        <v>54</v>
      </c>
      <c r="AB2496" s="10" t="s">
        <v>67</v>
      </c>
      <c r="AC2496" s="8" t="s">
        <v>54</v>
      </c>
      <c r="AD2496" s="8" t="s">
        <v>54</v>
      </c>
      <c r="AE2496" s="8" t="s">
        <v>54</v>
      </c>
      <c r="AF2496" s="8" t="s">
        <v>54</v>
      </c>
      <c r="AG2496" s="8" t="s">
        <v>54</v>
      </c>
      <c r="AH2496" s="8" t="s">
        <v>54</v>
      </c>
      <c r="AI2496" s="10" t="s">
        <v>67</v>
      </c>
      <c r="AJ2496" s="8">
        <f>COUNTIF($E$2496:$AI$2496,"P")</f>
        <v>24</v>
      </c>
      <c r="AK2496" s="8">
        <f>COUNTIF($E$2496:$AI$2496,"A")</f>
        <v>2</v>
      </c>
      <c r="AL2496" s="8">
        <f>SUM($E$2497:$AI$2497)</f>
        <v>28</v>
      </c>
      <c r="AM2496" s="8">
        <f>SUM($E$2498:$AI$2498)</f>
        <v>114.5</v>
      </c>
      <c r="AN2496" s="8">
        <f>AL2496+AM2496</f>
        <v>142.5</v>
      </c>
      <c r="AO2496" s="8">
        <f>COUNTIF($E$2496:$AI$2496,"CL")</f>
        <v>0</v>
      </c>
      <c r="AP2496" s="8">
        <f>COUNTIF($E$2496:$AI$2496,"SL")</f>
        <v>0</v>
      </c>
      <c r="AQ2496" s="8">
        <f>COUNTIF($E$2496:$AI$2496,"EL")</f>
        <v>0</v>
      </c>
      <c r="AR2496" s="8">
        <f>COUNTIF($E$2496:$AI$2496,"H")</f>
        <v>0</v>
      </c>
      <c r="AS2496" s="8"/>
      <c r="AT2496" s="11" t="s">
        <v>259</v>
      </c>
    </row>
    <row r="2497" spans="1:46" ht="15.1" customHeight="1">
      <c r="A2497" s="8"/>
      <c r="B2497" s="9"/>
      <c r="C2497" s="8"/>
      <c r="D2497" s="9"/>
      <c r="E2497" s="8">
        <v>2</v>
      </c>
      <c r="F2497" s="8">
        <v>2</v>
      </c>
      <c r="G2497" s="8">
        <v>0</v>
      </c>
      <c r="H2497" s="8">
        <v>2</v>
      </c>
      <c r="I2497" s="8">
        <v>2</v>
      </c>
      <c r="J2497" s="8">
        <v>0</v>
      </c>
      <c r="K2497" s="8">
        <v>0</v>
      </c>
      <c r="L2497" s="8">
        <v>0</v>
      </c>
      <c r="M2497" s="8">
        <v>2</v>
      </c>
      <c r="N2497" s="8">
        <v>0</v>
      </c>
      <c r="O2497" s="8">
        <v>2</v>
      </c>
      <c r="P2497" s="8">
        <v>2</v>
      </c>
      <c r="Q2497" s="8">
        <v>2</v>
      </c>
      <c r="R2497" s="8">
        <v>2</v>
      </c>
      <c r="S2497" s="8">
        <v>2</v>
      </c>
      <c r="T2497" s="8">
        <v>2</v>
      </c>
      <c r="U2497" s="8">
        <v>0</v>
      </c>
      <c r="V2497" s="8">
        <v>2</v>
      </c>
      <c r="W2497" s="8">
        <v>2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2</v>
      </c>
      <c r="AI2497" s="8">
        <v>0</v>
      </c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11" t="s">
        <v>259</v>
      </c>
    </row>
    <row r="2498" spans="1:46" ht="15.1" customHeight="1">
      <c r="A2498" s="8"/>
      <c r="B2498" s="9"/>
      <c r="C2498" s="8"/>
      <c r="D2498" s="9"/>
      <c r="E2498" s="8">
        <v>5</v>
      </c>
      <c r="F2498" s="8">
        <v>3</v>
      </c>
      <c r="G2498" s="8">
        <v>14</v>
      </c>
      <c r="H2498" s="8">
        <v>5</v>
      </c>
      <c r="I2498" s="8">
        <v>7</v>
      </c>
      <c r="J2498" s="8">
        <v>0</v>
      </c>
      <c r="K2498" s="8">
        <v>0</v>
      </c>
      <c r="L2498" s="8">
        <v>0</v>
      </c>
      <c r="M2498" s="8">
        <v>5</v>
      </c>
      <c r="N2498" s="8">
        <v>16.5</v>
      </c>
      <c r="O2498" s="8">
        <v>7</v>
      </c>
      <c r="P2498" s="8">
        <v>7</v>
      </c>
      <c r="Q2498" s="8">
        <v>5</v>
      </c>
      <c r="R2498" s="8">
        <v>7</v>
      </c>
      <c r="S2498" s="8">
        <v>7</v>
      </c>
      <c r="T2498" s="8">
        <v>3</v>
      </c>
      <c r="U2498" s="8">
        <v>13</v>
      </c>
      <c r="V2498" s="8">
        <v>7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  <c r="AH2498" s="8">
        <v>3</v>
      </c>
      <c r="AI2498" s="8">
        <v>0</v>
      </c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11" t="s">
        <v>259</v>
      </c>
    </row>
    <row r="2499" spans="1:46" ht="15.1" customHeight="1">
      <c r="A2499" s="8">
        <v>832</v>
      </c>
      <c r="B2499" s="9" t="s">
        <v>1899</v>
      </c>
      <c r="C2499" s="8" t="s">
        <v>1900</v>
      </c>
      <c r="D2499" s="9" t="s">
        <v>451</v>
      </c>
      <c r="E2499" s="8" t="s">
        <v>54</v>
      </c>
      <c r="F2499" s="8" t="s">
        <v>54</v>
      </c>
      <c r="G2499" s="10" t="s">
        <v>67</v>
      </c>
      <c r="H2499" s="8" t="s">
        <v>54</v>
      </c>
      <c r="I2499" s="8" t="s">
        <v>54</v>
      </c>
      <c r="J2499" s="8" t="s">
        <v>54</v>
      </c>
      <c r="K2499" s="8" t="s">
        <v>54</v>
      </c>
      <c r="L2499" s="8" t="s">
        <v>54</v>
      </c>
      <c r="M2499" s="8" t="s">
        <v>54</v>
      </c>
      <c r="N2499" s="10" t="s">
        <v>67</v>
      </c>
      <c r="O2499" s="8" t="s">
        <v>54</v>
      </c>
      <c r="P2499" s="8" t="s">
        <v>54</v>
      </c>
      <c r="Q2499" s="8" t="s">
        <v>54</v>
      </c>
      <c r="R2499" s="8" t="s">
        <v>54</v>
      </c>
      <c r="S2499" s="8" t="s">
        <v>54</v>
      </c>
      <c r="T2499" s="8" t="s">
        <v>54</v>
      </c>
      <c r="U2499" s="10" t="s">
        <v>67</v>
      </c>
      <c r="V2499" s="8" t="s">
        <v>54</v>
      </c>
      <c r="W2499" s="8" t="s">
        <v>54</v>
      </c>
      <c r="X2499" s="8" t="s">
        <v>54</v>
      </c>
      <c r="Y2499" s="8" t="s">
        <v>54</v>
      </c>
      <c r="Z2499" s="8" t="s">
        <v>54</v>
      </c>
      <c r="AA2499" s="8" t="s">
        <v>54</v>
      </c>
      <c r="AB2499" s="10" t="s">
        <v>67</v>
      </c>
      <c r="AC2499" s="8" t="s">
        <v>54</v>
      </c>
      <c r="AD2499" s="8" t="s">
        <v>54</v>
      </c>
      <c r="AE2499" s="8" t="s">
        <v>54</v>
      </c>
      <c r="AF2499" s="8" t="s">
        <v>54</v>
      </c>
      <c r="AG2499" s="8" t="s">
        <v>54</v>
      </c>
      <c r="AH2499" s="8" t="s">
        <v>54</v>
      </c>
      <c r="AI2499" s="10" t="s">
        <v>67</v>
      </c>
      <c r="AJ2499" s="8">
        <f>COUNTIF($E$2499:$AI$2499,"P")</f>
        <v>26</v>
      </c>
      <c r="AK2499" s="8">
        <f>COUNTIF($E$2499:$AI$2499,"A")</f>
        <v>0</v>
      </c>
      <c r="AL2499" s="8">
        <f>SUM($E$2500:$AI$2500)</f>
        <v>34</v>
      </c>
      <c r="AM2499" s="8">
        <f>SUM($E$2501:$AI$2501)</f>
        <v>123</v>
      </c>
      <c r="AN2499" s="8">
        <f>AL2499+AM2499</f>
        <v>157</v>
      </c>
      <c r="AO2499" s="8">
        <f>COUNTIF($E$2499:$AI$2499,"CL")</f>
        <v>0</v>
      </c>
      <c r="AP2499" s="8">
        <f>COUNTIF($E$2499:$AI$2499,"SL")</f>
        <v>0</v>
      </c>
      <c r="AQ2499" s="8">
        <f>COUNTIF($E$2499:$AI$2499,"EL")</f>
        <v>0</v>
      </c>
      <c r="AR2499" s="8">
        <f>COUNTIF($E$2499:$AI$2499,"H")</f>
        <v>0</v>
      </c>
      <c r="AS2499" s="8"/>
      <c r="AT2499" s="11" t="s">
        <v>259</v>
      </c>
    </row>
    <row r="2500" spans="1:46" ht="15.1" customHeight="1">
      <c r="A2500" s="8"/>
      <c r="B2500" s="9"/>
      <c r="C2500" s="8"/>
      <c r="D2500" s="9"/>
      <c r="E2500" s="8">
        <v>2</v>
      </c>
      <c r="F2500" s="8">
        <v>2</v>
      </c>
      <c r="G2500" s="8">
        <v>0</v>
      </c>
      <c r="H2500" s="8">
        <v>2</v>
      </c>
      <c r="I2500" s="8">
        <v>2</v>
      </c>
      <c r="J2500" s="8">
        <v>2</v>
      </c>
      <c r="K2500" s="8">
        <v>2</v>
      </c>
      <c r="L2500" s="8">
        <v>2</v>
      </c>
      <c r="M2500" s="8">
        <v>2</v>
      </c>
      <c r="N2500" s="8">
        <v>0</v>
      </c>
      <c r="O2500" s="8">
        <v>2</v>
      </c>
      <c r="P2500" s="8">
        <v>2</v>
      </c>
      <c r="Q2500" s="8">
        <v>2</v>
      </c>
      <c r="R2500" s="8">
        <v>2</v>
      </c>
      <c r="S2500" s="8">
        <v>2</v>
      </c>
      <c r="T2500" s="8">
        <v>2</v>
      </c>
      <c r="U2500" s="8">
        <v>0</v>
      </c>
      <c r="V2500" s="8">
        <v>2</v>
      </c>
      <c r="W2500" s="8">
        <v>2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  <c r="AH2500" s="8">
        <v>2</v>
      </c>
      <c r="AI2500" s="8">
        <v>0</v>
      </c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11" t="s">
        <v>259</v>
      </c>
    </row>
    <row r="2501" spans="1:46" ht="15.1" customHeight="1">
      <c r="A2501" s="8"/>
      <c r="B2501" s="9"/>
      <c r="C2501" s="8"/>
      <c r="D2501" s="9"/>
      <c r="E2501" s="8">
        <v>5</v>
      </c>
      <c r="F2501" s="8">
        <v>3</v>
      </c>
      <c r="G2501" s="8">
        <v>14</v>
      </c>
      <c r="H2501" s="8">
        <v>5</v>
      </c>
      <c r="I2501" s="8">
        <v>7</v>
      </c>
      <c r="J2501" s="8">
        <v>7</v>
      </c>
      <c r="K2501" s="8">
        <v>7</v>
      </c>
      <c r="L2501" s="8">
        <v>7</v>
      </c>
      <c r="M2501" s="8">
        <v>5</v>
      </c>
      <c r="N2501" s="8">
        <v>17</v>
      </c>
      <c r="O2501" s="8">
        <v>7</v>
      </c>
      <c r="P2501" s="8">
        <v>7</v>
      </c>
      <c r="Q2501" s="8">
        <v>5</v>
      </c>
      <c r="R2501" s="8">
        <v>7</v>
      </c>
      <c r="S2501" s="8">
        <v>7</v>
      </c>
      <c r="T2501" s="8">
        <v>3</v>
      </c>
      <c r="U2501" s="8">
        <v>0</v>
      </c>
      <c r="V2501" s="8">
        <v>7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3</v>
      </c>
      <c r="AI2501" s="8">
        <v>0</v>
      </c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11" t="s">
        <v>259</v>
      </c>
    </row>
    <row r="2502" spans="1:46" ht="15.1" customHeight="1">
      <c r="A2502" s="8">
        <v>833</v>
      </c>
      <c r="B2502" s="9" t="s">
        <v>180</v>
      </c>
      <c r="C2502" s="8" t="s">
        <v>1901</v>
      </c>
      <c r="D2502" s="9" t="s">
        <v>451</v>
      </c>
      <c r="E2502" s="8" t="s">
        <v>54</v>
      </c>
      <c r="F2502" s="8" t="s">
        <v>54</v>
      </c>
      <c r="G2502" s="10" t="s">
        <v>67</v>
      </c>
      <c r="H2502" s="8" t="s">
        <v>54</v>
      </c>
      <c r="I2502" s="8" t="s">
        <v>54</v>
      </c>
      <c r="J2502" s="8" t="s">
        <v>54</v>
      </c>
      <c r="K2502" s="8" t="s">
        <v>54</v>
      </c>
      <c r="L2502" s="8" t="s">
        <v>54</v>
      </c>
      <c r="M2502" s="8" t="s">
        <v>54</v>
      </c>
      <c r="N2502" s="10" t="s">
        <v>67</v>
      </c>
      <c r="O2502" s="8" t="s">
        <v>54</v>
      </c>
      <c r="P2502" s="8" t="s">
        <v>54</v>
      </c>
      <c r="Q2502" s="8" t="s">
        <v>54</v>
      </c>
      <c r="R2502" s="8" t="s">
        <v>54</v>
      </c>
      <c r="S2502" s="8" t="s">
        <v>54</v>
      </c>
      <c r="T2502" s="8" t="s">
        <v>54</v>
      </c>
      <c r="U2502" s="10" t="s">
        <v>67</v>
      </c>
      <c r="V2502" s="8" t="s">
        <v>54</v>
      </c>
      <c r="W2502" s="8" t="s">
        <v>54</v>
      </c>
      <c r="X2502" s="8" t="s">
        <v>54</v>
      </c>
      <c r="Y2502" s="8" t="s">
        <v>54</v>
      </c>
      <c r="Z2502" s="8" t="s">
        <v>54</v>
      </c>
      <c r="AA2502" s="8" t="s">
        <v>54</v>
      </c>
      <c r="AB2502" s="10" t="s">
        <v>67</v>
      </c>
      <c r="AC2502" s="8" t="s">
        <v>54</v>
      </c>
      <c r="AD2502" s="8" t="s">
        <v>54</v>
      </c>
      <c r="AE2502" s="8" t="s">
        <v>54</v>
      </c>
      <c r="AF2502" s="8" t="s">
        <v>54</v>
      </c>
      <c r="AG2502" s="8" t="s">
        <v>54</v>
      </c>
      <c r="AH2502" s="8" t="s">
        <v>54</v>
      </c>
      <c r="AI2502" s="10" t="s">
        <v>67</v>
      </c>
      <c r="AJ2502" s="8">
        <f>COUNTIF($E$2502:$AI$2502,"P")</f>
        <v>26</v>
      </c>
      <c r="AK2502" s="8">
        <f>COUNTIF($E$2502:$AI$2502,"A")</f>
        <v>0</v>
      </c>
      <c r="AL2502" s="8">
        <f>SUM($E$2503:$AI$2503)</f>
        <v>30</v>
      </c>
      <c r="AM2502" s="8">
        <f>SUM($E$2504:$AI$2504)</f>
        <v>118.5</v>
      </c>
      <c r="AN2502" s="8">
        <f>AL2502+AM2502</f>
        <v>148.5</v>
      </c>
      <c r="AO2502" s="8">
        <f>COUNTIF($E$2502:$AI$2502,"CL")</f>
        <v>0</v>
      </c>
      <c r="AP2502" s="8">
        <f>COUNTIF($E$2502:$AI$2502,"SL")</f>
        <v>0</v>
      </c>
      <c r="AQ2502" s="8">
        <f>COUNTIF($E$2502:$AI$2502,"EL")</f>
        <v>0</v>
      </c>
      <c r="AR2502" s="8">
        <f>COUNTIF($E$2502:$AI$2502,"H")</f>
        <v>0</v>
      </c>
      <c r="AS2502" s="8"/>
      <c r="AT2502" s="11" t="s">
        <v>259</v>
      </c>
    </row>
    <row r="2503" spans="1:46" ht="15.1" customHeight="1">
      <c r="A2503" s="8"/>
      <c r="B2503" s="9"/>
      <c r="C2503" s="8"/>
      <c r="D2503" s="9"/>
      <c r="E2503" s="8">
        <v>2</v>
      </c>
      <c r="F2503" s="8">
        <v>2</v>
      </c>
      <c r="G2503" s="8">
        <v>0</v>
      </c>
      <c r="H2503" s="8">
        <v>2</v>
      </c>
      <c r="I2503" s="8">
        <v>2</v>
      </c>
      <c r="J2503" s="8">
        <v>2</v>
      </c>
      <c r="K2503" s="8">
        <v>2</v>
      </c>
      <c r="L2503" s="8">
        <v>2</v>
      </c>
      <c r="M2503" s="8">
        <v>2</v>
      </c>
      <c r="N2503" s="8">
        <v>0</v>
      </c>
      <c r="O2503" s="8">
        <v>2</v>
      </c>
      <c r="P2503" s="8">
        <v>2</v>
      </c>
      <c r="Q2503" s="8">
        <v>2</v>
      </c>
      <c r="R2503" s="8">
        <v>2</v>
      </c>
      <c r="S2503" s="8">
        <v>2</v>
      </c>
      <c r="T2503" s="8">
        <v>2</v>
      </c>
      <c r="U2503" s="8">
        <v>0</v>
      </c>
      <c r="V2503" s="8">
        <v>2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11" t="s">
        <v>259</v>
      </c>
    </row>
    <row r="2504" spans="1:46" ht="15.1" customHeight="1">
      <c r="A2504" s="8"/>
      <c r="B2504" s="9"/>
      <c r="C2504" s="8"/>
      <c r="D2504" s="9"/>
      <c r="E2504" s="8">
        <v>5</v>
      </c>
      <c r="F2504" s="8">
        <v>3</v>
      </c>
      <c r="G2504" s="8">
        <v>0</v>
      </c>
      <c r="H2504" s="8">
        <v>5</v>
      </c>
      <c r="I2504" s="8">
        <v>7</v>
      </c>
      <c r="J2504" s="8">
        <v>7</v>
      </c>
      <c r="K2504" s="8">
        <v>7</v>
      </c>
      <c r="L2504" s="8">
        <v>7</v>
      </c>
      <c r="M2504" s="8">
        <v>5</v>
      </c>
      <c r="N2504" s="8">
        <v>16.5</v>
      </c>
      <c r="O2504" s="8">
        <v>7</v>
      </c>
      <c r="P2504" s="8">
        <v>7</v>
      </c>
      <c r="Q2504" s="8">
        <v>5</v>
      </c>
      <c r="R2504" s="8">
        <v>7</v>
      </c>
      <c r="S2504" s="8">
        <v>7</v>
      </c>
      <c r="T2504" s="8">
        <v>3</v>
      </c>
      <c r="U2504" s="8">
        <v>13</v>
      </c>
      <c r="V2504" s="8">
        <v>7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11" t="s">
        <v>259</v>
      </c>
    </row>
    <row r="2505" spans="1:46" ht="15.1" customHeight="1">
      <c r="A2505" s="8">
        <v>834</v>
      </c>
      <c r="B2505" s="9" t="s">
        <v>1902</v>
      </c>
      <c r="C2505" s="8" t="s">
        <v>1903</v>
      </c>
      <c r="D2505" s="9" t="s">
        <v>451</v>
      </c>
      <c r="E2505" s="8" t="s">
        <v>54</v>
      </c>
      <c r="F2505" s="8" t="s">
        <v>54</v>
      </c>
      <c r="G2505" s="10" t="s">
        <v>67</v>
      </c>
      <c r="H2505" s="8" t="s">
        <v>54</v>
      </c>
      <c r="I2505" s="8" t="s">
        <v>54</v>
      </c>
      <c r="J2505" s="8" t="s">
        <v>54</v>
      </c>
      <c r="K2505" s="8" t="s">
        <v>54</v>
      </c>
      <c r="L2505" s="8" t="s">
        <v>54</v>
      </c>
      <c r="M2505" s="8" t="s">
        <v>54</v>
      </c>
      <c r="N2505" s="10" t="s">
        <v>67</v>
      </c>
      <c r="O2505" s="8" t="s">
        <v>54</v>
      </c>
      <c r="P2505" s="8" t="s">
        <v>54</v>
      </c>
      <c r="Q2505" s="8" t="s">
        <v>54</v>
      </c>
      <c r="R2505" s="8" t="s">
        <v>54</v>
      </c>
      <c r="S2505" s="8" t="s">
        <v>54</v>
      </c>
      <c r="T2505" s="8" t="s">
        <v>54</v>
      </c>
      <c r="U2505" s="10" t="s">
        <v>67</v>
      </c>
      <c r="V2505" s="8" t="s">
        <v>54</v>
      </c>
      <c r="W2505" s="8" t="s">
        <v>54</v>
      </c>
      <c r="X2505" s="8" t="s">
        <v>54</v>
      </c>
      <c r="Y2505" s="8" t="s">
        <v>54</v>
      </c>
      <c r="Z2505" s="8" t="s">
        <v>54</v>
      </c>
      <c r="AA2505" s="8" t="s">
        <v>54</v>
      </c>
      <c r="AB2505" s="10" t="s">
        <v>67</v>
      </c>
      <c r="AC2505" s="8" t="s">
        <v>54</v>
      </c>
      <c r="AD2505" s="8" t="s">
        <v>54</v>
      </c>
      <c r="AE2505" s="8" t="s">
        <v>54</v>
      </c>
      <c r="AF2505" s="8" t="s">
        <v>54</v>
      </c>
      <c r="AG2505" s="8" t="s">
        <v>54</v>
      </c>
      <c r="AH2505" s="8" t="s">
        <v>54</v>
      </c>
      <c r="AI2505" s="10" t="s">
        <v>67</v>
      </c>
      <c r="AJ2505" s="8">
        <f>COUNTIF($E$2505:$AI$2505,"P")</f>
        <v>26</v>
      </c>
      <c r="AK2505" s="8">
        <f>COUNTIF($E$2505:$AI$2505,"A")</f>
        <v>0</v>
      </c>
      <c r="AL2505" s="8">
        <f>SUM($E$2506:$AI$2506)</f>
        <v>36</v>
      </c>
      <c r="AM2505" s="8">
        <f>SUM($E$2507:$AI$2507)</f>
        <v>113</v>
      </c>
      <c r="AN2505" s="8">
        <f>AL2505+AM2505</f>
        <v>149</v>
      </c>
      <c r="AO2505" s="8">
        <f>COUNTIF($E$2505:$AI$2505,"CL")</f>
        <v>0</v>
      </c>
      <c r="AP2505" s="8">
        <f>COUNTIF($E$2505:$AI$2505,"SL")</f>
        <v>0</v>
      </c>
      <c r="AQ2505" s="8">
        <f>COUNTIF($E$2505:$AI$2505,"EL")</f>
        <v>0</v>
      </c>
      <c r="AR2505" s="8">
        <f>COUNTIF($E$2505:$AI$2505,"H")</f>
        <v>0</v>
      </c>
      <c r="AS2505" s="8"/>
      <c r="AT2505" s="11" t="s">
        <v>259</v>
      </c>
    </row>
    <row r="2506" spans="1:46" ht="15.1" customHeight="1">
      <c r="A2506" s="8"/>
      <c r="B2506" s="9"/>
      <c r="C2506" s="8"/>
      <c r="D2506" s="9"/>
      <c r="E2506" s="8">
        <v>2</v>
      </c>
      <c r="F2506" s="8">
        <v>2</v>
      </c>
      <c r="G2506" s="8">
        <v>0</v>
      </c>
      <c r="H2506" s="8">
        <v>2</v>
      </c>
      <c r="I2506" s="8">
        <v>0</v>
      </c>
      <c r="J2506" s="8">
        <v>2</v>
      </c>
      <c r="K2506" s="8">
        <v>2</v>
      </c>
      <c r="L2506" s="8">
        <v>2</v>
      </c>
      <c r="M2506" s="8">
        <v>2</v>
      </c>
      <c r="N2506" s="8">
        <v>0</v>
      </c>
      <c r="O2506" s="8">
        <v>2</v>
      </c>
      <c r="P2506" s="8">
        <v>2</v>
      </c>
      <c r="Q2506" s="8">
        <v>2</v>
      </c>
      <c r="R2506" s="8">
        <v>2</v>
      </c>
      <c r="S2506" s="8">
        <v>2</v>
      </c>
      <c r="T2506" s="8">
        <v>2</v>
      </c>
      <c r="U2506" s="8">
        <v>0</v>
      </c>
      <c r="V2506" s="8">
        <v>2</v>
      </c>
      <c r="W2506" s="8">
        <v>2</v>
      </c>
      <c r="X2506" s="8">
        <v>2</v>
      </c>
      <c r="Y2506" s="8">
        <v>0</v>
      </c>
      <c r="Z2506" s="8">
        <v>0</v>
      </c>
      <c r="AA2506" s="8">
        <v>0</v>
      </c>
      <c r="AB2506" s="8">
        <v>0</v>
      </c>
      <c r="AC2506" s="8">
        <v>2</v>
      </c>
      <c r="AD2506" s="8">
        <v>0</v>
      </c>
      <c r="AE2506" s="8">
        <v>0</v>
      </c>
      <c r="AF2506" s="8">
        <v>0</v>
      </c>
      <c r="AG2506" s="8">
        <v>0</v>
      </c>
      <c r="AH2506" s="8">
        <v>2</v>
      </c>
      <c r="AI2506" s="8">
        <v>0</v>
      </c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11" t="s">
        <v>259</v>
      </c>
    </row>
    <row r="2507" spans="1:46" ht="15.1" customHeight="1">
      <c r="A2507" s="8"/>
      <c r="B2507" s="9"/>
      <c r="C2507" s="8"/>
      <c r="D2507" s="9"/>
      <c r="E2507" s="8">
        <v>5</v>
      </c>
      <c r="F2507" s="8">
        <v>3</v>
      </c>
      <c r="G2507" s="8">
        <v>13.5</v>
      </c>
      <c r="H2507" s="8">
        <v>4.5</v>
      </c>
      <c r="I2507" s="8">
        <v>0</v>
      </c>
      <c r="J2507" s="8">
        <v>7</v>
      </c>
      <c r="K2507" s="8">
        <v>7</v>
      </c>
      <c r="L2507" s="8">
        <v>7</v>
      </c>
      <c r="M2507" s="8">
        <v>5</v>
      </c>
      <c r="N2507" s="8">
        <v>0</v>
      </c>
      <c r="O2507" s="8">
        <v>7</v>
      </c>
      <c r="P2507" s="8">
        <v>7</v>
      </c>
      <c r="Q2507" s="8">
        <v>5</v>
      </c>
      <c r="R2507" s="8">
        <v>7</v>
      </c>
      <c r="S2507" s="8">
        <v>7</v>
      </c>
      <c r="T2507" s="8">
        <v>3</v>
      </c>
      <c r="U2507" s="8">
        <v>12.5</v>
      </c>
      <c r="V2507" s="8">
        <v>6.5</v>
      </c>
      <c r="W2507" s="8">
        <v>0</v>
      </c>
      <c r="X2507" s="8">
        <v>3</v>
      </c>
      <c r="Y2507" s="8">
        <v>0</v>
      </c>
      <c r="Z2507" s="8">
        <v>0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3</v>
      </c>
      <c r="AI2507" s="8">
        <v>0</v>
      </c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11" t="s">
        <v>259</v>
      </c>
    </row>
    <row r="2508" spans="1:46" ht="15.1" customHeight="1">
      <c r="A2508" s="8">
        <v>835</v>
      </c>
      <c r="B2508" s="9" t="s">
        <v>1904</v>
      </c>
      <c r="C2508" s="8" t="s">
        <v>1905</v>
      </c>
      <c r="D2508" s="9" t="s">
        <v>451</v>
      </c>
      <c r="E2508" s="12" t="s">
        <v>55</v>
      </c>
      <c r="F2508" s="12" t="s">
        <v>55</v>
      </c>
      <c r="G2508" s="10" t="s">
        <v>67</v>
      </c>
      <c r="H2508" s="8" t="s">
        <v>54</v>
      </c>
      <c r="I2508" s="8" t="s">
        <v>54</v>
      </c>
      <c r="J2508" s="8" t="s">
        <v>54</v>
      </c>
      <c r="K2508" s="8" t="s">
        <v>54</v>
      </c>
      <c r="L2508" s="8" t="s">
        <v>54</v>
      </c>
      <c r="M2508" s="8" t="s">
        <v>54</v>
      </c>
      <c r="N2508" s="10" t="s">
        <v>67</v>
      </c>
      <c r="O2508" s="8" t="s">
        <v>54</v>
      </c>
      <c r="P2508" s="8" t="s">
        <v>54</v>
      </c>
      <c r="Q2508" s="8" t="s">
        <v>54</v>
      </c>
      <c r="R2508" s="8" t="s">
        <v>54</v>
      </c>
      <c r="S2508" s="8" t="s">
        <v>54</v>
      </c>
      <c r="T2508" s="8" t="s">
        <v>54</v>
      </c>
      <c r="U2508" s="10" t="s">
        <v>67</v>
      </c>
      <c r="V2508" s="8" t="s">
        <v>54</v>
      </c>
      <c r="W2508" s="8" t="s">
        <v>54</v>
      </c>
      <c r="X2508" s="8" t="s">
        <v>54</v>
      </c>
      <c r="Y2508" s="8" t="s">
        <v>54</v>
      </c>
      <c r="Z2508" s="8" t="s">
        <v>54</v>
      </c>
      <c r="AA2508" s="8" t="s">
        <v>54</v>
      </c>
      <c r="AB2508" s="10" t="s">
        <v>67</v>
      </c>
      <c r="AC2508" s="8" t="s">
        <v>54</v>
      </c>
      <c r="AD2508" s="8" t="s">
        <v>54</v>
      </c>
      <c r="AE2508" s="8" t="s">
        <v>54</v>
      </c>
      <c r="AF2508" s="8" t="s">
        <v>54</v>
      </c>
      <c r="AG2508" s="8" t="s">
        <v>54</v>
      </c>
      <c r="AH2508" s="8" t="s">
        <v>54</v>
      </c>
      <c r="AI2508" s="10" t="s">
        <v>67</v>
      </c>
      <c r="AJ2508" s="8">
        <f>COUNTIF($E$2508:$AI$2508,"P")</f>
        <v>24</v>
      </c>
      <c r="AK2508" s="8">
        <f>COUNTIF($E$2508:$AI$2508,"A")</f>
        <v>2</v>
      </c>
      <c r="AL2508" s="8">
        <f>SUM($E$2509:$AI$2509)</f>
        <v>30</v>
      </c>
      <c r="AM2508" s="8">
        <f>SUM($E$2510:$AI$2510)</f>
        <v>114</v>
      </c>
      <c r="AN2508" s="8">
        <f>AL2508+AM2508</f>
        <v>144</v>
      </c>
      <c r="AO2508" s="8">
        <f>COUNTIF($E$2508:$AI$2508,"CL")</f>
        <v>0</v>
      </c>
      <c r="AP2508" s="8">
        <f>COUNTIF($E$2508:$AI$2508,"SL")</f>
        <v>0</v>
      </c>
      <c r="AQ2508" s="8">
        <f>COUNTIF($E$2508:$AI$2508,"EL")</f>
        <v>0</v>
      </c>
      <c r="AR2508" s="8">
        <f>COUNTIF($E$2508:$AI$2508,"H")</f>
        <v>0</v>
      </c>
      <c r="AS2508" s="8"/>
      <c r="AT2508" s="11" t="s">
        <v>259</v>
      </c>
    </row>
    <row r="2509" spans="1:46" ht="15.1" customHeight="1">
      <c r="A2509" s="8"/>
      <c r="B2509" s="9"/>
      <c r="C2509" s="8"/>
      <c r="D2509" s="9"/>
      <c r="E2509" s="8">
        <v>0</v>
      </c>
      <c r="F2509" s="8">
        <v>0</v>
      </c>
      <c r="G2509" s="8">
        <v>0</v>
      </c>
      <c r="H2509" s="8">
        <v>2</v>
      </c>
      <c r="I2509" s="8">
        <v>2</v>
      </c>
      <c r="J2509" s="8">
        <v>2</v>
      </c>
      <c r="K2509" s="8">
        <v>2</v>
      </c>
      <c r="L2509" s="8">
        <v>2</v>
      </c>
      <c r="M2509" s="8">
        <v>2</v>
      </c>
      <c r="N2509" s="8">
        <v>0</v>
      </c>
      <c r="O2509" s="8">
        <v>2</v>
      </c>
      <c r="P2509" s="8">
        <v>2</v>
      </c>
      <c r="Q2509" s="8">
        <v>2</v>
      </c>
      <c r="R2509" s="8">
        <v>2</v>
      </c>
      <c r="S2509" s="8">
        <v>2</v>
      </c>
      <c r="T2509" s="8">
        <v>2</v>
      </c>
      <c r="U2509" s="8">
        <v>0</v>
      </c>
      <c r="V2509" s="8">
        <v>2</v>
      </c>
      <c r="W2509" s="8">
        <v>2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2</v>
      </c>
      <c r="AI2509" s="8">
        <v>0</v>
      </c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11" t="s">
        <v>259</v>
      </c>
    </row>
    <row r="2510" spans="1:46" ht="15.1" customHeight="1">
      <c r="A2510" s="8"/>
      <c r="B2510" s="9"/>
      <c r="C2510" s="8"/>
      <c r="D2510" s="9"/>
      <c r="E2510" s="8">
        <v>0</v>
      </c>
      <c r="F2510" s="8">
        <v>0</v>
      </c>
      <c r="G2510" s="8">
        <v>0</v>
      </c>
      <c r="H2510" s="8">
        <v>5</v>
      </c>
      <c r="I2510" s="8">
        <v>7</v>
      </c>
      <c r="J2510" s="8">
        <v>7</v>
      </c>
      <c r="K2510" s="8">
        <v>7</v>
      </c>
      <c r="L2510" s="8">
        <v>7</v>
      </c>
      <c r="M2510" s="8">
        <v>5</v>
      </c>
      <c r="N2510" s="8">
        <v>17</v>
      </c>
      <c r="O2510" s="8">
        <v>7</v>
      </c>
      <c r="P2510" s="8">
        <v>7</v>
      </c>
      <c r="Q2510" s="8">
        <v>5</v>
      </c>
      <c r="R2510" s="8">
        <v>7</v>
      </c>
      <c r="S2510" s="8">
        <v>7</v>
      </c>
      <c r="T2510" s="8">
        <v>3</v>
      </c>
      <c r="U2510" s="8">
        <v>13</v>
      </c>
      <c r="V2510" s="8">
        <v>7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3</v>
      </c>
      <c r="AI2510" s="8">
        <v>0</v>
      </c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11" t="s">
        <v>259</v>
      </c>
    </row>
    <row r="2511" spans="1:46" ht="15.1" customHeight="1">
      <c r="A2511" s="8">
        <v>836</v>
      </c>
      <c r="B2511" s="9" t="s">
        <v>1906</v>
      </c>
      <c r="C2511" s="8" t="s">
        <v>1907</v>
      </c>
      <c r="D2511" s="9" t="s">
        <v>451</v>
      </c>
      <c r="E2511" s="8" t="s">
        <v>54</v>
      </c>
      <c r="F2511" s="8" t="s">
        <v>54</v>
      </c>
      <c r="G2511" s="10" t="s">
        <v>67</v>
      </c>
      <c r="H2511" s="8" t="s">
        <v>54</v>
      </c>
      <c r="I2511" s="8" t="s">
        <v>54</v>
      </c>
      <c r="J2511" s="8" t="s">
        <v>54</v>
      </c>
      <c r="K2511" s="8" t="s">
        <v>54</v>
      </c>
      <c r="L2511" s="8" t="s">
        <v>54</v>
      </c>
      <c r="M2511" s="8" t="s">
        <v>54</v>
      </c>
      <c r="N2511" s="10" t="s">
        <v>67</v>
      </c>
      <c r="O2511" s="8" t="s">
        <v>54</v>
      </c>
      <c r="P2511" s="8" t="s">
        <v>54</v>
      </c>
      <c r="Q2511" s="8" t="s">
        <v>54</v>
      </c>
      <c r="R2511" s="8" t="s">
        <v>54</v>
      </c>
      <c r="S2511" s="8" t="s">
        <v>54</v>
      </c>
      <c r="T2511" s="8" t="s">
        <v>54</v>
      </c>
      <c r="U2511" s="10" t="s">
        <v>67</v>
      </c>
      <c r="V2511" s="8" t="s">
        <v>54</v>
      </c>
      <c r="W2511" s="8" t="s">
        <v>54</v>
      </c>
      <c r="X2511" s="8" t="s">
        <v>54</v>
      </c>
      <c r="Y2511" s="8" t="s">
        <v>54</v>
      </c>
      <c r="Z2511" s="8" t="s">
        <v>54</v>
      </c>
      <c r="AA2511" s="8" t="s">
        <v>54</v>
      </c>
      <c r="AB2511" s="10" t="s">
        <v>67</v>
      </c>
      <c r="AC2511" s="8" t="s">
        <v>54</v>
      </c>
      <c r="AD2511" s="8" t="s">
        <v>54</v>
      </c>
      <c r="AE2511" s="8" t="s">
        <v>54</v>
      </c>
      <c r="AF2511" s="8" t="s">
        <v>54</v>
      </c>
      <c r="AG2511" s="8" t="s">
        <v>54</v>
      </c>
      <c r="AH2511" s="8" t="s">
        <v>54</v>
      </c>
      <c r="AI2511" s="10" t="s">
        <v>67</v>
      </c>
      <c r="AJ2511" s="8">
        <f>COUNTIF($E$2511:$AI$2511,"P")</f>
        <v>26</v>
      </c>
      <c r="AK2511" s="8">
        <f>COUNTIF($E$2511:$AI$2511,"A")</f>
        <v>0</v>
      </c>
      <c r="AL2511" s="8">
        <f>SUM($E$2512:$AI$2512)</f>
        <v>34</v>
      </c>
      <c r="AM2511" s="8">
        <f>SUM($E$2513:$AI$2513)</f>
        <v>135.5</v>
      </c>
      <c r="AN2511" s="8">
        <f>AL2511+AM2511</f>
        <v>169.5</v>
      </c>
      <c r="AO2511" s="8">
        <f>COUNTIF($E$2511:$AI$2511,"CL")</f>
        <v>0</v>
      </c>
      <c r="AP2511" s="8">
        <f>COUNTIF($E$2511:$AI$2511,"SL")</f>
        <v>0</v>
      </c>
      <c r="AQ2511" s="8">
        <f>COUNTIF($E$2511:$AI$2511,"EL")</f>
        <v>0</v>
      </c>
      <c r="AR2511" s="8">
        <f>COUNTIF($E$2511:$AI$2511,"H")</f>
        <v>0</v>
      </c>
      <c r="AS2511" s="8"/>
      <c r="AT2511" s="11" t="s">
        <v>259</v>
      </c>
    </row>
    <row r="2512" spans="1:46" ht="15.1" customHeight="1">
      <c r="A2512" s="8"/>
      <c r="B2512" s="9"/>
      <c r="C2512" s="8"/>
      <c r="D2512" s="9"/>
      <c r="E2512" s="8">
        <v>2</v>
      </c>
      <c r="F2512" s="8">
        <v>2</v>
      </c>
      <c r="G2512" s="8">
        <v>0</v>
      </c>
      <c r="H2512" s="8">
        <v>2</v>
      </c>
      <c r="I2512" s="8">
        <v>2</v>
      </c>
      <c r="J2512" s="8">
        <v>2</v>
      </c>
      <c r="K2512" s="8">
        <v>2</v>
      </c>
      <c r="L2512" s="8">
        <v>2</v>
      </c>
      <c r="M2512" s="8">
        <v>2</v>
      </c>
      <c r="N2512" s="8">
        <v>0</v>
      </c>
      <c r="O2512" s="8">
        <v>2</v>
      </c>
      <c r="P2512" s="8">
        <v>2</v>
      </c>
      <c r="Q2512" s="8">
        <v>2</v>
      </c>
      <c r="R2512" s="8">
        <v>2</v>
      </c>
      <c r="S2512" s="8">
        <v>2</v>
      </c>
      <c r="T2512" s="8">
        <v>2</v>
      </c>
      <c r="U2512" s="8">
        <v>0</v>
      </c>
      <c r="V2512" s="8">
        <v>2</v>
      </c>
      <c r="W2512" s="8">
        <v>2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2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11" t="s">
        <v>259</v>
      </c>
    </row>
    <row r="2513" spans="1:46" ht="15.1" customHeight="1">
      <c r="A2513" s="8"/>
      <c r="B2513" s="9"/>
      <c r="C2513" s="8"/>
      <c r="D2513" s="9"/>
      <c r="E2513" s="8">
        <v>5</v>
      </c>
      <c r="F2513" s="8">
        <v>3</v>
      </c>
      <c r="G2513" s="8">
        <v>14</v>
      </c>
      <c r="H2513" s="8">
        <v>5</v>
      </c>
      <c r="I2513" s="8">
        <v>7</v>
      </c>
      <c r="J2513" s="8">
        <v>7</v>
      </c>
      <c r="K2513" s="8">
        <v>7</v>
      </c>
      <c r="L2513" s="8">
        <v>7</v>
      </c>
      <c r="M2513" s="8">
        <v>5</v>
      </c>
      <c r="N2513" s="8">
        <v>16.5</v>
      </c>
      <c r="O2513" s="8">
        <v>7</v>
      </c>
      <c r="P2513" s="8">
        <v>7</v>
      </c>
      <c r="Q2513" s="8">
        <v>5</v>
      </c>
      <c r="R2513" s="8">
        <v>8</v>
      </c>
      <c r="S2513" s="8">
        <v>7</v>
      </c>
      <c r="T2513" s="8">
        <v>3</v>
      </c>
      <c r="U2513" s="8">
        <v>13</v>
      </c>
      <c r="V2513" s="8">
        <v>7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2</v>
      </c>
      <c r="AE2513" s="8">
        <v>0</v>
      </c>
      <c r="AF2513" s="8">
        <v>0</v>
      </c>
      <c r="AG2513" s="8">
        <v>0</v>
      </c>
      <c r="AH2513" s="8">
        <v>0</v>
      </c>
      <c r="AI2513" s="8">
        <v>0</v>
      </c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11" t="s">
        <v>259</v>
      </c>
    </row>
    <row r="2514" spans="1:46" ht="15.1" customHeight="1">
      <c r="A2514" s="8">
        <v>837</v>
      </c>
      <c r="B2514" s="9" t="s">
        <v>1908</v>
      </c>
      <c r="C2514" s="8" t="s">
        <v>1909</v>
      </c>
      <c r="D2514" s="9" t="s">
        <v>451</v>
      </c>
      <c r="E2514" s="8" t="s">
        <v>54</v>
      </c>
      <c r="F2514" s="8" t="s">
        <v>54</v>
      </c>
      <c r="G2514" s="10" t="s">
        <v>67</v>
      </c>
      <c r="H2514" s="8" t="s">
        <v>54</v>
      </c>
      <c r="I2514" s="8" t="s">
        <v>54</v>
      </c>
      <c r="J2514" s="8" t="s">
        <v>54</v>
      </c>
      <c r="K2514" s="8" t="s">
        <v>54</v>
      </c>
      <c r="L2514" s="8" t="s">
        <v>54</v>
      </c>
      <c r="M2514" s="8" t="s">
        <v>54</v>
      </c>
      <c r="N2514" s="10" t="s">
        <v>67</v>
      </c>
      <c r="O2514" s="8" t="s">
        <v>54</v>
      </c>
      <c r="P2514" s="8" t="s">
        <v>54</v>
      </c>
      <c r="Q2514" s="8" t="s">
        <v>54</v>
      </c>
      <c r="R2514" s="8" t="s">
        <v>54</v>
      </c>
      <c r="S2514" s="8" t="s">
        <v>54</v>
      </c>
      <c r="T2514" s="8" t="s">
        <v>54</v>
      </c>
      <c r="U2514" s="10" t="s">
        <v>67</v>
      </c>
      <c r="V2514" s="8" t="s">
        <v>54</v>
      </c>
      <c r="W2514" s="8" t="s">
        <v>54</v>
      </c>
      <c r="X2514" s="8" t="s">
        <v>54</v>
      </c>
      <c r="Y2514" s="8" t="s">
        <v>54</v>
      </c>
      <c r="Z2514" s="8" t="s">
        <v>54</v>
      </c>
      <c r="AA2514" s="8" t="s">
        <v>54</v>
      </c>
      <c r="AB2514" s="10" t="s">
        <v>67</v>
      </c>
      <c r="AC2514" s="8" t="s">
        <v>54</v>
      </c>
      <c r="AD2514" s="8" t="s">
        <v>54</v>
      </c>
      <c r="AE2514" s="8" t="s">
        <v>54</v>
      </c>
      <c r="AF2514" s="8" t="s">
        <v>54</v>
      </c>
      <c r="AG2514" s="8" t="s">
        <v>54</v>
      </c>
      <c r="AH2514" s="8" t="s">
        <v>54</v>
      </c>
      <c r="AI2514" s="10" t="s">
        <v>67</v>
      </c>
      <c r="AJ2514" s="8">
        <f>COUNTIF($E$2514:$AI$2514,"P")</f>
        <v>26</v>
      </c>
      <c r="AK2514" s="8">
        <f>COUNTIF($E$2514:$AI$2514,"A")</f>
        <v>0</v>
      </c>
      <c r="AL2514" s="8">
        <f>SUM($E$2515:$AI$2515)</f>
        <v>30</v>
      </c>
      <c r="AM2514" s="8">
        <f>SUM($E$2516:$AI$2516)</f>
        <v>122.5</v>
      </c>
      <c r="AN2514" s="8">
        <f>AL2514+AM2514</f>
        <v>152.5</v>
      </c>
      <c r="AO2514" s="8">
        <f>COUNTIF($E$2514:$AI$2514,"CL")</f>
        <v>0</v>
      </c>
      <c r="AP2514" s="8">
        <f>COUNTIF($E$2514:$AI$2514,"SL")</f>
        <v>0</v>
      </c>
      <c r="AQ2514" s="8">
        <f>COUNTIF($E$2514:$AI$2514,"EL")</f>
        <v>0</v>
      </c>
      <c r="AR2514" s="8">
        <f>COUNTIF($E$2514:$AI$2514,"H")</f>
        <v>0</v>
      </c>
      <c r="AS2514" s="8"/>
      <c r="AT2514" s="11" t="s">
        <v>259</v>
      </c>
    </row>
    <row r="2515" spans="1:46" ht="15.1" customHeight="1">
      <c r="A2515" s="8"/>
      <c r="B2515" s="9"/>
      <c r="C2515" s="8"/>
      <c r="D2515" s="9"/>
      <c r="E2515" s="8">
        <v>2</v>
      </c>
      <c r="F2515" s="8">
        <v>2</v>
      </c>
      <c r="G2515" s="8">
        <v>0</v>
      </c>
      <c r="H2515" s="8">
        <v>2</v>
      </c>
      <c r="I2515" s="8">
        <v>2</v>
      </c>
      <c r="J2515" s="8">
        <v>2</v>
      </c>
      <c r="K2515" s="8">
        <v>2</v>
      </c>
      <c r="L2515" s="8">
        <v>2</v>
      </c>
      <c r="M2515" s="8">
        <v>2</v>
      </c>
      <c r="N2515" s="8">
        <v>0</v>
      </c>
      <c r="O2515" s="8">
        <v>2</v>
      </c>
      <c r="P2515" s="8">
        <v>2</v>
      </c>
      <c r="Q2515" s="8">
        <v>0</v>
      </c>
      <c r="R2515" s="8">
        <v>2</v>
      </c>
      <c r="S2515" s="8">
        <v>2</v>
      </c>
      <c r="T2515" s="8">
        <v>2</v>
      </c>
      <c r="U2515" s="8">
        <v>0</v>
      </c>
      <c r="V2515" s="8">
        <v>2</v>
      </c>
      <c r="W2515" s="8">
        <v>2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11" t="s">
        <v>259</v>
      </c>
    </row>
    <row r="2516" spans="1:46" ht="15.1" customHeight="1">
      <c r="A2516" s="8"/>
      <c r="B2516" s="9"/>
      <c r="C2516" s="8"/>
      <c r="D2516" s="9"/>
      <c r="E2516" s="8">
        <v>5</v>
      </c>
      <c r="F2516" s="8">
        <v>3</v>
      </c>
      <c r="G2516" s="8">
        <v>13.5</v>
      </c>
      <c r="H2516" s="8">
        <v>5</v>
      </c>
      <c r="I2516" s="8">
        <v>7</v>
      </c>
      <c r="J2516" s="8">
        <v>7</v>
      </c>
      <c r="K2516" s="8">
        <v>7</v>
      </c>
      <c r="L2516" s="8">
        <v>7</v>
      </c>
      <c r="M2516" s="8">
        <v>5</v>
      </c>
      <c r="N2516" s="8">
        <v>16.5</v>
      </c>
      <c r="O2516" s="8">
        <v>7</v>
      </c>
      <c r="P2516" s="8">
        <v>7</v>
      </c>
      <c r="Q2516" s="8">
        <v>0</v>
      </c>
      <c r="R2516" s="8">
        <v>7</v>
      </c>
      <c r="S2516" s="8">
        <v>7</v>
      </c>
      <c r="T2516" s="8">
        <v>3</v>
      </c>
      <c r="U2516" s="8">
        <v>12.5</v>
      </c>
      <c r="V2516" s="8">
        <v>3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11" t="s">
        <v>259</v>
      </c>
    </row>
    <row r="2517" spans="1:46" ht="15.1" customHeight="1">
      <c r="A2517" s="8">
        <v>838</v>
      </c>
      <c r="B2517" s="9" t="s">
        <v>1910</v>
      </c>
      <c r="C2517" s="8" t="s">
        <v>1911</v>
      </c>
      <c r="D2517" s="9" t="s">
        <v>532</v>
      </c>
      <c r="E2517" s="12" t="s">
        <v>55</v>
      </c>
      <c r="F2517" s="8" t="s">
        <v>54</v>
      </c>
      <c r="G2517" s="10" t="s">
        <v>67</v>
      </c>
      <c r="H2517" s="8" t="s">
        <v>54</v>
      </c>
      <c r="I2517" s="8" t="s">
        <v>54</v>
      </c>
      <c r="J2517" s="8" t="s">
        <v>54</v>
      </c>
      <c r="K2517" s="12" t="s">
        <v>55</v>
      </c>
      <c r="L2517" s="8" t="s">
        <v>54</v>
      </c>
      <c r="M2517" s="8" t="s">
        <v>54</v>
      </c>
      <c r="N2517" s="10" t="s">
        <v>67</v>
      </c>
      <c r="O2517" s="8" t="s">
        <v>54</v>
      </c>
      <c r="P2517" s="12" t="s">
        <v>55</v>
      </c>
      <c r="Q2517" s="8" t="s">
        <v>54</v>
      </c>
      <c r="R2517" s="8" t="s">
        <v>54</v>
      </c>
      <c r="S2517" s="8" t="s">
        <v>54</v>
      </c>
      <c r="T2517" s="8" t="s">
        <v>54</v>
      </c>
      <c r="U2517" s="10" t="s">
        <v>67</v>
      </c>
      <c r="V2517" s="8" t="s">
        <v>54</v>
      </c>
      <c r="W2517" s="8" t="s">
        <v>54</v>
      </c>
      <c r="X2517" s="8" t="s">
        <v>54</v>
      </c>
      <c r="Y2517" s="8" t="s">
        <v>54</v>
      </c>
      <c r="Z2517" s="8" t="s">
        <v>54</v>
      </c>
      <c r="AA2517" s="8" t="s">
        <v>54</v>
      </c>
      <c r="AB2517" s="10" t="s">
        <v>67</v>
      </c>
      <c r="AC2517" s="12" t="s">
        <v>55</v>
      </c>
      <c r="AD2517" s="12" t="s">
        <v>55</v>
      </c>
      <c r="AE2517" s="8" t="s">
        <v>54</v>
      </c>
      <c r="AF2517" s="8" t="s">
        <v>54</v>
      </c>
      <c r="AG2517" s="8" t="s">
        <v>54</v>
      </c>
      <c r="AH2517" s="12" t="s">
        <v>55</v>
      </c>
      <c r="AI2517" s="10" t="s">
        <v>67</v>
      </c>
      <c r="AJ2517" s="8">
        <f>COUNTIF($E$2517:$AI$2517,"P")</f>
        <v>20</v>
      </c>
      <c r="AK2517" s="8">
        <f>COUNTIF($E$2517:$AI$2517,"A")</f>
        <v>6</v>
      </c>
      <c r="AL2517" s="8">
        <f>SUM($E$2518:$AI$2518)</f>
        <v>31</v>
      </c>
      <c r="AM2517" s="8">
        <f>SUM($E$2519:$AI$2519)</f>
        <v>106.5</v>
      </c>
      <c r="AN2517" s="8">
        <f>AL2517+AM2517</f>
        <v>137</v>
      </c>
      <c r="AO2517" s="8">
        <f>COUNTIF($E$2517:$AI$2517,"CL")</f>
        <v>0</v>
      </c>
      <c r="AP2517" s="8">
        <f>COUNTIF($E$2517:$AI$2517,"SL")</f>
        <v>0</v>
      </c>
      <c r="AQ2517" s="8">
        <f>COUNTIF($E$2517:$AI$2517,"EL")</f>
        <v>0</v>
      </c>
      <c r="AR2517" s="8">
        <f>COUNTIF($E$2517:$AI$2517,"H")</f>
        <v>0</v>
      </c>
      <c r="AS2517" s="8"/>
      <c r="AT2517" s="11" t="s">
        <v>18</v>
      </c>
    </row>
    <row r="2518" spans="1:46" ht="15.1" customHeight="1">
      <c r="A2518" s="8"/>
      <c r="B2518" s="9"/>
      <c r="C2518" s="8"/>
      <c r="D2518" s="9"/>
      <c r="E2518" s="8">
        <v>0</v>
      </c>
      <c r="F2518" s="8">
        <v>2</v>
      </c>
      <c r="G2518" s="8">
        <v>0</v>
      </c>
      <c r="H2518" s="8">
        <v>2</v>
      </c>
      <c r="I2518" s="8">
        <v>2</v>
      </c>
      <c r="J2518" s="8">
        <v>2</v>
      </c>
      <c r="K2518" s="8">
        <v>0</v>
      </c>
      <c r="L2518" s="8">
        <v>2</v>
      </c>
      <c r="M2518" s="8">
        <v>2</v>
      </c>
      <c r="N2518" s="8">
        <v>0</v>
      </c>
      <c r="O2518" s="8">
        <v>2</v>
      </c>
      <c r="P2518" s="8">
        <v>0</v>
      </c>
      <c r="Q2518" s="8">
        <v>2</v>
      </c>
      <c r="R2518" s="8">
        <v>2</v>
      </c>
      <c r="S2518" s="8">
        <v>2</v>
      </c>
      <c r="T2518" s="8">
        <v>2</v>
      </c>
      <c r="U2518" s="8">
        <v>0</v>
      </c>
      <c r="V2518" s="8">
        <v>2</v>
      </c>
      <c r="W2518" s="8">
        <v>2</v>
      </c>
      <c r="X2518" s="8">
        <v>2</v>
      </c>
      <c r="Y2518" s="8">
        <v>0</v>
      </c>
      <c r="Z2518" s="8">
        <v>0</v>
      </c>
      <c r="AA2518" s="8">
        <v>1</v>
      </c>
      <c r="AB2518" s="8">
        <v>0</v>
      </c>
      <c r="AC2518" s="8">
        <v>0</v>
      </c>
      <c r="AD2518" s="8">
        <v>0</v>
      </c>
      <c r="AE2518" s="8">
        <v>2</v>
      </c>
      <c r="AF2518" s="8">
        <v>0</v>
      </c>
      <c r="AG2518" s="8">
        <v>0</v>
      </c>
      <c r="AH2518" s="8">
        <v>0</v>
      </c>
      <c r="AI2518" s="8">
        <v>0</v>
      </c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11" t="s">
        <v>18</v>
      </c>
    </row>
    <row r="2519" spans="1:46" ht="15.1" customHeight="1">
      <c r="A2519" s="8"/>
      <c r="B2519" s="9"/>
      <c r="C2519" s="8"/>
      <c r="D2519" s="9"/>
      <c r="E2519" s="8">
        <v>0</v>
      </c>
      <c r="F2519" s="8">
        <v>3</v>
      </c>
      <c r="G2519" s="8">
        <v>0</v>
      </c>
      <c r="H2519" s="8">
        <v>8</v>
      </c>
      <c r="I2519" s="8">
        <v>8</v>
      </c>
      <c r="J2519" s="8">
        <v>7</v>
      </c>
      <c r="K2519" s="8">
        <v>0</v>
      </c>
      <c r="L2519" s="8">
        <v>8</v>
      </c>
      <c r="M2519" s="8">
        <v>7</v>
      </c>
      <c r="N2519" s="8">
        <v>16.5</v>
      </c>
      <c r="O2519" s="8">
        <v>7</v>
      </c>
      <c r="P2519" s="8">
        <v>0</v>
      </c>
      <c r="Q2519" s="8">
        <v>10</v>
      </c>
      <c r="R2519" s="8">
        <v>6</v>
      </c>
      <c r="S2519" s="8">
        <v>0</v>
      </c>
      <c r="T2519" s="8">
        <v>5</v>
      </c>
      <c r="U2519" s="8">
        <v>0</v>
      </c>
      <c r="V2519" s="8">
        <v>9</v>
      </c>
      <c r="W2519" s="8">
        <v>5</v>
      </c>
      <c r="X2519" s="8">
        <v>7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11" t="s">
        <v>18</v>
      </c>
    </row>
    <row r="2520" spans="1:46" ht="15.1" customHeight="1">
      <c r="A2520" s="8">
        <v>839</v>
      </c>
      <c r="B2520" s="9" t="s">
        <v>1912</v>
      </c>
      <c r="C2520" s="8" t="s">
        <v>1913</v>
      </c>
      <c r="D2520" s="9" t="s">
        <v>532</v>
      </c>
      <c r="E2520" s="8" t="s">
        <v>54</v>
      </c>
      <c r="F2520" s="8" t="s">
        <v>54</v>
      </c>
      <c r="G2520" s="10" t="s">
        <v>67</v>
      </c>
      <c r="H2520" s="8" t="s">
        <v>54</v>
      </c>
      <c r="I2520" s="8" t="s">
        <v>54</v>
      </c>
      <c r="J2520" s="8" t="s">
        <v>54</v>
      </c>
      <c r="K2520" s="8" t="s">
        <v>54</v>
      </c>
      <c r="L2520" s="8" t="s">
        <v>54</v>
      </c>
      <c r="M2520" s="8" t="s">
        <v>54</v>
      </c>
      <c r="N2520" s="10" t="s">
        <v>67</v>
      </c>
      <c r="O2520" s="8" t="s">
        <v>54</v>
      </c>
      <c r="P2520" s="8" t="s">
        <v>54</v>
      </c>
      <c r="Q2520" s="8" t="s">
        <v>54</v>
      </c>
      <c r="R2520" s="8" t="s">
        <v>54</v>
      </c>
      <c r="S2520" s="8" t="s">
        <v>54</v>
      </c>
      <c r="T2520" s="8" t="s">
        <v>54</v>
      </c>
      <c r="U2520" s="10" t="s">
        <v>67</v>
      </c>
      <c r="V2520" s="8" t="s">
        <v>54</v>
      </c>
      <c r="W2520" s="8" t="s">
        <v>54</v>
      </c>
      <c r="X2520" s="8" t="s">
        <v>54</v>
      </c>
      <c r="Y2520" s="8" t="s">
        <v>54</v>
      </c>
      <c r="Z2520" s="8" t="s">
        <v>54</v>
      </c>
      <c r="AA2520" s="12" t="s">
        <v>55</v>
      </c>
      <c r="AB2520" s="10" t="s">
        <v>67</v>
      </c>
      <c r="AC2520" s="12" t="s">
        <v>55</v>
      </c>
      <c r="AD2520" s="8" t="s">
        <v>54</v>
      </c>
      <c r="AE2520" s="8" t="s">
        <v>54</v>
      </c>
      <c r="AF2520" s="8" t="s">
        <v>54</v>
      </c>
      <c r="AG2520" s="8" t="s">
        <v>54</v>
      </c>
      <c r="AH2520" s="8" t="s">
        <v>54</v>
      </c>
      <c r="AI2520" s="10" t="s">
        <v>67</v>
      </c>
      <c r="AJ2520" s="8">
        <f>COUNTIF($E$2520:$AI$2520,"P")</f>
        <v>24</v>
      </c>
      <c r="AK2520" s="8">
        <f>COUNTIF($E$2520:$AI$2520,"A")</f>
        <v>2</v>
      </c>
      <c r="AL2520" s="8">
        <f>SUM($E$2521:$AI$2521)</f>
        <v>36</v>
      </c>
      <c r="AM2520" s="8">
        <f>SUM($E$2522:$AI$2522)</f>
        <v>177</v>
      </c>
      <c r="AN2520" s="8">
        <f>AL2520+AM2520</f>
        <v>213</v>
      </c>
      <c r="AO2520" s="8">
        <f>COUNTIF($E$2520:$AI$2520,"CL")</f>
        <v>0</v>
      </c>
      <c r="AP2520" s="8">
        <f>COUNTIF($E$2520:$AI$2520,"SL")</f>
        <v>0</v>
      </c>
      <c r="AQ2520" s="8">
        <f>COUNTIF($E$2520:$AI$2520,"EL")</f>
        <v>0</v>
      </c>
      <c r="AR2520" s="8">
        <f>COUNTIF($E$2520:$AI$2520,"H")</f>
        <v>0</v>
      </c>
      <c r="AS2520" s="8"/>
      <c r="AT2520" s="11" t="s">
        <v>18</v>
      </c>
    </row>
    <row r="2521" spans="1:46" ht="15.1" customHeight="1">
      <c r="A2521" s="8"/>
      <c r="B2521" s="9"/>
      <c r="C2521" s="8"/>
      <c r="D2521" s="9"/>
      <c r="E2521" s="8">
        <v>2</v>
      </c>
      <c r="F2521" s="8">
        <v>2</v>
      </c>
      <c r="G2521" s="8">
        <v>0</v>
      </c>
      <c r="H2521" s="8">
        <v>0</v>
      </c>
      <c r="I2521" s="8">
        <v>2</v>
      </c>
      <c r="J2521" s="8">
        <v>2</v>
      </c>
      <c r="K2521" s="8">
        <v>2</v>
      </c>
      <c r="L2521" s="8">
        <v>2</v>
      </c>
      <c r="M2521" s="8">
        <v>2</v>
      </c>
      <c r="N2521" s="8">
        <v>0</v>
      </c>
      <c r="O2521" s="8">
        <v>2</v>
      </c>
      <c r="P2521" s="8">
        <v>2</v>
      </c>
      <c r="Q2521" s="8">
        <v>2</v>
      </c>
      <c r="R2521" s="8">
        <v>2</v>
      </c>
      <c r="S2521" s="8">
        <v>2</v>
      </c>
      <c r="T2521" s="8">
        <v>2</v>
      </c>
      <c r="U2521" s="8">
        <v>0</v>
      </c>
      <c r="V2521" s="8">
        <v>2</v>
      </c>
      <c r="W2521" s="8">
        <v>0</v>
      </c>
      <c r="X2521" s="8">
        <v>2</v>
      </c>
      <c r="Y2521" s="8">
        <v>2</v>
      </c>
      <c r="Z2521" s="8">
        <v>0</v>
      </c>
      <c r="AA2521" s="8">
        <v>0</v>
      </c>
      <c r="AB2521" s="8">
        <v>0</v>
      </c>
      <c r="AC2521" s="8">
        <v>0</v>
      </c>
      <c r="AD2521" s="8">
        <v>2</v>
      </c>
      <c r="AE2521" s="8">
        <v>0</v>
      </c>
      <c r="AF2521" s="8">
        <v>0</v>
      </c>
      <c r="AG2521" s="8">
        <v>0</v>
      </c>
      <c r="AH2521" s="8">
        <v>2</v>
      </c>
      <c r="AI2521" s="8">
        <v>0</v>
      </c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11" t="s">
        <v>18</v>
      </c>
    </row>
    <row r="2522" spans="1:46" ht="15.1" customHeight="1">
      <c r="A2522" s="8"/>
      <c r="B2522" s="9"/>
      <c r="C2522" s="8"/>
      <c r="D2522" s="9"/>
      <c r="E2522" s="8">
        <v>9.5</v>
      </c>
      <c r="F2522" s="8">
        <v>5.5</v>
      </c>
      <c r="G2522" s="8">
        <v>14</v>
      </c>
      <c r="H2522" s="8">
        <v>0</v>
      </c>
      <c r="I2522" s="8">
        <v>9.5</v>
      </c>
      <c r="J2522" s="8">
        <v>8</v>
      </c>
      <c r="K2522" s="8">
        <v>10</v>
      </c>
      <c r="L2522" s="8">
        <v>8</v>
      </c>
      <c r="M2522" s="8">
        <v>0</v>
      </c>
      <c r="N2522" s="8">
        <v>18</v>
      </c>
      <c r="O2522" s="8">
        <v>7</v>
      </c>
      <c r="P2522" s="8">
        <v>10</v>
      </c>
      <c r="Q2522" s="8">
        <v>10.5</v>
      </c>
      <c r="R2522" s="8">
        <v>7</v>
      </c>
      <c r="S2522" s="8">
        <v>10</v>
      </c>
      <c r="T2522" s="8">
        <v>10</v>
      </c>
      <c r="U2522" s="8">
        <v>13</v>
      </c>
      <c r="V2522" s="8">
        <v>11</v>
      </c>
      <c r="W2522" s="8">
        <v>0</v>
      </c>
      <c r="X2522" s="8">
        <v>9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7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11" t="s">
        <v>18</v>
      </c>
    </row>
    <row r="2523" spans="1:46" ht="15.1" customHeight="1">
      <c r="A2523" s="8">
        <v>840</v>
      </c>
      <c r="B2523" s="9" t="s">
        <v>1914</v>
      </c>
      <c r="C2523" s="8" t="s">
        <v>1915</v>
      </c>
      <c r="D2523" s="9" t="s">
        <v>532</v>
      </c>
      <c r="E2523" s="8" t="s">
        <v>54</v>
      </c>
      <c r="F2523" s="8" t="s">
        <v>54</v>
      </c>
      <c r="G2523" s="10" t="s">
        <v>67</v>
      </c>
      <c r="H2523" s="8" t="s">
        <v>54</v>
      </c>
      <c r="I2523" s="8" t="s">
        <v>54</v>
      </c>
      <c r="J2523" s="8" t="s">
        <v>54</v>
      </c>
      <c r="K2523" s="8" t="s">
        <v>54</v>
      </c>
      <c r="L2523" s="8" t="s">
        <v>54</v>
      </c>
      <c r="M2523" s="8" t="s">
        <v>54</v>
      </c>
      <c r="N2523" s="10" t="s">
        <v>67</v>
      </c>
      <c r="O2523" s="8" t="s">
        <v>54</v>
      </c>
      <c r="P2523" s="8" t="s">
        <v>54</v>
      </c>
      <c r="Q2523" s="8" t="s">
        <v>54</v>
      </c>
      <c r="R2523" s="8" t="s">
        <v>54</v>
      </c>
      <c r="S2523" s="8" t="s">
        <v>54</v>
      </c>
      <c r="T2523" s="8" t="s">
        <v>54</v>
      </c>
      <c r="U2523" s="10" t="s">
        <v>67</v>
      </c>
      <c r="V2523" s="8" t="s">
        <v>54</v>
      </c>
      <c r="W2523" s="8" t="s">
        <v>54</v>
      </c>
      <c r="X2523" s="8" t="s">
        <v>54</v>
      </c>
      <c r="Y2523" s="12" t="s">
        <v>55</v>
      </c>
      <c r="Z2523" s="12" t="s">
        <v>55</v>
      </c>
      <c r="AA2523" s="12" t="s">
        <v>55</v>
      </c>
      <c r="AB2523" s="10" t="s">
        <v>67</v>
      </c>
      <c r="AC2523" s="8" t="s">
        <v>54</v>
      </c>
      <c r="AD2523" s="8" t="s">
        <v>54</v>
      </c>
      <c r="AE2523" s="8" t="s">
        <v>54</v>
      </c>
      <c r="AF2523" s="8" t="s">
        <v>54</v>
      </c>
      <c r="AG2523" s="8" t="s">
        <v>54</v>
      </c>
      <c r="AH2523" s="12" t="s">
        <v>55</v>
      </c>
      <c r="AI2523" s="10" t="s">
        <v>67</v>
      </c>
      <c r="AJ2523" s="8">
        <f>COUNTIF($E$2523:$AI$2523,"P")</f>
        <v>22</v>
      </c>
      <c r="AK2523" s="8">
        <f>COUNTIF($E$2523:$AI$2523,"A")</f>
        <v>4</v>
      </c>
      <c r="AL2523" s="8">
        <f>SUM($E$2524:$AI$2524)</f>
        <v>36</v>
      </c>
      <c r="AM2523" s="8">
        <f>SUM($E$2525:$AI$2525)</f>
        <v>168</v>
      </c>
      <c r="AN2523" s="8">
        <f>AL2523+AM2523</f>
        <v>204</v>
      </c>
      <c r="AO2523" s="8">
        <f>COUNTIF($E$2523:$AI$2523,"CL")</f>
        <v>0</v>
      </c>
      <c r="AP2523" s="8">
        <f>COUNTIF($E$2523:$AI$2523,"SL")</f>
        <v>0</v>
      </c>
      <c r="AQ2523" s="8">
        <f>COUNTIF($E$2523:$AI$2523,"EL")</f>
        <v>0</v>
      </c>
      <c r="AR2523" s="8">
        <f>COUNTIF($E$2523:$AI$2523,"H")</f>
        <v>0</v>
      </c>
      <c r="AS2523" s="8"/>
      <c r="AT2523" s="11" t="s">
        <v>18</v>
      </c>
    </row>
    <row r="2524" spans="1:46" ht="15.1" customHeight="1">
      <c r="A2524" s="8"/>
      <c r="B2524" s="9"/>
      <c r="C2524" s="8"/>
      <c r="D2524" s="9"/>
      <c r="E2524" s="8">
        <v>2</v>
      </c>
      <c r="F2524" s="8">
        <v>2</v>
      </c>
      <c r="G2524" s="8">
        <v>0</v>
      </c>
      <c r="H2524" s="8">
        <v>2</v>
      </c>
      <c r="I2524" s="8">
        <v>2</v>
      </c>
      <c r="J2524" s="8">
        <v>2</v>
      </c>
      <c r="K2524" s="8">
        <v>2</v>
      </c>
      <c r="L2524" s="8">
        <v>2</v>
      </c>
      <c r="M2524" s="8">
        <v>2</v>
      </c>
      <c r="N2524" s="8">
        <v>0</v>
      </c>
      <c r="O2524" s="8">
        <v>2</v>
      </c>
      <c r="P2524" s="8">
        <v>2</v>
      </c>
      <c r="Q2524" s="8">
        <v>2</v>
      </c>
      <c r="R2524" s="8">
        <v>2</v>
      </c>
      <c r="S2524" s="8">
        <v>2</v>
      </c>
      <c r="T2524" s="8">
        <v>2</v>
      </c>
      <c r="U2524" s="8">
        <v>0</v>
      </c>
      <c r="V2524" s="8">
        <v>2</v>
      </c>
      <c r="W2524" s="8">
        <v>2</v>
      </c>
      <c r="X2524" s="8">
        <v>2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2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11" t="s">
        <v>18</v>
      </c>
    </row>
    <row r="2525" spans="1:46" ht="15.1" customHeight="1">
      <c r="A2525" s="8"/>
      <c r="B2525" s="9"/>
      <c r="C2525" s="8"/>
      <c r="D2525" s="9"/>
      <c r="E2525" s="8">
        <v>6</v>
      </c>
      <c r="F2525" s="8">
        <v>3.5</v>
      </c>
      <c r="G2525" s="8">
        <v>14.5</v>
      </c>
      <c r="H2525" s="8">
        <v>8</v>
      </c>
      <c r="I2525" s="8">
        <v>8</v>
      </c>
      <c r="J2525" s="8">
        <v>7</v>
      </c>
      <c r="K2525" s="8">
        <v>6.5</v>
      </c>
      <c r="L2525" s="8">
        <v>6</v>
      </c>
      <c r="M2525" s="8">
        <v>5.5</v>
      </c>
      <c r="N2525" s="8">
        <v>18</v>
      </c>
      <c r="O2525" s="8">
        <v>7</v>
      </c>
      <c r="P2525" s="8">
        <v>7</v>
      </c>
      <c r="Q2525" s="8">
        <v>10</v>
      </c>
      <c r="R2525" s="8">
        <v>7</v>
      </c>
      <c r="S2525" s="8">
        <v>8</v>
      </c>
      <c r="T2525" s="8">
        <v>9</v>
      </c>
      <c r="U2525" s="8">
        <v>12</v>
      </c>
      <c r="V2525" s="8">
        <v>7</v>
      </c>
      <c r="W2525" s="8">
        <v>10</v>
      </c>
      <c r="X2525" s="8">
        <v>1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7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11" t="s">
        <v>18</v>
      </c>
    </row>
    <row r="2526" spans="1:46" ht="15.1" customHeight="1">
      <c r="A2526" s="8">
        <v>841</v>
      </c>
      <c r="B2526" s="9" t="s">
        <v>1916</v>
      </c>
      <c r="C2526" s="8" t="s">
        <v>1917</v>
      </c>
      <c r="D2526" s="9" t="s">
        <v>532</v>
      </c>
      <c r="E2526" s="8" t="s">
        <v>54</v>
      </c>
      <c r="F2526" s="8" t="s">
        <v>54</v>
      </c>
      <c r="G2526" s="10" t="s">
        <v>67</v>
      </c>
      <c r="H2526" s="12" t="s">
        <v>55</v>
      </c>
      <c r="I2526" s="12" t="s">
        <v>55</v>
      </c>
      <c r="J2526" s="12" t="s">
        <v>55</v>
      </c>
      <c r="K2526" s="8" t="s">
        <v>54</v>
      </c>
      <c r="L2526" s="8" t="s">
        <v>54</v>
      </c>
      <c r="M2526" s="8" t="s">
        <v>54</v>
      </c>
      <c r="N2526" s="10" t="s">
        <v>67</v>
      </c>
      <c r="O2526" s="8" t="s">
        <v>54</v>
      </c>
      <c r="P2526" s="12" t="s">
        <v>55</v>
      </c>
      <c r="Q2526" s="8" t="s">
        <v>54</v>
      </c>
      <c r="R2526" s="8" t="s">
        <v>54</v>
      </c>
      <c r="S2526" s="8" t="s">
        <v>54</v>
      </c>
      <c r="T2526" s="8" t="s">
        <v>54</v>
      </c>
      <c r="U2526" s="10" t="s">
        <v>67</v>
      </c>
      <c r="V2526" s="8" t="s">
        <v>54</v>
      </c>
      <c r="W2526" s="8" t="s">
        <v>54</v>
      </c>
      <c r="X2526" s="12" t="s">
        <v>55</v>
      </c>
      <c r="Y2526" s="8" t="s">
        <v>54</v>
      </c>
      <c r="Z2526" s="8" t="s">
        <v>54</v>
      </c>
      <c r="AA2526" s="8" t="s">
        <v>54</v>
      </c>
      <c r="AB2526" s="10" t="s">
        <v>67</v>
      </c>
      <c r="AC2526" s="8" t="s">
        <v>54</v>
      </c>
      <c r="AD2526" s="8" t="s">
        <v>54</v>
      </c>
      <c r="AE2526" s="8" t="s">
        <v>54</v>
      </c>
      <c r="AF2526" s="8" t="s">
        <v>54</v>
      </c>
      <c r="AG2526" s="8" t="s">
        <v>54</v>
      </c>
      <c r="AH2526" s="8" t="s">
        <v>54</v>
      </c>
      <c r="AI2526" s="10" t="s">
        <v>67</v>
      </c>
      <c r="AJ2526" s="8">
        <f>COUNTIF($E$2526:$AI$2526,"P")</f>
        <v>21</v>
      </c>
      <c r="AK2526" s="8">
        <f>COUNTIF($E$2526:$AI$2526,"A")</f>
        <v>5</v>
      </c>
      <c r="AL2526" s="8">
        <f>SUM($E$2527:$AI$2527)</f>
        <v>33</v>
      </c>
      <c r="AM2526" s="8">
        <f>SUM($E$2528:$AI$2528)</f>
        <v>113.5</v>
      </c>
      <c r="AN2526" s="8">
        <f>AL2526+AM2526</f>
        <v>146</v>
      </c>
      <c r="AO2526" s="8">
        <f>COUNTIF($E$2526:$AI$2526,"CL")</f>
        <v>0</v>
      </c>
      <c r="AP2526" s="8">
        <f>COUNTIF($E$2526:$AI$2526,"SL")</f>
        <v>0</v>
      </c>
      <c r="AQ2526" s="8">
        <f>COUNTIF($E$2526:$AI$2526,"EL")</f>
        <v>0</v>
      </c>
      <c r="AR2526" s="8">
        <f>COUNTIF($E$2526:$AI$2526,"H")</f>
        <v>0</v>
      </c>
      <c r="AS2526" s="8"/>
      <c r="AT2526" s="11" t="s">
        <v>18</v>
      </c>
    </row>
    <row r="2527" spans="1:46" ht="15.1" customHeight="1">
      <c r="A2527" s="8"/>
      <c r="B2527" s="9"/>
      <c r="C2527" s="8"/>
      <c r="D2527" s="9"/>
      <c r="E2527" s="8">
        <v>2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2</v>
      </c>
      <c r="L2527" s="8">
        <v>2</v>
      </c>
      <c r="M2527" s="8">
        <v>2</v>
      </c>
      <c r="N2527" s="8">
        <v>0</v>
      </c>
      <c r="O2527" s="8">
        <v>2</v>
      </c>
      <c r="P2527" s="8">
        <v>0</v>
      </c>
      <c r="Q2527" s="8">
        <v>2</v>
      </c>
      <c r="R2527" s="8">
        <v>2</v>
      </c>
      <c r="S2527" s="8">
        <v>2</v>
      </c>
      <c r="T2527" s="8">
        <v>2</v>
      </c>
      <c r="U2527" s="8">
        <v>0</v>
      </c>
      <c r="V2527" s="8">
        <v>2</v>
      </c>
      <c r="W2527" s="8">
        <v>2</v>
      </c>
      <c r="X2527" s="8">
        <v>0</v>
      </c>
      <c r="Y2527" s="8">
        <v>1</v>
      </c>
      <c r="Z2527" s="8">
        <v>0</v>
      </c>
      <c r="AA2527" s="8">
        <v>2</v>
      </c>
      <c r="AB2527" s="8">
        <v>0</v>
      </c>
      <c r="AC2527" s="8">
        <v>2</v>
      </c>
      <c r="AD2527" s="8">
        <v>2</v>
      </c>
      <c r="AE2527" s="8">
        <v>2</v>
      </c>
      <c r="AF2527" s="8">
        <v>0</v>
      </c>
      <c r="AG2527" s="8">
        <v>0</v>
      </c>
      <c r="AH2527" s="8">
        <v>2</v>
      </c>
      <c r="AI2527" s="8">
        <v>0</v>
      </c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11" t="s">
        <v>18</v>
      </c>
    </row>
    <row r="2528" spans="1:46" ht="15.1" customHeight="1">
      <c r="A2528" s="8"/>
      <c r="B2528" s="9"/>
      <c r="C2528" s="8"/>
      <c r="D2528" s="9"/>
      <c r="E2528" s="8">
        <v>9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10</v>
      </c>
      <c r="L2528" s="8">
        <v>2</v>
      </c>
      <c r="M2528" s="8">
        <v>7</v>
      </c>
      <c r="N2528" s="8">
        <v>17</v>
      </c>
      <c r="O2528" s="8">
        <v>7</v>
      </c>
      <c r="P2528" s="8">
        <v>0</v>
      </c>
      <c r="Q2528" s="8">
        <v>10</v>
      </c>
      <c r="R2528" s="8">
        <v>7</v>
      </c>
      <c r="S2528" s="8">
        <v>9</v>
      </c>
      <c r="T2528" s="8">
        <v>10</v>
      </c>
      <c r="U2528" s="8">
        <v>13</v>
      </c>
      <c r="V2528" s="8">
        <v>8.5</v>
      </c>
      <c r="W2528" s="8">
        <v>2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1</v>
      </c>
      <c r="AD2528" s="8">
        <v>1</v>
      </c>
      <c r="AE2528" s="8">
        <v>0</v>
      </c>
      <c r="AF2528" s="8">
        <v>0</v>
      </c>
      <c r="AG2528" s="8">
        <v>0</v>
      </c>
      <c r="AH2528" s="8">
        <v>0</v>
      </c>
      <c r="AI2528" s="8">
        <v>0</v>
      </c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11" t="s">
        <v>18</v>
      </c>
    </row>
    <row r="2529" spans="1:46" ht="15.1" customHeight="1">
      <c r="A2529" s="8">
        <v>842</v>
      </c>
      <c r="B2529" s="9" t="s">
        <v>1918</v>
      </c>
      <c r="C2529" s="8" t="s">
        <v>1919</v>
      </c>
      <c r="D2529" s="9" t="s">
        <v>532</v>
      </c>
      <c r="E2529" s="12" t="s">
        <v>55</v>
      </c>
      <c r="F2529" s="8" t="s">
        <v>54</v>
      </c>
      <c r="G2529" s="10" t="s">
        <v>67</v>
      </c>
      <c r="H2529" s="8" t="s">
        <v>54</v>
      </c>
      <c r="I2529" s="8" t="s">
        <v>54</v>
      </c>
      <c r="J2529" s="8" t="s">
        <v>54</v>
      </c>
      <c r="K2529" s="8" t="s">
        <v>54</v>
      </c>
      <c r="L2529" s="8" t="s">
        <v>54</v>
      </c>
      <c r="M2529" s="8" t="s">
        <v>54</v>
      </c>
      <c r="N2529" s="10" t="s">
        <v>67</v>
      </c>
      <c r="O2529" s="8" t="s">
        <v>54</v>
      </c>
      <c r="P2529" s="8" t="s">
        <v>54</v>
      </c>
      <c r="Q2529" s="8" t="s">
        <v>54</v>
      </c>
      <c r="R2529" s="8" t="s">
        <v>54</v>
      </c>
      <c r="S2529" s="8" t="s">
        <v>54</v>
      </c>
      <c r="T2529" s="8" t="s">
        <v>54</v>
      </c>
      <c r="U2529" s="10" t="s">
        <v>67</v>
      </c>
      <c r="V2529" s="8" t="s">
        <v>54</v>
      </c>
      <c r="W2529" s="8" t="s">
        <v>54</v>
      </c>
      <c r="X2529" s="8" t="s">
        <v>54</v>
      </c>
      <c r="Y2529" s="8" t="s">
        <v>54</v>
      </c>
      <c r="Z2529" s="8" t="s">
        <v>54</v>
      </c>
      <c r="AA2529" s="8" t="s">
        <v>54</v>
      </c>
      <c r="AB2529" s="10" t="s">
        <v>67</v>
      </c>
      <c r="AC2529" s="8" t="s">
        <v>54</v>
      </c>
      <c r="AD2529" s="8" t="s">
        <v>54</v>
      </c>
      <c r="AE2529" s="8" t="s">
        <v>54</v>
      </c>
      <c r="AF2529" s="8" t="s">
        <v>54</v>
      </c>
      <c r="AG2529" s="8" t="s">
        <v>54</v>
      </c>
      <c r="AH2529" s="12" t="s">
        <v>55</v>
      </c>
      <c r="AI2529" s="10" t="s">
        <v>67</v>
      </c>
      <c r="AJ2529" s="8">
        <f>COUNTIF($E$2529:$AI$2529,"P")</f>
        <v>24</v>
      </c>
      <c r="AK2529" s="8">
        <f>COUNTIF($E$2529:$AI$2529,"A")</f>
        <v>2</v>
      </c>
      <c r="AL2529" s="8">
        <f>SUM($E$2530:$AI$2530)</f>
        <v>36</v>
      </c>
      <c r="AM2529" s="8">
        <f>SUM($E$2531:$AI$2531)</f>
        <v>138</v>
      </c>
      <c r="AN2529" s="8">
        <f>AL2529+AM2529</f>
        <v>173</v>
      </c>
      <c r="AO2529" s="8">
        <f>COUNTIF($E$2529:$AI$2529,"CL")</f>
        <v>0</v>
      </c>
      <c r="AP2529" s="8">
        <f>COUNTIF($E$2529:$AI$2529,"SL")</f>
        <v>0</v>
      </c>
      <c r="AQ2529" s="8">
        <f>COUNTIF($E$2529:$AI$2529,"EL")</f>
        <v>0</v>
      </c>
      <c r="AR2529" s="8">
        <f>COUNTIF($E$2529:$AI$2529,"H")</f>
        <v>0</v>
      </c>
      <c r="AS2529" s="8"/>
      <c r="AT2529" s="11" t="s">
        <v>18</v>
      </c>
    </row>
    <row r="2530" spans="1:46" ht="15.1" customHeight="1">
      <c r="A2530" s="8"/>
      <c r="B2530" s="9"/>
      <c r="C2530" s="8"/>
      <c r="D2530" s="9"/>
      <c r="E2530" s="8">
        <v>0</v>
      </c>
      <c r="F2530" s="8">
        <v>2</v>
      </c>
      <c r="G2530" s="8">
        <v>0</v>
      </c>
      <c r="H2530" s="8">
        <v>2</v>
      </c>
      <c r="I2530" s="8">
        <v>2</v>
      </c>
      <c r="J2530" s="8">
        <v>2</v>
      </c>
      <c r="K2530" s="8">
        <v>2</v>
      </c>
      <c r="L2530" s="8">
        <v>2</v>
      </c>
      <c r="M2530" s="8">
        <v>2</v>
      </c>
      <c r="N2530" s="8">
        <v>0</v>
      </c>
      <c r="O2530" s="8">
        <v>2</v>
      </c>
      <c r="P2530" s="8">
        <v>2</v>
      </c>
      <c r="Q2530" s="8">
        <v>2</v>
      </c>
      <c r="R2530" s="8">
        <v>2</v>
      </c>
      <c r="S2530" s="8">
        <v>2</v>
      </c>
      <c r="T2530" s="8">
        <v>2</v>
      </c>
      <c r="U2530" s="8">
        <v>0</v>
      </c>
      <c r="V2530" s="8">
        <v>2</v>
      </c>
      <c r="W2530" s="8">
        <v>2</v>
      </c>
      <c r="X2530" s="8">
        <v>2</v>
      </c>
      <c r="Y2530" s="8">
        <v>1</v>
      </c>
      <c r="Z2530" s="8">
        <v>0</v>
      </c>
      <c r="AA2530" s="8">
        <v>1</v>
      </c>
      <c r="AB2530" s="8">
        <v>0</v>
      </c>
      <c r="AC2530" s="8">
        <v>0</v>
      </c>
      <c r="AD2530" s="8">
        <v>2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11" t="s">
        <v>18</v>
      </c>
    </row>
    <row r="2531" spans="1:46" ht="15.1" customHeight="1">
      <c r="A2531" s="8"/>
      <c r="B2531" s="9"/>
      <c r="C2531" s="8"/>
      <c r="D2531" s="9"/>
      <c r="E2531" s="8">
        <v>0</v>
      </c>
      <c r="F2531" s="8">
        <v>6</v>
      </c>
      <c r="G2531" s="8">
        <v>0</v>
      </c>
      <c r="H2531" s="8">
        <v>5</v>
      </c>
      <c r="I2531" s="8">
        <v>8</v>
      </c>
      <c r="J2531" s="8">
        <v>7</v>
      </c>
      <c r="K2531" s="8">
        <v>8</v>
      </c>
      <c r="L2531" s="8">
        <v>6</v>
      </c>
      <c r="M2531" s="8">
        <v>7</v>
      </c>
      <c r="N2531" s="8">
        <v>17</v>
      </c>
      <c r="O2531" s="8">
        <v>7</v>
      </c>
      <c r="P2531" s="8">
        <v>9</v>
      </c>
      <c r="Q2531" s="8">
        <v>4</v>
      </c>
      <c r="R2531" s="8">
        <v>5</v>
      </c>
      <c r="S2531" s="8">
        <v>9</v>
      </c>
      <c r="T2531" s="8">
        <v>8</v>
      </c>
      <c r="U2531" s="8">
        <v>6</v>
      </c>
      <c r="V2531" s="8">
        <v>9</v>
      </c>
      <c r="W2531" s="8">
        <v>9</v>
      </c>
      <c r="X2531" s="8">
        <v>1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7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11" t="s">
        <v>18</v>
      </c>
    </row>
    <row r="2532" spans="1:46" ht="15.1" customHeight="1">
      <c r="A2532" s="8">
        <v>843</v>
      </c>
      <c r="B2532" s="9" t="s">
        <v>1920</v>
      </c>
      <c r="C2532" s="8" t="s">
        <v>1921</v>
      </c>
      <c r="D2532" s="9" t="s">
        <v>532</v>
      </c>
      <c r="E2532" s="8" t="s">
        <v>54</v>
      </c>
      <c r="F2532" s="8" t="s">
        <v>54</v>
      </c>
      <c r="G2532" s="10" t="s">
        <v>67</v>
      </c>
      <c r="H2532" s="8" t="s">
        <v>54</v>
      </c>
      <c r="I2532" s="8" t="s">
        <v>54</v>
      </c>
      <c r="J2532" s="8" t="s">
        <v>54</v>
      </c>
      <c r="K2532" s="8" t="s">
        <v>54</v>
      </c>
      <c r="L2532" s="12" t="s">
        <v>55</v>
      </c>
      <c r="M2532" s="8" t="s">
        <v>54</v>
      </c>
      <c r="N2532" s="10" t="s">
        <v>67</v>
      </c>
      <c r="O2532" s="8" t="s">
        <v>54</v>
      </c>
      <c r="P2532" s="8" t="s">
        <v>54</v>
      </c>
      <c r="Q2532" s="8" t="s">
        <v>54</v>
      </c>
      <c r="R2532" s="8" t="s">
        <v>54</v>
      </c>
      <c r="S2532" s="8" t="s">
        <v>54</v>
      </c>
      <c r="T2532" s="8" t="s">
        <v>54</v>
      </c>
      <c r="U2532" s="10" t="s">
        <v>67</v>
      </c>
      <c r="V2532" s="8" t="s">
        <v>54</v>
      </c>
      <c r="W2532" s="8" t="s">
        <v>54</v>
      </c>
      <c r="X2532" s="8" t="s">
        <v>54</v>
      </c>
      <c r="Y2532" s="8" t="s">
        <v>54</v>
      </c>
      <c r="Z2532" s="8" t="s">
        <v>54</v>
      </c>
      <c r="AA2532" s="8" t="s">
        <v>54</v>
      </c>
      <c r="AB2532" s="10" t="s">
        <v>67</v>
      </c>
      <c r="AC2532" s="8" t="s">
        <v>54</v>
      </c>
      <c r="AD2532" s="8" t="s">
        <v>54</v>
      </c>
      <c r="AE2532" s="8" t="s">
        <v>54</v>
      </c>
      <c r="AF2532" s="8" t="s">
        <v>54</v>
      </c>
      <c r="AG2532" s="8" t="s">
        <v>54</v>
      </c>
      <c r="AH2532" s="12" t="s">
        <v>55</v>
      </c>
      <c r="AI2532" s="10" t="s">
        <v>67</v>
      </c>
      <c r="AJ2532" s="8">
        <f>COUNTIF($E$2532:$AI$2532,"P")</f>
        <v>24</v>
      </c>
      <c r="AK2532" s="8">
        <f>COUNTIF($E$2532:$AI$2532,"A")</f>
        <v>2</v>
      </c>
      <c r="AL2532" s="8">
        <f>SUM($E$2533:$AI$2533)</f>
        <v>36</v>
      </c>
      <c r="AM2532" s="8">
        <f>SUM($E$2534:$AI$2534)</f>
        <v>166</v>
      </c>
      <c r="AN2532" s="8">
        <f>AL2532+AM2532</f>
        <v>202</v>
      </c>
      <c r="AO2532" s="8">
        <f>COUNTIF($E$2532:$AI$2532,"CL")</f>
        <v>0</v>
      </c>
      <c r="AP2532" s="8">
        <f>COUNTIF($E$2532:$AI$2532,"SL")</f>
        <v>0</v>
      </c>
      <c r="AQ2532" s="8">
        <f>COUNTIF($E$2532:$AI$2532,"EL")</f>
        <v>0</v>
      </c>
      <c r="AR2532" s="8">
        <f>COUNTIF($E$2532:$AI$2532,"H")</f>
        <v>0</v>
      </c>
      <c r="AS2532" s="8"/>
      <c r="AT2532" s="11" t="s">
        <v>18</v>
      </c>
    </row>
    <row r="2533" spans="1:46" ht="15.1" customHeight="1">
      <c r="A2533" s="8"/>
      <c r="B2533" s="9"/>
      <c r="C2533" s="8"/>
      <c r="D2533" s="9"/>
      <c r="E2533" s="8">
        <v>2</v>
      </c>
      <c r="F2533" s="8">
        <v>2</v>
      </c>
      <c r="G2533" s="8">
        <v>0</v>
      </c>
      <c r="H2533" s="8">
        <v>2</v>
      </c>
      <c r="I2533" s="8">
        <v>2</v>
      </c>
      <c r="J2533" s="8">
        <v>2</v>
      </c>
      <c r="K2533" s="8">
        <v>2</v>
      </c>
      <c r="L2533" s="8">
        <v>0</v>
      </c>
      <c r="M2533" s="8">
        <v>2</v>
      </c>
      <c r="N2533" s="8">
        <v>0</v>
      </c>
      <c r="O2533" s="8">
        <v>2</v>
      </c>
      <c r="P2533" s="8">
        <v>2</v>
      </c>
      <c r="Q2533" s="8">
        <v>2</v>
      </c>
      <c r="R2533" s="8">
        <v>2</v>
      </c>
      <c r="S2533" s="8">
        <v>2</v>
      </c>
      <c r="T2533" s="8">
        <v>2</v>
      </c>
      <c r="U2533" s="8">
        <v>0</v>
      </c>
      <c r="V2533" s="8">
        <v>2</v>
      </c>
      <c r="W2533" s="8">
        <v>2</v>
      </c>
      <c r="X2533" s="8">
        <v>2</v>
      </c>
      <c r="Y2533" s="8">
        <v>0</v>
      </c>
      <c r="Z2533" s="8">
        <v>0</v>
      </c>
      <c r="AA2533" s="8">
        <v>2</v>
      </c>
      <c r="AB2533" s="8">
        <v>0</v>
      </c>
      <c r="AC2533" s="8">
        <v>0</v>
      </c>
      <c r="AD2533" s="8">
        <v>2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11" t="s">
        <v>18</v>
      </c>
    </row>
    <row r="2534" spans="1:46" ht="15.1" customHeight="1">
      <c r="A2534" s="8"/>
      <c r="B2534" s="9"/>
      <c r="C2534" s="8"/>
      <c r="D2534" s="9"/>
      <c r="E2534" s="8">
        <v>9</v>
      </c>
      <c r="F2534" s="8">
        <v>3</v>
      </c>
      <c r="G2534" s="8">
        <v>15</v>
      </c>
      <c r="H2534" s="8">
        <v>8</v>
      </c>
      <c r="I2534" s="8">
        <v>9.5</v>
      </c>
      <c r="J2534" s="8">
        <v>8</v>
      </c>
      <c r="K2534" s="8">
        <v>10</v>
      </c>
      <c r="L2534" s="8">
        <v>0</v>
      </c>
      <c r="M2534" s="8">
        <v>7</v>
      </c>
      <c r="N2534" s="8">
        <v>17</v>
      </c>
      <c r="O2534" s="8">
        <v>7</v>
      </c>
      <c r="P2534" s="8">
        <v>9</v>
      </c>
      <c r="Q2534" s="8">
        <v>10</v>
      </c>
      <c r="R2534" s="8">
        <v>6</v>
      </c>
      <c r="S2534" s="8">
        <v>9</v>
      </c>
      <c r="T2534" s="8">
        <v>8</v>
      </c>
      <c r="U2534" s="8">
        <v>0</v>
      </c>
      <c r="V2534" s="8">
        <v>9</v>
      </c>
      <c r="W2534" s="8">
        <v>11</v>
      </c>
      <c r="X2534" s="8">
        <v>3.5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7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11" t="s">
        <v>18</v>
      </c>
    </row>
    <row r="2535" spans="1:46" ht="15.1" customHeight="1">
      <c r="A2535" s="8">
        <v>844</v>
      </c>
      <c r="B2535" s="9" t="s">
        <v>1200</v>
      </c>
      <c r="C2535" s="8" t="s">
        <v>1922</v>
      </c>
      <c r="D2535" s="9" t="s">
        <v>532</v>
      </c>
      <c r="E2535" s="8" t="s">
        <v>54</v>
      </c>
      <c r="F2535" s="12" t="s">
        <v>55</v>
      </c>
      <c r="G2535" s="10" t="s">
        <v>67</v>
      </c>
      <c r="H2535" s="12" t="s">
        <v>55</v>
      </c>
      <c r="I2535" s="12" t="s">
        <v>55</v>
      </c>
      <c r="J2535" s="12" t="s">
        <v>55</v>
      </c>
      <c r="K2535" s="8" t="s">
        <v>54</v>
      </c>
      <c r="L2535" s="8" t="s">
        <v>54</v>
      </c>
      <c r="M2535" s="8" t="s">
        <v>54</v>
      </c>
      <c r="N2535" s="10" t="s">
        <v>67</v>
      </c>
      <c r="O2535" s="8" t="s">
        <v>54</v>
      </c>
      <c r="P2535" s="8" t="s">
        <v>54</v>
      </c>
      <c r="Q2535" s="8" t="s">
        <v>54</v>
      </c>
      <c r="R2535" s="8" t="s">
        <v>54</v>
      </c>
      <c r="S2535" s="8" t="s">
        <v>54</v>
      </c>
      <c r="T2535" s="8" t="s">
        <v>54</v>
      </c>
      <c r="U2535" s="10" t="s">
        <v>67</v>
      </c>
      <c r="V2535" s="12" t="s">
        <v>55</v>
      </c>
      <c r="W2535" s="12" t="s">
        <v>55</v>
      </c>
      <c r="X2535" s="12" t="s">
        <v>55</v>
      </c>
      <c r="Y2535" s="12" t="s">
        <v>55</v>
      </c>
      <c r="Z2535" s="12" t="s">
        <v>55</v>
      </c>
      <c r="AA2535" s="12" t="s">
        <v>55</v>
      </c>
      <c r="AB2535" s="10" t="s">
        <v>67</v>
      </c>
      <c r="AC2535" s="12" t="s">
        <v>55</v>
      </c>
      <c r="AD2535" s="12" t="s">
        <v>55</v>
      </c>
      <c r="AE2535" s="8"/>
      <c r="AF2535" s="8"/>
      <c r="AG2535" s="8"/>
      <c r="AH2535" s="8"/>
      <c r="AI2535" s="10"/>
      <c r="AJ2535" s="8">
        <f>COUNTIF($E$2535:$AI$2535,"P")</f>
        <v>10</v>
      </c>
      <c r="AK2535" s="8">
        <f>COUNTIF($E$2535:$AI$2535,"A")</f>
        <v>12</v>
      </c>
      <c r="AL2535" s="8">
        <f>SUM($E$2536:$AI$2536)</f>
        <v>18</v>
      </c>
      <c r="AM2535" s="8">
        <f>SUM($E$2537:$AI$2537)</f>
        <v>85</v>
      </c>
      <c r="AN2535" s="8">
        <f>AL2535+AM2535</f>
        <v>103</v>
      </c>
      <c r="AO2535" s="8">
        <f>COUNTIF($E$2535:$AI$2535,"CL")</f>
        <v>0</v>
      </c>
      <c r="AP2535" s="8">
        <f>COUNTIF($E$2535:$AI$2535,"SL")</f>
        <v>0</v>
      </c>
      <c r="AQ2535" s="8">
        <f>COUNTIF($E$2535:$AI$2535,"EL")</f>
        <v>0</v>
      </c>
      <c r="AR2535" s="8">
        <f>COUNTIF($E$2535:$AI$2535,"H")</f>
        <v>0</v>
      </c>
      <c r="AS2535" s="8"/>
      <c r="AT2535" s="11" t="s">
        <v>18</v>
      </c>
    </row>
    <row r="2536" spans="1:46" ht="15.1" customHeight="1">
      <c r="A2536" s="8"/>
      <c r="B2536" s="9"/>
      <c r="C2536" s="8"/>
      <c r="D2536" s="9"/>
      <c r="E2536" s="8">
        <v>2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2</v>
      </c>
      <c r="L2536" s="8">
        <v>2</v>
      </c>
      <c r="M2536" s="8">
        <v>2</v>
      </c>
      <c r="N2536" s="8">
        <v>0</v>
      </c>
      <c r="O2536" s="8">
        <v>2</v>
      </c>
      <c r="P2536" s="8">
        <v>2</v>
      </c>
      <c r="Q2536" s="8">
        <v>2</v>
      </c>
      <c r="R2536" s="8">
        <v>2</v>
      </c>
      <c r="S2536" s="8">
        <v>2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11" t="s">
        <v>18</v>
      </c>
    </row>
    <row r="2537" spans="1:46" ht="15.1" customHeight="1">
      <c r="A2537" s="8"/>
      <c r="B2537" s="9"/>
      <c r="C2537" s="8"/>
      <c r="D2537" s="9"/>
      <c r="E2537" s="8">
        <v>5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10</v>
      </c>
      <c r="L2537" s="8">
        <v>8</v>
      </c>
      <c r="M2537" s="8">
        <v>7</v>
      </c>
      <c r="N2537" s="8">
        <v>17</v>
      </c>
      <c r="O2537" s="8">
        <v>7</v>
      </c>
      <c r="P2537" s="8">
        <v>9</v>
      </c>
      <c r="Q2537" s="8">
        <v>8</v>
      </c>
      <c r="R2537" s="8">
        <v>5</v>
      </c>
      <c r="S2537" s="8">
        <v>9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11" t="s">
        <v>18</v>
      </c>
    </row>
    <row r="2538" spans="1:46" ht="15.1" customHeight="1">
      <c r="A2538" s="8">
        <v>845</v>
      </c>
      <c r="B2538" s="9" t="s">
        <v>1923</v>
      </c>
      <c r="C2538" s="8" t="s">
        <v>1924</v>
      </c>
      <c r="D2538" s="9" t="s">
        <v>532</v>
      </c>
      <c r="E2538" s="8" t="s">
        <v>54</v>
      </c>
      <c r="F2538" s="8" t="s">
        <v>54</v>
      </c>
      <c r="G2538" s="10" t="s">
        <v>67</v>
      </c>
      <c r="H2538" s="8" t="s">
        <v>54</v>
      </c>
      <c r="I2538" s="8" t="s">
        <v>54</v>
      </c>
      <c r="J2538" s="8" t="s">
        <v>54</v>
      </c>
      <c r="K2538" s="8" t="s">
        <v>54</v>
      </c>
      <c r="L2538" s="8" t="s">
        <v>54</v>
      </c>
      <c r="M2538" s="8" t="s">
        <v>54</v>
      </c>
      <c r="N2538" s="10" t="s">
        <v>67</v>
      </c>
      <c r="O2538" s="12" t="s">
        <v>55</v>
      </c>
      <c r="P2538" s="12" t="s">
        <v>55</v>
      </c>
      <c r="Q2538" s="8" t="s">
        <v>54</v>
      </c>
      <c r="R2538" s="8" t="s">
        <v>54</v>
      </c>
      <c r="S2538" s="8" t="s">
        <v>54</v>
      </c>
      <c r="T2538" s="8" t="s">
        <v>54</v>
      </c>
      <c r="U2538" s="10" t="s">
        <v>67</v>
      </c>
      <c r="V2538" s="8" t="s">
        <v>54</v>
      </c>
      <c r="W2538" s="8" t="s">
        <v>54</v>
      </c>
      <c r="X2538" s="8" t="s">
        <v>54</v>
      </c>
      <c r="Y2538" s="8" t="s">
        <v>54</v>
      </c>
      <c r="Z2538" s="8" t="s">
        <v>54</v>
      </c>
      <c r="AA2538" s="8" t="s">
        <v>54</v>
      </c>
      <c r="AB2538" s="10" t="s">
        <v>67</v>
      </c>
      <c r="AC2538" s="8" t="s">
        <v>54</v>
      </c>
      <c r="AD2538" s="8" t="s">
        <v>54</v>
      </c>
      <c r="AE2538" s="8" t="s">
        <v>54</v>
      </c>
      <c r="AF2538" s="8" t="s">
        <v>54</v>
      </c>
      <c r="AG2538" s="8" t="s">
        <v>54</v>
      </c>
      <c r="AH2538" s="12" t="s">
        <v>55</v>
      </c>
      <c r="AI2538" s="10" t="s">
        <v>67</v>
      </c>
      <c r="AJ2538" s="8">
        <f>COUNTIF($E$2538:$AI$2538,"P")</f>
        <v>23</v>
      </c>
      <c r="AK2538" s="8">
        <f>COUNTIF($E$2538:$AI$2538,"A")</f>
        <v>3</v>
      </c>
      <c r="AL2538" s="8">
        <f>SUM($E$2539:$AI$2539)</f>
        <v>35</v>
      </c>
      <c r="AM2538" s="8">
        <f>SUM($E$2540:$AI$2540)</f>
        <v>167</v>
      </c>
      <c r="AN2538" s="8">
        <f>AL2538+AM2538</f>
        <v>201.5</v>
      </c>
      <c r="AO2538" s="8">
        <f>COUNTIF($E$2538:$AI$2538,"CL")</f>
        <v>0</v>
      </c>
      <c r="AP2538" s="8">
        <f>COUNTIF($E$2538:$AI$2538,"SL")</f>
        <v>0</v>
      </c>
      <c r="AQ2538" s="8">
        <f>COUNTIF($E$2538:$AI$2538,"EL")</f>
        <v>0</v>
      </c>
      <c r="AR2538" s="8">
        <f>COUNTIF($E$2538:$AI$2538,"H")</f>
        <v>0</v>
      </c>
      <c r="AS2538" s="8"/>
      <c r="AT2538" s="11" t="s">
        <v>18</v>
      </c>
    </row>
    <row r="2539" spans="1:46" ht="15.1" customHeight="1">
      <c r="A2539" s="8"/>
      <c r="B2539" s="9"/>
      <c r="C2539" s="8"/>
      <c r="D2539" s="9"/>
      <c r="E2539" s="8">
        <v>2</v>
      </c>
      <c r="F2539" s="8">
        <v>2</v>
      </c>
      <c r="G2539" s="8">
        <v>0</v>
      </c>
      <c r="H2539" s="8">
        <v>2</v>
      </c>
      <c r="I2539" s="8">
        <v>2</v>
      </c>
      <c r="J2539" s="8">
        <v>2</v>
      </c>
      <c r="K2539" s="8">
        <v>2</v>
      </c>
      <c r="L2539" s="8">
        <v>2</v>
      </c>
      <c r="M2539" s="8">
        <v>2</v>
      </c>
      <c r="N2539" s="8">
        <v>0</v>
      </c>
      <c r="O2539" s="8">
        <v>0</v>
      </c>
      <c r="P2539" s="8">
        <v>0</v>
      </c>
      <c r="Q2539" s="8">
        <v>2</v>
      </c>
      <c r="R2539" s="8">
        <v>2</v>
      </c>
      <c r="S2539" s="8">
        <v>2</v>
      </c>
      <c r="T2539" s="8">
        <v>2</v>
      </c>
      <c r="U2539" s="8">
        <v>0</v>
      </c>
      <c r="V2539" s="8">
        <v>2</v>
      </c>
      <c r="W2539" s="8">
        <v>2</v>
      </c>
      <c r="X2539" s="8">
        <v>2</v>
      </c>
      <c r="Y2539" s="8">
        <v>1</v>
      </c>
      <c r="Z2539" s="8">
        <v>0</v>
      </c>
      <c r="AA2539" s="8">
        <v>2</v>
      </c>
      <c r="AB2539" s="8">
        <v>0</v>
      </c>
      <c r="AC2539" s="8">
        <v>0</v>
      </c>
      <c r="AD2539" s="8">
        <v>2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11" t="s">
        <v>18</v>
      </c>
    </row>
    <row r="2540" spans="1:46" ht="15.1" customHeight="1">
      <c r="A2540" s="8"/>
      <c r="B2540" s="9"/>
      <c r="C2540" s="8"/>
      <c r="D2540" s="9"/>
      <c r="E2540" s="8">
        <v>10</v>
      </c>
      <c r="F2540" s="8">
        <v>3</v>
      </c>
      <c r="G2540" s="8">
        <v>15</v>
      </c>
      <c r="H2540" s="8">
        <v>8</v>
      </c>
      <c r="I2540" s="8">
        <v>9.5</v>
      </c>
      <c r="J2540" s="8">
        <v>8</v>
      </c>
      <c r="K2540" s="8">
        <v>10</v>
      </c>
      <c r="L2540" s="8">
        <v>8</v>
      </c>
      <c r="M2540" s="8">
        <v>7</v>
      </c>
      <c r="N2540" s="8">
        <v>9.5</v>
      </c>
      <c r="O2540" s="8">
        <v>0</v>
      </c>
      <c r="P2540" s="8">
        <v>0</v>
      </c>
      <c r="Q2540" s="8">
        <v>10</v>
      </c>
      <c r="R2540" s="8">
        <v>6</v>
      </c>
      <c r="S2540" s="8">
        <v>9</v>
      </c>
      <c r="T2540" s="8">
        <v>10</v>
      </c>
      <c r="U2540" s="8">
        <v>12</v>
      </c>
      <c r="V2540" s="8">
        <v>9</v>
      </c>
      <c r="W2540" s="8">
        <v>7</v>
      </c>
      <c r="X2540" s="8">
        <v>9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7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11" t="s">
        <v>18</v>
      </c>
    </row>
    <row r="2541" spans="1:46" ht="15.1" customHeight="1">
      <c r="A2541" s="8">
        <v>846</v>
      </c>
      <c r="B2541" s="9" t="s">
        <v>1925</v>
      </c>
      <c r="C2541" s="8" t="s">
        <v>1926</v>
      </c>
      <c r="D2541" s="9" t="s">
        <v>532</v>
      </c>
      <c r="E2541" s="8" t="s">
        <v>54</v>
      </c>
      <c r="F2541" s="8" t="s">
        <v>54</v>
      </c>
      <c r="G2541" s="10" t="s">
        <v>67</v>
      </c>
      <c r="H2541" s="8" t="s">
        <v>54</v>
      </c>
      <c r="I2541" s="8" t="s">
        <v>59</v>
      </c>
      <c r="J2541" s="8" t="s">
        <v>59</v>
      </c>
      <c r="K2541" s="12" t="s">
        <v>55</v>
      </c>
      <c r="L2541" s="8" t="s">
        <v>54</v>
      </c>
      <c r="M2541" s="8" t="s">
        <v>54</v>
      </c>
      <c r="N2541" s="10" t="s">
        <v>67</v>
      </c>
      <c r="O2541" s="8" t="s">
        <v>54</v>
      </c>
      <c r="P2541" s="8" t="s">
        <v>54</v>
      </c>
      <c r="Q2541" s="8" t="s">
        <v>54</v>
      </c>
      <c r="R2541" s="8" t="s">
        <v>54</v>
      </c>
      <c r="S2541" s="8" t="s">
        <v>54</v>
      </c>
      <c r="T2541" s="8" t="s">
        <v>54</v>
      </c>
      <c r="U2541" s="10" t="s">
        <v>67</v>
      </c>
      <c r="V2541" s="8" t="s">
        <v>54</v>
      </c>
      <c r="W2541" s="8" t="s">
        <v>54</v>
      </c>
      <c r="X2541" s="8" t="s">
        <v>54</v>
      </c>
      <c r="Y2541" s="8" t="s">
        <v>54</v>
      </c>
      <c r="Z2541" s="8" t="s">
        <v>54</v>
      </c>
      <c r="AA2541" s="8" t="s">
        <v>54</v>
      </c>
      <c r="AB2541" s="10" t="s">
        <v>67</v>
      </c>
      <c r="AC2541" s="12" t="s">
        <v>55</v>
      </c>
      <c r="AD2541" s="12" t="s">
        <v>55</v>
      </c>
      <c r="AE2541" s="12" t="s">
        <v>55</v>
      </c>
      <c r="AF2541" s="8" t="s">
        <v>54</v>
      </c>
      <c r="AG2541" s="8" t="s">
        <v>54</v>
      </c>
      <c r="AH2541" s="12" t="s">
        <v>55</v>
      </c>
      <c r="AI2541" s="10" t="s">
        <v>67</v>
      </c>
      <c r="AJ2541" s="8">
        <f>COUNTIF($E$2541:$AI$2541,"P")</f>
        <v>19</v>
      </c>
      <c r="AK2541" s="8">
        <f>COUNTIF($E$2541:$AI$2541,"A")</f>
        <v>5</v>
      </c>
      <c r="AL2541" s="8">
        <f>SUM($E$2542:$AI$2542)</f>
        <v>30</v>
      </c>
      <c r="AM2541" s="8">
        <f>SUM($E$2543:$AI$2543)</f>
        <v>134</v>
      </c>
      <c r="AN2541" s="8">
        <f>AL2541+AM2541</f>
        <v>164</v>
      </c>
      <c r="AO2541" s="8">
        <f>COUNTIF($E$2541:$AI$2541,"CL")</f>
        <v>2</v>
      </c>
      <c r="AP2541" s="8">
        <f>COUNTIF($E$2541:$AI$2541,"SL")</f>
        <v>0</v>
      </c>
      <c r="AQ2541" s="8">
        <f>COUNTIF($E$2541:$AI$2541,"EL")</f>
        <v>0</v>
      </c>
      <c r="AR2541" s="8">
        <f>COUNTIF($E$2541:$AI$2541,"H")</f>
        <v>0</v>
      </c>
      <c r="AS2541" s="8"/>
      <c r="AT2541" s="11" t="s">
        <v>18</v>
      </c>
    </row>
    <row r="2542" spans="1:46" ht="15.1" customHeight="1">
      <c r="A2542" s="8"/>
      <c r="B2542" s="9"/>
      <c r="C2542" s="8"/>
      <c r="D2542" s="9"/>
      <c r="E2542" s="8">
        <v>2</v>
      </c>
      <c r="F2542" s="8">
        <v>2</v>
      </c>
      <c r="G2542" s="8">
        <v>0</v>
      </c>
      <c r="H2542" s="8">
        <v>2</v>
      </c>
      <c r="I2542" s="8">
        <v>0</v>
      </c>
      <c r="J2542" s="8">
        <v>0</v>
      </c>
      <c r="K2542" s="8">
        <v>0</v>
      </c>
      <c r="L2542" s="8">
        <v>2</v>
      </c>
      <c r="M2542" s="8">
        <v>2</v>
      </c>
      <c r="N2542" s="8">
        <v>0</v>
      </c>
      <c r="O2542" s="8">
        <v>2</v>
      </c>
      <c r="P2542" s="8">
        <v>2</v>
      </c>
      <c r="Q2542" s="8">
        <v>2</v>
      </c>
      <c r="R2542" s="8">
        <v>2</v>
      </c>
      <c r="S2542" s="8">
        <v>2</v>
      </c>
      <c r="T2542" s="8">
        <v>2</v>
      </c>
      <c r="U2542" s="8">
        <v>0</v>
      </c>
      <c r="V2542" s="8">
        <v>2</v>
      </c>
      <c r="W2542" s="8">
        <v>2</v>
      </c>
      <c r="X2542" s="8">
        <v>2</v>
      </c>
      <c r="Y2542" s="8">
        <v>0</v>
      </c>
      <c r="Z2542" s="8">
        <v>0</v>
      </c>
      <c r="AA2542" s="8">
        <v>2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0</v>
      </c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11" t="s">
        <v>18</v>
      </c>
    </row>
    <row r="2543" spans="1:46" ht="15.1" customHeight="1">
      <c r="A2543" s="8"/>
      <c r="B2543" s="9"/>
      <c r="C2543" s="8"/>
      <c r="D2543" s="9"/>
      <c r="E2543" s="8">
        <v>9.5</v>
      </c>
      <c r="F2543" s="8">
        <v>1</v>
      </c>
      <c r="G2543" s="8">
        <v>15</v>
      </c>
      <c r="H2543" s="8">
        <v>9</v>
      </c>
      <c r="I2543" s="8">
        <v>0</v>
      </c>
      <c r="J2543" s="8">
        <v>0</v>
      </c>
      <c r="K2543" s="8">
        <v>0</v>
      </c>
      <c r="L2543" s="8">
        <v>8</v>
      </c>
      <c r="M2543" s="8">
        <v>7</v>
      </c>
      <c r="N2543" s="8">
        <v>17</v>
      </c>
      <c r="O2543" s="8">
        <v>7</v>
      </c>
      <c r="P2543" s="8">
        <v>9</v>
      </c>
      <c r="Q2543" s="8">
        <v>8</v>
      </c>
      <c r="R2543" s="8">
        <v>5</v>
      </c>
      <c r="S2543" s="8">
        <v>9</v>
      </c>
      <c r="T2543" s="8">
        <v>8</v>
      </c>
      <c r="U2543" s="8">
        <v>0</v>
      </c>
      <c r="V2543" s="8">
        <v>9</v>
      </c>
      <c r="W2543" s="8">
        <v>9</v>
      </c>
      <c r="X2543" s="8">
        <v>3.5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11" t="s">
        <v>18</v>
      </c>
    </row>
    <row r="2544" spans="1:46" ht="15.1" customHeight="1">
      <c r="A2544" s="8">
        <v>847</v>
      </c>
      <c r="B2544" s="9" t="s">
        <v>1927</v>
      </c>
      <c r="C2544" s="8" t="s">
        <v>1928</v>
      </c>
      <c r="D2544" s="9" t="s">
        <v>532</v>
      </c>
      <c r="E2544" s="8" t="s">
        <v>54</v>
      </c>
      <c r="F2544" s="8" t="s">
        <v>54</v>
      </c>
      <c r="G2544" s="10" t="s">
        <v>67</v>
      </c>
      <c r="H2544" s="8" t="s">
        <v>54</v>
      </c>
      <c r="I2544" s="8" t="s">
        <v>54</v>
      </c>
      <c r="J2544" s="8" t="s">
        <v>54</v>
      </c>
      <c r="K2544" s="8" t="s">
        <v>54</v>
      </c>
      <c r="L2544" s="8" t="s">
        <v>54</v>
      </c>
      <c r="M2544" s="8" t="s">
        <v>54</v>
      </c>
      <c r="N2544" s="10" t="s">
        <v>67</v>
      </c>
      <c r="O2544" s="8" t="s">
        <v>54</v>
      </c>
      <c r="P2544" s="8" t="s">
        <v>54</v>
      </c>
      <c r="Q2544" s="8" t="s">
        <v>54</v>
      </c>
      <c r="R2544" s="8" t="s">
        <v>54</v>
      </c>
      <c r="S2544" s="8" t="s">
        <v>54</v>
      </c>
      <c r="T2544" s="8" t="s">
        <v>54</v>
      </c>
      <c r="U2544" s="10" t="s">
        <v>67</v>
      </c>
      <c r="V2544" s="8" t="s">
        <v>54</v>
      </c>
      <c r="W2544" s="8" t="s">
        <v>54</v>
      </c>
      <c r="X2544" s="8" t="s">
        <v>54</v>
      </c>
      <c r="Y2544" s="8" t="s">
        <v>54</v>
      </c>
      <c r="Z2544" s="8" t="s">
        <v>54</v>
      </c>
      <c r="AA2544" s="8" t="s">
        <v>54</v>
      </c>
      <c r="AB2544" s="10" t="s">
        <v>67</v>
      </c>
      <c r="AC2544" s="8" t="s">
        <v>54</v>
      </c>
      <c r="AD2544" s="8" t="s">
        <v>54</v>
      </c>
      <c r="AE2544" s="8" t="s">
        <v>54</v>
      </c>
      <c r="AF2544" s="8" t="s">
        <v>54</v>
      </c>
      <c r="AG2544" s="8" t="s">
        <v>54</v>
      </c>
      <c r="AH2544" s="12" t="s">
        <v>55</v>
      </c>
      <c r="AI2544" s="10" t="s">
        <v>67</v>
      </c>
      <c r="AJ2544" s="8">
        <f>COUNTIF($E$2544:$AI$2544,"P")</f>
        <v>25</v>
      </c>
      <c r="AK2544" s="8">
        <f>COUNTIF($E$2544:$AI$2544,"A")</f>
        <v>1</v>
      </c>
      <c r="AL2544" s="8">
        <f>SUM($E$2545:$AI$2545)</f>
        <v>44</v>
      </c>
      <c r="AM2544" s="8">
        <f>SUM($E$2546:$AI$2546)</f>
        <v>186</v>
      </c>
      <c r="AN2544" s="8">
        <f>AL2544+AM2544</f>
        <v>230</v>
      </c>
      <c r="AO2544" s="8">
        <f>COUNTIF($E$2544:$AI$2544,"CL")</f>
        <v>0</v>
      </c>
      <c r="AP2544" s="8">
        <f>COUNTIF($E$2544:$AI$2544,"SL")</f>
        <v>0</v>
      </c>
      <c r="AQ2544" s="8">
        <f>COUNTIF($E$2544:$AI$2544,"EL")</f>
        <v>0</v>
      </c>
      <c r="AR2544" s="8">
        <f>COUNTIF($E$2544:$AI$2544,"H")</f>
        <v>0</v>
      </c>
      <c r="AS2544" s="8"/>
      <c r="AT2544" s="11" t="s">
        <v>18</v>
      </c>
    </row>
    <row r="2545" spans="1:46" ht="15.1" customHeight="1">
      <c r="A2545" s="8"/>
      <c r="B2545" s="9"/>
      <c r="C2545" s="8"/>
      <c r="D2545" s="9"/>
      <c r="E2545" s="8">
        <v>2</v>
      </c>
      <c r="F2545" s="8">
        <v>2</v>
      </c>
      <c r="G2545" s="8">
        <v>0</v>
      </c>
      <c r="H2545" s="8">
        <v>2</v>
      </c>
      <c r="I2545" s="8">
        <v>2</v>
      </c>
      <c r="J2545" s="8">
        <v>2</v>
      </c>
      <c r="K2545" s="8">
        <v>2</v>
      </c>
      <c r="L2545" s="8">
        <v>2</v>
      </c>
      <c r="M2545" s="8">
        <v>2</v>
      </c>
      <c r="N2545" s="8">
        <v>0</v>
      </c>
      <c r="O2545" s="8">
        <v>2</v>
      </c>
      <c r="P2545" s="8">
        <v>2</v>
      </c>
      <c r="Q2545" s="8">
        <v>2</v>
      </c>
      <c r="R2545" s="8">
        <v>2</v>
      </c>
      <c r="S2545" s="8">
        <v>2</v>
      </c>
      <c r="T2545" s="8">
        <v>2</v>
      </c>
      <c r="U2545" s="8">
        <v>0</v>
      </c>
      <c r="V2545" s="8">
        <v>2</v>
      </c>
      <c r="W2545" s="8">
        <v>2</v>
      </c>
      <c r="X2545" s="8">
        <v>2</v>
      </c>
      <c r="Y2545" s="8">
        <v>2</v>
      </c>
      <c r="Z2545" s="8">
        <v>0</v>
      </c>
      <c r="AA2545" s="8">
        <v>2</v>
      </c>
      <c r="AB2545" s="8">
        <v>0</v>
      </c>
      <c r="AC2545" s="8">
        <v>2</v>
      </c>
      <c r="AD2545" s="8">
        <v>2</v>
      </c>
      <c r="AE2545" s="8">
        <v>2</v>
      </c>
      <c r="AF2545" s="8">
        <v>0</v>
      </c>
      <c r="AG2545" s="8">
        <v>0</v>
      </c>
      <c r="AH2545" s="8">
        <v>0</v>
      </c>
      <c r="AI2545" s="8">
        <v>0</v>
      </c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11" t="s">
        <v>18</v>
      </c>
    </row>
    <row r="2546" spans="1:46" ht="15.1" customHeight="1">
      <c r="A2546" s="8"/>
      <c r="B2546" s="9"/>
      <c r="C2546" s="8"/>
      <c r="D2546" s="9"/>
      <c r="E2546" s="8">
        <v>9</v>
      </c>
      <c r="F2546" s="8">
        <v>3</v>
      </c>
      <c r="G2546" s="8">
        <v>15.5</v>
      </c>
      <c r="H2546" s="8">
        <v>8</v>
      </c>
      <c r="I2546" s="8">
        <v>9.5</v>
      </c>
      <c r="J2546" s="8">
        <v>11</v>
      </c>
      <c r="K2546" s="8">
        <v>10</v>
      </c>
      <c r="L2546" s="8">
        <v>8</v>
      </c>
      <c r="M2546" s="8">
        <v>7</v>
      </c>
      <c r="N2546" s="8">
        <v>17</v>
      </c>
      <c r="O2546" s="8">
        <v>7</v>
      </c>
      <c r="P2546" s="8">
        <v>10</v>
      </c>
      <c r="Q2546" s="8">
        <v>8</v>
      </c>
      <c r="R2546" s="8">
        <v>7</v>
      </c>
      <c r="S2546" s="8">
        <v>9</v>
      </c>
      <c r="T2546" s="8">
        <v>9.5</v>
      </c>
      <c r="U2546" s="8">
        <v>12</v>
      </c>
      <c r="V2546" s="8">
        <v>9</v>
      </c>
      <c r="W2546" s="8">
        <v>11</v>
      </c>
      <c r="X2546" s="8">
        <v>3.5</v>
      </c>
      <c r="Y2546" s="8">
        <v>0</v>
      </c>
      <c r="Z2546" s="8">
        <v>0</v>
      </c>
      <c r="AA2546" s="8">
        <v>0</v>
      </c>
      <c r="AB2546" s="8">
        <v>0</v>
      </c>
      <c r="AC2546" s="8">
        <v>1</v>
      </c>
      <c r="AD2546" s="8">
        <v>1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11" t="s">
        <v>18</v>
      </c>
    </row>
    <row r="2547" spans="1:46" ht="15.1" customHeight="1">
      <c r="A2547" s="8">
        <v>848</v>
      </c>
      <c r="B2547" s="9" t="s">
        <v>1929</v>
      </c>
      <c r="C2547" s="8" t="s">
        <v>1930</v>
      </c>
      <c r="D2547" s="9" t="s">
        <v>532</v>
      </c>
      <c r="E2547" s="8" t="s">
        <v>54</v>
      </c>
      <c r="F2547" s="8" t="s">
        <v>54</v>
      </c>
      <c r="G2547" s="10" t="s">
        <v>67</v>
      </c>
      <c r="H2547" s="8" t="s">
        <v>54</v>
      </c>
      <c r="I2547" s="8" t="s">
        <v>54</v>
      </c>
      <c r="J2547" s="8" t="s">
        <v>54</v>
      </c>
      <c r="K2547" s="8" t="s">
        <v>54</v>
      </c>
      <c r="L2547" s="8" t="s">
        <v>54</v>
      </c>
      <c r="M2547" s="8" t="s">
        <v>54</v>
      </c>
      <c r="N2547" s="10" t="s">
        <v>67</v>
      </c>
      <c r="O2547" s="8" t="s">
        <v>54</v>
      </c>
      <c r="P2547" s="8" t="s">
        <v>54</v>
      </c>
      <c r="Q2547" s="8" t="s">
        <v>54</v>
      </c>
      <c r="R2547" s="8" t="s">
        <v>54</v>
      </c>
      <c r="S2547" s="8" t="s">
        <v>54</v>
      </c>
      <c r="T2547" s="8" t="s">
        <v>54</v>
      </c>
      <c r="U2547" s="10" t="s">
        <v>67</v>
      </c>
      <c r="V2547" s="8" t="s">
        <v>54</v>
      </c>
      <c r="W2547" s="8" t="s">
        <v>54</v>
      </c>
      <c r="X2547" s="8" t="s">
        <v>54</v>
      </c>
      <c r="Y2547" s="8" t="s">
        <v>54</v>
      </c>
      <c r="Z2547" s="8" t="s">
        <v>54</v>
      </c>
      <c r="AA2547" s="8" t="s">
        <v>54</v>
      </c>
      <c r="AB2547" s="10" t="s">
        <v>67</v>
      </c>
      <c r="AC2547" s="8" t="s">
        <v>54</v>
      </c>
      <c r="AD2547" s="8" t="s">
        <v>54</v>
      </c>
      <c r="AE2547" s="8" t="s">
        <v>54</v>
      </c>
      <c r="AF2547" s="8" t="s">
        <v>54</v>
      </c>
      <c r="AG2547" s="8" t="s">
        <v>54</v>
      </c>
      <c r="AH2547" s="12" t="s">
        <v>55</v>
      </c>
      <c r="AI2547" s="10" t="s">
        <v>67</v>
      </c>
      <c r="AJ2547" s="8">
        <f>COUNTIF($E$2547:$AI$2547,"P")</f>
        <v>25</v>
      </c>
      <c r="AK2547" s="8">
        <f>COUNTIF($E$2547:$AI$2547,"A")</f>
        <v>1</v>
      </c>
      <c r="AL2547" s="8">
        <f>SUM($E$2548:$AI$2548)</f>
        <v>40</v>
      </c>
      <c r="AM2547" s="8">
        <f>SUM($E$2549:$AI$2549)</f>
        <v>189</v>
      </c>
      <c r="AN2547" s="8">
        <f>AL2547+AM2547</f>
        <v>229</v>
      </c>
      <c r="AO2547" s="8">
        <f>COUNTIF($E$2547:$AI$2547,"CL")</f>
        <v>0</v>
      </c>
      <c r="AP2547" s="8">
        <f>COUNTIF($E$2547:$AI$2547,"SL")</f>
        <v>0</v>
      </c>
      <c r="AQ2547" s="8">
        <f>COUNTIF($E$2547:$AI$2547,"EL")</f>
        <v>0</v>
      </c>
      <c r="AR2547" s="8">
        <f>COUNTIF($E$2547:$AI$2547,"H")</f>
        <v>0</v>
      </c>
      <c r="AS2547" s="8"/>
      <c r="AT2547" s="11" t="s">
        <v>18</v>
      </c>
    </row>
    <row r="2548" spans="1:46" ht="15.1" customHeight="1">
      <c r="A2548" s="8"/>
      <c r="B2548" s="9"/>
      <c r="C2548" s="8"/>
      <c r="D2548" s="9"/>
      <c r="E2548" s="8">
        <v>2</v>
      </c>
      <c r="F2548" s="8">
        <v>2</v>
      </c>
      <c r="G2548" s="8">
        <v>0</v>
      </c>
      <c r="H2548" s="8">
        <v>2</v>
      </c>
      <c r="I2548" s="8">
        <v>2</v>
      </c>
      <c r="J2548" s="8">
        <v>2</v>
      </c>
      <c r="K2548" s="8">
        <v>2</v>
      </c>
      <c r="L2548" s="8">
        <v>2</v>
      </c>
      <c r="M2548" s="8">
        <v>2</v>
      </c>
      <c r="N2548" s="8">
        <v>0</v>
      </c>
      <c r="O2548" s="8">
        <v>2</v>
      </c>
      <c r="P2548" s="8">
        <v>2</v>
      </c>
      <c r="Q2548" s="8">
        <v>2</v>
      </c>
      <c r="R2548" s="8">
        <v>2</v>
      </c>
      <c r="S2548" s="8">
        <v>2</v>
      </c>
      <c r="T2548" s="8">
        <v>2</v>
      </c>
      <c r="U2548" s="8">
        <v>0</v>
      </c>
      <c r="V2548" s="8">
        <v>2</v>
      </c>
      <c r="W2548" s="8">
        <v>2</v>
      </c>
      <c r="X2548" s="8">
        <v>2</v>
      </c>
      <c r="Y2548" s="8">
        <v>2</v>
      </c>
      <c r="Z2548" s="8">
        <v>0</v>
      </c>
      <c r="AA2548" s="8">
        <v>2</v>
      </c>
      <c r="AB2548" s="8">
        <v>0</v>
      </c>
      <c r="AC2548" s="8">
        <v>0</v>
      </c>
      <c r="AD2548" s="8">
        <v>0</v>
      </c>
      <c r="AE2548" s="8">
        <v>2</v>
      </c>
      <c r="AF2548" s="8">
        <v>0</v>
      </c>
      <c r="AG2548" s="8">
        <v>0</v>
      </c>
      <c r="AH2548" s="8">
        <v>0</v>
      </c>
      <c r="AI2548" s="8">
        <v>0</v>
      </c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11" t="s">
        <v>18</v>
      </c>
    </row>
    <row r="2549" spans="1:46" ht="15.1" customHeight="1">
      <c r="A2549" s="8"/>
      <c r="B2549" s="9"/>
      <c r="C2549" s="8"/>
      <c r="D2549" s="9"/>
      <c r="E2549" s="8">
        <v>10</v>
      </c>
      <c r="F2549" s="8">
        <v>1</v>
      </c>
      <c r="G2549" s="8">
        <v>15.5</v>
      </c>
      <c r="H2549" s="8">
        <v>9</v>
      </c>
      <c r="I2549" s="8">
        <v>11</v>
      </c>
      <c r="J2549" s="8">
        <v>6.5</v>
      </c>
      <c r="K2549" s="8">
        <v>10</v>
      </c>
      <c r="L2549" s="8">
        <v>8</v>
      </c>
      <c r="M2549" s="8">
        <v>7</v>
      </c>
      <c r="N2549" s="8">
        <v>17</v>
      </c>
      <c r="O2549" s="8">
        <v>7</v>
      </c>
      <c r="P2549" s="8">
        <v>9</v>
      </c>
      <c r="Q2549" s="8">
        <v>10</v>
      </c>
      <c r="R2549" s="8">
        <v>7</v>
      </c>
      <c r="S2549" s="8">
        <v>9</v>
      </c>
      <c r="T2549" s="8">
        <v>10</v>
      </c>
      <c r="U2549" s="8">
        <v>19.5</v>
      </c>
      <c r="V2549" s="8">
        <v>5</v>
      </c>
      <c r="W2549" s="8">
        <v>11</v>
      </c>
      <c r="X2549" s="8">
        <v>3.5</v>
      </c>
      <c r="Y2549" s="8">
        <v>0</v>
      </c>
      <c r="Z2549" s="8">
        <v>0</v>
      </c>
      <c r="AA2549" s="8">
        <v>1</v>
      </c>
      <c r="AB2549" s="8">
        <v>0</v>
      </c>
      <c r="AC2549" s="8">
        <v>0</v>
      </c>
      <c r="AD2549" s="8">
        <v>0</v>
      </c>
      <c r="AE2549" s="8">
        <v>2</v>
      </c>
      <c r="AF2549" s="8">
        <v>0</v>
      </c>
      <c r="AG2549" s="8">
        <v>0</v>
      </c>
      <c r="AH2549" s="8">
        <v>0</v>
      </c>
      <c r="AI2549" s="8">
        <v>0</v>
      </c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11" t="s">
        <v>18</v>
      </c>
    </row>
    <row r="2550" spans="1:46" ht="15.1" customHeight="1">
      <c r="A2550" s="8">
        <v>849</v>
      </c>
      <c r="B2550" s="9" t="s">
        <v>1931</v>
      </c>
      <c r="C2550" s="8" t="s">
        <v>1932</v>
      </c>
      <c r="D2550" s="9" t="s">
        <v>532</v>
      </c>
      <c r="E2550" s="8" t="s">
        <v>54</v>
      </c>
      <c r="F2550" s="8" t="s">
        <v>54</v>
      </c>
      <c r="G2550" s="10" t="s">
        <v>67</v>
      </c>
      <c r="H2550" s="8" t="s">
        <v>54</v>
      </c>
      <c r="I2550" s="8" t="s">
        <v>54</v>
      </c>
      <c r="J2550" s="8" t="s">
        <v>54</v>
      </c>
      <c r="K2550" s="8" t="s">
        <v>54</v>
      </c>
      <c r="L2550" s="8" t="s">
        <v>54</v>
      </c>
      <c r="M2550" s="8" t="s">
        <v>54</v>
      </c>
      <c r="N2550" s="10" t="s">
        <v>67</v>
      </c>
      <c r="O2550" s="8" t="s">
        <v>54</v>
      </c>
      <c r="P2550" s="8" t="s">
        <v>54</v>
      </c>
      <c r="Q2550" s="8" t="s">
        <v>54</v>
      </c>
      <c r="R2550" s="8" t="s">
        <v>54</v>
      </c>
      <c r="S2550" s="8" t="s">
        <v>54</v>
      </c>
      <c r="T2550" s="8" t="s">
        <v>54</v>
      </c>
      <c r="U2550" s="10" t="s">
        <v>67</v>
      </c>
      <c r="V2550" s="8" t="s">
        <v>54</v>
      </c>
      <c r="W2550" s="8" t="s">
        <v>54</v>
      </c>
      <c r="X2550" s="8" t="s">
        <v>54</v>
      </c>
      <c r="Y2550" s="8" t="s">
        <v>54</v>
      </c>
      <c r="Z2550" s="8" t="s">
        <v>54</v>
      </c>
      <c r="AA2550" s="8" t="s">
        <v>54</v>
      </c>
      <c r="AB2550" s="10" t="s">
        <v>67</v>
      </c>
      <c r="AC2550" s="8" t="s">
        <v>54</v>
      </c>
      <c r="AD2550" s="8" t="s">
        <v>54</v>
      </c>
      <c r="AE2550" s="8" t="s">
        <v>54</v>
      </c>
      <c r="AF2550" s="8" t="s">
        <v>54</v>
      </c>
      <c r="AG2550" s="8" t="s">
        <v>54</v>
      </c>
      <c r="AH2550" s="8" t="s">
        <v>54</v>
      </c>
      <c r="AI2550" s="10" t="s">
        <v>67</v>
      </c>
      <c r="AJ2550" s="8">
        <f>COUNTIF($E$2550:$AI$2550,"P")</f>
        <v>26</v>
      </c>
      <c r="AK2550" s="8">
        <f>COUNTIF($E$2550:$AI$2550,"A")</f>
        <v>0</v>
      </c>
      <c r="AL2550" s="8">
        <f>SUM($E$2551:$AI$2551)</f>
        <v>40</v>
      </c>
      <c r="AM2550" s="8">
        <f>SUM($E$2552:$AI$2552)</f>
        <v>180</v>
      </c>
      <c r="AN2550" s="8">
        <f>AL2550+AM2550</f>
        <v>219</v>
      </c>
      <c r="AO2550" s="8">
        <f>COUNTIF($E$2550:$AI$2550,"CL")</f>
        <v>0</v>
      </c>
      <c r="AP2550" s="8">
        <f>COUNTIF($E$2550:$AI$2550,"SL")</f>
        <v>0</v>
      </c>
      <c r="AQ2550" s="8">
        <f>COUNTIF($E$2550:$AI$2550,"EL")</f>
        <v>0</v>
      </c>
      <c r="AR2550" s="8">
        <f>COUNTIF($E$2550:$AI$2550,"H")</f>
        <v>0</v>
      </c>
      <c r="AS2550" s="8"/>
      <c r="AT2550" s="11" t="s">
        <v>18</v>
      </c>
    </row>
    <row r="2551" spans="1:46" ht="15.1" customHeight="1">
      <c r="A2551" s="8"/>
      <c r="B2551" s="9"/>
      <c r="C2551" s="8"/>
      <c r="D2551" s="9"/>
      <c r="E2551" s="8">
        <v>2</v>
      </c>
      <c r="F2551" s="8">
        <v>2</v>
      </c>
      <c r="G2551" s="8">
        <v>0</v>
      </c>
      <c r="H2551" s="8">
        <v>2</v>
      </c>
      <c r="I2551" s="8">
        <v>2</v>
      </c>
      <c r="J2551" s="8">
        <v>2</v>
      </c>
      <c r="K2551" s="8">
        <v>2</v>
      </c>
      <c r="L2551" s="8">
        <v>2</v>
      </c>
      <c r="M2551" s="8">
        <v>2</v>
      </c>
      <c r="N2551" s="8">
        <v>0</v>
      </c>
      <c r="O2551" s="8">
        <v>2</v>
      </c>
      <c r="P2551" s="8">
        <v>2</v>
      </c>
      <c r="Q2551" s="8">
        <v>2</v>
      </c>
      <c r="R2551" s="8">
        <v>2</v>
      </c>
      <c r="S2551" s="8">
        <v>2</v>
      </c>
      <c r="T2551" s="8">
        <v>2</v>
      </c>
      <c r="U2551" s="8">
        <v>0</v>
      </c>
      <c r="V2551" s="8">
        <v>2</v>
      </c>
      <c r="W2551" s="8">
        <v>2</v>
      </c>
      <c r="X2551" s="8">
        <v>2</v>
      </c>
      <c r="Y2551" s="8">
        <v>1</v>
      </c>
      <c r="Z2551" s="8">
        <v>0</v>
      </c>
      <c r="AA2551" s="8">
        <v>1</v>
      </c>
      <c r="AB2551" s="8">
        <v>0</v>
      </c>
      <c r="AC2551" s="8">
        <v>0</v>
      </c>
      <c r="AD2551" s="8">
        <v>2</v>
      </c>
      <c r="AE2551" s="8">
        <v>0</v>
      </c>
      <c r="AF2551" s="8">
        <v>0</v>
      </c>
      <c r="AG2551" s="8">
        <v>0</v>
      </c>
      <c r="AH2551" s="8">
        <v>2</v>
      </c>
      <c r="AI2551" s="8">
        <v>0</v>
      </c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11" t="s">
        <v>18</v>
      </c>
    </row>
    <row r="2552" spans="1:46" ht="15.1" customHeight="1">
      <c r="A2552" s="8"/>
      <c r="B2552" s="9"/>
      <c r="C2552" s="8"/>
      <c r="D2552" s="9"/>
      <c r="E2552" s="8">
        <v>9</v>
      </c>
      <c r="F2552" s="8">
        <v>1</v>
      </c>
      <c r="G2552" s="8">
        <v>0</v>
      </c>
      <c r="H2552" s="8">
        <v>9</v>
      </c>
      <c r="I2552" s="8">
        <v>9.5</v>
      </c>
      <c r="J2552" s="8">
        <v>9</v>
      </c>
      <c r="K2552" s="8">
        <v>10</v>
      </c>
      <c r="L2552" s="8">
        <v>8</v>
      </c>
      <c r="M2552" s="8">
        <v>7</v>
      </c>
      <c r="N2552" s="8">
        <v>18</v>
      </c>
      <c r="O2552" s="8">
        <v>7</v>
      </c>
      <c r="P2552" s="8">
        <v>9.5</v>
      </c>
      <c r="Q2552" s="8">
        <v>11</v>
      </c>
      <c r="R2552" s="8">
        <v>7</v>
      </c>
      <c r="S2552" s="8">
        <v>10</v>
      </c>
      <c r="T2552" s="8">
        <v>10</v>
      </c>
      <c r="U2552" s="8">
        <v>19</v>
      </c>
      <c r="V2552" s="8">
        <v>3</v>
      </c>
      <c r="W2552" s="8">
        <v>7</v>
      </c>
      <c r="X2552" s="8">
        <v>9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7</v>
      </c>
      <c r="AE2552" s="8">
        <v>0</v>
      </c>
      <c r="AF2552" s="8">
        <v>0</v>
      </c>
      <c r="AG2552" s="8">
        <v>0</v>
      </c>
      <c r="AH2552" s="8">
        <v>0</v>
      </c>
      <c r="AI2552" s="8">
        <v>0</v>
      </c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11" t="s">
        <v>18</v>
      </c>
    </row>
    <row r="2553" spans="1:46" ht="15.1" customHeight="1">
      <c r="A2553" s="8">
        <v>850</v>
      </c>
      <c r="B2553" s="9" t="s">
        <v>1933</v>
      </c>
      <c r="C2553" s="8" t="s">
        <v>1934</v>
      </c>
      <c r="D2553" s="9" t="s">
        <v>532</v>
      </c>
      <c r="E2553" s="8" t="s">
        <v>54</v>
      </c>
      <c r="F2553" s="8" t="s">
        <v>54</v>
      </c>
      <c r="G2553" s="10" t="s">
        <v>67</v>
      </c>
      <c r="H2553" s="8" t="s">
        <v>54</v>
      </c>
      <c r="I2553" s="8" t="s">
        <v>54</v>
      </c>
      <c r="J2553" s="12" t="s">
        <v>55</v>
      </c>
      <c r="K2553" s="8" t="s">
        <v>54</v>
      </c>
      <c r="L2553" s="8" t="s">
        <v>54</v>
      </c>
      <c r="M2553" s="8" t="s">
        <v>54</v>
      </c>
      <c r="N2553" s="10" t="s">
        <v>67</v>
      </c>
      <c r="O2553" s="12" t="s">
        <v>55</v>
      </c>
      <c r="P2553" s="12" t="s">
        <v>55</v>
      </c>
      <c r="Q2553" s="12" t="s">
        <v>55</v>
      </c>
      <c r="R2553" s="8" t="s">
        <v>54</v>
      </c>
      <c r="S2553" s="8" t="s">
        <v>54</v>
      </c>
      <c r="T2553" s="8" t="s">
        <v>54</v>
      </c>
      <c r="U2553" s="10" t="s">
        <v>67</v>
      </c>
      <c r="V2553" s="8" t="s">
        <v>54</v>
      </c>
      <c r="W2553" s="8" t="s">
        <v>54</v>
      </c>
      <c r="X2553" s="8" t="s">
        <v>54</v>
      </c>
      <c r="Y2553" s="8" t="s">
        <v>54</v>
      </c>
      <c r="Z2553" s="8" t="s">
        <v>54</v>
      </c>
      <c r="AA2553" s="8" t="s">
        <v>54</v>
      </c>
      <c r="AB2553" s="10" t="s">
        <v>67</v>
      </c>
      <c r="AC2553" s="8" t="s">
        <v>54</v>
      </c>
      <c r="AD2553" s="8" t="s">
        <v>54</v>
      </c>
      <c r="AE2553" s="8" t="s">
        <v>54</v>
      </c>
      <c r="AF2553" s="8" t="s">
        <v>54</v>
      </c>
      <c r="AG2553" s="8" t="s">
        <v>54</v>
      </c>
      <c r="AH2553" s="8" t="s">
        <v>54</v>
      </c>
      <c r="AI2553" s="10" t="s">
        <v>67</v>
      </c>
      <c r="AJ2553" s="8">
        <f>COUNTIF($E$2553:$AI$2553,"P")</f>
        <v>22</v>
      </c>
      <c r="AK2553" s="8">
        <f>COUNTIF($E$2553:$AI$2553,"A")</f>
        <v>4</v>
      </c>
      <c r="AL2553" s="8">
        <f>SUM($E$2554:$AI$2554)</f>
        <v>31</v>
      </c>
      <c r="AM2553" s="8">
        <f>SUM($E$2555:$AI$2555)</f>
        <v>115.5</v>
      </c>
      <c r="AN2553" s="8">
        <f>AL2553+AM2553</f>
        <v>146</v>
      </c>
      <c r="AO2553" s="8">
        <f>COUNTIF($E$2553:$AI$2553,"CL")</f>
        <v>0</v>
      </c>
      <c r="AP2553" s="8">
        <f>COUNTIF($E$2553:$AI$2553,"SL")</f>
        <v>0</v>
      </c>
      <c r="AQ2553" s="8">
        <f>COUNTIF($E$2553:$AI$2553,"EL")</f>
        <v>0</v>
      </c>
      <c r="AR2553" s="8">
        <f>COUNTIF($E$2553:$AI$2553,"H")</f>
        <v>0</v>
      </c>
      <c r="AS2553" s="8"/>
      <c r="AT2553" s="11" t="s">
        <v>18</v>
      </c>
    </row>
    <row r="2554" spans="1:46" ht="15.1" customHeight="1">
      <c r="A2554" s="8"/>
      <c r="B2554" s="9"/>
      <c r="C2554" s="8"/>
      <c r="D2554" s="9"/>
      <c r="E2554" s="8">
        <v>2</v>
      </c>
      <c r="F2554" s="8">
        <v>2</v>
      </c>
      <c r="G2554" s="8">
        <v>0</v>
      </c>
      <c r="H2554" s="8">
        <v>2</v>
      </c>
      <c r="I2554" s="8">
        <v>2</v>
      </c>
      <c r="J2554" s="8">
        <v>0</v>
      </c>
      <c r="K2554" s="8">
        <v>2</v>
      </c>
      <c r="L2554" s="8">
        <v>2</v>
      </c>
      <c r="M2554" s="8">
        <v>2</v>
      </c>
      <c r="N2554" s="8">
        <v>0</v>
      </c>
      <c r="O2554" s="8">
        <v>0</v>
      </c>
      <c r="P2554" s="8">
        <v>0</v>
      </c>
      <c r="Q2554" s="8">
        <v>0</v>
      </c>
      <c r="R2554" s="8">
        <v>2</v>
      </c>
      <c r="S2554" s="8">
        <v>2</v>
      </c>
      <c r="T2554" s="8">
        <v>2</v>
      </c>
      <c r="U2554" s="8">
        <v>0</v>
      </c>
      <c r="V2554" s="8">
        <v>2</v>
      </c>
      <c r="W2554" s="8">
        <v>2</v>
      </c>
      <c r="X2554" s="8">
        <v>0</v>
      </c>
      <c r="Y2554" s="8">
        <v>1</v>
      </c>
      <c r="Z2554" s="8">
        <v>0</v>
      </c>
      <c r="AA2554" s="8">
        <v>2</v>
      </c>
      <c r="AB2554" s="8">
        <v>0</v>
      </c>
      <c r="AC2554" s="8">
        <v>0</v>
      </c>
      <c r="AD2554" s="8">
        <v>2</v>
      </c>
      <c r="AE2554" s="8">
        <v>0</v>
      </c>
      <c r="AF2554" s="8">
        <v>0</v>
      </c>
      <c r="AG2554" s="8">
        <v>0</v>
      </c>
      <c r="AH2554" s="8">
        <v>2</v>
      </c>
      <c r="AI2554" s="8">
        <v>0</v>
      </c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11" t="s">
        <v>18</v>
      </c>
    </row>
    <row r="2555" spans="1:46" ht="15.1" customHeight="1">
      <c r="A2555" s="8"/>
      <c r="B2555" s="9"/>
      <c r="C2555" s="8"/>
      <c r="D2555" s="9"/>
      <c r="E2555" s="8">
        <v>10</v>
      </c>
      <c r="F2555" s="8">
        <v>0</v>
      </c>
      <c r="G2555" s="8">
        <v>14</v>
      </c>
      <c r="H2555" s="8">
        <v>0</v>
      </c>
      <c r="I2555" s="8">
        <v>9.5</v>
      </c>
      <c r="J2555" s="8">
        <v>0</v>
      </c>
      <c r="K2555" s="8">
        <v>10</v>
      </c>
      <c r="L2555" s="8">
        <v>6</v>
      </c>
      <c r="M2555" s="8">
        <v>7</v>
      </c>
      <c r="N2555" s="8">
        <v>0</v>
      </c>
      <c r="O2555" s="8">
        <v>0</v>
      </c>
      <c r="P2555" s="8">
        <v>0</v>
      </c>
      <c r="Q2555" s="8">
        <v>0</v>
      </c>
      <c r="R2555" s="8">
        <v>7</v>
      </c>
      <c r="S2555" s="8">
        <v>10</v>
      </c>
      <c r="T2555" s="8">
        <v>10</v>
      </c>
      <c r="U2555" s="8">
        <v>11</v>
      </c>
      <c r="V2555" s="8">
        <v>9</v>
      </c>
      <c r="W2555" s="8">
        <v>5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7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11" t="s">
        <v>18</v>
      </c>
    </row>
    <row r="2556" spans="1:46" ht="15.1" customHeight="1">
      <c r="A2556" s="8">
        <v>851</v>
      </c>
      <c r="B2556" s="9" t="s">
        <v>1935</v>
      </c>
      <c r="C2556" s="8" t="s">
        <v>1936</v>
      </c>
      <c r="D2556" s="9" t="s">
        <v>532</v>
      </c>
      <c r="E2556" s="8" t="s">
        <v>54</v>
      </c>
      <c r="F2556" s="8" t="s">
        <v>54</v>
      </c>
      <c r="G2556" s="10" t="s">
        <v>67</v>
      </c>
      <c r="H2556" s="8" t="s">
        <v>54</v>
      </c>
      <c r="I2556" s="8" t="s">
        <v>54</v>
      </c>
      <c r="J2556" s="8" t="s">
        <v>54</v>
      </c>
      <c r="K2556" s="12" t="s">
        <v>55</v>
      </c>
      <c r="L2556" s="8" t="s">
        <v>54</v>
      </c>
      <c r="M2556" s="8" t="s">
        <v>54</v>
      </c>
      <c r="N2556" s="10" t="s">
        <v>67</v>
      </c>
      <c r="O2556" s="8" t="s">
        <v>54</v>
      </c>
      <c r="P2556" s="8" t="s">
        <v>54</v>
      </c>
      <c r="Q2556" s="8" t="s">
        <v>54</v>
      </c>
      <c r="R2556" s="12" t="s">
        <v>55</v>
      </c>
      <c r="S2556" s="8" t="s">
        <v>54</v>
      </c>
      <c r="T2556" s="8" t="s">
        <v>54</v>
      </c>
      <c r="U2556" s="10" t="s">
        <v>67</v>
      </c>
      <c r="V2556" s="8" t="s">
        <v>54</v>
      </c>
      <c r="W2556" s="8" t="s">
        <v>54</v>
      </c>
      <c r="X2556" s="8" t="s">
        <v>54</v>
      </c>
      <c r="Y2556" s="8" t="s">
        <v>54</v>
      </c>
      <c r="Z2556" s="8" t="s">
        <v>54</v>
      </c>
      <c r="AA2556" s="8" t="s">
        <v>54</v>
      </c>
      <c r="AB2556" s="10" t="s">
        <v>67</v>
      </c>
      <c r="AC2556" s="8" t="s">
        <v>54</v>
      </c>
      <c r="AD2556" s="12" t="s">
        <v>55</v>
      </c>
      <c r="AE2556" s="8" t="s">
        <v>54</v>
      </c>
      <c r="AF2556" s="8" t="s">
        <v>54</v>
      </c>
      <c r="AG2556" s="8" t="s">
        <v>54</v>
      </c>
      <c r="AH2556" s="12" t="s">
        <v>55</v>
      </c>
      <c r="AI2556" s="10" t="s">
        <v>67</v>
      </c>
      <c r="AJ2556" s="8">
        <f>COUNTIF($E$2556:$AI$2556,"P")</f>
        <v>22</v>
      </c>
      <c r="AK2556" s="8">
        <f>COUNTIF($E$2556:$AI$2556,"A")</f>
        <v>4</v>
      </c>
      <c r="AL2556" s="8">
        <f>SUM($E$2557:$AI$2557)</f>
        <v>34</v>
      </c>
      <c r="AM2556" s="8">
        <f>SUM($E$2558:$AI$2558)</f>
        <v>146.5</v>
      </c>
      <c r="AN2556" s="8">
        <f>AL2556+AM2556</f>
        <v>180.5</v>
      </c>
      <c r="AO2556" s="8">
        <f>COUNTIF($E$2556:$AI$2556,"CL")</f>
        <v>0</v>
      </c>
      <c r="AP2556" s="8">
        <f>COUNTIF($E$2556:$AI$2556,"SL")</f>
        <v>0</v>
      </c>
      <c r="AQ2556" s="8">
        <f>COUNTIF($E$2556:$AI$2556,"EL")</f>
        <v>0</v>
      </c>
      <c r="AR2556" s="8">
        <f>COUNTIF($E$2556:$AI$2556,"H")</f>
        <v>0</v>
      </c>
      <c r="AS2556" s="8"/>
      <c r="AT2556" s="11" t="s">
        <v>18</v>
      </c>
    </row>
    <row r="2557" spans="1:46" ht="15.1" customHeight="1">
      <c r="A2557" s="8"/>
      <c r="B2557" s="9"/>
      <c r="C2557" s="8"/>
      <c r="D2557" s="9"/>
      <c r="E2557" s="8">
        <v>2</v>
      </c>
      <c r="F2557" s="8">
        <v>2</v>
      </c>
      <c r="G2557" s="8">
        <v>0</v>
      </c>
      <c r="H2557" s="8">
        <v>2</v>
      </c>
      <c r="I2557" s="8">
        <v>2</v>
      </c>
      <c r="J2557" s="8">
        <v>2</v>
      </c>
      <c r="K2557" s="8">
        <v>0</v>
      </c>
      <c r="L2557" s="8">
        <v>2</v>
      </c>
      <c r="M2557" s="8">
        <v>2</v>
      </c>
      <c r="N2557" s="8">
        <v>0</v>
      </c>
      <c r="O2557" s="8">
        <v>2</v>
      </c>
      <c r="P2557" s="8">
        <v>2</v>
      </c>
      <c r="Q2557" s="8">
        <v>2</v>
      </c>
      <c r="R2557" s="8">
        <v>0</v>
      </c>
      <c r="S2557" s="8">
        <v>2</v>
      </c>
      <c r="T2557" s="8">
        <v>2</v>
      </c>
      <c r="U2557" s="8">
        <v>0</v>
      </c>
      <c r="V2557" s="8">
        <v>2</v>
      </c>
      <c r="W2557" s="8">
        <v>2</v>
      </c>
      <c r="X2557" s="8">
        <v>2</v>
      </c>
      <c r="Y2557" s="8">
        <v>0</v>
      </c>
      <c r="Z2557" s="8">
        <v>0</v>
      </c>
      <c r="AA2557" s="8">
        <v>2</v>
      </c>
      <c r="AB2557" s="8">
        <v>0</v>
      </c>
      <c r="AC2557" s="8">
        <v>0</v>
      </c>
      <c r="AD2557" s="8">
        <v>0</v>
      </c>
      <c r="AE2557" s="8">
        <v>2</v>
      </c>
      <c r="AF2557" s="8">
        <v>0</v>
      </c>
      <c r="AG2557" s="8">
        <v>0</v>
      </c>
      <c r="AH2557" s="8">
        <v>0</v>
      </c>
      <c r="AI2557" s="8">
        <v>0</v>
      </c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11" t="s">
        <v>18</v>
      </c>
    </row>
    <row r="2558" spans="1:46" ht="15.1" customHeight="1">
      <c r="A2558" s="8"/>
      <c r="B2558" s="9"/>
      <c r="C2558" s="8"/>
      <c r="D2558" s="9"/>
      <c r="E2558" s="8">
        <v>9</v>
      </c>
      <c r="F2558" s="8">
        <v>3</v>
      </c>
      <c r="G2558" s="8">
        <v>15.5</v>
      </c>
      <c r="H2558" s="8">
        <v>8</v>
      </c>
      <c r="I2558" s="8">
        <v>11</v>
      </c>
      <c r="J2558" s="8">
        <v>2</v>
      </c>
      <c r="K2558" s="8">
        <v>0</v>
      </c>
      <c r="L2558" s="8">
        <v>8</v>
      </c>
      <c r="M2558" s="8">
        <v>7</v>
      </c>
      <c r="N2558" s="8">
        <v>17</v>
      </c>
      <c r="O2558" s="8">
        <v>7</v>
      </c>
      <c r="P2558" s="8">
        <v>9</v>
      </c>
      <c r="Q2558" s="8">
        <v>10</v>
      </c>
      <c r="R2558" s="8">
        <v>0</v>
      </c>
      <c r="S2558" s="8">
        <v>9</v>
      </c>
      <c r="T2558" s="8">
        <v>8</v>
      </c>
      <c r="U2558" s="8">
        <v>0</v>
      </c>
      <c r="V2558" s="8">
        <v>9</v>
      </c>
      <c r="W2558" s="8">
        <v>11</v>
      </c>
      <c r="X2558" s="8">
        <v>3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11" t="s">
        <v>18</v>
      </c>
    </row>
    <row r="2559" spans="1:46" ht="15.1" customHeight="1">
      <c r="A2559" s="8">
        <v>852</v>
      </c>
      <c r="B2559" s="9" t="s">
        <v>1937</v>
      </c>
      <c r="C2559" s="8" t="s">
        <v>1938</v>
      </c>
      <c r="D2559" s="9" t="s">
        <v>266</v>
      </c>
      <c r="E2559" s="8" t="s">
        <v>54</v>
      </c>
      <c r="F2559" s="8" t="s">
        <v>54</v>
      </c>
      <c r="G2559" s="10" t="s">
        <v>67</v>
      </c>
      <c r="H2559" s="12" t="s">
        <v>55</v>
      </c>
      <c r="I2559" s="12" t="s">
        <v>55</v>
      </c>
      <c r="J2559" s="12" t="s">
        <v>55</v>
      </c>
      <c r="K2559" s="12" t="s">
        <v>55</v>
      </c>
      <c r="L2559" s="8" t="s">
        <v>54</v>
      </c>
      <c r="M2559" s="8" t="s">
        <v>54</v>
      </c>
      <c r="N2559" s="10" t="s">
        <v>67</v>
      </c>
      <c r="O2559" s="8" t="s">
        <v>54</v>
      </c>
      <c r="P2559" s="8" t="s">
        <v>54</v>
      </c>
      <c r="Q2559" s="8" t="s">
        <v>54</v>
      </c>
      <c r="R2559" s="8" t="s">
        <v>54</v>
      </c>
      <c r="S2559" s="8" t="s">
        <v>54</v>
      </c>
      <c r="T2559" s="8" t="s">
        <v>54</v>
      </c>
      <c r="U2559" s="10" t="s">
        <v>67</v>
      </c>
      <c r="V2559" s="8" t="s">
        <v>54</v>
      </c>
      <c r="W2559" s="8" t="s">
        <v>54</v>
      </c>
      <c r="X2559" s="8" t="s">
        <v>54</v>
      </c>
      <c r="Y2559" s="8" t="s">
        <v>54</v>
      </c>
      <c r="Z2559" s="8" t="s">
        <v>54</v>
      </c>
      <c r="AA2559" s="8" t="s">
        <v>54</v>
      </c>
      <c r="AB2559" s="10" t="s">
        <v>67</v>
      </c>
      <c r="AC2559" s="8" t="s">
        <v>54</v>
      </c>
      <c r="AD2559" s="12" t="s">
        <v>55</v>
      </c>
      <c r="AE2559" s="12" t="s">
        <v>55</v>
      </c>
      <c r="AF2559" s="12" t="s">
        <v>55</v>
      </c>
      <c r="AG2559" s="12" t="s">
        <v>55</v>
      </c>
      <c r="AH2559" s="8" t="s">
        <v>54</v>
      </c>
      <c r="AI2559" s="10" t="s">
        <v>67</v>
      </c>
      <c r="AJ2559" s="8">
        <f>COUNTIF($E$2559:$AI$2559,"P")</f>
        <v>18</v>
      </c>
      <c r="AK2559" s="8">
        <f>COUNTIF($E$2559:$AI$2559,"A")</f>
        <v>8</v>
      </c>
      <c r="AL2559" s="8">
        <f>SUM($E$2560:$AI$2560)</f>
        <v>0</v>
      </c>
      <c r="AM2559" s="8">
        <f>SUM($E$2561:$AI$2561)</f>
        <v>0</v>
      </c>
      <c r="AN2559" s="8">
        <f>AL2559+AM2559</f>
        <v>0</v>
      </c>
      <c r="AO2559" s="8">
        <f>COUNTIF($E$2559:$AI$2559,"CL")</f>
        <v>0</v>
      </c>
      <c r="AP2559" s="8">
        <f>COUNTIF($E$2559:$AI$2559,"SL")</f>
        <v>0</v>
      </c>
      <c r="AQ2559" s="8">
        <f>COUNTIF($E$2559:$AI$2559,"EL")</f>
        <v>0</v>
      </c>
      <c r="AR2559" s="8">
        <f>COUNTIF($E$2559:$AI$2559,"H")</f>
        <v>0</v>
      </c>
      <c r="AS2559" s="8"/>
      <c r="AT2559" s="11" t="s">
        <v>260</v>
      </c>
    </row>
    <row r="2560" spans="1:46" ht="15.1" customHeight="1">
      <c r="A2560" s="8"/>
      <c r="B2560" s="9"/>
      <c r="C2560" s="8"/>
      <c r="D2560" s="9"/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11" t="s">
        <v>260</v>
      </c>
    </row>
    <row r="2561" spans="1:46" ht="15.1" customHeight="1">
      <c r="A2561" s="8"/>
      <c r="B2561" s="9"/>
      <c r="C2561" s="8"/>
      <c r="D2561" s="9"/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0</v>
      </c>
      <c r="AH2561" s="8">
        <v>0</v>
      </c>
      <c r="AI2561" s="8">
        <v>0</v>
      </c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11" t="s">
        <v>260</v>
      </c>
    </row>
    <row r="2562" spans="1:46" ht="15.1" customHeight="1">
      <c r="A2562" s="8">
        <v>853</v>
      </c>
      <c r="B2562" s="9" t="s">
        <v>1856</v>
      </c>
      <c r="C2562" s="8" t="s">
        <v>1939</v>
      </c>
      <c r="D2562" s="9" t="s">
        <v>266</v>
      </c>
      <c r="E2562" s="8" t="s">
        <v>54</v>
      </c>
      <c r="F2562" s="8" t="s">
        <v>54</v>
      </c>
      <c r="G2562" s="10" t="s">
        <v>67</v>
      </c>
      <c r="H2562" s="8" t="s">
        <v>54</v>
      </c>
      <c r="I2562" s="8" t="s">
        <v>54</v>
      </c>
      <c r="J2562" s="8" t="s">
        <v>54</v>
      </c>
      <c r="K2562" s="8" t="s">
        <v>54</v>
      </c>
      <c r="L2562" s="8" t="s">
        <v>54</v>
      </c>
      <c r="M2562" s="8" t="s">
        <v>54</v>
      </c>
      <c r="N2562" s="10" t="s">
        <v>67</v>
      </c>
      <c r="O2562" s="8" t="s">
        <v>54</v>
      </c>
      <c r="P2562" s="8" t="s">
        <v>54</v>
      </c>
      <c r="Q2562" s="8" t="s">
        <v>54</v>
      </c>
      <c r="R2562" s="8" t="s">
        <v>54</v>
      </c>
      <c r="S2562" s="8" t="s">
        <v>54</v>
      </c>
      <c r="T2562" s="8" t="s">
        <v>54</v>
      </c>
      <c r="U2562" s="10" t="s">
        <v>67</v>
      </c>
      <c r="V2562" s="8" t="s">
        <v>54</v>
      </c>
      <c r="W2562" s="8" t="s">
        <v>54</v>
      </c>
      <c r="X2562" s="8" t="s">
        <v>54</v>
      </c>
      <c r="Y2562" s="8" t="s">
        <v>54</v>
      </c>
      <c r="Z2562" s="8" t="s">
        <v>54</v>
      </c>
      <c r="AA2562" s="8" t="s">
        <v>54</v>
      </c>
      <c r="AB2562" s="10" t="s">
        <v>67</v>
      </c>
      <c r="AC2562" s="8" t="s">
        <v>54</v>
      </c>
      <c r="AD2562" s="8" t="s">
        <v>54</v>
      </c>
      <c r="AE2562" s="8" t="s">
        <v>54</v>
      </c>
      <c r="AF2562" s="8" t="s">
        <v>54</v>
      </c>
      <c r="AG2562" s="8" t="s">
        <v>54</v>
      </c>
      <c r="AH2562" s="8" t="s">
        <v>54</v>
      </c>
      <c r="AI2562" s="10" t="s">
        <v>67</v>
      </c>
      <c r="AJ2562" s="8">
        <f>COUNTIF($E$2562:$AI$2562,"P")</f>
        <v>26</v>
      </c>
      <c r="AK2562" s="8">
        <f>COUNTIF($E$2562:$AI$2562,"A")</f>
        <v>0</v>
      </c>
      <c r="AL2562" s="8">
        <f>SUM($E$2563:$AI$2563)</f>
        <v>28</v>
      </c>
      <c r="AM2562" s="8">
        <f>SUM($E$2564:$AI$2564)</f>
        <v>122.5</v>
      </c>
      <c r="AN2562" s="8">
        <f>AL2562+AM2562</f>
        <v>150.5</v>
      </c>
      <c r="AO2562" s="8">
        <f>COUNTIF($E$2562:$AI$2562,"CL")</f>
        <v>0</v>
      </c>
      <c r="AP2562" s="8">
        <f>COUNTIF($E$2562:$AI$2562,"SL")</f>
        <v>0</v>
      </c>
      <c r="AQ2562" s="8">
        <f>COUNTIF($E$2562:$AI$2562,"EL")</f>
        <v>0</v>
      </c>
      <c r="AR2562" s="8">
        <f>COUNTIF($E$2562:$AI$2562,"H")</f>
        <v>0</v>
      </c>
      <c r="AS2562" s="8"/>
      <c r="AT2562" s="11" t="s">
        <v>261</v>
      </c>
    </row>
    <row r="2563" spans="1:46" ht="15.1" customHeight="1">
      <c r="A2563" s="8"/>
      <c r="B2563" s="9"/>
      <c r="C2563" s="8"/>
      <c r="D2563" s="9"/>
      <c r="E2563" s="8">
        <v>2</v>
      </c>
      <c r="F2563" s="8">
        <v>2</v>
      </c>
      <c r="G2563" s="8">
        <v>0</v>
      </c>
      <c r="H2563" s="8">
        <v>2</v>
      </c>
      <c r="I2563" s="8">
        <v>2</v>
      </c>
      <c r="J2563" s="8">
        <v>2</v>
      </c>
      <c r="K2563" s="8">
        <v>2</v>
      </c>
      <c r="L2563" s="8">
        <v>2</v>
      </c>
      <c r="M2563" s="8">
        <v>2</v>
      </c>
      <c r="N2563" s="8">
        <v>0</v>
      </c>
      <c r="O2563" s="8">
        <v>2</v>
      </c>
      <c r="P2563" s="8">
        <v>2</v>
      </c>
      <c r="Q2563" s="8">
        <v>2</v>
      </c>
      <c r="R2563" s="8">
        <v>2</v>
      </c>
      <c r="S2563" s="8">
        <v>2</v>
      </c>
      <c r="T2563" s="8">
        <v>2</v>
      </c>
      <c r="U2563" s="8">
        <v>0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11" t="s">
        <v>261</v>
      </c>
    </row>
    <row r="2564" spans="1:46" ht="15.1" customHeight="1">
      <c r="A2564" s="8"/>
      <c r="B2564" s="9"/>
      <c r="C2564" s="8"/>
      <c r="D2564" s="9"/>
      <c r="E2564" s="8">
        <v>5</v>
      </c>
      <c r="F2564" s="8">
        <v>5</v>
      </c>
      <c r="G2564" s="8">
        <v>17</v>
      </c>
      <c r="H2564" s="8">
        <v>6</v>
      </c>
      <c r="I2564" s="8">
        <v>8</v>
      </c>
      <c r="J2564" s="8">
        <v>7</v>
      </c>
      <c r="K2564" s="8">
        <v>7</v>
      </c>
      <c r="L2564" s="8">
        <v>7</v>
      </c>
      <c r="M2564" s="8">
        <v>5</v>
      </c>
      <c r="N2564" s="8">
        <v>18</v>
      </c>
      <c r="O2564" s="8">
        <v>7</v>
      </c>
      <c r="P2564" s="8">
        <v>7</v>
      </c>
      <c r="Q2564" s="8">
        <v>1</v>
      </c>
      <c r="R2564" s="8">
        <v>5</v>
      </c>
      <c r="S2564" s="8">
        <v>7</v>
      </c>
      <c r="T2564" s="8">
        <v>1.5</v>
      </c>
      <c r="U2564" s="8">
        <v>9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11" t="s">
        <v>261</v>
      </c>
    </row>
    <row r="2565" spans="1:46" ht="15.1" customHeight="1">
      <c r="A2565" s="8">
        <v>854</v>
      </c>
      <c r="B2565" s="9" t="s">
        <v>1940</v>
      </c>
      <c r="C2565" s="8" t="s">
        <v>1941</v>
      </c>
      <c r="D2565" s="9" t="s">
        <v>266</v>
      </c>
      <c r="E2565" s="8" t="s">
        <v>54</v>
      </c>
      <c r="F2565" s="8" t="s">
        <v>54</v>
      </c>
      <c r="G2565" s="10" t="s">
        <v>67</v>
      </c>
      <c r="H2565" s="8" t="s">
        <v>54</v>
      </c>
      <c r="I2565" s="8" t="s">
        <v>54</v>
      </c>
      <c r="J2565" s="8" t="s">
        <v>54</v>
      </c>
      <c r="K2565" s="8" t="s">
        <v>54</v>
      </c>
      <c r="L2565" s="8" t="s">
        <v>54</v>
      </c>
      <c r="M2565" s="8" t="s">
        <v>54</v>
      </c>
      <c r="N2565" s="10" t="s">
        <v>67</v>
      </c>
      <c r="O2565" s="8" t="s">
        <v>54</v>
      </c>
      <c r="P2565" s="8" t="s">
        <v>54</v>
      </c>
      <c r="Q2565" s="8" t="s">
        <v>54</v>
      </c>
      <c r="R2565" s="8" t="s">
        <v>54</v>
      </c>
      <c r="S2565" s="8" t="s">
        <v>54</v>
      </c>
      <c r="T2565" s="8" t="s">
        <v>54</v>
      </c>
      <c r="U2565" s="10" t="s">
        <v>67</v>
      </c>
      <c r="V2565" s="8" t="s">
        <v>54</v>
      </c>
      <c r="W2565" s="8" t="s">
        <v>54</v>
      </c>
      <c r="X2565" s="8" t="s">
        <v>54</v>
      </c>
      <c r="Y2565" s="8" t="s">
        <v>54</v>
      </c>
      <c r="Z2565" s="8" t="s">
        <v>54</v>
      </c>
      <c r="AA2565" s="8" t="s">
        <v>54</v>
      </c>
      <c r="AB2565" s="10" t="s">
        <v>67</v>
      </c>
      <c r="AC2565" s="8" t="s">
        <v>54</v>
      </c>
      <c r="AD2565" s="8" t="s">
        <v>54</v>
      </c>
      <c r="AE2565" s="8" t="s">
        <v>54</v>
      </c>
      <c r="AF2565" s="8" t="s">
        <v>54</v>
      </c>
      <c r="AG2565" s="8" t="s">
        <v>54</v>
      </c>
      <c r="AH2565" s="8" t="s">
        <v>54</v>
      </c>
      <c r="AI2565" s="10" t="s">
        <v>67</v>
      </c>
      <c r="AJ2565" s="8">
        <f>COUNTIF($E$2565:$AI$2565,"P")</f>
        <v>26</v>
      </c>
      <c r="AK2565" s="8">
        <f>COUNTIF($E$2565:$AI$2565,"A")</f>
        <v>0</v>
      </c>
      <c r="AL2565" s="8">
        <f>SUM($E$2566:$AI$2566)</f>
        <v>32</v>
      </c>
      <c r="AM2565" s="8">
        <f>SUM($E$2567:$AI$2567)</f>
        <v>112.5</v>
      </c>
      <c r="AN2565" s="8">
        <f>AL2565+AM2565</f>
        <v>144.5</v>
      </c>
      <c r="AO2565" s="8">
        <f>COUNTIF($E$2565:$AI$2565,"CL")</f>
        <v>0</v>
      </c>
      <c r="AP2565" s="8">
        <f>COUNTIF($E$2565:$AI$2565,"SL")</f>
        <v>0</v>
      </c>
      <c r="AQ2565" s="8">
        <f>COUNTIF($E$2565:$AI$2565,"EL")</f>
        <v>0</v>
      </c>
      <c r="AR2565" s="8">
        <f>COUNTIF($E$2565:$AI$2565,"H")</f>
        <v>0</v>
      </c>
      <c r="AS2565" s="8"/>
      <c r="AT2565" s="11" t="s">
        <v>261</v>
      </c>
    </row>
    <row r="2566" spans="1:46" ht="15.1" customHeight="1">
      <c r="A2566" s="8"/>
      <c r="B2566" s="9"/>
      <c r="C2566" s="8"/>
      <c r="D2566" s="9"/>
      <c r="E2566" s="8">
        <v>2</v>
      </c>
      <c r="F2566" s="8">
        <v>2</v>
      </c>
      <c r="G2566" s="8">
        <v>0</v>
      </c>
      <c r="H2566" s="8">
        <v>2</v>
      </c>
      <c r="I2566" s="8">
        <v>2</v>
      </c>
      <c r="J2566" s="8">
        <v>2</v>
      </c>
      <c r="K2566" s="8">
        <v>2</v>
      </c>
      <c r="L2566" s="8">
        <v>2</v>
      </c>
      <c r="M2566" s="8">
        <v>2</v>
      </c>
      <c r="N2566" s="8">
        <v>0</v>
      </c>
      <c r="O2566" s="8">
        <v>2</v>
      </c>
      <c r="P2566" s="8">
        <v>2</v>
      </c>
      <c r="Q2566" s="8">
        <v>2</v>
      </c>
      <c r="R2566" s="8">
        <v>2</v>
      </c>
      <c r="S2566" s="8">
        <v>2</v>
      </c>
      <c r="T2566" s="8">
        <v>0</v>
      </c>
      <c r="U2566" s="8">
        <v>0</v>
      </c>
      <c r="V2566" s="8">
        <v>2</v>
      </c>
      <c r="W2566" s="8">
        <v>2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2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11" t="s">
        <v>261</v>
      </c>
    </row>
    <row r="2567" spans="1:46" ht="15.1" customHeight="1">
      <c r="A2567" s="8"/>
      <c r="B2567" s="9"/>
      <c r="C2567" s="8"/>
      <c r="D2567" s="9"/>
      <c r="E2567" s="8">
        <v>5</v>
      </c>
      <c r="F2567" s="8">
        <v>3</v>
      </c>
      <c r="G2567" s="8">
        <v>14</v>
      </c>
      <c r="H2567" s="8">
        <v>5</v>
      </c>
      <c r="I2567" s="8">
        <v>4.5</v>
      </c>
      <c r="J2567" s="8">
        <v>7</v>
      </c>
      <c r="K2567" s="8">
        <v>7</v>
      </c>
      <c r="L2567" s="8">
        <v>7</v>
      </c>
      <c r="M2567" s="8">
        <v>5</v>
      </c>
      <c r="N2567" s="8">
        <v>17</v>
      </c>
      <c r="O2567" s="8">
        <v>7</v>
      </c>
      <c r="P2567" s="8">
        <v>5</v>
      </c>
      <c r="Q2567" s="8">
        <v>5</v>
      </c>
      <c r="R2567" s="8">
        <v>7</v>
      </c>
      <c r="S2567" s="8">
        <v>7</v>
      </c>
      <c r="T2567" s="8">
        <v>0</v>
      </c>
      <c r="U2567" s="8">
        <v>0</v>
      </c>
      <c r="V2567" s="8">
        <v>7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11" t="s">
        <v>261</v>
      </c>
    </row>
    <row r="2568" spans="1:46" ht="15.1" customHeight="1">
      <c r="A2568" s="8">
        <v>855</v>
      </c>
      <c r="B2568" s="9" t="s">
        <v>1942</v>
      </c>
      <c r="C2568" s="8" t="s">
        <v>1943</v>
      </c>
      <c r="D2568" s="9" t="s">
        <v>266</v>
      </c>
      <c r="E2568" s="12" t="s">
        <v>55</v>
      </c>
      <c r="F2568" s="8" t="s">
        <v>54</v>
      </c>
      <c r="G2568" s="10" t="s">
        <v>67</v>
      </c>
      <c r="H2568" s="8" t="s">
        <v>54</v>
      </c>
      <c r="I2568" s="8" t="s">
        <v>54</v>
      </c>
      <c r="J2568" s="8" t="s">
        <v>54</v>
      </c>
      <c r="K2568" s="8" t="s">
        <v>54</v>
      </c>
      <c r="L2568" s="8" t="s">
        <v>54</v>
      </c>
      <c r="M2568" s="8" t="s">
        <v>54</v>
      </c>
      <c r="N2568" s="10" t="s">
        <v>67</v>
      </c>
      <c r="O2568" s="8" t="s">
        <v>54</v>
      </c>
      <c r="P2568" s="8" t="s">
        <v>54</v>
      </c>
      <c r="Q2568" s="8" t="s">
        <v>54</v>
      </c>
      <c r="R2568" s="12" t="s">
        <v>55</v>
      </c>
      <c r="S2568" s="8" t="s">
        <v>54</v>
      </c>
      <c r="T2568" s="8" t="s">
        <v>54</v>
      </c>
      <c r="U2568" s="10" t="s">
        <v>67</v>
      </c>
      <c r="V2568" s="12" t="s">
        <v>55</v>
      </c>
      <c r="W2568" s="12" t="s">
        <v>55</v>
      </c>
      <c r="X2568" s="8" t="s">
        <v>54</v>
      </c>
      <c r="Y2568" s="8" t="s">
        <v>54</v>
      </c>
      <c r="Z2568" s="12" t="s">
        <v>55</v>
      </c>
      <c r="AA2568" s="12" t="s">
        <v>55</v>
      </c>
      <c r="AB2568" s="10" t="s">
        <v>67</v>
      </c>
      <c r="AC2568" s="12" t="s">
        <v>55</v>
      </c>
      <c r="AD2568" s="12" t="s">
        <v>55</v>
      </c>
      <c r="AE2568" s="12" t="s">
        <v>55</v>
      </c>
      <c r="AF2568" s="12" t="s">
        <v>55</v>
      </c>
      <c r="AG2568" s="12" t="s">
        <v>55</v>
      </c>
      <c r="AH2568" s="12" t="s">
        <v>55</v>
      </c>
      <c r="AI2568" s="10" t="s">
        <v>67</v>
      </c>
      <c r="AJ2568" s="8">
        <f>COUNTIF($E$2568:$AI$2568,"P")</f>
        <v>14</v>
      </c>
      <c r="AK2568" s="8">
        <f>COUNTIF($E$2568:$AI$2568,"A")</f>
        <v>12</v>
      </c>
      <c r="AL2568" s="8">
        <f>SUM($E$2569:$AI$2569)</f>
        <v>24</v>
      </c>
      <c r="AM2568" s="8">
        <f>SUM($E$2570:$AI$2570)</f>
        <v>61</v>
      </c>
      <c r="AN2568" s="8">
        <f>AL2568+AM2568</f>
        <v>85</v>
      </c>
      <c r="AO2568" s="8">
        <f>COUNTIF($E$2568:$AI$2568,"CL")</f>
        <v>0</v>
      </c>
      <c r="AP2568" s="8">
        <f>COUNTIF($E$2568:$AI$2568,"SL")</f>
        <v>0</v>
      </c>
      <c r="AQ2568" s="8">
        <f>COUNTIF($E$2568:$AI$2568,"EL")</f>
        <v>0</v>
      </c>
      <c r="AR2568" s="8">
        <f>COUNTIF($E$2568:$AI$2568,"H")</f>
        <v>0</v>
      </c>
      <c r="AS2568" s="8"/>
      <c r="AT2568" s="11" t="s">
        <v>261</v>
      </c>
    </row>
    <row r="2569" spans="1:46" ht="15.1" customHeight="1">
      <c r="A2569" s="8"/>
      <c r="B2569" s="9"/>
      <c r="C2569" s="8"/>
      <c r="D2569" s="9"/>
      <c r="E2569" s="8">
        <v>0</v>
      </c>
      <c r="F2569" s="8">
        <v>2</v>
      </c>
      <c r="G2569" s="8">
        <v>0</v>
      </c>
      <c r="H2569" s="8">
        <v>2</v>
      </c>
      <c r="I2569" s="8">
        <v>2</v>
      </c>
      <c r="J2569" s="8">
        <v>2</v>
      </c>
      <c r="K2569" s="8">
        <v>2</v>
      </c>
      <c r="L2569" s="8">
        <v>2</v>
      </c>
      <c r="M2569" s="8">
        <v>2</v>
      </c>
      <c r="N2569" s="8">
        <v>0</v>
      </c>
      <c r="O2569" s="8">
        <v>2</v>
      </c>
      <c r="P2569" s="8">
        <v>2</v>
      </c>
      <c r="Q2569" s="8">
        <v>2</v>
      </c>
      <c r="R2569" s="8">
        <v>0</v>
      </c>
      <c r="S2569" s="8">
        <v>2</v>
      </c>
      <c r="T2569" s="8">
        <v>2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11" t="s">
        <v>261</v>
      </c>
    </row>
    <row r="2570" spans="1:46" ht="15.1" customHeight="1">
      <c r="A2570" s="8"/>
      <c r="B2570" s="9"/>
      <c r="C2570" s="8"/>
      <c r="D2570" s="9"/>
      <c r="E2570" s="8">
        <v>0</v>
      </c>
      <c r="F2570" s="8">
        <v>5</v>
      </c>
      <c r="G2570" s="8">
        <v>15</v>
      </c>
      <c r="H2570" s="8">
        <v>5</v>
      </c>
      <c r="I2570" s="8">
        <v>8</v>
      </c>
      <c r="J2570" s="8">
        <v>7</v>
      </c>
      <c r="K2570" s="8">
        <v>3</v>
      </c>
      <c r="L2570" s="8">
        <v>3</v>
      </c>
      <c r="M2570" s="8">
        <v>5</v>
      </c>
      <c r="N2570" s="8">
        <v>0</v>
      </c>
      <c r="O2570" s="8">
        <v>1</v>
      </c>
      <c r="P2570" s="8">
        <v>1</v>
      </c>
      <c r="Q2570" s="8">
        <v>5</v>
      </c>
      <c r="R2570" s="8">
        <v>0</v>
      </c>
      <c r="S2570" s="8">
        <v>1</v>
      </c>
      <c r="T2570" s="8">
        <v>2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11" t="s">
        <v>261</v>
      </c>
    </row>
    <row r="2571" spans="1:46" ht="15.1" customHeight="1">
      <c r="A2571" s="8">
        <v>856</v>
      </c>
      <c r="B2571" s="9" t="s">
        <v>1944</v>
      </c>
      <c r="C2571" s="8" t="s">
        <v>1945</v>
      </c>
      <c r="D2571" s="9" t="s">
        <v>266</v>
      </c>
      <c r="E2571" s="8" t="s">
        <v>54</v>
      </c>
      <c r="F2571" s="8" t="s">
        <v>54</v>
      </c>
      <c r="G2571" s="10" t="s">
        <v>67</v>
      </c>
      <c r="H2571" s="8" t="s">
        <v>54</v>
      </c>
      <c r="I2571" s="8" t="s">
        <v>54</v>
      </c>
      <c r="J2571" s="8" t="s">
        <v>54</v>
      </c>
      <c r="K2571" s="8" t="s">
        <v>54</v>
      </c>
      <c r="L2571" s="8" t="s">
        <v>54</v>
      </c>
      <c r="M2571" s="8" t="s">
        <v>54</v>
      </c>
      <c r="N2571" s="10" t="s">
        <v>67</v>
      </c>
      <c r="O2571" s="8" t="s">
        <v>54</v>
      </c>
      <c r="P2571" s="8" t="s">
        <v>54</v>
      </c>
      <c r="Q2571" s="8" t="s">
        <v>54</v>
      </c>
      <c r="R2571" s="8" t="s">
        <v>54</v>
      </c>
      <c r="S2571" s="8" t="s">
        <v>54</v>
      </c>
      <c r="T2571" s="8" t="s">
        <v>54</v>
      </c>
      <c r="U2571" s="10" t="s">
        <v>67</v>
      </c>
      <c r="V2571" s="8" t="s">
        <v>54</v>
      </c>
      <c r="W2571" s="8" t="s">
        <v>54</v>
      </c>
      <c r="X2571" s="8" t="s">
        <v>54</v>
      </c>
      <c r="Y2571" s="8" t="s">
        <v>54</v>
      </c>
      <c r="Z2571" s="8" t="s">
        <v>54</v>
      </c>
      <c r="AA2571" s="8" t="s">
        <v>54</v>
      </c>
      <c r="AB2571" s="10" t="s">
        <v>67</v>
      </c>
      <c r="AC2571" s="8" t="s">
        <v>54</v>
      </c>
      <c r="AD2571" s="8" t="s">
        <v>54</v>
      </c>
      <c r="AE2571" s="8" t="s">
        <v>54</v>
      </c>
      <c r="AF2571" s="8" t="s">
        <v>54</v>
      </c>
      <c r="AG2571" s="8" t="s">
        <v>54</v>
      </c>
      <c r="AH2571" s="8" t="s">
        <v>54</v>
      </c>
      <c r="AI2571" s="10" t="s">
        <v>67</v>
      </c>
      <c r="AJ2571" s="8">
        <f>COUNTIF($E$2571:$AI$2571,"P")</f>
        <v>26</v>
      </c>
      <c r="AK2571" s="8">
        <f>COUNTIF($E$2571:$AI$2571,"A")</f>
        <v>0</v>
      </c>
      <c r="AL2571" s="8">
        <f>SUM($E$2572:$AI$2572)</f>
        <v>28</v>
      </c>
      <c r="AM2571" s="8">
        <f>SUM($E$2573:$AI$2573)</f>
        <v>74</v>
      </c>
      <c r="AN2571" s="8">
        <f>AL2571+AM2571</f>
        <v>102</v>
      </c>
      <c r="AO2571" s="8">
        <f>COUNTIF($E$2571:$AI$2571,"CL")</f>
        <v>0</v>
      </c>
      <c r="AP2571" s="8">
        <f>COUNTIF($E$2571:$AI$2571,"SL")</f>
        <v>0</v>
      </c>
      <c r="AQ2571" s="8">
        <f>COUNTIF($E$2571:$AI$2571,"EL")</f>
        <v>0</v>
      </c>
      <c r="AR2571" s="8">
        <f>COUNTIF($E$2571:$AI$2571,"H")</f>
        <v>0</v>
      </c>
      <c r="AS2571" s="8"/>
      <c r="AT2571" s="11" t="s">
        <v>261</v>
      </c>
    </row>
    <row r="2572" spans="1:46" ht="15.1" customHeight="1">
      <c r="A2572" s="8"/>
      <c r="B2572" s="9"/>
      <c r="C2572" s="8"/>
      <c r="D2572" s="9"/>
      <c r="E2572" s="8">
        <v>2</v>
      </c>
      <c r="F2572" s="8">
        <v>2</v>
      </c>
      <c r="G2572" s="8">
        <v>0</v>
      </c>
      <c r="H2572" s="8">
        <v>2</v>
      </c>
      <c r="I2572" s="8">
        <v>2</v>
      </c>
      <c r="J2572" s="8">
        <v>2</v>
      </c>
      <c r="K2572" s="8">
        <v>2</v>
      </c>
      <c r="L2572" s="8">
        <v>2</v>
      </c>
      <c r="M2572" s="8">
        <v>2</v>
      </c>
      <c r="N2572" s="8">
        <v>0</v>
      </c>
      <c r="O2572" s="8">
        <v>2</v>
      </c>
      <c r="P2572" s="8">
        <v>2</v>
      </c>
      <c r="Q2572" s="8">
        <v>2</v>
      </c>
      <c r="R2572" s="8">
        <v>2</v>
      </c>
      <c r="S2572" s="8">
        <v>2</v>
      </c>
      <c r="T2572" s="8">
        <v>2</v>
      </c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11" t="s">
        <v>261</v>
      </c>
    </row>
    <row r="2573" spans="1:46" ht="15.1" customHeight="1">
      <c r="A2573" s="8"/>
      <c r="B2573" s="9"/>
      <c r="C2573" s="8"/>
      <c r="D2573" s="9"/>
      <c r="E2573" s="8">
        <v>1</v>
      </c>
      <c r="F2573" s="8">
        <v>1</v>
      </c>
      <c r="G2573" s="8">
        <v>0</v>
      </c>
      <c r="H2573" s="8">
        <v>5</v>
      </c>
      <c r="I2573" s="8">
        <v>3.5</v>
      </c>
      <c r="J2573" s="8">
        <v>7</v>
      </c>
      <c r="K2573" s="8">
        <v>3</v>
      </c>
      <c r="L2573" s="8">
        <v>3</v>
      </c>
      <c r="M2573" s="8">
        <v>5</v>
      </c>
      <c r="N2573" s="8">
        <v>18</v>
      </c>
      <c r="O2573" s="8">
        <v>1</v>
      </c>
      <c r="P2573" s="8">
        <v>1</v>
      </c>
      <c r="Q2573" s="8">
        <v>5</v>
      </c>
      <c r="R2573" s="8">
        <v>3</v>
      </c>
      <c r="S2573" s="8">
        <v>7</v>
      </c>
      <c r="T2573" s="8">
        <v>1.5</v>
      </c>
      <c r="U2573" s="8">
        <v>9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11" t="s">
        <v>261</v>
      </c>
    </row>
    <row r="2574" spans="1:46" ht="15.1" customHeight="1">
      <c r="A2574" s="8">
        <v>857</v>
      </c>
      <c r="B2574" s="9" t="s">
        <v>1946</v>
      </c>
      <c r="C2574" s="8" t="s">
        <v>1947</v>
      </c>
      <c r="D2574" s="9" t="s">
        <v>451</v>
      </c>
      <c r="E2574" s="8" t="s">
        <v>54</v>
      </c>
      <c r="F2574" s="8" t="s">
        <v>54</v>
      </c>
      <c r="G2574" s="10" t="s">
        <v>67</v>
      </c>
      <c r="H2574" s="8" t="s">
        <v>54</v>
      </c>
      <c r="I2574" s="8" t="s">
        <v>54</v>
      </c>
      <c r="J2574" s="8" t="s">
        <v>54</v>
      </c>
      <c r="K2574" s="8" t="s">
        <v>54</v>
      </c>
      <c r="L2574" s="8" t="s">
        <v>54</v>
      </c>
      <c r="M2574" s="8" t="s">
        <v>54</v>
      </c>
      <c r="N2574" s="10" t="s">
        <v>67</v>
      </c>
      <c r="O2574" s="8" t="s">
        <v>54</v>
      </c>
      <c r="P2574" s="8" t="s">
        <v>54</v>
      </c>
      <c r="Q2574" s="8" t="s">
        <v>54</v>
      </c>
      <c r="R2574" s="8" t="s">
        <v>54</v>
      </c>
      <c r="S2574" s="8" t="s">
        <v>54</v>
      </c>
      <c r="T2574" s="8" t="s">
        <v>54</v>
      </c>
      <c r="U2574" s="10" t="s">
        <v>67</v>
      </c>
      <c r="V2574" s="8" t="s">
        <v>54</v>
      </c>
      <c r="W2574" s="8" t="s">
        <v>54</v>
      </c>
      <c r="X2574" s="8" t="s">
        <v>54</v>
      </c>
      <c r="Y2574" s="8" t="s">
        <v>54</v>
      </c>
      <c r="Z2574" s="8" t="s">
        <v>54</v>
      </c>
      <c r="AA2574" s="8" t="s">
        <v>54</v>
      </c>
      <c r="AB2574" s="10" t="s">
        <v>67</v>
      </c>
      <c r="AC2574" s="8" t="s">
        <v>54</v>
      </c>
      <c r="AD2574" s="8" t="s">
        <v>54</v>
      </c>
      <c r="AE2574" s="8" t="s">
        <v>54</v>
      </c>
      <c r="AF2574" s="8" t="s">
        <v>54</v>
      </c>
      <c r="AG2574" s="8" t="s">
        <v>54</v>
      </c>
      <c r="AH2574" s="8" t="s">
        <v>54</v>
      </c>
      <c r="AI2574" s="10" t="s">
        <v>67</v>
      </c>
      <c r="AJ2574" s="8">
        <f>COUNTIF($E$2574:$AI$2574,"P")</f>
        <v>26</v>
      </c>
      <c r="AK2574" s="8">
        <f>COUNTIF($E$2574:$AI$2574,"A")</f>
        <v>0</v>
      </c>
      <c r="AL2574" s="8">
        <f>SUM($E$2575:$AI$2575)</f>
        <v>29</v>
      </c>
      <c r="AM2574" s="8">
        <f>SUM($E$2576:$AI$2576)</f>
        <v>85.5</v>
      </c>
      <c r="AN2574" s="8">
        <f>AL2574+AM2574</f>
        <v>114.5</v>
      </c>
      <c r="AO2574" s="8">
        <f>COUNTIF($E$2574:$AI$2574,"CL")</f>
        <v>0</v>
      </c>
      <c r="AP2574" s="8">
        <f>COUNTIF($E$2574:$AI$2574,"SL")</f>
        <v>0</v>
      </c>
      <c r="AQ2574" s="8">
        <f>COUNTIF($E$2574:$AI$2574,"EL")</f>
        <v>0</v>
      </c>
      <c r="AR2574" s="8">
        <f>COUNTIF($E$2574:$AI$2574,"H")</f>
        <v>0</v>
      </c>
      <c r="AS2574" s="8"/>
      <c r="AT2574" s="11" t="s">
        <v>261</v>
      </c>
    </row>
    <row r="2575" spans="1:46" ht="15.1" customHeight="1">
      <c r="A2575" s="8"/>
      <c r="B2575" s="9"/>
      <c r="C2575" s="8"/>
      <c r="D2575" s="9"/>
      <c r="E2575" s="8">
        <v>2</v>
      </c>
      <c r="F2575" s="8">
        <v>2</v>
      </c>
      <c r="G2575" s="8">
        <v>0</v>
      </c>
      <c r="H2575" s="8">
        <v>2</v>
      </c>
      <c r="I2575" s="8">
        <v>2</v>
      </c>
      <c r="J2575" s="8">
        <v>2</v>
      </c>
      <c r="K2575" s="8">
        <v>2</v>
      </c>
      <c r="L2575" s="8">
        <v>2</v>
      </c>
      <c r="M2575" s="8">
        <v>2</v>
      </c>
      <c r="N2575" s="8">
        <v>0</v>
      </c>
      <c r="O2575" s="8">
        <v>2</v>
      </c>
      <c r="P2575" s="8">
        <v>2</v>
      </c>
      <c r="Q2575" s="8">
        <v>2</v>
      </c>
      <c r="R2575" s="8">
        <v>2</v>
      </c>
      <c r="S2575" s="8">
        <v>1</v>
      </c>
      <c r="T2575" s="8">
        <v>0</v>
      </c>
      <c r="U2575" s="8">
        <v>0</v>
      </c>
      <c r="V2575" s="8">
        <v>0</v>
      </c>
      <c r="W2575" s="8">
        <v>0</v>
      </c>
      <c r="X2575" s="8">
        <v>0</v>
      </c>
      <c r="Y2575" s="8">
        <v>2</v>
      </c>
      <c r="Z2575" s="8">
        <v>2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11" t="s">
        <v>261</v>
      </c>
    </row>
    <row r="2576" spans="1:46" ht="15.1" customHeight="1">
      <c r="A2576" s="8"/>
      <c r="B2576" s="9"/>
      <c r="C2576" s="8"/>
      <c r="D2576" s="9"/>
      <c r="E2576" s="8">
        <v>1</v>
      </c>
      <c r="F2576" s="8">
        <v>1</v>
      </c>
      <c r="G2576" s="8">
        <v>15</v>
      </c>
      <c r="H2576" s="8">
        <v>1</v>
      </c>
      <c r="I2576" s="8">
        <v>1</v>
      </c>
      <c r="J2576" s="8">
        <v>1</v>
      </c>
      <c r="K2576" s="8">
        <v>1.5</v>
      </c>
      <c r="L2576" s="8">
        <v>1</v>
      </c>
      <c r="M2576" s="8">
        <v>1</v>
      </c>
      <c r="N2576" s="8">
        <v>21</v>
      </c>
      <c r="O2576" s="8">
        <v>1</v>
      </c>
      <c r="P2576" s="8">
        <v>1</v>
      </c>
      <c r="Q2576" s="8">
        <v>1</v>
      </c>
      <c r="R2576" s="8">
        <v>10</v>
      </c>
      <c r="S2576" s="8">
        <v>0</v>
      </c>
      <c r="T2576" s="8">
        <v>0</v>
      </c>
      <c r="U2576" s="8">
        <v>8</v>
      </c>
      <c r="V2576" s="8">
        <v>0</v>
      </c>
      <c r="W2576" s="8">
        <v>0</v>
      </c>
      <c r="X2576" s="8">
        <v>0</v>
      </c>
      <c r="Y2576" s="8">
        <v>9</v>
      </c>
      <c r="Z2576" s="8">
        <v>11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11" t="s">
        <v>261</v>
      </c>
    </row>
    <row r="2577" spans="1:46" ht="15.1" customHeight="1">
      <c r="A2577" s="8">
        <v>858</v>
      </c>
      <c r="B2577" s="9" t="s">
        <v>1948</v>
      </c>
      <c r="C2577" s="8" t="s">
        <v>1949</v>
      </c>
      <c r="D2577" s="9" t="s">
        <v>451</v>
      </c>
      <c r="E2577" s="8" t="s">
        <v>54</v>
      </c>
      <c r="F2577" s="8" t="s">
        <v>54</v>
      </c>
      <c r="G2577" s="10" t="s">
        <v>67</v>
      </c>
      <c r="H2577" s="8" t="s">
        <v>54</v>
      </c>
      <c r="I2577" s="8" t="s">
        <v>54</v>
      </c>
      <c r="J2577" s="8" t="s">
        <v>54</v>
      </c>
      <c r="K2577" s="8" t="s">
        <v>54</v>
      </c>
      <c r="L2577" s="8" t="s">
        <v>54</v>
      </c>
      <c r="M2577" s="8" t="s">
        <v>54</v>
      </c>
      <c r="N2577" s="10" t="s">
        <v>67</v>
      </c>
      <c r="O2577" s="8" t="s">
        <v>54</v>
      </c>
      <c r="P2577" s="8" t="s">
        <v>54</v>
      </c>
      <c r="Q2577" s="8" t="s">
        <v>54</v>
      </c>
      <c r="R2577" s="8" t="s">
        <v>54</v>
      </c>
      <c r="S2577" s="8" t="s">
        <v>54</v>
      </c>
      <c r="T2577" s="8" t="s">
        <v>54</v>
      </c>
      <c r="U2577" s="10" t="s">
        <v>67</v>
      </c>
      <c r="V2577" s="8" t="s">
        <v>54</v>
      </c>
      <c r="W2577" s="8" t="s">
        <v>54</v>
      </c>
      <c r="X2577" s="8" t="s">
        <v>54</v>
      </c>
      <c r="Y2577" s="8" t="s">
        <v>54</v>
      </c>
      <c r="Z2577" s="8" t="s">
        <v>54</v>
      </c>
      <c r="AA2577" s="12" t="s">
        <v>55</v>
      </c>
      <c r="AB2577" s="10" t="s">
        <v>67</v>
      </c>
      <c r="AC2577" s="8" t="s">
        <v>54</v>
      </c>
      <c r="AD2577" s="8" t="s">
        <v>54</v>
      </c>
      <c r="AE2577" s="8" t="s">
        <v>54</v>
      </c>
      <c r="AF2577" s="8" t="s">
        <v>54</v>
      </c>
      <c r="AG2577" s="8" t="s">
        <v>54</v>
      </c>
      <c r="AH2577" s="8" t="s">
        <v>54</v>
      </c>
      <c r="AI2577" s="10" t="s">
        <v>67</v>
      </c>
      <c r="AJ2577" s="8">
        <f>COUNTIF($E$2577:$AI$2577,"P")</f>
        <v>25</v>
      </c>
      <c r="AK2577" s="8">
        <f>COUNTIF($E$2577:$AI$2577,"A")</f>
        <v>1</v>
      </c>
      <c r="AL2577" s="8">
        <f>SUM($E$2578:$AI$2578)</f>
        <v>34</v>
      </c>
      <c r="AM2577" s="8">
        <f>SUM($E$2579:$AI$2579)</f>
        <v>87</v>
      </c>
      <c r="AN2577" s="8">
        <f>AL2577+AM2577</f>
        <v>120.5</v>
      </c>
      <c r="AO2577" s="8">
        <f>COUNTIF($E$2577:$AI$2577,"CL")</f>
        <v>0</v>
      </c>
      <c r="AP2577" s="8">
        <f>COUNTIF($E$2577:$AI$2577,"SL")</f>
        <v>0</v>
      </c>
      <c r="AQ2577" s="8">
        <f>COUNTIF($E$2577:$AI$2577,"EL")</f>
        <v>0</v>
      </c>
      <c r="AR2577" s="8">
        <f>COUNTIF($E$2577:$AI$2577,"H")</f>
        <v>0</v>
      </c>
      <c r="AS2577" s="8"/>
      <c r="AT2577" s="11" t="s">
        <v>261</v>
      </c>
    </row>
    <row r="2578" spans="1:46" ht="15.1" customHeight="1">
      <c r="A2578" s="8"/>
      <c r="B2578" s="9"/>
      <c r="C2578" s="8"/>
      <c r="D2578" s="9"/>
      <c r="E2578" s="8">
        <v>2</v>
      </c>
      <c r="F2578" s="8">
        <v>2</v>
      </c>
      <c r="G2578" s="8">
        <v>0</v>
      </c>
      <c r="H2578" s="8">
        <v>2</v>
      </c>
      <c r="I2578" s="8">
        <v>2</v>
      </c>
      <c r="J2578" s="8">
        <v>2</v>
      </c>
      <c r="K2578" s="8">
        <v>2</v>
      </c>
      <c r="L2578" s="8">
        <v>2</v>
      </c>
      <c r="M2578" s="8">
        <v>2</v>
      </c>
      <c r="N2578" s="8">
        <v>0</v>
      </c>
      <c r="O2578" s="8">
        <v>2</v>
      </c>
      <c r="P2578" s="8">
        <v>2</v>
      </c>
      <c r="Q2578" s="8">
        <v>2</v>
      </c>
      <c r="R2578" s="8">
        <v>2</v>
      </c>
      <c r="S2578" s="8">
        <v>2</v>
      </c>
      <c r="T2578" s="8">
        <v>2</v>
      </c>
      <c r="U2578" s="8">
        <v>0</v>
      </c>
      <c r="V2578" s="8">
        <v>2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2</v>
      </c>
      <c r="AF2578" s="8">
        <v>2</v>
      </c>
      <c r="AG2578" s="8">
        <v>0</v>
      </c>
      <c r="AH2578" s="8">
        <v>0</v>
      </c>
      <c r="AI2578" s="8">
        <v>0</v>
      </c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11" t="s">
        <v>261</v>
      </c>
    </row>
    <row r="2579" spans="1:46" ht="15.1" customHeight="1">
      <c r="A2579" s="8"/>
      <c r="B2579" s="9"/>
      <c r="C2579" s="8"/>
      <c r="D2579" s="9"/>
      <c r="E2579" s="8">
        <v>2</v>
      </c>
      <c r="F2579" s="8">
        <v>2</v>
      </c>
      <c r="G2579" s="8">
        <v>12</v>
      </c>
      <c r="H2579" s="8">
        <v>2</v>
      </c>
      <c r="I2579" s="8">
        <v>2</v>
      </c>
      <c r="J2579" s="8">
        <v>2</v>
      </c>
      <c r="K2579" s="8">
        <v>2</v>
      </c>
      <c r="L2579" s="8">
        <v>2</v>
      </c>
      <c r="M2579" s="8">
        <v>11</v>
      </c>
      <c r="N2579" s="8">
        <v>0</v>
      </c>
      <c r="O2579" s="8">
        <v>0</v>
      </c>
      <c r="P2579" s="8">
        <v>1</v>
      </c>
      <c r="Q2579" s="8">
        <v>1</v>
      </c>
      <c r="R2579" s="8">
        <v>1</v>
      </c>
      <c r="S2579" s="8">
        <v>1</v>
      </c>
      <c r="T2579" s="8">
        <v>10.5</v>
      </c>
      <c r="U2579" s="8">
        <v>5</v>
      </c>
      <c r="V2579" s="8">
        <v>9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10.5</v>
      </c>
      <c r="AF2579" s="8">
        <v>11</v>
      </c>
      <c r="AG2579" s="8">
        <v>0</v>
      </c>
      <c r="AH2579" s="8">
        <v>0</v>
      </c>
      <c r="AI2579" s="8">
        <v>0</v>
      </c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11" t="s">
        <v>261</v>
      </c>
    </row>
    <row r="2580" spans="1:46" ht="15.1" customHeight="1">
      <c r="A2580" s="8">
        <v>859</v>
      </c>
      <c r="B2580" s="9" t="s">
        <v>1950</v>
      </c>
      <c r="C2580" s="8" t="s">
        <v>1951</v>
      </c>
      <c r="D2580" s="9" t="s">
        <v>451</v>
      </c>
      <c r="E2580" s="8" t="s">
        <v>54</v>
      </c>
      <c r="F2580" s="8" t="s">
        <v>54</v>
      </c>
      <c r="G2580" s="10" t="s">
        <v>67</v>
      </c>
      <c r="H2580" s="8" t="s">
        <v>54</v>
      </c>
      <c r="I2580" s="8" t="s">
        <v>54</v>
      </c>
      <c r="J2580" s="8" t="s">
        <v>54</v>
      </c>
      <c r="K2580" s="8" t="s">
        <v>54</v>
      </c>
      <c r="L2580" s="8" t="s">
        <v>54</v>
      </c>
      <c r="M2580" s="8" t="s">
        <v>54</v>
      </c>
      <c r="N2580" s="10" t="s">
        <v>67</v>
      </c>
      <c r="O2580" s="8" t="s">
        <v>54</v>
      </c>
      <c r="P2580" s="8" t="s">
        <v>54</v>
      </c>
      <c r="Q2580" s="8" t="s">
        <v>54</v>
      </c>
      <c r="R2580" s="8" t="s">
        <v>54</v>
      </c>
      <c r="S2580" s="8" t="s">
        <v>54</v>
      </c>
      <c r="T2580" s="8" t="s">
        <v>54</v>
      </c>
      <c r="U2580" s="10" t="s">
        <v>67</v>
      </c>
      <c r="V2580" s="8" t="s">
        <v>54</v>
      </c>
      <c r="W2580" s="8" t="s">
        <v>54</v>
      </c>
      <c r="X2580" s="8" t="s">
        <v>54</v>
      </c>
      <c r="Y2580" s="8" t="s">
        <v>54</v>
      </c>
      <c r="Z2580" s="8" t="s">
        <v>54</v>
      </c>
      <c r="AA2580" s="8" t="s">
        <v>54</v>
      </c>
      <c r="AB2580" s="10" t="s">
        <v>67</v>
      </c>
      <c r="AC2580" s="8" t="s">
        <v>54</v>
      </c>
      <c r="AD2580" s="8" t="s">
        <v>54</v>
      </c>
      <c r="AE2580" s="8" t="s">
        <v>54</v>
      </c>
      <c r="AF2580" s="8" t="s">
        <v>54</v>
      </c>
      <c r="AG2580" s="8" t="s">
        <v>54</v>
      </c>
      <c r="AH2580" s="8" t="s">
        <v>54</v>
      </c>
      <c r="AI2580" s="10" t="s">
        <v>67</v>
      </c>
      <c r="AJ2580" s="8">
        <f>COUNTIF($E$2580:$AI$2580,"P")</f>
        <v>26</v>
      </c>
      <c r="AK2580" s="8">
        <f>COUNTIF($E$2580:$AI$2580,"A")</f>
        <v>0</v>
      </c>
      <c r="AL2580" s="8">
        <f>SUM($E$2581:$AI$2581)</f>
        <v>28</v>
      </c>
      <c r="AM2580" s="8">
        <f>SUM($E$2582:$AI$2582)</f>
        <v>117.5</v>
      </c>
      <c r="AN2580" s="8">
        <f>AL2580+AM2580</f>
        <v>145.5</v>
      </c>
      <c r="AO2580" s="8">
        <f>COUNTIF($E$2580:$AI$2580,"CL")</f>
        <v>0</v>
      </c>
      <c r="AP2580" s="8">
        <f>COUNTIF($E$2580:$AI$2580,"SL")</f>
        <v>0</v>
      </c>
      <c r="AQ2580" s="8">
        <f>COUNTIF($E$2580:$AI$2580,"EL")</f>
        <v>0</v>
      </c>
      <c r="AR2580" s="8">
        <f>COUNTIF($E$2580:$AI$2580,"H")</f>
        <v>0</v>
      </c>
      <c r="AS2580" s="8"/>
      <c r="AT2580" s="11" t="s">
        <v>261</v>
      </c>
    </row>
    <row r="2581" spans="1:46" ht="15.1" customHeight="1">
      <c r="A2581" s="8"/>
      <c r="B2581" s="9"/>
      <c r="C2581" s="8"/>
      <c r="D2581" s="9"/>
      <c r="E2581" s="8">
        <v>2</v>
      </c>
      <c r="F2581" s="8">
        <v>2</v>
      </c>
      <c r="G2581" s="8">
        <v>0</v>
      </c>
      <c r="H2581" s="8">
        <v>2</v>
      </c>
      <c r="I2581" s="8">
        <v>2</v>
      </c>
      <c r="J2581" s="8">
        <v>2</v>
      </c>
      <c r="K2581" s="8">
        <v>2</v>
      </c>
      <c r="L2581" s="8">
        <v>2</v>
      </c>
      <c r="M2581" s="8">
        <v>2</v>
      </c>
      <c r="N2581" s="8">
        <v>0</v>
      </c>
      <c r="O2581" s="8">
        <v>2</v>
      </c>
      <c r="P2581" s="8">
        <v>2</v>
      </c>
      <c r="Q2581" s="8">
        <v>2</v>
      </c>
      <c r="R2581" s="8">
        <v>2</v>
      </c>
      <c r="S2581" s="8">
        <v>2</v>
      </c>
      <c r="T2581" s="8">
        <v>2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11" t="s">
        <v>261</v>
      </c>
    </row>
    <row r="2582" spans="1:46" ht="15.1" customHeight="1">
      <c r="A2582" s="8"/>
      <c r="B2582" s="9"/>
      <c r="C2582" s="8"/>
      <c r="D2582" s="9"/>
      <c r="E2582" s="8">
        <v>1</v>
      </c>
      <c r="F2582" s="8">
        <v>5</v>
      </c>
      <c r="G2582" s="8">
        <v>18</v>
      </c>
      <c r="H2582" s="8">
        <v>5</v>
      </c>
      <c r="I2582" s="8">
        <v>5</v>
      </c>
      <c r="J2582" s="8">
        <v>7</v>
      </c>
      <c r="K2582" s="8">
        <v>5</v>
      </c>
      <c r="L2582" s="8">
        <v>5</v>
      </c>
      <c r="M2582" s="8">
        <v>7.5</v>
      </c>
      <c r="N2582" s="8">
        <v>18</v>
      </c>
      <c r="O2582" s="8">
        <v>7</v>
      </c>
      <c r="P2582" s="8">
        <v>7</v>
      </c>
      <c r="Q2582" s="8">
        <v>5</v>
      </c>
      <c r="R2582" s="8">
        <v>5</v>
      </c>
      <c r="S2582" s="8">
        <v>7</v>
      </c>
      <c r="T2582" s="8">
        <v>1.5</v>
      </c>
      <c r="U2582" s="8">
        <v>8.5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0</v>
      </c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11" t="s">
        <v>261</v>
      </c>
    </row>
    <row r="2583" spans="1:46" ht="15.1" customHeight="1">
      <c r="A2583" s="8">
        <v>860</v>
      </c>
      <c r="B2583" s="9" t="s">
        <v>1952</v>
      </c>
      <c r="C2583" s="8" t="s">
        <v>1953</v>
      </c>
      <c r="D2583" s="9" t="s">
        <v>451</v>
      </c>
      <c r="E2583" s="8" t="s">
        <v>54</v>
      </c>
      <c r="F2583" s="8" t="s">
        <v>54</v>
      </c>
      <c r="G2583" s="10" t="s">
        <v>67</v>
      </c>
      <c r="H2583" s="8" t="s">
        <v>54</v>
      </c>
      <c r="I2583" s="8" t="s">
        <v>54</v>
      </c>
      <c r="J2583" s="8" t="s">
        <v>54</v>
      </c>
      <c r="K2583" s="8" t="s">
        <v>54</v>
      </c>
      <c r="L2583" s="8" t="s">
        <v>54</v>
      </c>
      <c r="M2583" s="8" t="s">
        <v>54</v>
      </c>
      <c r="N2583" s="10" t="s">
        <v>67</v>
      </c>
      <c r="O2583" s="8" t="s">
        <v>54</v>
      </c>
      <c r="P2583" s="8" t="s">
        <v>54</v>
      </c>
      <c r="Q2583" s="8" t="s">
        <v>54</v>
      </c>
      <c r="R2583" s="8" t="s">
        <v>54</v>
      </c>
      <c r="S2583" s="8" t="s">
        <v>54</v>
      </c>
      <c r="T2583" s="8" t="s">
        <v>54</v>
      </c>
      <c r="U2583" s="10" t="s">
        <v>67</v>
      </c>
      <c r="V2583" s="8" t="s">
        <v>54</v>
      </c>
      <c r="W2583" s="8" t="s">
        <v>54</v>
      </c>
      <c r="X2583" s="8" t="s">
        <v>54</v>
      </c>
      <c r="Y2583" s="8" t="s">
        <v>54</v>
      </c>
      <c r="Z2583" s="8" t="s">
        <v>54</v>
      </c>
      <c r="AA2583" s="8" t="s">
        <v>54</v>
      </c>
      <c r="AB2583" s="10" t="s">
        <v>67</v>
      </c>
      <c r="AC2583" s="8" t="s">
        <v>54</v>
      </c>
      <c r="AD2583" s="8" t="s">
        <v>54</v>
      </c>
      <c r="AE2583" s="8" t="s">
        <v>54</v>
      </c>
      <c r="AF2583" s="8" t="s">
        <v>54</v>
      </c>
      <c r="AG2583" s="8" t="s">
        <v>54</v>
      </c>
      <c r="AH2583" s="8" t="s">
        <v>54</v>
      </c>
      <c r="AI2583" s="10" t="s">
        <v>67</v>
      </c>
      <c r="AJ2583" s="8">
        <f>COUNTIF($E$2583:$AI$2583,"P")</f>
        <v>26</v>
      </c>
      <c r="AK2583" s="8">
        <f>COUNTIF($E$2583:$AI$2583,"A")</f>
        <v>0</v>
      </c>
      <c r="AL2583" s="8">
        <f>SUM($E$2584:$AI$2584)</f>
        <v>28</v>
      </c>
      <c r="AM2583" s="8">
        <f>SUM($E$2585:$AI$2585)</f>
        <v>103.5</v>
      </c>
      <c r="AN2583" s="8">
        <f>AL2583+AM2583</f>
        <v>131.5</v>
      </c>
      <c r="AO2583" s="8">
        <f>COUNTIF($E$2583:$AI$2583,"CL")</f>
        <v>0</v>
      </c>
      <c r="AP2583" s="8">
        <f>COUNTIF($E$2583:$AI$2583,"SL")</f>
        <v>0</v>
      </c>
      <c r="AQ2583" s="8">
        <f>COUNTIF($E$2583:$AI$2583,"EL")</f>
        <v>0</v>
      </c>
      <c r="AR2583" s="8">
        <f>COUNTIF($E$2583:$AI$2583,"H")</f>
        <v>0</v>
      </c>
      <c r="AS2583" s="8"/>
      <c r="AT2583" s="11" t="s">
        <v>261</v>
      </c>
    </row>
    <row r="2584" spans="1:46" ht="15.1" customHeight="1">
      <c r="A2584" s="8"/>
      <c r="B2584" s="9"/>
      <c r="C2584" s="8"/>
      <c r="D2584" s="9"/>
      <c r="E2584" s="8">
        <v>2</v>
      </c>
      <c r="F2584" s="8">
        <v>2</v>
      </c>
      <c r="G2584" s="8">
        <v>0</v>
      </c>
      <c r="H2584" s="8">
        <v>2</v>
      </c>
      <c r="I2584" s="8">
        <v>2</v>
      </c>
      <c r="J2584" s="8">
        <v>2</v>
      </c>
      <c r="K2584" s="8">
        <v>2</v>
      </c>
      <c r="L2584" s="8">
        <v>2</v>
      </c>
      <c r="M2584" s="8">
        <v>2</v>
      </c>
      <c r="N2584" s="8">
        <v>0</v>
      </c>
      <c r="O2584" s="8">
        <v>2</v>
      </c>
      <c r="P2584" s="8">
        <v>2</v>
      </c>
      <c r="Q2584" s="8">
        <v>2</v>
      </c>
      <c r="R2584" s="8">
        <v>0</v>
      </c>
      <c r="S2584" s="8">
        <v>0</v>
      </c>
      <c r="T2584" s="8">
        <v>0</v>
      </c>
      <c r="U2584" s="8">
        <v>0</v>
      </c>
      <c r="V2584" s="8">
        <v>2</v>
      </c>
      <c r="W2584" s="8">
        <v>0</v>
      </c>
      <c r="X2584" s="8">
        <v>0</v>
      </c>
      <c r="Y2584" s="8">
        <v>2</v>
      </c>
      <c r="Z2584" s="8">
        <v>2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11" t="s">
        <v>261</v>
      </c>
    </row>
    <row r="2585" spans="1:46" ht="15.1" customHeight="1">
      <c r="A2585" s="8"/>
      <c r="B2585" s="9"/>
      <c r="C2585" s="8"/>
      <c r="D2585" s="9"/>
      <c r="E2585" s="8">
        <v>4</v>
      </c>
      <c r="F2585" s="8">
        <v>3</v>
      </c>
      <c r="G2585" s="8">
        <v>13.5</v>
      </c>
      <c r="H2585" s="8">
        <v>5</v>
      </c>
      <c r="I2585" s="8">
        <v>5</v>
      </c>
      <c r="J2585" s="8">
        <v>5</v>
      </c>
      <c r="K2585" s="8">
        <v>5</v>
      </c>
      <c r="L2585" s="8">
        <v>4</v>
      </c>
      <c r="M2585" s="8">
        <v>5</v>
      </c>
      <c r="N2585" s="8">
        <v>18</v>
      </c>
      <c r="O2585" s="8">
        <v>1</v>
      </c>
      <c r="P2585" s="8">
        <v>1</v>
      </c>
      <c r="Q2585" s="8">
        <v>1</v>
      </c>
      <c r="R2585" s="8">
        <v>0</v>
      </c>
      <c r="S2585" s="8">
        <v>0</v>
      </c>
      <c r="T2585" s="8">
        <v>0</v>
      </c>
      <c r="U2585" s="8">
        <v>0</v>
      </c>
      <c r="V2585" s="8">
        <v>11</v>
      </c>
      <c r="W2585" s="8">
        <v>0</v>
      </c>
      <c r="X2585" s="8">
        <v>0</v>
      </c>
      <c r="Y2585" s="8">
        <v>11</v>
      </c>
      <c r="Z2585" s="8">
        <v>11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11" t="s">
        <v>261</v>
      </c>
    </row>
    <row r="2586" spans="1:46" ht="15.1" customHeight="1">
      <c r="A2586" s="8">
        <v>861</v>
      </c>
      <c r="B2586" s="9" t="s">
        <v>1954</v>
      </c>
      <c r="C2586" s="8" t="s">
        <v>1955</v>
      </c>
      <c r="D2586" s="9" t="s">
        <v>451</v>
      </c>
      <c r="E2586" s="8" t="s">
        <v>54</v>
      </c>
      <c r="F2586" s="8" t="s">
        <v>54</v>
      </c>
      <c r="G2586" s="10" t="s">
        <v>67</v>
      </c>
      <c r="H2586" s="8" t="s">
        <v>54</v>
      </c>
      <c r="I2586" s="8" t="s">
        <v>54</v>
      </c>
      <c r="J2586" s="8" t="s">
        <v>54</v>
      </c>
      <c r="K2586" s="8" t="s">
        <v>54</v>
      </c>
      <c r="L2586" s="8" t="s">
        <v>54</v>
      </c>
      <c r="M2586" s="8" t="s">
        <v>54</v>
      </c>
      <c r="N2586" s="10" t="s">
        <v>67</v>
      </c>
      <c r="O2586" s="8" t="s">
        <v>54</v>
      </c>
      <c r="P2586" s="8" t="s">
        <v>54</v>
      </c>
      <c r="Q2586" s="8" t="s">
        <v>54</v>
      </c>
      <c r="R2586" s="8" t="s">
        <v>54</v>
      </c>
      <c r="S2586" s="8" t="s">
        <v>54</v>
      </c>
      <c r="T2586" s="8" t="s">
        <v>54</v>
      </c>
      <c r="U2586" s="10" t="s">
        <v>67</v>
      </c>
      <c r="V2586" s="8" t="s">
        <v>54</v>
      </c>
      <c r="W2586" s="8" t="s">
        <v>54</v>
      </c>
      <c r="X2586" s="8" t="s">
        <v>54</v>
      </c>
      <c r="Y2586" s="8" t="s">
        <v>54</v>
      </c>
      <c r="Z2586" s="8" t="s">
        <v>54</v>
      </c>
      <c r="AA2586" s="8" t="s">
        <v>54</v>
      </c>
      <c r="AB2586" s="10" t="s">
        <v>67</v>
      </c>
      <c r="AC2586" s="8" t="s">
        <v>54</v>
      </c>
      <c r="AD2586" s="8" t="s">
        <v>54</v>
      </c>
      <c r="AE2586" s="8" t="s">
        <v>54</v>
      </c>
      <c r="AF2586" s="8" t="s">
        <v>54</v>
      </c>
      <c r="AG2586" s="8" t="s">
        <v>54</v>
      </c>
      <c r="AH2586" s="8" t="s">
        <v>54</v>
      </c>
      <c r="AI2586" s="10" t="s">
        <v>67</v>
      </c>
      <c r="AJ2586" s="8">
        <f>COUNTIF($E$2586:$AI$2586,"P")</f>
        <v>26</v>
      </c>
      <c r="AK2586" s="8">
        <f>COUNTIF($E$2586:$AI$2586,"A")</f>
        <v>0</v>
      </c>
      <c r="AL2586" s="8">
        <f>SUM($E$2587:$AI$2587)</f>
        <v>32</v>
      </c>
      <c r="AM2586" s="8">
        <f>SUM($E$2588:$AI$2588)</f>
        <v>103</v>
      </c>
      <c r="AN2586" s="8">
        <f>AL2586+AM2586</f>
        <v>135</v>
      </c>
      <c r="AO2586" s="8">
        <f>COUNTIF($E$2586:$AI$2586,"CL")</f>
        <v>0</v>
      </c>
      <c r="AP2586" s="8">
        <f>COUNTIF($E$2586:$AI$2586,"SL")</f>
        <v>0</v>
      </c>
      <c r="AQ2586" s="8">
        <f>COUNTIF($E$2586:$AI$2586,"EL")</f>
        <v>0</v>
      </c>
      <c r="AR2586" s="8">
        <f>COUNTIF($E$2586:$AI$2586,"H")</f>
        <v>0</v>
      </c>
      <c r="AS2586" s="8"/>
      <c r="AT2586" s="11" t="s">
        <v>261</v>
      </c>
    </row>
    <row r="2587" spans="1:46" ht="15.1" customHeight="1">
      <c r="A2587" s="8"/>
      <c r="B2587" s="9"/>
      <c r="C2587" s="8"/>
      <c r="D2587" s="9"/>
      <c r="E2587" s="8">
        <v>2</v>
      </c>
      <c r="F2587" s="8">
        <v>2</v>
      </c>
      <c r="G2587" s="8">
        <v>0</v>
      </c>
      <c r="H2587" s="8">
        <v>2</v>
      </c>
      <c r="I2587" s="8">
        <v>2</v>
      </c>
      <c r="J2587" s="8">
        <v>2</v>
      </c>
      <c r="K2587" s="8">
        <v>2</v>
      </c>
      <c r="L2587" s="8">
        <v>2</v>
      </c>
      <c r="M2587" s="8">
        <v>2</v>
      </c>
      <c r="N2587" s="8">
        <v>0</v>
      </c>
      <c r="O2587" s="8">
        <v>2</v>
      </c>
      <c r="P2587" s="8">
        <v>2</v>
      </c>
      <c r="Q2587" s="8">
        <v>2</v>
      </c>
      <c r="R2587" s="8">
        <v>2</v>
      </c>
      <c r="S2587" s="8">
        <v>2</v>
      </c>
      <c r="T2587" s="8">
        <v>2</v>
      </c>
      <c r="U2587" s="8">
        <v>0</v>
      </c>
      <c r="V2587" s="8">
        <v>2</v>
      </c>
      <c r="W2587" s="8">
        <v>2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11" t="s">
        <v>261</v>
      </c>
    </row>
    <row r="2588" spans="1:46" ht="15.1" customHeight="1">
      <c r="A2588" s="8"/>
      <c r="B2588" s="9"/>
      <c r="C2588" s="8"/>
      <c r="D2588" s="9"/>
      <c r="E2588" s="8">
        <v>1</v>
      </c>
      <c r="F2588" s="8">
        <v>5</v>
      </c>
      <c r="G2588" s="8">
        <v>17</v>
      </c>
      <c r="H2588" s="8">
        <v>5</v>
      </c>
      <c r="I2588" s="8">
        <v>8</v>
      </c>
      <c r="J2588" s="8">
        <v>7</v>
      </c>
      <c r="K2588" s="8">
        <v>3</v>
      </c>
      <c r="L2588" s="8">
        <v>3</v>
      </c>
      <c r="M2588" s="8">
        <v>5</v>
      </c>
      <c r="N2588" s="8">
        <v>9.5</v>
      </c>
      <c r="O2588" s="8">
        <v>1</v>
      </c>
      <c r="P2588" s="8">
        <v>1</v>
      </c>
      <c r="Q2588" s="8">
        <v>1</v>
      </c>
      <c r="R2588" s="8">
        <v>7</v>
      </c>
      <c r="S2588" s="8">
        <v>7</v>
      </c>
      <c r="T2588" s="8">
        <v>3</v>
      </c>
      <c r="U2588" s="8">
        <v>12.5</v>
      </c>
      <c r="V2588" s="8">
        <v>7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11" t="s">
        <v>261</v>
      </c>
    </row>
    <row r="2589" spans="1:46" ht="15.1" customHeight="1">
      <c r="A2589" s="8">
        <v>862</v>
      </c>
      <c r="B2589" s="9" t="s">
        <v>1956</v>
      </c>
      <c r="C2589" s="8" t="s">
        <v>1957</v>
      </c>
      <c r="D2589" s="9" t="s">
        <v>266</v>
      </c>
      <c r="E2589" s="12" t="s">
        <v>55</v>
      </c>
      <c r="F2589" s="8" t="s">
        <v>54</v>
      </c>
      <c r="G2589" s="10" t="s">
        <v>67</v>
      </c>
      <c r="H2589" s="8" t="s">
        <v>54</v>
      </c>
      <c r="I2589" s="8" t="s">
        <v>54</v>
      </c>
      <c r="J2589" s="8" t="s">
        <v>54</v>
      </c>
      <c r="K2589" s="8" t="s">
        <v>54</v>
      </c>
      <c r="L2589" s="8" t="s">
        <v>54</v>
      </c>
      <c r="M2589" s="8" t="s">
        <v>54</v>
      </c>
      <c r="N2589" s="10" t="s">
        <v>67</v>
      </c>
      <c r="O2589" s="8" t="s">
        <v>54</v>
      </c>
      <c r="P2589" s="8" t="s">
        <v>54</v>
      </c>
      <c r="Q2589" s="8" t="s">
        <v>54</v>
      </c>
      <c r="R2589" s="8" t="s">
        <v>54</v>
      </c>
      <c r="S2589" s="8" t="s">
        <v>54</v>
      </c>
      <c r="T2589" s="8" t="s">
        <v>54</v>
      </c>
      <c r="U2589" s="10" t="s">
        <v>67</v>
      </c>
      <c r="V2589" s="8" t="s">
        <v>54</v>
      </c>
      <c r="W2589" s="8" t="s">
        <v>54</v>
      </c>
      <c r="X2589" s="8" t="s">
        <v>54</v>
      </c>
      <c r="Y2589" s="8" t="s">
        <v>54</v>
      </c>
      <c r="Z2589" s="8" t="s">
        <v>54</v>
      </c>
      <c r="AA2589" s="8" t="s">
        <v>54</v>
      </c>
      <c r="AB2589" s="10" t="s">
        <v>67</v>
      </c>
      <c r="AC2589" s="8" t="s">
        <v>54</v>
      </c>
      <c r="AD2589" s="8" t="s">
        <v>54</v>
      </c>
      <c r="AE2589" s="8" t="s">
        <v>54</v>
      </c>
      <c r="AF2589" s="8" t="s">
        <v>54</v>
      </c>
      <c r="AG2589" s="8" t="s">
        <v>54</v>
      </c>
      <c r="AH2589" s="8" t="s">
        <v>54</v>
      </c>
      <c r="AI2589" s="10" t="s">
        <v>67</v>
      </c>
      <c r="AJ2589" s="8">
        <f>COUNTIF($E$2589:$AI$2589,"P")</f>
        <v>25</v>
      </c>
      <c r="AK2589" s="8">
        <f>COUNTIF($E$2589:$AI$2589,"A")</f>
        <v>1</v>
      </c>
      <c r="AL2589" s="8">
        <f>SUM($E$2590:$AI$2590)</f>
        <v>26</v>
      </c>
      <c r="AM2589" s="8">
        <f>SUM($E$2591:$AI$2591)</f>
        <v>84.5</v>
      </c>
      <c r="AN2589" s="8">
        <f>AL2589+AM2589</f>
        <v>110.5</v>
      </c>
      <c r="AO2589" s="8">
        <f>COUNTIF($E$2589:$AI$2589,"CL")</f>
        <v>0</v>
      </c>
      <c r="AP2589" s="8">
        <f>COUNTIF($E$2589:$AI$2589,"SL")</f>
        <v>0</v>
      </c>
      <c r="AQ2589" s="8">
        <f>COUNTIF($E$2589:$AI$2589,"EL")</f>
        <v>0</v>
      </c>
      <c r="AR2589" s="8">
        <f>COUNTIF($E$2589:$AI$2589,"H")</f>
        <v>0</v>
      </c>
      <c r="AS2589" s="8"/>
      <c r="AT2589" s="11" t="s">
        <v>261</v>
      </c>
    </row>
    <row r="2590" spans="1:46" ht="15.1" customHeight="1">
      <c r="A2590" s="8"/>
      <c r="B2590" s="9"/>
      <c r="C2590" s="8"/>
      <c r="D2590" s="9"/>
      <c r="E2590" s="8">
        <v>0</v>
      </c>
      <c r="F2590" s="8">
        <v>2</v>
      </c>
      <c r="G2590" s="8">
        <v>0</v>
      </c>
      <c r="H2590" s="8">
        <v>2</v>
      </c>
      <c r="I2590" s="8">
        <v>2</v>
      </c>
      <c r="J2590" s="8">
        <v>2</v>
      </c>
      <c r="K2590" s="8">
        <v>2</v>
      </c>
      <c r="L2590" s="8">
        <v>2</v>
      </c>
      <c r="M2590" s="8">
        <v>2</v>
      </c>
      <c r="N2590" s="8">
        <v>0</v>
      </c>
      <c r="O2590" s="8">
        <v>2</v>
      </c>
      <c r="P2590" s="8">
        <v>2</v>
      </c>
      <c r="Q2590" s="8">
        <v>2</v>
      </c>
      <c r="R2590" s="8">
        <v>2</v>
      </c>
      <c r="S2590" s="8">
        <v>2</v>
      </c>
      <c r="T2590" s="8">
        <v>2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11" t="s">
        <v>261</v>
      </c>
    </row>
    <row r="2591" spans="1:46" ht="15.1" customHeight="1">
      <c r="A2591" s="8"/>
      <c r="B2591" s="9"/>
      <c r="C2591" s="8"/>
      <c r="D2591" s="9"/>
      <c r="E2591" s="8">
        <v>0</v>
      </c>
      <c r="F2591" s="8">
        <v>5</v>
      </c>
      <c r="G2591" s="8">
        <v>17</v>
      </c>
      <c r="H2591" s="8">
        <v>5</v>
      </c>
      <c r="I2591" s="8">
        <v>3.5</v>
      </c>
      <c r="J2591" s="8">
        <v>7</v>
      </c>
      <c r="K2591" s="8">
        <v>3</v>
      </c>
      <c r="L2591" s="8">
        <v>3</v>
      </c>
      <c r="M2591" s="8">
        <v>1</v>
      </c>
      <c r="N2591" s="8">
        <v>18</v>
      </c>
      <c r="O2591" s="8">
        <v>1</v>
      </c>
      <c r="P2591" s="8">
        <v>1</v>
      </c>
      <c r="Q2591" s="8">
        <v>1</v>
      </c>
      <c r="R2591" s="8">
        <v>7</v>
      </c>
      <c r="S2591" s="8">
        <v>1</v>
      </c>
      <c r="T2591" s="8">
        <v>2</v>
      </c>
      <c r="U2591" s="8">
        <v>9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11" t="s">
        <v>261</v>
      </c>
    </row>
    <row r="2592" spans="1:46" ht="15.1" customHeight="1">
      <c r="A2592" s="8">
        <v>863</v>
      </c>
      <c r="B2592" s="9" t="s">
        <v>1958</v>
      </c>
      <c r="C2592" s="8" t="s">
        <v>1959</v>
      </c>
      <c r="D2592" s="9" t="s">
        <v>451</v>
      </c>
      <c r="E2592" s="8" t="s">
        <v>54</v>
      </c>
      <c r="F2592" s="8" t="s">
        <v>54</v>
      </c>
      <c r="G2592" s="10" t="s">
        <v>67</v>
      </c>
      <c r="H2592" s="8" t="s">
        <v>54</v>
      </c>
      <c r="I2592" s="8" t="s">
        <v>54</v>
      </c>
      <c r="J2592" s="8" t="s">
        <v>54</v>
      </c>
      <c r="K2592" s="8" t="s">
        <v>54</v>
      </c>
      <c r="L2592" s="8" t="s">
        <v>54</v>
      </c>
      <c r="M2592" s="8" t="s">
        <v>54</v>
      </c>
      <c r="N2592" s="10" t="s">
        <v>67</v>
      </c>
      <c r="O2592" s="8" t="s">
        <v>54</v>
      </c>
      <c r="P2592" s="8" t="s">
        <v>54</v>
      </c>
      <c r="Q2592" s="8" t="s">
        <v>54</v>
      </c>
      <c r="R2592" s="8" t="s">
        <v>54</v>
      </c>
      <c r="S2592" s="8" t="s">
        <v>54</v>
      </c>
      <c r="T2592" s="8" t="s">
        <v>54</v>
      </c>
      <c r="U2592" s="10" t="s">
        <v>67</v>
      </c>
      <c r="V2592" s="8" t="s">
        <v>54</v>
      </c>
      <c r="W2592" s="8" t="s">
        <v>54</v>
      </c>
      <c r="X2592" s="8" t="s">
        <v>54</v>
      </c>
      <c r="Y2592" s="8" t="s">
        <v>54</v>
      </c>
      <c r="Z2592" s="8" t="s">
        <v>54</v>
      </c>
      <c r="AA2592" s="8" t="s">
        <v>54</v>
      </c>
      <c r="AB2592" s="10" t="s">
        <v>67</v>
      </c>
      <c r="AC2592" s="8" t="s">
        <v>54</v>
      </c>
      <c r="AD2592" s="8" t="s">
        <v>54</v>
      </c>
      <c r="AE2592" s="8" t="s">
        <v>54</v>
      </c>
      <c r="AF2592" s="8" t="s">
        <v>54</v>
      </c>
      <c r="AG2592" s="8" t="s">
        <v>54</v>
      </c>
      <c r="AH2592" s="8" t="s">
        <v>54</v>
      </c>
      <c r="AI2592" s="10" t="s">
        <v>67</v>
      </c>
      <c r="AJ2592" s="8">
        <f>COUNTIF($E$2592:$AI$2592,"P")</f>
        <v>26</v>
      </c>
      <c r="AK2592" s="8">
        <f>COUNTIF($E$2592:$AI$2592,"A")</f>
        <v>0</v>
      </c>
      <c r="AL2592" s="8">
        <f>SUM($E$2593:$AI$2593)</f>
        <v>29</v>
      </c>
      <c r="AM2592" s="8">
        <f>SUM($E$2594:$AI$2594)</f>
        <v>106</v>
      </c>
      <c r="AN2592" s="8">
        <f>AL2592+AM2592</f>
        <v>135</v>
      </c>
      <c r="AO2592" s="8">
        <f>COUNTIF($E$2592:$AI$2592,"CL")</f>
        <v>0</v>
      </c>
      <c r="AP2592" s="8">
        <f>COUNTIF($E$2592:$AI$2592,"SL")</f>
        <v>0</v>
      </c>
      <c r="AQ2592" s="8">
        <f>COUNTIF($E$2592:$AI$2592,"EL")</f>
        <v>0</v>
      </c>
      <c r="AR2592" s="8">
        <f>COUNTIF($E$2592:$AI$2592,"H")</f>
        <v>0</v>
      </c>
      <c r="AS2592" s="8"/>
      <c r="AT2592" s="11" t="s">
        <v>261</v>
      </c>
    </row>
    <row r="2593" spans="1:46" ht="15.1" customHeight="1">
      <c r="A2593" s="8"/>
      <c r="B2593" s="9"/>
      <c r="C2593" s="8"/>
      <c r="D2593" s="9"/>
      <c r="E2593" s="8">
        <v>2</v>
      </c>
      <c r="F2593" s="8">
        <v>2</v>
      </c>
      <c r="G2593" s="8">
        <v>0</v>
      </c>
      <c r="H2593" s="8">
        <v>2</v>
      </c>
      <c r="I2593" s="8">
        <v>2</v>
      </c>
      <c r="J2593" s="8">
        <v>2</v>
      </c>
      <c r="K2593" s="8">
        <v>2</v>
      </c>
      <c r="L2593" s="8">
        <v>2</v>
      </c>
      <c r="M2593" s="8">
        <v>2</v>
      </c>
      <c r="N2593" s="8">
        <v>0</v>
      </c>
      <c r="O2593" s="8">
        <v>2</v>
      </c>
      <c r="P2593" s="8">
        <v>2</v>
      </c>
      <c r="Q2593" s="8">
        <v>2</v>
      </c>
      <c r="R2593" s="8">
        <v>2</v>
      </c>
      <c r="S2593" s="8">
        <v>1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2</v>
      </c>
      <c r="Z2593" s="8">
        <v>2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11" t="s">
        <v>261</v>
      </c>
    </row>
    <row r="2594" spans="1:46" ht="15.1" customHeight="1">
      <c r="A2594" s="8"/>
      <c r="B2594" s="9"/>
      <c r="C2594" s="8"/>
      <c r="D2594" s="9"/>
      <c r="E2594" s="8">
        <v>4</v>
      </c>
      <c r="F2594" s="8">
        <v>3</v>
      </c>
      <c r="G2594" s="8">
        <v>14</v>
      </c>
      <c r="H2594" s="8">
        <v>5</v>
      </c>
      <c r="I2594" s="8">
        <v>5</v>
      </c>
      <c r="J2594" s="8">
        <v>5</v>
      </c>
      <c r="K2594" s="8">
        <v>5</v>
      </c>
      <c r="L2594" s="8">
        <v>4</v>
      </c>
      <c r="M2594" s="8">
        <v>5</v>
      </c>
      <c r="N2594" s="8">
        <v>17.5</v>
      </c>
      <c r="O2594" s="8">
        <v>1</v>
      </c>
      <c r="P2594" s="8">
        <v>1</v>
      </c>
      <c r="Q2594" s="8">
        <v>1</v>
      </c>
      <c r="R2594" s="8">
        <v>10</v>
      </c>
      <c r="S2594" s="8">
        <v>0</v>
      </c>
      <c r="T2594" s="8">
        <v>0</v>
      </c>
      <c r="U2594" s="8">
        <v>5</v>
      </c>
      <c r="V2594" s="8">
        <v>0</v>
      </c>
      <c r="W2594" s="8">
        <v>0</v>
      </c>
      <c r="X2594" s="8">
        <v>0</v>
      </c>
      <c r="Y2594" s="8">
        <v>9.5</v>
      </c>
      <c r="Z2594" s="8">
        <v>11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  <c r="AH2594" s="8">
        <v>0</v>
      </c>
      <c r="AI2594" s="8">
        <v>0</v>
      </c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11" t="s">
        <v>261</v>
      </c>
    </row>
    <row r="2595" spans="1:46" ht="15.1" customHeight="1">
      <c r="A2595" s="8">
        <v>864</v>
      </c>
      <c r="B2595" s="9" t="s">
        <v>1960</v>
      </c>
      <c r="C2595" s="8" t="s">
        <v>1961</v>
      </c>
      <c r="D2595" s="9" t="s">
        <v>451</v>
      </c>
      <c r="E2595" s="8" t="s">
        <v>54</v>
      </c>
      <c r="F2595" s="8" t="s">
        <v>54</v>
      </c>
      <c r="G2595" s="10" t="s">
        <v>67</v>
      </c>
      <c r="H2595" s="8" t="s">
        <v>54</v>
      </c>
      <c r="I2595" s="8" t="s">
        <v>54</v>
      </c>
      <c r="J2595" s="8" t="s">
        <v>54</v>
      </c>
      <c r="K2595" s="8" t="s">
        <v>54</v>
      </c>
      <c r="L2595" s="8" t="s">
        <v>54</v>
      </c>
      <c r="M2595" s="8" t="s">
        <v>54</v>
      </c>
      <c r="N2595" s="10" t="s">
        <v>67</v>
      </c>
      <c r="O2595" s="8" t="s">
        <v>54</v>
      </c>
      <c r="P2595" s="8" t="s">
        <v>54</v>
      </c>
      <c r="Q2595" s="8" t="s">
        <v>54</v>
      </c>
      <c r="R2595" s="8" t="s">
        <v>54</v>
      </c>
      <c r="S2595" s="8" t="s">
        <v>54</v>
      </c>
      <c r="T2595" s="8" t="s">
        <v>54</v>
      </c>
      <c r="U2595" s="10" t="s">
        <v>67</v>
      </c>
      <c r="V2595" s="8" t="s">
        <v>54</v>
      </c>
      <c r="W2595" s="8" t="s">
        <v>54</v>
      </c>
      <c r="X2595" s="8" t="s">
        <v>54</v>
      </c>
      <c r="Y2595" s="8" t="s">
        <v>54</v>
      </c>
      <c r="Z2595" s="8" t="s">
        <v>54</v>
      </c>
      <c r="AA2595" s="8" t="s">
        <v>54</v>
      </c>
      <c r="AB2595" s="10" t="s">
        <v>67</v>
      </c>
      <c r="AC2595" s="8" t="s">
        <v>54</v>
      </c>
      <c r="AD2595" s="8" t="s">
        <v>54</v>
      </c>
      <c r="AE2595" s="8" t="s">
        <v>54</v>
      </c>
      <c r="AF2595" s="8" t="s">
        <v>54</v>
      </c>
      <c r="AG2595" s="8" t="s">
        <v>54</v>
      </c>
      <c r="AH2595" s="8" t="s">
        <v>54</v>
      </c>
      <c r="AI2595" s="10" t="s">
        <v>67</v>
      </c>
      <c r="AJ2595" s="8">
        <f>COUNTIF($E$2595:$AI$2595,"P")</f>
        <v>26</v>
      </c>
      <c r="AK2595" s="8">
        <f>COUNTIF($E$2595:$AI$2595,"A")</f>
        <v>0</v>
      </c>
      <c r="AL2595" s="8">
        <f>SUM($E$2596:$AI$2596)</f>
        <v>28</v>
      </c>
      <c r="AM2595" s="8">
        <f>SUM($E$2597:$AI$2597)</f>
        <v>93</v>
      </c>
      <c r="AN2595" s="8">
        <f>AL2595+AM2595</f>
        <v>121</v>
      </c>
      <c r="AO2595" s="8">
        <f>COUNTIF($E$2595:$AI$2595,"CL")</f>
        <v>0</v>
      </c>
      <c r="AP2595" s="8">
        <f>COUNTIF($E$2595:$AI$2595,"SL")</f>
        <v>0</v>
      </c>
      <c r="AQ2595" s="8">
        <f>COUNTIF($E$2595:$AI$2595,"EL")</f>
        <v>0</v>
      </c>
      <c r="AR2595" s="8">
        <f>COUNTIF($E$2595:$AI$2595,"H")</f>
        <v>0</v>
      </c>
      <c r="AS2595" s="8"/>
      <c r="AT2595" s="11" t="s">
        <v>261</v>
      </c>
    </row>
    <row r="2596" spans="1:46" ht="15.1" customHeight="1">
      <c r="A2596" s="8"/>
      <c r="B2596" s="9"/>
      <c r="C2596" s="8"/>
      <c r="D2596" s="9"/>
      <c r="E2596" s="8">
        <v>2</v>
      </c>
      <c r="F2596" s="8">
        <v>2</v>
      </c>
      <c r="G2596" s="8">
        <v>0</v>
      </c>
      <c r="H2596" s="8">
        <v>2</v>
      </c>
      <c r="I2596" s="8">
        <v>2</v>
      </c>
      <c r="J2596" s="8">
        <v>2</v>
      </c>
      <c r="K2596" s="8">
        <v>2</v>
      </c>
      <c r="L2596" s="8">
        <v>2</v>
      </c>
      <c r="M2596" s="8">
        <v>2</v>
      </c>
      <c r="N2596" s="8">
        <v>0</v>
      </c>
      <c r="O2596" s="8">
        <v>2</v>
      </c>
      <c r="P2596" s="8">
        <v>2</v>
      </c>
      <c r="Q2596" s="8">
        <v>2</v>
      </c>
      <c r="R2596" s="8">
        <v>2</v>
      </c>
      <c r="S2596" s="8">
        <v>2</v>
      </c>
      <c r="T2596" s="8">
        <v>2</v>
      </c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0</v>
      </c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11" t="s">
        <v>261</v>
      </c>
    </row>
    <row r="2597" spans="1:46" ht="15.1" customHeight="1">
      <c r="A2597" s="8"/>
      <c r="B2597" s="9"/>
      <c r="C2597" s="8"/>
      <c r="D2597" s="9"/>
      <c r="E2597" s="8">
        <v>5</v>
      </c>
      <c r="F2597" s="8">
        <v>3</v>
      </c>
      <c r="G2597" s="8">
        <v>0</v>
      </c>
      <c r="H2597" s="8">
        <v>6</v>
      </c>
      <c r="I2597" s="8">
        <v>8</v>
      </c>
      <c r="J2597" s="8">
        <v>6.5</v>
      </c>
      <c r="K2597" s="8">
        <v>7</v>
      </c>
      <c r="L2597" s="8">
        <v>7</v>
      </c>
      <c r="M2597" s="8">
        <v>5</v>
      </c>
      <c r="N2597" s="8">
        <v>17.5</v>
      </c>
      <c r="O2597" s="8">
        <v>7</v>
      </c>
      <c r="P2597" s="8">
        <v>6.5</v>
      </c>
      <c r="Q2597" s="8">
        <v>0.5</v>
      </c>
      <c r="R2597" s="8">
        <v>3</v>
      </c>
      <c r="S2597" s="8">
        <v>1</v>
      </c>
      <c r="T2597" s="8">
        <v>1.5</v>
      </c>
      <c r="U2597" s="8">
        <v>8.5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11" t="s">
        <v>261</v>
      </c>
    </row>
    <row r="2598" spans="1:46" ht="15.1" customHeight="1">
      <c r="A2598" s="8">
        <v>865</v>
      </c>
      <c r="B2598" s="9" t="s">
        <v>1962</v>
      </c>
      <c r="C2598" s="8" t="s">
        <v>1963</v>
      </c>
      <c r="D2598" s="9" t="s">
        <v>451</v>
      </c>
      <c r="E2598" s="8" t="s">
        <v>54</v>
      </c>
      <c r="F2598" s="8" t="s">
        <v>54</v>
      </c>
      <c r="G2598" s="10" t="s">
        <v>67</v>
      </c>
      <c r="H2598" s="8" t="s">
        <v>54</v>
      </c>
      <c r="I2598" s="8" t="s">
        <v>54</v>
      </c>
      <c r="J2598" s="8" t="s">
        <v>54</v>
      </c>
      <c r="K2598" s="8" t="s">
        <v>54</v>
      </c>
      <c r="L2598" s="8" t="s">
        <v>54</v>
      </c>
      <c r="M2598" s="8" t="s">
        <v>54</v>
      </c>
      <c r="N2598" s="10" t="s">
        <v>67</v>
      </c>
      <c r="O2598" s="8" t="s">
        <v>54</v>
      </c>
      <c r="P2598" s="8" t="s">
        <v>54</v>
      </c>
      <c r="Q2598" s="8" t="s">
        <v>54</v>
      </c>
      <c r="R2598" s="8" t="s">
        <v>54</v>
      </c>
      <c r="S2598" s="8" t="s">
        <v>54</v>
      </c>
      <c r="T2598" s="8" t="s">
        <v>54</v>
      </c>
      <c r="U2598" s="10" t="s">
        <v>67</v>
      </c>
      <c r="V2598" s="8" t="s">
        <v>54</v>
      </c>
      <c r="W2598" s="8" t="s">
        <v>54</v>
      </c>
      <c r="X2598" s="8" t="s">
        <v>54</v>
      </c>
      <c r="Y2598" s="8" t="s">
        <v>54</v>
      </c>
      <c r="Z2598" s="8" t="s">
        <v>54</v>
      </c>
      <c r="AA2598" s="8" t="s">
        <v>54</v>
      </c>
      <c r="AB2598" s="10" t="s">
        <v>67</v>
      </c>
      <c r="AC2598" s="8" t="s">
        <v>54</v>
      </c>
      <c r="AD2598" s="8" t="s">
        <v>54</v>
      </c>
      <c r="AE2598" s="8" t="s">
        <v>54</v>
      </c>
      <c r="AF2598" s="8" t="s">
        <v>54</v>
      </c>
      <c r="AG2598" s="8" t="s">
        <v>54</v>
      </c>
      <c r="AH2598" s="8" t="s">
        <v>54</v>
      </c>
      <c r="AI2598" s="10" t="s">
        <v>67</v>
      </c>
      <c r="AJ2598" s="8">
        <f>COUNTIF($E$2598:$AI$2598,"P")</f>
        <v>26</v>
      </c>
      <c r="AK2598" s="8">
        <f>COUNTIF($E$2598:$AI$2598,"A")</f>
        <v>0</v>
      </c>
      <c r="AL2598" s="8">
        <f>SUM($E$2599:$AI$2599)</f>
        <v>29</v>
      </c>
      <c r="AM2598" s="8">
        <f>SUM($E$2600:$AI$2600)</f>
        <v>83.5</v>
      </c>
      <c r="AN2598" s="8">
        <f>AL2598+AM2598</f>
        <v>112.5</v>
      </c>
      <c r="AO2598" s="8">
        <f>COUNTIF($E$2598:$AI$2598,"CL")</f>
        <v>0</v>
      </c>
      <c r="AP2598" s="8">
        <f>COUNTIF($E$2598:$AI$2598,"SL")</f>
        <v>0</v>
      </c>
      <c r="AQ2598" s="8">
        <f>COUNTIF($E$2598:$AI$2598,"EL")</f>
        <v>0</v>
      </c>
      <c r="AR2598" s="8">
        <f>COUNTIF($E$2598:$AI$2598,"H")</f>
        <v>0</v>
      </c>
      <c r="AS2598" s="8"/>
      <c r="AT2598" s="11" t="s">
        <v>261</v>
      </c>
    </row>
    <row r="2599" spans="1:46" ht="15.1" customHeight="1">
      <c r="A2599" s="8"/>
      <c r="B2599" s="9"/>
      <c r="C2599" s="8"/>
      <c r="D2599" s="9"/>
      <c r="E2599" s="8">
        <v>2</v>
      </c>
      <c r="F2599" s="8">
        <v>2</v>
      </c>
      <c r="G2599" s="8">
        <v>0</v>
      </c>
      <c r="H2599" s="8">
        <v>2</v>
      </c>
      <c r="I2599" s="8">
        <v>2</v>
      </c>
      <c r="J2599" s="8">
        <v>2</v>
      </c>
      <c r="K2599" s="8">
        <v>2</v>
      </c>
      <c r="L2599" s="8">
        <v>2</v>
      </c>
      <c r="M2599" s="8">
        <v>2</v>
      </c>
      <c r="N2599" s="8">
        <v>0</v>
      </c>
      <c r="O2599" s="8">
        <v>2</v>
      </c>
      <c r="P2599" s="8">
        <v>2</v>
      </c>
      <c r="Q2599" s="8">
        <v>2</v>
      </c>
      <c r="R2599" s="8">
        <v>2</v>
      </c>
      <c r="S2599" s="8">
        <v>1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2</v>
      </c>
      <c r="Z2599" s="8">
        <v>2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  <c r="AH2599" s="8">
        <v>0</v>
      </c>
      <c r="AI2599" s="8">
        <v>0</v>
      </c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11" t="s">
        <v>261</v>
      </c>
    </row>
    <row r="2600" spans="1:46" ht="15.1" customHeight="1">
      <c r="A2600" s="8"/>
      <c r="B2600" s="9"/>
      <c r="C2600" s="8"/>
      <c r="D2600" s="9"/>
      <c r="E2600" s="8">
        <v>4</v>
      </c>
      <c r="F2600" s="8">
        <v>3</v>
      </c>
      <c r="G2600" s="8">
        <v>10.5</v>
      </c>
      <c r="H2600" s="8">
        <v>4</v>
      </c>
      <c r="I2600" s="8">
        <v>5</v>
      </c>
      <c r="J2600" s="8">
        <v>5</v>
      </c>
      <c r="K2600" s="8">
        <v>5</v>
      </c>
      <c r="L2600" s="8">
        <v>4</v>
      </c>
      <c r="M2600" s="8">
        <v>5</v>
      </c>
      <c r="N2600" s="8">
        <v>0</v>
      </c>
      <c r="O2600" s="8">
        <v>1</v>
      </c>
      <c r="P2600" s="8">
        <v>1</v>
      </c>
      <c r="Q2600" s="8">
        <v>1</v>
      </c>
      <c r="R2600" s="8">
        <v>10</v>
      </c>
      <c r="S2600" s="8">
        <v>0</v>
      </c>
      <c r="T2600" s="8">
        <v>0</v>
      </c>
      <c r="U2600" s="8">
        <v>5</v>
      </c>
      <c r="V2600" s="8">
        <v>0</v>
      </c>
      <c r="W2600" s="8">
        <v>0</v>
      </c>
      <c r="X2600" s="8">
        <v>0</v>
      </c>
      <c r="Y2600" s="8">
        <v>9</v>
      </c>
      <c r="Z2600" s="8">
        <v>11</v>
      </c>
      <c r="AA2600" s="8">
        <v>0</v>
      </c>
      <c r="AB2600" s="8">
        <v>0</v>
      </c>
      <c r="AC2600" s="8">
        <v>0</v>
      </c>
      <c r="AD2600" s="8">
        <v>0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11" t="s">
        <v>261</v>
      </c>
    </row>
    <row r="2601" spans="1:46" ht="15.1" customHeight="1">
      <c r="A2601" s="8">
        <v>866</v>
      </c>
      <c r="B2601" s="9" t="s">
        <v>1964</v>
      </c>
      <c r="C2601" s="8" t="s">
        <v>1965</v>
      </c>
      <c r="D2601" s="9" t="s">
        <v>451</v>
      </c>
      <c r="E2601" s="8" t="s">
        <v>54</v>
      </c>
      <c r="F2601" s="8" t="s">
        <v>54</v>
      </c>
      <c r="G2601" s="10" t="s">
        <v>67</v>
      </c>
      <c r="H2601" s="8" t="s">
        <v>54</v>
      </c>
      <c r="I2601" s="8" t="s">
        <v>54</v>
      </c>
      <c r="J2601" s="8" t="s">
        <v>54</v>
      </c>
      <c r="K2601" s="12" t="s">
        <v>55</v>
      </c>
      <c r="L2601" s="8" t="s">
        <v>54</v>
      </c>
      <c r="M2601" s="8" t="s">
        <v>54</v>
      </c>
      <c r="N2601" s="10" t="s">
        <v>67</v>
      </c>
      <c r="O2601" s="12" t="s">
        <v>55</v>
      </c>
      <c r="P2601" s="12" t="s">
        <v>55</v>
      </c>
      <c r="Q2601" s="12" t="s">
        <v>55</v>
      </c>
      <c r="R2601" s="8" t="s">
        <v>54</v>
      </c>
      <c r="S2601" s="8" t="s">
        <v>54</v>
      </c>
      <c r="T2601" s="8" t="s">
        <v>54</v>
      </c>
      <c r="U2601" s="10" t="s">
        <v>67</v>
      </c>
      <c r="V2601" s="8" t="s">
        <v>54</v>
      </c>
      <c r="W2601" s="8" t="s">
        <v>54</v>
      </c>
      <c r="X2601" s="8" t="s">
        <v>54</v>
      </c>
      <c r="Y2601" s="8" t="s">
        <v>54</v>
      </c>
      <c r="Z2601" s="8" t="s">
        <v>54</v>
      </c>
      <c r="AA2601" s="12" t="s">
        <v>55</v>
      </c>
      <c r="AB2601" s="10" t="s">
        <v>67</v>
      </c>
      <c r="AC2601" s="8" t="s">
        <v>54</v>
      </c>
      <c r="AD2601" s="8" t="s">
        <v>54</v>
      </c>
      <c r="AE2601" s="8" t="s">
        <v>54</v>
      </c>
      <c r="AF2601" s="8" t="s">
        <v>54</v>
      </c>
      <c r="AG2601" s="8" t="s">
        <v>54</v>
      </c>
      <c r="AH2601" s="8" t="s">
        <v>54</v>
      </c>
      <c r="AI2601" s="10" t="s">
        <v>67</v>
      </c>
      <c r="AJ2601" s="8">
        <f>COUNTIF($E$2601:$AI$2601,"P")</f>
        <v>21</v>
      </c>
      <c r="AK2601" s="8">
        <f>COUNTIF($E$2601:$AI$2601,"A")</f>
        <v>5</v>
      </c>
      <c r="AL2601" s="8">
        <f>SUM($E$2602:$AI$2602)</f>
        <v>20</v>
      </c>
      <c r="AM2601" s="8">
        <f>SUM($E$2603:$AI$2603)</f>
        <v>44.5</v>
      </c>
      <c r="AN2601" s="8">
        <f>AL2601+AM2601</f>
        <v>64.5</v>
      </c>
      <c r="AO2601" s="8">
        <f>COUNTIF($E$2601:$AI$2601,"CL")</f>
        <v>0</v>
      </c>
      <c r="AP2601" s="8">
        <f>COUNTIF($E$2601:$AI$2601,"SL")</f>
        <v>0</v>
      </c>
      <c r="AQ2601" s="8">
        <f>COUNTIF($E$2601:$AI$2601,"EL")</f>
        <v>0</v>
      </c>
      <c r="AR2601" s="8">
        <f>COUNTIF($E$2601:$AI$2601,"H")</f>
        <v>0</v>
      </c>
      <c r="AS2601" s="8"/>
      <c r="AT2601" s="11" t="s">
        <v>261</v>
      </c>
    </row>
    <row r="2602" spans="1:46" ht="15.1" customHeight="1">
      <c r="A2602" s="8"/>
      <c r="B2602" s="9"/>
      <c r="C2602" s="8"/>
      <c r="D2602" s="9"/>
      <c r="E2602" s="8">
        <v>2</v>
      </c>
      <c r="F2602" s="8">
        <v>2</v>
      </c>
      <c r="G2602" s="8">
        <v>0</v>
      </c>
      <c r="H2602" s="8">
        <v>2</v>
      </c>
      <c r="I2602" s="8">
        <v>2</v>
      </c>
      <c r="J2602" s="8">
        <v>2</v>
      </c>
      <c r="K2602" s="8">
        <v>0</v>
      </c>
      <c r="L2602" s="8">
        <v>0</v>
      </c>
      <c r="M2602" s="8">
        <v>2</v>
      </c>
      <c r="N2602" s="8">
        <v>0</v>
      </c>
      <c r="O2602" s="8">
        <v>0</v>
      </c>
      <c r="P2602" s="8">
        <v>0</v>
      </c>
      <c r="Q2602" s="8">
        <v>0</v>
      </c>
      <c r="R2602" s="8">
        <v>2</v>
      </c>
      <c r="S2602" s="8">
        <v>2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2</v>
      </c>
      <c r="AF2602" s="8">
        <v>2</v>
      </c>
      <c r="AG2602" s="8">
        <v>0</v>
      </c>
      <c r="AH2602" s="8">
        <v>0</v>
      </c>
      <c r="AI2602" s="8">
        <v>0</v>
      </c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11" t="s">
        <v>261</v>
      </c>
    </row>
    <row r="2603" spans="1:46" ht="15.1" customHeight="1">
      <c r="A2603" s="8"/>
      <c r="B2603" s="9"/>
      <c r="C2603" s="8"/>
      <c r="D2603" s="9"/>
      <c r="E2603" s="8">
        <v>2</v>
      </c>
      <c r="F2603" s="8">
        <v>2</v>
      </c>
      <c r="G2603" s="8">
        <v>0</v>
      </c>
      <c r="H2603" s="8">
        <v>2</v>
      </c>
      <c r="I2603" s="8">
        <v>2</v>
      </c>
      <c r="J2603" s="8">
        <v>2</v>
      </c>
      <c r="K2603" s="8">
        <v>0</v>
      </c>
      <c r="L2603" s="8">
        <v>0</v>
      </c>
      <c r="M2603" s="8">
        <v>11</v>
      </c>
      <c r="N2603" s="8">
        <v>0</v>
      </c>
      <c r="O2603" s="8">
        <v>0</v>
      </c>
      <c r="P2603" s="8">
        <v>0</v>
      </c>
      <c r="Q2603" s="8">
        <v>0</v>
      </c>
      <c r="R2603" s="8">
        <v>1</v>
      </c>
      <c r="S2603" s="8">
        <v>1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10.5</v>
      </c>
      <c r="AF2603" s="8">
        <v>11</v>
      </c>
      <c r="AG2603" s="8">
        <v>0</v>
      </c>
      <c r="AH2603" s="8">
        <v>0</v>
      </c>
      <c r="AI2603" s="8">
        <v>0</v>
      </c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11" t="s">
        <v>261</v>
      </c>
    </row>
    <row r="2604" spans="1:46" ht="15.1" customHeight="1">
      <c r="A2604" s="8">
        <v>867</v>
      </c>
      <c r="B2604" s="9" t="s">
        <v>1966</v>
      </c>
      <c r="C2604" s="8" t="s">
        <v>1967</v>
      </c>
      <c r="D2604" s="9" t="s">
        <v>451</v>
      </c>
      <c r="E2604" s="8" t="s">
        <v>54</v>
      </c>
      <c r="F2604" s="8" t="s">
        <v>54</v>
      </c>
      <c r="G2604" s="10" t="s">
        <v>67</v>
      </c>
      <c r="H2604" s="8" t="s">
        <v>54</v>
      </c>
      <c r="I2604" s="8" t="s">
        <v>54</v>
      </c>
      <c r="J2604" s="12" t="s">
        <v>55</v>
      </c>
      <c r="K2604" s="8" t="s">
        <v>54</v>
      </c>
      <c r="L2604" s="8" t="s">
        <v>54</v>
      </c>
      <c r="M2604" s="8" t="s">
        <v>54</v>
      </c>
      <c r="N2604" s="10" t="s">
        <v>67</v>
      </c>
      <c r="O2604" s="8" t="s">
        <v>54</v>
      </c>
      <c r="P2604" s="8" t="s">
        <v>54</v>
      </c>
      <c r="Q2604" s="8" t="s">
        <v>54</v>
      </c>
      <c r="R2604" s="8" t="s">
        <v>54</v>
      </c>
      <c r="S2604" s="8" t="s">
        <v>54</v>
      </c>
      <c r="T2604" s="8" t="s">
        <v>54</v>
      </c>
      <c r="U2604" s="10" t="s">
        <v>67</v>
      </c>
      <c r="V2604" s="12" t="s">
        <v>55</v>
      </c>
      <c r="W2604" s="12" t="s">
        <v>55</v>
      </c>
      <c r="X2604" s="8" t="s">
        <v>54</v>
      </c>
      <c r="Y2604" s="8" t="s">
        <v>54</v>
      </c>
      <c r="Z2604" s="8" t="s">
        <v>54</v>
      </c>
      <c r="AA2604" s="12" t="s">
        <v>55</v>
      </c>
      <c r="AB2604" s="10" t="s">
        <v>67</v>
      </c>
      <c r="AC2604" s="8" t="s">
        <v>54</v>
      </c>
      <c r="AD2604" s="8" t="s">
        <v>54</v>
      </c>
      <c r="AE2604" s="8" t="s">
        <v>54</v>
      </c>
      <c r="AF2604" s="8" t="s">
        <v>54</v>
      </c>
      <c r="AG2604" s="8" t="s">
        <v>54</v>
      </c>
      <c r="AH2604" s="8" t="s">
        <v>54</v>
      </c>
      <c r="AI2604" s="10" t="s">
        <v>67</v>
      </c>
      <c r="AJ2604" s="8">
        <f>COUNTIF($E$2604:$AI$2604,"P")</f>
        <v>22</v>
      </c>
      <c r="AK2604" s="8">
        <f>COUNTIF($E$2604:$AI$2604,"A")</f>
        <v>4</v>
      </c>
      <c r="AL2604" s="8">
        <f>SUM($E$2605:$AI$2605)</f>
        <v>30</v>
      </c>
      <c r="AM2604" s="8">
        <f>SUM($E$2606:$AI$2606)</f>
        <v>67.5</v>
      </c>
      <c r="AN2604" s="8">
        <f>AL2604+AM2604</f>
        <v>97.5</v>
      </c>
      <c r="AO2604" s="8">
        <f>COUNTIF($E$2604:$AI$2604,"CL")</f>
        <v>0</v>
      </c>
      <c r="AP2604" s="8">
        <f>COUNTIF($E$2604:$AI$2604,"SL")</f>
        <v>0</v>
      </c>
      <c r="AQ2604" s="8">
        <f>COUNTIF($E$2604:$AI$2604,"EL")</f>
        <v>0</v>
      </c>
      <c r="AR2604" s="8">
        <f>COUNTIF($E$2604:$AI$2604,"H")</f>
        <v>0</v>
      </c>
      <c r="AS2604" s="8"/>
      <c r="AT2604" s="11" t="s">
        <v>261</v>
      </c>
    </row>
    <row r="2605" spans="1:46" ht="15.1" customHeight="1">
      <c r="A2605" s="8"/>
      <c r="B2605" s="9"/>
      <c r="C2605" s="8"/>
      <c r="D2605" s="9"/>
      <c r="E2605" s="8">
        <v>2</v>
      </c>
      <c r="F2605" s="8">
        <v>2</v>
      </c>
      <c r="G2605" s="8">
        <v>0</v>
      </c>
      <c r="H2605" s="8">
        <v>2</v>
      </c>
      <c r="I2605" s="8">
        <v>2</v>
      </c>
      <c r="J2605" s="8">
        <v>0</v>
      </c>
      <c r="K2605" s="8">
        <v>2</v>
      </c>
      <c r="L2605" s="8">
        <v>2</v>
      </c>
      <c r="M2605" s="8">
        <v>2</v>
      </c>
      <c r="N2605" s="8">
        <v>0</v>
      </c>
      <c r="O2605" s="8">
        <v>2</v>
      </c>
      <c r="P2605" s="8">
        <v>2</v>
      </c>
      <c r="Q2605" s="8">
        <v>2</v>
      </c>
      <c r="R2605" s="8">
        <v>2</v>
      </c>
      <c r="S2605" s="8">
        <v>2</v>
      </c>
      <c r="T2605" s="8">
        <v>2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2</v>
      </c>
      <c r="AF2605" s="8">
        <v>2</v>
      </c>
      <c r="AG2605" s="8">
        <v>0</v>
      </c>
      <c r="AH2605" s="8">
        <v>0</v>
      </c>
      <c r="AI2605" s="8">
        <v>0</v>
      </c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11" t="s">
        <v>261</v>
      </c>
    </row>
    <row r="2606" spans="1:46" ht="15.1" customHeight="1">
      <c r="A2606" s="8"/>
      <c r="B2606" s="9"/>
      <c r="C2606" s="8"/>
      <c r="D2606" s="9"/>
      <c r="E2606" s="8">
        <v>2</v>
      </c>
      <c r="F2606" s="8">
        <v>2</v>
      </c>
      <c r="G2606" s="8">
        <v>12</v>
      </c>
      <c r="H2606" s="8">
        <v>2</v>
      </c>
      <c r="I2606" s="8">
        <v>1</v>
      </c>
      <c r="J2606" s="8">
        <v>0</v>
      </c>
      <c r="K2606" s="8">
        <v>2</v>
      </c>
      <c r="L2606" s="8">
        <v>2</v>
      </c>
      <c r="M2606" s="8">
        <v>2</v>
      </c>
      <c r="N2606" s="8">
        <v>0</v>
      </c>
      <c r="O2606" s="8">
        <v>1</v>
      </c>
      <c r="P2606" s="8">
        <v>1</v>
      </c>
      <c r="Q2606" s="8">
        <v>1</v>
      </c>
      <c r="R2606" s="8">
        <v>1</v>
      </c>
      <c r="S2606" s="8">
        <v>1</v>
      </c>
      <c r="T2606" s="8">
        <v>11</v>
      </c>
      <c r="U2606" s="8">
        <v>5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11</v>
      </c>
      <c r="AF2606" s="8">
        <v>10.5</v>
      </c>
      <c r="AG2606" s="8">
        <v>0</v>
      </c>
      <c r="AH2606" s="8">
        <v>0</v>
      </c>
      <c r="AI2606" s="8">
        <v>0</v>
      </c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11" t="s">
        <v>261</v>
      </c>
    </row>
    <row r="2607" spans="1:46" ht="15.1" customHeight="1">
      <c r="A2607" s="8">
        <v>868</v>
      </c>
      <c r="B2607" s="9" t="s">
        <v>1968</v>
      </c>
      <c r="C2607" s="8" t="s">
        <v>1969</v>
      </c>
      <c r="D2607" s="9" t="s">
        <v>451</v>
      </c>
      <c r="E2607" s="8" t="s">
        <v>54</v>
      </c>
      <c r="F2607" s="8" t="s">
        <v>54</v>
      </c>
      <c r="G2607" s="10" t="s">
        <v>67</v>
      </c>
      <c r="H2607" s="8" t="s">
        <v>54</v>
      </c>
      <c r="I2607" s="8" t="s">
        <v>54</v>
      </c>
      <c r="J2607" s="8" t="s">
        <v>54</v>
      </c>
      <c r="K2607" s="8" t="s">
        <v>54</v>
      </c>
      <c r="L2607" s="8" t="s">
        <v>54</v>
      </c>
      <c r="M2607" s="8" t="s">
        <v>54</v>
      </c>
      <c r="N2607" s="10" t="s">
        <v>67</v>
      </c>
      <c r="O2607" s="8" t="s">
        <v>54</v>
      </c>
      <c r="P2607" s="8" t="s">
        <v>54</v>
      </c>
      <c r="Q2607" s="8" t="s">
        <v>54</v>
      </c>
      <c r="R2607" s="8" t="s">
        <v>54</v>
      </c>
      <c r="S2607" s="8" t="s">
        <v>54</v>
      </c>
      <c r="T2607" s="8" t="s">
        <v>54</v>
      </c>
      <c r="U2607" s="10" t="s">
        <v>67</v>
      </c>
      <c r="V2607" s="8" t="s">
        <v>54</v>
      </c>
      <c r="W2607" s="12" t="s">
        <v>55</v>
      </c>
      <c r="X2607" s="12" t="s">
        <v>55</v>
      </c>
      <c r="Y2607" s="12" t="s">
        <v>55</v>
      </c>
      <c r="Z2607" s="8" t="s">
        <v>54</v>
      </c>
      <c r="AA2607" s="12" t="s">
        <v>55</v>
      </c>
      <c r="AB2607" s="10" t="s">
        <v>67</v>
      </c>
      <c r="AC2607" s="8" t="s">
        <v>54</v>
      </c>
      <c r="AD2607" s="8" t="s">
        <v>54</v>
      </c>
      <c r="AE2607" s="8" t="s">
        <v>54</v>
      </c>
      <c r="AF2607" s="8" t="s">
        <v>54</v>
      </c>
      <c r="AG2607" s="8" t="s">
        <v>54</v>
      </c>
      <c r="AH2607" s="12" t="s">
        <v>55</v>
      </c>
      <c r="AI2607" s="10" t="s">
        <v>67</v>
      </c>
      <c r="AJ2607" s="8">
        <f>COUNTIF($E$2607:$AI$2607,"P")</f>
        <v>21</v>
      </c>
      <c r="AK2607" s="8">
        <f>COUNTIF($E$2607:$AI$2607,"A")</f>
        <v>5</v>
      </c>
      <c r="AL2607" s="8">
        <f>SUM($E$2608:$AI$2608)</f>
        <v>24</v>
      </c>
      <c r="AM2607" s="8">
        <f>SUM($E$2609:$AI$2609)</f>
        <v>73.5</v>
      </c>
      <c r="AN2607" s="8">
        <f>AL2607+AM2607</f>
        <v>97.5</v>
      </c>
      <c r="AO2607" s="8">
        <f>COUNTIF($E$2607:$AI$2607,"CL")</f>
        <v>0</v>
      </c>
      <c r="AP2607" s="8">
        <f>COUNTIF($E$2607:$AI$2607,"SL")</f>
        <v>0</v>
      </c>
      <c r="AQ2607" s="8">
        <f>COUNTIF($E$2607:$AI$2607,"EL")</f>
        <v>0</v>
      </c>
      <c r="AR2607" s="8">
        <f>COUNTIF($E$2607:$AI$2607,"H")</f>
        <v>0</v>
      </c>
      <c r="AS2607" s="8"/>
      <c r="AT2607" s="11" t="s">
        <v>261</v>
      </c>
    </row>
    <row r="2608" spans="1:46" ht="15.1" customHeight="1">
      <c r="A2608" s="8"/>
      <c r="B2608" s="9"/>
      <c r="C2608" s="8"/>
      <c r="D2608" s="9"/>
      <c r="E2608" s="8">
        <v>2</v>
      </c>
      <c r="F2608" s="8">
        <v>2</v>
      </c>
      <c r="G2608" s="8">
        <v>0</v>
      </c>
      <c r="H2608" s="8">
        <v>0</v>
      </c>
      <c r="I2608" s="8">
        <v>2</v>
      </c>
      <c r="J2608" s="8">
        <v>2</v>
      </c>
      <c r="K2608" s="8">
        <v>0</v>
      </c>
      <c r="L2608" s="8">
        <v>0</v>
      </c>
      <c r="M2608" s="8">
        <v>2</v>
      </c>
      <c r="N2608" s="8">
        <v>0</v>
      </c>
      <c r="O2608" s="8">
        <v>2</v>
      </c>
      <c r="P2608" s="8">
        <v>2</v>
      </c>
      <c r="Q2608" s="8">
        <v>0</v>
      </c>
      <c r="R2608" s="8">
        <v>2</v>
      </c>
      <c r="S2608" s="8">
        <v>2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2</v>
      </c>
      <c r="AD2608" s="8">
        <v>0</v>
      </c>
      <c r="AE2608" s="8">
        <v>2</v>
      </c>
      <c r="AF2608" s="8">
        <v>2</v>
      </c>
      <c r="AG2608" s="8">
        <v>0</v>
      </c>
      <c r="AH2608" s="8">
        <v>0</v>
      </c>
      <c r="AI2608" s="8">
        <v>0</v>
      </c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11" t="s">
        <v>261</v>
      </c>
    </row>
    <row r="2609" spans="1:46" ht="15.1" customHeight="1">
      <c r="A2609" s="8"/>
      <c r="B2609" s="9"/>
      <c r="C2609" s="8"/>
      <c r="D2609" s="9"/>
      <c r="E2609" s="8">
        <v>2</v>
      </c>
      <c r="F2609" s="8">
        <v>2</v>
      </c>
      <c r="G2609" s="8">
        <v>0</v>
      </c>
      <c r="H2609" s="8">
        <v>0</v>
      </c>
      <c r="I2609" s="8">
        <v>2</v>
      </c>
      <c r="J2609" s="8">
        <v>2</v>
      </c>
      <c r="K2609" s="8">
        <v>0</v>
      </c>
      <c r="L2609" s="8">
        <v>0</v>
      </c>
      <c r="M2609" s="8">
        <v>11.5</v>
      </c>
      <c r="N2609" s="8">
        <v>12</v>
      </c>
      <c r="O2609" s="8">
        <v>1</v>
      </c>
      <c r="P2609" s="8">
        <v>1</v>
      </c>
      <c r="Q2609" s="8">
        <v>0</v>
      </c>
      <c r="R2609" s="8">
        <v>1</v>
      </c>
      <c r="S2609" s="8">
        <v>1</v>
      </c>
      <c r="T2609" s="8">
        <v>0</v>
      </c>
      <c r="U2609" s="8">
        <v>5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11</v>
      </c>
      <c r="AD2609" s="8">
        <v>0</v>
      </c>
      <c r="AE2609" s="8">
        <v>11</v>
      </c>
      <c r="AF2609" s="8">
        <v>11</v>
      </c>
      <c r="AG2609" s="8">
        <v>0</v>
      </c>
      <c r="AH2609" s="8">
        <v>0</v>
      </c>
      <c r="AI2609" s="8">
        <v>0</v>
      </c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11" t="s">
        <v>261</v>
      </c>
    </row>
    <row r="2610" spans="1:46" ht="15.1" customHeight="1">
      <c r="A2610" s="8">
        <v>869</v>
      </c>
      <c r="B2610" s="9" t="s">
        <v>1970</v>
      </c>
      <c r="C2610" s="8" t="s">
        <v>1971</v>
      </c>
      <c r="D2610" s="9" t="s">
        <v>451</v>
      </c>
      <c r="E2610" s="8" t="s">
        <v>54</v>
      </c>
      <c r="F2610" s="8" t="s">
        <v>54</v>
      </c>
      <c r="G2610" s="10" t="s">
        <v>67</v>
      </c>
      <c r="H2610" s="8" t="s">
        <v>54</v>
      </c>
      <c r="I2610" s="8" t="s">
        <v>54</v>
      </c>
      <c r="J2610" s="8" t="s">
        <v>54</v>
      </c>
      <c r="K2610" s="8" t="s">
        <v>54</v>
      </c>
      <c r="L2610" s="8" t="s">
        <v>54</v>
      </c>
      <c r="M2610" s="8" t="s">
        <v>54</v>
      </c>
      <c r="N2610" s="10" t="s">
        <v>67</v>
      </c>
      <c r="O2610" s="8" t="s">
        <v>54</v>
      </c>
      <c r="P2610" s="8" t="s">
        <v>54</v>
      </c>
      <c r="Q2610" s="8" t="s">
        <v>54</v>
      </c>
      <c r="R2610" s="8" t="s">
        <v>54</v>
      </c>
      <c r="S2610" s="8" t="s">
        <v>54</v>
      </c>
      <c r="T2610" s="8" t="s">
        <v>54</v>
      </c>
      <c r="U2610" s="10" t="s">
        <v>67</v>
      </c>
      <c r="V2610" s="8" t="s">
        <v>54</v>
      </c>
      <c r="W2610" s="8" t="s">
        <v>54</v>
      </c>
      <c r="X2610" s="8" t="s">
        <v>54</v>
      </c>
      <c r="Y2610" s="8" t="s">
        <v>54</v>
      </c>
      <c r="Z2610" s="8" t="s">
        <v>54</v>
      </c>
      <c r="AA2610" s="8" t="s">
        <v>54</v>
      </c>
      <c r="AB2610" s="10" t="s">
        <v>67</v>
      </c>
      <c r="AC2610" s="8" t="s">
        <v>54</v>
      </c>
      <c r="AD2610" s="8" t="s">
        <v>54</v>
      </c>
      <c r="AE2610" s="8" t="s">
        <v>54</v>
      </c>
      <c r="AF2610" s="8" t="s">
        <v>54</v>
      </c>
      <c r="AG2610" s="8" t="s">
        <v>54</v>
      </c>
      <c r="AH2610" s="8" t="s">
        <v>54</v>
      </c>
      <c r="AI2610" s="10" t="s">
        <v>67</v>
      </c>
      <c r="AJ2610" s="8">
        <f>COUNTIF($E$2610:$AI$2610,"P")</f>
        <v>26</v>
      </c>
      <c r="AK2610" s="8">
        <f>COUNTIF($E$2610:$AI$2610,"A")</f>
        <v>0</v>
      </c>
      <c r="AL2610" s="8">
        <f>SUM($E$2611:$AI$2611)</f>
        <v>29</v>
      </c>
      <c r="AM2610" s="8">
        <f>SUM($E$2612:$AI$2612)</f>
        <v>88</v>
      </c>
      <c r="AN2610" s="8">
        <f>AL2610+AM2610</f>
        <v>117</v>
      </c>
      <c r="AO2610" s="8">
        <f>COUNTIF($E$2610:$AI$2610,"CL")</f>
        <v>0</v>
      </c>
      <c r="AP2610" s="8">
        <f>COUNTIF($E$2610:$AI$2610,"SL")</f>
        <v>0</v>
      </c>
      <c r="AQ2610" s="8">
        <f>COUNTIF($E$2610:$AI$2610,"EL")</f>
        <v>0</v>
      </c>
      <c r="AR2610" s="8">
        <f>COUNTIF($E$2610:$AI$2610,"H")</f>
        <v>0</v>
      </c>
      <c r="AS2610" s="8"/>
      <c r="AT2610" s="11" t="s">
        <v>261</v>
      </c>
    </row>
    <row r="2611" spans="1:46" ht="15.1" customHeight="1">
      <c r="A2611" s="8"/>
      <c r="B2611" s="9"/>
      <c r="C2611" s="8"/>
      <c r="D2611" s="9"/>
      <c r="E2611" s="8">
        <v>2</v>
      </c>
      <c r="F2611" s="8">
        <v>2</v>
      </c>
      <c r="G2611" s="8">
        <v>0</v>
      </c>
      <c r="H2611" s="8">
        <v>2</v>
      </c>
      <c r="I2611" s="8">
        <v>2</v>
      </c>
      <c r="J2611" s="8">
        <v>2</v>
      </c>
      <c r="K2611" s="8">
        <v>2</v>
      </c>
      <c r="L2611" s="8">
        <v>2</v>
      </c>
      <c r="M2611" s="8">
        <v>2</v>
      </c>
      <c r="N2611" s="8">
        <v>0</v>
      </c>
      <c r="O2611" s="8">
        <v>2</v>
      </c>
      <c r="P2611" s="8">
        <v>2</v>
      </c>
      <c r="Q2611" s="8">
        <v>2</v>
      </c>
      <c r="R2611" s="8">
        <v>2</v>
      </c>
      <c r="S2611" s="8">
        <v>1</v>
      </c>
      <c r="T2611" s="8">
        <v>0</v>
      </c>
      <c r="U2611" s="8">
        <v>0</v>
      </c>
      <c r="V2611" s="8">
        <v>0</v>
      </c>
      <c r="W2611" s="8">
        <v>0</v>
      </c>
      <c r="X2611" s="8">
        <v>0</v>
      </c>
      <c r="Y2611" s="8">
        <v>2</v>
      </c>
      <c r="Z2611" s="8">
        <v>2</v>
      </c>
      <c r="AA2611" s="8">
        <v>0</v>
      </c>
      <c r="AB2611" s="8">
        <v>0</v>
      </c>
      <c r="AC2611" s="8">
        <v>0</v>
      </c>
      <c r="AD2611" s="8">
        <v>0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11" t="s">
        <v>261</v>
      </c>
    </row>
    <row r="2612" spans="1:46" ht="15.1" customHeight="1">
      <c r="A2612" s="8"/>
      <c r="B2612" s="9"/>
      <c r="C2612" s="8"/>
      <c r="D2612" s="9"/>
      <c r="E2612" s="8">
        <v>4</v>
      </c>
      <c r="F2612" s="8">
        <v>3</v>
      </c>
      <c r="G2612" s="8">
        <v>0</v>
      </c>
      <c r="H2612" s="8">
        <v>4</v>
      </c>
      <c r="I2612" s="8">
        <v>5</v>
      </c>
      <c r="J2612" s="8">
        <v>5</v>
      </c>
      <c r="K2612" s="8">
        <v>5</v>
      </c>
      <c r="L2612" s="8">
        <v>4</v>
      </c>
      <c r="M2612" s="8">
        <v>4.5</v>
      </c>
      <c r="N2612" s="8">
        <v>15</v>
      </c>
      <c r="O2612" s="8">
        <v>1</v>
      </c>
      <c r="P2612" s="8">
        <v>1</v>
      </c>
      <c r="Q2612" s="8">
        <v>1</v>
      </c>
      <c r="R2612" s="8">
        <v>10</v>
      </c>
      <c r="S2612" s="8">
        <v>0</v>
      </c>
      <c r="T2612" s="8">
        <v>0</v>
      </c>
      <c r="U2612" s="8">
        <v>5</v>
      </c>
      <c r="V2612" s="8">
        <v>0</v>
      </c>
      <c r="W2612" s="8">
        <v>0</v>
      </c>
      <c r="X2612" s="8">
        <v>0</v>
      </c>
      <c r="Y2612" s="8">
        <v>9.5</v>
      </c>
      <c r="Z2612" s="8">
        <v>11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11" t="s">
        <v>261</v>
      </c>
    </row>
    <row r="2613" spans="1:46" ht="15.1" customHeight="1">
      <c r="A2613" s="8">
        <v>870</v>
      </c>
      <c r="B2613" s="9" t="s">
        <v>1972</v>
      </c>
      <c r="C2613" s="8" t="s">
        <v>1973</v>
      </c>
      <c r="D2613" s="9" t="s">
        <v>451</v>
      </c>
      <c r="E2613" s="8" t="s">
        <v>54</v>
      </c>
      <c r="F2613" s="8" t="s">
        <v>54</v>
      </c>
      <c r="G2613" s="10" t="s">
        <v>67</v>
      </c>
      <c r="H2613" s="8" t="s">
        <v>54</v>
      </c>
      <c r="I2613" s="8" t="s">
        <v>54</v>
      </c>
      <c r="J2613" s="8" t="s">
        <v>54</v>
      </c>
      <c r="K2613" s="8" t="s">
        <v>54</v>
      </c>
      <c r="L2613" s="8" t="s">
        <v>54</v>
      </c>
      <c r="M2613" s="8" t="s">
        <v>54</v>
      </c>
      <c r="N2613" s="10" t="s">
        <v>67</v>
      </c>
      <c r="O2613" s="8" t="s">
        <v>54</v>
      </c>
      <c r="P2613" s="8" t="s">
        <v>54</v>
      </c>
      <c r="Q2613" s="8" t="s">
        <v>54</v>
      </c>
      <c r="R2613" s="8" t="s">
        <v>54</v>
      </c>
      <c r="S2613" s="8" t="s">
        <v>54</v>
      </c>
      <c r="T2613" s="8" t="s">
        <v>54</v>
      </c>
      <c r="U2613" s="10" t="s">
        <v>67</v>
      </c>
      <c r="V2613" s="8" t="s">
        <v>54</v>
      </c>
      <c r="W2613" s="8" t="s">
        <v>54</v>
      </c>
      <c r="X2613" s="8" t="s">
        <v>54</v>
      </c>
      <c r="Y2613" s="8" t="s">
        <v>54</v>
      </c>
      <c r="Z2613" s="8" t="s">
        <v>54</v>
      </c>
      <c r="AA2613" s="8" t="s">
        <v>54</v>
      </c>
      <c r="AB2613" s="10" t="s">
        <v>67</v>
      </c>
      <c r="AC2613" s="8" t="s">
        <v>54</v>
      </c>
      <c r="AD2613" s="8" t="s">
        <v>54</v>
      </c>
      <c r="AE2613" s="8" t="s">
        <v>54</v>
      </c>
      <c r="AF2613" s="8" t="s">
        <v>54</v>
      </c>
      <c r="AG2613" s="8" t="s">
        <v>54</v>
      </c>
      <c r="AH2613" s="8" t="s">
        <v>54</v>
      </c>
      <c r="AI2613" s="10" t="s">
        <v>67</v>
      </c>
      <c r="AJ2613" s="8">
        <f>COUNTIF($E$2613:$AI$2613,"P")</f>
        <v>26</v>
      </c>
      <c r="AK2613" s="8">
        <f>COUNTIF($E$2613:$AI$2613,"A")</f>
        <v>0</v>
      </c>
      <c r="AL2613" s="8">
        <f>SUM($E$2614:$AI$2614)</f>
        <v>44</v>
      </c>
      <c r="AM2613" s="8">
        <f>SUM($E$2615:$AI$2615)</f>
        <v>137</v>
      </c>
      <c r="AN2613" s="8">
        <f>AL2613+AM2613</f>
        <v>181</v>
      </c>
      <c r="AO2613" s="8">
        <f>COUNTIF($E$2613:$AI$2613,"CL")</f>
        <v>0</v>
      </c>
      <c r="AP2613" s="8">
        <f>COUNTIF($E$2613:$AI$2613,"SL")</f>
        <v>0</v>
      </c>
      <c r="AQ2613" s="8">
        <f>COUNTIF($E$2613:$AI$2613,"EL")</f>
        <v>0</v>
      </c>
      <c r="AR2613" s="8">
        <f>COUNTIF($E$2613:$AI$2613,"H")</f>
        <v>0</v>
      </c>
      <c r="AS2613" s="8"/>
      <c r="AT2613" s="11" t="s">
        <v>261</v>
      </c>
    </row>
    <row r="2614" spans="1:46" ht="15.1" customHeight="1">
      <c r="A2614" s="8"/>
      <c r="B2614" s="9"/>
      <c r="C2614" s="8"/>
      <c r="D2614" s="9"/>
      <c r="E2614" s="8">
        <v>2</v>
      </c>
      <c r="F2614" s="8">
        <v>2</v>
      </c>
      <c r="G2614" s="8">
        <v>0</v>
      </c>
      <c r="H2614" s="8">
        <v>2</v>
      </c>
      <c r="I2614" s="8">
        <v>2</v>
      </c>
      <c r="J2614" s="8">
        <v>2</v>
      </c>
      <c r="K2614" s="8">
        <v>2</v>
      </c>
      <c r="L2614" s="8">
        <v>2</v>
      </c>
      <c r="M2614" s="8">
        <v>2</v>
      </c>
      <c r="N2614" s="8">
        <v>0</v>
      </c>
      <c r="O2614" s="8">
        <v>2</v>
      </c>
      <c r="P2614" s="8">
        <v>2</v>
      </c>
      <c r="Q2614" s="8">
        <v>2</v>
      </c>
      <c r="R2614" s="8">
        <v>2</v>
      </c>
      <c r="S2614" s="8">
        <v>2</v>
      </c>
      <c r="T2614" s="8">
        <v>2</v>
      </c>
      <c r="U2614" s="8">
        <v>0</v>
      </c>
      <c r="V2614" s="8">
        <v>2</v>
      </c>
      <c r="W2614" s="8">
        <v>0</v>
      </c>
      <c r="X2614" s="8">
        <v>0</v>
      </c>
      <c r="Y2614" s="8">
        <v>2</v>
      </c>
      <c r="Z2614" s="8">
        <v>2</v>
      </c>
      <c r="AA2614" s="8">
        <v>0</v>
      </c>
      <c r="AB2614" s="8">
        <v>0</v>
      </c>
      <c r="AC2614" s="8">
        <v>2</v>
      </c>
      <c r="AD2614" s="8">
        <v>2</v>
      </c>
      <c r="AE2614" s="8">
        <v>2</v>
      </c>
      <c r="AF2614" s="8">
        <v>2</v>
      </c>
      <c r="AG2614" s="8">
        <v>2</v>
      </c>
      <c r="AH2614" s="8">
        <v>0</v>
      </c>
      <c r="AI2614" s="8">
        <v>0</v>
      </c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11" t="s">
        <v>261</v>
      </c>
    </row>
    <row r="2615" spans="1:46" ht="15.1" customHeight="1">
      <c r="A2615" s="8"/>
      <c r="B2615" s="9"/>
      <c r="C2615" s="8"/>
      <c r="D2615" s="9"/>
      <c r="E2615" s="8">
        <v>2</v>
      </c>
      <c r="F2615" s="8">
        <v>2</v>
      </c>
      <c r="G2615" s="8">
        <v>12</v>
      </c>
      <c r="H2615" s="8">
        <v>2</v>
      </c>
      <c r="I2615" s="8">
        <v>2</v>
      </c>
      <c r="J2615" s="8">
        <v>2</v>
      </c>
      <c r="K2615" s="8">
        <v>2</v>
      </c>
      <c r="L2615" s="8">
        <v>2</v>
      </c>
      <c r="M2615" s="8">
        <v>11</v>
      </c>
      <c r="N2615" s="8">
        <v>0</v>
      </c>
      <c r="O2615" s="8">
        <v>1</v>
      </c>
      <c r="P2615" s="8">
        <v>1</v>
      </c>
      <c r="Q2615" s="8">
        <v>1</v>
      </c>
      <c r="R2615" s="8">
        <v>1</v>
      </c>
      <c r="S2615" s="8">
        <v>0</v>
      </c>
      <c r="T2615" s="8">
        <v>11</v>
      </c>
      <c r="U2615" s="8">
        <v>5</v>
      </c>
      <c r="V2615" s="8">
        <v>9</v>
      </c>
      <c r="W2615" s="8">
        <v>0</v>
      </c>
      <c r="X2615" s="8">
        <v>0</v>
      </c>
      <c r="Y2615" s="8">
        <v>10</v>
      </c>
      <c r="Z2615" s="8">
        <v>11</v>
      </c>
      <c r="AA2615" s="8">
        <v>0</v>
      </c>
      <c r="AB2615" s="8">
        <v>0</v>
      </c>
      <c r="AC2615" s="8">
        <v>10</v>
      </c>
      <c r="AD2615" s="8">
        <v>9</v>
      </c>
      <c r="AE2615" s="8">
        <v>11</v>
      </c>
      <c r="AF2615" s="8">
        <v>10.5</v>
      </c>
      <c r="AG2615" s="8">
        <v>9.5</v>
      </c>
      <c r="AH2615" s="8">
        <v>0</v>
      </c>
      <c r="AI2615" s="8">
        <v>0</v>
      </c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11" t="s">
        <v>261</v>
      </c>
    </row>
    <row r="2616" spans="1:46" ht="15.1" customHeight="1">
      <c r="A2616" s="8">
        <v>871</v>
      </c>
      <c r="B2616" s="9" t="s">
        <v>1974</v>
      </c>
      <c r="C2616" s="8" t="s">
        <v>1975</v>
      </c>
      <c r="D2616" s="9" t="s">
        <v>451</v>
      </c>
      <c r="E2616" s="8" t="s">
        <v>54</v>
      </c>
      <c r="F2616" s="8" t="s">
        <v>54</v>
      </c>
      <c r="G2616" s="10" t="s">
        <v>67</v>
      </c>
      <c r="H2616" s="8" t="s">
        <v>54</v>
      </c>
      <c r="I2616" s="8" t="s">
        <v>54</v>
      </c>
      <c r="J2616" s="8" t="s">
        <v>54</v>
      </c>
      <c r="K2616" s="8" t="s">
        <v>54</v>
      </c>
      <c r="L2616" s="8" t="s">
        <v>54</v>
      </c>
      <c r="M2616" s="8" t="s">
        <v>54</v>
      </c>
      <c r="N2616" s="10" t="s">
        <v>67</v>
      </c>
      <c r="O2616" s="8" t="s">
        <v>54</v>
      </c>
      <c r="P2616" s="8" t="s">
        <v>54</v>
      </c>
      <c r="Q2616" s="8" t="s">
        <v>54</v>
      </c>
      <c r="R2616" s="8" t="s">
        <v>54</v>
      </c>
      <c r="S2616" s="8" t="s">
        <v>54</v>
      </c>
      <c r="T2616" s="8" t="s">
        <v>54</v>
      </c>
      <c r="U2616" s="10" t="s">
        <v>67</v>
      </c>
      <c r="V2616" s="8" t="s">
        <v>54</v>
      </c>
      <c r="W2616" s="8" t="s">
        <v>54</v>
      </c>
      <c r="X2616" s="8" t="s">
        <v>54</v>
      </c>
      <c r="Y2616" s="8" t="s">
        <v>54</v>
      </c>
      <c r="Z2616" s="8" t="s">
        <v>54</v>
      </c>
      <c r="AA2616" s="12" t="s">
        <v>55</v>
      </c>
      <c r="AB2616" s="10" t="s">
        <v>67</v>
      </c>
      <c r="AC2616" s="8" t="s">
        <v>54</v>
      </c>
      <c r="AD2616" s="8" t="s">
        <v>54</v>
      </c>
      <c r="AE2616" s="8" t="s">
        <v>54</v>
      </c>
      <c r="AF2616" s="8" t="s">
        <v>54</v>
      </c>
      <c r="AG2616" s="8" t="s">
        <v>54</v>
      </c>
      <c r="AH2616" s="8" t="s">
        <v>54</v>
      </c>
      <c r="AI2616" s="10" t="s">
        <v>67</v>
      </c>
      <c r="AJ2616" s="8">
        <f>COUNTIF($E$2616:$AI$2616,"P")</f>
        <v>25</v>
      </c>
      <c r="AK2616" s="8">
        <f>COUNTIF($E$2616:$AI$2616,"A")</f>
        <v>1</v>
      </c>
      <c r="AL2616" s="8">
        <f>SUM($E$2617:$AI$2617)</f>
        <v>32</v>
      </c>
      <c r="AM2616" s="8">
        <f>SUM($E$2618:$AI$2618)</f>
        <v>88</v>
      </c>
      <c r="AN2616" s="8">
        <f>AL2616+AM2616</f>
        <v>120</v>
      </c>
      <c r="AO2616" s="8">
        <f>COUNTIF($E$2616:$AI$2616,"CL")</f>
        <v>0</v>
      </c>
      <c r="AP2616" s="8">
        <f>COUNTIF($E$2616:$AI$2616,"SL")</f>
        <v>0</v>
      </c>
      <c r="AQ2616" s="8">
        <f>COUNTIF($E$2616:$AI$2616,"EL")</f>
        <v>0</v>
      </c>
      <c r="AR2616" s="8">
        <f>COUNTIF($E$2616:$AI$2616,"H")</f>
        <v>0</v>
      </c>
      <c r="AS2616" s="8"/>
      <c r="AT2616" s="11" t="s">
        <v>261</v>
      </c>
    </row>
    <row r="2617" spans="1:46" ht="15.1" customHeight="1">
      <c r="A2617" s="8"/>
      <c r="B2617" s="9"/>
      <c r="C2617" s="8"/>
      <c r="D2617" s="9"/>
      <c r="E2617" s="8">
        <v>2</v>
      </c>
      <c r="F2617" s="8">
        <v>2</v>
      </c>
      <c r="G2617" s="8">
        <v>0</v>
      </c>
      <c r="H2617" s="8">
        <v>2</v>
      </c>
      <c r="I2617" s="8">
        <v>2</v>
      </c>
      <c r="J2617" s="8">
        <v>2</v>
      </c>
      <c r="K2617" s="8">
        <v>2</v>
      </c>
      <c r="L2617" s="8">
        <v>2</v>
      </c>
      <c r="M2617" s="8">
        <v>2</v>
      </c>
      <c r="N2617" s="8">
        <v>0</v>
      </c>
      <c r="O2617" s="8">
        <v>2</v>
      </c>
      <c r="P2617" s="8">
        <v>2</v>
      </c>
      <c r="Q2617" s="8">
        <v>0</v>
      </c>
      <c r="R2617" s="8">
        <v>2</v>
      </c>
      <c r="S2617" s="8">
        <v>2</v>
      </c>
      <c r="T2617" s="8">
        <v>2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2</v>
      </c>
      <c r="AF2617" s="8">
        <v>2</v>
      </c>
      <c r="AG2617" s="8">
        <v>2</v>
      </c>
      <c r="AH2617" s="8">
        <v>0</v>
      </c>
      <c r="AI2617" s="8">
        <v>0</v>
      </c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11" t="s">
        <v>261</v>
      </c>
    </row>
    <row r="2618" spans="1:46" ht="15.1" customHeight="1">
      <c r="A2618" s="8"/>
      <c r="B2618" s="9"/>
      <c r="C2618" s="8"/>
      <c r="D2618" s="9"/>
      <c r="E2618" s="8">
        <v>2</v>
      </c>
      <c r="F2618" s="8">
        <v>2</v>
      </c>
      <c r="G2618" s="8">
        <v>12</v>
      </c>
      <c r="H2618" s="8">
        <v>2</v>
      </c>
      <c r="I2618" s="8">
        <v>2</v>
      </c>
      <c r="J2618" s="8">
        <v>2</v>
      </c>
      <c r="K2618" s="8">
        <v>2</v>
      </c>
      <c r="L2618" s="8">
        <v>2</v>
      </c>
      <c r="M2618" s="8">
        <v>11.5</v>
      </c>
      <c r="N2618" s="8">
        <v>0</v>
      </c>
      <c r="O2618" s="8">
        <v>1</v>
      </c>
      <c r="P2618" s="8">
        <v>1</v>
      </c>
      <c r="Q2618" s="8">
        <v>0</v>
      </c>
      <c r="R2618" s="8">
        <v>1</v>
      </c>
      <c r="S2618" s="8">
        <v>1</v>
      </c>
      <c r="T2618" s="8">
        <v>11</v>
      </c>
      <c r="U2618" s="8">
        <v>5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10.5</v>
      </c>
      <c r="AF2618" s="8">
        <v>10.5</v>
      </c>
      <c r="AG2618" s="8">
        <v>9.5</v>
      </c>
      <c r="AH2618" s="8">
        <v>0</v>
      </c>
      <c r="AI2618" s="8">
        <v>0</v>
      </c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11" t="s">
        <v>261</v>
      </c>
    </row>
    <row r="2619" spans="1:46" ht="15.1" customHeight="1">
      <c r="A2619" s="8">
        <v>872</v>
      </c>
      <c r="B2619" s="9" t="s">
        <v>1976</v>
      </c>
      <c r="C2619" s="8" t="s">
        <v>1977</v>
      </c>
      <c r="D2619" s="9" t="s">
        <v>451</v>
      </c>
      <c r="E2619" s="8" t="s">
        <v>54</v>
      </c>
      <c r="F2619" s="8" t="s">
        <v>54</v>
      </c>
      <c r="G2619" s="10" t="s">
        <v>67</v>
      </c>
      <c r="H2619" s="8" t="s">
        <v>54</v>
      </c>
      <c r="I2619" s="8" t="s">
        <v>54</v>
      </c>
      <c r="J2619" s="8" t="s">
        <v>54</v>
      </c>
      <c r="K2619" s="8" t="s">
        <v>54</v>
      </c>
      <c r="L2619" s="8" t="s">
        <v>54</v>
      </c>
      <c r="M2619" s="8" t="s">
        <v>54</v>
      </c>
      <c r="N2619" s="10" t="s">
        <v>67</v>
      </c>
      <c r="O2619" s="8" t="s">
        <v>54</v>
      </c>
      <c r="P2619" s="8" t="s">
        <v>54</v>
      </c>
      <c r="Q2619" s="8" t="s">
        <v>54</v>
      </c>
      <c r="R2619" s="8" t="s">
        <v>54</v>
      </c>
      <c r="S2619" s="8" t="s">
        <v>54</v>
      </c>
      <c r="T2619" s="8" t="s">
        <v>54</v>
      </c>
      <c r="U2619" s="10" t="s">
        <v>67</v>
      </c>
      <c r="V2619" s="8" t="s">
        <v>54</v>
      </c>
      <c r="W2619" s="8" t="s">
        <v>54</v>
      </c>
      <c r="X2619" s="8" t="s">
        <v>54</v>
      </c>
      <c r="Y2619" s="8" t="s">
        <v>54</v>
      </c>
      <c r="Z2619" s="8" t="s">
        <v>54</v>
      </c>
      <c r="AA2619" s="8" t="s">
        <v>54</v>
      </c>
      <c r="AB2619" s="10" t="s">
        <v>67</v>
      </c>
      <c r="AC2619" s="8" t="s">
        <v>54</v>
      </c>
      <c r="AD2619" s="8" t="s">
        <v>54</v>
      </c>
      <c r="AE2619" s="8" t="s">
        <v>54</v>
      </c>
      <c r="AF2619" s="8" t="s">
        <v>54</v>
      </c>
      <c r="AG2619" s="8" t="s">
        <v>54</v>
      </c>
      <c r="AH2619" s="8" t="s">
        <v>54</v>
      </c>
      <c r="AI2619" s="10" t="s">
        <v>67</v>
      </c>
      <c r="AJ2619" s="8">
        <f>COUNTIF($E$2619:$AI$2619,"P")</f>
        <v>26</v>
      </c>
      <c r="AK2619" s="8">
        <f>COUNTIF($E$2619:$AI$2619,"A")</f>
        <v>0</v>
      </c>
      <c r="AL2619" s="8">
        <f>SUM($E$2620:$AI$2620)</f>
        <v>29</v>
      </c>
      <c r="AM2619" s="8">
        <f>SUM($E$2621:$AI$2621)</f>
        <v>101</v>
      </c>
      <c r="AN2619" s="8">
        <f>AL2619+AM2619</f>
        <v>130</v>
      </c>
      <c r="AO2619" s="8">
        <f>COUNTIF($E$2619:$AI$2619,"CL")</f>
        <v>0</v>
      </c>
      <c r="AP2619" s="8">
        <f>COUNTIF($E$2619:$AI$2619,"SL")</f>
        <v>0</v>
      </c>
      <c r="AQ2619" s="8">
        <f>COUNTIF($E$2619:$AI$2619,"EL")</f>
        <v>0</v>
      </c>
      <c r="AR2619" s="8">
        <f>COUNTIF($E$2619:$AI$2619,"H")</f>
        <v>0</v>
      </c>
      <c r="AS2619" s="8"/>
      <c r="AT2619" s="11" t="s">
        <v>261</v>
      </c>
    </row>
    <row r="2620" spans="1:46" ht="15.1" customHeight="1">
      <c r="A2620" s="8"/>
      <c r="B2620" s="9"/>
      <c r="C2620" s="8"/>
      <c r="D2620" s="9"/>
      <c r="E2620" s="8">
        <v>2</v>
      </c>
      <c r="F2620" s="8">
        <v>2</v>
      </c>
      <c r="G2620" s="8">
        <v>0</v>
      </c>
      <c r="H2620" s="8">
        <v>2</v>
      </c>
      <c r="I2620" s="8">
        <v>2</v>
      </c>
      <c r="J2620" s="8">
        <v>2</v>
      </c>
      <c r="K2620" s="8">
        <v>2</v>
      </c>
      <c r="L2620" s="8">
        <v>2</v>
      </c>
      <c r="M2620" s="8">
        <v>2</v>
      </c>
      <c r="N2620" s="8">
        <v>0</v>
      </c>
      <c r="O2620" s="8">
        <v>2</v>
      </c>
      <c r="P2620" s="8">
        <v>2</v>
      </c>
      <c r="Q2620" s="8">
        <v>2</v>
      </c>
      <c r="R2620" s="8">
        <v>2</v>
      </c>
      <c r="S2620" s="8">
        <v>1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2</v>
      </c>
      <c r="Z2620" s="8">
        <v>2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0</v>
      </c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11" t="s">
        <v>261</v>
      </c>
    </row>
    <row r="2621" spans="1:46" ht="15.1" customHeight="1">
      <c r="A2621" s="8"/>
      <c r="B2621" s="9"/>
      <c r="C2621" s="8"/>
      <c r="D2621" s="9"/>
      <c r="E2621" s="8">
        <v>4</v>
      </c>
      <c r="F2621" s="8">
        <v>3</v>
      </c>
      <c r="G2621" s="8">
        <v>14</v>
      </c>
      <c r="H2621" s="8">
        <v>4</v>
      </c>
      <c r="I2621" s="8">
        <v>5</v>
      </c>
      <c r="J2621" s="8">
        <v>5</v>
      </c>
      <c r="K2621" s="8">
        <v>5</v>
      </c>
      <c r="L2621" s="8">
        <v>4</v>
      </c>
      <c r="M2621" s="8">
        <v>4.5</v>
      </c>
      <c r="N2621" s="8">
        <v>14.5</v>
      </c>
      <c r="O2621" s="8">
        <v>1</v>
      </c>
      <c r="P2621" s="8">
        <v>1</v>
      </c>
      <c r="Q2621" s="8">
        <v>1</v>
      </c>
      <c r="R2621" s="8">
        <v>10</v>
      </c>
      <c r="S2621" s="8">
        <v>0</v>
      </c>
      <c r="T2621" s="8">
        <v>0</v>
      </c>
      <c r="U2621" s="8">
        <v>5</v>
      </c>
      <c r="V2621" s="8">
        <v>0</v>
      </c>
      <c r="W2621" s="8">
        <v>0</v>
      </c>
      <c r="X2621" s="8">
        <v>0</v>
      </c>
      <c r="Y2621" s="8">
        <v>9</v>
      </c>
      <c r="Z2621" s="8">
        <v>11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  <c r="AH2621" s="8">
        <v>0</v>
      </c>
      <c r="AI2621" s="8">
        <v>0</v>
      </c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11" t="s">
        <v>261</v>
      </c>
    </row>
    <row r="2622" spans="1:46" ht="15.1" customHeight="1">
      <c r="A2622" s="8">
        <v>873</v>
      </c>
      <c r="B2622" s="9" t="s">
        <v>942</v>
      </c>
      <c r="C2622" s="8" t="s">
        <v>1978</v>
      </c>
      <c r="D2622" s="9" t="s">
        <v>451</v>
      </c>
      <c r="E2622" s="12" t="s">
        <v>55</v>
      </c>
      <c r="F2622" s="12" t="s">
        <v>55</v>
      </c>
      <c r="G2622" s="10" t="s">
        <v>67</v>
      </c>
      <c r="H2622" s="12" t="s">
        <v>55</v>
      </c>
      <c r="I2622" s="12" t="s">
        <v>55</v>
      </c>
      <c r="J2622" s="8" t="s">
        <v>54</v>
      </c>
      <c r="K2622" s="8" t="s">
        <v>54</v>
      </c>
      <c r="L2622" s="8" t="s">
        <v>54</v>
      </c>
      <c r="M2622" s="8" t="s">
        <v>54</v>
      </c>
      <c r="N2622" s="10" t="s">
        <v>67</v>
      </c>
      <c r="O2622" s="8" t="s">
        <v>54</v>
      </c>
      <c r="P2622" s="8" t="s">
        <v>54</v>
      </c>
      <c r="Q2622" s="8" t="s">
        <v>54</v>
      </c>
      <c r="R2622" s="8" t="s">
        <v>54</v>
      </c>
      <c r="S2622" s="8" t="s">
        <v>54</v>
      </c>
      <c r="T2622" s="8" t="s">
        <v>54</v>
      </c>
      <c r="U2622" s="10" t="s">
        <v>67</v>
      </c>
      <c r="V2622" s="8" t="s">
        <v>54</v>
      </c>
      <c r="W2622" s="8" t="s">
        <v>54</v>
      </c>
      <c r="X2622" s="8" t="s">
        <v>54</v>
      </c>
      <c r="Y2622" s="8" t="s">
        <v>54</v>
      </c>
      <c r="Z2622" s="8" t="s">
        <v>54</v>
      </c>
      <c r="AA2622" s="12" t="s">
        <v>55</v>
      </c>
      <c r="AB2622" s="10" t="s">
        <v>67</v>
      </c>
      <c r="AC2622" s="12" t="s">
        <v>55</v>
      </c>
      <c r="AD2622" s="8" t="s">
        <v>54</v>
      </c>
      <c r="AE2622" s="8" t="s">
        <v>54</v>
      </c>
      <c r="AF2622" s="8" t="s">
        <v>54</v>
      </c>
      <c r="AG2622" s="8" t="s">
        <v>54</v>
      </c>
      <c r="AH2622" s="8" t="s">
        <v>54</v>
      </c>
      <c r="AI2622" s="10" t="s">
        <v>67</v>
      </c>
      <c r="AJ2622" s="8">
        <f>COUNTIF($E$2622:$AI$2622,"P")</f>
        <v>20</v>
      </c>
      <c r="AK2622" s="8">
        <f>COUNTIF($E$2622:$AI$2622,"A")</f>
        <v>6</v>
      </c>
      <c r="AL2622" s="8">
        <f>SUM($E$2623:$AI$2623)</f>
        <v>24</v>
      </c>
      <c r="AM2622" s="8">
        <f>SUM($E$2624:$AI$2624)</f>
        <v>65</v>
      </c>
      <c r="AN2622" s="8">
        <f>AL2622+AM2622</f>
        <v>89</v>
      </c>
      <c r="AO2622" s="8">
        <f>COUNTIF($E$2622:$AI$2622,"CL")</f>
        <v>0</v>
      </c>
      <c r="AP2622" s="8">
        <f>COUNTIF($E$2622:$AI$2622,"SL")</f>
        <v>0</v>
      </c>
      <c r="AQ2622" s="8">
        <f>COUNTIF($E$2622:$AI$2622,"EL")</f>
        <v>0</v>
      </c>
      <c r="AR2622" s="8">
        <f>COUNTIF($E$2622:$AI$2622,"H")</f>
        <v>0</v>
      </c>
      <c r="AS2622" s="8"/>
      <c r="AT2622" s="11" t="s">
        <v>261</v>
      </c>
    </row>
    <row r="2623" spans="1:46" ht="15.1" customHeight="1">
      <c r="A2623" s="8"/>
      <c r="B2623" s="9"/>
      <c r="C2623" s="8"/>
      <c r="D2623" s="9"/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2</v>
      </c>
      <c r="K2623" s="8">
        <v>0</v>
      </c>
      <c r="L2623" s="8">
        <v>2</v>
      </c>
      <c r="M2623" s="8">
        <v>2</v>
      </c>
      <c r="N2623" s="8">
        <v>0</v>
      </c>
      <c r="O2623" s="8">
        <v>2</v>
      </c>
      <c r="P2623" s="8">
        <v>2</v>
      </c>
      <c r="Q2623" s="8">
        <v>2</v>
      </c>
      <c r="R2623" s="8">
        <v>2</v>
      </c>
      <c r="S2623" s="8">
        <v>2</v>
      </c>
      <c r="T2623" s="8">
        <v>2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2</v>
      </c>
      <c r="AF2623" s="8">
        <v>2</v>
      </c>
      <c r="AG2623" s="8">
        <v>2</v>
      </c>
      <c r="AH2623" s="8">
        <v>0</v>
      </c>
      <c r="AI2623" s="8">
        <v>0</v>
      </c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11" t="s">
        <v>261</v>
      </c>
    </row>
    <row r="2624" spans="1:46" ht="15.1" customHeight="1">
      <c r="A2624" s="8"/>
      <c r="B2624" s="9"/>
      <c r="C2624" s="8"/>
      <c r="D2624" s="9"/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2</v>
      </c>
      <c r="K2624" s="8">
        <v>0</v>
      </c>
      <c r="L2624" s="8">
        <v>2</v>
      </c>
      <c r="M2624" s="8">
        <v>11</v>
      </c>
      <c r="N2624" s="8">
        <v>0</v>
      </c>
      <c r="O2624" s="8">
        <v>1</v>
      </c>
      <c r="P2624" s="8">
        <v>1</v>
      </c>
      <c r="Q2624" s="8">
        <v>1</v>
      </c>
      <c r="R2624" s="8">
        <v>1</v>
      </c>
      <c r="S2624" s="8">
        <v>0</v>
      </c>
      <c r="T2624" s="8">
        <v>11</v>
      </c>
      <c r="U2624" s="8">
        <v>5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10</v>
      </c>
      <c r="AF2624" s="8">
        <v>10.5</v>
      </c>
      <c r="AG2624" s="8">
        <v>9.5</v>
      </c>
      <c r="AH2624" s="8">
        <v>0</v>
      </c>
      <c r="AI2624" s="8">
        <v>0</v>
      </c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11" t="s">
        <v>261</v>
      </c>
    </row>
    <row r="2625" spans="1:46" ht="15.1" customHeight="1">
      <c r="A2625" s="8">
        <v>874</v>
      </c>
      <c r="B2625" s="9" t="s">
        <v>1979</v>
      </c>
      <c r="C2625" s="8" t="s">
        <v>1980</v>
      </c>
      <c r="D2625" s="9" t="s">
        <v>451</v>
      </c>
      <c r="E2625" s="8" t="s">
        <v>54</v>
      </c>
      <c r="F2625" s="8" t="s">
        <v>54</v>
      </c>
      <c r="G2625" s="10" t="s">
        <v>67</v>
      </c>
      <c r="H2625" s="8" t="s">
        <v>54</v>
      </c>
      <c r="I2625" s="8" t="s">
        <v>54</v>
      </c>
      <c r="J2625" s="8" t="s">
        <v>54</v>
      </c>
      <c r="K2625" s="8" t="s">
        <v>54</v>
      </c>
      <c r="L2625" s="8" t="s">
        <v>54</v>
      </c>
      <c r="M2625" s="8" t="s">
        <v>54</v>
      </c>
      <c r="N2625" s="10" t="s">
        <v>67</v>
      </c>
      <c r="O2625" s="8" t="s">
        <v>54</v>
      </c>
      <c r="P2625" s="8" t="s">
        <v>54</v>
      </c>
      <c r="Q2625" s="8" t="s">
        <v>54</v>
      </c>
      <c r="R2625" s="8" t="s">
        <v>54</v>
      </c>
      <c r="S2625" s="8" t="s">
        <v>54</v>
      </c>
      <c r="T2625" s="8" t="s">
        <v>54</v>
      </c>
      <c r="U2625" s="10" t="s">
        <v>67</v>
      </c>
      <c r="V2625" s="8" t="s">
        <v>54</v>
      </c>
      <c r="W2625" s="8" t="s">
        <v>54</v>
      </c>
      <c r="X2625" s="8" t="s">
        <v>54</v>
      </c>
      <c r="Y2625" s="8" t="s">
        <v>54</v>
      </c>
      <c r="Z2625" s="8" t="s">
        <v>54</v>
      </c>
      <c r="AA2625" s="12" t="s">
        <v>55</v>
      </c>
      <c r="AB2625" s="10" t="s">
        <v>67</v>
      </c>
      <c r="AC2625" s="12" t="s">
        <v>55</v>
      </c>
      <c r="AD2625" s="12" t="s">
        <v>55</v>
      </c>
      <c r="AE2625" s="8" t="s">
        <v>54</v>
      </c>
      <c r="AF2625" s="8" t="s">
        <v>54</v>
      </c>
      <c r="AG2625" s="8" t="s">
        <v>54</v>
      </c>
      <c r="AH2625" s="8" t="s">
        <v>54</v>
      </c>
      <c r="AI2625" s="10" t="s">
        <v>67</v>
      </c>
      <c r="AJ2625" s="8">
        <f>COUNTIF($E$2625:$AI$2625,"P")</f>
        <v>23</v>
      </c>
      <c r="AK2625" s="8">
        <f>COUNTIF($E$2625:$AI$2625,"A")</f>
        <v>3</v>
      </c>
      <c r="AL2625" s="8">
        <f>SUM($E$2626:$AI$2626)</f>
        <v>27</v>
      </c>
      <c r="AM2625" s="8">
        <f>SUM($E$2627:$AI$2627)</f>
        <v>73</v>
      </c>
      <c r="AN2625" s="8">
        <f>AL2625+AM2625</f>
        <v>100</v>
      </c>
      <c r="AO2625" s="8">
        <f>COUNTIF($E$2625:$AI$2625,"CL")</f>
        <v>0</v>
      </c>
      <c r="AP2625" s="8">
        <f>COUNTIF($E$2625:$AI$2625,"SL")</f>
        <v>0</v>
      </c>
      <c r="AQ2625" s="8">
        <f>COUNTIF($E$2625:$AI$2625,"EL")</f>
        <v>0</v>
      </c>
      <c r="AR2625" s="8">
        <f>COUNTIF($E$2625:$AI$2625,"H")</f>
        <v>0</v>
      </c>
      <c r="AS2625" s="8"/>
      <c r="AT2625" s="11" t="s">
        <v>261</v>
      </c>
    </row>
    <row r="2626" spans="1:46" ht="15.1" customHeight="1">
      <c r="A2626" s="8"/>
      <c r="B2626" s="9"/>
      <c r="C2626" s="8"/>
      <c r="D2626" s="9"/>
      <c r="E2626" s="8">
        <v>2</v>
      </c>
      <c r="F2626" s="8">
        <v>2</v>
      </c>
      <c r="G2626" s="8">
        <v>0</v>
      </c>
      <c r="H2626" s="8">
        <v>2</v>
      </c>
      <c r="I2626" s="8">
        <v>2</v>
      </c>
      <c r="J2626" s="8">
        <v>2</v>
      </c>
      <c r="K2626" s="8">
        <v>2</v>
      </c>
      <c r="L2626" s="8">
        <v>2</v>
      </c>
      <c r="M2626" s="8">
        <v>2</v>
      </c>
      <c r="N2626" s="8">
        <v>0</v>
      </c>
      <c r="O2626" s="8">
        <v>2</v>
      </c>
      <c r="P2626" s="8">
        <v>2</v>
      </c>
      <c r="Q2626" s="8">
        <v>2</v>
      </c>
      <c r="R2626" s="8">
        <v>2</v>
      </c>
      <c r="S2626" s="8">
        <v>1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2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0</v>
      </c>
      <c r="AG2626" s="8">
        <v>0</v>
      </c>
      <c r="AH2626" s="8">
        <v>0</v>
      </c>
      <c r="AI2626" s="8">
        <v>0</v>
      </c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11" t="s">
        <v>261</v>
      </c>
    </row>
    <row r="2627" spans="1:46" ht="15.1" customHeight="1">
      <c r="A2627" s="8"/>
      <c r="B2627" s="9"/>
      <c r="C2627" s="8"/>
      <c r="D2627" s="9"/>
      <c r="E2627" s="8">
        <v>1</v>
      </c>
      <c r="F2627" s="8">
        <v>1</v>
      </c>
      <c r="G2627" s="8">
        <v>15</v>
      </c>
      <c r="H2627" s="8">
        <v>1</v>
      </c>
      <c r="I2627" s="8">
        <v>1</v>
      </c>
      <c r="J2627" s="8">
        <v>1</v>
      </c>
      <c r="K2627" s="8">
        <v>1</v>
      </c>
      <c r="L2627" s="8">
        <v>3</v>
      </c>
      <c r="M2627" s="8">
        <v>1</v>
      </c>
      <c r="N2627" s="8">
        <v>21</v>
      </c>
      <c r="O2627" s="8">
        <v>1</v>
      </c>
      <c r="P2627" s="8">
        <v>1</v>
      </c>
      <c r="Q2627" s="8">
        <v>1</v>
      </c>
      <c r="R2627" s="8">
        <v>10</v>
      </c>
      <c r="S2627" s="8">
        <v>0</v>
      </c>
      <c r="T2627" s="8">
        <v>0</v>
      </c>
      <c r="U2627" s="8">
        <v>5</v>
      </c>
      <c r="V2627" s="8">
        <v>0</v>
      </c>
      <c r="W2627" s="8">
        <v>0</v>
      </c>
      <c r="X2627" s="8">
        <v>0</v>
      </c>
      <c r="Y2627" s="8">
        <v>9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11" t="s">
        <v>261</v>
      </c>
    </row>
    <row r="2628" spans="1:46" ht="15.1" customHeight="1">
      <c r="A2628" s="8">
        <v>875</v>
      </c>
      <c r="B2628" s="9" t="s">
        <v>1981</v>
      </c>
      <c r="C2628" s="8" t="s">
        <v>1982</v>
      </c>
      <c r="D2628" s="9" t="s">
        <v>451</v>
      </c>
      <c r="E2628" s="8" t="s">
        <v>54</v>
      </c>
      <c r="F2628" s="8" t="s">
        <v>54</v>
      </c>
      <c r="G2628" s="10" t="s">
        <v>67</v>
      </c>
      <c r="H2628" s="8" t="s">
        <v>54</v>
      </c>
      <c r="I2628" s="8" t="s">
        <v>54</v>
      </c>
      <c r="J2628" s="12" t="s">
        <v>55</v>
      </c>
      <c r="K2628" s="8" t="s">
        <v>54</v>
      </c>
      <c r="L2628" s="12" t="s">
        <v>55</v>
      </c>
      <c r="M2628" s="8" t="s">
        <v>54</v>
      </c>
      <c r="N2628" s="10" t="s">
        <v>67</v>
      </c>
      <c r="O2628" s="8" t="s">
        <v>54</v>
      </c>
      <c r="P2628" s="8" t="s">
        <v>54</v>
      </c>
      <c r="Q2628" s="8" t="s">
        <v>54</v>
      </c>
      <c r="R2628" s="8" t="s">
        <v>54</v>
      </c>
      <c r="S2628" s="8" t="s">
        <v>54</v>
      </c>
      <c r="T2628" s="8" t="s">
        <v>54</v>
      </c>
      <c r="U2628" s="10" t="s">
        <v>67</v>
      </c>
      <c r="V2628" s="8" t="s">
        <v>54</v>
      </c>
      <c r="W2628" s="8" t="s">
        <v>54</v>
      </c>
      <c r="X2628" s="8" t="s">
        <v>54</v>
      </c>
      <c r="Y2628" s="8" t="s">
        <v>54</v>
      </c>
      <c r="Z2628" s="8" t="s">
        <v>54</v>
      </c>
      <c r="AA2628" s="8" t="s">
        <v>54</v>
      </c>
      <c r="AB2628" s="10" t="s">
        <v>67</v>
      </c>
      <c r="AC2628" s="8" t="s">
        <v>54</v>
      </c>
      <c r="AD2628" s="8" t="s">
        <v>54</v>
      </c>
      <c r="AE2628" s="8" t="s">
        <v>54</v>
      </c>
      <c r="AF2628" s="8" t="s">
        <v>54</v>
      </c>
      <c r="AG2628" s="8" t="s">
        <v>54</v>
      </c>
      <c r="AH2628" s="12" t="s">
        <v>55</v>
      </c>
      <c r="AI2628" s="10" t="s">
        <v>67</v>
      </c>
      <c r="AJ2628" s="8">
        <f>COUNTIF($E$2628:$AI$2628,"P")</f>
        <v>23</v>
      </c>
      <c r="AK2628" s="8">
        <f>COUNTIF($E$2628:$AI$2628,"A")</f>
        <v>3</v>
      </c>
      <c r="AL2628" s="8">
        <f>SUM($E$2629:$AI$2629)</f>
        <v>18</v>
      </c>
      <c r="AM2628" s="8">
        <f>SUM($E$2630:$AI$2630)</f>
        <v>53.5</v>
      </c>
      <c r="AN2628" s="8">
        <f>AL2628+AM2628</f>
        <v>71.5</v>
      </c>
      <c r="AO2628" s="8">
        <f>COUNTIF($E$2628:$AI$2628,"CL")</f>
        <v>0</v>
      </c>
      <c r="AP2628" s="8">
        <f>COUNTIF($E$2628:$AI$2628,"SL")</f>
        <v>0</v>
      </c>
      <c r="AQ2628" s="8">
        <f>COUNTIF($E$2628:$AI$2628,"EL")</f>
        <v>0</v>
      </c>
      <c r="AR2628" s="8">
        <f>COUNTIF($E$2628:$AI$2628,"H")</f>
        <v>0</v>
      </c>
      <c r="AS2628" s="8"/>
      <c r="AT2628" s="11" t="s">
        <v>261</v>
      </c>
    </row>
    <row r="2629" spans="1:46" ht="15.1" customHeight="1">
      <c r="A2629" s="8"/>
      <c r="B2629" s="9"/>
      <c r="C2629" s="8"/>
      <c r="D2629" s="9"/>
      <c r="E2629" s="8">
        <v>2</v>
      </c>
      <c r="F2629" s="8">
        <v>2</v>
      </c>
      <c r="G2629" s="8">
        <v>0</v>
      </c>
      <c r="H2629" s="8">
        <v>2</v>
      </c>
      <c r="I2629" s="8">
        <v>0</v>
      </c>
      <c r="J2629" s="8">
        <v>0</v>
      </c>
      <c r="K2629" s="8">
        <v>0</v>
      </c>
      <c r="L2629" s="8">
        <v>0</v>
      </c>
      <c r="M2629" s="8">
        <v>2</v>
      </c>
      <c r="N2629" s="8">
        <v>0</v>
      </c>
      <c r="O2629" s="8">
        <v>2</v>
      </c>
      <c r="P2629" s="8">
        <v>2</v>
      </c>
      <c r="Q2629" s="8">
        <v>2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2</v>
      </c>
      <c r="Z2629" s="8">
        <v>2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11" t="s">
        <v>261</v>
      </c>
    </row>
    <row r="2630" spans="1:46" ht="15.1" customHeight="1">
      <c r="A2630" s="8"/>
      <c r="B2630" s="9"/>
      <c r="C2630" s="8"/>
      <c r="D2630" s="9"/>
      <c r="E2630" s="8">
        <v>2</v>
      </c>
      <c r="F2630" s="8">
        <v>2</v>
      </c>
      <c r="G2630" s="8">
        <v>12</v>
      </c>
      <c r="H2630" s="8">
        <v>2</v>
      </c>
      <c r="I2630" s="8">
        <v>0</v>
      </c>
      <c r="J2630" s="8">
        <v>0</v>
      </c>
      <c r="K2630" s="8">
        <v>0</v>
      </c>
      <c r="L2630" s="8">
        <v>0</v>
      </c>
      <c r="M2630" s="8">
        <v>11.5</v>
      </c>
      <c r="N2630" s="8">
        <v>0</v>
      </c>
      <c r="O2630" s="8">
        <v>1</v>
      </c>
      <c r="P2630" s="8">
        <v>1</v>
      </c>
      <c r="Q2630" s="8">
        <v>0</v>
      </c>
      <c r="R2630" s="8">
        <v>0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11</v>
      </c>
      <c r="Z2630" s="8">
        <v>11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11" t="s">
        <v>261</v>
      </c>
    </row>
    <row r="2631" spans="1:46" ht="15.1" customHeight="1">
      <c r="A2631" s="8">
        <v>876</v>
      </c>
      <c r="B2631" s="9" t="s">
        <v>1983</v>
      </c>
      <c r="C2631" s="8" t="s">
        <v>1984</v>
      </c>
      <c r="D2631" s="9" t="s">
        <v>451</v>
      </c>
      <c r="E2631" s="8" t="s">
        <v>54</v>
      </c>
      <c r="F2631" s="8" t="s">
        <v>54</v>
      </c>
      <c r="G2631" s="10" t="s">
        <v>67</v>
      </c>
      <c r="H2631" s="8" t="s">
        <v>54</v>
      </c>
      <c r="I2631" s="8" t="s">
        <v>54</v>
      </c>
      <c r="J2631" s="8" t="s">
        <v>54</v>
      </c>
      <c r="K2631" s="8" t="s">
        <v>54</v>
      </c>
      <c r="L2631" s="8" t="s">
        <v>54</v>
      </c>
      <c r="M2631" s="8" t="s">
        <v>54</v>
      </c>
      <c r="N2631" s="10" t="s">
        <v>67</v>
      </c>
      <c r="O2631" s="8" t="s">
        <v>54</v>
      </c>
      <c r="P2631" s="8" t="s">
        <v>54</v>
      </c>
      <c r="Q2631" s="8" t="s">
        <v>54</v>
      </c>
      <c r="R2631" s="8" t="s">
        <v>54</v>
      </c>
      <c r="S2631" s="8" t="s">
        <v>54</v>
      </c>
      <c r="T2631" s="8" t="s">
        <v>54</v>
      </c>
      <c r="U2631" s="10" t="s">
        <v>67</v>
      </c>
      <c r="V2631" s="8" t="s">
        <v>54</v>
      </c>
      <c r="W2631" s="8" t="s">
        <v>54</v>
      </c>
      <c r="X2631" s="8" t="s">
        <v>54</v>
      </c>
      <c r="Y2631" s="8" t="s">
        <v>54</v>
      </c>
      <c r="Z2631" s="8" t="s">
        <v>54</v>
      </c>
      <c r="AA2631" s="8" t="s">
        <v>54</v>
      </c>
      <c r="AB2631" s="10" t="s">
        <v>67</v>
      </c>
      <c r="AC2631" s="8" t="s">
        <v>54</v>
      </c>
      <c r="AD2631" s="8" t="s">
        <v>54</v>
      </c>
      <c r="AE2631" s="8" t="s">
        <v>54</v>
      </c>
      <c r="AF2631" s="8" t="s">
        <v>54</v>
      </c>
      <c r="AG2631" s="8" t="s">
        <v>54</v>
      </c>
      <c r="AH2631" s="8" t="s">
        <v>54</v>
      </c>
      <c r="AI2631" s="10" t="s">
        <v>67</v>
      </c>
      <c r="AJ2631" s="8">
        <f>COUNTIF($E$2631:$AI$2631,"P")</f>
        <v>26</v>
      </c>
      <c r="AK2631" s="8">
        <f>COUNTIF($E$2631:$AI$2631,"A")</f>
        <v>0</v>
      </c>
      <c r="AL2631" s="8">
        <f>SUM($E$2632:$AI$2632)</f>
        <v>32</v>
      </c>
      <c r="AM2631" s="8">
        <f>SUM($E$2633:$AI$2633)</f>
        <v>102</v>
      </c>
      <c r="AN2631" s="8">
        <f>AL2631+AM2631</f>
        <v>134</v>
      </c>
      <c r="AO2631" s="8">
        <f>COUNTIF($E$2631:$AI$2631,"CL")</f>
        <v>0</v>
      </c>
      <c r="AP2631" s="8">
        <f>COUNTIF($E$2631:$AI$2631,"SL")</f>
        <v>0</v>
      </c>
      <c r="AQ2631" s="8">
        <f>COUNTIF($E$2631:$AI$2631,"EL")</f>
        <v>0</v>
      </c>
      <c r="AR2631" s="8">
        <f>COUNTIF($E$2631:$AI$2631,"H")</f>
        <v>0</v>
      </c>
      <c r="AS2631" s="8"/>
      <c r="AT2631" s="11" t="s">
        <v>261</v>
      </c>
    </row>
    <row r="2632" spans="1:46" ht="15.1" customHeight="1">
      <c r="A2632" s="8"/>
      <c r="B2632" s="9"/>
      <c r="C2632" s="8"/>
      <c r="D2632" s="9"/>
      <c r="E2632" s="8">
        <v>2</v>
      </c>
      <c r="F2632" s="8">
        <v>2</v>
      </c>
      <c r="G2632" s="8">
        <v>0</v>
      </c>
      <c r="H2632" s="8">
        <v>2</v>
      </c>
      <c r="I2632" s="8">
        <v>2</v>
      </c>
      <c r="J2632" s="8">
        <v>2</v>
      </c>
      <c r="K2632" s="8">
        <v>2</v>
      </c>
      <c r="L2632" s="8">
        <v>2</v>
      </c>
      <c r="M2632" s="8">
        <v>2</v>
      </c>
      <c r="N2632" s="8">
        <v>0</v>
      </c>
      <c r="O2632" s="8">
        <v>2</v>
      </c>
      <c r="P2632" s="8">
        <v>2</v>
      </c>
      <c r="Q2632" s="8">
        <v>2</v>
      </c>
      <c r="R2632" s="8">
        <v>2</v>
      </c>
      <c r="S2632" s="8">
        <v>2</v>
      </c>
      <c r="T2632" s="8">
        <v>2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2</v>
      </c>
      <c r="AD2632" s="8">
        <v>2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11" t="s">
        <v>261</v>
      </c>
    </row>
    <row r="2633" spans="1:46" ht="15.1" customHeight="1">
      <c r="A2633" s="8"/>
      <c r="B2633" s="9"/>
      <c r="C2633" s="8"/>
      <c r="D2633" s="9"/>
      <c r="E2633" s="8">
        <v>4</v>
      </c>
      <c r="F2633" s="8">
        <v>3</v>
      </c>
      <c r="G2633" s="8">
        <v>13</v>
      </c>
      <c r="H2633" s="8">
        <v>5</v>
      </c>
      <c r="I2633" s="8">
        <v>5</v>
      </c>
      <c r="J2633" s="8">
        <v>5</v>
      </c>
      <c r="K2633" s="8">
        <v>5</v>
      </c>
      <c r="L2633" s="8">
        <v>4</v>
      </c>
      <c r="M2633" s="8">
        <v>5</v>
      </c>
      <c r="N2633" s="8">
        <v>15</v>
      </c>
      <c r="O2633" s="8">
        <v>7</v>
      </c>
      <c r="P2633" s="8">
        <v>5</v>
      </c>
      <c r="Q2633" s="8">
        <v>5</v>
      </c>
      <c r="R2633" s="8">
        <v>5</v>
      </c>
      <c r="S2633" s="8">
        <v>4</v>
      </c>
      <c r="T2633" s="8">
        <v>3</v>
      </c>
      <c r="U2633" s="8">
        <v>9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11" t="s">
        <v>261</v>
      </c>
    </row>
    <row r="2634" spans="1:46" ht="15.1" customHeight="1">
      <c r="A2634" s="8">
        <v>877</v>
      </c>
      <c r="B2634" s="9" t="s">
        <v>1985</v>
      </c>
      <c r="C2634" s="8" t="s">
        <v>1986</v>
      </c>
      <c r="D2634" s="9" t="s">
        <v>451</v>
      </c>
      <c r="E2634" s="8" t="s">
        <v>54</v>
      </c>
      <c r="F2634" s="8" t="s">
        <v>54</v>
      </c>
      <c r="G2634" s="10" t="s">
        <v>67</v>
      </c>
      <c r="H2634" s="8" t="s">
        <v>54</v>
      </c>
      <c r="I2634" s="8" t="s">
        <v>54</v>
      </c>
      <c r="J2634" s="8" t="s">
        <v>54</v>
      </c>
      <c r="K2634" s="8" t="s">
        <v>54</v>
      </c>
      <c r="L2634" s="8" t="s">
        <v>54</v>
      </c>
      <c r="M2634" s="8" t="s">
        <v>54</v>
      </c>
      <c r="N2634" s="10" t="s">
        <v>67</v>
      </c>
      <c r="O2634" s="8" t="s">
        <v>54</v>
      </c>
      <c r="P2634" s="8" t="s">
        <v>54</v>
      </c>
      <c r="Q2634" s="8" t="s">
        <v>54</v>
      </c>
      <c r="R2634" s="8" t="s">
        <v>54</v>
      </c>
      <c r="S2634" s="8" t="s">
        <v>54</v>
      </c>
      <c r="T2634" s="8" t="s">
        <v>54</v>
      </c>
      <c r="U2634" s="10" t="s">
        <v>67</v>
      </c>
      <c r="V2634" s="8" t="s">
        <v>54</v>
      </c>
      <c r="W2634" s="8" t="s">
        <v>54</v>
      </c>
      <c r="X2634" s="8" t="s">
        <v>54</v>
      </c>
      <c r="Y2634" s="8" t="s">
        <v>54</v>
      </c>
      <c r="Z2634" s="8" t="s">
        <v>54</v>
      </c>
      <c r="AA2634" s="12" t="s">
        <v>55</v>
      </c>
      <c r="AB2634" s="10" t="s">
        <v>67</v>
      </c>
      <c r="AC2634" s="8" t="s">
        <v>54</v>
      </c>
      <c r="AD2634" s="8" t="s">
        <v>54</v>
      </c>
      <c r="AE2634" s="8" t="s">
        <v>54</v>
      </c>
      <c r="AF2634" s="8" t="s">
        <v>54</v>
      </c>
      <c r="AG2634" s="8" t="s">
        <v>54</v>
      </c>
      <c r="AH2634" s="8" t="s">
        <v>54</v>
      </c>
      <c r="AI2634" s="10" t="s">
        <v>67</v>
      </c>
      <c r="AJ2634" s="8">
        <f>COUNTIF($E$2634:$AI$2634,"P")</f>
        <v>25</v>
      </c>
      <c r="AK2634" s="8">
        <f>COUNTIF($E$2634:$AI$2634,"A")</f>
        <v>1</v>
      </c>
      <c r="AL2634" s="8">
        <f>SUM($E$2635:$AI$2635)</f>
        <v>32</v>
      </c>
      <c r="AM2634" s="8">
        <f>SUM($E$2636:$AI$2636)</f>
        <v>78</v>
      </c>
      <c r="AN2634" s="8">
        <f>AL2634+AM2634</f>
        <v>109.5</v>
      </c>
      <c r="AO2634" s="8">
        <f>COUNTIF($E$2634:$AI$2634,"CL")</f>
        <v>0</v>
      </c>
      <c r="AP2634" s="8">
        <f>COUNTIF($E$2634:$AI$2634,"SL")</f>
        <v>0</v>
      </c>
      <c r="AQ2634" s="8">
        <f>COUNTIF($E$2634:$AI$2634,"EL")</f>
        <v>0</v>
      </c>
      <c r="AR2634" s="8">
        <f>COUNTIF($E$2634:$AI$2634,"H")</f>
        <v>0</v>
      </c>
      <c r="AS2634" s="8"/>
      <c r="AT2634" s="11" t="s">
        <v>261</v>
      </c>
    </row>
    <row r="2635" spans="1:46" ht="15.1" customHeight="1">
      <c r="A2635" s="8"/>
      <c r="B2635" s="9"/>
      <c r="C2635" s="8"/>
      <c r="D2635" s="9"/>
      <c r="E2635" s="8">
        <v>2</v>
      </c>
      <c r="F2635" s="8">
        <v>2</v>
      </c>
      <c r="G2635" s="8">
        <v>0</v>
      </c>
      <c r="H2635" s="8">
        <v>2</v>
      </c>
      <c r="I2635" s="8">
        <v>2</v>
      </c>
      <c r="J2635" s="8">
        <v>2</v>
      </c>
      <c r="K2635" s="8">
        <v>2</v>
      </c>
      <c r="L2635" s="8">
        <v>2</v>
      </c>
      <c r="M2635" s="8">
        <v>2</v>
      </c>
      <c r="N2635" s="8">
        <v>0</v>
      </c>
      <c r="O2635" s="8">
        <v>2</v>
      </c>
      <c r="P2635" s="8">
        <v>2</v>
      </c>
      <c r="Q2635" s="8">
        <v>2</v>
      </c>
      <c r="R2635" s="8">
        <v>2</v>
      </c>
      <c r="S2635" s="8">
        <v>2</v>
      </c>
      <c r="T2635" s="8">
        <v>2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2</v>
      </c>
      <c r="AF2635" s="8">
        <v>2</v>
      </c>
      <c r="AG2635" s="8">
        <v>0</v>
      </c>
      <c r="AH2635" s="8">
        <v>0</v>
      </c>
      <c r="AI2635" s="8">
        <v>0</v>
      </c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11" t="s">
        <v>261</v>
      </c>
    </row>
    <row r="2636" spans="1:46" ht="15.1" customHeight="1">
      <c r="A2636" s="8"/>
      <c r="B2636" s="9"/>
      <c r="C2636" s="8"/>
      <c r="D2636" s="9"/>
      <c r="E2636" s="8">
        <v>2</v>
      </c>
      <c r="F2636" s="8">
        <v>2</v>
      </c>
      <c r="G2636" s="8">
        <v>12</v>
      </c>
      <c r="H2636" s="8">
        <v>2</v>
      </c>
      <c r="I2636" s="8">
        <v>2</v>
      </c>
      <c r="J2636" s="8">
        <v>2</v>
      </c>
      <c r="K2636" s="8">
        <v>2</v>
      </c>
      <c r="L2636" s="8">
        <v>2</v>
      </c>
      <c r="M2636" s="8">
        <v>11</v>
      </c>
      <c r="N2636" s="8">
        <v>0</v>
      </c>
      <c r="O2636" s="8">
        <v>0</v>
      </c>
      <c r="P2636" s="8">
        <v>1</v>
      </c>
      <c r="Q2636" s="8">
        <v>1</v>
      </c>
      <c r="R2636" s="8">
        <v>1</v>
      </c>
      <c r="S2636" s="8">
        <v>1</v>
      </c>
      <c r="T2636" s="8">
        <v>11</v>
      </c>
      <c r="U2636" s="8">
        <v>5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8">
        <v>10.5</v>
      </c>
      <c r="AF2636" s="8">
        <v>10.5</v>
      </c>
      <c r="AG2636" s="8">
        <v>0</v>
      </c>
      <c r="AH2636" s="8">
        <v>0</v>
      </c>
      <c r="AI2636" s="8">
        <v>0</v>
      </c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11" t="s">
        <v>261</v>
      </c>
    </row>
    <row r="2637" spans="1:46" ht="15.1" customHeight="1">
      <c r="A2637" s="8">
        <v>878</v>
      </c>
      <c r="B2637" s="9" t="s">
        <v>1987</v>
      </c>
      <c r="C2637" s="8" t="s">
        <v>1988</v>
      </c>
      <c r="D2637" s="9" t="s">
        <v>451</v>
      </c>
      <c r="E2637" s="8" t="s">
        <v>54</v>
      </c>
      <c r="F2637" s="8" t="s">
        <v>54</v>
      </c>
      <c r="G2637" s="10" t="s">
        <v>67</v>
      </c>
      <c r="H2637" s="8" t="s">
        <v>54</v>
      </c>
      <c r="I2637" s="8" t="s">
        <v>54</v>
      </c>
      <c r="J2637" s="8" t="s">
        <v>54</v>
      </c>
      <c r="K2637" s="8" t="s">
        <v>54</v>
      </c>
      <c r="L2637" s="8" t="s">
        <v>54</v>
      </c>
      <c r="M2637" s="8" t="s">
        <v>54</v>
      </c>
      <c r="N2637" s="10" t="s">
        <v>67</v>
      </c>
      <c r="O2637" s="8" t="s">
        <v>54</v>
      </c>
      <c r="P2637" s="8" t="s">
        <v>54</v>
      </c>
      <c r="Q2637" s="8" t="s">
        <v>54</v>
      </c>
      <c r="R2637" s="8" t="s">
        <v>54</v>
      </c>
      <c r="S2637" s="8" t="s">
        <v>54</v>
      </c>
      <c r="T2637" s="8" t="s">
        <v>54</v>
      </c>
      <c r="U2637" s="10" t="s">
        <v>67</v>
      </c>
      <c r="V2637" s="8" t="s">
        <v>54</v>
      </c>
      <c r="W2637" s="8" t="s">
        <v>54</v>
      </c>
      <c r="X2637" s="8" t="s">
        <v>54</v>
      </c>
      <c r="Y2637" s="8" t="s">
        <v>54</v>
      </c>
      <c r="Z2637" s="8" t="s">
        <v>54</v>
      </c>
      <c r="AA2637" s="12" t="s">
        <v>55</v>
      </c>
      <c r="AB2637" s="10" t="s">
        <v>67</v>
      </c>
      <c r="AC2637" s="8" t="s">
        <v>54</v>
      </c>
      <c r="AD2637" s="8" t="s">
        <v>54</v>
      </c>
      <c r="AE2637" s="8" t="s">
        <v>54</v>
      </c>
      <c r="AF2637" s="8" t="s">
        <v>54</v>
      </c>
      <c r="AG2637" s="8" t="s">
        <v>54</v>
      </c>
      <c r="AH2637" s="8" t="s">
        <v>54</v>
      </c>
      <c r="AI2637" s="10" t="s">
        <v>67</v>
      </c>
      <c r="AJ2637" s="8">
        <f>COUNTIF($E$2637:$AI$2637,"P")</f>
        <v>25</v>
      </c>
      <c r="AK2637" s="8">
        <f>COUNTIF($E$2637:$AI$2637,"A")</f>
        <v>1</v>
      </c>
      <c r="AL2637" s="8">
        <f>SUM($E$2638:$AI$2638)</f>
        <v>32</v>
      </c>
      <c r="AM2637" s="8">
        <f>SUM($E$2639:$AI$2639)</f>
        <v>88.5</v>
      </c>
      <c r="AN2637" s="8">
        <f>AL2637+AM2637</f>
        <v>120.5</v>
      </c>
      <c r="AO2637" s="8">
        <f>COUNTIF($E$2637:$AI$2637,"CL")</f>
        <v>0</v>
      </c>
      <c r="AP2637" s="8">
        <f>COUNTIF($E$2637:$AI$2637,"SL")</f>
        <v>0</v>
      </c>
      <c r="AQ2637" s="8">
        <f>COUNTIF($E$2637:$AI$2637,"EL")</f>
        <v>0</v>
      </c>
      <c r="AR2637" s="8">
        <f>COUNTIF($E$2637:$AI$2637,"H")</f>
        <v>0</v>
      </c>
      <c r="AS2637" s="8"/>
      <c r="AT2637" s="11" t="s">
        <v>261</v>
      </c>
    </row>
    <row r="2638" spans="1:46" ht="15.1" customHeight="1">
      <c r="A2638" s="8"/>
      <c r="B2638" s="9"/>
      <c r="C2638" s="8"/>
      <c r="D2638" s="9"/>
      <c r="E2638" s="8">
        <v>2</v>
      </c>
      <c r="F2638" s="8">
        <v>2</v>
      </c>
      <c r="G2638" s="8">
        <v>0</v>
      </c>
      <c r="H2638" s="8">
        <v>2</v>
      </c>
      <c r="I2638" s="8">
        <v>2</v>
      </c>
      <c r="J2638" s="8">
        <v>2</v>
      </c>
      <c r="K2638" s="8">
        <v>2</v>
      </c>
      <c r="L2638" s="8">
        <v>2</v>
      </c>
      <c r="M2638" s="8">
        <v>2</v>
      </c>
      <c r="N2638" s="8">
        <v>0</v>
      </c>
      <c r="O2638" s="8">
        <v>2</v>
      </c>
      <c r="P2638" s="8">
        <v>2</v>
      </c>
      <c r="Q2638" s="8">
        <v>0</v>
      </c>
      <c r="R2638" s="8">
        <v>2</v>
      </c>
      <c r="S2638" s="8">
        <v>2</v>
      </c>
      <c r="T2638" s="8">
        <v>2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8">
        <v>2</v>
      </c>
      <c r="AF2638" s="8">
        <v>2</v>
      </c>
      <c r="AG2638" s="8">
        <v>2</v>
      </c>
      <c r="AH2638" s="8">
        <v>0</v>
      </c>
      <c r="AI2638" s="8">
        <v>0</v>
      </c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11" t="s">
        <v>261</v>
      </c>
    </row>
    <row r="2639" spans="1:46" ht="15.1" customHeight="1">
      <c r="A2639" s="8"/>
      <c r="B2639" s="9"/>
      <c r="C2639" s="8"/>
      <c r="D2639" s="9"/>
      <c r="E2639" s="8">
        <v>2</v>
      </c>
      <c r="F2639" s="8">
        <v>2</v>
      </c>
      <c r="G2639" s="8">
        <v>12</v>
      </c>
      <c r="H2639" s="8">
        <v>2</v>
      </c>
      <c r="I2639" s="8">
        <v>2</v>
      </c>
      <c r="J2639" s="8">
        <v>2</v>
      </c>
      <c r="K2639" s="8">
        <v>2</v>
      </c>
      <c r="L2639" s="8">
        <v>2</v>
      </c>
      <c r="M2639" s="8">
        <v>11</v>
      </c>
      <c r="N2639" s="8">
        <v>0</v>
      </c>
      <c r="O2639" s="8">
        <v>1</v>
      </c>
      <c r="P2639" s="8">
        <v>1</v>
      </c>
      <c r="Q2639" s="8">
        <v>0</v>
      </c>
      <c r="R2639" s="8">
        <v>1</v>
      </c>
      <c r="S2639" s="8">
        <v>1</v>
      </c>
      <c r="T2639" s="8">
        <v>11</v>
      </c>
      <c r="U2639" s="8">
        <v>5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10.5</v>
      </c>
      <c r="AF2639" s="8">
        <v>10.5</v>
      </c>
      <c r="AG2639" s="8">
        <v>10.5</v>
      </c>
      <c r="AH2639" s="8">
        <v>0</v>
      </c>
      <c r="AI2639" s="8">
        <v>0</v>
      </c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11" t="s">
        <v>261</v>
      </c>
    </row>
    <row r="2640" spans="1:46" ht="15.1" customHeight="1">
      <c r="A2640" s="8">
        <v>879</v>
      </c>
      <c r="B2640" s="9" t="s">
        <v>1989</v>
      </c>
      <c r="C2640" s="8" t="s">
        <v>1990</v>
      </c>
      <c r="D2640" s="9" t="s">
        <v>451</v>
      </c>
      <c r="E2640" s="12" t="s">
        <v>55</v>
      </c>
      <c r="F2640" s="8" t="s">
        <v>54</v>
      </c>
      <c r="G2640" s="10" t="s">
        <v>67</v>
      </c>
      <c r="H2640" s="8" t="s">
        <v>54</v>
      </c>
      <c r="I2640" s="8" t="s">
        <v>54</v>
      </c>
      <c r="J2640" s="8" t="s">
        <v>54</v>
      </c>
      <c r="K2640" s="8" t="s">
        <v>54</v>
      </c>
      <c r="L2640" s="8" t="s">
        <v>54</v>
      </c>
      <c r="M2640" s="8" t="s">
        <v>54</v>
      </c>
      <c r="N2640" s="10" t="s">
        <v>67</v>
      </c>
      <c r="O2640" s="8" t="s">
        <v>54</v>
      </c>
      <c r="P2640" s="8" t="s">
        <v>54</v>
      </c>
      <c r="Q2640" s="8" t="s">
        <v>54</v>
      </c>
      <c r="R2640" s="8" t="s">
        <v>54</v>
      </c>
      <c r="S2640" s="8" t="s">
        <v>54</v>
      </c>
      <c r="T2640" s="8" t="s">
        <v>54</v>
      </c>
      <c r="U2640" s="10" t="s">
        <v>67</v>
      </c>
      <c r="V2640" s="12" t="s">
        <v>55</v>
      </c>
      <c r="W2640" s="8" t="s">
        <v>54</v>
      </c>
      <c r="X2640" s="8" t="s">
        <v>54</v>
      </c>
      <c r="Y2640" s="8" t="s">
        <v>54</v>
      </c>
      <c r="Z2640" s="8" t="s">
        <v>54</v>
      </c>
      <c r="AA2640" s="8" t="s">
        <v>54</v>
      </c>
      <c r="AB2640" s="10" t="s">
        <v>67</v>
      </c>
      <c r="AC2640" s="8" t="s">
        <v>54</v>
      </c>
      <c r="AD2640" s="8" t="s">
        <v>54</v>
      </c>
      <c r="AE2640" s="8" t="s">
        <v>54</v>
      </c>
      <c r="AF2640" s="8" t="s">
        <v>54</v>
      </c>
      <c r="AG2640" s="8" t="s">
        <v>54</v>
      </c>
      <c r="AH2640" s="8" t="s">
        <v>54</v>
      </c>
      <c r="AI2640" s="10" t="s">
        <v>67</v>
      </c>
      <c r="AJ2640" s="8">
        <f>COUNTIF($E$2640:$AI$2640,"P")</f>
        <v>24</v>
      </c>
      <c r="AK2640" s="8">
        <f>COUNTIF($E$2640:$AI$2640,"A")</f>
        <v>2</v>
      </c>
      <c r="AL2640" s="8">
        <f>SUM($E$2641:$AI$2641)</f>
        <v>30</v>
      </c>
      <c r="AM2640" s="8">
        <f>SUM($E$2642:$AI$2642)</f>
        <v>140.5</v>
      </c>
      <c r="AN2640" s="8">
        <f>AL2640+AM2640</f>
        <v>170.5</v>
      </c>
      <c r="AO2640" s="8">
        <f>COUNTIF($E$2640:$AI$2640,"CL")</f>
        <v>0</v>
      </c>
      <c r="AP2640" s="8">
        <f>COUNTIF($E$2640:$AI$2640,"SL")</f>
        <v>0</v>
      </c>
      <c r="AQ2640" s="8">
        <f>COUNTIF($E$2640:$AI$2640,"EL")</f>
        <v>0</v>
      </c>
      <c r="AR2640" s="8">
        <f>COUNTIF($E$2640:$AI$2640,"H")</f>
        <v>0</v>
      </c>
      <c r="AS2640" s="8"/>
      <c r="AT2640" s="11" t="s">
        <v>261</v>
      </c>
    </row>
    <row r="2641" spans="1:46" ht="15.1" customHeight="1">
      <c r="A2641" s="8"/>
      <c r="B2641" s="9"/>
      <c r="C2641" s="8"/>
      <c r="D2641" s="9"/>
      <c r="E2641" s="8">
        <v>0</v>
      </c>
      <c r="F2641" s="8">
        <v>2</v>
      </c>
      <c r="G2641" s="8">
        <v>0</v>
      </c>
      <c r="H2641" s="8">
        <v>2</v>
      </c>
      <c r="I2641" s="8">
        <v>2</v>
      </c>
      <c r="J2641" s="8">
        <v>2</v>
      </c>
      <c r="K2641" s="8">
        <v>2</v>
      </c>
      <c r="L2641" s="8">
        <v>2</v>
      </c>
      <c r="M2641" s="8">
        <v>2</v>
      </c>
      <c r="N2641" s="8">
        <v>0</v>
      </c>
      <c r="O2641" s="8">
        <v>2</v>
      </c>
      <c r="P2641" s="8">
        <v>2</v>
      </c>
      <c r="Q2641" s="8">
        <v>2</v>
      </c>
      <c r="R2641" s="8">
        <v>2</v>
      </c>
      <c r="S2641" s="8">
        <v>2</v>
      </c>
      <c r="T2641" s="8">
        <v>2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0</v>
      </c>
      <c r="AB2641" s="8">
        <v>0</v>
      </c>
      <c r="AC2641" s="8">
        <v>0</v>
      </c>
      <c r="AD2641" s="8">
        <v>0</v>
      </c>
      <c r="AE2641" s="8">
        <v>2</v>
      </c>
      <c r="AF2641" s="8">
        <v>2</v>
      </c>
      <c r="AG2641" s="8">
        <v>0</v>
      </c>
      <c r="AH2641" s="8">
        <v>0</v>
      </c>
      <c r="AI2641" s="8">
        <v>0</v>
      </c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11" t="s">
        <v>261</v>
      </c>
    </row>
    <row r="2642" spans="1:46" ht="15.1" customHeight="1">
      <c r="A2642" s="8"/>
      <c r="B2642" s="9"/>
      <c r="C2642" s="8"/>
      <c r="D2642" s="9"/>
      <c r="E2642" s="8">
        <v>0</v>
      </c>
      <c r="F2642" s="8">
        <v>3</v>
      </c>
      <c r="G2642" s="8">
        <v>14</v>
      </c>
      <c r="H2642" s="8">
        <v>5</v>
      </c>
      <c r="I2642" s="8">
        <v>5</v>
      </c>
      <c r="J2642" s="8">
        <v>7</v>
      </c>
      <c r="K2642" s="8">
        <v>7</v>
      </c>
      <c r="L2642" s="8">
        <v>7</v>
      </c>
      <c r="M2642" s="8">
        <v>5</v>
      </c>
      <c r="N2642" s="8">
        <v>17</v>
      </c>
      <c r="O2642" s="8">
        <v>7</v>
      </c>
      <c r="P2642" s="8">
        <v>7</v>
      </c>
      <c r="Q2642" s="8">
        <v>3</v>
      </c>
      <c r="R2642" s="8">
        <v>7</v>
      </c>
      <c r="S2642" s="8">
        <v>6.5</v>
      </c>
      <c r="T2642" s="8">
        <v>3</v>
      </c>
      <c r="U2642" s="8">
        <v>8.5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8</v>
      </c>
      <c r="AC2642" s="8">
        <v>0</v>
      </c>
      <c r="AD2642" s="8">
        <v>0</v>
      </c>
      <c r="AE2642" s="8">
        <v>10</v>
      </c>
      <c r="AF2642" s="8">
        <v>10.5</v>
      </c>
      <c r="AG2642" s="8">
        <v>0</v>
      </c>
      <c r="AH2642" s="8">
        <v>0</v>
      </c>
      <c r="AI2642" s="8">
        <v>0</v>
      </c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11" t="s">
        <v>261</v>
      </c>
    </row>
    <row r="2643" spans="1:46" ht="15.1" customHeight="1">
      <c r="A2643" s="8">
        <v>880</v>
      </c>
      <c r="B2643" s="9" t="s">
        <v>1991</v>
      </c>
      <c r="C2643" s="8" t="s">
        <v>1992</v>
      </c>
      <c r="D2643" s="9" t="s">
        <v>451</v>
      </c>
      <c r="E2643" s="8" t="s">
        <v>54</v>
      </c>
      <c r="F2643" s="8" t="s">
        <v>54</v>
      </c>
      <c r="G2643" s="10" t="s">
        <v>67</v>
      </c>
      <c r="H2643" s="8" t="s">
        <v>54</v>
      </c>
      <c r="I2643" s="8" t="s">
        <v>54</v>
      </c>
      <c r="J2643" s="8" t="s">
        <v>54</v>
      </c>
      <c r="K2643" s="8" t="s">
        <v>54</v>
      </c>
      <c r="L2643" s="8" t="s">
        <v>54</v>
      </c>
      <c r="M2643" s="8" t="s">
        <v>54</v>
      </c>
      <c r="N2643" s="10" t="s">
        <v>67</v>
      </c>
      <c r="O2643" s="8" t="s">
        <v>54</v>
      </c>
      <c r="P2643" s="8" t="s">
        <v>54</v>
      </c>
      <c r="Q2643" s="8" t="s">
        <v>54</v>
      </c>
      <c r="R2643" s="8" t="s">
        <v>54</v>
      </c>
      <c r="S2643" s="8" t="s">
        <v>54</v>
      </c>
      <c r="T2643" s="8" t="s">
        <v>54</v>
      </c>
      <c r="U2643" s="10" t="s">
        <v>67</v>
      </c>
      <c r="V2643" s="12" t="s">
        <v>55</v>
      </c>
      <c r="W2643" s="12" t="s">
        <v>55</v>
      </c>
      <c r="X2643" s="12" t="s">
        <v>55</v>
      </c>
      <c r="Y2643" s="8" t="s">
        <v>54</v>
      </c>
      <c r="Z2643" s="8" t="s">
        <v>54</v>
      </c>
      <c r="AA2643" s="12" t="s">
        <v>55</v>
      </c>
      <c r="AB2643" s="10" t="s">
        <v>67</v>
      </c>
      <c r="AC2643" s="8" t="s">
        <v>54</v>
      </c>
      <c r="AD2643" s="8" t="s">
        <v>54</v>
      </c>
      <c r="AE2643" s="8" t="s">
        <v>54</v>
      </c>
      <c r="AF2643" s="8" t="s">
        <v>54</v>
      </c>
      <c r="AG2643" s="8" t="s">
        <v>54</v>
      </c>
      <c r="AH2643" s="8" t="s">
        <v>54</v>
      </c>
      <c r="AI2643" s="10" t="s">
        <v>67</v>
      </c>
      <c r="AJ2643" s="8">
        <f>COUNTIF($E$2643:$AI$2643,"P")</f>
        <v>22</v>
      </c>
      <c r="AK2643" s="8">
        <f>COUNTIF($E$2643:$AI$2643,"A")</f>
        <v>4</v>
      </c>
      <c r="AL2643" s="8">
        <f>SUM($E$2644:$AI$2644)</f>
        <v>23</v>
      </c>
      <c r="AM2643" s="8">
        <f>SUM($E$2645:$AI$2645)</f>
        <v>58</v>
      </c>
      <c r="AN2643" s="8">
        <f>AL2643+AM2643</f>
        <v>81</v>
      </c>
      <c r="AO2643" s="8">
        <f>COUNTIF($E$2643:$AI$2643,"CL")</f>
        <v>0</v>
      </c>
      <c r="AP2643" s="8">
        <f>COUNTIF($E$2643:$AI$2643,"SL")</f>
        <v>0</v>
      </c>
      <c r="AQ2643" s="8">
        <f>COUNTIF($E$2643:$AI$2643,"EL")</f>
        <v>0</v>
      </c>
      <c r="AR2643" s="8">
        <f>COUNTIF($E$2643:$AI$2643,"H")</f>
        <v>0</v>
      </c>
      <c r="AS2643" s="8"/>
      <c r="AT2643" s="11" t="s">
        <v>261</v>
      </c>
    </row>
    <row r="2644" spans="1:46" ht="15.1" customHeight="1">
      <c r="A2644" s="8"/>
      <c r="B2644" s="9"/>
      <c r="C2644" s="8"/>
      <c r="D2644" s="9"/>
      <c r="E2644" s="8">
        <v>2</v>
      </c>
      <c r="F2644" s="8">
        <v>2</v>
      </c>
      <c r="G2644" s="8">
        <v>0</v>
      </c>
      <c r="H2644" s="8">
        <v>2</v>
      </c>
      <c r="I2644" s="8">
        <v>2</v>
      </c>
      <c r="J2644" s="8">
        <v>2</v>
      </c>
      <c r="K2644" s="8">
        <v>0</v>
      </c>
      <c r="L2644" s="8">
        <v>2</v>
      </c>
      <c r="M2644" s="8">
        <v>2</v>
      </c>
      <c r="N2644" s="8">
        <v>0</v>
      </c>
      <c r="O2644" s="8">
        <v>2</v>
      </c>
      <c r="P2644" s="8">
        <v>2</v>
      </c>
      <c r="Q2644" s="8">
        <v>2</v>
      </c>
      <c r="R2644" s="8">
        <v>2</v>
      </c>
      <c r="S2644" s="8">
        <v>1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11" t="s">
        <v>261</v>
      </c>
    </row>
    <row r="2645" spans="1:46" ht="15.1" customHeight="1">
      <c r="A2645" s="8"/>
      <c r="B2645" s="9"/>
      <c r="C2645" s="8"/>
      <c r="D2645" s="9"/>
      <c r="E2645" s="8">
        <v>4</v>
      </c>
      <c r="F2645" s="8">
        <v>3</v>
      </c>
      <c r="G2645" s="8">
        <v>0</v>
      </c>
      <c r="H2645" s="8">
        <v>5</v>
      </c>
      <c r="I2645" s="8">
        <v>5</v>
      </c>
      <c r="J2645" s="8">
        <v>5</v>
      </c>
      <c r="K2645" s="8">
        <v>0</v>
      </c>
      <c r="L2645" s="8">
        <v>4</v>
      </c>
      <c r="M2645" s="8">
        <v>5</v>
      </c>
      <c r="N2645" s="8">
        <v>14</v>
      </c>
      <c r="O2645" s="8">
        <v>1</v>
      </c>
      <c r="P2645" s="8">
        <v>1</v>
      </c>
      <c r="Q2645" s="8">
        <v>1</v>
      </c>
      <c r="R2645" s="8">
        <v>10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11" t="s">
        <v>261</v>
      </c>
    </row>
    <row r="2646" spans="1:46" ht="15.1" customHeight="1">
      <c r="A2646" s="8">
        <v>881</v>
      </c>
      <c r="B2646" s="9" t="s">
        <v>1993</v>
      </c>
      <c r="C2646" s="8" t="s">
        <v>1994</v>
      </c>
      <c r="D2646" s="9" t="s">
        <v>451</v>
      </c>
      <c r="E2646" s="8" t="s">
        <v>54</v>
      </c>
      <c r="F2646" s="8" t="s">
        <v>54</v>
      </c>
      <c r="G2646" s="10" t="s">
        <v>67</v>
      </c>
      <c r="H2646" s="8" t="s">
        <v>54</v>
      </c>
      <c r="I2646" s="8" t="s">
        <v>54</v>
      </c>
      <c r="J2646" s="8" t="s">
        <v>54</v>
      </c>
      <c r="K2646" s="8" t="s">
        <v>54</v>
      </c>
      <c r="L2646" s="12" t="s">
        <v>55</v>
      </c>
      <c r="M2646" s="12" t="s">
        <v>55</v>
      </c>
      <c r="N2646" s="10" t="s">
        <v>67</v>
      </c>
      <c r="O2646" s="8" t="s">
        <v>54</v>
      </c>
      <c r="P2646" s="8" t="s">
        <v>54</v>
      </c>
      <c r="Q2646" s="8" t="s">
        <v>54</v>
      </c>
      <c r="R2646" s="8" t="s">
        <v>54</v>
      </c>
      <c r="S2646" s="12" t="s">
        <v>55</v>
      </c>
      <c r="T2646" s="8" t="s">
        <v>54</v>
      </c>
      <c r="U2646" s="10" t="s">
        <v>67</v>
      </c>
      <c r="V2646" s="8" t="s">
        <v>54</v>
      </c>
      <c r="W2646" s="8" t="s">
        <v>54</v>
      </c>
      <c r="X2646" s="12" t="s">
        <v>55</v>
      </c>
      <c r="Y2646" s="8" t="s">
        <v>54</v>
      </c>
      <c r="Z2646" s="8" t="s">
        <v>54</v>
      </c>
      <c r="AA2646" s="8" t="s">
        <v>54</v>
      </c>
      <c r="AB2646" s="10" t="s">
        <v>67</v>
      </c>
      <c r="AC2646" s="12" t="s">
        <v>55</v>
      </c>
      <c r="AD2646" s="8" t="s">
        <v>54</v>
      </c>
      <c r="AE2646" s="8" t="s">
        <v>54</v>
      </c>
      <c r="AF2646" s="8" t="s">
        <v>54</v>
      </c>
      <c r="AG2646" s="8" t="s">
        <v>54</v>
      </c>
      <c r="AH2646" s="12" t="s">
        <v>55</v>
      </c>
      <c r="AI2646" s="10" t="s">
        <v>67</v>
      </c>
      <c r="AJ2646" s="8">
        <f>COUNTIF($E$2646:$AI$2646,"P")</f>
        <v>20</v>
      </c>
      <c r="AK2646" s="8">
        <f>COUNTIF($E$2646:$AI$2646,"A")</f>
        <v>6</v>
      </c>
      <c r="AL2646" s="8">
        <f>SUM($E$2647:$AI$2647)</f>
        <v>18</v>
      </c>
      <c r="AM2646" s="8">
        <f>SUM($E$2648:$AI$2648)</f>
        <v>50</v>
      </c>
      <c r="AN2646" s="8">
        <f>AL2646+AM2646</f>
        <v>68</v>
      </c>
      <c r="AO2646" s="8">
        <f>COUNTIF($E$2646:$AI$2646,"CL")</f>
        <v>0</v>
      </c>
      <c r="AP2646" s="8">
        <f>COUNTIF($E$2646:$AI$2646,"SL")</f>
        <v>0</v>
      </c>
      <c r="AQ2646" s="8">
        <f>COUNTIF($E$2646:$AI$2646,"EL")</f>
        <v>0</v>
      </c>
      <c r="AR2646" s="8">
        <f>COUNTIF($E$2646:$AI$2646,"H")</f>
        <v>0</v>
      </c>
      <c r="AS2646" s="8"/>
      <c r="AT2646" s="11" t="s">
        <v>261</v>
      </c>
    </row>
    <row r="2647" spans="1:46" ht="15.1" customHeight="1">
      <c r="A2647" s="8"/>
      <c r="B2647" s="9"/>
      <c r="C2647" s="8"/>
      <c r="D2647" s="9"/>
      <c r="E2647" s="8">
        <v>2</v>
      </c>
      <c r="F2647" s="8">
        <v>2</v>
      </c>
      <c r="G2647" s="8">
        <v>0</v>
      </c>
      <c r="H2647" s="8">
        <v>0</v>
      </c>
      <c r="I2647" s="8">
        <v>2</v>
      </c>
      <c r="J2647" s="8">
        <v>2</v>
      </c>
      <c r="K2647" s="8">
        <v>2</v>
      </c>
      <c r="L2647" s="8">
        <v>0</v>
      </c>
      <c r="M2647" s="8">
        <v>0</v>
      </c>
      <c r="N2647" s="8">
        <v>0</v>
      </c>
      <c r="O2647" s="8">
        <v>2</v>
      </c>
      <c r="P2647" s="8">
        <v>2</v>
      </c>
      <c r="Q2647" s="8">
        <v>0</v>
      </c>
      <c r="R2647" s="8">
        <v>0</v>
      </c>
      <c r="S2647" s="8">
        <v>0</v>
      </c>
      <c r="T2647" s="8">
        <v>2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2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11" t="s">
        <v>261</v>
      </c>
    </row>
    <row r="2648" spans="1:46" ht="15.1" customHeight="1">
      <c r="A2648" s="8"/>
      <c r="B2648" s="9"/>
      <c r="C2648" s="8"/>
      <c r="D2648" s="9"/>
      <c r="E2648" s="8">
        <v>2</v>
      </c>
      <c r="F2648" s="8">
        <v>2</v>
      </c>
      <c r="G2648" s="8">
        <v>12</v>
      </c>
      <c r="H2648" s="8">
        <v>0</v>
      </c>
      <c r="I2648" s="8">
        <v>2</v>
      </c>
      <c r="J2648" s="8">
        <v>2</v>
      </c>
      <c r="K2648" s="8">
        <v>2</v>
      </c>
      <c r="L2648" s="8">
        <v>0</v>
      </c>
      <c r="M2648" s="8">
        <v>0</v>
      </c>
      <c r="N2648" s="8">
        <v>0</v>
      </c>
      <c r="O2648" s="8">
        <v>1</v>
      </c>
      <c r="P2648" s="8">
        <v>1</v>
      </c>
      <c r="Q2648" s="8">
        <v>0</v>
      </c>
      <c r="R2648" s="8">
        <v>0</v>
      </c>
      <c r="S2648" s="8">
        <v>0</v>
      </c>
      <c r="T2648" s="8">
        <v>10</v>
      </c>
      <c r="U2648" s="8">
        <v>5</v>
      </c>
      <c r="V2648" s="8">
        <v>0</v>
      </c>
      <c r="W2648" s="8">
        <v>0</v>
      </c>
      <c r="X2648" s="8">
        <v>0</v>
      </c>
      <c r="Y2648" s="8">
        <v>0</v>
      </c>
      <c r="Z2648" s="8">
        <v>11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11" t="s">
        <v>261</v>
      </c>
    </row>
    <row r="2649" spans="1:46" ht="15.1" customHeight="1">
      <c r="A2649" s="8">
        <v>882</v>
      </c>
      <c r="B2649" s="9" t="s">
        <v>1995</v>
      </c>
      <c r="C2649" s="8" t="s">
        <v>1996</v>
      </c>
      <c r="D2649" s="9" t="s">
        <v>451</v>
      </c>
      <c r="E2649" s="8" t="s">
        <v>54</v>
      </c>
      <c r="F2649" s="8" t="s">
        <v>54</v>
      </c>
      <c r="G2649" s="10" t="s">
        <v>67</v>
      </c>
      <c r="H2649" s="8" t="s">
        <v>54</v>
      </c>
      <c r="I2649" s="8" t="s">
        <v>54</v>
      </c>
      <c r="J2649" s="8" t="s">
        <v>54</v>
      </c>
      <c r="K2649" s="8" t="s">
        <v>54</v>
      </c>
      <c r="L2649" s="8" t="s">
        <v>54</v>
      </c>
      <c r="M2649" s="8" t="s">
        <v>54</v>
      </c>
      <c r="N2649" s="10" t="s">
        <v>67</v>
      </c>
      <c r="O2649" s="8" t="s">
        <v>54</v>
      </c>
      <c r="P2649" s="8" t="s">
        <v>54</v>
      </c>
      <c r="Q2649" s="8" t="s">
        <v>54</v>
      </c>
      <c r="R2649" s="8" t="s">
        <v>54</v>
      </c>
      <c r="S2649" s="8" t="s">
        <v>54</v>
      </c>
      <c r="T2649" s="8" t="s">
        <v>54</v>
      </c>
      <c r="U2649" s="10" t="s">
        <v>67</v>
      </c>
      <c r="V2649" s="8" t="s">
        <v>54</v>
      </c>
      <c r="W2649" s="8" t="s">
        <v>54</v>
      </c>
      <c r="X2649" s="8" t="s">
        <v>54</v>
      </c>
      <c r="Y2649" s="8" t="s">
        <v>54</v>
      </c>
      <c r="Z2649" s="8" t="s">
        <v>54</v>
      </c>
      <c r="AA2649" s="12" t="s">
        <v>55</v>
      </c>
      <c r="AB2649" s="10" t="s">
        <v>67</v>
      </c>
      <c r="AC2649" s="8" t="s">
        <v>54</v>
      </c>
      <c r="AD2649" s="8" t="s">
        <v>54</v>
      </c>
      <c r="AE2649" s="8" t="s">
        <v>54</v>
      </c>
      <c r="AF2649" s="8" t="s">
        <v>54</v>
      </c>
      <c r="AG2649" s="8" t="s">
        <v>54</v>
      </c>
      <c r="AH2649" s="8" t="s">
        <v>54</v>
      </c>
      <c r="AI2649" s="10" t="s">
        <v>67</v>
      </c>
      <c r="AJ2649" s="8">
        <f>COUNTIF($E$2649:$AI$2649,"P")</f>
        <v>25</v>
      </c>
      <c r="AK2649" s="8">
        <f>COUNTIF($E$2649:$AI$2649,"A")</f>
        <v>1</v>
      </c>
      <c r="AL2649" s="8">
        <f>SUM($E$2650:$AI$2650)</f>
        <v>28</v>
      </c>
      <c r="AM2649" s="8">
        <f>SUM($E$2651:$AI$2651)</f>
        <v>67.5</v>
      </c>
      <c r="AN2649" s="8">
        <f>AL2649+AM2649</f>
        <v>95.5</v>
      </c>
      <c r="AO2649" s="8">
        <f>COUNTIF($E$2649:$AI$2649,"CL")</f>
        <v>0</v>
      </c>
      <c r="AP2649" s="8">
        <f>COUNTIF($E$2649:$AI$2649,"SL")</f>
        <v>0</v>
      </c>
      <c r="AQ2649" s="8">
        <f>COUNTIF($E$2649:$AI$2649,"EL")</f>
        <v>0</v>
      </c>
      <c r="AR2649" s="8">
        <f>COUNTIF($E$2649:$AI$2649,"H")</f>
        <v>0</v>
      </c>
      <c r="AS2649" s="8"/>
      <c r="AT2649" s="11" t="s">
        <v>261</v>
      </c>
    </row>
    <row r="2650" spans="1:46" ht="15.1" customHeight="1">
      <c r="A2650" s="8"/>
      <c r="B2650" s="9"/>
      <c r="C2650" s="8"/>
      <c r="D2650" s="9"/>
      <c r="E2650" s="8">
        <v>2</v>
      </c>
      <c r="F2650" s="8">
        <v>2</v>
      </c>
      <c r="G2650" s="8">
        <v>0</v>
      </c>
      <c r="H2650" s="8">
        <v>2</v>
      </c>
      <c r="I2650" s="8">
        <v>2</v>
      </c>
      <c r="J2650" s="8">
        <v>2</v>
      </c>
      <c r="K2650" s="8">
        <v>2</v>
      </c>
      <c r="L2650" s="8">
        <v>2</v>
      </c>
      <c r="M2650" s="8">
        <v>2</v>
      </c>
      <c r="N2650" s="8">
        <v>0</v>
      </c>
      <c r="O2650" s="8">
        <v>2</v>
      </c>
      <c r="P2650" s="8">
        <v>2</v>
      </c>
      <c r="Q2650" s="8">
        <v>0</v>
      </c>
      <c r="R2650" s="8">
        <v>2</v>
      </c>
      <c r="S2650" s="8">
        <v>2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2</v>
      </c>
      <c r="AF2650" s="8">
        <v>2</v>
      </c>
      <c r="AG2650" s="8">
        <v>0</v>
      </c>
      <c r="AH2650" s="8">
        <v>0</v>
      </c>
      <c r="AI2650" s="8">
        <v>0</v>
      </c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11" t="s">
        <v>261</v>
      </c>
    </row>
    <row r="2651" spans="1:46" ht="15.1" customHeight="1">
      <c r="A2651" s="8"/>
      <c r="B2651" s="9"/>
      <c r="C2651" s="8"/>
      <c r="D2651" s="9"/>
      <c r="E2651" s="8">
        <v>2</v>
      </c>
      <c r="F2651" s="8">
        <v>2</v>
      </c>
      <c r="G2651" s="8">
        <v>12</v>
      </c>
      <c r="H2651" s="8">
        <v>2</v>
      </c>
      <c r="I2651" s="8">
        <v>2</v>
      </c>
      <c r="J2651" s="8">
        <v>2</v>
      </c>
      <c r="K2651" s="8">
        <v>2</v>
      </c>
      <c r="L2651" s="8">
        <v>2</v>
      </c>
      <c r="M2651" s="8">
        <v>11.5</v>
      </c>
      <c r="N2651" s="8">
        <v>0</v>
      </c>
      <c r="O2651" s="8">
        <v>1</v>
      </c>
      <c r="P2651" s="8">
        <v>1</v>
      </c>
      <c r="Q2651" s="8">
        <v>0</v>
      </c>
      <c r="R2651" s="8">
        <v>1</v>
      </c>
      <c r="S2651" s="8">
        <v>1</v>
      </c>
      <c r="T2651" s="8">
        <v>0</v>
      </c>
      <c r="U2651" s="8">
        <v>5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0</v>
      </c>
      <c r="AE2651" s="8">
        <v>10.5</v>
      </c>
      <c r="AF2651" s="8">
        <v>10.5</v>
      </c>
      <c r="AG2651" s="8">
        <v>0</v>
      </c>
      <c r="AH2651" s="8">
        <v>0</v>
      </c>
      <c r="AI2651" s="8">
        <v>0</v>
      </c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11" t="s">
        <v>261</v>
      </c>
    </row>
    <row r="2652" spans="1:46" ht="15.1" customHeight="1">
      <c r="A2652" s="8">
        <v>883</v>
      </c>
      <c r="B2652" s="9" t="s">
        <v>1997</v>
      </c>
      <c r="C2652" s="8" t="s">
        <v>1998</v>
      </c>
      <c r="D2652" s="9" t="s">
        <v>451</v>
      </c>
      <c r="E2652" s="8" t="s">
        <v>54</v>
      </c>
      <c r="F2652" s="8" t="s">
        <v>54</v>
      </c>
      <c r="G2652" s="10" t="s">
        <v>67</v>
      </c>
      <c r="H2652" s="8" t="s">
        <v>54</v>
      </c>
      <c r="I2652" s="8" t="s">
        <v>54</v>
      </c>
      <c r="J2652" s="8" t="s">
        <v>54</v>
      </c>
      <c r="K2652" s="8" t="s">
        <v>54</v>
      </c>
      <c r="L2652" s="8" t="s">
        <v>54</v>
      </c>
      <c r="M2652" s="8" t="s">
        <v>54</v>
      </c>
      <c r="N2652" s="10" t="s">
        <v>67</v>
      </c>
      <c r="O2652" s="8" t="s">
        <v>54</v>
      </c>
      <c r="P2652" s="8" t="s">
        <v>54</v>
      </c>
      <c r="Q2652" s="8" t="s">
        <v>54</v>
      </c>
      <c r="R2652" s="8" t="s">
        <v>54</v>
      </c>
      <c r="S2652" s="8" t="s">
        <v>54</v>
      </c>
      <c r="T2652" s="8" t="s">
        <v>54</v>
      </c>
      <c r="U2652" s="10" t="s">
        <v>67</v>
      </c>
      <c r="V2652" s="8" t="s">
        <v>54</v>
      </c>
      <c r="W2652" s="8" t="s">
        <v>54</v>
      </c>
      <c r="X2652" s="8" t="s">
        <v>54</v>
      </c>
      <c r="Y2652" s="8" t="s">
        <v>54</v>
      </c>
      <c r="Z2652" s="8" t="s">
        <v>54</v>
      </c>
      <c r="AA2652" s="8" t="s">
        <v>54</v>
      </c>
      <c r="AB2652" s="10" t="s">
        <v>67</v>
      </c>
      <c r="AC2652" s="8" t="s">
        <v>54</v>
      </c>
      <c r="AD2652" s="8" t="s">
        <v>54</v>
      </c>
      <c r="AE2652" s="8" t="s">
        <v>54</v>
      </c>
      <c r="AF2652" s="8" t="s">
        <v>54</v>
      </c>
      <c r="AG2652" s="8" t="s">
        <v>54</v>
      </c>
      <c r="AH2652" s="8" t="s">
        <v>54</v>
      </c>
      <c r="AI2652" s="10" t="s">
        <v>67</v>
      </c>
      <c r="AJ2652" s="8">
        <f>COUNTIF($E$2652:$AI$2652,"P")</f>
        <v>26</v>
      </c>
      <c r="AK2652" s="8">
        <f>COUNTIF($E$2652:$AI$2652,"A")</f>
        <v>0</v>
      </c>
      <c r="AL2652" s="8">
        <f>SUM($E$2653:$AI$2653)</f>
        <v>28</v>
      </c>
      <c r="AM2652" s="8">
        <f>SUM($E$2654:$AI$2654)</f>
        <v>101.5</v>
      </c>
      <c r="AN2652" s="8">
        <f>AL2652+AM2652</f>
        <v>129.5</v>
      </c>
      <c r="AO2652" s="8">
        <f>COUNTIF($E$2652:$AI$2652,"CL")</f>
        <v>0</v>
      </c>
      <c r="AP2652" s="8">
        <f>COUNTIF($E$2652:$AI$2652,"SL")</f>
        <v>0</v>
      </c>
      <c r="AQ2652" s="8">
        <f>COUNTIF($E$2652:$AI$2652,"EL")</f>
        <v>0</v>
      </c>
      <c r="AR2652" s="8">
        <f>COUNTIF($E$2652:$AI$2652,"H")</f>
        <v>0</v>
      </c>
      <c r="AS2652" s="8"/>
      <c r="AT2652" s="11" t="s">
        <v>261</v>
      </c>
    </row>
    <row r="2653" spans="1:46" ht="15.1" customHeight="1">
      <c r="A2653" s="8"/>
      <c r="B2653" s="9"/>
      <c r="C2653" s="8"/>
      <c r="D2653" s="9"/>
      <c r="E2653" s="8">
        <v>2</v>
      </c>
      <c r="F2653" s="8">
        <v>2</v>
      </c>
      <c r="G2653" s="8">
        <v>0</v>
      </c>
      <c r="H2653" s="8">
        <v>2</v>
      </c>
      <c r="I2653" s="8">
        <v>2</v>
      </c>
      <c r="J2653" s="8">
        <v>2</v>
      </c>
      <c r="K2653" s="8">
        <v>2</v>
      </c>
      <c r="L2653" s="8">
        <v>2</v>
      </c>
      <c r="M2653" s="8">
        <v>2</v>
      </c>
      <c r="N2653" s="8">
        <v>0</v>
      </c>
      <c r="O2653" s="8">
        <v>2</v>
      </c>
      <c r="P2653" s="8">
        <v>2</v>
      </c>
      <c r="Q2653" s="8">
        <v>2</v>
      </c>
      <c r="R2653" s="8">
        <v>2</v>
      </c>
      <c r="S2653" s="8">
        <v>0</v>
      </c>
      <c r="T2653" s="8">
        <v>0</v>
      </c>
      <c r="U2653" s="8">
        <v>0</v>
      </c>
      <c r="V2653" s="8">
        <v>0</v>
      </c>
      <c r="W2653" s="8">
        <v>0</v>
      </c>
      <c r="X2653" s="8">
        <v>0</v>
      </c>
      <c r="Y2653" s="8">
        <v>2</v>
      </c>
      <c r="Z2653" s="8">
        <v>2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0</v>
      </c>
      <c r="AH2653" s="8">
        <v>0</v>
      </c>
      <c r="AI2653" s="8">
        <v>0</v>
      </c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11" t="s">
        <v>261</v>
      </c>
    </row>
    <row r="2654" spans="1:46" ht="15.1" customHeight="1">
      <c r="A2654" s="8"/>
      <c r="B2654" s="9"/>
      <c r="C2654" s="8"/>
      <c r="D2654" s="9"/>
      <c r="E2654" s="8">
        <v>4</v>
      </c>
      <c r="F2654" s="8">
        <v>3</v>
      </c>
      <c r="G2654" s="8">
        <v>14</v>
      </c>
      <c r="H2654" s="8">
        <v>5</v>
      </c>
      <c r="I2654" s="8">
        <v>5</v>
      </c>
      <c r="J2654" s="8">
        <v>5</v>
      </c>
      <c r="K2654" s="8">
        <v>5</v>
      </c>
      <c r="L2654" s="8">
        <v>4</v>
      </c>
      <c r="M2654" s="8">
        <v>5</v>
      </c>
      <c r="N2654" s="8">
        <v>18</v>
      </c>
      <c r="O2654" s="8">
        <v>1</v>
      </c>
      <c r="P2654" s="8">
        <v>1</v>
      </c>
      <c r="Q2654" s="8">
        <v>1</v>
      </c>
      <c r="R2654" s="8">
        <v>10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9.5</v>
      </c>
      <c r="Z2654" s="8">
        <v>11</v>
      </c>
      <c r="AA2654" s="8">
        <v>0</v>
      </c>
      <c r="AB2654" s="8">
        <v>0</v>
      </c>
      <c r="AC2654" s="8">
        <v>0</v>
      </c>
      <c r="AD2654" s="8">
        <v>0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11" t="s">
        <v>261</v>
      </c>
    </row>
    <row r="2655" spans="1:46" ht="15.1" customHeight="1">
      <c r="A2655" s="8">
        <v>884</v>
      </c>
      <c r="B2655" s="9" t="s">
        <v>1999</v>
      </c>
      <c r="C2655" s="8" t="s">
        <v>2000</v>
      </c>
      <c r="D2655" s="9" t="s">
        <v>451</v>
      </c>
      <c r="E2655" s="8" t="s">
        <v>54</v>
      </c>
      <c r="F2655" s="8" t="s">
        <v>54</v>
      </c>
      <c r="G2655" s="10" t="s">
        <v>67</v>
      </c>
      <c r="H2655" s="8" t="s">
        <v>54</v>
      </c>
      <c r="I2655" s="8" t="s">
        <v>54</v>
      </c>
      <c r="J2655" s="8" t="s">
        <v>54</v>
      </c>
      <c r="K2655" s="8" t="s">
        <v>54</v>
      </c>
      <c r="L2655" s="8" t="s">
        <v>54</v>
      </c>
      <c r="M2655" s="8" t="s">
        <v>54</v>
      </c>
      <c r="N2655" s="10" t="s">
        <v>67</v>
      </c>
      <c r="O2655" s="8" t="s">
        <v>54</v>
      </c>
      <c r="P2655" s="8" t="s">
        <v>54</v>
      </c>
      <c r="Q2655" s="8" t="s">
        <v>54</v>
      </c>
      <c r="R2655" s="8" t="s">
        <v>54</v>
      </c>
      <c r="S2655" s="8" t="s">
        <v>54</v>
      </c>
      <c r="T2655" s="8" t="s">
        <v>54</v>
      </c>
      <c r="U2655" s="10" t="s">
        <v>67</v>
      </c>
      <c r="V2655" s="8" t="s">
        <v>54</v>
      </c>
      <c r="W2655" s="8" t="s">
        <v>54</v>
      </c>
      <c r="X2655" s="8" t="s">
        <v>54</v>
      </c>
      <c r="Y2655" s="8" t="s">
        <v>54</v>
      </c>
      <c r="Z2655" s="12" t="s">
        <v>55</v>
      </c>
      <c r="AA2655" s="12" t="s">
        <v>55</v>
      </c>
      <c r="AB2655" s="10" t="s">
        <v>67</v>
      </c>
      <c r="AC2655" s="8" t="s">
        <v>54</v>
      </c>
      <c r="AD2655" s="8" t="s">
        <v>54</v>
      </c>
      <c r="AE2655" s="8" t="s">
        <v>54</v>
      </c>
      <c r="AF2655" s="12" t="s">
        <v>55</v>
      </c>
      <c r="AG2655" s="8" t="s">
        <v>54</v>
      </c>
      <c r="AH2655" s="12" t="s">
        <v>55</v>
      </c>
      <c r="AI2655" s="10" t="s">
        <v>67</v>
      </c>
      <c r="AJ2655" s="8">
        <f>COUNTIF($E$2655:$AI$2655,"P")</f>
        <v>22</v>
      </c>
      <c r="AK2655" s="8">
        <f>COUNTIF($E$2655:$AI$2655,"A")</f>
        <v>4</v>
      </c>
      <c r="AL2655" s="8">
        <f>SUM($E$2656:$AI$2656)</f>
        <v>24</v>
      </c>
      <c r="AM2655" s="8">
        <f>SUM($E$2657:$AI$2657)</f>
        <v>47.5</v>
      </c>
      <c r="AN2655" s="8">
        <f>AL2655+AM2655</f>
        <v>71.5</v>
      </c>
      <c r="AO2655" s="8">
        <f>COUNTIF($E$2655:$AI$2655,"CL")</f>
        <v>0</v>
      </c>
      <c r="AP2655" s="8">
        <f>COUNTIF($E$2655:$AI$2655,"SL")</f>
        <v>0</v>
      </c>
      <c r="AQ2655" s="8">
        <f>COUNTIF($E$2655:$AI$2655,"EL")</f>
        <v>0</v>
      </c>
      <c r="AR2655" s="8">
        <f>COUNTIF($E$2655:$AI$2655,"H")</f>
        <v>0</v>
      </c>
      <c r="AS2655" s="8"/>
      <c r="AT2655" s="11" t="s">
        <v>261</v>
      </c>
    </row>
    <row r="2656" spans="1:46" ht="15.1" customHeight="1">
      <c r="A2656" s="8"/>
      <c r="B2656" s="9"/>
      <c r="C2656" s="8"/>
      <c r="D2656" s="9"/>
      <c r="E2656" s="8">
        <v>2</v>
      </c>
      <c r="F2656" s="8">
        <v>2</v>
      </c>
      <c r="G2656" s="8">
        <v>0</v>
      </c>
      <c r="H2656" s="8">
        <v>0</v>
      </c>
      <c r="I2656" s="8">
        <v>2</v>
      </c>
      <c r="J2656" s="8">
        <v>2</v>
      </c>
      <c r="K2656" s="8">
        <v>0</v>
      </c>
      <c r="L2656" s="8">
        <v>0</v>
      </c>
      <c r="M2656" s="8">
        <v>2</v>
      </c>
      <c r="N2656" s="8">
        <v>0</v>
      </c>
      <c r="O2656" s="8">
        <v>2</v>
      </c>
      <c r="P2656" s="8">
        <v>0</v>
      </c>
      <c r="Q2656" s="8">
        <v>2</v>
      </c>
      <c r="R2656" s="8">
        <v>2</v>
      </c>
      <c r="S2656" s="8">
        <v>2</v>
      </c>
      <c r="T2656" s="8">
        <v>0</v>
      </c>
      <c r="U2656" s="8">
        <v>0</v>
      </c>
      <c r="V2656" s="8">
        <v>2</v>
      </c>
      <c r="W2656" s="8">
        <v>2</v>
      </c>
      <c r="X2656" s="8">
        <v>0</v>
      </c>
      <c r="Y2656" s="8">
        <v>2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11" t="s">
        <v>261</v>
      </c>
    </row>
    <row r="2657" spans="1:46" ht="15.1" customHeight="1">
      <c r="A2657" s="8"/>
      <c r="B2657" s="9"/>
      <c r="C2657" s="8"/>
      <c r="D2657" s="9"/>
      <c r="E2657" s="8">
        <v>2</v>
      </c>
      <c r="F2657" s="8">
        <v>2</v>
      </c>
      <c r="G2657" s="8">
        <v>0</v>
      </c>
      <c r="H2657" s="8">
        <v>0</v>
      </c>
      <c r="I2657" s="8">
        <v>2</v>
      </c>
      <c r="J2657" s="8">
        <v>2</v>
      </c>
      <c r="K2657" s="8">
        <v>0</v>
      </c>
      <c r="L2657" s="8">
        <v>0</v>
      </c>
      <c r="M2657" s="8">
        <v>1.5</v>
      </c>
      <c r="N2657" s="8">
        <v>0</v>
      </c>
      <c r="O2657" s="8">
        <v>1</v>
      </c>
      <c r="P2657" s="8">
        <v>0</v>
      </c>
      <c r="Q2657" s="8">
        <v>1</v>
      </c>
      <c r="R2657" s="8">
        <v>1</v>
      </c>
      <c r="S2657" s="8">
        <v>1</v>
      </c>
      <c r="T2657" s="8">
        <v>0</v>
      </c>
      <c r="U2657" s="8">
        <v>5</v>
      </c>
      <c r="V2657" s="8">
        <v>9</v>
      </c>
      <c r="W2657" s="8">
        <v>9</v>
      </c>
      <c r="X2657" s="8">
        <v>0</v>
      </c>
      <c r="Y2657" s="8">
        <v>11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11" t="s">
        <v>261</v>
      </c>
    </row>
    <row r="2658" spans="1:46" ht="15.1" customHeight="1">
      <c r="A2658" s="8">
        <v>885</v>
      </c>
      <c r="B2658" s="9" t="s">
        <v>1216</v>
      </c>
      <c r="C2658" s="8" t="s">
        <v>2001</v>
      </c>
      <c r="D2658" s="9" t="s">
        <v>451</v>
      </c>
      <c r="E2658" s="8" t="s">
        <v>54</v>
      </c>
      <c r="F2658" s="8" t="s">
        <v>54</v>
      </c>
      <c r="G2658" s="10" t="s">
        <v>67</v>
      </c>
      <c r="H2658" s="8" t="s">
        <v>54</v>
      </c>
      <c r="I2658" s="8" t="s">
        <v>54</v>
      </c>
      <c r="J2658" s="8" t="s">
        <v>54</v>
      </c>
      <c r="K2658" s="8" t="s">
        <v>54</v>
      </c>
      <c r="L2658" s="8" t="s">
        <v>54</v>
      </c>
      <c r="M2658" s="8" t="s">
        <v>54</v>
      </c>
      <c r="N2658" s="10" t="s">
        <v>67</v>
      </c>
      <c r="O2658" s="8" t="s">
        <v>54</v>
      </c>
      <c r="P2658" s="8" t="s">
        <v>54</v>
      </c>
      <c r="Q2658" s="8" t="s">
        <v>54</v>
      </c>
      <c r="R2658" s="8" t="s">
        <v>54</v>
      </c>
      <c r="S2658" s="8" t="s">
        <v>54</v>
      </c>
      <c r="T2658" s="8" t="s">
        <v>54</v>
      </c>
      <c r="U2658" s="10" t="s">
        <v>67</v>
      </c>
      <c r="V2658" s="8" t="s">
        <v>54</v>
      </c>
      <c r="W2658" s="8" t="s">
        <v>54</v>
      </c>
      <c r="X2658" s="8" t="s">
        <v>54</v>
      </c>
      <c r="Y2658" s="8" t="s">
        <v>54</v>
      </c>
      <c r="Z2658" s="8" t="s">
        <v>54</v>
      </c>
      <c r="AA2658" s="12" t="s">
        <v>55</v>
      </c>
      <c r="AB2658" s="10" t="s">
        <v>67</v>
      </c>
      <c r="AC2658" s="8" t="s">
        <v>54</v>
      </c>
      <c r="AD2658" s="8" t="s">
        <v>54</v>
      </c>
      <c r="AE2658" s="8" t="s">
        <v>54</v>
      </c>
      <c r="AF2658" s="8" t="s">
        <v>54</v>
      </c>
      <c r="AG2658" s="8" t="s">
        <v>54</v>
      </c>
      <c r="AH2658" s="8" t="s">
        <v>54</v>
      </c>
      <c r="AI2658" s="10" t="s">
        <v>67</v>
      </c>
      <c r="AJ2658" s="8">
        <f>COUNTIF($E$2658:$AI$2658,"P")</f>
        <v>25</v>
      </c>
      <c r="AK2658" s="8">
        <f>COUNTIF($E$2658:$AI$2658,"A")</f>
        <v>1</v>
      </c>
      <c r="AL2658" s="8">
        <f>SUM($E$2659:$AI$2659)</f>
        <v>32</v>
      </c>
      <c r="AM2658" s="8">
        <f>SUM($E$2660:$AI$2660)</f>
        <v>87.5</v>
      </c>
      <c r="AN2658" s="8">
        <f>AL2658+AM2658</f>
        <v>119.5</v>
      </c>
      <c r="AO2658" s="8">
        <f>COUNTIF($E$2658:$AI$2658,"CL")</f>
        <v>0</v>
      </c>
      <c r="AP2658" s="8">
        <f>COUNTIF($E$2658:$AI$2658,"SL")</f>
        <v>0</v>
      </c>
      <c r="AQ2658" s="8">
        <f>COUNTIF($E$2658:$AI$2658,"EL")</f>
        <v>0</v>
      </c>
      <c r="AR2658" s="8">
        <f>COUNTIF($E$2658:$AI$2658,"H")</f>
        <v>0</v>
      </c>
      <c r="AS2658" s="8"/>
      <c r="AT2658" s="11" t="s">
        <v>261</v>
      </c>
    </row>
    <row r="2659" spans="1:46" ht="15.1" customHeight="1">
      <c r="A2659" s="8"/>
      <c r="B2659" s="9"/>
      <c r="C2659" s="8"/>
      <c r="D2659" s="9"/>
      <c r="E2659" s="8">
        <v>2</v>
      </c>
      <c r="F2659" s="8">
        <v>2</v>
      </c>
      <c r="G2659" s="8">
        <v>0</v>
      </c>
      <c r="H2659" s="8">
        <v>2</v>
      </c>
      <c r="I2659" s="8">
        <v>2</v>
      </c>
      <c r="J2659" s="8">
        <v>2</v>
      </c>
      <c r="K2659" s="8">
        <v>2</v>
      </c>
      <c r="L2659" s="8">
        <v>2</v>
      </c>
      <c r="M2659" s="8">
        <v>2</v>
      </c>
      <c r="N2659" s="8">
        <v>0</v>
      </c>
      <c r="O2659" s="8">
        <v>2</v>
      </c>
      <c r="P2659" s="8">
        <v>2</v>
      </c>
      <c r="Q2659" s="8">
        <v>0</v>
      </c>
      <c r="R2659" s="8">
        <v>2</v>
      </c>
      <c r="S2659" s="8">
        <v>2</v>
      </c>
      <c r="T2659" s="8">
        <v>2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2</v>
      </c>
      <c r="AF2659" s="8">
        <v>2</v>
      </c>
      <c r="AG2659" s="8">
        <v>2</v>
      </c>
      <c r="AH2659" s="8">
        <v>0</v>
      </c>
      <c r="AI2659" s="8">
        <v>0</v>
      </c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11" t="s">
        <v>261</v>
      </c>
    </row>
    <row r="2660" spans="1:46" ht="15.1" customHeight="1">
      <c r="A2660" s="8"/>
      <c r="B2660" s="9"/>
      <c r="C2660" s="8"/>
      <c r="D2660" s="9"/>
      <c r="E2660" s="8">
        <v>2</v>
      </c>
      <c r="F2660" s="8">
        <v>2</v>
      </c>
      <c r="G2660" s="8">
        <v>12</v>
      </c>
      <c r="H2660" s="8">
        <v>2</v>
      </c>
      <c r="I2660" s="8">
        <v>2</v>
      </c>
      <c r="J2660" s="8">
        <v>2</v>
      </c>
      <c r="K2660" s="8">
        <v>2</v>
      </c>
      <c r="L2660" s="8">
        <v>2</v>
      </c>
      <c r="M2660" s="8">
        <v>11</v>
      </c>
      <c r="N2660" s="8">
        <v>0</v>
      </c>
      <c r="O2660" s="8">
        <v>1</v>
      </c>
      <c r="P2660" s="8">
        <v>1</v>
      </c>
      <c r="Q2660" s="8">
        <v>0</v>
      </c>
      <c r="R2660" s="8">
        <v>1</v>
      </c>
      <c r="S2660" s="8">
        <v>1</v>
      </c>
      <c r="T2660" s="8">
        <v>11</v>
      </c>
      <c r="U2660" s="8">
        <v>5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8">
        <v>10.5</v>
      </c>
      <c r="AF2660" s="8">
        <v>10.5</v>
      </c>
      <c r="AG2660" s="8">
        <v>9.5</v>
      </c>
      <c r="AH2660" s="8">
        <v>0</v>
      </c>
      <c r="AI2660" s="8">
        <v>0</v>
      </c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11" t="s">
        <v>261</v>
      </c>
    </row>
    <row r="2661" spans="1:46" ht="15.1" customHeight="1">
      <c r="A2661" s="8">
        <v>886</v>
      </c>
      <c r="B2661" s="9" t="s">
        <v>2002</v>
      </c>
      <c r="C2661" s="8" t="s">
        <v>2003</v>
      </c>
      <c r="D2661" s="9" t="s">
        <v>451</v>
      </c>
      <c r="E2661" s="8" t="s">
        <v>54</v>
      </c>
      <c r="F2661" s="8" t="s">
        <v>54</v>
      </c>
      <c r="G2661" s="10" t="s">
        <v>67</v>
      </c>
      <c r="H2661" s="8" t="s">
        <v>54</v>
      </c>
      <c r="I2661" s="8" t="s">
        <v>54</v>
      </c>
      <c r="J2661" s="8" t="s">
        <v>54</v>
      </c>
      <c r="K2661" s="8" t="s">
        <v>54</v>
      </c>
      <c r="L2661" s="8" t="s">
        <v>54</v>
      </c>
      <c r="M2661" s="12" t="s">
        <v>55</v>
      </c>
      <c r="N2661" s="10" t="s">
        <v>67</v>
      </c>
      <c r="O2661" s="12" t="s">
        <v>55</v>
      </c>
      <c r="P2661" s="8" t="s">
        <v>54</v>
      </c>
      <c r="Q2661" s="8" t="s">
        <v>54</v>
      </c>
      <c r="R2661" s="8" t="s">
        <v>54</v>
      </c>
      <c r="S2661" s="8" t="s">
        <v>54</v>
      </c>
      <c r="T2661" s="8" t="s">
        <v>54</v>
      </c>
      <c r="U2661" s="10" t="s">
        <v>67</v>
      </c>
      <c r="V2661" s="12" t="s">
        <v>55</v>
      </c>
      <c r="W2661" s="8" t="s">
        <v>54</v>
      </c>
      <c r="X2661" s="8" t="s">
        <v>54</v>
      </c>
      <c r="Y2661" s="8" t="s">
        <v>54</v>
      </c>
      <c r="Z2661" s="8" t="s">
        <v>54</v>
      </c>
      <c r="AA2661" s="8" t="s">
        <v>54</v>
      </c>
      <c r="AB2661" s="10" t="s">
        <v>67</v>
      </c>
      <c r="AC2661" s="8" t="s">
        <v>54</v>
      </c>
      <c r="AD2661" s="8" t="s">
        <v>54</v>
      </c>
      <c r="AE2661" s="8" t="s">
        <v>54</v>
      </c>
      <c r="AF2661" s="8" t="s">
        <v>54</v>
      </c>
      <c r="AG2661" s="8" t="s">
        <v>54</v>
      </c>
      <c r="AH2661" s="12" t="s">
        <v>55</v>
      </c>
      <c r="AI2661" s="10" t="s">
        <v>67</v>
      </c>
      <c r="AJ2661" s="8">
        <f>COUNTIF($E$2661:$AI$2661,"P")</f>
        <v>22</v>
      </c>
      <c r="AK2661" s="8">
        <f>COUNTIF($E$2661:$AI$2661,"A")</f>
        <v>4</v>
      </c>
      <c r="AL2661" s="8">
        <f>SUM($E$2662:$AI$2662)</f>
        <v>19</v>
      </c>
      <c r="AM2661" s="8">
        <f>SUM($E$2663:$AI$2663)</f>
        <v>52</v>
      </c>
      <c r="AN2661" s="8">
        <f>AL2661+AM2661</f>
        <v>71</v>
      </c>
      <c r="AO2661" s="8">
        <f>COUNTIF($E$2661:$AI$2661,"CL")</f>
        <v>0</v>
      </c>
      <c r="AP2661" s="8">
        <f>COUNTIF($E$2661:$AI$2661,"SL")</f>
        <v>0</v>
      </c>
      <c r="AQ2661" s="8">
        <f>COUNTIF($E$2661:$AI$2661,"EL")</f>
        <v>0</v>
      </c>
      <c r="AR2661" s="8">
        <f>COUNTIF($E$2661:$AI$2661,"H")</f>
        <v>0</v>
      </c>
      <c r="AS2661" s="8"/>
      <c r="AT2661" s="11" t="s">
        <v>261</v>
      </c>
    </row>
    <row r="2662" spans="1:46" ht="15.1" customHeight="1">
      <c r="A2662" s="8"/>
      <c r="B2662" s="9"/>
      <c r="C2662" s="8"/>
      <c r="D2662" s="9"/>
      <c r="E2662" s="8">
        <v>2</v>
      </c>
      <c r="F2662" s="8">
        <v>2</v>
      </c>
      <c r="G2662" s="8">
        <v>0</v>
      </c>
      <c r="H2662" s="8">
        <v>2</v>
      </c>
      <c r="I2662" s="8">
        <v>2</v>
      </c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2</v>
      </c>
      <c r="Q2662" s="8">
        <v>2</v>
      </c>
      <c r="R2662" s="8">
        <v>0</v>
      </c>
      <c r="S2662" s="8">
        <v>1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2</v>
      </c>
      <c r="AA2662" s="8">
        <v>0</v>
      </c>
      <c r="AB2662" s="8">
        <v>0</v>
      </c>
      <c r="AC2662" s="8">
        <v>0</v>
      </c>
      <c r="AD2662" s="8">
        <v>0</v>
      </c>
      <c r="AE2662" s="8">
        <v>2</v>
      </c>
      <c r="AF2662" s="8">
        <v>2</v>
      </c>
      <c r="AG2662" s="8">
        <v>0</v>
      </c>
      <c r="AH2662" s="8">
        <v>0</v>
      </c>
      <c r="AI2662" s="8">
        <v>0</v>
      </c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11" t="s">
        <v>261</v>
      </c>
    </row>
    <row r="2663" spans="1:46" ht="15.1" customHeight="1">
      <c r="A2663" s="8"/>
      <c r="B2663" s="9"/>
      <c r="C2663" s="8"/>
      <c r="D2663" s="9"/>
      <c r="E2663" s="8">
        <v>2</v>
      </c>
      <c r="F2663" s="8">
        <v>1</v>
      </c>
      <c r="G2663" s="8">
        <v>12</v>
      </c>
      <c r="H2663" s="8">
        <v>2</v>
      </c>
      <c r="I2663" s="8">
        <v>2</v>
      </c>
      <c r="J2663" s="8">
        <v>0</v>
      </c>
      <c r="K2663" s="8">
        <v>0</v>
      </c>
      <c r="L2663" s="8">
        <v>0</v>
      </c>
      <c r="M2663" s="8">
        <v>0</v>
      </c>
      <c r="N2663" s="8">
        <v>0</v>
      </c>
      <c r="O2663" s="8">
        <v>0</v>
      </c>
      <c r="P2663" s="8">
        <v>1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11</v>
      </c>
      <c r="AA2663" s="8">
        <v>0</v>
      </c>
      <c r="AB2663" s="8">
        <v>0</v>
      </c>
      <c r="AC2663" s="8">
        <v>0</v>
      </c>
      <c r="AD2663" s="8">
        <v>0</v>
      </c>
      <c r="AE2663" s="8">
        <v>10.5</v>
      </c>
      <c r="AF2663" s="8">
        <v>10.5</v>
      </c>
      <c r="AG2663" s="8">
        <v>0</v>
      </c>
      <c r="AH2663" s="8">
        <v>0</v>
      </c>
      <c r="AI2663" s="8">
        <v>0</v>
      </c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11" t="s">
        <v>261</v>
      </c>
    </row>
    <row r="2664" spans="1:46" ht="15.1" customHeight="1">
      <c r="A2664" s="8">
        <v>887</v>
      </c>
      <c r="B2664" s="9" t="s">
        <v>2004</v>
      </c>
      <c r="C2664" s="8" t="s">
        <v>2005</v>
      </c>
      <c r="D2664" s="9" t="s">
        <v>451</v>
      </c>
      <c r="E2664" s="8" t="s">
        <v>54</v>
      </c>
      <c r="F2664" s="8" t="s">
        <v>54</v>
      </c>
      <c r="G2664" s="10" t="s">
        <v>67</v>
      </c>
      <c r="H2664" s="8" t="s">
        <v>54</v>
      </c>
      <c r="I2664" s="8" t="s">
        <v>54</v>
      </c>
      <c r="J2664" s="8" t="s">
        <v>54</v>
      </c>
      <c r="K2664" s="8" t="s">
        <v>54</v>
      </c>
      <c r="L2664" s="8" t="s">
        <v>54</v>
      </c>
      <c r="M2664" s="8" t="s">
        <v>54</v>
      </c>
      <c r="N2664" s="10" t="s">
        <v>67</v>
      </c>
      <c r="O2664" s="8" t="s">
        <v>54</v>
      </c>
      <c r="P2664" s="8" t="s">
        <v>54</v>
      </c>
      <c r="Q2664" s="8" t="s">
        <v>54</v>
      </c>
      <c r="R2664" s="8" t="s">
        <v>54</v>
      </c>
      <c r="S2664" s="8" t="s">
        <v>54</v>
      </c>
      <c r="T2664" s="8" t="s">
        <v>54</v>
      </c>
      <c r="U2664" s="10" t="s">
        <v>67</v>
      </c>
      <c r="V2664" s="8" t="s">
        <v>54</v>
      </c>
      <c r="W2664" s="8" t="s">
        <v>54</v>
      </c>
      <c r="X2664" s="8" t="s">
        <v>54</v>
      </c>
      <c r="Y2664" s="8" t="s">
        <v>54</v>
      </c>
      <c r="Z2664" s="8" t="s">
        <v>54</v>
      </c>
      <c r="AA2664" s="8" t="s">
        <v>54</v>
      </c>
      <c r="AB2664" s="10" t="s">
        <v>67</v>
      </c>
      <c r="AC2664" s="8" t="s">
        <v>54</v>
      </c>
      <c r="AD2664" s="8" t="s">
        <v>54</v>
      </c>
      <c r="AE2664" s="8" t="s">
        <v>54</v>
      </c>
      <c r="AF2664" s="8" t="s">
        <v>54</v>
      </c>
      <c r="AG2664" s="8" t="s">
        <v>54</v>
      </c>
      <c r="AH2664" s="8" t="s">
        <v>54</v>
      </c>
      <c r="AI2664" s="10" t="s">
        <v>67</v>
      </c>
      <c r="AJ2664" s="8">
        <f>COUNTIF($E$2664:$AI$2664,"P")</f>
        <v>26</v>
      </c>
      <c r="AK2664" s="8">
        <f>COUNTIF($E$2664:$AI$2664,"A")</f>
        <v>0</v>
      </c>
      <c r="AL2664" s="8">
        <f>SUM($E$2665:$AI$2665)</f>
        <v>32</v>
      </c>
      <c r="AM2664" s="8">
        <f>SUM($E$2666:$AI$2666)</f>
        <v>91.5</v>
      </c>
      <c r="AN2664" s="8">
        <f>AL2664+AM2664</f>
        <v>123.5</v>
      </c>
      <c r="AO2664" s="8">
        <f>COUNTIF($E$2664:$AI$2664,"CL")</f>
        <v>0</v>
      </c>
      <c r="AP2664" s="8">
        <f>COUNTIF($E$2664:$AI$2664,"SL")</f>
        <v>0</v>
      </c>
      <c r="AQ2664" s="8">
        <f>COUNTIF($E$2664:$AI$2664,"EL")</f>
        <v>0</v>
      </c>
      <c r="AR2664" s="8">
        <f>COUNTIF($E$2664:$AI$2664,"H")</f>
        <v>0</v>
      </c>
      <c r="AS2664" s="8"/>
      <c r="AT2664" s="11" t="s">
        <v>261</v>
      </c>
    </row>
    <row r="2665" spans="1:46" ht="15.1" customHeight="1">
      <c r="A2665" s="8"/>
      <c r="B2665" s="9"/>
      <c r="C2665" s="8"/>
      <c r="D2665" s="9"/>
      <c r="E2665" s="8">
        <v>2</v>
      </c>
      <c r="F2665" s="8">
        <v>2</v>
      </c>
      <c r="G2665" s="8">
        <v>0</v>
      </c>
      <c r="H2665" s="8">
        <v>2</v>
      </c>
      <c r="I2665" s="8">
        <v>2</v>
      </c>
      <c r="J2665" s="8">
        <v>2</v>
      </c>
      <c r="K2665" s="8">
        <v>2</v>
      </c>
      <c r="L2665" s="8">
        <v>2</v>
      </c>
      <c r="M2665" s="8">
        <v>2</v>
      </c>
      <c r="N2665" s="8">
        <v>0</v>
      </c>
      <c r="O2665" s="8">
        <v>2</v>
      </c>
      <c r="P2665" s="8">
        <v>2</v>
      </c>
      <c r="Q2665" s="8">
        <v>2</v>
      </c>
      <c r="R2665" s="8">
        <v>2</v>
      </c>
      <c r="S2665" s="8">
        <v>2</v>
      </c>
      <c r="T2665" s="8">
        <v>2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2</v>
      </c>
      <c r="AF2665" s="8">
        <v>2</v>
      </c>
      <c r="AG2665" s="8">
        <v>0</v>
      </c>
      <c r="AH2665" s="8">
        <v>0</v>
      </c>
      <c r="AI2665" s="8">
        <v>0</v>
      </c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11" t="s">
        <v>261</v>
      </c>
    </row>
    <row r="2666" spans="1:46" ht="15.1" customHeight="1">
      <c r="A2666" s="8"/>
      <c r="B2666" s="9"/>
      <c r="C2666" s="8"/>
      <c r="D2666" s="9"/>
      <c r="E2666" s="8">
        <v>4</v>
      </c>
      <c r="F2666" s="8">
        <v>3</v>
      </c>
      <c r="G2666" s="8">
        <v>14</v>
      </c>
      <c r="H2666" s="8">
        <v>4</v>
      </c>
      <c r="I2666" s="8">
        <v>3</v>
      </c>
      <c r="J2666" s="8">
        <v>5</v>
      </c>
      <c r="K2666" s="8">
        <v>5</v>
      </c>
      <c r="L2666" s="8">
        <v>3</v>
      </c>
      <c r="M2666" s="8">
        <v>5</v>
      </c>
      <c r="N2666" s="8">
        <v>0</v>
      </c>
      <c r="O2666" s="8">
        <v>1</v>
      </c>
      <c r="P2666" s="8">
        <v>1</v>
      </c>
      <c r="Q2666" s="8">
        <v>1</v>
      </c>
      <c r="R2666" s="8">
        <v>10</v>
      </c>
      <c r="S2666" s="8">
        <v>1</v>
      </c>
      <c r="T2666" s="8">
        <v>2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8</v>
      </c>
      <c r="AC2666" s="8">
        <v>0</v>
      </c>
      <c r="AD2666" s="8">
        <v>0</v>
      </c>
      <c r="AE2666" s="8">
        <v>10.5</v>
      </c>
      <c r="AF2666" s="8">
        <v>11</v>
      </c>
      <c r="AG2666" s="8">
        <v>0</v>
      </c>
      <c r="AH2666" s="8">
        <v>0</v>
      </c>
      <c r="AI2666" s="8">
        <v>0</v>
      </c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11" t="s">
        <v>261</v>
      </c>
    </row>
    <row r="2667" spans="1:46" ht="15.1" customHeight="1">
      <c r="A2667" s="8">
        <v>888</v>
      </c>
      <c r="B2667" s="9" t="s">
        <v>2006</v>
      </c>
      <c r="C2667" s="8" t="s">
        <v>2007</v>
      </c>
      <c r="D2667" s="9" t="s">
        <v>451</v>
      </c>
      <c r="E2667" s="8" t="s">
        <v>54</v>
      </c>
      <c r="F2667" s="8" t="s">
        <v>54</v>
      </c>
      <c r="G2667" s="10" t="s">
        <v>67</v>
      </c>
      <c r="H2667" s="8" t="s">
        <v>54</v>
      </c>
      <c r="I2667" s="8" t="s">
        <v>54</v>
      </c>
      <c r="J2667" s="8" t="s">
        <v>54</v>
      </c>
      <c r="K2667" s="8" t="s">
        <v>54</v>
      </c>
      <c r="L2667" s="8" t="s">
        <v>54</v>
      </c>
      <c r="M2667" s="8" t="s">
        <v>54</v>
      </c>
      <c r="N2667" s="10" t="s">
        <v>67</v>
      </c>
      <c r="O2667" s="8" t="s">
        <v>54</v>
      </c>
      <c r="P2667" s="8" t="s">
        <v>54</v>
      </c>
      <c r="Q2667" s="8" t="s">
        <v>54</v>
      </c>
      <c r="R2667" s="8" t="s">
        <v>54</v>
      </c>
      <c r="S2667" s="8" t="s">
        <v>54</v>
      </c>
      <c r="T2667" s="8" t="s">
        <v>54</v>
      </c>
      <c r="U2667" s="10" t="s">
        <v>67</v>
      </c>
      <c r="V2667" s="8" t="s">
        <v>54</v>
      </c>
      <c r="W2667" s="8" t="s">
        <v>54</v>
      </c>
      <c r="X2667" s="8" t="s">
        <v>54</v>
      </c>
      <c r="Y2667" s="8" t="s">
        <v>54</v>
      </c>
      <c r="Z2667" s="8" t="s">
        <v>54</v>
      </c>
      <c r="AA2667" s="8" t="s">
        <v>54</v>
      </c>
      <c r="AB2667" s="10" t="s">
        <v>67</v>
      </c>
      <c r="AC2667" s="8" t="s">
        <v>54</v>
      </c>
      <c r="AD2667" s="8" t="s">
        <v>54</v>
      </c>
      <c r="AE2667" s="8" t="s">
        <v>54</v>
      </c>
      <c r="AF2667" s="8" t="s">
        <v>54</v>
      </c>
      <c r="AG2667" s="8" t="s">
        <v>54</v>
      </c>
      <c r="AH2667" s="8" t="s">
        <v>54</v>
      </c>
      <c r="AI2667" s="10" t="s">
        <v>67</v>
      </c>
      <c r="AJ2667" s="8">
        <f>COUNTIF($E$2667:$AI$2667,"P")</f>
        <v>26</v>
      </c>
      <c r="AK2667" s="8">
        <f>COUNTIF($E$2667:$AI$2667,"A")</f>
        <v>0</v>
      </c>
      <c r="AL2667" s="8">
        <f>SUM($E$2668:$AI$2668)</f>
        <v>26</v>
      </c>
      <c r="AM2667" s="8">
        <f>SUM($E$2669:$AI$2669)</f>
        <v>66.5</v>
      </c>
      <c r="AN2667" s="8">
        <f>AL2667+AM2667</f>
        <v>92.5</v>
      </c>
      <c r="AO2667" s="8">
        <f>COUNTIF($E$2667:$AI$2667,"CL")</f>
        <v>0</v>
      </c>
      <c r="AP2667" s="8">
        <f>COUNTIF($E$2667:$AI$2667,"SL")</f>
        <v>0</v>
      </c>
      <c r="AQ2667" s="8">
        <f>COUNTIF($E$2667:$AI$2667,"EL")</f>
        <v>0</v>
      </c>
      <c r="AR2667" s="8">
        <f>COUNTIF($E$2667:$AI$2667,"H")</f>
        <v>0</v>
      </c>
      <c r="AS2667" s="8"/>
      <c r="AT2667" s="11" t="s">
        <v>261</v>
      </c>
    </row>
    <row r="2668" spans="1:46" ht="15.1" customHeight="1">
      <c r="A2668" s="8"/>
      <c r="B2668" s="9"/>
      <c r="C2668" s="8"/>
      <c r="D2668" s="9"/>
      <c r="E2668" s="8">
        <v>2</v>
      </c>
      <c r="F2668" s="8">
        <v>2</v>
      </c>
      <c r="G2668" s="8">
        <v>0</v>
      </c>
      <c r="H2668" s="8">
        <v>2</v>
      </c>
      <c r="I2668" s="8">
        <v>2</v>
      </c>
      <c r="J2668" s="8">
        <v>2</v>
      </c>
      <c r="K2668" s="8">
        <v>2</v>
      </c>
      <c r="L2668" s="8">
        <v>2</v>
      </c>
      <c r="M2668" s="8">
        <v>2</v>
      </c>
      <c r="N2668" s="8">
        <v>0</v>
      </c>
      <c r="O2668" s="8">
        <v>2</v>
      </c>
      <c r="P2668" s="8">
        <v>2</v>
      </c>
      <c r="Q2668" s="8">
        <v>2</v>
      </c>
      <c r="R2668" s="8">
        <v>2</v>
      </c>
      <c r="S2668" s="8">
        <v>0</v>
      </c>
      <c r="T2668" s="8">
        <v>0</v>
      </c>
      <c r="U2668" s="8">
        <v>0</v>
      </c>
      <c r="V2668" s="8">
        <v>0</v>
      </c>
      <c r="W2668" s="8">
        <v>0</v>
      </c>
      <c r="X2668" s="8">
        <v>0</v>
      </c>
      <c r="Y2668" s="8">
        <v>2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11" t="s">
        <v>261</v>
      </c>
    </row>
    <row r="2669" spans="1:46" ht="15.1" customHeight="1">
      <c r="A2669" s="8"/>
      <c r="B2669" s="9"/>
      <c r="C2669" s="8"/>
      <c r="D2669" s="9"/>
      <c r="E2669" s="8">
        <v>2</v>
      </c>
      <c r="F2669" s="8">
        <v>3</v>
      </c>
      <c r="G2669" s="8">
        <v>0</v>
      </c>
      <c r="H2669" s="8">
        <v>5</v>
      </c>
      <c r="I2669" s="8">
        <v>5</v>
      </c>
      <c r="J2669" s="8">
        <v>5</v>
      </c>
      <c r="K2669" s="8">
        <v>0</v>
      </c>
      <c r="L2669" s="8">
        <v>0</v>
      </c>
      <c r="M2669" s="8">
        <v>4</v>
      </c>
      <c r="N2669" s="8">
        <v>15</v>
      </c>
      <c r="O2669" s="8">
        <v>1</v>
      </c>
      <c r="P2669" s="8">
        <v>1</v>
      </c>
      <c r="Q2669" s="8">
        <v>1</v>
      </c>
      <c r="R2669" s="8">
        <v>10</v>
      </c>
      <c r="S2669" s="8">
        <v>0</v>
      </c>
      <c r="T2669" s="8">
        <v>0</v>
      </c>
      <c r="U2669" s="8">
        <v>5</v>
      </c>
      <c r="V2669" s="8">
        <v>0</v>
      </c>
      <c r="W2669" s="8">
        <v>0</v>
      </c>
      <c r="X2669" s="8">
        <v>0</v>
      </c>
      <c r="Y2669" s="8">
        <v>9.5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  <c r="AH2669" s="8">
        <v>0</v>
      </c>
      <c r="AI2669" s="8">
        <v>0</v>
      </c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11" t="s">
        <v>261</v>
      </c>
    </row>
    <row r="2670" spans="1:46" ht="15.1" customHeight="1">
      <c r="A2670" s="8">
        <v>889</v>
      </c>
      <c r="B2670" s="9" t="s">
        <v>2008</v>
      </c>
      <c r="C2670" s="8" t="s">
        <v>2009</v>
      </c>
      <c r="D2670" s="9" t="s">
        <v>451</v>
      </c>
      <c r="E2670" s="8" t="s">
        <v>54</v>
      </c>
      <c r="F2670" s="8" t="s">
        <v>54</v>
      </c>
      <c r="G2670" s="10" t="s">
        <v>67</v>
      </c>
      <c r="H2670" s="8" t="s">
        <v>54</v>
      </c>
      <c r="I2670" s="8" t="s">
        <v>54</v>
      </c>
      <c r="J2670" s="8" t="s">
        <v>54</v>
      </c>
      <c r="K2670" s="8" t="s">
        <v>54</v>
      </c>
      <c r="L2670" s="8" t="s">
        <v>54</v>
      </c>
      <c r="M2670" s="8" t="s">
        <v>54</v>
      </c>
      <c r="N2670" s="10" t="s">
        <v>67</v>
      </c>
      <c r="O2670" s="8" t="s">
        <v>54</v>
      </c>
      <c r="P2670" s="8" t="s">
        <v>54</v>
      </c>
      <c r="Q2670" s="8" t="s">
        <v>54</v>
      </c>
      <c r="R2670" s="8" t="s">
        <v>54</v>
      </c>
      <c r="S2670" s="8" t="s">
        <v>54</v>
      </c>
      <c r="T2670" s="8" t="s">
        <v>54</v>
      </c>
      <c r="U2670" s="10" t="s">
        <v>67</v>
      </c>
      <c r="V2670" s="8" t="s">
        <v>54</v>
      </c>
      <c r="W2670" s="8" t="s">
        <v>54</v>
      </c>
      <c r="X2670" s="8" t="s">
        <v>54</v>
      </c>
      <c r="Y2670" s="8" t="s">
        <v>54</v>
      </c>
      <c r="Z2670" s="8" t="s">
        <v>54</v>
      </c>
      <c r="AA2670" s="8" t="s">
        <v>54</v>
      </c>
      <c r="AB2670" s="10" t="s">
        <v>67</v>
      </c>
      <c r="AC2670" s="8" t="s">
        <v>54</v>
      </c>
      <c r="AD2670" s="8" t="s">
        <v>54</v>
      </c>
      <c r="AE2670" s="8" t="s">
        <v>54</v>
      </c>
      <c r="AF2670" s="8" t="s">
        <v>54</v>
      </c>
      <c r="AG2670" s="8" t="s">
        <v>54</v>
      </c>
      <c r="AH2670" s="8" t="s">
        <v>54</v>
      </c>
      <c r="AI2670" s="10" t="s">
        <v>67</v>
      </c>
      <c r="AJ2670" s="8">
        <f>COUNTIF($E$2670:$AI$2670,"P")</f>
        <v>26</v>
      </c>
      <c r="AK2670" s="8">
        <f>COUNTIF($E$2670:$AI$2670,"A")</f>
        <v>0</v>
      </c>
      <c r="AL2670" s="8">
        <f>SUM($E$2671:$AI$2671)</f>
        <v>32</v>
      </c>
      <c r="AM2670" s="8">
        <f>SUM($E$2672:$AI$2672)</f>
        <v>112.5</v>
      </c>
      <c r="AN2670" s="8">
        <f>AL2670+AM2670</f>
        <v>144.5</v>
      </c>
      <c r="AO2670" s="8">
        <f>COUNTIF($E$2670:$AI$2670,"CL")</f>
        <v>0</v>
      </c>
      <c r="AP2670" s="8">
        <f>COUNTIF($E$2670:$AI$2670,"SL")</f>
        <v>0</v>
      </c>
      <c r="AQ2670" s="8">
        <f>COUNTIF($E$2670:$AI$2670,"EL")</f>
        <v>0</v>
      </c>
      <c r="AR2670" s="8">
        <f>COUNTIF($E$2670:$AI$2670,"H")</f>
        <v>0</v>
      </c>
      <c r="AS2670" s="8"/>
      <c r="AT2670" s="11" t="s">
        <v>261</v>
      </c>
    </row>
    <row r="2671" spans="1:46" ht="15.1" customHeight="1">
      <c r="A2671" s="8"/>
      <c r="B2671" s="9"/>
      <c r="C2671" s="8"/>
      <c r="D2671" s="9"/>
      <c r="E2671" s="8">
        <v>2</v>
      </c>
      <c r="F2671" s="8">
        <v>2</v>
      </c>
      <c r="G2671" s="8">
        <v>0</v>
      </c>
      <c r="H2671" s="8">
        <v>2</v>
      </c>
      <c r="I2671" s="8">
        <v>2</v>
      </c>
      <c r="J2671" s="8">
        <v>2</v>
      </c>
      <c r="K2671" s="8">
        <v>2</v>
      </c>
      <c r="L2671" s="8">
        <v>2</v>
      </c>
      <c r="M2671" s="8">
        <v>2</v>
      </c>
      <c r="N2671" s="8">
        <v>0</v>
      </c>
      <c r="O2671" s="8">
        <v>2</v>
      </c>
      <c r="P2671" s="8">
        <v>2</v>
      </c>
      <c r="Q2671" s="8">
        <v>2</v>
      </c>
      <c r="R2671" s="8">
        <v>2</v>
      </c>
      <c r="S2671" s="8">
        <v>2</v>
      </c>
      <c r="T2671" s="8">
        <v>2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2</v>
      </c>
      <c r="AF2671" s="8">
        <v>2</v>
      </c>
      <c r="AG2671" s="8">
        <v>0</v>
      </c>
      <c r="AH2671" s="8">
        <v>0</v>
      </c>
      <c r="AI2671" s="8">
        <v>0</v>
      </c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11" t="s">
        <v>261</v>
      </c>
    </row>
    <row r="2672" spans="1:46" ht="15.1" customHeight="1">
      <c r="A2672" s="8"/>
      <c r="B2672" s="9"/>
      <c r="C2672" s="8"/>
      <c r="D2672" s="9"/>
      <c r="E2672" s="8">
        <v>4</v>
      </c>
      <c r="F2672" s="8">
        <v>3</v>
      </c>
      <c r="G2672" s="8">
        <v>14</v>
      </c>
      <c r="H2672" s="8">
        <v>4</v>
      </c>
      <c r="I2672" s="8">
        <v>5</v>
      </c>
      <c r="J2672" s="8">
        <v>5</v>
      </c>
      <c r="K2672" s="8">
        <v>5</v>
      </c>
      <c r="L2672" s="8">
        <v>4</v>
      </c>
      <c r="M2672" s="8">
        <v>5</v>
      </c>
      <c r="N2672" s="8">
        <v>13</v>
      </c>
      <c r="O2672" s="8">
        <v>1</v>
      </c>
      <c r="P2672" s="8">
        <v>1</v>
      </c>
      <c r="Q2672" s="8">
        <v>0.5</v>
      </c>
      <c r="R2672" s="8">
        <v>5</v>
      </c>
      <c r="S2672" s="8">
        <v>5</v>
      </c>
      <c r="T2672" s="8">
        <v>1.5</v>
      </c>
      <c r="U2672" s="8">
        <v>8.5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7.5</v>
      </c>
      <c r="AC2672" s="8">
        <v>0</v>
      </c>
      <c r="AD2672" s="8">
        <v>0</v>
      </c>
      <c r="AE2672" s="8">
        <v>10</v>
      </c>
      <c r="AF2672" s="8">
        <v>10.5</v>
      </c>
      <c r="AG2672" s="8">
        <v>0</v>
      </c>
      <c r="AH2672" s="8">
        <v>0</v>
      </c>
      <c r="AI2672" s="8">
        <v>0</v>
      </c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11" t="s">
        <v>261</v>
      </c>
    </row>
    <row r="2673" spans="1:46" ht="15.1" customHeight="1">
      <c r="A2673" s="8">
        <v>890</v>
      </c>
      <c r="B2673" s="9" t="s">
        <v>2010</v>
      </c>
      <c r="C2673" s="8" t="s">
        <v>2011</v>
      </c>
      <c r="D2673" s="9" t="s">
        <v>451</v>
      </c>
      <c r="E2673" s="8" t="s">
        <v>54</v>
      </c>
      <c r="F2673" s="8" t="s">
        <v>54</v>
      </c>
      <c r="G2673" s="10" t="s">
        <v>67</v>
      </c>
      <c r="H2673" s="8" t="s">
        <v>54</v>
      </c>
      <c r="I2673" s="8" t="s">
        <v>54</v>
      </c>
      <c r="J2673" s="8" t="s">
        <v>54</v>
      </c>
      <c r="K2673" s="8" t="s">
        <v>54</v>
      </c>
      <c r="L2673" s="8" t="s">
        <v>54</v>
      </c>
      <c r="M2673" s="8" t="s">
        <v>54</v>
      </c>
      <c r="N2673" s="10" t="s">
        <v>67</v>
      </c>
      <c r="O2673" s="8" t="s">
        <v>54</v>
      </c>
      <c r="P2673" s="8" t="s">
        <v>54</v>
      </c>
      <c r="Q2673" s="8" t="s">
        <v>54</v>
      </c>
      <c r="R2673" s="8" t="s">
        <v>54</v>
      </c>
      <c r="S2673" s="8" t="s">
        <v>54</v>
      </c>
      <c r="T2673" s="8" t="s">
        <v>54</v>
      </c>
      <c r="U2673" s="10" t="s">
        <v>67</v>
      </c>
      <c r="V2673" s="8" t="s">
        <v>54</v>
      </c>
      <c r="W2673" s="8" t="s">
        <v>54</v>
      </c>
      <c r="X2673" s="8" t="s">
        <v>54</v>
      </c>
      <c r="Y2673" s="8" t="s">
        <v>54</v>
      </c>
      <c r="Z2673" s="8" t="s">
        <v>54</v>
      </c>
      <c r="AA2673" s="8" t="s">
        <v>54</v>
      </c>
      <c r="AB2673" s="10" t="s">
        <v>67</v>
      </c>
      <c r="AC2673" s="8" t="s">
        <v>54</v>
      </c>
      <c r="AD2673" s="8" t="s">
        <v>54</v>
      </c>
      <c r="AE2673" s="8" t="s">
        <v>54</v>
      </c>
      <c r="AF2673" s="8" t="s">
        <v>54</v>
      </c>
      <c r="AG2673" s="8" t="s">
        <v>54</v>
      </c>
      <c r="AH2673" s="8" t="s">
        <v>54</v>
      </c>
      <c r="AI2673" s="10" t="s">
        <v>67</v>
      </c>
      <c r="AJ2673" s="8">
        <f>COUNTIF($E$2673:$AI$2673,"P")</f>
        <v>26</v>
      </c>
      <c r="AK2673" s="8">
        <f>COUNTIF($E$2673:$AI$2673,"A")</f>
        <v>0</v>
      </c>
      <c r="AL2673" s="8">
        <f>SUM($E$2674:$AI$2674)</f>
        <v>28</v>
      </c>
      <c r="AM2673" s="8">
        <f>SUM($E$2675:$AI$2675)</f>
        <v>58</v>
      </c>
      <c r="AN2673" s="8">
        <f>AL2673+AM2673</f>
        <v>86</v>
      </c>
      <c r="AO2673" s="8">
        <f>COUNTIF($E$2673:$AI$2673,"CL")</f>
        <v>0</v>
      </c>
      <c r="AP2673" s="8">
        <f>COUNTIF($E$2673:$AI$2673,"SL")</f>
        <v>0</v>
      </c>
      <c r="AQ2673" s="8">
        <f>COUNTIF($E$2673:$AI$2673,"EL")</f>
        <v>0</v>
      </c>
      <c r="AR2673" s="8">
        <f>COUNTIF($E$2673:$AI$2673,"H")</f>
        <v>0</v>
      </c>
      <c r="AS2673" s="8"/>
      <c r="AT2673" s="11" t="s">
        <v>262</v>
      </c>
    </row>
    <row r="2674" spans="1:46" ht="15.1" customHeight="1">
      <c r="A2674" s="8"/>
      <c r="B2674" s="9"/>
      <c r="C2674" s="8"/>
      <c r="D2674" s="9"/>
      <c r="E2674" s="8">
        <v>2</v>
      </c>
      <c r="F2674" s="8">
        <v>0</v>
      </c>
      <c r="G2674" s="8">
        <v>0</v>
      </c>
      <c r="H2674" s="8">
        <v>0</v>
      </c>
      <c r="I2674" s="8">
        <v>2</v>
      </c>
      <c r="J2674" s="8">
        <v>2</v>
      </c>
      <c r="K2674" s="8">
        <v>2</v>
      </c>
      <c r="L2674" s="8">
        <v>2</v>
      </c>
      <c r="M2674" s="8">
        <v>2</v>
      </c>
      <c r="N2674" s="8">
        <v>0</v>
      </c>
      <c r="O2674" s="8">
        <v>2</v>
      </c>
      <c r="P2674" s="8">
        <v>2</v>
      </c>
      <c r="Q2674" s="8">
        <v>2</v>
      </c>
      <c r="R2674" s="8">
        <v>2</v>
      </c>
      <c r="S2674" s="8">
        <v>2</v>
      </c>
      <c r="T2674" s="8">
        <v>2</v>
      </c>
      <c r="U2674" s="8">
        <v>0</v>
      </c>
      <c r="V2674" s="8">
        <v>2</v>
      </c>
      <c r="W2674" s="8">
        <v>0</v>
      </c>
      <c r="X2674" s="8">
        <v>0</v>
      </c>
      <c r="Y2674" s="8">
        <v>2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0</v>
      </c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11" t="s">
        <v>262</v>
      </c>
    </row>
    <row r="2675" spans="1:46" ht="15.1" customHeight="1">
      <c r="A2675" s="8"/>
      <c r="B2675" s="9"/>
      <c r="C2675" s="8"/>
      <c r="D2675" s="9"/>
      <c r="E2675" s="8">
        <v>3</v>
      </c>
      <c r="F2675" s="8">
        <v>0</v>
      </c>
      <c r="G2675" s="8">
        <v>0</v>
      </c>
      <c r="H2675" s="8">
        <v>0</v>
      </c>
      <c r="I2675" s="8">
        <v>3</v>
      </c>
      <c r="J2675" s="8">
        <v>3</v>
      </c>
      <c r="K2675" s="8">
        <v>3</v>
      </c>
      <c r="L2675" s="8">
        <v>3</v>
      </c>
      <c r="M2675" s="8">
        <v>3</v>
      </c>
      <c r="N2675" s="8">
        <v>13</v>
      </c>
      <c r="O2675" s="8">
        <v>5</v>
      </c>
      <c r="P2675" s="8">
        <v>5</v>
      </c>
      <c r="Q2675" s="8">
        <v>3</v>
      </c>
      <c r="R2675" s="8">
        <v>3</v>
      </c>
      <c r="S2675" s="8">
        <v>3</v>
      </c>
      <c r="T2675" s="8">
        <v>3</v>
      </c>
      <c r="U2675" s="8">
        <v>0</v>
      </c>
      <c r="V2675" s="8">
        <v>0</v>
      </c>
      <c r="W2675" s="8">
        <v>0</v>
      </c>
      <c r="X2675" s="8">
        <v>0</v>
      </c>
      <c r="Y2675" s="8">
        <v>5</v>
      </c>
      <c r="Z2675" s="8">
        <v>0</v>
      </c>
      <c r="AA2675" s="8">
        <v>0</v>
      </c>
      <c r="AB2675" s="8">
        <v>0</v>
      </c>
      <c r="AC2675" s="8">
        <v>0</v>
      </c>
      <c r="AD2675" s="8">
        <v>0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11" t="s">
        <v>262</v>
      </c>
    </row>
    <row r="2676" spans="1:46" ht="15.1" customHeight="1">
      <c r="A2676" s="8">
        <v>891</v>
      </c>
      <c r="B2676" s="9" t="s">
        <v>2012</v>
      </c>
      <c r="C2676" s="8" t="s">
        <v>2013</v>
      </c>
      <c r="D2676" s="9" t="s">
        <v>451</v>
      </c>
      <c r="E2676" s="8" t="s">
        <v>54</v>
      </c>
      <c r="F2676" s="8" t="s">
        <v>54</v>
      </c>
      <c r="G2676" s="10" t="s">
        <v>67</v>
      </c>
      <c r="H2676" s="8" t="s">
        <v>54</v>
      </c>
      <c r="I2676" s="8" t="s">
        <v>54</v>
      </c>
      <c r="J2676" s="8" t="s">
        <v>54</v>
      </c>
      <c r="K2676" s="8" t="s">
        <v>54</v>
      </c>
      <c r="L2676" s="8" t="s">
        <v>54</v>
      </c>
      <c r="M2676" s="8" t="s">
        <v>54</v>
      </c>
      <c r="N2676" s="10" t="s">
        <v>67</v>
      </c>
      <c r="O2676" s="8" t="s">
        <v>54</v>
      </c>
      <c r="P2676" s="8" t="s">
        <v>54</v>
      </c>
      <c r="Q2676" s="8" t="s">
        <v>54</v>
      </c>
      <c r="R2676" s="8" t="s">
        <v>54</v>
      </c>
      <c r="S2676" s="8" t="s">
        <v>54</v>
      </c>
      <c r="T2676" s="8" t="s">
        <v>54</v>
      </c>
      <c r="U2676" s="10" t="s">
        <v>67</v>
      </c>
      <c r="V2676" s="8" t="s">
        <v>54</v>
      </c>
      <c r="W2676" s="8" t="s">
        <v>54</v>
      </c>
      <c r="X2676" s="8" t="s">
        <v>54</v>
      </c>
      <c r="Y2676" s="8" t="s">
        <v>54</v>
      </c>
      <c r="Z2676" s="8" t="s">
        <v>54</v>
      </c>
      <c r="AA2676" s="8" t="s">
        <v>54</v>
      </c>
      <c r="AB2676" s="10" t="s">
        <v>67</v>
      </c>
      <c r="AC2676" s="8" t="s">
        <v>54</v>
      </c>
      <c r="AD2676" s="8" t="s">
        <v>54</v>
      </c>
      <c r="AE2676" s="8" t="s">
        <v>54</v>
      </c>
      <c r="AF2676" s="8" t="s">
        <v>54</v>
      </c>
      <c r="AG2676" s="8" t="s">
        <v>54</v>
      </c>
      <c r="AH2676" s="8" t="s">
        <v>54</v>
      </c>
      <c r="AI2676" s="10" t="s">
        <v>67</v>
      </c>
      <c r="AJ2676" s="8">
        <f>COUNTIF($E$2676:$AI$2676,"P")</f>
        <v>26</v>
      </c>
      <c r="AK2676" s="8">
        <f>COUNTIF($E$2676:$AI$2676,"A")</f>
        <v>0</v>
      </c>
      <c r="AL2676" s="8">
        <f>SUM($E$2677:$AI$2677)</f>
        <v>30</v>
      </c>
      <c r="AM2676" s="8">
        <f>SUM($E$2678:$AI$2678)</f>
        <v>111.5</v>
      </c>
      <c r="AN2676" s="8">
        <f>AL2676+AM2676</f>
        <v>141.5</v>
      </c>
      <c r="AO2676" s="8">
        <f>COUNTIF($E$2676:$AI$2676,"CL")</f>
        <v>0</v>
      </c>
      <c r="AP2676" s="8">
        <f>COUNTIF($E$2676:$AI$2676,"SL")</f>
        <v>0</v>
      </c>
      <c r="AQ2676" s="8">
        <f>COUNTIF($E$2676:$AI$2676,"EL")</f>
        <v>0</v>
      </c>
      <c r="AR2676" s="8">
        <f>COUNTIF($E$2676:$AI$2676,"H")</f>
        <v>0</v>
      </c>
      <c r="AS2676" s="8"/>
      <c r="AT2676" s="11" t="s">
        <v>262</v>
      </c>
    </row>
    <row r="2677" spans="1:46" ht="15.1" customHeight="1">
      <c r="A2677" s="8"/>
      <c r="B2677" s="9"/>
      <c r="C2677" s="8"/>
      <c r="D2677" s="9"/>
      <c r="E2677" s="8">
        <v>2</v>
      </c>
      <c r="F2677" s="8">
        <v>2</v>
      </c>
      <c r="G2677" s="8">
        <v>0</v>
      </c>
      <c r="H2677" s="8">
        <v>2</v>
      </c>
      <c r="I2677" s="8">
        <v>2</v>
      </c>
      <c r="J2677" s="8">
        <v>2</v>
      </c>
      <c r="K2677" s="8">
        <v>2</v>
      </c>
      <c r="L2677" s="8">
        <v>2</v>
      </c>
      <c r="M2677" s="8">
        <v>2</v>
      </c>
      <c r="N2677" s="8">
        <v>0</v>
      </c>
      <c r="O2677" s="8">
        <v>2</v>
      </c>
      <c r="P2677" s="8">
        <v>2</v>
      </c>
      <c r="Q2677" s="8">
        <v>2</v>
      </c>
      <c r="R2677" s="8">
        <v>2</v>
      </c>
      <c r="S2677" s="8">
        <v>2</v>
      </c>
      <c r="T2677" s="8">
        <v>2</v>
      </c>
      <c r="U2677" s="8">
        <v>0</v>
      </c>
      <c r="V2677" s="8">
        <v>2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11" t="s">
        <v>262</v>
      </c>
    </row>
    <row r="2678" spans="1:46" ht="15.1" customHeight="1">
      <c r="A2678" s="8"/>
      <c r="B2678" s="9"/>
      <c r="C2678" s="8"/>
      <c r="D2678" s="9"/>
      <c r="E2678" s="8">
        <v>4</v>
      </c>
      <c r="F2678" s="8">
        <v>3</v>
      </c>
      <c r="G2678" s="8">
        <v>13.5</v>
      </c>
      <c r="H2678" s="8">
        <v>5</v>
      </c>
      <c r="I2678" s="8">
        <v>7</v>
      </c>
      <c r="J2678" s="8">
        <v>7</v>
      </c>
      <c r="K2678" s="8">
        <v>7</v>
      </c>
      <c r="L2678" s="8">
        <v>7</v>
      </c>
      <c r="M2678" s="8">
        <v>5</v>
      </c>
      <c r="N2678" s="8">
        <v>17</v>
      </c>
      <c r="O2678" s="8">
        <v>7</v>
      </c>
      <c r="P2678" s="8">
        <v>7</v>
      </c>
      <c r="Q2678" s="8">
        <v>5</v>
      </c>
      <c r="R2678" s="8">
        <v>7</v>
      </c>
      <c r="S2678" s="8">
        <v>7</v>
      </c>
      <c r="T2678" s="8">
        <v>3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0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11" t="s">
        <v>262</v>
      </c>
    </row>
    <row r="2679" spans="1:46" ht="15.1" customHeight="1">
      <c r="A2679" s="8">
        <v>892</v>
      </c>
      <c r="B2679" s="9" t="s">
        <v>2014</v>
      </c>
      <c r="C2679" s="8" t="s">
        <v>2015</v>
      </c>
      <c r="D2679" s="9" t="s">
        <v>451</v>
      </c>
      <c r="E2679" s="8" t="s">
        <v>54</v>
      </c>
      <c r="F2679" s="8" t="s">
        <v>54</v>
      </c>
      <c r="G2679" s="10" t="s">
        <v>67</v>
      </c>
      <c r="H2679" s="8" t="s">
        <v>54</v>
      </c>
      <c r="I2679" s="8" t="s">
        <v>54</v>
      </c>
      <c r="J2679" s="8" t="s">
        <v>54</v>
      </c>
      <c r="K2679" s="8" t="s">
        <v>54</v>
      </c>
      <c r="L2679" s="8" t="s">
        <v>54</v>
      </c>
      <c r="M2679" s="8" t="s">
        <v>54</v>
      </c>
      <c r="N2679" s="10" t="s">
        <v>67</v>
      </c>
      <c r="O2679" s="8" t="s">
        <v>54</v>
      </c>
      <c r="P2679" s="8" t="s">
        <v>54</v>
      </c>
      <c r="Q2679" s="8" t="s">
        <v>54</v>
      </c>
      <c r="R2679" s="8" t="s">
        <v>54</v>
      </c>
      <c r="S2679" s="8" t="s">
        <v>54</v>
      </c>
      <c r="T2679" s="8" t="s">
        <v>54</v>
      </c>
      <c r="U2679" s="10" t="s">
        <v>67</v>
      </c>
      <c r="V2679" s="8" t="s">
        <v>54</v>
      </c>
      <c r="W2679" s="8" t="s">
        <v>54</v>
      </c>
      <c r="X2679" s="8" t="s">
        <v>54</v>
      </c>
      <c r="Y2679" s="8" t="s">
        <v>54</v>
      </c>
      <c r="Z2679" s="8" t="s">
        <v>54</v>
      </c>
      <c r="AA2679" s="12" t="s">
        <v>55</v>
      </c>
      <c r="AB2679" s="10" t="s">
        <v>67</v>
      </c>
      <c r="AC2679" s="12" t="s">
        <v>55</v>
      </c>
      <c r="AD2679" s="8" t="s">
        <v>54</v>
      </c>
      <c r="AE2679" s="8" t="s">
        <v>54</v>
      </c>
      <c r="AF2679" s="8" t="s">
        <v>54</v>
      </c>
      <c r="AG2679" s="8" t="s">
        <v>54</v>
      </c>
      <c r="AH2679" s="12" t="s">
        <v>55</v>
      </c>
      <c r="AI2679" s="10" t="s">
        <v>67</v>
      </c>
      <c r="AJ2679" s="8">
        <f>COUNTIF($E$2679:$AI$2679,"P")</f>
        <v>23</v>
      </c>
      <c r="AK2679" s="8">
        <f>COUNTIF($E$2679:$AI$2679,"A")</f>
        <v>3</v>
      </c>
      <c r="AL2679" s="8">
        <f>SUM($E$2680:$AI$2680)</f>
        <v>14</v>
      </c>
      <c r="AM2679" s="8">
        <f>SUM($E$2681:$AI$2681)</f>
        <v>3</v>
      </c>
      <c r="AN2679" s="8">
        <f>AL2679+AM2679</f>
        <v>17</v>
      </c>
      <c r="AO2679" s="8">
        <f>COUNTIF($E$2679:$AI$2679,"CL")</f>
        <v>0</v>
      </c>
      <c r="AP2679" s="8">
        <f>COUNTIF($E$2679:$AI$2679,"SL")</f>
        <v>0</v>
      </c>
      <c r="AQ2679" s="8">
        <f>COUNTIF($E$2679:$AI$2679,"EL")</f>
        <v>0</v>
      </c>
      <c r="AR2679" s="8">
        <f>COUNTIF($E$2679:$AI$2679,"H")</f>
        <v>0</v>
      </c>
      <c r="AS2679" s="8"/>
      <c r="AT2679" s="11" t="s">
        <v>262</v>
      </c>
    </row>
    <row r="2680" spans="1:46" ht="15.1" customHeight="1">
      <c r="A2680" s="8"/>
      <c r="B2680" s="9"/>
      <c r="C2680" s="8"/>
      <c r="D2680" s="9"/>
      <c r="E2680" s="8">
        <v>2</v>
      </c>
      <c r="F2680" s="8">
        <v>0</v>
      </c>
      <c r="G2680" s="8">
        <v>0</v>
      </c>
      <c r="H2680" s="8">
        <v>0</v>
      </c>
      <c r="I2680" s="8">
        <v>0</v>
      </c>
      <c r="J2680" s="8">
        <v>2</v>
      </c>
      <c r="K2680" s="8">
        <v>0</v>
      </c>
      <c r="L2680" s="8">
        <v>2</v>
      </c>
      <c r="M2680" s="8">
        <v>0</v>
      </c>
      <c r="N2680" s="8">
        <v>0</v>
      </c>
      <c r="O2680" s="8">
        <v>2</v>
      </c>
      <c r="P2680" s="8">
        <v>2</v>
      </c>
      <c r="Q2680" s="8">
        <v>2</v>
      </c>
      <c r="R2680" s="8">
        <v>0</v>
      </c>
      <c r="S2680" s="8">
        <v>0</v>
      </c>
      <c r="T2680" s="8">
        <v>2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11" t="s">
        <v>262</v>
      </c>
    </row>
    <row r="2681" spans="1:46" ht="15.1" customHeight="1">
      <c r="A2681" s="8"/>
      <c r="B2681" s="9"/>
      <c r="C2681" s="8"/>
      <c r="D2681" s="9"/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  <c r="M2681" s="8">
        <v>0</v>
      </c>
      <c r="N2681" s="8">
        <v>0</v>
      </c>
      <c r="O2681" s="8">
        <v>0</v>
      </c>
      <c r="P2681" s="8">
        <v>0</v>
      </c>
      <c r="Q2681" s="8">
        <v>0</v>
      </c>
      <c r="R2681" s="8">
        <v>0</v>
      </c>
      <c r="S2681" s="8">
        <v>0</v>
      </c>
      <c r="T2681" s="8">
        <v>3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11" t="s">
        <v>262</v>
      </c>
    </row>
    <row r="2682" spans="1:46" ht="15.1" customHeight="1">
      <c r="A2682" s="8">
        <v>893</v>
      </c>
      <c r="B2682" s="9" t="s">
        <v>2016</v>
      </c>
      <c r="C2682" s="8" t="s">
        <v>2017</v>
      </c>
      <c r="D2682" s="9" t="s">
        <v>451</v>
      </c>
      <c r="E2682" s="8" t="s">
        <v>54</v>
      </c>
      <c r="F2682" s="8" t="s">
        <v>54</v>
      </c>
      <c r="G2682" s="10" t="s">
        <v>67</v>
      </c>
      <c r="H2682" s="8" t="s">
        <v>54</v>
      </c>
      <c r="I2682" s="8" t="s">
        <v>54</v>
      </c>
      <c r="J2682" s="8" t="s">
        <v>54</v>
      </c>
      <c r="K2682" s="8" t="s">
        <v>54</v>
      </c>
      <c r="L2682" s="8" t="s">
        <v>54</v>
      </c>
      <c r="M2682" s="8" t="s">
        <v>54</v>
      </c>
      <c r="N2682" s="10" t="s">
        <v>67</v>
      </c>
      <c r="O2682" s="8" t="s">
        <v>54</v>
      </c>
      <c r="P2682" s="8" t="s">
        <v>54</v>
      </c>
      <c r="Q2682" s="8" t="s">
        <v>54</v>
      </c>
      <c r="R2682" s="8" t="s">
        <v>54</v>
      </c>
      <c r="S2682" s="8" t="s">
        <v>54</v>
      </c>
      <c r="T2682" s="8" t="s">
        <v>54</v>
      </c>
      <c r="U2682" s="10" t="s">
        <v>67</v>
      </c>
      <c r="V2682" s="8" t="s">
        <v>54</v>
      </c>
      <c r="W2682" s="8" t="s">
        <v>54</v>
      </c>
      <c r="X2682" s="8" t="s">
        <v>54</v>
      </c>
      <c r="Y2682" s="8" t="s">
        <v>54</v>
      </c>
      <c r="Z2682" s="8" t="s">
        <v>54</v>
      </c>
      <c r="AA2682" s="8" t="s">
        <v>54</v>
      </c>
      <c r="AB2682" s="10" t="s">
        <v>67</v>
      </c>
      <c r="AC2682" s="8" t="s">
        <v>54</v>
      </c>
      <c r="AD2682" s="8" t="s">
        <v>54</v>
      </c>
      <c r="AE2682" s="8" t="s">
        <v>54</v>
      </c>
      <c r="AF2682" s="8" t="s">
        <v>54</v>
      </c>
      <c r="AG2682" s="8" t="s">
        <v>54</v>
      </c>
      <c r="AH2682" s="8" t="s">
        <v>54</v>
      </c>
      <c r="AI2682" s="10" t="s">
        <v>67</v>
      </c>
      <c r="AJ2682" s="8">
        <f>COUNTIF($E$2682:$AI$2682,"P")</f>
        <v>26</v>
      </c>
      <c r="AK2682" s="8">
        <f>COUNTIF($E$2682:$AI$2682,"A")</f>
        <v>0</v>
      </c>
      <c r="AL2682" s="8">
        <f>SUM($E$2683:$AI$2683)</f>
        <v>28</v>
      </c>
      <c r="AM2682" s="8">
        <f>SUM($E$2684:$AI$2684)</f>
        <v>80</v>
      </c>
      <c r="AN2682" s="8">
        <f>AL2682+AM2682</f>
        <v>108</v>
      </c>
      <c r="AO2682" s="8">
        <f>COUNTIF($E$2682:$AI$2682,"CL")</f>
        <v>0</v>
      </c>
      <c r="AP2682" s="8">
        <f>COUNTIF($E$2682:$AI$2682,"SL")</f>
        <v>0</v>
      </c>
      <c r="AQ2682" s="8">
        <f>COUNTIF($E$2682:$AI$2682,"EL")</f>
        <v>0</v>
      </c>
      <c r="AR2682" s="8">
        <f>COUNTIF($E$2682:$AI$2682,"H")</f>
        <v>0</v>
      </c>
      <c r="AS2682" s="8"/>
      <c r="AT2682" s="11" t="s">
        <v>262</v>
      </c>
    </row>
    <row r="2683" spans="1:46" ht="15.1" customHeight="1">
      <c r="A2683" s="8"/>
      <c r="B2683" s="9"/>
      <c r="C2683" s="8"/>
      <c r="D2683" s="9"/>
      <c r="E2683" s="8">
        <v>2</v>
      </c>
      <c r="F2683" s="8">
        <v>2</v>
      </c>
      <c r="G2683" s="8">
        <v>0</v>
      </c>
      <c r="H2683" s="8">
        <v>2</v>
      </c>
      <c r="I2683" s="8">
        <v>2</v>
      </c>
      <c r="J2683" s="8">
        <v>2</v>
      </c>
      <c r="K2683" s="8">
        <v>2</v>
      </c>
      <c r="L2683" s="8">
        <v>2</v>
      </c>
      <c r="M2683" s="8">
        <v>2</v>
      </c>
      <c r="N2683" s="8">
        <v>0</v>
      </c>
      <c r="O2683" s="8">
        <v>2</v>
      </c>
      <c r="P2683" s="8">
        <v>2</v>
      </c>
      <c r="Q2683" s="8">
        <v>2</v>
      </c>
      <c r="R2683" s="8">
        <v>2</v>
      </c>
      <c r="S2683" s="8">
        <v>2</v>
      </c>
      <c r="T2683" s="8">
        <v>2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11" t="s">
        <v>262</v>
      </c>
    </row>
    <row r="2684" spans="1:46" ht="15.1" customHeight="1">
      <c r="A2684" s="8"/>
      <c r="B2684" s="9"/>
      <c r="C2684" s="8"/>
      <c r="D2684" s="9"/>
      <c r="E2684" s="8">
        <v>4</v>
      </c>
      <c r="F2684" s="8">
        <v>3</v>
      </c>
      <c r="G2684" s="8">
        <v>0</v>
      </c>
      <c r="H2684" s="8">
        <v>3</v>
      </c>
      <c r="I2684" s="8">
        <v>3</v>
      </c>
      <c r="J2684" s="8">
        <v>3</v>
      </c>
      <c r="K2684" s="8">
        <v>3</v>
      </c>
      <c r="L2684" s="8">
        <v>3</v>
      </c>
      <c r="M2684" s="8">
        <v>5</v>
      </c>
      <c r="N2684" s="8">
        <v>17</v>
      </c>
      <c r="O2684" s="8">
        <v>7</v>
      </c>
      <c r="P2684" s="8">
        <v>7</v>
      </c>
      <c r="Q2684" s="8">
        <v>5</v>
      </c>
      <c r="R2684" s="8">
        <v>7</v>
      </c>
      <c r="S2684" s="8">
        <v>7</v>
      </c>
      <c r="T2684" s="8">
        <v>3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11" t="s">
        <v>262</v>
      </c>
    </row>
    <row r="2685" spans="1:46" ht="15.1" customHeight="1">
      <c r="A2685" s="8">
        <v>894</v>
      </c>
      <c r="B2685" s="9" t="s">
        <v>2018</v>
      </c>
      <c r="C2685" s="8" t="s">
        <v>2019</v>
      </c>
      <c r="D2685" s="9" t="s">
        <v>451</v>
      </c>
      <c r="E2685" s="8" t="s">
        <v>54</v>
      </c>
      <c r="F2685" s="8" t="s">
        <v>54</v>
      </c>
      <c r="G2685" s="10" t="s">
        <v>67</v>
      </c>
      <c r="H2685" s="8" t="s">
        <v>54</v>
      </c>
      <c r="I2685" s="8" t="s">
        <v>54</v>
      </c>
      <c r="J2685" s="8" t="s">
        <v>54</v>
      </c>
      <c r="K2685" s="8" t="s">
        <v>54</v>
      </c>
      <c r="L2685" s="8" t="s">
        <v>54</v>
      </c>
      <c r="M2685" s="8" t="s">
        <v>54</v>
      </c>
      <c r="N2685" s="10" t="s">
        <v>67</v>
      </c>
      <c r="O2685" s="8" t="s">
        <v>54</v>
      </c>
      <c r="P2685" s="8" t="s">
        <v>54</v>
      </c>
      <c r="Q2685" s="8" t="s">
        <v>54</v>
      </c>
      <c r="R2685" s="8" t="s">
        <v>54</v>
      </c>
      <c r="S2685" s="8" t="s">
        <v>54</v>
      </c>
      <c r="T2685" s="8" t="s">
        <v>54</v>
      </c>
      <c r="U2685" s="10" t="s">
        <v>67</v>
      </c>
      <c r="V2685" s="8" t="s">
        <v>54</v>
      </c>
      <c r="W2685" s="8" t="s">
        <v>54</v>
      </c>
      <c r="X2685" s="8" t="s">
        <v>54</v>
      </c>
      <c r="Y2685" s="8" t="s">
        <v>54</v>
      </c>
      <c r="Z2685" s="8" t="s">
        <v>54</v>
      </c>
      <c r="AA2685" s="8" t="s">
        <v>54</v>
      </c>
      <c r="AB2685" s="10" t="s">
        <v>67</v>
      </c>
      <c r="AC2685" s="8" t="s">
        <v>54</v>
      </c>
      <c r="AD2685" s="8" t="s">
        <v>54</v>
      </c>
      <c r="AE2685" s="8" t="s">
        <v>54</v>
      </c>
      <c r="AF2685" s="8" t="s">
        <v>54</v>
      </c>
      <c r="AG2685" s="8" t="s">
        <v>54</v>
      </c>
      <c r="AH2685" s="8" t="s">
        <v>54</v>
      </c>
      <c r="AI2685" s="10" t="s">
        <v>67</v>
      </c>
      <c r="AJ2685" s="8">
        <f>COUNTIF($E$2685:$AI$2685,"P")</f>
        <v>26</v>
      </c>
      <c r="AK2685" s="8">
        <f>COUNTIF($E$2685:$AI$2685,"A")</f>
        <v>0</v>
      </c>
      <c r="AL2685" s="8">
        <f>SUM($E$2686:$AI$2686)</f>
        <v>30</v>
      </c>
      <c r="AM2685" s="8">
        <f>SUM($E$2687:$AI$2687)</f>
        <v>78.5</v>
      </c>
      <c r="AN2685" s="8">
        <f>AL2685+AM2685</f>
        <v>108.5</v>
      </c>
      <c r="AO2685" s="8">
        <f>COUNTIF($E$2685:$AI$2685,"CL")</f>
        <v>0</v>
      </c>
      <c r="AP2685" s="8">
        <f>COUNTIF($E$2685:$AI$2685,"SL")</f>
        <v>0</v>
      </c>
      <c r="AQ2685" s="8">
        <f>COUNTIF($E$2685:$AI$2685,"EL")</f>
        <v>0</v>
      </c>
      <c r="AR2685" s="8">
        <f>COUNTIF($E$2685:$AI$2685,"H")</f>
        <v>0</v>
      </c>
      <c r="AS2685" s="8"/>
      <c r="AT2685" s="11" t="s">
        <v>262</v>
      </c>
    </row>
    <row r="2686" spans="1:46" ht="15.1" customHeight="1">
      <c r="A2686" s="8"/>
      <c r="B2686" s="9"/>
      <c r="C2686" s="8"/>
      <c r="D2686" s="9"/>
      <c r="E2686" s="8">
        <v>2</v>
      </c>
      <c r="F2686" s="8">
        <v>2</v>
      </c>
      <c r="G2686" s="8">
        <v>0</v>
      </c>
      <c r="H2686" s="8">
        <v>2</v>
      </c>
      <c r="I2686" s="8">
        <v>2</v>
      </c>
      <c r="J2686" s="8">
        <v>2</v>
      </c>
      <c r="K2686" s="8">
        <v>2</v>
      </c>
      <c r="L2686" s="8">
        <v>2</v>
      </c>
      <c r="M2686" s="8">
        <v>2</v>
      </c>
      <c r="N2686" s="8">
        <v>0</v>
      </c>
      <c r="O2686" s="8">
        <v>2</v>
      </c>
      <c r="P2686" s="8">
        <v>2</v>
      </c>
      <c r="Q2686" s="8">
        <v>2</v>
      </c>
      <c r="R2686" s="8">
        <v>2</v>
      </c>
      <c r="S2686" s="8">
        <v>2</v>
      </c>
      <c r="T2686" s="8">
        <v>2</v>
      </c>
      <c r="U2686" s="8">
        <v>0</v>
      </c>
      <c r="V2686" s="8">
        <v>2</v>
      </c>
      <c r="W2686" s="8">
        <v>0</v>
      </c>
      <c r="X2686" s="8">
        <v>0</v>
      </c>
      <c r="Y2686" s="8">
        <v>0</v>
      </c>
      <c r="Z2686" s="8">
        <v>0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11" t="s">
        <v>262</v>
      </c>
    </row>
    <row r="2687" spans="1:46" ht="15.1" customHeight="1">
      <c r="A2687" s="8"/>
      <c r="B2687" s="9"/>
      <c r="C2687" s="8"/>
      <c r="D2687" s="9"/>
      <c r="E2687" s="8">
        <v>3</v>
      </c>
      <c r="F2687" s="8">
        <v>3</v>
      </c>
      <c r="G2687" s="8">
        <v>0</v>
      </c>
      <c r="H2687" s="8">
        <v>3</v>
      </c>
      <c r="I2687" s="8">
        <v>3</v>
      </c>
      <c r="J2687" s="8">
        <v>3</v>
      </c>
      <c r="K2687" s="8">
        <v>3</v>
      </c>
      <c r="L2687" s="8">
        <v>3</v>
      </c>
      <c r="M2687" s="8">
        <v>5</v>
      </c>
      <c r="N2687" s="8">
        <v>16.5</v>
      </c>
      <c r="O2687" s="8">
        <v>7</v>
      </c>
      <c r="P2687" s="8">
        <v>7</v>
      </c>
      <c r="Q2687" s="8">
        <v>5</v>
      </c>
      <c r="R2687" s="8">
        <v>7</v>
      </c>
      <c r="S2687" s="8">
        <v>7</v>
      </c>
      <c r="T2687" s="8">
        <v>3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0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11" t="s">
        <v>262</v>
      </c>
    </row>
    <row r="2688" spans="1:46" ht="15.1" customHeight="1">
      <c r="A2688" s="8">
        <v>895</v>
      </c>
      <c r="B2688" s="9" t="s">
        <v>2020</v>
      </c>
      <c r="C2688" s="8" t="s">
        <v>2021</v>
      </c>
      <c r="D2688" s="9" t="s">
        <v>451</v>
      </c>
      <c r="E2688" s="8" t="s">
        <v>54</v>
      </c>
      <c r="F2688" s="8" t="s">
        <v>54</v>
      </c>
      <c r="G2688" s="10" t="s">
        <v>67</v>
      </c>
      <c r="H2688" s="8" t="s">
        <v>54</v>
      </c>
      <c r="I2688" s="8" t="s">
        <v>54</v>
      </c>
      <c r="J2688" s="8" t="s">
        <v>54</v>
      </c>
      <c r="K2688" s="8" t="s">
        <v>54</v>
      </c>
      <c r="L2688" s="8" t="s">
        <v>54</v>
      </c>
      <c r="M2688" s="8" t="s">
        <v>54</v>
      </c>
      <c r="N2688" s="10" t="s">
        <v>67</v>
      </c>
      <c r="O2688" s="8" t="s">
        <v>54</v>
      </c>
      <c r="P2688" s="8" t="s">
        <v>54</v>
      </c>
      <c r="Q2688" s="8" t="s">
        <v>54</v>
      </c>
      <c r="R2688" s="8" t="s">
        <v>54</v>
      </c>
      <c r="S2688" s="8" t="s">
        <v>54</v>
      </c>
      <c r="T2688" s="8" t="s">
        <v>54</v>
      </c>
      <c r="U2688" s="10" t="s">
        <v>67</v>
      </c>
      <c r="V2688" s="8" t="s">
        <v>54</v>
      </c>
      <c r="W2688" s="8" t="s">
        <v>54</v>
      </c>
      <c r="X2688" s="8" t="s">
        <v>54</v>
      </c>
      <c r="Y2688" s="8" t="s">
        <v>54</v>
      </c>
      <c r="Z2688" s="8" t="s">
        <v>54</v>
      </c>
      <c r="AA2688" s="8" t="s">
        <v>54</v>
      </c>
      <c r="AB2688" s="10" t="s">
        <v>67</v>
      </c>
      <c r="AC2688" s="8" t="s">
        <v>54</v>
      </c>
      <c r="AD2688" s="8" t="s">
        <v>54</v>
      </c>
      <c r="AE2688" s="8" t="s">
        <v>54</v>
      </c>
      <c r="AF2688" s="8" t="s">
        <v>54</v>
      </c>
      <c r="AG2688" s="8" t="s">
        <v>54</v>
      </c>
      <c r="AH2688" s="8" t="s">
        <v>54</v>
      </c>
      <c r="AI2688" s="10" t="s">
        <v>67</v>
      </c>
      <c r="AJ2688" s="8">
        <f>COUNTIF($E$2688:$AI$2688,"P")</f>
        <v>26</v>
      </c>
      <c r="AK2688" s="8">
        <f>COUNTIF($E$2688:$AI$2688,"A")</f>
        <v>0</v>
      </c>
      <c r="AL2688" s="8">
        <f>SUM($E$2689:$AI$2689)</f>
        <v>28</v>
      </c>
      <c r="AM2688" s="8">
        <f>SUM($E$2690:$AI$2690)</f>
        <v>81</v>
      </c>
      <c r="AN2688" s="8">
        <f>AL2688+AM2688</f>
        <v>109</v>
      </c>
      <c r="AO2688" s="8">
        <f>COUNTIF($E$2688:$AI$2688,"CL")</f>
        <v>0</v>
      </c>
      <c r="AP2688" s="8">
        <f>COUNTIF($E$2688:$AI$2688,"SL")</f>
        <v>0</v>
      </c>
      <c r="AQ2688" s="8">
        <f>COUNTIF($E$2688:$AI$2688,"EL")</f>
        <v>0</v>
      </c>
      <c r="AR2688" s="8">
        <f>COUNTIF($E$2688:$AI$2688,"H")</f>
        <v>0</v>
      </c>
      <c r="AS2688" s="8"/>
      <c r="AT2688" s="11" t="s">
        <v>262</v>
      </c>
    </row>
    <row r="2689" spans="1:46" ht="15.1" customHeight="1">
      <c r="A2689" s="8"/>
      <c r="B2689" s="9"/>
      <c r="C2689" s="8"/>
      <c r="D2689" s="9"/>
      <c r="E2689" s="8">
        <v>2</v>
      </c>
      <c r="F2689" s="8">
        <v>2</v>
      </c>
      <c r="G2689" s="8">
        <v>0</v>
      </c>
      <c r="H2689" s="8">
        <v>2</v>
      </c>
      <c r="I2689" s="8">
        <v>2</v>
      </c>
      <c r="J2689" s="8">
        <v>2</v>
      </c>
      <c r="K2689" s="8">
        <v>2</v>
      </c>
      <c r="L2689" s="8">
        <v>2</v>
      </c>
      <c r="M2689" s="8">
        <v>2</v>
      </c>
      <c r="N2689" s="8">
        <v>0</v>
      </c>
      <c r="O2689" s="8">
        <v>2</v>
      </c>
      <c r="P2689" s="8">
        <v>2</v>
      </c>
      <c r="Q2689" s="8">
        <v>2</v>
      </c>
      <c r="R2689" s="8">
        <v>2</v>
      </c>
      <c r="S2689" s="8">
        <v>2</v>
      </c>
      <c r="T2689" s="8">
        <v>2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11" t="s">
        <v>262</v>
      </c>
    </row>
    <row r="2690" spans="1:46" ht="15.1" customHeight="1">
      <c r="A2690" s="8"/>
      <c r="B2690" s="9"/>
      <c r="C2690" s="8"/>
      <c r="D2690" s="9"/>
      <c r="E2690" s="8">
        <v>4</v>
      </c>
      <c r="F2690" s="8">
        <v>3</v>
      </c>
      <c r="G2690" s="8">
        <v>0</v>
      </c>
      <c r="H2690" s="8">
        <v>5</v>
      </c>
      <c r="I2690" s="8">
        <v>7</v>
      </c>
      <c r="J2690" s="8">
        <v>7</v>
      </c>
      <c r="K2690" s="8">
        <v>7</v>
      </c>
      <c r="L2690" s="8">
        <v>7</v>
      </c>
      <c r="M2690" s="8">
        <v>5</v>
      </c>
      <c r="N2690" s="8">
        <v>0</v>
      </c>
      <c r="O2690" s="8">
        <v>7</v>
      </c>
      <c r="P2690" s="8">
        <v>7</v>
      </c>
      <c r="Q2690" s="8">
        <v>5</v>
      </c>
      <c r="R2690" s="8">
        <v>7</v>
      </c>
      <c r="S2690" s="8">
        <v>7</v>
      </c>
      <c r="T2690" s="8">
        <v>3</v>
      </c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11" t="s">
        <v>262</v>
      </c>
    </row>
    <row r="2691" spans="1:46" ht="15.1" customHeight="1">
      <c r="A2691" s="8">
        <v>896</v>
      </c>
      <c r="B2691" s="9" t="s">
        <v>2022</v>
      </c>
      <c r="C2691" s="8" t="s">
        <v>2023</v>
      </c>
      <c r="D2691" s="9" t="s">
        <v>451</v>
      </c>
      <c r="E2691" s="8" t="s">
        <v>54</v>
      </c>
      <c r="F2691" s="8" t="s">
        <v>54</v>
      </c>
      <c r="G2691" s="10" t="s">
        <v>67</v>
      </c>
      <c r="H2691" s="8" t="s">
        <v>54</v>
      </c>
      <c r="I2691" s="8" t="s">
        <v>54</v>
      </c>
      <c r="J2691" s="8" t="s">
        <v>54</v>
      </c>
      <c r="K2691" s="8" t="s">
        <v>54</v>
      </c>
      <c r="L2691" s="8" t="s">
        <v>54</v>
      </c>
      <c r="M2691" s="8" t="s">
        <v>54</v>
      </c>
      <c r="N2691" s="10" t="s">
        <v>67</v>
      </c>
      <c r="O2691" s="8" t="s">
        <v>54</v>
      </c>
      <c r="P2691" s="8" t="s">
        <v>54</v>
      </c>
      <c r="Q2691" s="8" t="s">
        <v>54</v>
      </c>
      <c r="R2691" s="8" t="s">
        <v>54</v>
      </c>
      <c r="S2691" s="8" t="s">
        <v>54</v>
      </c>
      <c r="T2691" s="8" t="s">
        <v>54</v>
      </c>
      <c r="U2691" s="10" t="s">
        <v>67</v>
      </c>
      <c r="V2691" s="8" t="s">
        <v>54</v>
      </c>
      <c r="W2691" s="8" t="s">
        <v>54</v>
      </c>
      <c r="X2691" s="8" t="s">
        <v>54</v>
      </c>
      <c r="Y2691" s="8" t="s">
        <v>54</v>
      </c>
      <c r="Z2691" s="8" t="s">
        <v>54</v>
      </c>
      <c r="AA2691" s="8" t="s">
        <v>54</v>
      </c>
      <c r="AB2691" s="10" t="s">
        <v>67</v>
      </c>
      <c r="AC2691" s="8" t="s">
        <v>54</v>
      </c>
      <c r="AD2691" s="8" t="s">
        <v>54</v>
      </c>
      <c r="AE2691" s="8" t="s">
        <v>54</v>
      </c>
      <c r="AF2691" s="8" t="s">
        <v>54</v>
      </c>
      <c r="AG2691" s="8" t="s">
        <v>54</v>
      </c>
      <c r="AH2691" s="8" t="s">
        <v>54</v>
      </c>
      <c r="AI2691" s="10" t="s">
        <v>67</v>
      </c>
      <c r="AJ2691" s="8">
        <f>COUNTIF($E$2691:$AI$2691,"P")</f>
        <v>26</v>
      </c>
      <c r="AK2691" s="8">
        <f>COUNTIF($E$2691:$AI$2691,"A")</f>
        <v>0</v>
      </c>
      <c r="AL2691" s="8">
        <f>SUM($E$2692:$AI$2692)</f>
        <v>22</v>
      </c>
      <c r="AM2691" s="8">
        <f>SUM($E$2693:$AI$2693)</f>
        <v>60.5</v>
      </c>
      <c r="AN2691" s="8">
        <f>AL2691+AM2691</f>
        <v>82.5</v>
      </c>
      <c r="AO2691" s="8">
        <f>COUNTIF($E$2691:$AI$2691,"CL")</f>
        <v>0</v>
      </c>
      <c r="AP2691" s="8">
        <f>COUNTIF($E$2691:$AI$2691,"SL")</f>
        <v>0</v>
      </c>
      <c r="AQ2691" s="8">
        <f>COUNTIF($E$2691:$AI$2691,"EL")</f>
        <v>0</v>
      </c>
      <c r="AR2691" s="8">
        <f>COUNTIF($E$2691:$AI$2691,"H")</f>
        <v>0</v>
      </c>
      <c r="AS2691" s="8"/>
      <c r="AT2691" s="11" t="s">
        <v>262</v>
      </c>
    </row>
    <row r="2692" spans="1:46" ht="15.1" customHeight="1">
      <c r="A2692" s="8"/>
      <c r="B2692" s="9"/>
      <c r="C2692" s="8"/>
      <c r="D2692" s="9"/>
      <c r="E2692" s="8">
        <v>2</v>
      </c>
      <c r="F2692" s="8">
        <v>0</v>
      </c>
      <c r="G2692" s="8">
        <v>0</v>
      </c>
      <c r="H2692" s="8">
        <v>2</v>
      </c>
      <c r="I2692" s="8">
        <v>2</v>
      </c>
      <c r="J2692" s="8">
        <v>2</v>
      </c>
      <c r="K2692" s="8">
        <v>2</v>
      </c>
      <c r="L2692" s="8">
        <v>2</v>
      </c>
      <c r="M2692" s="8">
        <v>2</v>
      </c>
      <c r="N2692" s="8">
        <v>0</v>
      </c>
      <c r="O2692" s="8">
        <v>2</v>
      </c>
      <c r="P2692" s="8">
        <v>2</v>
      </c>
      <c r="Q2692" s="8">
        <v>2</v>
      </c>
      <c r="R2692" s="8">
        <v>0</v>
      </c>
      <c r="S2692" s="8">
        <v>0</v>
      </c>
      <c r="T2692" s="8">
        <v>2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11" t="s">
        <v>262</v>
      </c>
    </row>
    <row r="2693" spans="1:46" ht="15.1" customHeight="1">
      <c r="A2693" s="8"/>
      <c r="B2693" s="9"/>
      <c r="C2693" s="8"/>
      <c r="D2693" s="9"/>
      <c r="E2693" s="8">
        <v>3</v>
      </c>
      <c r="F2693" s="8">
        <v>0</v>
      </c>
      <c r="G2693" s="8">
        <v>0</v>
      </c>
      <c r="H2693" s="8">
        <v>5</v>
      </c>
      <c r="I2693" s="8">
        <v>7</v>
      </c>
      <c r="J2693" s="8">
        <v>7</v>
      </c>
      <c r="K2693" s="8">
        <v>6.5</v>
      </c>
      <c r="L2693" s="8">
        <v>7</v>
      </c>
      <c r="M2693" s="8">
        <v>5</v>
      </c>
      <c r="N2693" s="8">
        <v>0</v>
      </c>
      <c r="O2693" s="8">
        <v>7</v>
      </c>
      <c r="P2693" s="8">
        <v>5</v>
      </c>
      <c r="Q2693" s="8">
        <v>5</v>
      </c>
      <c r="R2693" s="8">
        <v>0</v>
      </c>
      <c r="S2693" s="8">
        <v>0</v>
      </c>
      <c r="T2693" s="8">
        <v>3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8">
        <v>0</v>
      </c>
      <c r="AB2693" s="8">
        <v>0</v>
      </c>
      <c r="AC2693" s="8">
        <v>0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11" t="s">
        <v>262</v>
      </c>
    </row>
    <row r="2694" spans="1:46" ht="15.1" customHeight="1">
      <c r="A2694" s="8">
        <v>897</v>
      </c>
      <c r="B2694" s="9" t="s">
        <v>2024</v>
      </c>
      <c r="C2694" s="8" t="s">
        <v>2025</v>
      </c>
      <c r="D2694" s="9" t="s">
        <v>451</v>
      </c>
      <c r="E2694" s="8" t="s">
        <v>54</v>
      </c>
      <c r="F2694" s="8" t="s">
        <v>54</v>
      </c>
      <c r="G2694" s="10" t="s">
        <v>67</v>
      </c>
      <c r="H2694" s="8" t="s">
        <v>54</v>
      </c>
      <c r="I2694" s="8" t="s">
        <v>54</v>
      </c>
      <c r="J2694" s="8" t="s">
        <v>54</v>
      </c>
      <c r="K2694" s="8" t="s">
        <v>54</v>
      </c>
      <c r="L2694" s="8" t="s">
        <v>54</v>
      </c>
      <c r="M2694" s="8" t="s">
        <v>54</v>
      </c>
      <c r="N2694" s="10" t="s">
        <v>67</v>
      </c>
      <c r="O2694" s="8" t="s">
        <v>54</v>
      </c>
      <c r="P2694" s="8" t="s">
        <v>54</v>
      </c>
      <c r="Q2694" s="8" t="s">
        <v>54</v>
      </c>
      <c r="R2694" s="8" t="s">
        <v>54</v>
      </c>
      <c r="S2694" s="8" t="s">
        <v>54</v>
      </c>
      <c r="T2694" s="8" t="s">
        <v>54</v>
      </c>
      <c r="U2694" s="10" t="s">
        <v>67</v>
      </c>
      <c r="V2694" s="8" t="s">
        <v>54</v>
      </c>
      <c r="W2694" s="8" t="s">
        <v>54</v>
      </c>
      <c r="X2694" s="8" t="s">
        <v>54</v>
      </c>
      <c r="Y2694" s="8" t="s">
        <v>54</v>
      </c>
      <c r="Z2694" s="8" t="s">
        <v>54</v>
      </c>
      <c r="AA2694" s="8" t="s">
        <v>54</v>
      </c>
      <c r="AB2694" s="10" t="s">
        <v>67</v>
      </c>
      <c r="AC2694" s="8" t="s">
        <v>54</v>
      </c>
      <c r="AD2694" s="8" t="s">
        <v>54</v>
      </c>
      <c r="AE2694" s="8" t="s">
        <v>54</v>
      </c>
      <c r="AF2694" s="8" t="s">
        <v>54</v>
      </c>
      <c r="AG2694" s="8" t="s">
        <v>54</v>
      </c>
      <c r="AH2694" s="8" t="s">
        <v>54</v>
      </c>
      <c r="AI2694" s="10" t="s">
        <v>67</v>
      </c>
      <c r="AJ2694" s="8">
        <f>COUNTIF($E$2694:$AI$2694,"P")</f>
        <v>26</v>
      </c>
      <c r="AK2694" s="8">
        <f>COUNTIF($E$2694:$AI$2694,"A")</f>
        <v>0</v>
      </c>
      <c r="AL2694" s="8">
        <f>SUM($E$2695:$AI$2695)</f>
        <v>22</v>
      </c>
      <c r="AM2694" s="8">
        <f>SUM($E$2696:$AI$2696)</f>
        <v>42</v>
      </c>
      <c r="AN2694" s="8">
        <f>AL2694+AM2694</f>
        <v>64</v>
      </c>
      <c r="AO2694" s="8">
        <f>COUNTIF($E$2694:$AI$2694,"CL")</f>
        <v>0</v>
      </c>
      <c r="AP2694" s="8">
        <f>COUNTIF($E$2694:$AI$2694,"SL")</f>
        <v>0</v>
      </c>
      <c r="AQ2694" s="8">
        <f>COUNTIF($E$2694:$AI$2694,"EL")</f>
        <v>0</v>
      </c>
      <c r="AR2694" s="8">
        <f>COUNTIF($E$2694:$AI$2694,"H")</f>
        <v>0</v>
      </c>
      <c r="AS2694" s="8"/>
      <c r="AT2694" s="11" t="s">
        <v>262</v>
      </c>
    </row>
    <row r="2695" spans="1:46" ht="15.1" customHeight="1">
      <c r="A2695" s="8"/>
      <c r="B2695" s="9"/>
      <c r="C2695" s="8"/>
      <c r="D2695" s="9"/>
      <c r="E2695" s="8">
        <v>2</v>
      </c>
      <c r="F2695" s="8">
        <v>0</v>
      </c>
      <c r="G2695" s="8">
        <v>0</v>
      </c>
      <c r="H2695" s="8">
        <v>0</v>
      </c>
      <c r="I2695" s="8">
        <v>0</v>
      </c>
      <c r="J2695" s="8">
        <v>2</v>
      </c>
      <c r="K2695" s="8">
        <v>2</v>
      </c>
      <c r="L2695" s="8">
        <v>2</v>
      </c>
      <c r="M2695" s="8">
        <v>2</v>
      </c>
      <c r="N2695" s="8">
        <v>0</v>
      </c>
      <c r="O2695" s="8">
        <v>2</v>
      </c>
      <c r="P2695" s="8">
        <v>2</v>
      </c>
      <c r="Q2695" s="8">
        <v>2</v>
      </c>
      <c r="R2695" s="8">
        <v>2</v>
      </c>
      <c r="S2695" s="8">
        <v>2</v>
      </c>
      <c r="T2695" s="8">
        <v>2</v>
      </c>
      <c r="U2695" s="8">
        <v>0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11" t="s">
        <v>262</v>
      </c>
    </row>
    <row r="2696" spans="1:46" ht="15.1" customHeight="1">
      <c r="A2696" s="8"/>
      <c r="B2696" s="9"/>
      <c r="C2696" s="8"/>
      <c r="D2696" s="9"/>
      <c r="E2696" s="8">
        <v>2.5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3</v>
      </c>
      <c r="L2696" s="8">
        <v>3</v>
      </c>
      <c r="M2696" s="8">
        <v>3</v>
      </c>
      <c r="N2696" s="8">
        <v>12.5</v>
      </c>
      <c r="O2696" s="8">
        <v>3</v>
      </c>
      <c r="P2696" s="8">
        <v>3</v>
      </c>
      <c r="Q2696" s="8">
        <v>3</v>
      </c>
      <c r="R2696" s="8">
        <v>3</v>
      </c>
      <c r="S2696" s="8">
        <v>3</v>
      </c>
      <c r="T2696" s="8">
        <v>3</v>
      </c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8">
        <v>0</v>
      </c>
      <c r="AF2696" s="8">
        <v>0</v>
      </c>
      <c r="AG2696" s="8">
        <v>0</v>
      </c>
      <c r="AH2696" s="8">
        <v>0</v>
      </c>
      <c r="AI2696" s="8">
        <v>0</v>
      </c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11" t="s">
        <v>262</v>
      </c>
    </row>
    <row r="2697" spans="1:46" ht="15.1" customHeight="1">
      <c r="A2697" s="8">
        <v>898</v>
      </c>
      <c r="B2697" s="9" t="s">
        <v>2026</v>
      </c>
      <c r="C2697" s="8" t="s">
        <v>2027</v>
      </c>
      <c r="D2697" s="9" t="s">
        <v>451</v>
      </c>
      <c r="E2697" s="8" t="s">
        <v>54</v>
      </c>
      <c r="F2697" s="8" t="s">
        <v>54</v>
      </c>
      <c r="G2697" s="10" t="s">
        <v>67</v>
      </c>
      <c r="H2697" s="8" t="s">
        <v>54</v>
      </c>
      <c r="I2697" s="8" t="s">
        <v>54</v>
      </c>
      <c r="J2697" s="8" t="s">
        <v>54</v>
      </c>
      <c r="K2697" s="8" t="s">
        <v>54</v>
      </c>
      <c r="L2697" s="8" t="s">
        <v>54</v>
      </c>
      <c r="M2697" s="8" t="s">
        <v>54</v>
      </c>
      <c r="N2697" s="10" t="s">
        <v>67</v>
      </c>
      <c r="O2697" s="8" t="s">
        <v>54</v>
      </c>
      <c r="P2697" s="8" t="s">
        <v>54</v>
      </c>
      <c r="Q2697" s="8" t="s">
        <v>54</v>
      </c>
      <c r="R2697" s="8" t="s">
        <v>54</v>
      </c>
      <c r="S2697" s="8" t="s">
        <v>54</v>
      </c>
      <c r="T2697" s="8" t="s">
        <v>54</v>
      </c>
      <c r="U2697" s="10" t="s">
        <v>67</v>
      </c>
      <c r="V2697" s="8" t="s">
        <v>54</v>
      </c>
      <c r="W2697" s="8" t="s">
        <v>54</v>
      </c>
      <c r="X2697" s="8" t="s">
        <v>54</v>
      </c>
      <c r="Y2697" s="8" t="s">
        <v>54</v>
      </c>
      <c r="Z2697" s="8" t="s">
        <v>54</v>
      </c>
      <c r="AA2697" s="8" t="s">
        <v>54</v>
      </c>
      <c r="AB2697" s="10" t="s">
        <v>67</v>
      </c>
      <c r="AC2697" s="8" t="s">
        <v>54</v>
      </c>
      <c r="AD2697" s="8" t="s">
        <v>54</v>
      </c>
      <c r="AE2697" s="8" t="s">
        <v>54</v>
      </c>
      <c r="AF2697" s="8" t="s">
        <v>54</v>
      </c>
      <c r="AG2697" s="8" t="s">
        <v>54</v>
      </c>
      <c r="AH2697" s="8" t="s">
        <v>54</v>
      </c>
      <c r="AI2697" s="10" t="s">
        <v>67</v>
      </c>
      <c r="AJ2697" s="8">
        <f>COUNTIF($E$2697:$AI$2697,"P")</f>
        <v>26</v>
      </c>
      <c r="AK2697" s="8">
        <f>COUNTIF($E$2697:$AI$2697,"A")</f>
        <v>0</v>
      </c>
      <c r="AL2697" s="8">
        <f>SUM($E$2698:$AI$2698)</f>
        <v>28</v>
      </c>
      <c r="AM2697" s="8">
        <f>SUM($E$2699:$AI$2699)</f>
        <v>98</v>
      </c>
      <c r="AN2697" s="8">
        <f>AL2697+AM2697</f>
        <v>126</v>
      </c>
      <c r="AO2697" s="8">
        <f>COUNTIF($E$2697:$AI$2697,"CL")</f>
        <v>0</v>
      </c>
      <c r="AP2697" s="8">
        <f>COUNTIF($E$2697:$AI$2697,"SL")</f>
        <v>0</v>
      </c>
      <c r="AQ2697" s="8">
        <f>COUNTIF($E$2697:$AI$2697,"EL")</f>
        <v>0</v>
      </c>
      <c r="AR2697" s="8">
        <f>COUNTIF($E$2697:$AI$2697,"H")</f>
        <v>0</v>
      </c>
      <c r="AS2697" s="8"/>
      <c r="AT2697" s="11" t="s">
        <v>262</v>
      </c>
    </row>
    <row r="2698" spans="1:46" ht="15.1" customHeight="1">
      <c r="A2698" s="8"/>
      <c r="B2698" s="9"/>
      <c r="C2698" s="8"/>
      <c r="D2698" s="9"/>
      <c r="E2698" s="8">
        <v>2</v>
      </c>
      <c r="F2698" s="8">
        <v>2</v>
      </c>
      <c r="G2698" s="8">
        <v>0</v>
      </c>
      <c r="H2698" s="8">
        <v>2</v>
      </c>
      <c r="I2698" s="8">
        <v>2</v>
      </c>
      <c r="J2698" s="8">
        <v>2</v>
      </c>
      <c r="K2698" s="8">
        <v>2</v>
      </c>
      <c r="L2698" s="8">
        <v>2</v>
      </c>
      <c r="M2698" s="8">
        <v>2</v>
      </c>
      <c r="N2698" s="8">
        <v>0</v>
      </c>
      <c r="O2698" s="8">
        <v>2</v>
      </c>
      <c r="P2698" s="8">
        <v>2</v>
      </c>
      <c r="Q2698" s="8">
        <v>2</v>
      </c>
      <c r="R2698" s="8">
        <v>2</v>
      </c>
      <c r="S2698" s="8">
        <v>2</v>
      </c>
      <c r="T2698" s="8">
        <v>2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11" t="s">
        <v>262</v>
      </c>
    </row>
    <row r="2699" spans="1:46" ht="15.1" customHeight="1">
      <c r="A2699" s="8"/>
      <c r="B2699" s="9"/>
      <c r="C2699" s="8"/>
      <c r="D2699" s="9"/>
      <c r="E2699" s="8">
        <v>4</v>
      </c>
      <c r="F2699" s="8">
        <v>3</v>
      </c>
      <c r="G2699" s="8">
        <v>13</v>
      </c>
      <c r="H2699" s="8">
        <v>3</v>
      </c>
      <c r="I2699" s="8">
        <v>3</v>
      </c>
      <c r="J2699" s="8">
        <v>5</v>
      </c>
      <c r="K2699" s="8">
        <v>7</v>
      </c>
      <c r="L2699" s="8">
        <v>7</v>
      </c>
      <c r="M2699" s="8">
        <v>5</v>
      </c>
      <c r="N2699" s="8">
        <v>16</v>
      </c>
      <c r="O2699" s="8">
        <v>7</v>
      </c>
      <c r="P2699" s="8">
        <v>5</v>
      </c>
      <c r="Q2699" s="8">
        <v>5</v>
      </c>
      <c r="R2699" s="8">
        <v>5</v>
      </c>
      <c r="S2699" s="8">
        <v>7</v>
      </c>
      <c r="T2699" s="8">
        <v>3</v>
      </c>
      <c r="U2699" s="8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8">
        <v>0</v>
      </c>
      <c r="AF2699" s="8">
        <v>0</v>
      </c>
      <c r="AG2699" s="8">
        <v>0</v>
      </c>
      <c r="AH2699" s="8">
        <v>0</v>
      </c>
      <c r="AI2699" s="8">
        <v>0</v>
      </c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11" t="s">
        <v>262</v>
      </c>
    </row>
    <row r="2700" spans="1:46" ht="15.1" customHeight="1">
      <c r="A2700" s="8">
        <v>899</v>
      </c>
      <c r="B2700" s="9" t="s">
        <v>2028</v>
      </c>
      <c r="C2700" s="8" t="s">
        <v>2029</v>
      </c>
      <c r="D2700" s="9" t="s">
        <v>451</v>
      </c>
      <c r="E2700" s="8" t="s">
        <v>54</v>
      </c>
      <c r="F2700" s="8" t="s">
        <v>54</v>
      </c>
      <c r="G2700" s="10" t="s">
        <v>67</v>
      </c>
      <c r="H2700" s="8" t="s">
        <v>54</v>
      </c>
      <c r="I2700" s="8" t="s">
        <v>54</v>
      </c>
      <c r="J2700" s="8" t="s">
        <v>54</v>
      </c>
      <c r="K2700" s="8" t="s">
        <v>54</v>
      </c>
      <c r="L2700" s="8" t="s">
        <v>54</v>
      </c>
      <c r="M2700" s="8" t="s">
        <v>54</v>
      </c>
      <c r="N2700" s="10" t="s">
        <v>67</v>
      </c>
      <c r="O2700" s="8" t="s">
        <v>54</v>
      </c>
      <c r="P2700" s="8" t="s">
        <v>54</v>
      </c>
      <c r="Q2700" s="8" t="s">
        <v>54</v>
      </c>
      <c r="R2700" s="8" t="s">
        <v>54</v>
      </c>
      <c r="S2700" s="8" t="s">
        <v>54</v>
      </c>
      <c r="T2700" s="8" t="s">
        <v>54</v>
      </c>
      <c r="U2700" s="10" t="s">
        <v>67</v>
      </c>
      <c r="V2700" s="8" t="s">
        <v>54</v>
      </c>
      <c r="W2700" s="8" t="s">
        <v>54</v>
      </c>
      <c r="X2700" s="8" t="s">
        <v>54</v>
      </c>
      <c r="Y2700" s="8" t="s">
        <v>54</v>
      </c>
      <c r="Z2700" s="8" t="s">
        <v>54</v>
      </c>
      <c r="AA2700" s="8" t="s">
        <v>54</v>
      </c>
      <c r="AB2700" s="10" t="s">
        <v>67</v>
      </c>
      <c r="AC2700" s="12" t="s">
        <v>55</v>
      </c>
      <c r="AD2700" s="8" t="s">
        <v>54</v>
      </c>
      <c r="AE2700" s="8" t="s">
        <v>54</v>
      </c>
      <c r="AF2700" s="8" t="s">
        <v>54</v>
      </c>
      <c r="AG2700" s="8" t="s">
        <v>54</v>
      </c>
      <c r="AH2700" s="8" t="s">
        <v>54</v>
      </c>
      <c r="AI2700" s="10" t="s">
        <v>67</v>
      </c>
      <c r="AJ2700" s="8">
        <f>COUNTIF($E$2700:$AI$2700,"P")</f>
        <v>25</v>
      </c>
      <c r="AK2700" s="8">
        <f>COUNTIF($E$2700:$AI$2700,"A")</f>
        <v>1</v>
      </c>
      <c r="AL2700" s="8">
        <f>SUM($E$2701:$AI$2701)</f>
        <v>16</v>
      </c>
      <c r="AM2700" s="8">
        <f>SUM($E$2702:$AI$2702)</f>
        <v>6</v>
      </c>
      <c r="AN2700" s="8">
        <f>AL2700+AM2700</f>
        <v>22</v>
      </c>
      <c r="AO2700" s="8">
        <f>COUNTIF($E$2700:$AI$2700,"CL")</f>
        <v>0</v>
      </c>
      <c r="AP2700" s="8">
        <f>COUNTIF($E$2700:$AI$2700,"SL")</f>
        <v>0</v>
      </c>
      <c r="AQ2700" s="8">
        <f>COUNTIF($E$2700:$AI$2700,"EL")</f>
        <v>0</v>
      </c>
      <c r="AR2700" s="8">
        <f>COUNTIF($E$2700:$AI$2700,"H")</f>
        <v>0</v>
      </c>
      <c r="AS2700" s="8"/>
      <c r="AT2700" s="11" t="s">
        <v>262</v>
      </c>
    </row>
    <row r="2701" spans="1:46" ht="15.1" customHeight="1">
      <c r="A2701" s="8"/>
      <c r="B2701" s="9"/>
      <c r="C2701" s="8"/>
      <c r="D2701" s="9"/>
      <c r="E2701" s="8">
        <v>2</v>
      </c>
      <c r="F2701" s="8">
        <v>0</v>
      </c>
      <c r="G2701" s="8">
        <v>0</v>
      </c>
      <c r="H2701" s="8">
        <v>0</v>
      </c>
      <c r="I2701" s="8">
        <v>0</v>
      </c>
      <c r="J2701" s="8">
        <v>2</v>
      </c>
      <c r="K2701" s="8">
        <v>0</v>
      </c>
      <c r="L2701" s="8">
        <v>2</v>
      </c>
      <c r="M2701" s="8">
        <v>2</v>
      </c>
      <c r="N2701" s="8">
        <v>0</v>
      </c>
      <c r="O2701" s="8">
        <v>2</v>
      </c>
      <c r="P2701" s="8">
        <v>2</v>
      </c>
      <c r="Q2701" s="8">
        <v>2</v>
      </c>
      <c r="R2701" s="8">
        <v>0</v>
      </c>
      <c r="S2701" s="8">
        <v>0</v>
      </c>
      <c r="T2701" s="8">
        <v>2</v>
      </c>
      <c r="U2701" s="8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0</v>
      </c>
      <c r="AH2701" s="8">
        <v>0</v>
      </c>
      <c r="AI2701" s="8">
        <v>0</v>
      </c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11" t="s">
        <v>262</v>
      </c>
    </row>
    <row r="2702" spans="1:46" ht="15.1" customHeight="1">
      <c r="A2702" s="8"/>
      <c r="B2702" s="9"/>
      <c r="C2702" s="8"/>
      <c r="D2702" s="9"/>
      <c r="E2702" s="8">
        <v>3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  <c r="M2702" s="8">
        <v>3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11" t="s">
        <v>262</v>
      </c>
    </row>
    <row r="2703" spans="1:46" ht="15.1" customHeight="1">
      <c r="A2703" s="8">
        <v>900</v>
      </c>
      <c r="B2703" s="9" t="s">
        <v>2030</v>
      </c>
      <c r="C2703" s="8" t="s">
        <v>2031</v>
      </c>
      <c r="D2703" s="9" t="s">
        <v>451</v>
      </c>
      <c r="E2703" s="8" t="s">
        <v>54</v>
      </c>
      <c r="F2703" s="8" t="s">
        <v>54</v>
      </c>
      <c r="G2703" s="10" t="s">
        <v>67</v>
      </c>
      <c r="H2703" s="8" t="s">
        <v>54</v>
      </c>
      <c r="I2703" s="8" t="s">
        <v>54</v>
      </c>
      <c r="J2703" s="8" t="s">
        <v>54</v>
      </c>
      <c r="K2703" s="8" t="s">
        <v>54</v>
      </c>
      <c r="L2703" s="8" t="s">
        <v>54</v>
      </c>
      <c r="M2703" s="8" t="s">
        <v>54</v>
      </c>
      <c r="N2703" s="10" t="s">
        <v>67</v>
      </c>
      <c r="O2703" s="8" t="s">
        <v>54</v>
      </c>
      <c r="P2703" s="8" t="s">
        <v>54</v>
      </c>
      <c r="Q2703" s="8" t="s">
        <v>54</v>
      </c>
      <c r="R2703" s="8" t="s">
        <v>54</v>
      </c>
      <c r="S2703" s="8" t="s">
        <v>54</v>
      </c>
      <c r="T2703" s="8" t="s">
        <v>54</v>
      </c>
      <c r="U2703" s="10" t="s">
        <v>67</v>
      </c>
      <c r="V2703" s="8" t="s">
        <v>54</v>
      </c>
      <c r="W2703" s="8" t="s">
        <v>54</v>
      </c>
      <c r="X2703" s="8" t="s">
        <v>54</v>
      </c>
      <c r="Y2703" s="8" t="s">
        <v>54</v>
      </c>
      <c r="Z2703" s="8" t="s">
        <v>54</v>
      </c>
      <c r="AA2703" s="8" t="s">
        <v>54</v>
      </c>
      <c r="AB2703" s="10" t="s">
        <v>67</v>
      </c>
      <c r="AC2703" s="8" t="s">
        <v>54</v>
      </c>
      <c r="AD2703" s="8" t="s">
        <v>54</v>
      </c>
      <c r="AE2703" s="8" t="s">
        <v>54</v>
      </c>
      <c r="AF2703" s="8" t="s">
        <v>54</v>
      </c>
      <c r="AG2703" s="8" t="s">
        <v>54</v>
      </c>
      <c r="AH2703" s="8" t="s">
        <v>54</v>
      </c>
      <c r="AI2703" s="10" t="s">
        <v>67</v>
      </c>
      <c r="AJ2703" s="8">
        <f>COUNTIF($E$2703:$AI$2703,"P")</f>
        <v>26</v>
      </c>
      <c r="AK2703" s="8">
        <f>COUNTIF($E$2703:$AI$2703,"A")</f>
        <v>0</v>
      </c>
      <c r="AL2703" s="8">
        <f>SUM($E$2704:$AI$2704)</f>
        <v>20</v>
      </c>
      <c r="AM2703" s="8">
        <f>SUM($E$2705:$AI$2705)</f>
        <v>47</v>
      </c>
      <c r="AN2703" s="8">
        <f>AL2703+AM2703</f>
        <v>67</v>
      </c>
      <c r="AO2703" s="8">
        <f>COUNTIF($E$2703:$AI$2703,"CL")</f>
        <v>0</v>
      </c>
      <c r="AP2703" s="8">
        <f>COUNTIF($E$2703:$AI$2703,"SL")</f>
        <v>0</v>
      </c>
      <c r="AQ2703" s="8">
        <f>COUNTIF($E$2703:$AI$2703,"EL")</f>
        <v>0</v>
      </c>
      <c r="AR2703" s="8">
        <f>COUNTIF($E$2703:$AI$2703,"H")</f>
        <v>0</v>
      </c>
      <c r="AS2703" s="8"/>
      <c r="AT2703" s="11" t="s">
        <v>262</v>
      </c>
    </row>
    <row r="2704" spans="1:46" ht="15.1" customHeight="1">
      <c r="A2704" s="8"/>
      <c r="B2704" s="9"/>
      <c r="C2704" s="8"/>
      <c r="D2704" s="9"/>
      <c r="E2704" s="8">
        <v>2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2</v>
      </c>
      <c r="L2704" s="8">
        <v>2</v>
      </c>
      <c r="M2704" s="8">
        <v>2</v>
      </c>
      <c r="N2704" s="8">
        <v>0</v>
      </c>
      <c r="O2704" s="8">
        <v>2</v>
      </c>
      <c r="P2704" s="8">
        <v>2</v>
      </c>
      <c r="Q2704" s="8">
        <v>2</v>
      </c>
      <c r="R2704" s="8">
        <v>2</v>
      </c>
      <c r="S2704" s="8">
        <v>2</v>
      </c>
      <c r="T2704" s="8">
        <v>2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0</v>
      </c>
      <c r="AH2704" s="8">
        <v>0</v>
      </c>
      <c r="AI2704" s="8">
        <v>0</v>
      </c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11" t="s">
        <v>262</v>
      </c>
    </row>
    <row r="2705" spans="1:46" ht="15.1" customHeight="1">
      <c r="A2705" s="8"/>
      <c r="B2705" s="9"/>
      <c r="C2705" s="8"/>
      <c r="D2705" s="9"/>
      <c r="E2705" s="8">
        <v>3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3</v>
      </c>
      <c r="L2705" s="8">
        <v>3</v>
      </c>
      <c r="M2705" s="8">
        <v>3</v>
      </c>
      <c r="N2705" s="8">
        <v>13</v>
      </c>
      <c r="O2705" s="8">
        <v>5</v>
      </c>
      <c r="P2705" s="8">
        <v>5</v>
      </c>
      <c r="Q2705" s="8">
        <v>3</v>
      </c>
      <c r="R2705" s="8">
        <v>3</v>
      </c>
      <c r="S2705" s="8">
        <v>3</v>
      </c>
      <c r="T2705" s="8">
        <v>3</v>
      </c>
      <c r="U2705" s="8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0</v>
      </c>
      <c r="AB2705" s="8">
        <v>0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11" t="s">
        <v>262</v>
      </c>
    </row>
    <row r="2706" spans="1:46" ht="15.1" customHeight="1">
      <c r="A2706" s="8">
        <v>901</v>
      </c>
      <c r="B2706" s="9" t="s">
        <v>2032</v>
      </c>
      <c r="C2706" s="8" t="s">
        <v>2033</v>
      </c>
      <c r="D2706" s="9" t="s">
        <v>451</v>
      </c>
      <c r="E2706" s="8" t="s">
        <v>54</v>
      </c>
      <c r="F2706" s="8" t="s">
        <v>54</v>
      </c>
      <c r="G2706" s="10" t="s">
        <v>67</v>
      </c>
      <c r="H2706" s="8" t="s">
        <v>54</v>
      </c>
      <c r="I2706" s="8" t="s">
        <v>54</v>
      </c>
      <c r="J2706" s="8" t="s">
        <v>54</v>
      </c>
      <c r="K2706" s="8" t="s">
        <v>54</v>
      </c>
      <c r="L2706" s="8" t="s">
        <v>54</v>
      </c>
      <c r="M2706" s="8" t="s">
        <v>54</v>
      </c>
      <c r="N2706" s="10" t="s">
        <v>67</v>
      </c>
      <c r="O2706" s="8" t="s">
        <v>54</v>
      </c>
      <c r="P2706" s="8" t="s">
        <v>54</v>
      </c>
      <c r="Q2706" s="8" t="s">
        <v>54</v>
      </c>
      <c r="R2706" s="8" t="s">
        <v>54</v>
      </c>
      <c r="S2706" s="8" t="s">
        <v>54</v>
      </c>
      <c r="T2706" s="8" t="s">
        <v>54</v>
      </c>
      <c r="U2706" s="10" t="s">
        <v>67</v>
      </c>
      <c r="V2706" s="8" t="s">
        <v>54</v>
      </c>
      <c r="W2706" s="8" t="s">
        <v>54</v>
      </c>
      <c r="X2706" s="8" t="s">
        <v>54</v>
      </c>
      <c r="Y2706" s="8" t="s">
        <v>54</v>
      </c>
      <c r="Z2706" s="8" t="s">
        <v>54</v>
      </c>
      <c r="AA2706" s="8" t="s">
        <v>54</v>
      </c>
      <c r="AB2706" s="10" t="s">
        <v>67</v>
      </c>
      <c r="AC2706" s="8" t="s">
        <v>54</v>
      </c>
      <c r="AD2706" s="8" t="s">
        <v>54</v>
      </c>
      <c r="AE2706" s="8" t="s">
        <v>54</v>
      </c>
      <c r="AF2706" s="8" t="s">
        <v>54</v>
      </c>
      <c r="AG2706" s="8" t="s">
        <v>54</v>
      </c>
      <c r="AH2706" s="8" t="s">
        <v>54</v>
      </c>
      <c r="AI2706" s="10" t="s">
        <v>67</v>
      </c>
      <c r="AJ2706" s="8">
        <f>COUNTIF($E$2706:$AI$2706,"P")</f>
        <v>26</v>
      </c>
      <c r="AK2706" s="8">
        <f>COUNTIF($E$2706:$AI$2706,"A")</f>
        <v>0</v>
      </c>
      <c r="AL2706" s="8">
        <f>SUM($E$2707:$AI$2707)</f>
        <v>26</v>
      </c>
      <c r="AM2706" s="8">
        <f>SUM($E$2708:$AI$2708)</f>
        <v>51</v>
      </c>
      <c r="AN2706" s="8">
        <f>AL2706+AM2706</f>
        <v>77</v>
      </c>
      <c r="AO2706" s="8">
        <f>COUNTIF($E$2706:$AI$2706,"CL")</f>
        <v>0</v>
      </c>
      <c r="AP2706" s="8">
        <f>COUNTIF($E$2706:$AI$2706,"SL")</f>
        <v>0</v>
      </c>
      <c r="AQ2706" s="8">
        <f>COUNTIF($E$2706:$AI$2706,"EL")</f>
        <v>0</v>
      </c>
      <c r="AR2706" s="8">
        <f>COUNTIF($E$2706:$AI$2706,"H")</f>
        <v>0</v>
      </c>
      <c r="AS2706" s="8"/>
      <c r="AT2706" s="11" t="s">
        <v>262</v>
      </c>
    </row>
    <row r="2707" spans="1:46" ht="15.1" customHeight="1">
      <c r="A2707" s="8"/>
      <c r="B2707" s="9"/>
      <c r="C2707" s="8"/>
      <c r="D2707" s="9"/>
      <c r="E2707" s="8">
        <v>0</v>
      </c>
      <c r="F2707" s="8">
        <v>2</v>
      </c>
      <c r="G2707" s="8">
        <v>0</v>
      </c>
      <c r="H2707" s="8">
        <v>2</v>
      </c>
      <c r="I2707" s="8">
        <v>2</v>
      </c>
      <c r="J2707" s="8">
        <v>2</v>
      </c>
      <c r="K2707" s="8">
        <v>2</v>
      </c>
      <c r="L2707" s="8">
        <v>2</v>
      </c>
      <c r="M2707" s="8">
        <v>2</v>
      </c>
      <c r="N2707" s="8">
        <v>0</v>
      </c>
      <c r="O2707" s="8">
        <v>2</v>
      </c>
      <c r="P2707" s="8">
        <v>2</v>
      </c>
      <c r="Q2707" s="8">
        <v>2</v>
      </c>
      <c r="R2707" s="8">
        <v>2</v>
      </c>
      <c r="S2707" s="8">
        <v>2</v>
      </c>
      <c r="T2707" s="8">
        <v>2</v>
      </c>
      <c r="U2707" s="8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0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11" t="s">
        <v>262</v>
      </c>
    </row>
    <row r="2708" spans="1:46" ht="15.1" customHeight="1">
      <c r="A2708" s="8"/>
      <c r="B2708" s="9"/>
      <c r="C2708" s="8"/>
      <c r="D2708" s="9"/>
      <c r="E2708" s="8">
        <v>0</v>
      </c>
      <c r="F2708" s="8">
        <v>3</v>
      </c>
      <c r="G2708" s="8">
        <v>0</v>
      </c>
      <c r="H2708" s="8">
        <v>3</v>
      </c>
      <c r="I2708" s="8">
        <v>3</v>
      </c>
      <c r="J2708" s="8">
        <v>3</v>
      </c>
      <c r="K2708" s="8">
        <v>3</v>
      </c>
      <c r="L2708" s="8">
        <v>3</v>
      </c>
      <c r="M2708" s="8">
        <v>3</v>
      </c>
      <c r="N2708" s="8">
        <v>13</v>
      </c>
      <c r="O2708" s="8">
        <v>3</v>
      </c>
      <c r="P2708" s="8">
        <v>3</v>
      </c>
      <c r="Q2708" s="8">
        <v>3</v>
      </c>
      <c r="R2708" s="8">
        <v>2.5</v>
      </c>
      <c r="S2708" s="8">
        <v>3</v>
      </c>
      <c r="T2708" s="8">
        <v>2.5</v>
      </c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11" t="s">
        <v>262</v>
      </c>
    </row>
    <row r="2709" spans="1:46" ht="15.1" customHeight="1">
      <c r="A2709" s="8">
        <v>902</v>
      </c>
      <c r="B2709" s="9" t="s">
        <v>2034</v>
      </c>
      <c r="C2709" s="8" t="s">
        <v>2035</v>
      </c>
      <c r="D2709" s="9" t="s">
        <v>451</v>
      </c>
      <c r="E2709" s="8" t="s">
        <v>54</v>
      </c>
      <c r="F2709" s="8" t="s">
        <v>54</v>
      </c>
      <c r="G2709" s="10" t="s">
        <v>67</v>
      </c>
      <c r="H2709" s="8" t="s">
        <v>54</v>
      </c>
      <c r="I2709" s="8" t="s">
        <v>54</v>
      </c>
      <c r="J2709" s="8" t="s">
        <v>54</v>
      </c>
      <c r="K2709" s="8" t="s">
        <v>54</v>
      </c>
      <c r="L2709" s="8" t="s">
        <v>54</v>
      </c>
      <c r="M2709" s="8" t="s">
        <v>54</v>
      </c>
      <c r="N2709" s="10" t="s">
        <v>67</v>
      </c>
      <c r="O2709" s="8" t="s">
        <v>54</v>
      </c>
      <c r="P2709" s="8" t="s">
        <v>54</v>
      </c>
      <c r="Q2709" s="8" t="s">
        <v>54</v>
      </c>
      <c r="R2709" s="8" t="s">
        <v>54</v>
      </c>
      <c r="S2709" s="8" t="s">
        <v>54</v>
      </c>
      <c r="T2709" s="8" t="s">
        <v>54</v>
      </c>
      <c r="U2709" s="10" t="s">
        <v>67</v>
      </c>
      <c r="V2709" s="8" t="s">
        <v>54</v>
      </c>
      <c r="W2709" s="8" t="s">
        <v>54</v>
      </c>
      <c r="X2709" s="8" t="s">
        <v>54</v>
      </c>
      <c r="Y2709" s="8" t="s">
        <v>54</v>
      </c>
      <c r="Z2709" s="8" t="s">
        <v>54</v>
      </c>
      <c r="AA2709" s="8" t="s">
        <v>54</v>
      </c>
      <c r="AB2709" s="10" t="s">
        <v>67</v>
      </c>
      <c r="AC2709" s="8" t="s">
        <v>54</v>
      </c>
      <c r="AD2709" s="8" t="s">
        <v>54</v>
      </c>
      <c r="AE2709" s="8" t="s">
        <v>54</v>
      </c>
      <c r="AF2709" s="8" t="s">
        <v>54</v>
      </c>
      <c r="AG2709" s="8" t="s">
        <v>54</v>
      </c>
      <c r="AH2709" s="8" t="s">
        <v>54</v>
      </c>
      <c r="AI2709" s="10" t="s">
        <v>67</v>
      </c>
      <c r="AJ2709" s="8">
        <f>COUNTIF($E$2709:$AI$2709,"P")</f>
        <v>26</v>
      </c>
      <c r="AK2709" s="8">
        <f>COUNTIF($E$2709:$AI$2709,"A")</f>
        <v>0</v>
      </c>
      <c r="AL2709" s="8">
        <f>SUM($E$2710:$AI$2710)</f>
        <v>12</v>
      </c>
      <c r="AM2709" s="8">
        <f>SUM($E$2711:$AI$2711)</f>
        <v>3</v>
      </c>
      <c r="AN2709" s="8">
        <f>AL2709+AM2709</f>
        <v>15</v>
      </c>
      <c r="AO2709" s="8">
        <f>COUNTIF($E$2709:$AI$2709,"CL")</f>
        <v>0</v>
      </c>
      <c r="AP2709" s="8">
        <f>COUNTIF($E$2709:$AI$2709,"SL")</f>
        <v>0</v>
      </c>
      <c r="AQ2709" s="8">
        <f>COUNTIF($E$2709:$AI$2709,"EL")</f>
        <v>0</v>
      </c>
      <c r="AR2709" s="8">
        <f>COUNTIF($E$2709:$AI$2709,"H")</f>
        <v>0</v>
      </c>
      <c r="AS2709" s="8"/>
      <c r="AT2709" s="11" t="s">
        <v>262</v>
      </c>
    </row>
    <row r="2710" spans="1:46" ht="15.1" customHeight="1">
      <c r="A2710" s="8"/>
      <c r="B2710" s="9"/>
      <c r="C2710" s="8"/>
      <c r="D2710" s="9"/>
      <c r="E2710" s="8">
        <v>2</v>
      </c>
      <c r="F2710" s="8">
        <v>0</v>
      </c>
      <c r="G2710" s="8">
        <v>0</v>
      </c>
      <c r="H2710" s="8">
        <v>0</v>
      </c>
      <c r="I2710" s="8">
        <v>0</v>
      </c>
      <c r="J2710" s="8">
        <v>2</v>
      </c>
      <c r="K2710" s="8">
        <v>0</v>
      </c>
      <c r="L2710" s="8">
        <v>2</v>
      </c>
      <c r="M2710" s="8">
        <v>0</v>
      </c>
      <c r="N2710" s="8">
        <v>0</v>
      </c>
      <c r="O2710" s="8">
        <v>0</v>
      </c>
      <c r="P2710" s="8">
        <v>2</v>
      </c>
      <c r="Q2710" s="8">
        <v>2</v>
      </c>
      <c r="R2710" s="8">
        <v>0</v>
      </c>
      <c r="S2710" s="8">
        <v>0</v>
      </c>
      <c r="T2710" s="8">
        <v>2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11" t="s">
        <v>262</v>
      </c>
    </row>
    <row r="2711" spans="1:46" ht="15.1" customHeight="1">
      <c r="A2711" s="8"/>
      <c r="B2711" s="9"/>
      <c r="C2711" s="8"/>
      <c r="D2711" s="9"/>
      <c r="E2711" s="8">
        <v>3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11" t="s">
        <v>262</v>
      </c>
    </row>
    <row r="2712" spans="1:46" ht="15.1" customHeight="1">
      <c r="A2712" s="8">
        <v>903</v>
      </c>
      <c r="B2712" s="9" t="s">
        <v>2036</v>
      </c>
      <c r="C2712" s="8" t="s">
        <v>2037</v>
      </c>
      <c r="D2712" s="9" t="s">
        <v>451</v>
      </c>
      <c r="E2712" s="8" t="s">
        <v>54</v>
      </c>
      <c r="F2712" s="8" t="s">
        <v>54</v>
      </c>
      <c r="G2712" s="10" t="s">
        <v>67</v>
      </c>
      <c r="H2712" s="8" t="s">
        <v>54</v>
      </c>
      <c r="I2712" s="8" t="s">
        <v>54</v>
      </c>
      <c r="J2712" s="8" t="s">
        <v>54</v>
      </c>
      <c r="K2712" s="8" t="s">
        <v>54</v>
      </c>
      <c r="L2712" s="8" t="s">
        <v>54</v>
      </c>
      <c r="M2712" s="8" t="s">
        <v>54</v>
      </c>
      <c r="N2712" s="10" t="s">
        <v>67</v>
      </c>
      <c r="O2712" s="8" t="s">
        <v>54</v>
      </c>
      <c r="P2712" s="8" t="s">
        <v>54</v>
      </c>
      <c r="Q2712" s="8" t="s">
        <v>54</v>
      </c>
      <c r="R2712" s="8" t="s">
        <v>54</v>
      </c>
      <c r="S2712" s="8" t="s">
        <v>54</v>
      </c>
      <c r="T2712" s="8" t="s">
        <v>54</v>
      </c>
      <c r="U2712" s="10" t="s">
        <v>67</v>
      </c>
      <c r="V2712" s="8" t="s">
        <v>54</v>
      </c>
      <c r="W2712" s="8" t="s">
        <v>54</v>
      </c>
      <c r="X2712" s="8" t="s">
        <v>54</v>
      </c>
      <c r="Y2712" s="8" t="s">
        <v>54</v>
      </c>
      <c r="Z2712" s="8" t="s">
        <v>54</v>
      </c>
      <c r="AA2712" s="8" t="s">
        <v>54</v>
      </c>
      <c r="AB2712" s="10" t="s">
        <v>67</v>
      </c>
      <c r="AC2712" s="8" t="s">
        <v>54</v>
      </c>
      <c r="AD2712" s="8" t="s">
        <v>54</v>
      </c>
      <c r="AE2712" s="8" t="s">
        <v>54</v>
      </c>
      <c r="AF2712" s="8" t="s">
        <v>54</v>
      </c>
      <c r="AG2712" s="8" t="s">
        <v>54</v>
      </c>
      <c r="AH2712" s="8" t="s">
        <v>54</v>
      </c>
      <c r="AI2712" s="10" t="s">
        <v>67</v>
      </c>
      <c r="AJ2712" s="8">
        <f>COUNTIF($E$2712:$AI$2712,"P")</f>
        <v>26</v>
      </c>
      <c r="AK2712" s="8">
        <f>COUNTIF($E$2712:$AI$2712,"A")</f>
        <v>0</v>
      </c>
      <c r="AL2712" s="8">
        <f>SUM($E$2713:$AI$2713)</f>
        <v>18</v>
      </c>
      <c r="AM2712" s="8">
        <f>SUM($E$2714:$AI$2714)</f>
        <v>12</v>
      </c>
      <c r="AN2712" s="8">
        <f>AL2712+AM2712</f>
        <v>30</v>
      </c>
      <c r="AO2712" s="8">
        <f>COUNTIF($E$2712:$AI$2712,"CL")</f>
        <v>0</v>
      </c>
      <c r="AP2712" s="8">
        <f>COUNTIF($E$2712:$AI$2712,"SL")</f>
        <v>0</v>
      </c>
      <c r="AQ2712" s="8">
        <f>COUNTIF($E$2712:$AI$2712,"EL")</f>
        <v>0</v>
      </c>
      <c r="AR2712" s="8">
        <f>COUNTIF($E$2712:$AI$2712,"H")</f>
        <v>0</v>
      </c>
      <c r="AS2712" s="8"/>
      <c r="AT2712" s="11" t="s">
        <v>262</v>
      </c>
    </row>
    <row r="2713" spans="1:46" ht="15.1" customHeight="1">
      <c r="A2713" s="8"/>
      <c r="B2713" s="9"/>
      <c r="C2713" s="8"/>
      <c r="D2713" s="9"/>
      <c r="E2713" s="8">
        <v>2</v>
      </c>
      <c r="F2713" s="8">
        <v>0</v>
      </c>
      <c r="G2713" s="8">
        <v>0</v>
      </c>
      <c r="H2713" s="8">
        <v>0</v>
      </c>
      <c r="I2713" s="8">
        <v>0</v>
      </c>
      <c r="J2713" s="8">
        <v>2</v>
      </c>
      <c r="K2713" s="8">
        <v>2</v>
      </c>
      <c r="L2713" s="8">
        <v>2</v>
      </c>
      <c r="M2713" s="8">
        <v>2</v>
      </c>
      <c r="N2713" s="8">
        <v>0</v>
      </c>
      <c r="O2713" s="8">
        <v>2</v>
      </c>
      <c r="P2713" s="8">
        <v>2</v>
      </c>
      <c r="Q2713" s="8">
        <v>2</v>
      </c>
      <c r="R2713" s="8">
        <v>0</v>
      </c>
      <c r="S2713" s="8">
        <v>0</v>
      </c>
      <c r="T2713" s="8">
        <v>2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11" t="s">
        <v>262</v>
      </c>
    </row>
    <row r="2714" spans="1:46" ht="15.1" customHeight="1">
      <c r="A2714" s="8"/>
      <c r="B2714" s="9"/>
      <c r="C2714" s="8"/>
      <c r="D2714" s="9"/>
      <c r="E2714" s="8">
        <v>3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3</v>
      </c>
      <c r="L2714" s="8">
        <v>3</v>
      </c>
      <c r="M2714" s="8">
        <v>3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11" t="s">
        <v>262</v>
      </c>
    </row>
    <row r="2715" spans="1:46" ht="15.1" customHeight="1">
      <c r="A2715" s="8">
        <v>904</v>
      </c>
      <c r="B2715" s="9" t="s">
        <v>2038</v>
      </c>
      <c r="C2715" s="8" t="s">
        <v>2039</v>
      </c>
      <c r="D2715" s="9" t="s">
        <v>451</v>
      </c>
      <c r="E2715" s="8" t="s">
        <v>54</v>
      </c>
      <c r="F2715" s="8" t="s">
        <v>54</v>
      </c>
      <c r="G2715" s="10" t="s">
        <v>67</v>
      </c>
      <c r="H2715" s="8" t="s">
        <v>54</v>
      </c>
      <c r="I2715" s="8" t="s">
        <v>54</v>
      </c>
      <c r="J2715" s="8" t="s">
        <v>54</v>
      </c>
      <c r="K2715" s="8" t="s">
        <v>54</v>
      </c>
      <c r="L2715" s="8" t="s">
        <v>54</v>
      </c>
      <c r="M2715" s="8" t="s">
        <v>54</v>
      </c>
      <c r="N2715" s="10" t="s">
        <v>67</v>
      </c>
      <c r="O2715" s="8" t="s">
        <v>54</v>
      </c>
      <c r="P2715" s="8" t="s">
        <v>54</v>
      </c>
      <c r="Q2715" s="8" t="s">
        <v>54</v>
      </c>
      <c r="R2715" s="8" t="s">
        <v>54</v>
      </c>
      <c r="S2715" s="8" t="s">
        <v>54</v>
      </c>
      <c r="T2715" s="8" t="s">
        <v>54</v>
      </c>
      <c r="U2715" s="10" t="s">
        <v>67</v>
      </c>
      <c r="V2715" s="8" t="s">
        <v>54</v>
      </c>
      <c r="W2715" s="8" t="s">
        <v>54</v>
      </c>
      <c r="X2715" s="8" t="s">
        <v>54</v>
      </c>
      <c r="Y2715" s="8" t="s">
        <v>54</v>
      </c>
      <c r="Z2715" s="8" t="s">
        <v>54</v>
      </c>
      <c r="AA2715" s="8" t="s">
        <v>54</v>
      </c>
      <c r="AB2715" s="10" t="s">
        <v>67</v>
      </c>
      <c r="AC2715" s="8" t="s">
        <v>54</v>
      </c>
      <c r="AD2715" s="8" t="s">
        <v>54</v>
      </c>
      <c r="AE2715" s="8" t="s">
        <v>54</v>
      </c>
      <c r="AF2715" s="8" t="s">
        <v>54</v>
      </c>
      <c r="AG2715" s="8" t="s">
        <v>54</v>
      </c>
      <c r="AH2715" s="8" t="s">
        <v>54</v>
      </c>
      <c r="AI2715" s="10" t="s">
        <v>67</v>
      </c>
      <c r="AJ2715" s="8">
        <f>COUNTIF($E$2715:$AI$2715,"P")</f>
        <v>26</v>
      </c>
      <c r="AK2715" s="8">
        <f>COUNTIF($E$2715:$AI$2715,"A")</f>
        <v>0</v>
      </c>
      <c r="AL2715" s="8">
        <f>SUM($E$2716:$AI$2716)</f>
        <v>14</v>
      </c>
      <c r="AM2715" s="8">
        <f>SUM($E$2717:$AI$2717)</f>
        <v>3</v>
      </c>
      <c r="AN2715" s="8">
        <f>AL2715+AM2715</f>
        <v>17</v>
      </c>
      <c r="AO2715" s="8">
        <f>COUNTIF($E$2715:$AI$2715,"CL")</f>
        <v>0</v>
      </c>
      <c r="AP2715" s="8">
        <f>COUNTIF($E$2715:$AI$2715,"SL")</f>
        <v>0</v>
      </c>
      <c r="AQ2715" s="8">
        <f>COUNTIF($E$2715:$AI$2715,"EL")</f>
        <v>0</v>
      </c>
      <c r="AR2715" s="8">
        <f>COUNTIF($E$2715:$AI$2715,"H")</f>
        <v>0</v>
      </c>
      <c r="AS2715" s="8"/>
      <c r="AT2715" s="11" t="s">
        <v>262</v>
      </c>
    </row>
    <row r="2716" spans="1:46" ht="15.1" customHeight="1">
      <c r="A2716" s="8"/>
      <c r="B2716" s="9"/>
      <c r="C2716" s="8"/>
      <c r="D2716" s="9"/>
      <c r="E2716" s="8">
        <v>2</v>
      </c>
      <c r="F2716" s="8">
        <v>0</v>
      </c>
      <c r="G2716" s="8">
        <v>0</v>
      </c>
      <c r="H2716" s="8">
        <v>0</v>
      </c>
      <c r="I2716" s="8">
        <v>0</v>
      </c>
      <c r="J2716" s="8">
        <v>2</v>
      </c>
      <c r="K2716" s="8">
        <v>0</v>
      </c>
      <c r="L2716" s="8">
        <v>2</v>
      </c>
      <c r="M2716" s="8">
        <v>0</v>
      </c>
      <c r="N2716" s="8">
        <v>0</v>
      </c>
      <c r="O2716" s="8">
        <v>2</v>
      </c>
      <c r="P2716" s="8">
        <v>2</v>
      </c>
      <c r="Q2716" s="8">
        <v>2</v>
      </c>
      <c r="R2716" s="8">
        <v>0</v>
      </c>
      <c r="S2716" s="8">
        <v>0</v>
      </c>
      <c r="T2716" s="8">
        <v>2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11" t="s">
        <v>262</v>
      </c>
    </row>
    <row r="2717" spans="1:46" ht="15.1" customHeight="1">
      <c r="A2717" s="8"/>
      <c r="B2717" s="9"/>
      <c r="C2717" s="8"/>
      <c r="D2717" s="9"/>
      <c r="E2717" s="8">
        <v>3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8">
        <v>0</v>
      </c>
      <c r="T2717" s="8">
        <v>0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11" t="s">
        <v>262</v>
      </c>
    </row>
    <row r="2718" spans="1:46" ht="15.1" customHeight="1">
      <c r="A2718" s="8">
        <v>905</v>
      </c>
      <c r="B2718" s="9" t="s">
        <v>2040</v>
      </c>
      <c r="C2718" s="8" t="s">
        <v>2041</v>
      </c>
      <c r="D2718" s="9" t="s">
        <v>451</v>
      </c>
      <c r="E2718" s="8" t="s">
        <v>54</v>
      </c>
      <c r="F2718" s="8" t="s">
        <v>54</v>
      </c>
      <c r="G2718" s="10" t="s">
        <v>67</v>
      </c>
      <c r="H2718" s="8" t="s">
        <v>54</v>
      </c>
      <c r="I2718" s="8" t="s">
        <v>59</v>
      </c>
      <c r="J2718" s="8" t="s">
        <v>59</v>
      </c>
      <c r="K2718" s="12" t="s">
        <v>55</v>
      </c>
      <c r="L2718" s="8" t="s">
        <v>54</v>
      </c>
      <c r="M2718" s="8" t="s">
        <v>54</v>
      </c>
      <c r="N2718" s="10" t="s">
        <v>67</v>
      </c>
      <c r="O2718" s="8" t="s">
        <v>54</v>
      </c>
      <c r="P2718" s="8" t="s">
        <v>54</v>
      </c>
      <c r="Q2718" s="8" t="s">
        <v>54</v>
      </c>
      <c r="R2718" s="8" t="s">
        <v>54</v>
      </c>
      <c r="S2718" s="8" t="s">
        <v>54</v>
      </c>
      <c r="T2718" s="8" t="s">
        <v>54</v>
      </c>
      <c r="U2718" s="10" t="s">
        <v>67</v>
      </c>
      <c r="V2718" s="8" t="s">
        <v>54</v>
      </c>
      <c r="W2718" s="8" t="s">
        <v>54</v>
      </c>
      <c r="X2718" s="8" t="s">
        <v>54</v>
      </c>
      <c r="Y2718" s="8" t="s">
        <v>54</v>
      </c>
      <c r="Z2718" s="8" t="s">
        <v>54</v>
      </c>
      <c r="AA2718" s="8" t="s">
        <v>54</v>
      </c>
      <c r="AB2718" s="10" t="s">
        <v>67</v>
      </c>
      <c r="AC2718" s="12" t="s">
        <v>55</v>
      </c>
      <c r="AD2718" s="12" t="s">
        <v>55</v>
      </c>
      <c r="AE2718" s="12" t="s">
        <v>55</v>
      </c>
      <c r="AF2718" s="8" t="s">
        <v>54</v>
      </c>
      <c r="AG2718" s="8" t="s">
        <v>54</v>
      </c>
      <c r="AH2718" s="8" t="s">
        <v>54</v>
      </c>
      <c r="AI2718" s="10" t="s">
        <v>67</v>
      </c>
      <c r="AJ2718" s="8">
        <f>COUNTIF($E$2718:$AI$2718,"P")</f>
        <v>20</v>
      </c>
      <c r="AK2718" s="8">
        <f>COUNTIF($E$2718:$AI$2718,"A")</f>
        <v>4</v>
      </c>
      <c r="AL2718" s="8">
        <f>SUM($E$2719:$AI$2719)</f>
        <v>8</v>
      </c>
      <c r="AM2718" s="8">
        <f>SUM($E$2720:$AI$2720)</f>
        <v>3</v>
      </c>
      <c r="AN2718" s="8">
        <f>AL2718+AM2718</f>
        <v>11</v>
      </c>
      <c r="AO2718" s="8">
        <f>COUNTIF($E$2718:$AI$2718,"CL")</f>
        <v>2</v>
      </c>
      <c r="AP2718" s="8">
        <f>COUNTIF($E$2718:$AI$2718,"SL")</f>
        <v>0</v>
      </c>
      <c r="AQ2718" s="8">
        <f>COUNTIF($E$2718:$AI$2718,"EL")</f>
        <v>0</v>
      </c>
      <c r="AR2718" s="8">
        <f>COUNTIF($E$2718:$AI$2718,"H")</f>
        <v>0</v>
      </c>
      <c r="AS2718" s="8"/>
      <c r="AT2718" s="11" t="s">
        <v>262</v>
      </c>
    </row>
    <row r="2719" spans="1:46" ht="15.1" customHeight="1">
      <c r="A2719" s="8"/>
      <c r="B2719" s="9"/>
      <c r="C2719" s="8"/>
      <c r="D2719" s="9"/>
      <c r="E2719" s="8">
        <v>2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  <c r="M2719" s="8">
        <v>0</v>
      </c>
      <c r="N2719" s="8">
        <v>0</v>
      </c>
      <c r="O2719" s="8">
        <v>0</v>
      </c>
      <c r="P2719" s="8">
        <v>2</v>
      </c>
      <c r="Q2719" s="8">
        <v>2</v>
      </c>
      <c r="R2719" s="8">
        <v>0</v>
      </c>
      <c r="S2719" s="8">
        <v>0</v>
      </c>
      <c r="T2719" s="8">
        <v>2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11" t="s">
        <v>262</v>
      </c>
    </row>
    <row r="2720" spans="1:46" ht="15.1" customHeight="1">
      <c r="A2720" s="8"/>
      <c r="B2720" s="9"/>
      <c r="C2720" s="8"/>
      <c r="D2720" s="9"/>
      <c r="E2720" s="8">
        <v>3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11" t="s">
        <v>262</v>
      </c>
    </row>
    <row r="2721" spans="1:46" ht="15.1" customHeight="1">
      <c r="A2721" s="8">
        <v>906</v>
      </c>
      <c r="B2721" s="9" t="s">
        <v>2042</v>
      </c>
      <c r="C2721" s="8" t="s">
        <v>2043</v>
      </c>
      <c r="D2721" s="9" t="s">
        <v>451</v>
      </c>
      <c r="E2721" s="8" t="s">
        <v>54</v>
      </c>
      <c r="F2721" s="8" t="s">
        <v>54</v>
      </c>
      <c r="G2721" s="10" t="s">
        <v>67</v>
      </c>
      <c r="H2721" s="8" t="s">
        <v>54</v>
      </c>
      <c r="I2721" s="8" t="s">
        <v>54</v>
      </c>
      <c r="J2721" s="8" t="s">
        <v>54</v>
      </c>
      <c r="K2721" s="8" t="s">
        <v>54</v>
      </c>
      <c r="L2721" s="8" t="s">
        <v>54</v>
      </c>
      <c r="M2721" s="8" t="s">
        <v>54</v>
      </c>
      <c r="N2721" s="10" t="s">
        <v>67</v>
      </c>
      <c r="O2721" s="8" t="s">
        <v>54</v>
      </c>
      <c r="P2721" s="8" t="s">
        <v>54</v>
      </c>
      <c r="Q2721" s="8" t="s">
        <v>54</v>
      </c>
      <c r="R2721" s="8" t="s">
        <v>54</v>
      </c>
      <c r="S2721" s="8" t="s">
        <v>54</v>
      </c>
      <c r="T2721" s="8" t="s">
        <v>54</v>
      </c>
      <c r="U2721" s="10" t="s">
        <v>67</v>
      </c>
      <c r="V2721" s="8" t="s">
        <v>54</v>
      </c>
      <c r="W2721" s="8" t="s">
        <v>54</v>
      </c>
      <c r="X2721" s="8" t="s">
        <v>54</v>
      </c>
      <c r="Y2721" s="8" t="s">
        <v>54</v>
      </c>
      <c r="Z2721" s="8" t="s">
        <v>54</v>
      </c>
      <c r="AA2721" s="8" t="s">
        <v>54</v>
      </c>
      <c r="AB2721" s="10" t="s">
        <v>67</v>
      </c>
      <c r="AC2721" s="8" t="s">
        <v>54</v>
      </c>
      <c r="AD2721" s="8" t="s">
        <v>54</v>
      </c>
      <c r="AE2721" s="8" t="s">
        <v>54</v>
      </c>
      <c r="AF2721" s="8" t="s">
        <v>54</v>
      </c>
      <c r="AG2721" s="8" t="s">
        <v>54</v>
      </c>
      <c r="AH2721" s="8" t="s">
        <v>54</v>
      </c>
      <c r="AI2721" s="10" t="s">
        <v>67</v>
      </c>
      <c r="AJ2721" s="8">
        <f>COUNTIF($E$2721:$AI$2721,"P")</f>
        <v>26</v>
      </c>
      <c r="AK2721" s="8">
        <f>COUNTIF($E$2721:$AI$2721,"A")</f>
        <v>0</v>
      </c>
      <c r="AL2721" s="8">
        <f>SUM($E$2722:$AI$2722)</f>
        <v>16</v>
      </c>
      <c r="AM2721" s="8">
        <f>SUM($E$2723:$AI$2723)</f>
        <v>6</v>
      </c>
      <c r="AN2721" s="8">
        <f>AL2721+AM2721</f>
        <v>22</v>
      </c>
      <c r="AO2721" s="8">
        <f>COUNTIF($E$2721:$AI$2721,"CL")</f>
        <v>0</v>
      </c>
      <c r="AP2721" s="8">
        <f>COUNTIF($E$2721:$AI$2721,"SL")</f>
        <v>0</v>
      </c>
      <c r="AQ2721" s="8">
        <f>COUNTIF($E$2721:$AI$2721,"EL")</f>
        <v>0</v>
      </c>
      <c r="AR2721" s="8">
        <f>COUNTIF($E$2721:$AI$2721,"H")</f>
        <v>0</v>
      </c>
      <c r="AS2721" s="8"/>
      <c r="AT2721" s="11" t="s">
        <v>262</v>
      </c>
    </row>
    <row r="2722" spans="1:46" ht="15.1" customHeight="1">
      <c r="A2722" s="8"/>
      <c r="B2722" s="9"/>
      <c r="C2722" s="8"/>
      <c r="D2722" s="9"/>
      <c r="E2722" s="8">
        <v>2</v>
      </c>
      <c r="F2722" s="8">
        <v>0</v>
      </c>
      <c r="G2722" s="8">
        <v>0</v>
      </c>
      <c r="H2722" s="8">
        <v>2</v>
      </c>
      <c r="I2722" s="8">
        <v>0</v>
      </c>
      <c r="J2722" s="8">
        <v>2</v>
      </c>
      <c r="K2722" s="8">
        <v>0</v>
      </c>
      <c r="L2722" s="8">
        <v>2</v>
      </c>
      <c r="M2722" s="8">
        <v>0</v>
      </c>
      <c r="N2722" s="8">
        <v>0</v>
      </c>
      <c r="O2722" s="8">
        <v>2</v>
      </c>
      <c r="P2722" s="8">
        <v>2</v>
      </c>
      <c r="Q2722" s="8">
        <v>2</v>
      </c>
      <c r="R2722" s="8">
        <v>0</v>
      </c>
      <c r="S2722" s="8">
        <v>0</v>
      </c>
      <c r="T2722" s="8">
        <v>2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11" t="s">
        <v>262</v>
      </c>
    </row>
    <row r="2723" spans="1:46" ht="15.1" customHeight="1">
      <c r="A2723" s="8"/>
      <c r="B2723" s="9"/>
      <c r="C2723" s="8"/>
      <c r="D2723" s="9"/>
      <c r="E2723" s="8">
        <v>3</v>
      </c>
      <c r="F2723" s="8">
        <v>0</v>
      </c>
      <c r="G2723" s="8">
        <v>0</v>
      </c>
      <c r="H2723" s="8">
        <v>3</v>
      </c>
      <c r="I2723" s="8">
        <v>0</v>
      </c>
      <c r="J2723" s="8">
        <v>0</v>
      </c>
      <c r="K2723" s="8">
        <v>0</v>
      </c>
      <c r="L2723" s="8">
        <v>0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0</v>
      </c>
      <c r="T2723" s="8">
        <v>0</v>
      </c>
      <c r="U2723" s="8">
        <v>0</v>
      </c>
      <c r="V2723" s="8">
        <v>0</v>
      </c>
      <c r="W2723" s="8">
        <v>0</v>
      </c>
      <c r="X2723" s="8">
        <v>0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11" t="s">
        <v>262</v>
      </c>
    </row>
    <row r="2724" spans="1:46" ht="15.1" customHeight="1">
      <c r="A2724" s="8">
        <v>907</v>
      </c>
      <c r="B2724" s="9" t="s">
        <v>2044</v>
      </c>
      <c r="C2724" s="8" t="s">
        <v>2045</v>
      </c>
      <c r="D2724" s="9" t="s">
        <v>451</v>
      </c>
      <c r="E2724" s="8" t="s">
        <v>54</v>
      </c>
      <c r="F2724" s="8" t="s">
        <v>54</v>
      </c>
      <c r="G2724" s="10" t="s">
        <v>67</v>
      </c>
      <c r="H2724" s="8" t="s">
        <v>54</v>
      </c>
      <c r="I2724" s="8" t="s">
        <v>54</v>
      </c>
      <c r="J2724" s="8" t="s">
        <v>54</v>
      </c>
      <c r="K2724" s="8" t="s">
        <v>54</v>
      </c>
      <c r="L2724" s="8" t="s">
        <v>54</v>
      </c>
      <c r="M2724" s="8" t="s">
        <v>54</v>
      </c>
      <c r="N2724" s="10" t="s">
        <v>67</v>
      </c>
      <c r="O2724" s="8" t="s">
        <v>54</v>
      </c>
      <c r="P2724" s="8" t="s">
        <v>54</v>
      </c>
      <c r="Q2724" s="8" t="s">
        <v>54</v>
      </c>
      <c r="R2724" s="8" t="s">
        <v>54</v>
      </c>
      <c r="S2724" s="8" t="s">
        <v>54</v>
      </c>
      <c r="T2724" s="8" t="s">
        <v>54</v>
      </c>
      <c r="U2724" s="10" t="s">
        <v>67</v>
      </c>
      <c r="V2724" s="8" t="s">
        <v>54</v>
      </c>
      <c r="W2724" s="8" t="s">
        <v>54</v>
      </c>
      <c r="X2724" s="8" t="s">
        <v>54</v>
      </c>
      <c r="Y2724" s="8" t="s">
        <v>54</v>
      </c>
      <c r="Z2724" s="8" t="s">
        <v>54</v>
      </c>
      <c r="AA2724" s="8" t="s">
        <v>54</v>
      </c>
      <c r="AB2724" s="10" t="s">
        <v>67</v>
      </c>
      <c r="AC2724" s="8" t="s">
        <v>54</v>
      </c>
      <c r="AD2724" s="8" t="s">
        <v>54</v>
      </c>
      <c r="AE2724" s="8" t="s">
        <v>54</v>
      </c>
      <c r="AF2724" s="8" t="s">
        <v>54</v>
      </c>
      <c r="AG2724" s="8" t="s">
        <v>54</v>
      </c>
      <c r="AH2724" s="8" t="s">
        <v>54</v>
      </c>
      <c r="AI2724" s="10" t="s">
        <v>67</v>
      </c>
      <c r="AJ2724" s="8">
        <f>COUNTIF($E$2724:$AI$2724,"P")</f>
        <v>26</v>
      </c>
      <c r="AK2724" s="8">
        <f>COUNTIF($E$2724:$AI$2724,"A")</f>
        <v>0</v>
      </c>
      <c r="AL2724" s="8">
        <f>SUM($E$2725:$AI$2725)</f>
        <v>22</v>
      </c>
      <c r="AM2724" s="8">
        <f>SUM($E$2726:$AI$2726)</f>
        <v>50</v>
      </c>
      <c r="AN2724" s="8">
        <f>AL2724+AM2724</f>
        <v>72</v>
      </c>
      <c r="AO2724" s="8">
        <f>COUNTIF($E$2724:$AI$2724,"CL")</f>
        <v>0</v>
      </c>
      <c r="AP2724" s="8">
        <f>COUNTIF($E$2724:$AI$2724,"SL")</f>
        <v>0</v>
      </c>
      <c r="AQ2724" s="8">
        <f>COUNTIF($E$2724:$AI$2724,"EL")</f>
        <v>0</v>
      </c>
      <c r="AR2724" s="8">
        <f>COUNTIF($E$2724:$AI$2724,"H")</f>
        <v>0</v>
      </c>
      <c r="AS2724" s="8"/>
      <c r="AT2724" s="11" t="s">
        <v>262</v>
      </c>
    </row>
    <row r="2725" spans="1:46" ht="15.1" customHeight="1">
      <c r="A2725" s="8"/>
      <c r="B2725" s="9"/>
      <c r="C2725" s="8"/>
      <c r="D2725" s="9"/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2</v>
      </c>
      <c r="K2725" s="8">
        <v>2</v>
      </c>
      <c r="L2725" s="8">
        <v>2</v>
      </c>
      <c r="M2725" s="8">
        <v>2</v>
      </c>
      <c r="N2725" s="8">
        <v>0</v>
      </c>
      <c r="O2725" s="8">
        <v>2</v>
      </c>
      <c r="P2725" s="8">
        <v>2</v>
      </c>
      <c r="Q2725" s="8">
        <v>2</v>
      </c>
      <c r="R2725" s="8">
        <v>2</v>
      </c>
      <c r="S2725" s="8">
        <v>2</v>
      </c>
      <c r="T2725" s="8">
        <v>2</v>
      </c>
      <c r="U2725" s="8">
        <v>0</v>
      </c>
      <c r="V2725" s="8">
        <v>0</v>
      </c>
      <c r="W2725" s="8">
        <v>0</v>
      </c>
      <c r="X2725" s="8">
        <v>0</v>
      </c>
      <c r="Y2725" s="8">
        <v>2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11" t="s">
        <v>262</v>
      </c>
    </row>
    <row r="2726" spans="1:46" ht="15.1" customHeight="1">
      <c r="A2726" s="8"/>
      <c r="B2726" s="9"/>
      <c r="C2726" s="8"/>
      <c r="D2726" s="9"/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3</v>
      </c>
      <c r="K2726" s="8">
        <v>3</v>
      </c>
      <c r="L2726" s="8">
        <v>3</v>
      </c>
      <c r="M2726" s="8">
        <v>3</v>
      </c>
      <c r="N2726" s="8">
        <v>13</v>
      </c>
      <c r="O2726" s="8">
        <v>5</v>
      </c>
      <c r="P2726" s="8">
        <v>3</v>
      </c>
      <c r="Q2726" s="8">
        <v>3</v>
      </c>
      <c r="R2726" s="8">
        <v>3</v>
      </c>
      <c r="S2726" s="8">
        <v>3</v>
      </c>
      <c r="T2726" s="8">
        <v>3</v>
      </c>
      <c r="U2726" s="8">
        <v>0</v>
      </c>
      <c r="V2726" s="8">
        <v>0</v>
      </c>
      <c r="W2726" s="8">
        <v>0</v>
      </c>
      <c r="X2726" s="8">
        <v>0</v>
      </c>
      <c r="Y2726" s="8">
        <v>5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11" t="s">
        <v>262</v>
      </c>
    </row>
    <row r="2727" spans="1:46" ht="15.1" customHeight="1">
      <c r="A2727" s="8">
        <v>908</v>
      </c>
      <c r="B2727" s="9" t="s">
        <v>2046</v>
      </c>
      <c r="C2727" s="8" t="s">
        <v>2047</v>
      </c>
      <c r="D2727" s="9" t="s">
        <v>451</v>
      </c>
      <c r="E2727" s="12" t="s">
        <v>55</v>
      </c>
      <c r="F2727" s="12" t="s">
        <v>55</v>
      </c>
      <c r="G2727" s="10" t="s">
        <v>67</v>
      </c>
      <c r="H2727" s="8" t="s">
        <v>54</v>
      </c>
      <c r="I2727" s="8" t="s">
        <v>54</v>
      </c>
      <c r="J2727" s="8" t="s">
        <v>54</v>
      </c>
      <c r="K2727" s="8" t="s">
        <v>54</v>
      </c>
      <c r="L2727" s="8" t="s">
        <v>54</v>
      </c>
      <c r="M2727" s="8" t="s">
        <v>54</v>
      </c>
      <c r="N2727" s="10" t="s">
        <v>67</v>
      </c>
      <c r="O2727" s="8" t="s">
        <v>54</v>
      </c>
      <c r="P2727" s="8" t="s">
        <v>54</v>
      </c>
      <c r="Q2727" s="8" t="s">
        <v>54</v>
      </c>
      <c r="R2727" s="8" t="s">
        <v>54</v>
      </c>
      <c r="S2727" s="8" t="s">
        <v>54</v>
      </c>
      <c r="T2727" s="8" t="s">
        <v>54</v>
      </c>
      <c r="U2727" s="10" t="s">
        <v>67</v>
      </c>
      <c r="V2727" s="8" t="s">
        <v>54</v>
      </c>
      <c r="W2727" s="8" t="s">
        <v>54</v>
      </c>
      <c r="X2727" s="8" t="s">
        <v>54</v>
      </c>
      <c r="Y2727" s="12" t="s">
        <v>55</v>
      </c>
      <c r="Z2727" s="12" t="s">
        <v>55</v>
      </c>
      <c r="AA2727" s="12" t="s">
        <v>55</v>
      </c>
      <c r="AB2727" s="10" t="s">
        <v>67</v>
      </c>
      <c r="AC2727" s="12" t="s">
        <v>55</v>
      </c>
      <c r="AD2727" s="8" t="s">
        <v>54</v>
      </c>
      <c r="AE2727" s="8" t="s">
        <v>54</v>
      </c>
      <c r="AF2727" s="8" t="s">
        <v>54</v>
      </c>
      <c r="AG2727" s="8" t="s">
        <v>54</v>
      </c>
      <c r="AH2727" s="8" t="s">
        <v>54</v>
      </c>
      <c r="AI2727" s="10" t="s">
        <v>67</v>
      </c>
      <c r="AJ2727" s="8">
        <f>COUNTIF($E$2727:$AI$2727,"P")</f>
        <v>20</v>
      </c>
      <c r="AK2727" s="8">
        <f>COUNTIF($E$2727:$AI$2727,"A")</f>
        <v>6</v>
      </c>
      <c r="AL2727" s="8">
        <f>SUM($E$2728:$AI$2728)</f>
        <v>18</v>
      </c>
      <c r="AM2727" s="8">
        <f>SUM($E$2729:$AI$2729)</f>
        <v>31</v>
      </c>
      <c r="AN2727" s="8">
        <f>AL2727+AM2727</f>
        <v>49</v>
      </c>
      <c r="AO2727" s="8">
        <f>COUNTIF($E$2727:$AI$2727,"CL")</f>
        <v>0</v>
      </c>
      <c r="AP2727" s="8">
        <f>COUNTIF($E$2727:$AI$2727,"SL")</f>
        <v>0</v>
      </c>
      <c r="AQ2727" s="8">
        <f>COUNTIF($E$2727:$AI$2727,"EL")</f>
        <v>0</v>
      </c>
      <c r="AR2727" s="8">
        <f>COUNTIF($E$2727:$AI$2727,"H")</f>
        <v>0</v>
      </c>
      <c r="AS2727" s="8"/>
      <c r="AT2727" s="11" t="s">
        <v>262</v>
      </c>
    </row>
    <row r="2728" spans="1:46" ht="15.1" customHeight="1">
      <c r="A2728" s="8"/>
      <c r="B2728" s="9"/>
      <c r="C2728" s="8"/>
      <c r="D2728" s="9"/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2</v>
      </c>
      <c r="K2728" s="8">
        <v>0</v>
      </c>
      <c r="L2728" s="8">
        <v>2</v>
      </c>
      <c r="M2728" s="8">
        <v>2</v>
      </c>
      <c r="N2728" s="8">
        <v>0</v>
      </c>
      <c r="O2728" s="8">
        <v>2</v>
      </c>
      <c r="P2728" s="8">
        <v>2</v>
      </c>
      <c r="Q2728" s="8">
        <v>2</v>
      </c>
      <c r="R2728" s="8">
        <v>2</v>
      </c>
      <c r="S2728" s="8">
        <v>2</v>
      </c>
      <c r="T2728" s="8">
        <v>2</v>
      </c>
      <c r="U2728" s="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0</v>
      </c>
      <c r="AB2728" s="8">
        <v>0</v>
      </c>
      <c r="AC2728" s="8">
        <v>0</v>
      </c>
      <c r="AD2728" s="8">
        <v>0</v>
      </c>
      <c r="AE2728" s="8">
        <v>0</v>
      </c>
      <c r="AF2728" s="8">
        <v>0</v>
      </c>
      <c r="AG2728" s="8">
        <v>0</v>
      </c>
      <c r="AH2728" s="8">
        <v>0</v>
      </c>
      <c r="AI2728" s="8">
        <v>0</v>
      </c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11" t="s">
        <v>262</v>
      </c>
    </row>
    <row r="2729" spans="1:46" ht="15.1" customHeight="1">
      <c r="A2729" s="8"/>
      <c r="B2729" s="9"/>
      <c r="C2729" s="8"/>
      <c r="D2729" s="9"/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3</v>
      </c>
      <c r="K2729" s="8">
        <v>0</v>
      </c>
      <c r="L2729" s="8">
        <v>3</v>
      </c>
      <c r="M2729" s="8">
        <v>3</v>
      </c>
      <c r="N2729" s="8">
        <v>0</v>
      </c>
      <c r="O2729" s="8">
        <v>5</v>
      </c>
      <c r="P2729" s="8">
        <v>5</v>
      </c>
      <c r="Q2729" s="8">
        <v>3</v>
      </c>
      <c r="R2729" s="8">
        <v>3</v>
      </c>
      <c r="S2729" s="8">
        <v>3</v>
      </c>
      <c r="T2729" s="8">
        <v>3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11" t="s">
        <v>262</v>
      </c>
    </row>
    <row r="2730" spans="1:46" ht="15.1" customHeight="1">
      <c r="A2730" s="8">
        <v>909</v>
      </c>
      <c r="B2730" s="9" t="s">
        <v>2048</v>
      </c>
      <c r="C2730" s="8" t="s">
        <v>2049</v>
      </c>
      <c r="D2730" s="9" t="s">
        <v>451</v>
      </c>
      <c r="E2730" s="8" t="s">
        <v>54</v>
      </c>
      <c r="F2730" s="8" t="s">
        <v>54</v>
      </c>
      <c r="G2730" s="10" t="s">
        <v>67</v>
      </c>
      <c r="H2730" s="8" t="s">
        <v>54</v>
      </c>
      <c r="I2730" s="8" t="s">
        <v>54</v>
      </c>
      <c r="J2730" s="8" t="s">
        <v>54</v>
      </c>
      <c r="K2730" s="8" t="s">
        <v>54</v>
      </c>
      <c r="L2730" s="8" t="s">
        <v>54</v>
      </c>
      <c r="M2730" s="8" t="s">
        <v>54</v>
      </c>
      <c r="N2730" s="10" t="s">
        <v>67</v>
      </c>
      <c r="O2730" s="8" t="s">
        <v>54</v>
      </c>
      <c r="P2730" s="8" t="s">
        <v>54</v>
      </c>
      <c r="Q2730" s="8" t="s">
        <v>54</v>
      </c>
      <c r="R2730" s="8" t="s">
        <v>54</v>
      </c>
      <c r="S2730" s="8" t="s">
        <v>54</v>
      </c>
      <c r="T2730" s="8" t="s">
        <v>54</v>
      </c>
      <c r="U2730" s="10" t="s">
        <v>67</v>
      </c>
      <c r="V2730" s="8" t="s">
        <v>54</v>
      </c>
      <c r="W2730" s="8" t="s">
        <v>54</v>
      </c>
      <c r="X2730" s="8" t="s">
        <v>54</v>
      </c>
      <c r="Y2730" s="8" t="s">
        <v>54</v>
      </c>
      <c r="Z2730" s="8" t="s">
        <v>54</v>
      </c>
      <c r="AA2730" s="8" t="s">
        <v>54</v>
      </c>
      <c r="AB2730" s="10" t="s">
        <v>67</v>
      </c>
      <c r="AC2730" s="8" t="s">
        <v>54</v>
      </c>
      <c r="AD2730" s="8" t="s">
        <v>54</v>
      </c>
      <c r="AE2730" s="8" t="s">
        <v>54</v>
      </c>
      <c r="AF2730" s="8" t="s">
        <v>54</v>
      </c>
      <c r="AG2730" s="8" t="s">
        <v>54</v>
      </c>
      <c r="AH2730" s="8" t="s">
        <v>54</v>
      </c>
      <c r="AI2730" s="10" t="s">
        <v>67</v>
      </c>
      <c r="AJ2730" s="8">
        <f>COUNTIF($E$2730:$AI$2730,"P")</f>
        <v>26</v>
      </c>
      <c r="AK2730" s="8">
        <f>COUNTIF($E$2730:$AI$2730,"A")</f>
        <v>0</v>
      </c>
      <c r="AL2730" s="8">
        <f>SUM($E$2731:$AI$2731)</f>
        <v>24</v>
      </c>
      <c r="AM2730" s="8">
        <f>SUM($E$2732:$AI$2732)</f>
        <v>40</v>
      </c>
      <c r="AN2730" s="8">
        <f>AL2730+AM2730</f>
        <v>64</v>
      </c>
      <c r="AO2730" s="8">
        <f>COUNTIF($E$2730:$AI$2730,"CL")</f>
        <v>0</v>
      </c>
      <c r="AP2730" s="8">
        <f>COUNTIF($E$2730:$AI$2730,"SL")</f>
        <v>0</v>
      </c>
      <c r="AQ2730" s="8">
        <f>COUNTIF($E$2730:$AI$2730,"EL")</f>
        <v>0</v>
      </c>
      <c r="AR2730" s="8">
        <f>COUNTIF($E$2730:$AI$2730,"H")</f>
        <v>0</v>
      </c>
      <c r="AS2730" s="8"/>
      <c r="AT2730" s="11" t="s">
        <v>262</v>
      </c>
    </row>
    <row r="2731" spans="1:46" ht="15.1" customHeight="1">
      <c r="A2731" s="8"/>
      <c r="B2731" s="9"/>
      <c r="C2731" s="8"/>
      <c r="D2731" s="9"/>
      <c r="E2731" s="8">
        <v>2</v>
      </c>
      <c r="F2731" s="8">
        <v>0</v>
      </c>
      <c r="G2731" s="8">
        <v>0</v>
      </c>
      <c r="H2731" s="8">
        <v>0</v>
      </c>
      <c r="I2731" s="8">
        <v>0</v>
      </c>
      <c r="J2731" s="8">
        <v>2</v>
      </c>
      <c r="K2731" s="8">
        <v>2</v>
      </c>
      <c r="L2731" s="8">
        <v>2</v>
      </c>
      <c r="M2731" s="8">
        <v>2</v>
      </c>
      <c r="N2731" s="8">
        <v>0</v>
      </c>
      <c r="O2731" s="8">
        <v>2</v>
      </c>
      <c r="P2731" s="8">
        <v>2</v>
      </c>
      <c r="Q2731" s="8">
        <v>2</v>
      </c>
      <c r="R2731" s="8">
        <v>2</v>
      </c>
      <c r="S2731" s="8">
        <v>2</v>
      </c>
      <c r="T2731" s="8">
        <v>2</v>
      </c>
      <c r="U2731" s="8">
        <v>0</v>
      </c>
      <c r="V2731" s="8">
        <v>2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11" t="s">
        <v>262</v>
      </c>
    </row>
    <row r="2732" spans="1:46" ht="15.1" customHeight="1">
      <c r="A2732" s="8"/>
      <c r="B2732" s="9"/>
      <c r="C2732" s="8"/>
      <c r="D2732" s="9"/>
      <c r="E2732" s="8">
        <v>3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3</v>
      </c>
      <c r="L2732" s="8">
        <v>3</v>
      </c>
      <c r="M2732" s="8">
        <v>3</v>
      </c>
      <c r="N2732" s="8">
        <v>0</v>
      </c>
      <c r="O2732" s="8">
        <v>5</v>
      </c>
      <c r="P2732" s="8">
        <v>5</v>
      </c>
      <c r="Q2732" s="8">
        <v>3</v>
      </c>
      <c r="R2732" s="8">
        <v>5</v>
      </c>
      <c r="S2732" s="8">
        <v>7</v>
      </c>
      <c r="T2732" s="8">
        <v>3</v>
      </c>
      <c r="U2732" s="8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11" t="s">
        <v>262</v>
      </c>
    </row>
    <row r="2733" spans="1:46" ht="15.1" customHeight="1">
      <c r="A2733" s="8">
        <v>910</v>
      </c>
      <c r="B2733" s="9" t="s">
        <v>2050</v>
      </c>
      <c r="C2733" s="8" t="s">
        <v>2051</v>
      </c>
      <c r="D2733" s="9" t="s">
        <v>451</v>
      </c>
      <c r="E2733" s="8" t="s">
        <v>54</v>
      </c>
      <c r="F2733" s="8" t="s">
        <v>54</v>
      </c>
      <c r="G2733" s="10" t="s">
        <v>67</v>
      </c>
      <c r="H2733" s="8" t="s">
        <v>54</v>
      </c>
      <c r="I2733" s="8" t="s">
        <v>54</v>
      </c>
      <c r="J2733" s="8" t="s">
        <v>54</v>
      </c>
      <c r="K2733" s="8" t="s">
        <v>54</v>
      </c>
      <c r="L2733" s="8" t="s">
        <v>54</v>
      </c>
      <c r="M2733" s="8" t="s">
        <v>54</v>
      </c>
      <c r="N2733" s="10" t="s">
        <v>67</v>
      </c>
      <c r="O2733" s="8" t="s">
        <v>54</v>
      </c>
      <c r="P2733" s="8" t="s">
        <v>54</v>
      </c>
      <c r="Q2733" s="8" t="s">
        <v>54</v>
      </c>
      <c r="R2733" s="8" t="s">
        <v>54</v>
      </c>
      <c r="S2733" s="8" t="s">
        <v>54</v>
      </c>
      <c r="T2733" s="8" t="s">
        <v>54</v>
      </c>
      <c r="U2733" s="10" t="s">
        <v>67</v>
      </c>
      <c r="V2733" s="8" t="s">
        <v>54</v>
      </c>
      <c r="W2733" s="8" t="s">
        <v>54</v>
      </c>
      <c r="X2733" s="8" t="s">
        <v>54</v>
      </c>
      <c r="Y2733" s="8" t="s">
        <v>54</v>
      </c>
      <c r="Z2733" s="8" t="s">
        <v>54</v>
      </c>
      <c r="AA2733" s="8" t="s">
        <v>54</v>
      </c>
      <c r="AB2733" s="10" t="s">
        <v>67</v>
      </c>
      <c r="AC2733" s="8" t="s">
        <v>54</v>
      </c>
      <c r="AD2733" s="8" t="s">
        <v>54</v>
      </c>
      <c r="AE2733" s="8" t="s">
        <v>54</v>
      </c>
      <c r="AF2733" s="8" t="s">
        <v>54</v>
      </c>
      <c r="AG2733" s="8" t="s">
        <v>54</v>
      </c>
      <c r="AH2733" s="8" t="s">
        <v>54</v>
      </c>
      <c r="AI2733" s="10" t="s">
        <v>67</v>
      </c>
      <c r="AJ2733" s="8">
        <f>COUNTIF($E$2733:$AI$2733,"P")</f>
        <v>26</v>
      </c>
      <c r="AK2733" s="8">
        <f>COUNTIF($E$2733:$AI$2733,"A")</f>
        <v>0</v>
      </c>
      <c r="AL2733" s="8">
        <f>SUM($E$2734:$AI$2734)</f>
        <v>28</v>
      </c>
      <c r="AM2733" s="8">
        <f>SUM($E$2735:$AI$2735)</f>
        <v>107.5</v>
      </c>
      <c r="AN2733" s="8">
        <f>AL2733+AM2733</f>
        <v>135.5</v>
      </c>
      <c r="AO2733" s="8">
        <f>COUNTIF($E$2733:$AI$2733,"CL")</f>
        <v>0</v>
      </c>
      <c r="AP2733" s="8">
        <f>COUNTIF($E$2733:$AI$2733,"SL")</f>
        <v>0</v>
      </c>
      <c r="AQ2733" s="8">
        <f>COUNTIF($E$2733:$AI$2733,"EL")</f>
        <v>0</v>
      </c>
      <c r="AR2733" s="8">
        <f>COUNTIF($E$2733:$AI$2733,"H")</f>
        <v>0</v>
      </c>
      <c r="AS2733" s="8"/>
      <c r="AT2733" s="11" t="s">
        <v>262</v>
      </c>
    </row>
    <row r="2734" spans="1:46" ht="15.1" customHeight="1">
      <c r="A2734" s="8"/>
      <c r="B2734" s="9"/>
      <c r="C2734" s="8"/>
      <c r="D2734" s="9"/>
      <c r="E2734" s="8">
        <v>0</v>
      </c>
      <c r="F2734" s="8">
        <v>2</v>
      </c>
      <c r="G2734" s="8">
        <v>0</v>
      </c>
      <c r="H2734" s="8">
        <v>2</v>
      </c>
      <c r="I2734" s="8">
        <v>2</v>
      </c>
      <c r="J2734" s="8">
        <v>2</v>
      </c>
      <c r="K2734" s="8">
        <v>2</v>
      </c>
      <c r="L2734" s="8">
        <v>2</v>
      </c>
      <c r="M2734" s="8">
        <v>2</v>
      </c>
      <c r="N2734" s="8">
        <v>0</v>
      </c>
      <c r="O2734" s="8">
        <v>2</v>
      </c>
      <c r="P2734" s="8">
        <v>2</v>
      </c>
      <c r="Q2734" s="8">
        <v>2</v>
      </c>
      <c r="R2734" s="8">
        <v>2</v>
      </c>
      <c r="S2734" s="8">
        <v>2</v>
      </c>
      <c r="T2734" s="8">
        <v>2</v>
      </c>
      <c r="U2734" s="8">
        <v>0</v>
      </c>
      <c r="V2734" s="8">
        <v>2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11" t="s">
        <v>262</v>
      </c>
    </row>
    <row r="2735" spans="1:46" ht="15.1" customHeight="1">
      <c r="A2735" s="8"/>
      <c r="B2735" s="9"/>
      <c r="C2735" s="8"/>
      <c r="D2735" s="9"/>
      <c r="E2735" s="8">
        <v>0</v>
      </c>
      <c r="F2735" s="8">
        <v>3</v>
      </c>
      <c r="G2735" s="8">
        <v>14</v>
      </c>
      <c r="H2735" s="8">
        <v>5</v>
      </c>
      <c r="I2735" s="8">
        <v>7</v>
      </c>
      <c r="J2735" s="8">
        <v>7</v>
      </c>
      <c r="K2735" s="8">
        <v>7</v>
      </c>
      <c r="L2735" s="8">
        <v>7</v>
      </c>
      <c r="M2735" s="8">
        <v>5</v>
      </c>
      <c r="N2735" s="8">
        <v>16.5</v>
      </c>
      <c r="O2735" s="8">
        <v>7</v>
      </c>
      <c r="P2735" s="8">
        <v>7</v>
      </c>
      <c r="Q2735" s="8">
        <v>5</v>
      </c>
      <c r="R2735" s="8">
        <v>7</v>
      </c>
      <c r="S2735" s="8">
        <v>7</v>
      </c>
      <c r="T2735" s="8">
        <v>3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11" t="s">
        <v>262</v>
      </c>
    </row>
    <row r="2736" spans="1:46" ht="15.1" customHeight="1">
      <c r="A2736" s="8">
        <v>911</v>
      </c>
      <c r="B2736" s="9" t="s">
        <v>2052</v>
      </c>
      <c r="C2736" s="8" t="s">
        <v>2053</v>
      </c>
      <c r="D2736" s="9" t="s">
        <v>451</v>
      </c>
      <c r="E2736" s="8" t="s">
        <v>54</v>
      </c>
      <c r="F2736" s="8" t="s">
        <v>54</v>
      </c>
      <c r="G2736" s="10" t="s">
        <v>67</v>
      </c>
      <c r="H2736" s="8" t="s">
        <v>54</v>
      </c>
      <c r="I2736" s="8" t="s">
        <v>54</v>
      </c>
      <c r="J2736" s="8" t="s">
        <v>54</v>
      </c>
      <c r="K2736" s="8" t="s">
        <v>54</v>
      </c>
      <c r="L2736" s="8" t="s">
        <v>54</v>
      </c>
      <c r="M2736" s="8" t="s">
        <v>54</v>
      </c>
      <c r="N2736" s="10" t="s">
        <v>67</v>
      </c>
      <c r="O2736" s="8" t="s">
        <v>54</v>
      </c>
      <c r="P2736" s="8" t="s">
        <v>54</v>
      </c>
      <c r="Q2736" s="8" t="s">
        <v>54</v>
      </c>
      <c r="R2736" s="8" t="s">
        <v>54</v>
      </c>
      <c r="S2736" s="8" t="s">
        <v>54</v>
      </c>
      <c r="T2736" s="8" t="s">
        <v>54</v>
      </c>
      <c r="U2736" s="10" t="s">
        <v>67</v>
      </c>
      <c r="V2736" s="8" t="s">
        <v>54</v>
      </c>
      <c r="W2736" s="8" t="s">
        <v>54</v>
      </c>
      <c r="X2736" s="8" t="s">
        <v>54</v>
      </c>
      <c r="Y2736" s="8" t="s">
        <v>54</v>
      </c>
      <c r="Z2736" s="8" t="s">
        <v>54</v>
      </c>
      <c r="AA2736" s="8" t="s">
        <v>54</v>
      </c>
      <c r="AB2736" s="10" t="s">
        <v>67</v>
      </c>
      <c r="AC2736" s="8" t="s">
        <v>54</v>
      </c>
      <c r="AD2736" s="8" t="s">
        <v>54</v>
      </c>
      <c r="AE2736" s="8" t="s">
        <v>54</v>
      </c>
      <c r="AF2736" s="8" t="s">
        <v>54</v>
      </c>
      <c r="AG2736" s="8" t="s">
        <v>54</v>
      </c>
      <c r="AH2736" s="8" t="s">
        <v>54</v>
      </c>
      <c r="AI2736" s="10" t="s">
        <v>67</v>
      </c>
      <c r="AJ2736" s="8">
        <f>COUNTIF($E$2736:$AI$2736,"P")</f>
        <v>26</v>
      </c>
      <c r="AK2736" s="8">
        <f>COUNTIF($E$2736:$AI$2736,"A")</f>
        <v>0</v>
      </c>
      <c r="AL2736" s="8">
        <f>SUM($E$2737:$AI$2737)</f>
        <v>22</v>
      </c>
      <c r="AM2736" s="8">
        <f>SUM($E$2738:$AI$2738)</f>
        <v>43</v>
      </c>
      <c r="AN2736" s="8">
        <f>AL2736+AM2736</f>
        <v>65</v>
      </c>
      <c r="AO2736" s="8">
        <f>COUNTIF($E$2736:$AI$2736,"CL")</f>
        <v>0</v>
      </c>
      <c r="AP2736" s="8">
        <f>COUNTIF($E$2736:$AI$2736,"SL")</f>
        <v>0</v>
      </c>
      <c r="AQ2736" s="8">
        <f>COUNTIF($E$2736:$AI$2736,"EL")</f>
        <v>0</v>
      </c>
      <c r="AR2736" s="8">
        <f>COUNTIF($E$2736:$AI$2736,"H")</f>
        <v>0</v>
      </c>
      <c r="AS2736" s="8"/>
      <c r="AT2736" s="11" t="s">
        <v>262</v>
      </c>
    </row>
    <row r="2737" spans="1:46" ht="15.1" customHeight="1">
      <c r="A2737" s="8"/>
      <c r="B2737" s="9"/>
      <c r="C2737" s="8"/>
      <c r="D2737" s="9"/>
      <c r="E2737" s="8">
        <v>2</v>
      </c>
      <c r="F2737" s="8">
        <v>0</v>
      </c>
      <c r="G2737" s="8">
        <v>0</v>
      </c>
      <c r="H2737" s="8">
        <v>0</v>
      </c>
      <c r="I2737" s="8">
        <v>0</v>
      </c>
      <c r="J2737" s="8">
        <v>2</v>
      </c>
      <c r="K2737" s="8">
        <v>2</v>
      </c>
      <c r="L2737" s="8">
        <v>2</v>
      </c>
      <c r="M2737" s="8">
        <v>2</v>
      </c>
      <c r="N2737" s="8">
        <v>0</v>
      </c>
      <c r="O2737" s="8">
        <v>2</v>
      </c>
      <c r="P2737" s="8">
        <v>2</v>
      </c>
      <c r="Q2737" s="8">
        <v>2</v>
      </c>
      <c r="R2737" s="8">
        <v>2</v>
      </c>
      <c r="S2737" s="8">
        <v>2</v>
      </c>
      <c r="T2737" s="8">
        <v>2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11" t="s">
        <v>262</v>
      </c>
    </row>
    <row r="2738" spans="1:46" ht="15.1" customHeight="1">
      <c r="A2738" s="8"/>
      <c r="B2738" s="9"/>
      <c r="C2738" s="8"/>
      <c r="D2738" s="9"/>
      <c r="E2738" s="8">
        <v>3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3</v>
      </c>
      <c r="L2738" s="8">
        <v>3</v>
      </c>
      <c r="M2738" s="8">
        <v>3</v>
      </c>
      <c r="N2738" s="8">
        <v>13</v>
      </c>
      <c r="O2738" s="8">
        <v>3</v>
      </c>
      <c r="P2738" s="8">
        <v>3</v>
      </c>
      <c r="Q2738" s="8">
        <v>3</v>
      </c>
      <c r="R2738" s="8">
        <v>3</v>
      </c>
      <c r="S2738" s="8">
        <v>3</v>
      </c>
      <c r="T2738" s="8">
        <v>3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11" t="s">
        <v>262</v>
      </c>
    </row>
    <row r="2739" spans="1:46" ht="15.1" customHeight="1">
      <c r="A2739" s="8">
        <v>912</v>
      </c>
      <c r="B2739" s="9" t="s">
        <v>2054</v>
      </c>
      <c r="C2739" s="8" t="s">
        <v>2055</v>
      </c>
      <c r="D2739" s="9" t="s">
        <v>451</v>
      </c>
      <c r="E2739" s="8" t="s">
        <v>54</v>
      </c>
      <c r="F2739" s="8" t="s">
        <v>54</v>
      </c>
      <c r="G2739" s="10" t="s">
        <v>67</v>
      </c>
      <c r="H2739" s="8" t="s">
        <v>54</v>
      </c>
      <c r="I2739" s="8" t="s">
        <v>54</v>
      </c>
      <c r="J2739" s="8" t="s">
        <v>54</v>
      </c>
      <c r="K2739" s="8" t="s">
        <v>54</v>
      </c>
      <c r="L2739" s="8" t="s">
        <v>54</v>
      </c>
      <c r="M2739" s="8" t="s">
        <v>54</v>
      </c>
      <c r="N2739" s="10" t="s">
        <v>67</v>
      </c>
      <c r="O2739" s="8" t="s">
        <v>54</v>
      </c>
      <c r="P2739" s="8" t="s">
        <v>54</v>
      </c>
      <c r="Q2739" s="8" t="s">
        <v>54</v>
      </c>
      <c r="R2739" s="8" t="s">
        <v>54</v>
      </c>
      <c r="S2739" s="8" t="s">
        <v>54</v>
      </c>
      <c r="T2739" s="8" t="s">
        <v>54</v>
      </c>
      <c r="U2739" s="10" t="s">
        <v>67</v>
      </c>
      <c r="V2739" s="8" t="s">
        <v>54</v>
      </c>
      <c r="W2739" s="8" t="s">
        <v>54</v>
      </c>
      <c r="X2739" s="8" t="s">
        <v>54</v>
      </c>
      <c r="Y2739" s="8" t="s">
        <v>54</v>
      </c>
      <c r="Z2739" s="8" t="s">
        <v>54</v>
      </c>
      <c r="AA2739" s="8" t="s">
        <v>54</v>
      </c>
      <c r="AB2739" s="10" t="s">
        <v>67</v>
      </c>
      <c r="AC2739" s="8" t="s">
        <v>54</v>
      </c>
      <c r="AD2739" s="8" t="s">
        <v>54</v>
      </c>
      <c r="AE2739" s="8" t="s">
        <v>54</v>
      </c>
      <c r="AF2739" s="8" t="s">
        <v>54</v>
      </c>
      <c r="AG2739" s="8" t="s">
        <v>54</v>
      </c>
      <c r="AH2739" s="8" t="s">
        <v>54</v>
      </c>
      <c r="AI2739" s="10" t="s">
        <v>67</v>
      </c>
      <c r="AJ2739" s="8">
        <f>COUNTIF($E$2739:$AI$2739,"P")</f>
        <v>26</v>
      </c>
      <c r="AK2739" s="8">
        <f>COUNTIF($E$2739:$AI$2739,"A")</f>
        <v>0</v>
      </c>
      <c r="AL2739" s="8">
        <f>SUM($E$2740:$AI$2740)</f>
        <v>26</v>
      </c>
      <c r="AM2739" s="8">
        <f>SUM($E$2741:$AI$2741)</f>
        <v>86.5</v>
      </c>
      <c r="AN2739" s="8">
        <f>AL2739+AM2739</f>
        <v>112.5</v>
      </c>
      <c r="AO2739" s="8">
        <f>COUNTIF($E$2739:$AI$2739,"CL")</f>
        <v>0</v>
      </c>
      <c r="AP2739" s="8">
        <f>COUNTIF($E$2739:$AI$2739,"SL")</f>
        <v>0</v>
      </c>
      <c r="AQ2739" s="8">
        <f>COUNTIF($E$2739:$AI$2739,"EL")</f>
        <v>0</v>
      </c>
      <c r="AR2739" s="8">
        <f>COUNTIF($E$2739:$AI$2739,"H")</f>
        <v>0</v>
      </c>
      <c r="AS2739" s="8"/>
      <c r="AT2739" s="11" t="s">
        <v>262</v>
      </c>
    </row>
    <row r="2740" spans="1:46" ht="15.1" customHeight="1">
      <c r="A2740" s="8"/>
      <c r="B2740" s="9"/>
      <c r="C2740" s="8"/>
      <c r="D2740" s="9"/>
      <c r="E2740" s="8">
        <v>2</v>
      </c>
      <c r="F2740" s="8">
        <v>0</v>
      </c>
      <c r="G2740" s="8">
        <v>0</v>
      </c>
      <c r="H2740" s="8">
        <v>2</v>
      </c>
      <c r="I2740" s="8">
        <v>2</v>
      </c>
      <c r="J2740" s="8">
        <v>2</v>
      </c>
      <c r="K2740" s="8">
        <v>2</v>
      </c>
      <c r="L2740" s="8">
        <v>2</v>
      </c>
      <c r="M2740" s="8">
        <v>2</v>
      </c>
      <c r="N2740" s="8">
        <v>0</v>
      </c>
      <c r="O2740" s="8">
        <v>2</v>
      </c>
      <c r="P2740" s="8">
        <v>2</v>
      </c>
      <c r="Q2740" s="8">
        <v>2</v>
      </c>
      <c r="R2740" s="8">
        <v>2</v>
      </c>
      <c r="S2740" s="8">
        <v>2</v>
      </c>
      <c r="T2740" s="8">
        <v>2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11" t="s">
        <v>262</v>
      </c>
    </row>
    <row r="2741" spans="1:46" ht="15.1" customHeight="1">
      <c r="A2741" s="8"/>
      <c r="B2741" s="9"/>
      <c r="C2741" s="8"/>
      <c r="D2741" s="9"/>
      <c r="E2741" s="8">
        <v>2.5</v>
      </c>
      <c r="F2741" s="8">
        <v>0</v>
      </c>
      <c r="G2741" s="8">
        <v>0</v>
      </c>
      <c r="H2741" s="8">
        <v>5</v>
      </c>
      <c r="I2741" s="8">
        <v>5</v>
      </c>
      <c r="J2741" s="8">
        <v>5</v>
      </c>
      <c r="K2741" s="8">
        <v>7</v>
      </c>
      <c r="L2741" s="8">
        <v>7</v>
      </c>
      <c r="M2741" s="8">
        <v>5</v>
      </c>
      <c r="N2741" s="8">
        <v>16.5</v>
      </c>
      <c r="O2741" s="8">
        <v>5</v>
      </c>
      <c r="P2741" s="8">
        <v>7</v>
      </c>
      <c r="Q2741" s="8">
        <v>5</v>
      </c>
      <c r="R2741" s="8">
        <v>6.5</v>
      </c>
      <c r="S2741" s="8">
        <v>7</v>
      </c>
      <c r="T2741" s="8">
        <v>3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11" t="s">
        <v>262</v>
      </c>
    </row>
    <row r="2742" spans="1:46" ht="15.1" customHeight="1">
      <c r="A2742" s="8">
        <v>913</v>
      </c>
      <c r="B2742" s="9" t="s">
        <v>2056</v>
      </c>
      <c r="C2742" s="8" t="s">
        <v>2057</v>
      </c>
      <c r="D2742" s="9" t="s">
        <v>451</v>
      </c>
      <c r="E2742" s="8" t="s">
        <v>54</v>
      </c>
      <c r="F2742" s="8" t="s">
        <v>54</v>
      </c>
      <c r="G2742" s="10" t="s">
        <v>67</v>
      </c>
      <c r="H2742" s="8" t="s">
        <v>54</v>
      </c>
      <c r="I2742" s="8" t="s">
        <v>54</v>
      </c>
      <c r="J2742" s="8" t="s">
        <v>54</v>
      </c>
      <c r="K2742" s="8" t="s">
        <v>54</v>
      </c>
      <c r="L2742" s="8" t="s">
        <v>54</v>
      </c>
      <c r="M2742" s="8" t="s">
        <v>54</v>
      </c>
      <c r="N2742" s="10" t="s">
        <v>67</v>
      </c>
      <c r="O2742" s="8" t="s">
        <v>54</v>
      </c>
      <c r="P2742" s="8" t="s">
        <v>54</v>
      </c>
      <c r="Q2742" s="8" t="s">
        <v>54</v>
      </c>
      <c r="R2742" s="8" t="s">
        <v>54</v>
      </c>
      <c r="S2742" s="8" t="s">
        <v>54</v>
      </c>
      <c r="T2742" s="8" t="s">
        <v>54</v>
      </c>
      <c r="U2742" s="10" t="s">
        <v>67</v>
      </c>
      <c r="V2742" s="8" t="s">
        <v>54</v>
      </c>
      <c r="W2742" s="8" t="s">
        <v>54</v>
      </c>
      <c r="X2742" s="8" t="s">
        <v>54</v>
      </c>
      <c r="Y2742" s="8" t="s">
        <v>54</v>
      </c>
      <c r="Z2742" s="8" t="s">
        <v>54</v>
      </c>
      <c r="AA2742" s="8" t="s">
        <v>54</v>
      </c>
      <c r="AB2742" s="10" t="s">
        <v>67</v>
      </c>
      <c r="AC2742" s="8" t="s">
        <v>54</v>
      </c>
      <c r="AD2742" s="8" t="s">
        <v>54</v>
      </c>
      <c r="AE2742" s="8" t="s">
        <v>54</v>
      </c>
      <c r="AF2742" s="8" t="s">
        <v>54</v>
      </c>
      <c r="AG2742" s="8" t="s">
        <v>54</v>
      </c>
      <c r="AH2742" s="8" t="s">
        <v>54</v>
      </c>
      <c r="AI2742" s="10" t="s">
        <v>67</v>
      </c>
      <c r="AJ2742" s="8">
        <f>COUNTIF($E$2742:$AI$2742,"P")</f>
        <v>26</v>
      </c>
      <c r="AK2742" s="8">
        <f>COUNTIF($E$2742:$AI$2742,"A")</f>
        <v>0</v>
      </c>
      <c r="AL2742" s="8">
        <f>SUM($E$2743:$AI$2743)</f>
        <v>26</v>
      </c>
      <c r="AM2742" s="8">
        <f>SUM($E$2744:$AI$2744)</f>
        <v>90</v>
      </c>
      <c r="AN2742" s="8">
        <f>AL2742+AM2742</f>
        <v>116</v>
      </c>
      <c r="AO2742" s="8">
        <f>COUNTIF($E$2742:$AI$2742,"CL")</f>
        <v>0</v>
      </c>
      <c r="AP2742" s="8">
        <f>COUNTIF($E$2742:$AI$2742,"SL")</f>
        <v>0</v>
      </c>
      <c r="AQ2742" s="8">
        <f>COUNTIF($E$2742:$AI$2742,"EL")</f>
        <v>0</v>
      </c>
      <c r="AR2742" s="8">
        <f>COUNTIF($E$2742:$AI$2742,"H")</f>
        <v>0</v>
      </c>
      <c r="AS2742" s="8"/>
      <c r="AT2742" s="11" t="s">
        <v>262</v>
      </c>
    </row>
    <row r="2743" spans="1:46" ht="15.1" customHeight="1">
      <c r="A2743" s="8"/>
      <c r="B2743" s="9"/>
      <c r="C2743" s="8"/>
      <c r="D2743" s="9"/>
      <c r="E2743" s="8">
        <v>2</v>
      </c>
      <c r="F2743" s="8">
        <v>2</v>
      </c>
      <c r="G2743" s="8">
        <v>0</v>
      </c>
      <c r="H2743" s="8">
        <v>2</v>
      </c>
      <c r="I2743" s="8">
        <v>0</v>
      </c>
      <c r="J2743" s="8">
        <v>2</v>
      </c>
      <c r="K2743" s="8">
        <v>2</v>
      </c>
      <c r="L2743" s="8">
        <v>2</v>
      </c>
      <c r="M2743" s="8">
        <v>2</v>
      </c>
      <c r="N2743" s="8">
        <v>0</v>
      </c>
      <c r="O2743" s="8">
        <v>2</v>
      </c>
      <c r="P2743" s="8">
        <v>2</v>
      </c>
      <c r="Q2743" s="8">
        <v>2</v>
      </c>
      <c r="R2743" s="8">
        <v>2</v>
      </c>
      <c r="S2743" s="8">
        <v>2</v>
      </c>
      <c r="T2743" s="8">
        <v>2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11" t="s">
        <v>262</v>
      </c>
    </row>
    <row r="2744" spans="1:46" ht="15.1" customHeight="1">
      <c r="A2744" s="8"/>
      <c r="B2744" s="9"/>
      <c r="C2744" s="8"/>
      <c r="D2744" s="9"/>
      <c r="E2744" s="8">
        <v>4</v>
      </c>
      <c r="F2744" s="8">
        <v>3</v>
      </c>
      <c r="G2744" s="8">
        <v>14</v>
      </c>
      <c r="H2744" s="8">
        <v>3</v>
      </c>
      <c r="I2744" s="8">
        <v>0</v>
      </c>
      <c r="J2744" s="8">
        <v>5</v>
      </c>
      <c r="K2744" s="8">
        <v>5</v>
      </c>
      <c r="L2744" s="8">
        <v>5</v>
      </c>
      <c r="M2744" s="8">
        <v>5</v>
      </c>
      <c r="N2744" s="8">
        <v>15</v>
      </c>
      <c r="O2744" s="8">
        <v>6</v>
      </c>
      <c r="P2744" s="8">
        <v>5</v>
      </c>
      <c r="Q2744" s="8">
        <v>3</v>
      </c>
      <c r="R2744" s="8">
        <v>7</v>
      </c>
      <c r="S2744" s="8">
        <v>7</v>
      </c>
      <c r="T2744" s="8">
        <v>3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11" t="s">
        <v>262</v>
      </c>
    </row>
    <row r="2745" spans="1:46" ht="15.1" customHeight="1">
      <c r="A2745" s="8">
        <v>914</v>
      </c>
      <c r="B2745" s="9" t="s">
        <v>2058</v>
      </c>
      <c r="C2745" s="8" t="s">
        <v>2059</v>
      </c>
      <c r="D2745" s="9" t="s">
        <v>451</v>
      </c>
      <c r="E2745" s="8" t="s">
        <v>54</v>
      </c>
      <c r="F2745" s="8" t="s">
        <v>54</v>
      </c>
      <c r="G2745" s="10" t="s">
        <v>67</v>
      </c>
      <c r="H2745" s="8" t="s">
        <v>54</v>
      </c>
      <c r="I2745" s="8" t="s">
        <v>54</v>
      </c>
      <c r="J2745" s="8" t="s">
        <v>54</v>
      </c>
      <c r="K2745" s="8" t="s">
        <v>54</v>
      </c>
      <c r="L2745" s="8" t="s">
        <v>54</v>
      </c>
      <c r="M2745" s="8" t="s">
        <v>54</v>
      </c>
      <c r="N2745" s="10" t="s">
        <v>67</v>
      </c>
      <c r="O2745" s="8" t="s">
        <v>54</v>
      </c>
      <c r="P2745" s="8" t="s">
        <v>54</v>
      </c>
      <c r="Q2745" s="8" t="s">
        <v>54</v>
      </c>
      <c r="R2745" s="8" t="s">
        <v>54</v>
      </c>
      <c r="S2745" s="8" t="s">
        <v>54</v>
      </c>
      <c r="T2745" s="8" t="s">
        <v>54</v>
      </c>
      <c r="U2745" s="10" t="s">
        <v>67</v>
      </c>
      <c r="V2745" s="12" t="s">
        <v>55</v>
      </c>
      <c r="W2745" s="8" t="s">
        <v>54</v>
      </c>
      <c r="X2745" s="8" t="s">
        <v>54</v>
      </c>
      <c r="Y2745" s="8" t="s">
        <v>54</v>
      </c>
      <c r="Z2745" s="8" t="s">
        <v>54</v>
      </c>
      <c r="AA2745" s="8" t="s">
        <v>54</v>
      </c>
      <c r="AB2745" s="10" t="s">
        <v>67</v>
      </c>
      <c r="AC2745" s="8" t="s">
        <v>54</v>
      </c>
      <c r="AD2745" s="8" t="s">
        <v>54</v>
      </c>
      <c r="AE2745" s="8" t="s">
        <v>54</v>
      </c>
      <c r="AF2745" s="8" t="s">
        <v>54</v>
      </c>
      <c r="AG2745" s="8" t="s">
        <v>54</v>
      </c>
      <c r="AH2745" s="8" t="s">
        <v>54</v>
      </c>
      <c r="AI2745" s="10" t="s">
        <v>67</v>
      </c>
      <c r="AJ2745" s="8">
        <f>COUNTIF($E$2745:$AI$2745,"P")</f>
        <v>25</v>
      </c>
      <c r="AK2745" s="8">
        <f>COUNTIF($E$2745:$AI$2745,"A")</f>
        <v>1</v>
      </c>
      <c r="AL2745" s="8">
        <f>SUM($E$2746:$AI$2746)</f>
        <v>22</v>
      </c>
      <c r="AM2745" s="8">
        <f>SUM($E$2747:$AI$2747)</f>
        <v>36</v>
      </c>
      <c r="AN2745" s="8">
        <f>AL2745+AM2745</f>
        <v>58</v>
      </c>
      <c r="AO2745" s="8">
        <f>COUNTIF($E$2745:$AI$2745,"CL")</f>
        <v>0</v>
      </c>
      <c r="AP2745" s="8">
        <f>COUNTIF($E$2745:$AI$2745,"SL")</f>
        <v>0</v>
      </c>
      <c r="AQ2745" s="8">
        <f>COUNTIF($E$2745:$AI$2745,"EL")</f>
        <v>0</v>
      </c>
      <c r="AR2745" s="8">
        <f>COUNTIF($E$2745:$AI$2745,"H")</f>
        <v>0</v>
      </c>
      <c r="AS2745" s="8"/>
      <c r="AT2745" s="11" t="s">
        <v>262</v>
      </c>
    </row>
    <row r="2746" spans="1:46" ht="15.1" customHeight="1">
      <c r="A2746" s="8"/>
      <c r="B2746" s="9"/>
      <c r="C2746" s="8"/>
      <c r="D2746" s="9"/>
      <c r="E2746" s="8">
        <v>2</v>
      </c>
      <c r="F2746" s="8">
        <v>0</v>
      </c>
      <c r="G2746" s="8">
        <v>0</v>
      </c>
      <c r="H2746" s="8">
        <v>0</v>
      </c>
      <c r="I2746" s="8">
        <v>0</v>
      </c>
      <c r="J2746" s="8">
        <v>2</v>
      </c>
      <c r="K2746" s="8">
        <v>2</v>
      </c>
      <c r="L2746" s="8">
        <v>2</v>
      </c>
      <c r="M2746" s="8">
        <v>2</v>
      </c>
      <c r="N2746" s="8">
        <v>0</v>
      </c>
      <c r="O2746" s="8">
        <v>2</v>
      </c>
      <c r="P2746" s="8">
        <v>2</v>
      </c>
      <c r="Q2746" s="8">
        <v>2</v>
      </c>
      <c r="R2746" s="8">
        <v>2</v>
      </c>
      <c r="S2746" s="8">
        <v>2</v>
      </c>
      <c r="T2746" s="8">
        <v>2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0</v>
      </c>
      <c r="AH2746" s="8">
        <v>0</v>
      </c>
      <c r="AI2746" s="8">
        <v>0</v>
      </c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11" t="s">
        <v>262</v>
      </c>
    </row>
    <row r="2747" spans="1:46" ht="15.1" customHeight="1">
      <c r="A2747" s="8"/>
      <c r="B2747" s="9"/>
      <c r="C2747" s="8"/>
      <c r="D2747" s="9"/>
      <c r="E2747" s="8">
        <v>2</v>
      </c>
      <c r="F2747" s="8">
        <v>0</v>
      </c>
      <c r="G2747" s="8">
        <v>0</v>
      </c>
      <c r="H2747" s="8">
        <v>0</v>
      </c>
      <c r="I2747" s="8">
        <v>0</v>
      </c>
      <c r="J2747" s="8">
        <v>3</v>
      </c>
      <c r="K2747" s="8">
        <v>3</v>
      </c>
      <c r="L2747" s="8">
        <v>3</v>
      </c>
      <c r="M2747" s="8">
        <v>3</v>
      </c>
      <c r="N2747" s="8">
        <v>0</v>
      </c>
      <c r="O2747" s="8">
        <v>5</v>
      </c>
      <c r="P2747" s="8">
        <v>5</v>
      </c>
      <c r="Q2747" s="8">
        <v>3</v>
      </c>
      <c r="R2747" s="8">
        <v>3</v>
      </c>
      <c r="S2747" s="8">
        <v>3</v>
      </c>
      <c r="T2747" s="8">
        <v>3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11" t="s">
        <v>262</v>
      </c>
    </row>
    <row r="2748" spans="1:46" ht="15.1" customHeight="1">
      <c r="A2748" s="8">
        <v>915</v>
      </c>
      <c r="B2748" s="9" t="s">
        <v>2060</v>
      </c>
      <c r="C2748" s="8" t="s">
        <v>2061</v>
      </c>
      <c r="D2748" s="9" t="s">
        <v>451</v>
      </c>
      <c r="E2748" s="8" t="s">
        <v>54</v>
      </c>
      <c r="F2748" s="8" t="s">
        <v>54</v>
      </c>
      <c r="G2748" s="10" t="s">
        <v>67</v>
      </c>
      <c r="H2748" s="8" t="s">
        <v>54</v>
      </c>
      <c r="I2748" s="8" t="s">
        <v>54</v>
      </c>
      <c r="J2748" s="12" t="s">
        <v>55</v>
      </c>
      <c r="K2748" s="12" t="s">
        <v>55</v>
      </c>
      <c r="L2748" s="12" t="s">
        <v>55</v>
      </c>
      <c r="M2748" s="12" t="s">
        <v>55</v>
      </c>
      <c r="N2748" s="10" t="s">
        <v>67</v>
      </c>
      <c r="O2748" s="8" t="s">
        <v>54</v>
      </c>
      <c r="P2748" s="8" t="s">
        <v>54</v>
      </c>
      <c r="Q2748" s="8" t="s">
        <v>54</v>
      </c>
      <c r="R2748" s="12" t="s">
        <v>55</v>
      </c>
      <c r="S2748" s="12" t="s">
        <v>55</v>
      </c>
      <c r="T2748" s="8" t="s">
        <v>54</v>
      </c>
      <c r="U2748" s="10" t="s">
        <v>67</v>
      </c>
      <c r="V2748" s="12" t="s">
        <v>55</v>
      </c>
      <c r="W2748" s="12" t="s">
        <v>55</v>
      </c>
      <c r="X2748" s="8" t="s">
        <v>54</v>
      </c>
      <c r="Y2748" s="8" t="s">
        <v>54</v>
      </c>
      <c r="Z2748" s="8" t="s">
        <v>54</v>
      </c>
      <c r="AA2748" s="8" t="s">
        <v>54</v>
      </c>
      <c r="AB2748" s="10" t="s">
        <v>67</v>
      </c>
      <c r="AC2748" s="8" t="s">
        <v>54</v>
      </c>
      <c r="AD2748" s="8" t="s">
        <v>54</v>
      </c>
      <c r="AE2748" s="8" t="s">
        <v>54</v>
      </c>
      <c r="AF2748" s="8" t="s">
        <v>54</v>
      </c>
      <c r="AG2748" s="8" t="s">
        <v>54</v>
      </c>
      <c r="AH2748" s="8" t="s">
        <v>54</v>
      </c>
      <c r="AI2748" s="10" t="s">
        <v>67</v>
      </c>
      <c r="AJ2748" s="8">
        <f>COUNTIF($E$2748:$AI$2748,"P")</f>
        <v>18</v>
      </c>
      <c r="AK2748" s="8">
        <f>COUNTIF($E$2748:$AI$2748,"A")</f>
        <v>8</v>
      </c>
      <c r="AL2748" s="8">
        <f>SUM($E$2749:$AI$2749)</f>
        <v>0</v>
      </c>
      <c r="AM2748" s="8">
        <f>SUM($E$2750:$AI$2750)</f>
        <v>0</v>
      </c>
      <c r="AN2748" s="8">
        <f>AL2748+AM2748</f>
        <v>0</v>
      </c>
      <c r="AO2748" s="8">
        <f>COUNTIF($E$2748:$AI$2748,"CL")</f>
        <v>0</v>
      </c>
      <c r="AP2748" s="8">
        <f>COUNTIF($E$2748:$AI$2748,"SL")</f>
        <v>0</v>
      </c>
      <c r="AQ2748" s="8">
        <f>COUNTIF($E$2748:$AI$2748,"EL")</f>
        <v>0</v>
      </c>
      <c r="AR2748" s="8">
        <f>COUNTIF($E$2748:$AI$2748,"H")</f>
        <v>0</v>
      </c>
      <c r="AS2748" s="8"/>
      <c r="AT2748" s="11" t="s">
        <v>262</v>
      </c>
    </row>
    <row r="2749" spans="1:46" ht="15.1" customHeight="1">
      <c r="A2749" s="8"/>
      <c r="B2749" s="9"/>
      <c r="C2749" s="8"/>
      <c r="D2749" s="9"/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11" t="s">
        <v>262</v>
      </c>
    </row>
    <row r="2750" spans="1:46" ht="15.1" customHeight="1">
      <c r="A2750" s="8"/>
      <c r="B2750" s="9"/>
      <c r="C2750" s="8"/>
      <c r="D2750" s="9"/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  <c r="M2750" s="8">
        <v>0</v>
      </c>
      <c r="N2750" s="8">
        <v>0</v>
      </c>
      <c r="O2750" s="8">
        <v>0</v>
      </c>
      <c r="P2750" s="8">
        <v>0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11" t="s">
        <v>262</v>
      </c>
    </row>
    <row r="2751" spans="1:46" ht="15.1" customHeight="1">
      <c r="A2751" s="8">
        <v>916</v>
      </c>
      <c r="B2751" s="9" t="s">
        <v>2062</v>
      </c>
      <c r="C2751" s="8" t="s">
        <v>2063</v>
      </c>
      <c r="D2751" s="9" t="s">
        <v>532</v>
      </c>
      <c r="E2751" s="8" t="s">
        <v>54</v>
      </c>
      <c r="F2751" s="8" t="s">
        <v>54</v>
      </c>
      <c r="G2751" s="10" t="s">
        <v>67</v>
      </c>
      <c r="H2751" s="8" t="s">
        <v>54</v>
      </c>
      <c r="I2751" s="8" t="s">
        <v>54</v>
      </c>
      <c r="J2751" s="8" t="s">
        <v>54</v>
      </c>
      <c r="K2751" s="8" t="s">
        <v>54</v>
      </c>
      <c r="L2751" s="8" t="s">
        <v>54</v>
      </c>
      <c r="M2751" s="8" t="s">
        <v>54</v>
      </c>
      <c r="N2751" s="10" t="s">
        <v>67</v>
      </c>
      <c r="O2751" s="8" t="s">
        <v>54</v>
      </c>
      <c r="P2751" s="8" t="s">
        <v>54</v>
      </c>
      <c r="Q2751" s="8" t="s">
        <v>54</v>
      </c>
      <c r="R2751" s="8" t="s">
        <v>54</v>
      </c>
      <c r="S2751" s="8" t="s">
        <v>54</v>
      </c>
      <c r="T2751" s="8" t="s">
        <v>54</v>
      </c>
      <c r="U2751" s="10" t="s">
        <v>67</v>
      </c>
      <c r="V2751" s="8" t="s">
        <v>54</v>
      </c>
      <c r="W2751" s="8" t="s">
        <v>54</v>
      </c>
      <c r="X2751" s="8" t="s">
        <v>54</v>
      </c>
      <c r="Y2751" s="8" t="s">
        <v>54</v>
      </c>
      <c r="Z2751" s="8" t="s">
        <v>54</v>
      </c>
      <c r="AA2751" s="8" t="s">
        <v>54</v>
      </c>
      <c r="AB2751" s="10" t="s">
        <v>67</v>
      </c>
      <c r="AC2751" s="8" t="s">
        <v>54</v>
      </c>
      <c r="AD2751" s="8" t="s">
        <v>54</v>
      </c>
      <c r="AE2751" s="8" t="s">
        <v>54</v>
      </c>
      <c r="AF2751" s="8" t="s">
        <v>54</v>
      </c>
      <c r="AG2751" s="8" t="s">
        <v>59</v>
      </c>
      <c r="AH2751" s="8" t="s">
        <v>59</v>
      </c>
      <c r="AI2751" s="10" t="s">
        <v>67</v>
      </c>
      <c r="AJ2751" s="8">
        <f>COUNTIF($E$2751:$AI$2751,"P")</f>
        <v>24</v>
      </c>
      <c r="AK2751" s="8">
        <f>COUNTIF($E$2751:$AI$2751,"A")</f>
        <v>0</v>
      </c>
      <c r="AL2751" s="8">
        <f>SUM($E$2752:$AI$2752)</f>
        <v>36</v>
      </c>
      <c r="AM2751" s="8">
        <f>SUM($E$2753:$AI$2753)</f>
        <v>161</v>
      </c>
      <c r="AN2751" s="8">
        <f>AL2751+AM2751</f>
        <v>197</v>
      </c>
      <c r="AO2751" s="8">
        <f>COUNTIF($E$2751:$AI$2751,"CL")</f>
        <v>2</v>
      </c>
      <c r="AP2751" s="8">
        <f>COUNTIF($E$2751:$AI$2751,"SL")</f>
        <v>0</v>
      </c>
      <c r="AQ2751" s="8">
        <f>COUNTIF($E$2751:$AI$2751,"EL")</f>
        <v>0</v>
      </c>
      <c r="AR2751" s="8">
        <f>COUNTIF($E$2751:$AI$2751,"H")</f>
        <v>0</v>
      </c>
      <c r="AS2751" s="8"/>
      <c r="AT2751" s="11" t="s">
        <v>263</v>
      </c>
    </row>
    <row r="2752" spans="1:46" ht="15.1" customHeight="1">
      <c r="A2752" s="8"/>
      <c r="B2752" s="9"/>
      <c r="C2752" s="8"/>
      <c r="D2752" s="9"/>
      <c r="E2752" s="8">
        <v>2</v>
      </c>
      <c r="F2752" s="8">
        <v>0</v>
      </c>
      <c r="G2752" s="8">
        <v>0</v>
      </c>
      <c r="H2752" s="8">
        <v>2</v>
      </c>
      <c r="I2752" s="8">
        <v>2</v>
      </c>
      <c r="J2752" s="8">
        <v>2</v>
      </c>
      <c r="K2752" s="8">
        <v>2</v>
      </c>
      <c r="L2752" s="8">
        <v>2</v>
      </c>
      <c r="M2752" s="8">
        <v>2</v>
      </c>
      <c r="N2752" s="8">
        <v>0</v>
      </c>
      <c r="O2752" s="8">
        <v>2</v>
      </c>
      <c r="P2752" s="8">
        <v>2</v>
      </c>
      <c r="Q2752" s="8">
        <v>2</v>
      </c>
      <c r="R2752" s="8">
        <v>2</v>
      </c>
      <c r="S2752" s="8">
        <v>2</v>
      </c>
      <c r="T2752" s="8">
        <v>2</v>
      </c>
      <c r="U2752" s="8">
        <v>0</v>
      </c>
      <c r="V2752" s="8">
        <v>2</v>
      </c>
      <c r="W2752" s="8">
        <v>2</v>
      </c>
      <c r="X2752" s="8">
        <v>2</v>
      </c>
      <c r="Y2752" s="8">
        <v>2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2</v>
      </c>
      <c r="AF2752" s="8">
        <v>0</v>
      </c>
      <c r="AG2752" s="8">
        <v>0</v>
      </c>
      <c r="AH2752" s="8">
        <v>0</v>
      </c>
      <c r="AI2752" s="8">
        <v>0</v>
      </c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11" t="s">
        <v>263</v>
      </c>
    </row>
    <row r="2753" spans="1:46" ht="15.1" customHeight="1">
      <c r="A2753" s="8"/>
      <c r="B2753" s="9"/>
      <c r="C2753" s="8"/>
      <c r="D2753" s="9"/>
      <c r="E2753" s="8">
        <v>9</v>
      </c>
      <c r="F2753" s="8">
        <v>0</v>
      </c>
      <c r="G2753" s="8">
        <v>0</v>
      </c>
      <c r="H2753" s="8">
        <v>9</v>
      </c>
      <c r="I2753" s="8">
        <v>9.5</v>
      </c>
      <c r="J2753" s="8">
        <v>9</v>
      </c>
      <c r="K2753" s="8">
        <v>10</v>
      </c>
      <c r="L2753" s="8">
        <v>5</v>
      </c>
      <c r="M2753" s="8">
        <v>7</v>
      </c>
      <c r="N2753" s="8">
        <v>17.5</v>
      </c>
      <c r="O2753" s="8">
        <v>7</v>
      </c>
      <c r="P2753" s="8">
        <v>9</v>
      </c>
      <c r="Q2753" s="8">
        <v>10</v>
      </c>
      <c r="R2753" s="8">
        <v>7</v>
      </c>
      <c r="S2753" s="8">
        <v>9</v>
      </c>
      <c r="T2753" s="8">
        <v>10</v>
      </c>
      <c r="U2753" s="8">
        <v>12</v>
      </c>
      <c r="V2753" s="8">
        <v>11</v>
      </c>
      <c r="W2753" s="8">
        <v>9</v>
      </c>
      <c r="X2753" s="8">
        <v>1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11" t="s">
        <v>263</v>
      </c>
    </row>
    <row r="2754" spans="1:46" ht="15.1" customHeight="1">
      <c r="A2754" s="8">
        <v>917</v>
      </c>
      <c r="B2754" s="9" t="s">
        <v>2064</v>
      </c>
      <c r="C2754" s="8" t="s">
        <v>2065</v>
      </c>
      <c r="D2754" s="9" t="s">
        <v>532</v>
      </c>
      <c r="E2754" s="8" t="s">
        <v>54</v>
      </c>
      <c r="F2754" s="8" t="s">
        <v>54</v>
      </c>
      <c r="G2754" s="10" t="s">
        <v>67</v>
      </c>
      <c r="H2754" s="8" t="s">
        <v>54</v>
      </c>
      <c r="I2754" s="8" t="s">
        <v>54</v>
      </c>
      <c r="J2754" s="8" t="s">
        <v>54</v>
      </c>
      <c r="K2754" s="8" t="s">
        <v>54</v>
      </c>
      <c r="L2754" s="8" t="s">
        <v>54</v>
      </c>
      <c r="M2754" s="8" t="s">
        <v>54</v>
      </c>
      <c r="N2754" s="10" t="s">
        <v>67</v>
      </c>
      <c r="O2754" s="8" t="s">
        <v>54</v>
      </c>
      <c r="P2754" s="8" t="s">
        <v>54</v>
      </c>
      <c r="Q2754" s="8" t="s">
        <v>54</v>
      </c>
      <c r="R2754" s="8" t="s">
        <v>54</v>
      </c>
      <c r="S2754" s="8" t="s">
        <v>54</v>
      </c>
      <c r="T2754" s="8" t="s">
        <v>54</v>
      </c>
      <c r="U2754" s="10" t="s">
        <v>67</v>
      </c>
      <c r="V2754" s="12" t="s">
        <v>55</v>
      </c>
      <c r="W2754" s="8" t="s">
        <v>54</v>
      </c>
      <c r="X2754" s="8" t="s">
        <v>54</v>
      </c>
      <c r="Y2754" s="8" t="s">
        <v>54</v>
      </c>
      <c r="Z2754" s="8" t="s">
        <v>54</v>
      </c>
      <c r="AA2754" s="8" t="s">
        <v>54</v>
      </c>
      <c r="AB2754" s="10" t="s">
        <v>67</v>
      </c>
      <c r="AC2754" s="8" t="s">
        <v>54</v>
      </c>
      <c r="AD2754" s="8" t="s">
        <v>54</v>
      </c>
      <c r="AE2754" s="8" t="s">
        <v>54</v>
      </c>
      <c r="AF2754" s="8" t="s">
        <v>54</v>
      </c>
      <c r="AG2754" s="8" t="s">
        <v>54</v>
      </c>
      <c r="AH2754" s="8" t="s">
        <v>54</v>
      </c>
      <c r="AI2754" s="10" t="s">
        <v>67</v>
      </c>
      <c r="AJ2754" s="8">
        <f>COUNTIF($E$2754:$AI$2754,"P")</f>
        <v>25</v>
      </c>
      <c r="AK2754" s="8">
        <f>COUNTIF($E$2754:$AI$2754,"A")</f>
        <v>1</v>
      </c>
      <c r="AL2754" s="8">
        <f>SUM($E$2755:$AI$2755)</f>
        <v>32</v>
      </c>
      <c r="AM2754" s="8">
        <f>SUM($E$2756:$AI$2756)</f>
        <v>33</v>
      </c>
      <c r="AN2754" s="8">
        <f>AL2754+AM2754</f>
        <v>65</v>
      </c>
      <c r="AO2754" s="8">
        <f>COUNTIF($E$2754:$AI$2754,"CL")</f>
        <v>0</v>
      </c>
      <c r="AP2754" s="8">
        <f>COUNTIF($E$2754:$AI$2754,"SL")</f>
        <v>0</v>
      </c>
      <c r="AQ2754" s="8">
        <f>COUNTIF($E$2754:$AI$2754,"EL")</f>
        <v>0</v>
      </c>
      <c r="AR2754" s="8">
        <f>COUNTIF($E$2754:$AI$2754,"H")</f>
        <v>0</v>
      </c>
      <c r="AS2754" s="8"/>
      <c r="AT2754" s="11" t="s">
        <v>263</v>
      </c>
    </row>
    <row r="2755" spans="1:46" ht="15.1" customHeight="1">
      <c r="A2755" s="8"/>
      <c r="B2755" s="9"/>
      <c r="C2755" s="8"/>
      <c r="D2755" s="9"/>
      <c r="E2755" s="8">
        <v>2</v>
      </c>
      <c r="F2755" s="8">
        <v>2</v>
      </c>
      <c r="G2755" s="8">
        <v>0</v>
      </c>
      <c r="H2755" s="8">
        <v>2</v>
      </c>
      <c r="I2755" s="8">
        <v>2</v>
      </c>
      <c r="J2755" s="8">
        <v>2</v>
      </c>
      <c r="K2755" s="8">
        <v>2</v>
      </c>
      <c r="L2755" s="8">
        <v>2</v>
      </c>
      <c r="M2755" s="8">
        <v>2</v>
      </c>
      <c r="N2755" s="8">
        <v>0</v>
      </c>
      <c r="O2755" s="8">
        <v>2</v>
      </c>
      <c r="P2755" s="8">
        <v>2</v>
      </c>
      <c r="Q2755" s="8">
        <v>2</v>
      </c>
      <c r="R2755" s="8">
        <v>2</v>
      </c>
      <c r="S2755" s="8">
        <v>2</v>
      </c>
      <c r="T2755" s="8">
        <v>2</v>
      </c>
      <c r="U2755" s="8">
        <v>0</v>
      </c>
      <c r="V2755" s="8">
        <v>0</v>
      </c>
      <c r="W2755" s="8">
        <v>2</v>
      </c>
      <c r="X2755" s="8">
        <v>0</v>
      </c>
      <c r="Y2755" s="8">
        <v>2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11" t="s">
        <v>263</v>
      </c>
    </row>
    <row r="2756" spans="1:46" ht="15.1" customHeight="1">
      <c r="A2756" s="8"/>
      <c r="B2756" s="9"/>
      <c r="C2756" s="8"/>
      <c r="D2756" s="9"/>
      <c r="E2756" s="8">
        <v>0</v>
      </c>
      <c r="F2756" s="8">
        <v>0</v>
      </c>
      <c r="G2756" s="8">
        <v>0</v>
      </c>
      <c r="H2756" s="8">
        <v>2</v>
      </c>
      <c r="I2756" s="8">
        <v>5</v>
      </c>
      <c r="J2756" s="8">
        <v>0</v>
      </c>
      <c r="K2756" s="8">
        <v>5</v>
      </c>
      <c r="L2756" s="8">
        <v>0</v>
      </c>
      <c r="M2756" s="8">
        <v>4</v>
      </c>
      <c r="N2756" s="8">
        <v>0</v>
      </c>
      <c r="O2756" s="8">
        <v>3</v>
      </c>
      <c r="P2756" s="8">
        <v>0</v>
      </c>
      <c r="Q2756" s="8">
        <v>6</v>
      </c>
      <c r="R2756" s="8">
        <v>4</v>
      </c>
      <c r="S2756" s="8">
        <v>0</v>
      </c>
      <c r="T2756" s="8">
        <v>1</v>
      </c>
      <c r="U2756" s="8">
        <v>0</v>
      </c>
      <c r="V2756" s="8">
        <v>0</v>
      </c>
      <c r="W2756" s="8">
        <v>3</v>
      </c>
      <c r="X2756" s="8">
        <v>0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11" t="s">
        <v>263</v>
      </c>
    </row>
    <row r="2757" spans="1:46" ht="15.1" customHeight="1">
      <c r="A2757" s="8">
        <v>918</v>
      </c>
      <c r="B2757" s="9" t="s">
        <v>2066</v>
      </c>
      <c r="C2757" s="8" t="s">
        <v>2067</v>
      </c>
      <c r="D2757" s="9" t="s">
        <v>532</v>
      </c>
      <c r="E2757" s="12" t="s">
        <v>55</v>
      </c>
      <c r="F2757" s="12" t="s">
        <v>55</v>
      </c>
      <c r="G2757" s="10" t="s">
        <v>67</v>
      </c>
      <c r="H2757" s="8" t="s">
        <v>54</v>
      </c>
      <c r="I2757" s="8" t="s">
        <v>54</v>
      </c>
      <c r="J2757" s="8" t="s">
        <v>54</v>
      </c>
      <c r="K2757" s="8" t="s">
        <v>54</v>
      </c>
      <c r="L2757" s="8" t="s">
        <v>54</v>
      </c>
      <c r="M2757" s="8" t="s">
        <v>54</v>
      </c>
      <c r="N2757" s="10" t="s">
        <v>67</v>
      </c>
      <c r="O2757" s="8" t="s">
        <v>54</v>
      </c>
      <c r="P2757" s="8" t="s">
        <v>54</v>
      </c>
      <c r="Q2757" s="8" t="s">
        <v>54</v>
      </c>
      <c r="R2757" s="8" t="s">
        <v>54</v>
      </c>
      <c r="S2757" s="8" t="s">
        <v>54</v>
      </c>
      <c r="T2757" s="8" t="s">
        <v>54</v>
      </c>
      <c r="U2757" s="10" t="s">
        <v>67</v>
      </c>
      <c r="V2757" s="8" t="s">
        <v>54</v>
      </c>
      <c r="W2757" s="8" t="s">
        <v>54</v>
      </c>
      <c r="X2757" s="8" t="s">
        <v>54</v>
      </c>
      <c r="Y2757" s="8" t="s">
        <v>54</v>
      </c>
      <c r="Z2757" s="8" t="s">
        <v>54</v>
      </c>
      <c r="AA2757" s="8" t="s">
        <v>54</v>
      </c>
      <c r="AB2757" s="10" t="s">
        <v>67</v>
      </c>
      <c r="AC2757" s="8" t="s">
        <v>54</v>
      </c>
      <c r="AD2757" s="8" t="s">
        <v>54</v>
      </c>
      <c r="AE2757" s="8" t="s">
        <v>54</v>
      </c>
      <c r="AF2757" s="8" t="s">
        <v>54</v>
      </c>
      <c r="AG2757" s="8" t="s">
        <v>54</v>
      </c>
      <c r="AH2757" s="8" t="s">
        <v>54</v>
      </c>
      <c r="AI2757" s="10" t="s">
        <v>67</v>
      </c>
      <c r="AJ2757" s="8">
        <f>COUNTIF($E$2757:$AI$2757,"P")</f>
        <v>24</v>
      </c>
      <c r="AK2757" s="8">
        <f>COUNTIF($E$2757:$AI$2757,"A")</f>
        <v>2</v>
      </c>
      <c r="AL2757" s="8">
        <f>SUM($E$2758:$AI$2758)</f>
        <v>34</v>
      </c>
      <c r="AM2757" s="8">
        <f>SUM($E$2759:$AI$2759)</f>
        <v>136</v>
      </c>
      <c r="AN2757" s="8">
        <f>AL2757+AM2757</f>
        <v>170</v>
      </c>
      <c r="AO2757" s="8">
        <f>COUNTIF($E$2757:$AI$2757,"CL")</f>
        <v>0</v>
      </c>
      <c r="AP2757" s="8">
        <f>COUNTIF($E$2757:$AI$2757,"SL")</f>
        <v>0</v>
      </c>
      <c r="AQ2757" s="8">
        <f>COUNTIF($E$2757:$AI$2757,"EL")</f>
        <v>0</v>
      </c>
      <c r="AR2757" s="8">
        <f>COUNTIF($E$2757:$AI$2757,"H")</f>
        <v>0</v>
      </c>
      <c r="AS2757" s="8"/>
      <c r="AT2757" s="11" t="s">
        <v>263</v>
      </c>
    </row>
    <row r="2758" spans="1:46" ht="15.1" customHeight="1">
      <c r="A2758" s="8"/>
      <c r="B2758" s="9"/>
      <c r="C2758" s="8"/>
      <c r="D2758" s="9"/>
      <c r="E2758" s="8">
        <v>0</v>
      </c>
      <c r="F2758" s="8">
        <v>0</v>
      </c>
      <c r="G2758" s="8">
        <v>0</v>
      </c>
      <c r="H2758" s="8">
        <v>2</v>
      </c>
      <c r="I2758" s="8">
        <v>2</v>
      </c>
      <c r="J2758" s="8">
        <v>2</v>
      </c>
      <c r="K2758" s="8">
        <v>2</v>
      </c>
      <c r="L2758" s="8">
        <v>2</v>
      </c>
      <c r="M2758" s="8">
        <v>2</v>
      </c>
      <c r="N2758" s="8">
        <v>0</v>
      </c>
      <c r="O2758" s="8">
        <v>2</v>
      </c>
      <c r="P2758" s="8">
        <v>2</v>
      </c>
      <c r="Q2758" s="8">
        <v>2</v>
      </c>
      <c r="R2758" s="8">
        <v>2</v>
      </c>
      <c r="S2758" s="8">
        <v>2</v>
      </c>
      <c r="T2758" s="8">
        <v>2</v>
      </c>
      <c r="U2758" s="8">
        <v>0</v>
      </c>
      <c r="V2758" s="8">
        <v>2</v>
      </c>
      <c r="W2758" s="8">
        <v>2</v>
      </c>
      <c r="X2758" s="8">
        <v>2</v>
      </c>
      <c r="Y2758" s="8">
        <v>2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8">
        <v>2</v>
      </c>
      <c r="AF2758" s="8">
        <v>0</v>
      </c>
      <c r="AG2758" s="8">
        <v>0</v>
      </c>
      <c r="AH2758" s="8">
        <v>0</v>
      </c>
      <c r="AI2758" s="8">
        <v>0</v>
      </c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11" t="s">
        <v>263</v>
      </c>
    </row>
    <row r="2759" spans="1:46" ht="15.1" customHeight="1">
      <c r="A2759" s="8"/>
      <c r="B2759" s="9"/>
      <c r="C2759" s="8"/>
      <c r="D2759" s="9"/>
      <c r="E2759" s="8">
        <v>0</v>
      </c>
      <c r="F2759" s="8">
        <v>0</v>
      </c>
      <c r="G2759" s="8">
        <v>0</v>
      </c>
      <c r="H2759" s="8">
        <v>8</v>
      </c>
      <c r="I2759" s="8">
        <v>9</v>
      </c>
      <c r="J2759" s="8">
        <v>8</v>
      </c>
      <c r="K2759" s="8">
        <v>10</v>
      </c>
      <c r="L2759" s="8">
        <v>8</v>
      </c>
      <c r="M2759" s="8">
        <v>3</v>
      </c>
      <c r="N2759" s="8">
        <v>17</v>
      </c>
      <c r="O2759" s="8">
        <v>7</v>
      </c>
      <c r="P2759" s="8">
        <v>6</v>
      </c>
      <c r="Q2759" s="8">
        <v>10</v>
      </c>
      <c r="R2759" s="8">
        <v>7</v>
      </c>
      <c r="S2759" s="8">
        <v>9</v>
      </c>
      <c r="T2759" s="8">
        <v>10</v>
      </c>
      <c r="U2759" s="8">
        <v>0</v>
      </c>
      <c r="V2759" s="8">
        <v>8</v>
      </c>
      <c r="W2759" s="8">
        <v>7</v>
      </c>
      <c r="X2759" s="8">
        <v>9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11" t="s">
        <v>263</v>
      </c>
    </row>
    <row r="2760" spans="1:46" ht="15.1" customHeight="1">
      <c r="A2760" s="8">
        <v>919</v>
      </c>
      <c r="B2760" s="9" t="s">
        <v>2068</v>
      </c>
      <c r="C2760" s="8" t="s">
        <v>2069</v>
      </c>
      <c r="D2760" s="9" t="s">
        <v>532</v>
      </c>
      <c r="E2760" s="8" t="s">
        <v>54</v>
      </c>
      <c r="F2760" s="8" t="s">
        <v>54</v>
      </c>
      <c r="G2760" s="10" t="s">
        <v>67</v>
      </c>
      <c r="H2760" s="8" t="s">
        <v>54</v>
      </c>
      <c r="I2760" s="8" t="s">
        <v>54</v>
      </c>
      <c r="J2760" s="8" t="s">
        <v>54</v>
      </c>
      <c r="K2760" s="8" t="s">
        <v>54</v>
      </c>
      <c r="L2760" s="8" t="s">
        <v>54</v>
      </c>
      <c r="M2760" s="8" t="s">
        <v>54</v>
      </c>
      <c r="N2760" s="10" t="s">
        <v>67</v>
      </c>
      <c r="O2760" s="8" t="s">
        <v>54</v>
      </c>
      <c r="P2760" s="8" t="s">
        <v>54</v>
      </c>
      <c r="Q2760" s="8" t="s">
        <v>54</v>
      </c>
      <c r="R2760" s="8" t="s">
        <v>54</v>
      </c>
      <c r="S2760" s="8" t="s">
        <v>54</v>
      </c>
      <c r="T2760" s="8" t="s">
        <v>54</v>
      </c>
      <c r="U2760" s="10" t="s">
        <v>67</v>
      </c>
      <c r="V2760" s="8" t="s">
        <v>54</v>
      </c>
      <c r="W2760" s="8" t="s">
        <v>54</v>
      </c>
      <c r="X2760" s="12" t="s">
        <v>55</v>
      </c>
      <c r="Y2760" s="8" t="s">
        <v>54</v>
      </c>
      <c r="Z2760" s="8" t="s">
        <v>54</v>
      </c>
      <c r="AA2760" s="8" t="s">
        <v>59</v>
      </c>
      <c r="AB2760" s="10" t="s">
        <v>67</v>
      </c>
      <c r="AC2760" s="8" t="s">
        <v>59</v>
      </c>
      <c r="AD2760" s="8" t="s">
        <v>59</v>
      </c>
      <c r="AE2760" s="12" t="s">
        <v>55</v>
      </c>
      <c r="AF2760" s="8" t="s">
        <v>54</v>
      </c>
      <c r="AG2760" s="8" t="s">
        <v>54</v>
      </c>
      <c r="AH2760" s="8" t="s">
        <v>54</v>
      </c>
      <c r="AI2760" s="10" t="s">
        <v>67</v>
      </c>
      <c r="AJ2760" s="8">
        <f>COUNTIF($E$2760:$AI$2760,"P")</f>
        <v>21</v>
      </c>
      <c r="AK2760" s="8">
        <f>COUNTIF($E$2760:$AI$2760,"A")</f>
        <v>2</v>
      </c>
      <c r="AL2760" s="8">
        <f>SUM($E$2761:$AI$2761)</f>
        <v>32</v>
      </c>
      <c r="AM2760" s="8">
        <f>SUM($E$2762:$AI$2762)</f>
        <v>156</v>
      </c>
      <c r="AN2760" s="8">
        <f>AL2760+AM2760</f>
        <v>188</v>
      </c>
      <c r="AO2760" s="8">
        <f>COUNTIF($E$2760:$AI$2760,"CL")</f>
        <v>3</v>
      </c>
      <c r="AP2760" s="8">
        <f>COUNTIF($E$2760:$AI$2760,"SL")</f>
        <v>0</v>
      </c>
      <c r="AQ2760" s="8">
        <f>COUNTIF($E$2760:$AI$2760,"EL")</f>
        <v>0</v>
      </c>
      <c r="AR2760" s="8">
        <f>COUNTIF($E$2760:$AI$2760,"H")</f>
        <v>0</v>
      </c>
      <c r="AS2760" s="8"/>
      <c r="AT2760" s="11" t="s">
        <v>263</v>
      </c>
    </row>
    <row r="2761" spans="1:46" ht="15.1" customHeight="1">
      <c r="A2761" s="8"/>
      <c r="B2761" s="9"/>
      <c r="C2761" s="8"/>
      <c r="D2761" s="9"/>
      <c r="E2761" s="8">
        <v>2</v>
      </c>
      <c r="F2761" s="8">
        <v>2</v>
      </c>
      <c r="G2761" s="8">
        <v>0</v>
      </c>
      <c r="H2761" s="8">
        <v>2</v>
      </c>
      <c r="I2761" s="8">
        <v>2</v>
      </c>
      <c r="J2761" s="8">
        <v>2</v>
      </c>
      <c r="K2761" s="8">
        <v>2</v>
      </c>
      <c r="L2761" s="8">
        <v>2</v>
      </c>
      <c r="M2761" s="8">
        <v>2</v>
      </c>
      <c r="N2761" s="8">
        <v>0</v>
      </c>
      <c r="O2761" s="8">
        <v>2</v>
      </c>
      <c r="P2761" s="8">
        <v>2</v>
      </c>
      <c r="Q2761" s="8">
        <v>0</v>
      </c>
      <c r="R2761" s="8">
        <v>2</v>
      </c>
      <c r="S2761" s="8">
        <v>2</v>
      </c>
      <c r="T2761" s="8">
        <v>2</v>
      </c>
      <c r="U2761" s="8">
        <v>0</v>
      </c>
      <c r="V2761" s="8">
        <v>2</v>
      </c>
      <c r="W2761" s="8">
        <v>2</v>
      </c>
      <c r="X2761" s="8">
        <v>0</v>
      </c>
      <c r="Y2761" s="8">
        <v>2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11" t="s">
        <v>263</v>
      </c>
    </row>
    <row r="2762" spans="1:46" ht="15.1" customHeight="1">
      <c r="A2762" s="8"/>
      <c r="B2762" s="9"/>
      <c r="C2762" s="8"/>
      <c r="D2762" s="9"/>
      <c r="E2762" s="8">
        <v>8</v>
      </c>
      <c r="F2762" s="8">
        <v>3</v>
      </c>
      <c r="G2762" s="8">
        <v>15</v>
      </c>
      <c r="H2762" s="8">
        <v>8</v>
      </c>
      <c r="I2762" s="8">
        <v>9.5</v>
      </c>
      <c r="J2762" s="8">
        <v>11</v>
      </c>
      <c r="K2762" s="8">
        <v>10</v>
      </c>
      <c r="L2762" s="8">
        <v>2</v>
      </c>
      <c r="M2762" s="8">
        <v>7</v>
      </c>
      <c r="N2762" s="8">
        <v>16</v>
      </c>
      <c r="O2762" s="8">
        <v>7</v>
      </c>
      <c r="P2762" s="8">
        <v>9</v>
      </c>
      <c r="Q2762" s="8">
        <v>0</v>
      </c>
      <c r="R2762" s="8">
        <v>5</v>
      </c>
      <c r="S2762" s="8">
        <v>9</v>
      </c>
      <c r="T2762" s="8">
        <v>10</v>
      </c>
      <c r="U2762" s="8">
        <v>11</v>
      </c>
      <c r="V2762" s="8">
        <v>11</v>
      </c>
      <c r="W2762" s="8">
        <v>4.5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11" t="s">
        <v>263</v>
      </c>
    </row>
    <row r="2763" spans="1:46" ht="15.1" customHeight="1">
      <c r="A2763" s="8">
        <v>920</v>
      </c>
      <c r="B2763" s="9" t="s">
        <v>2070</v>
      </c>
      <c r="C2763" s="8" t="s">
        <v>2071</v>
      </c>
      <c r="D2763" s="9" t="s">
        <v>532</v>
      </c>
      <c r="E2763" s="8" t="s">
        <v>54</v>
      </c>
      <c r="F2763" s="8" t="s">
        <v>54</v>
      </c>
      <c r="G2763" s="10" t="s">
        <v>67</v>
      </c>
      <c r="H2763" s="8" t="s">
        <v>54</v>
      </c>
      <c r="I2763" s="8" t="s">
        <v>54</v>
      </c>
      <c r="J2763" s="8" t="s">
        <v>54</v>
      </c>
      <c r="K2763" s="8" t="s">
        <v>54</v>
      </c>
      <c r="L2763" s="8" t="s">
        <v>54</v>
      </c>
      <c r="M2763" s="8" t="s">
        <v>54</v>
      </c>
      <c r="N2763" s="10" t="s">
        <v>67</v>
      </c>
      <c r="O2763" s="12" t="s">
        <v>55</v>
      </c>
      <c r="P2763" s="12" t="s">
        <v>55</v>
      </c>
      <c r="Q2763" s="8" t="s">
        <v>54</v>
      </c>
      <c r="R2763" s="8" t="s">
        <v>54</v>
      </c>
      <c r="S2763" s="8" t="s">
        <v>54</v>
      </c>
      <c r="T2763" s="8" t="s">
        <v>54</v>
      </c>
      <c r="U2763" s="10" t="s">
        <v>67</v>
      </c>
      <c r="V2763" s="8" t="s">
        <v>54</v>
      </c>
      <c r="W2763" s="12" t="s">
        <v>55</v>
      </c>
      <c r="X2763" s="8" t="s">
        <v>54</v>
      </c>
      <c r="Y2763" s="8" t="s">
        <v>54</v>
      </c>
      <c r="Z2763" s="8" t="s">
        <v>54</v>
      </c>
      <c r="AA2763" s="8" t="s">
        <v>54</v>
      </c>
      <c r="AB2763" s="10" t="s">
        <v>67</v>
      </c>
      <c r="AC2763" s="8" t="s">
        <v>54</v>
      </c>
      <c r="AD2763" s="8" t="s">
        <v>54</v>
      </c>
      <c r="AE2763" s="8" t="s">
        <v>54</v>
      </c>
      <c r="AF2763" s="8" t="s">
        <v>54</v>
      </c>
      <c r="AG2763" s="12" t="s">
        <v>55</v>
      </c>
      <c r="AH2763" s="8" t="s">
        <v>54</v>
      </c>
      <c r="AI2763" s="10" t="s">
        <v>67</v>
      </c>
      <c r="AJ2763" s="8">
        <f>COUNTIF($E$2763:$AI$2763,"P")</f>
        <v>22</v>
      </c>
      <c r="AK2763" s="8">
        <f>COUNTIF($E$2763:$AI$2763,"A")</f>
        <v>4</v>
      </c>
      <c r="AL2763" s="8">
        <f>SUM($E$2764:$AI$2764)</f>
        <v>28</v>
      </c>
      <c r="AM2763" s="8">
        <f>SUM($E$2765:$AI$2765)</f>
        <v>92.5</v>
      </c>
      <c r="AN2763" s="8">
        <f>AL2763+AM2763</f>
        <v>120.5</v>
      </c>
      <c r="AO2763" s="8">
        <f>COUNTIF($E$2763:$AI$2763,"CL")</f>
        <v>0</v>
      </c>
      <c r="AP2763" s="8">
        <f>COUNTIF($E$2763:$AI$2763,"SL")</f>
        <v>0</v>
      </c>
      <c r="AQ2763" s="8">
        <f>COUNTIF($E$2763:$AI$2763,"EL")</f>
        <v>0</v>
      </c>
      <c r="AR2763" s="8">
        <f>COUNTIF($E$2763:$AI$2763,"H")</f>
        <v>0</v>
      </c>
      <c r="AS2763" s="8"/>
      <c r="AT2763" s="11" t="s">
        <v>263</v>
      </c>
    </row>
    <row r="2764" spans="1:46" ht="15.1" customHeight="1">
      <c r="A2764" s="8"/>
      <c r="B2764" s="9"/>
      <c r="C2764" s="8"/>
      <c r="D2764" s="9"/>
      <c r="E2764" s="8">
        <v>2</v>
      </c>
      <c r="F2764" s="8">
        <v>2</v>
      </c>
      <c r="G2764" s="8">
        <v>0</v>
      </c>
      <c r="H2764" s="8">
        <v>2</v>
      </c>
      <c r="I2764" s="8">
        <v>2</v>
      </c>
      <c r="J2764" s="8">
        <v>2</v>
      </c>
      <c r="K2764" s="8">
        <v>0</v>
      </c>
      <c r="L2764" s="8">
        <v>2</v>
      </c>
      <c r="M2764" s="8">
        <v>0</v>
      </c>
      <c r="N2764" s="8">
        <v>0</v>
      </c>
      <c r="O2764" s="8">
        <v>0</v>
      </c>
      <c r="P2764" s="8">
        <v>0</v>
      </c>
      <c r="Q2764" s="8">
        <v>2</v>
      </c>
      <c r="R2764" s="8">
        <v>2</v>
      </c>
      <c r="S2764" s="8">
        <v>2</v>
      </c>
      <c r="T2764" s="8">
        <v>2</v>
      </c>
      <c r="U2764" s="8">
        <v>0</v>
      </c>
      <c r="V2764" s="8">
        <v>2</v>
      </c>
      <c r="W2764" s="8">
        <v>0</v>
      </c>
      <c r="X2764" s="8">
        <v>2</v>
      </c>
      <c r="Y2764" s="8">
        <v>2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2</v>
      </c>
      <c r="AF2764" s="8">
        <v>0</v>
      </c>
      <c r="AG2764" s="8">
        <v>0</v>
      </c>
      <c r="AH2764" s="8">
        <v>0</v>
      </c>
      <c r="AI2764" s="8">
        <v>0</v>
      </c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11" t="s">
        <v>263</v>
      </c>
    </row>
    <row r="2765" spans="1:46" ht="15.1" customHeight="1">
      <c r="A2765" s="8"/>
      <c r="B2765" s="9"/>
      <c r="C2765" s="8"/>
      <c r="D2765" s="9"/>
      <c r="E2765" s="8">
        <v>9</v>
      </c>
      <c r="F2765" s="8">
        <v>3</v>
      </c>
      <c r="G2765" s="8">
        <v>0</v>
      </c>
      <c r="H2765" s="8">
        <v>8</v>
      </c>
      <c r="I2765" s="8">
        <v>8</v>
      </c>
      <c r="J2765" s="8">
        <v>7</v>
      </c>
      <c r="K2765" s="8">
        <v>0</v>
      </c>
      <c r="L2765" s="8">
        <v>7</v>
      </c>
      <c r="M2765" s="8">
        <v>0</v>
      </c>
      <c r="N2765" s="8">
        <v>0</v>
      </c>
      <c r="O2765" s="8">
        <v>0</v>
      </c>
      <c r="P2765" s="8">
        <v>0</v>
      </c>
      <c r="Q2765" s="8">
        <v>10</v>
      </c>
      <c r="R2765" s="8">
        <v>7</v>
      </c>
      <c r="S2765" s="8">
        <v>9</v>
      </c>
      <c r="T2765" s="8">
        <v>10</v>
      </c>
      <c r="U2765" s="8">
        <v>0</v>
      </c>
      <c r="V2765" s="8">
        <v>7.5</v>
      </c>
      <c r="W2765" s="8">
        <v>0</v>
      </c>
      <c r="X2765" s="8">
        <v>7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0</v>
      </c>
      <c r="AG2765" s="8">
        <v>0</v>
      </c>
      <c r="AH2765" s="8">
        <v>0</v>
      </c>
      <c r="AI2765" s="8">
        <v>0</v>
      </c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11" t="s">
        <v>263</v>
      </c>
    </row>
    <row r="2766" spans="1:46" ht="15.1" customHeight="1">
      <c r="A2766" s="8">
        <v>921</v>
      </c>
      <c r="B2766" s="9" t="s">
        <v>2072</v>
      </c>
      <c r="C2766" s="8" t="s">
        <v>2073</v>
      </c>
      <c r="D2766" s="9" t="s">
        <v>532</v>
      </c>
      <c r="E2766" s="8" t="s">
        <v>54</v>
      </c>
      <c r="F2766" s="8" t="s">
        <v>54</v>
      </c>
      <c r="G2766" s="10" t="s">
        <v>67</v>
      </c>
      <c r="H2766" s="8" t="s">
        <v>54</v>
      </c>
      <c r="I2766" s="8" t="s">
        <v>54</v>
      </c>
      <c r="J2766" s="8" t="s">
        <v>54</v>
      </c>
      <c r="K2766" s="8" t="s">
        <v>54</v>
      </c>
      <c r="L2766" s="8" t="s">
        <v>54</v>
      </c>
      <c r="M2766" s="8" t="s">
        <v>54</v>
      </c>
      <c r="N2766" s="10" t="s">
        <v>67</v>
      </c>
      <c r="O2766" s="8" t="s">
        <v>54</v>
      </c>
      <c r="P2766" s="8" t="s">
        <v>54</v>
      </c>
      <c r="Q2766" s="8" t="s">
        <v>54</v>
      </c>
      <c r="R2766" s="8" t="s">
        <v>54</v>
      </c>
      <c r="S2766" s="8" t="s">
        <v>54</v>
      </c>
      <c r="T2766" s="8" t="s">
        <v>54</v>
      </c>
      <c r="U2766" s="10" t="s">
        <v>67</v>
      </c>
      <c r="V2766" s="8" t="s">
        <v>54</v>
      </c>
      <c r="W2766" s="8" t="s">
        <v>54</v>
      </c>
      <c r="X2766" s="8" t="s">
        <v>54</v>
      </c>
      <c r="Y2766" s="8" t="s">
        <v>54</v>
      </c>
      <c r="Z2766" s="8" t="s">
        <v>54</v>
      </c>
      <c r="AA2766" s="8" t="s">
        <v>54</v>
      </c>
      <c r="AB2766" s="10" t="s">
        <v>67</v>
      </c>
      <c r="AC2766" s="8" t="s">
        <v>54</v>
      </c>
      <c r="AD2766" s="8" t="s">
        <v>54</v>
      </c>
      <c r="AE2766" s="8" t="s">
        <v>54</v>
      </c>
      <c r="AF2766" s="8" t="s">
        <v>54</v>
      </c>
      <c r="AG2766" s="8" t="s">
        <v>54</v>
      </c>
      <c r="AH2766" s="8" t="s">
        <v>54</v>
      </c>
      <c r="AI2766" s="10" t="s">
        <v>67</v>
      </c>
      <c r="AJ2766" s="8">
        <f>COUNTIF($E$2766:$AI$2766,"P")</f>
        <v>26</v>
      </c>
      <c r="AK2766" s="8">
        <f>COUNTIF($E$2766:$AI$2766,"A")</f>
        <v>0</v>
      </c>
      <c r="AL2766" s="8">
        <f>SUM($E$2767:$AI$2767)</f>
        <v>38</v>
      </c>
      <c r="AM2766" s="8">
        <f>SUM($E$2768:$AI$2768)</f>
        <v>138</v>
      </c>
      <c r="AN2766" s="8">
        <f>AL2766+AM2766</f>
        <v>176</v>
      </c>
      <c r="AO2766" s="8">
        <f>COUNTIF($E$2766:$AI$2766,"CL")</f>
        <v>0</v>
      </c>
      <c r="AP2766" s="8">
        <f>COUNTIF($E$2766:$AI$2766,"SL")</f>
        <v>0</v>
      </c>
      <c r="AQ2766" s="8">
        <f>COUNTIF($E$2766:$AI$2766,"EL")</f>
        <v>0</v>
      </c>
      <c r="AR2766" s="8">
        <f>COUNTIF($E$2766:$AI$2766,"H")</f>
        <v>0</v>
      </c>
      <c r="AS2766" s="8"/>
      <c r="AT2766" s="11" t="s">
        <v>263</v>
      </c>
    </row>
    <row r="2767" spans="1:46" ht="15.1" customHeight="1">
      <c r="A2767" s="8"/>
      <c r="B2767" s="9"/>
      <c r="C2767" s="8"/>
      <c r="D2767" s="9"/>
      <c r="E2767" s="8">
        <v>2</v>
      </c>
      <c r="F2767" s="8">
        <v>2</v>
      </c>
      <c r="G2767" s="8">
        <v>0</v>
      </c>
      <c r="H2767" s="8">
        <v>2</v>
      </c>
      <c r="I2767" s="8">
        <v>2</v>
      </c>
      <c r="J2767" s="8">
        <v>2</v>
      </c>
      <c r="K2767" s="8">
        <v>2</v>
      </c>
      <c r="L2767" s="8">
        <v>2</v>
      </c>
      <c r="M2767" s="8">
        <v>2</v>
      </c>
      <c r="N2767" s="8">
        <v>0</v>
      </c>
      <c r="O2767" s="8">
        <v>2</v>
      </c>
      <c r="P2767" s="8">
        <v>2</v>
      </c>
      <c r="Q2767" s="8">
        <v>2</v>
      </c>
      <c r="R2767" s="8">
        <v>2</v>
      </c>
      <c r="S2767" s="8">
        <v>2</v>
      </c>
      <c r="T2767" s="8">
        <v>2</v>
      </c>
      <c r="U2767" s="8">
        <v>0</v>
      </c>
      <c r="V2767" s="8">
        <v>2</v>
      </c>
      <c r="W2767" s="8">
        <v>2</v>
      </c>
      <c r="X2767" s="8">
        <v>2</v>
      </c>
      <c r="Y2767" s="8">
        <v>2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2</v>
      </c>
      <c r="AF2767" s="8">
        <v>0</v>
      </c>
      <c r="AG2767" s="8">
        <v>0</v>
      </c>
      <c r="AH2767" s="8">
        <v>0</v>
      </c>
      <c r="AI2767" s="8">
        <v>0</v>
      </c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11" t="s">
        <v>263</v>
      </c>
    </row>
    <row r="2768" spans="1:46" ht="15.1" customHeight="1">
      <c r="A2768" s="8"/>
      <c r="B2768" s="9"/>
      <c r="C2768" s="8"/>
      <c r="D2768" s="9"/>
      <c r="E2768" s="8">
        <v>9</v>
      </c>
      <c r="F2768" s="8">
        <v>3</v>
      </c>
      <c r="G2768" s="8">
        <v>0</v>
      </c>
      <c r="H2768" s="8">
        <v>8</v>
      </c>
      <c r="I2768" s="8">
        <v>9.5</v>
      </c>
      <c r="J2768" s="8">
        <v>8</v>
      </c>
      <c r="K2768" s="8">
        <v>10</v>
      </c>
      <c r="L2768" s="8">
        <v>7.5</v>
      </c>
      <c r="M2768" s="8">
        <v>6.5</v>
      </c>
      <c r="N2768" s="8">
        <v>0</v>
      </c>
      <c r="O2768" s="8">
        <v>7</v>
      </c>
      <c r="P2768" s="8">
        <v>9</v>
      </c>
      <c r="Q2768" s="8">
        <v>9</v>
      </c>
      <c r="R2768" s="8">
        <v>5</v>
      </c>
      <c r="S2768" s="8">
        <v>9</v>
      </c>
      <c r="T2768" s="8">
        <v>9.5</v>
      </c>
      <c r="U2768" s="8">
        <v>10.5</v>
      </c>
      <c r="V2768" s="8">
        <v>8.5</v>
      </c>
      <c r="W2768" s="8">
        <v>8</v>
      </c>
      <c r="X2768" s="8">
        <v>1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11" t="s">
        <v>263</v>
      </c>
    </row>
    <row r="2769" spans="1:46" ht="15.1" customHeight="1">
      <c r="A2769" s="8">
        <v>922</v>
      </c>
      <c r="B2769" s="9" t="s">
        <v>112</v>
      </c>
      <c r="C2769" s="8" t="s">
        <v>2074</v>
      </c>
      <c r="D2769" s="9" t="s">
        <v>532</v>
      </c>
      <c r="E2769" s="8" t="s">
        <v>59</v>
      </c>
      <c r="F2769" s="12" t="s">
        <v>55</v>
      </c>
      <c r="G2769" s="10" t="s">
        <v>67</v>
      </c>
      <c r="H2769" s="12" t="s">
        <v>55</v>
      </c>
      <c r="I2769" s="8" t="s">
        <v>54</v>
      </c>
      <c r="J2769" s="8" t="s">
        <v>54</v>
      </c>
      <c r="K2769" s="8" t="s">
        <v>54</v>
      </c>
      <c r="L2769" s="8" t="s">
        <v>54</v>
      </c>
      <c r="M2769" s="8" t="s">
        <v>54</v>
      </c>
      <c r="N2769" s="10" t="s">
        <v>67</v>
      </c>
      <c r="O2769" s="8" t="s">
        <v>54</v>
      </c>
      <c r="P2769" s="8" t="s">
        <v>54</v>
      </c>
      <c r="Q2769" s="8" t="s">
        <v>54</v>
      </c>
      <c r="R2769" s="8" t="s">
        <v>54</v>
      </c>
      <c r="S2769" s="8" t="s">
        <v>54</v>
      </c>
      <c r="T2769" s="8" t="s">
        <v>54</v>
      </c>
      <c r="U2769" s="10" t="s">
        <v>67</v>
      </c>
      <c r="V2769" s="8" t="s">
        <v>54</v>
      </c>
      <c r="W2769" s="8" t="s">
        <v>54</v>
      </c>
      <c r="X2769" s="8" t="s">
        <v>54</v>
      </c>
      <c r="Y2769" s="8" t="s">
        <v>54</v>
      </c>
      <c r="Z2769" s="8" t="s">
        <v>54</v>
      </c>
      <c r="AA2769" s="8" t="s">
        <v>54</v>
      </c>
      <c r="AB2769" s="10" t="s">
        <v>67</v>
      </c>
      <c r="AC2769" s="8" t="s">
        <v>54</v>
      </c>
      <c r="AD2769" s="8" t="s">
        <v>54</v>
      </c>
      <c r="AE2769" s="8" t="s">
        <v>54</v>
      </c>
      <c r="AF2769" s="8" t="s">
        <v>54</v>
      </c>
      <c r="AG2769" s="8" t="s">
        <v>54</v>
      </c>
      <c r="AH2769" s="8" t="s">
        <v>54</v>
      </c>
      <c r="AI2769" s="10" t="s">
        <v>67</v>
      </c>
      <c r="AJ2769" s="8">
        <f>COUNTIF($E$2769:$AI$2769,"P")</f>
        <v>23</v>
      </c>
      <c r="AK2769" s="8">
        <f>COUNTIF($E$2769:$AI$2769,"A")</f>
        <v>2</v>
      </c>
      <c r="AL2769" s="8">
        <f>SUM($E$2770:$AI$2770)</f>
        <v>29</v>
      </c>
      <c r="AM2769" s="8">
        <f>SUM($E$2771:$AI$2771)</f>
        <v>106.5</v>
      </c>
      <c r="AN2769" s="8">
        <f>AL2769+AM2769</f>
        <v>135</v>
      </c>
      <c r="AO2769" s="8">
        <f>COUNTIF($E$2769:$AI$2769,"CL")</f>
        <v>1</v>
      </c>
      <c r="AP2769" s="8">
        <f>COUNTIF($E$2769:$AI$2769,"SL")</f>
        <v>0</v>
      </c>
      <c r="AQ2769" s="8">
        <f>COUNTIF($E$2769:$AI$2769,"EL")</f>
        <v>0</v>
      </c>
      <c r="AR2769" s="8">
        <f>COUNTIF($E$2769:$AI$2769,"H")</f>
        <v>0</v>
      </c>
      <c r="AS2769" s="8"/>
      <c r="AT2769" s="11" t="s">
        <v>263</v>
      </c>
    </row>
    <row r="2770" spans="1:46" ht="15.1" customHeight="1">
      <c r="A2770" s="8"/>
      <c r="B2770" s="9"/>
      <c r="C2770" s="8"/>
      <c r="D2770" s="9"/>
      <c r="E2770" s="8">
        <v>0</v>
      </c>
      <c r="F2770" s="8">
        <v>0</v>
      </c>
      <c r="G2770" s="8">
        <v>0</v>
      </c>
      <c r="H2770" s="8">
        <v>0</v>
      </c>
      <c r="I2770" s="8">
        <v>2</v>
      </c>
      <c r="J2770" s="8">
        <v>2</v>
      </c>
      <c r="K2770" s="8">
        <v>2</v>
      </c>
      <c r="L2770" s="8">
        <v>2</v>
      </c>
      <c r="M2770" s="8">
        <v>2</v>
      </c>
      <c r="N2770" s="8">
        <v>0</v>
      </c>
      <c r="O2770" s="8">
        <v>2</v>
      </c>
      <c r="P2770" s="8">
        <v>2</v>
      </c>
      <c r="Q2770" s="8">
        <v>0</v>
      </c>
      <c r="R2770" s="8">
        <v>2</v>
      </c>
      <c r="S2770" s="8">
        <v>2</v>
      </c>
      <c r="T2770" s="8">
        <v>2</v>
      </c>
      <c r="U2770" s="8">
        <v>0</v>
      </c>
      <c r="V2770" s="8">
        <v>2</v>
      </c>
      <c r="W2770" s="8">
        <v>2</v>
      </c>
      <c r="X2770" s="8">
        <v>2</v>
      </c>
      <c r="Y2770" s="8">
        <v>1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2</v>
      </c>
      <c r="AF2770" s="8">
        <v>0</v>
      </c>
      <c r="AG2770" s="8">
        <v>0</v>
      </c>
      <c r="AH2770" s="8">
        <v>0</v>
      </c>
      <c r="AI2770" s="8">
        <v>0</v>
      </c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11" t="s">
        <v>263</v>
      </c>
    </row>
    <row r="2771" spans="1:46" ht="15.1" customHeight="1">
      <c r="A2771" s="8"/>
      <c r="B2771" s="9"/>
      <c r="C2771" s="8"/>
      <c r="D2771" s="9"/>
      <c r="E2771" s="8">
        <v>0</v>
      </c>
      <c r="F2771" s="8">
        <v>0</v>
      </c>
      <c r="G2771" s="8">
        <v>0</v>
      </c>
      <c r="H2771" s="8">
        <v>0</v>
      </c>
      <c r="I2771" s="8">
        <v>9.5</v>
      </c>
      <c r="J2771" s="8">
        <v>7</v>
      </c>
      <c r="K2771" s="8">
        <v>10</v>
      </c>
      <c r="L2771" s="8">
        <v>7</v>
      </c>
      <c r="M2771" s="8">
        <v>5</v>
      </c>
      <c r="N2771" s="8">
        <v>0</v>
      </c>
      <c r="O2771" s="8">
        <v>7</v>
      </c>
      <c r="P2771" s="8">
        <v>9</v>
      </c>
      <c r="Q2771" s="8">
        <v>0</v>
      </c>
      <c r="R2771" s="8">
        <v>6</v>
      </c>
      <c r="S2771" s="8">
        <v>0</v>
      </c>
      <c r="T2771" s="8">
        <v>10</v>
      </c>
      <c r="U2771" s="8">
        <v>11</v>
      </c>
      <c r="V2771" s="8">
        <v>9</v>
      </c>
      <c r="W2771" s="8">
        <v>7</v>
      </c>
      <c r="X2771" s="8">
        <v>9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0</v>
      </c>
      <c r="AG2771" s="8">
        <v>0</v>
      </c>
      <c r="AH2771" s="8">
        <v>0</v>
      </c>
      <c r="AI2771" s="8">
        <v>0</v>
      </c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11" t="s">
        <v>263</v>
      </c>
    </row>
    <row r="2772" spans="1:46" ht="15.1" customHeight="1">
      <c r="A2772" s="8">
        <v>923</v>
      </c>
      <c r="B2772" s="9" t="s">
        <v>2075</v>
      </c>
      <c r="C2772" s="8" t="s">
        <v>2076</v>
      </c>
      <c r="D2772" s="9" t="s">
        <v>532</v>
      </c>
      <c r="E2772" s="8" t="s">
        <v>54</v>
      </c>
      <c r="F2772" s="8" t="s">
        <v>54</v>
      </c>
      <c r="G2772" s="10" t="s">
        <v>67</v>
      </c>
      <c r="H2772" s="8" t="s">
        <v>54</v>
      </c>
      <c r="I2772" s="12" t="s">
        <v>55</v>
      </c>
      <c r="J2772" s="12" t="s">
        <v>55</v>
      </c>
      <c r="K2772" s="12" t="s">
        <v>55</v>
      </c>
      <c r="L2772" s="8" t="s">
        <v>54</v>
      </c>
      <c r="M2772" s="8" t="s">
        <v>54</v>
      </c>
      <c r="N2772" s="10" t="s">
        <v>67</v>
      </c>
      <c r="O2772" s="8" t="s">
        <v>54</v>
      </c>
      <c r="P2772" s="8" t="s">
        <v>54</v>
      </c>
      <c r="Q2772" s="8" t="s">
        <v>54</v>
      </c>
      <c r="R2772" s="8" t="s">
        <v>54</v>
      </c>
      <c r="S2772" s="8" t="s">
        <v>54</v>
      </c>
      <c r="T2772" s="8" t="s">
        <v>54</v>
      </c>
      <c r="U2772" s="10" t="s">
        <v>67</v>
      </c>
      <c r="V2772" s="8" t="s">
        <v>54</v>
      </c>
      <c r="W2772" s="8" t="s">
        <v>54</v>
      </c>
      <c r="X2772" s="8" t="s">
        <v>54</v>
      </c>
      <c r="Y2772" s="8" t="s">
        <v>54</v>
      </c>
      <c r="Z2772" s="8" t="s">
        <v>59</v>
      </c>
      <c r="AA2772" s="8" t="s">
        <v>59</v>
      </c>
      <c r="AB2772" s="10" t="s">
        <v>67</v>
      </c>
      <c r="AC2772" s="8" t="s">
        <v>59</v>
      </c>
      <c r="AD2772" s="8" t="s">
        <v>59</v>
      </c>
      <c r="AE2772" s="8" t="s">
        <v>54</v>
      </c>
      <c r="AF2772" s="12" t="s">
        <v>55</v>
      </c>
      <c r="AG2772" s="12" t="s">
        <v>55</v>
      </c>
      <c r="AH2772" s="12" t="s">
        <v>55</v>
      </c>
      <c r="AI2772" s="10" t="s">
        <v>67</v>
      </c>
      <c r="AJ2772" s="8">
        <f>COUNTIF($E$2772:$AI$2772,"P")</f>
        <v>16</v>
      </c>
      <c r="AK2772" s="8">
        <f>COUNTIF($E$2772:$AI$2772,"A")</f>
        <v>6</v>
      </c>
      <c r="AL2772" s="8">
        <f>SUM($E$2773:$AI$2773)</f>
        <v>20</v>
      </c>
      <c r="AM2772" s="8">
        <f>SUM($E$2774:$AI$2774)</f>
        <v>52</v>
      </c>
      <c r="AN2772" s="8">
        <f>AL2772+AM2772</f>
        <v>72</v>
      </c>
      <c r="AO2772" s="8">
        <f>COUNTIF($E$2772:$AI$2772,"CL")</f>
        <v>4</v>
      </c>
      <c r="AP2772" s="8">
        <f>COUNTIF($E$2772:$AI$2772,"SL")</f>
        <v>0</v>
      </c>
      <c r="AQ2772" s="8">
        <f>COUNTIF($E$2772:$AI$2772,"EL")</f>
        <v>0</v>
      </c>
      <c r="AR2772" s="8">
        <f>COUNTIF($E$2772:$AI$2772,"H")</f>
        <v>0</v>
      </c>
      <c r="AS2772" s="8"/>
      <c r="AT2772" s="11" t="s">
        <v>263</v>
      </c>
    </row>
    <row r="2773" spans="1:46" ht="15.1" customHeight="1">
      <c r="A2773" s="8"/>
      <c r="B2773" s="9"/>
      <c r="C2773" s="8"/>
      <c r="D2773" s="9"/>
      <c r="E2773" s="8">
        <v>2</v>
      </c>
      <c r="F2773" s="8">
        <v>2</v>
      </c>
      <c r="G2773" s="8">
        <v>0</v>
      </c>
      <c r="H2773" s="8">
        <v>2</v>
      </c>
      <c r="I2773" s="8">
        <v>0</v>
      </c>
      <c r="J2773" s="8">
        <v>0</v>
      </c>
      <c r="K2773" s="8">
        <v>0</v>
      </c>
      <c r="L2773" s="8">
        <v>2</v>
      </c>
      <c r="M2773" s="8">
        <v>2</v>
      </c>
      <c r="N2773" s="8">
        <v>0</v>
      </c>
      <c r="O2773" s="8">
        <v>2</v>
      </c>
      <c r="P2773" s="8">
        <v>2</v>
      </c>
      <c r="Q2773" s="8">
        <v>2</v>
      </c>
      <c r="R2773" s="8">
        <v>2</v>
      </c>
      <c r="S2773" s="8">
        <v>0</v>
      </c>
      <c r="T2773" s="8">
        <v>2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0</v>
      </c>
      <c r="AH2773" s="8">
        <v>0</v>
      </c>
      <c r="AI2773" s="8">
        <v>0</v>
      </c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11" t="s">
        <v>263</v>
      </c>
    </row>
    <row r="2774" spans="1:46" ht="15.1" customHeight="1">
      <c r="A2774" s="8"/>
      <c r="B2774" s="9"/>
      <c r="C2774" s="8"/>
      <c r="D2774" s="9"/>
      <c r="E2774" s="8">
        <v>9</v>
      </c>
      <c r="F2774" s="8">
        <v>2</v>
      </c>
      <c r="G2774" s="8">
        <v>0</v>
      </c>
      <c r="H2774" s="8">
        <v>3</v>
      </c>
      <c r="I2774" s="8">
        <v>0</v>
      </c>
      <c r="J2774" s="8">
        <v>0</v>
      </c>
      <c r="K2774" s="8">
        <v>0</v>
      </c>
      <c r="L2774" s="8">
        <v>5</v>
      </c>
      <c r="M2774" s="8">
        <v>5</v>
      </c>
      <c r="N2774" s="8">
        <v>0</v>
      </c>
      <c r="O2774" s="8">
        <v>3</v>
      </c>
      <c r="P2774" s="8">
        <v>10</v>
      </c>
      <c r="Q2774" s="8">
        <v>0</v>
      </c>
      <c r="R2774" s="8">
        <v>5</v>
      </c>
      <c r="S2774" s="8">
        <v>0</v>
      </c>
      <c r="T2774" s="8">
        <v>10</v>
      </c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8">
        <v>0</v>
      </c>
      <c r="AF2774" s="8">
        <v>0</v>
      </c>
      <c r="AG2774" s="8">
        <v>0</v>
      </c>
      <c r="AH2774" s="8">
        <v>0</v>
      </c>
      <c r="AI2774" s="8">
        <v>0</v>
      </c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11" t="s">
        <v>263</v>
      </c>
    </row>
    <row r="2775" spans="1:46" ht="15.1" customHeight="1">
      <c r="A2775" s="8">
        <v>924</v>
      </c>
      <c r="B2775" s="9" t="s">
        <v>717</v>
      </c>
      <c r="C2775" s="8" t="s">
        <v>2077</v>
      </c>
      <c r="D2775" s="9" t="s">
        <v>532</v>
      </c>
      <c r="E2775" s="8" t="s">
        <v>54</v>
      </c>
      <c r="F2775" s="8" t="s">
        <v>54</v>
      </c>
      <c r="G2775" s="10" t="s">
        <v>67</v>
      </c>
      <c r="H2775" s="8" t="s">
        <v>54</v>
      </c>
      <c r="I2775" s="8" t="s">
        <v>54</v>
      </c>
      <c r="J2775" s="8" t="s">
        <v>54</v>
      </c>
      <c r="K2775" s="8" t="s">
        <v>54</v>
      </c>
      <c r="L2775" s="8" t="s">
        <v>54</v>
      </c>
      <c r="M2775" s="8" t="s">
        <v>54</v>
      </c>
      <c r="N2775" s="10" t="s">
        <v>67</v>
      </c>
      <c r="O2775" s="8" t="s">
        <v>54</v>
      </c>
      <c r="P2775" s="8" t="s">
        <v>54</v>
      </c>
      <c r="Q2775" s="8" t="s">
        <v>54</v>
      </c>
      <c r="R2775" s="8" t="s">
        <v>54</v>
      </c>
      <c r="S2775" s="8" t="s">
        <v>59</v>
      </c>
      <c r="T2775" s="8" t="s">
        <v>59</v>
      </c>
      <c r="U2775" s="10" t="s">
        <v>67</v>
      </c>
      <c r="V2775" s="8" t="s">
        <v>59</v>
      </c>
      <c r="W2775" s="12" t="s">
        <v>55</v>
      </c>
      <c r="X2775" s="12" t="s">
        <v>55</v>
      </c>
      <c r="Y2775" s="8" t="s">
        <v>54</v>
      </c>
      <c r="Z2775" s="8" t="s">
        <v>54</v>
      </c>
      <c r="AA2775" s="8" t="s">
        <v>54</v>
      </c>
      <c r="AB2775" s="10" t="s">
        <v>67</v>
      </c>
      <c r="AC2775" s="8" t="s">
        <v>54</v>
      </c>
      <c r="AD2775" s="8" t="s">
        <v>54</v>
      </c>
      <c r="AE2775" s="8" t="s">
        <v>54</v>
      </c>
      <c r="AF2775" s="8" t="s">
        <v>54</v>
      </c>
      <c r="AG2775" s="8" t="s">
        <v>54</v>
      </c>
      <c r="AH2775" s="8" t="s">
        <v>54</v>
      </c>
      <c r="AI2775" s="10" t="s">
        <v>67</v>
      </c>
      <c r="AJ2775" s="8">
        <f>COUNTIF($E$2775:$AI$2775,"P")</f>
        <v>21</v>
      </c>
      <c r="AK2775" s="8">
        <f>COUNTIF($E$2775:$AI$2775,"A")</f>
        <v>2</v>
      </c>
      <c r="AL2775" s="8">
        <f>SUM($E$2776:$AI$2776)</f>
        <v>29</v>
      </c>
      <c r="AM2775" s="8">
        <f>SUM($E$2777:$AI$2777)</f>
        <v>49</v>
      </c>
      <c r="AN2775" s="8">
        <f>AL2775+AM2775</f>
        <v>77.5</v>
      </c>
      <c r="AO2775" s="8">
        <f>COUNTIF($E$2775:$AI$2775,"CL")</f>
        <v>3</v>
      </c>
      <c r="AP2775" s="8">
        <f>COUNTIF($E$2775:$AI$2775,"SL")</f>
        <v>0</v>
      </c>
      <c r="AQ2775" s="8">
        <f>COUNTIF($E$2775:$AI$2775,"EL")</f>
        <v>0</v>
      </c>
      <c r="AR2775" s="8">
        <f>COUNTIF($E$2775:$AI$2775,"H")</f>
        <v>0</v>
      </c>
      <c r="AS2775" s="8"/>
      <c r="AT2775" s="11" t="s">
        <v>263</v>
      </c>
    </row>
    <row r="2776" spans="1:46" ht="15.1" customHeight="1">
      <c r="A2776" s="8"/>
      <c r="B2776" s="9"/>
      <c r="C2776" s="8"/>
      <c r="D2776" s="9"/>
      <c r="E2776" s="8">
        <v>2</v>
      </c>
      <c r="F2776" s="8">
        <v>2</v>
      </c>
      <c r="G2776" s="8">
        <v>0</v>
      </c>
      <c r="H2776" s="8">
        <v>2</v>
      </c>
      <c r="I2776" s="8">
        <v>2</v>
      </c>
      <c r="J2776" s="8">
        <v>2</v>
      </c>
      <c r="K2776" s="8">
        <v>2</v>
      </c>
      <c r="L2776" s="8">
        <v>2</v>
      </c>
      <c r="M2776" s="8">
        <v>2</v>
      </c>
      <c r="N2776" s="8">
        <v>0</v>
      </c>
      <c r="O2776" s="8">
        <v>2</v>
      </c>
      <c r="P2776" s="8">
        <v>2</v>
      </c>
      <c r="Q2776" s="8">
        <v>2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2</v>
      </c>
      <c r="Z2776" s="8">
        <v>0</v>
      </c>
      <c r="AA2776" s="8">
        <v>1</v>
      </c>
      <c r="AB2776" s="8">
        <v>0</v>
      </c>
      <c r="AC2776" s="8">
        <v>0</v>
      </c>
      <c r="AD2776" s="8">
        <v>2</v>
      </c>
      <c r="AE2776" s="8">
        <v>2</v>
      </c>
      <c r="AF2776" s="8">
        <v>0</v>
      </c>
      <c r="AG2776" s="8">
        <v>0</v>
      </c>
      <c r="AH2776" s="8">
        <v>0</v>
      </c>
      <c r="AI2776" s="8">
        <v>0</v>
      </c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11" t="s">
        <v>263</v>
      </c>
    </row>
    <row r="2777" spans="1:46" ht="15.1" customHeight="1">
      <c r="A2777" s="8"/>
      <c r="B2777" s="9"/>
      <c r="C2777" s="8"/>
      <c r="D2777" s="9"/>
      <c r="E2777" s="8">
        <v>4</v>
      </c>
      <c r="F2777" s="8">
        <v>3</v>
      </c>
      <c r="G2777" s="8">
        <v>0</v>
      </c>
      <c r="H2777" s="8">
        <v>3</v>
      </c>
      <c r="I2777" s="8">
        <v>5</v>
      </c>
      <c r="J2777" s="8">
        <v>5</v>
      </c>
      <c r="K2777" s="8">
        <v>5</v>
      </c>
      <c r="L2777" s="8">
        <v>5</v>
      </c>
      <c r="M2777" s="8">
        <v>3</v>
      </c>
      <c r="N2777" s="8">
        <v>0</v>
      </c>
      <c r="O2777" s="8">
        <v>3</v>
      </c>
      <c r="P2777" s="8">
        <v>5</v>
      </c>
      <c r="Q2777" s="8">
        <v>5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3</v>
      </c>
      <c r="AE2777" s="8">
        <v>0</v>
      </c>
      <c r="AF2777" s="8">
        <v>0</v>
      </c>
      <c r="AG2777" s="8">
        <v>0</v>
      </c>
      <c r="AH2777" s="8">
        <v>0</v>
      </c>
      <c r="AI2777" s="8">
        <v>0</v>
      </c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11" t="s">
        <v>263</v>
      </c>
    </row>
    <row r="2778" spans="1:46" ht="15.1" customHeight="1">
      <c r="A2778" s="8">
        <v>925</v>
      </c>
      <c r="B2778" s="9" t="s">
        <v>2078</v>
      </c>
      <c r="C2778" s="8" t="s">
        <v>2079</v>
      </c>
      <c r="D2778" s="9" t="s">
        <v>532</v>
      </c>
      <c r="E2778" s="8" t="s">
        <v>54</v>
      </c>
      <c r="F2778" s="8" t="s">
        <v>54</v>
      </c>
      <c r="G2778" s="10" t="s">
        <v>67</v>
      </c>
      <c r="H2778" s="8" t="s">
        <v>54</v>
      </c>
      <c r="I2778" s="8" t="s">
        <v>54</v>
      </c>
      <c r="J2778" s="8" t="s">
        <v>54</v>
      </c>
      <c r="K2778" s="8" t="s">
        <v>54</v>
      </c>
      <c r="L2778" s="8" t="s">
        <v>54</v>
      </c>
      <c r="M2778" s="8" t="s">
        <v>54</v>
      </c>
      <c r="N2778" s="10" t="s">
        <v>67</v>
      </c>
      <c r="O2778" s="8" t="s">
        <v>54</v>
      </c>
      <c r="P2778" s="8" t="s">
        <v>54</v>
      </c>
      <c r="Q2778" s="8" t="s">
        <v>54</v>
      </c>
      <c r="R2778" s="8" t="s">
        <v>54</v>
      </c>
      <c r="S2778" s="12" t="s">
        <v>55</v>
      </c>
      <c r="T2778" s="8" t="s">
        <v>54</v>
      </c>
      <c r="U2778" s="10" t="s">
        <v>67</v>
      </c>
      <c r="V2778" s="8" t="s">
        <v>54</v>
      </c>
      <c r="W2778" s="8" t="s">
        <v>54</v>
      </c>
      <c r="X2778" s="8" t="s">
        <v>54</v>
      </c>
      <c r="Y2778" s="8" t="s">
        <v>54</v>
      </c>
      <c r="Z2778" s="8" t="s">
        <v>54</v>
      </c>
      <c r="AA2778" s="8" t="s">
        <v>54</v>
      </c>
      <c r="AB2778" s="10" t="s">
        <v>67</v>
      </c>
      <c r="AC2778" s="8" t="s">
        <v>54</v>
      </c>
      <c r="AD2778" s="8" t="s">
        <v>54</v>
      </c>
      <c r="AE2778" s="8" t="s">
        <v>54</v>
      </c>
      <c r="AF2778" s="8" t="s">
        <v>54</v>
      </c>
      <c r="AG2778" s="8" t="s">
        <v>54</v>
      </c>
      <c r="AH2778" s="8" t="s">
        <v>54</v>
      </c>
      <c r="AI2778" s="10" t="s">
        <v>67</v>
      </c>
      <c r="AJ2778" s="8">
        <f>COUNTIF($E$2778:$AI$2778,"P")</f>
        <v>25</v>
      </c>
      <c r="AK2778" s="8">
        <f>COUNTIF($E$2778:$AI$2778,"A")</f>
        <v>1</v>
      </c>
      <c r="AL2778" s="8">
        <f>SUM($E$2779:$AI$2779)</f>
        <v>28</v>
      </c>
      <c r="AM2778" s="8">
        <f>SUM($E$2780:$AI$2780)</f>
        <v>84</v>
      </c>
      <c r="AN2778" s="8">
        <f>AL2778+AM2778</f>
        <v>112</v>
      </c>
      <c r="AO2778" s="8">
        <f>COUNTIF($E$2778:$AI$2778,"CL")</f>
        <v>0</v>
      </c>
      <c r="AP2778" s="8">
        <f>COUNTIF($E$2778:$AI$2778,"SL")</f>
        <v>0</v>
      </c>
      <c r="AQ2778" s="8">
        <f>COUNTIF($E$2778:$AI$2778,"EL")</f>
        <v>0</v>
      </c>
      <c r="AR2778" s="8">
        <f>COUNTIF($E$2778:$AI$2778,"H")</f>
        <v>0</v>
      </c>
      <c r="AS2778" s="8"/>
      <c r="AT2778" s="11" t="s">
        <v>263</v>
      </c>
    </row>
    <row r="2779" spans="1:46" ht="15.1" customHeight="1">
      <c r="A2779" s="8"/>
      <c r="B2779" s="9"/>
      <c r="C2779" s="8"/>
      <c r="D2779" s="9"/>
      <c r="E2779" s="8">
        <v>0</v>
      </c>
      <c r="F2779" s="8">
        <v>0</v>
      </c>
      <c r="G2779" s="8">
        <v>0</v>
      </c>
      <c r="H2779" s="8">
        <v>2</v>
      </c>
      <c r="I2779" s="8">
        <v>0</v>
      </c>
      <c r="J2779" s="8">
        <v>2</v>
      </c>
      <c r="K2779" s="8">
        <v>2</v>
      </c>
      <c r="L2779" s="8">
        <v>2</v>
      </c>
      <c r="M2779" s="8">
        <v>2</v>
      </c>
      <c r="N2779" s="8">
        <v>0</v>
      </c>
      <c r="O2779" s="8">
        <v>2</v>
      </c>
      <c r="P2779" s="8">
        <v>2</v>
      </c>
      <c r="Q2779" s="8">
        <v>0</v>
      </c>
      <c r="R2779" s="8">
        <v>2</v>
      </c>
      <c r="S2779" s="8">
        <v>0</v>
      </c>
      <c r="T2779" s="8">
        <v>2</v>
      </c>
      <c r="U2779" s="8">
        <v>0</v>
      </c>
      <c r="V2779" s="8">
        <v>2</v>
      </c>
      <c r="W2779" s="8">
        <v>2</v>
      </c>
      <c r="X2779" s="8">
        <v>2</v>
      </c>
      <c r="Y2779" s="8">
        <v>2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2</v>
      </c>
      <c r="AF2779" s="8">
        <v>0</v>
      </c>
      <c r="AG2779" s="8">
        <v>0</v>
      </c>
      <c r="AH2779" s="8">
        <v>0</v>
      </c>
      <c r="AI2779" s="8">
        <v>0</v>
      </c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11" t="s">
        <v>263</v>
      </c>
    </row>
    <row r="2780" spans="1:46" ht="15.1" customHeight="1">
      <c r="A2780" s="8"/>
      <c r="B2780" s="9"/>
      <c r="C2780" s="8"/>
      <c r="D2780" s="9"/>
      <c r="E2780" s="8">
        <v>0</v>
      </c>
      <c r="F2780" s="8">
        <v>0</v>
      </c>
      <c r="G2780" s="8">
        <v>0</v>
      </c>
      <c r="H2780" s="8">
        <v>8</v>
      </c>
      <c r="I2780" s="8">
        <v>0</v>
      </c>
      <c r="J2780" s="8">
        <v>8</v>
      </c>
      <c r="K2780" s="8">
        <v>10</v>
      </c>
      <c r="L2780" s="8">
        <v>2</v>
      </c>
      <c r="M2780" s="8">
        <v>7</v>
      </c>
      <c r="N2780" s="8">
        <v>0</v>
      </c>
      <c r="O2780" s="8">
        <v>7</v>
      </c>
      <c r="P2780" s="8">
        <v>9</v>
      </c>
      <c r="Q2780" s="8">
        <v>0</v>
      </c>
      <c r="R2780" s="8">
        <v>7</v>
      </c>
      <c r="S2780" s="8">
        <v>0</v>
      </c>
      <c r="T2780" s="8">
        <v>10</v>
      </c>
      <c r="U2780" s="8">
        <v>0</v>
      </c>
      <c r="V2780" s="8">
        <v>0</v>
      </c>
      <c r="W2780" s="8">
        <v>7</v>
      </c>
      <c r="X2780" s="8">
        <v>9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8">
        <v>0</v>
      </c>
      <c r="AF2780" s="8">
        <v>0</v>
      </c>
      <c r="AG2780" s="8">
        <v>0</v>
      </c>
      <c r="AH2780" s="8">
        <v>0</v>
      </c>
      <c r="AI2780" s="8">
        <v>0</v>
      </c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11" t="s">
        <v>263</v>
      </c>
    </row>
    <row r="2781" spans="1:46" ht="15.1" customHeight="1">
      <c r="A2781" s="8">
        <v>926</v>
      </c>
      <c r="B2781" s="9" t="s">
        <v>2080</v>
      </c>
      <c r="C2781" s="8" t="s">
        <v>2081</v>
      </c>
      <c r="D2781" s="9" t="s">
        <v>532</v>
      </c>
      <c r="E2781" s="8" t="s">
        <v>54</v>
      </c>
      <c r="F2781" s="8" t="s">
        <v>54</v>
      </c>
      <c r="G2781" s="10" t="s">
        <v>67</v>
      </c>
      <c r="H2781" s="8" t="s">
        <v>54</v>
      </c>
      <c r="I2781" s="8" t="s">
        <v>54</v>
      </c>
      <c r="J2781" s="8" t="s">
        <v>54</v>
      </c>
      <c r="K2781" s="8" t="s">
        <v>54</v>
      </c>
      <c r="L2781" s="8" t="s">
        <v>54</v>
      </c>
      <c r="M2781" s="8" t="s">
        <v>54</v>
      </c>
      <c r="N2781" s="10" t="s">
        <v>67</v>
      </c>
      <c r="O2781" s="8" t="s">
        <v>54</v>
      </c>
      <c r="P2781" s="8" t="s">
        <v>54</v>
      </c>
      <c r="Q2781" s="8" t="s">
        <v>54</v>
      </c>
      <c r="R2781" s="8" t="s">
        <v>54</v>
      </c>
      <c r="S2781" s="8" t="s">
        <v>54</v>
      </c>
      <c r="T2781" s="8" t="s">
        <v>54</v>
      </c>
      <c r="U2781" s="10" t="s">
        <v>67</v>
      </c>
      <c r="V2781" s="8" t="s">
        <v>54</v>
      </c>
      <c r="W2781" s="8" t="s">
        <v>54</v>
      </c>
      <c r="X2781" s="8" t="s">
        <v>54</v>
      </c>
      <c r="Y2781" s="8" t="s">
        <v>54</v>
      </c>
      <c r="Z2781" s="8" t="s">
        <v>54</v>
      </c>
      <c r="AA2781" s="8" t="s">
        <v>54</v>
      </c>
      <c r="AB2781" s="10" t="s">
        <v>67</v>
      </c>
      <c r="AC2781" s="8" t="s">
        <v>54</v>
      </c>
      <c r="AD2781" s="8" t="s">
        <v>54</v>
      </c>
      <c r="AE2781" s="8" t="s">
        <v>54</v>
      </c>
      <c r="AF2781" s="8" t="s">
        <v>54</v>
      </c>
      <c r="AG2781" s="8" t="s">
        <v>54</v>
      </c>
      <c r="AH2781" s="8" t="s">
        <v>54</v>
      </c>
      <c r="AI2781" s="10" t="s">
        <v>67</v>
      </c>
      <c r="AJ2781" s="8">
        <f>COUNTIF($E$2781:$AI$2781,"P")</f>
        <v>26</v>
      </c>
      <c r="AK2781" s="8">
        <f>COUNTIF($E$2781:$AI$2781,"A")</f>
        <v>0</v>
      </c>
      <c r="AL2781" s="8">
        <f>SUM($E$2782:$AI$2782)</f>
        <v>36</v>
      </c>
      <c r="AM2781" s="8">
        <f>SUM($E$2783:$AI$2783)</f>
        <v>138.5</v>
      </c>
      <c r="AN2781" s="8">
        <f>AL2781+AM2781</f>
        <v>174.5</v>
      </c>
      <c r="AO2781" s="8">
        <f>COUNTIF($E$2781:$AI$2781,"CL")</f>
        <v>0</v>
      </c>
      <c r="AP2781" s="8">
        <f>COUNTIF($E$2781:$AI$2781,"SL")</f>
        <v>0</v>
      </c>
      <c r="AQ2781" s="8">
        <f>COUNTIF($E$2781:$AI$2781,"EL")</f>
        <v>0</v>
      </c>
      <c r="AR2781" s="8">
        <f>COUNTIF($E$2781:$AI$2781,"H")</f>
        <v>0</v>
      </c>
      <c r="AS2781" s="8"/>
      <c r="AT2781" s="11" t="s">
        <v>263</v>
      </c>
    </row>
    <row r="2782" spans="1:46" ht="15.1" customHeight="1">
      <c r="A2782" s="8"/>
      <c r="B2782" s="9"/>
      <c r="C2782" s="8"/>
      <c r="D2782" s="9"/>
      <c r="E2782" s="8">
        <v>2</v>
      </c>
      <c r="F2782" s="8">
        <v>2</v>
      </c>
      <c r="G2782" s="8">
        <v>0</v>
      </c>
      <c r="H2782" s="8">
        <v>0</v>
      </c>
      <c r="I2782" s="8">
        <v>2</v>
      </c>
      <c r="J2782" s="8">
        <v>2</v>
      </c>
      <c r="K2782" s="8">
        <v>2</v>
      </c>
      <c r="L2782" s="8">
        <v>2</v>
      </c>
      <c r="M2782" s="8">
        <v>2</v>
      </c>
      <c r="N2782" s="8">
        <v>0</v>
      </c>
      <c r="O2782" s="8">
        <v>2</v>
      </c>
      <c r="P2782" s="8">
        <v>2</v>
      </c>
      <c r="Q2782" s="8">
        <v>2</v>
      </c>
      <c r="R2782" s="8">
        <v>2</v>
      </c>
      <c r="S2782" s="8">
        <v>2</v>
      </c>
      <c r="T2782" s="8">
        <v>2</v>
      </c>
      <c r="U2782" s="8">
        <v>0</v>
      </c>
      <c r="V2782" s="8">
        <v>2</v>
      </c>
      <c r="W2782" s="8">
        <v>2</v>
      </c>
      <c r="X2782" s="8">
        <v>2</v>
      </c>
      <c r="Y2782" s="8">
        <v>2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2</v>
      </c>
      <c r="AF2782" s="8">
        <v>0</v>
      </c>
      <c r="AG2782" s="8">
        <v>0</v>
      </c>
      <c r="AH2782" s="8">
        <v>0</v>
      </c>
      <c r="AI2782" s="8">
        <v>0</v>
      </c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11" t="s">
        <v>263</v>
      </c>
    </row>
    <row r="2783" spans="1:46" ht="15.1" customHeight="1">
      <c r="A2783" s="8"/>
      <c r="B2783" s="9"/>
      <c r="C2783" s="8"/>
      <c r="D2783" s="9"/>
      <c r="E2783" s="8">
        <v>9</v>
      </c>
      <c r="F2783" s="8">
        <v>2</v>
      </c>
      <c r="G2783" s="8">
        <v>0</v>
      </c>
      <c r="H2783" s="8">
        <v>0</v>
      </c>
      <c r="I2783" s="8">
        <v>9.5</v>
      </c>
      <c r="J2783" s="8">
        <v>8</v>
      </c>
      <c r="K2783" s="8">
        <v>10</v>
      </c>
      <c r="L2783" s="8">
        <v>7</v>
      </c>
      <c r="M2783" s="8">
        <v>7</v>
      </c>
      <c r="N2783" s="8">
        <v>16</v>
      </c>
      <c r="O2783" s="8">
        <v>7</v>
      </c>
      <c r="P2783" s="8">
        <v>9</v>
      </c>
      <c r="Q2783" s="8">
        <v>9</v>
      </c>
      <c r="R2783" s="8">
        <v>5</v>
      </c>
      <c r="S2783" s="8">
        <v>9</v>
      </c>
      <c r="T2783" s="8">
        <v>9</v>
      </c>
      <c r="U2783" s="8">
        <v>0</v>
      </c>
      <c r="V2783" s="8">
        <v>9</v>
      </c>
      <c r="W2783" s="8">
        <v>10</v>
      </c>
      <c r="X2783" s="8">
        <v>3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11" t="s">
        <v>263</v>
      </c>
    </row>
    <row r="2784" spans="1:46" ht="15.1" customHeight="1">
      <c r="A2784" s="8">
        <v>927</v>
      </c>
      <c r="B2784" s="9" t="s">
        <v>2082</v>
      </c>
      <c r="C2784" s="8" t="s">
        <v>2083</v>
      </c>
      <c r="D2784" s="9" t="s">
        <v>532</v>
      </c>
      <c r="E2784" s="8" t="s">
        <v>54</v>
      </c>
      <c r="F2784" s="8" t="s">
        <v>54</v>
      </c>
      <c r="G2784" s="10" t="s">
        <v>67</v>
      </c>
      <c r="H2784" s="8" t="s">
        <v>54</v>
      </c>
      <c r="I2784" s="8" t="s">
        <v>54</v>
      </c>
      <c r="J2784" s="8" t="s">
        <v>54</v>
      </c>
      <c r="K2784" s="8" t="s">
        <v>54</v>
      </c>
      <c r="L2784" s="8" t="s">
        <v>54</v>
      </c>
      <c r="M2784" s="8" t="s">
        <v>54</v>
      </c>
      <c r="N2784" s="10" t="s">
        <v>67</v>
      </c>
      <c r="O2784" s="8" t="s">
        <v>54</v>
      </c>
      <c r="P2784" s="8" t="s">
        <v>54</v>
      </c>
      <c r="Q2784" s="8" t="s">
        <v>54</v>
      </c>
      <c r="R2784" s="8" t="s">
        <v>54</v>
      </c>
      <c r="S2784" s="8" t="s">
        <v>54</v>
      </c>
      <c r="T2784" s="8" t="s">
        <v>54</v>
      </c>
      <c r="U2784" s="10" t="s">
        <v>67</v>
      </c>
      <c r="V2784" s="8" t="s">
        <v>54</v>
      </c>
      <c r="W2784" s="8" t="s">
        <v>54</v>
      </c>
      <c r="X2784" s="8" t="s">
        <v>54</v>
      </c>
      <c r="Y2784" s="8" t="s">
        <v>54</v>
      </c>
      <c r="Z2784" s="8" t="s">
        <v>59</v>
      </c>
      <c r="AA2784" s="8" t="s">
        <v>59</v>
      </c>
      <c r="AB2784" s="10" t="s">
        <v>67</v>
      </c>
      <c r="AC2784" s="12" t="s">
        <v>55</v>
      </c>
      <c r="AD2784" s="8" t="s">
        <v>54</v>
      </c>
      <c r="AE2784" s="8" t="s">
        <v>54</v>
      </c>
      <c r="AF2784" s="8" t="s">
        <v>54</v>
      </c>
      <c r="AG2784" s="8" t="s">
        <v>54</v>
      </c>
      <c r="AH2784" s="8" t="s">
        <v>54</v>
      </c>
      <c r="AI2784" s="10" t="s">
        <v>67</v>
      </c>
      <c r="AJ2784" s="8">
        <f>COUNTIF($E$2784:$AI$2784,"P")</f>
        <v>23</v>
      </c>
      <c r="AK2784" s="8">
        <f>COUNTIF($E$2784:$AI$2784,"A")</f>
        <v>1</v>
      </c>
      <c r="AL2784" s="8">
        <f>SUM($E$2785:$AI$2785)</f>
        <v>36</v>
      </c>
      <c r="AM2784" s="8">
        <f>SUM($E$2786:$AI$2786)</f>
        <v>170.5</v>
      </c>
      <c r="AN2784" s="8">
        <f>AL2784+AM2784</f>
        <v>206.5</v>
      </c>
      <c r="AO2784" s="8">
        <f>COUNTIF($E$2784:$AI$2784,"CL")</f>
        <v>2</v>
      </c>
      <c r="AP2784" s="8">
        <f>COUNTIF($E$2784:$AI$2784,"SL")</f>
        <v>0</v>
      </c>
      <c r="AQ2784" s="8">
        <f>COUNTIF($E$2784:$AI$2784,"EL")</f>
        <v>0</v>
      </c>
      <c r="AR2784" s="8">
        <f>COUNTIF($E$2784:$AI$2784,"H")</f>
        <v>0</v>
      </c>
      <c r="AS2784" s="8"/>
      <c r="AT2784" s="11" t="s">
        <v>263</v>
      </c>
    </row>
    <row r="2785" spans="1:46" ht="15.1" customHeight="1">
      <c r="A2785" s="8"/>
      <c r="B2785" s="9"/>
      <c r="C2785" s="8"/>
      <c r="D2785" s="9"/>
      <c r="E2785" s="8">
        <v>2</v>
      </c>
      <c r="F2785" s="8">
        <v>2</v>
      </c>
      <c r="G2785" s="8">
        <v>0</v>
      </c>
      <c r="H2785" s="8">
        <v>2</v>
      </c>
      <c r="I2785" s="8">
        <v>2</v>
      </c>
      <c r="J2785" s="8">
        <v>2</v>
      </c>
      <c r="K2785" s="8">
        <v>2</v>
      </c>
      <c r="L2785" s="8">
        <v>2</v>
      </c>
      <c r="M2785" s="8">
        <v>2</v>
      </c>
      <c r="N2785" s="8">
        <v>0</v>
      </c>
      <c r="O2785" s="8">
        <v>2</v>
      </c>
      <c r="P2785" s="8">
        <v>2</v>
      </c>
      <c r="Q2785" s="8">
        <v>2</v>
      </c>
      <c r="R2785" s="8">
        <v>2</v>
      </c>
      <c r="S2785" s="8">
        <v>2</v>
      </c>
      <c r="T2785" s="8">
        <v>2</v>
      </c>
      <c r="U2785" s="8">
        <v>0</v>
      </c>
      <c r="V2785" s="8">
        <v>2</v>
      </c>
      <c r="W2785" s="8">
        <v>2</v>
      </c>
      <c r="X2785" s="8">
        <v>2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2</v>
      </c>
      <c r="AF2785" s="8">
        <v>0</v>
      </c>
      <c r="AG2785" s="8">
        <v>0</v>
      </c>
      <c r="AH2785" s="8">
        <v>0</v>
      </c>
      <c r="AI2785" s="8">
        <v>0</v>
      </c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11" t="s">
        <v>263</v>
      </c>
    </row>
    <row r="2786" spans="1:46" ht="15.1" customHeight="1">
      <c r="A2786" s="8"/>
      <c r="B2786" s="9"/>
      <c r="C2786" s="8"/>
      <c r="D2786" s="9"/>
      <c r="E2786" s="8">
        <v>8</v>
      </c>
      <c r="F2786" s="8">
        <v>5</v>
      </c>
      <c r="G2786" s="8">
        <v>15</v>
      </c>
      <c r="H2786" s="8">
        <v>8</v>
      </c>
      <c r="I2786" s="8">
        <v>5</v>
      </c>
      <c r="J2786" s="8">
        <v>9</v>
      </c>
      <c r="K2786" s="8">
        <v>8</v>
      </c>
      <c r="L2786" s="8">
        <v>6</v>
      </c>
      <c r="M2786" s="8">
        <v>6</v>
      </c>
      <c r="N2786" s="8">
        <v>16</v>
      </c>
      <c r="O2786" s="8">
        <v>7</v>
      </c>
      <c r="P2786" s="8">
        <v>9</v>
      </c>
      <c r="Q2786" s="8">
        <v>8</v>
      </c>
      <c r="R2786" s="8">
        <v>7</v>
      </c>
      <c r="S2786" s="8">
        <v>9</v>
      </c>
      <c r="T2786" s="8">
        <v>10</v>
      </c>
      <c r="U2786" s="8">
        <v>12</v>
      </c>
      <c r="V2786" s="8">
        <v>9</v>
      </c>
      <c r="W2786" s="8">
        <v>6.5</v>
      </c>
      <c r="X2786" s="8">
        <v>7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11" t="s">
        <v>263</v>
      </c>
    </row>
    <row r="2787" spans="1:46" ht="15.1" customHeight="1">
      <c r="A2787" s="8">
        <v>928</v>
      </c>
      <c r="B2787" s="9" t="s">
        <v>2084</v>
      </c>
      <c r="C2787" s="8" t="s">
        <v>2085</v>
      </c>
      <c r="D2787" s="9" t="s">
        <v>532</v>
      </c>
      <c r="E2787" s="8" t="s">
        <v>54</v>
      </c>
      <c r="F2787" s="8" t="s">
        <v>54</v>
      </c>
      <c r="G2787" s="10" t="s">
        <v>67</v>
      </c>
      <c r="H2787" s="8" t="s">
        <v>54</v>
      </c>
      <c r="I2787" s="8" t="s">
        <v>54</v>
      </c>
      <c r="J2787" s="8" t="s">
        <v>54</v>
      </c>
      <c r="K2787" s="8" t="s">
        <v>54</v>
      </c>
      <c r="L2787" s="8" t="s">
        <v>54</v>
      </c>
      <c r="M2787" s="8" t="s">
        <v>54</v>
      </c>
      <c r="N2787" s="10" t="s">
        <v>67</v>
      </c>
      <c r="O2787" s="8" t="s">
        <v>54</v>
      </c>
      <c r="P2787" s="8" t="s">
        <v>54</v>
      </c>
      <c r="Q2787" s="8" t="s">
        <v>54</v>
      </c>
      <c r="R2787" s="8" t="s">
        <v>54</v>
      </c>
      <c r="S2787" s="8" t="s">
        <v>54</v>
      </c>
      <c r="T2787" s="8" t="s">
        <v>54</v>
      </c>
      <c r="U2787" s="10" t="s">
        <v>67</v>
      </c>
      <c r="V2787" s="8" t="s">
        <v>54</v>
      </c>
      <c r="W2787" s="8" t="s">
        <v>54</v>
      </c>
      <c r="X2787" s="8" t="s">
        <v>54</v>
      </c>
      <c r="Y2787" s="8" t="s">
        <v>54</v>
      </c>
      <c r="Z2787" s="8" t="s">
        <v>54</v>
      </c>
      <c r="AA2787" s="8" t="s">
        <v>54</v>
      </c>
      <c r="AB2787" s="10" t="s">
        <v>67</v>
      </c>
      <c r="AC2787" s="8" t="s">
        <v>54</v>
      </c>
      <c r="AD2787" s="8" t="s">
        <v>54</v>
      </c>
      <c r="AE2787" s="8" t="s">
        <v>54</v>
      </c>
      <c r="AF2787" s="8" t="s">
        <v>54</v>
      </c>
      <c r="AG2787" s="8" t="s">
        <v>54</v>
      </c>
      <c r="AH2787" s="8" t="s">
        <v>54</v>
      </c>
      <c r="AI2787" s="10" t="s">
        <v>67</v>
      </c>
      <c r="AJ2787" s="8">
        <f>COUNTIF($E$2787:$AI$2787,"P")</f>
        <v>26</v>
      </c>
      <c r="AK2787" s="8">
        <f>COUNTIF($E$2787:$AI$2787,"A")</f>
        <v>0</v>
      </c>
      <c r="AL2787" s="8">
        <f>SUM($E$2788:$AI$2788)</f>
        <v>38</v>
      </c>
      <c r="AM2787" s="8">
        <f>SUM($E$2789:$AI$2789)</f>
        <v>186</v>
      </c>
      <c r="AN2787" s="8">
        <f>AL2787+AM2787</f>
        <v>224</v>
      </c>
      <c r="AO2787" s="8">
        <f>COUNTIF($E$2787:$AI$2787,"CL")</f>
        <v>0</v>
      </c>
      <c r="AP2787" s="8">
        <f>COUNTIF($E$2787:$AI$2787,"SL")</f>
        <v>0</v>
      </c>
      <c r="AQ2787" s="8">
        <f>COUNTIF($E$2787:$AI$2787,"EL")</f>
        <v>0</v>
      </c>
      <c r="AR2787" s="8">
        <f>COUNTIF($E$2787:$AI$2787,"H")</f>
        <v>0</v>
      </c>
      <c r="AS2787" s="8"/>
      <c r="AT2787" s="11" t="s">
        <v>263</v>
      </c>
    </row>
    <row r="2788" spans="1:46" ht="15.1" customHeight="1">
      <c r="A2788" s="8"/>
      <c r="B2788" s="9"/>
      <c r="C2788" s="8"/>
      <c r="D2788" s="9"/>
      <c r="E2788" s="8">
        <v>2</v>
      </c>
      <c r="F2788" s="8">
        <v>2</v>
      </c>
      <c r="G2788" s="8">
        <v>0</v>
      </c>
      <c r="H2788" s="8">
        <v>2</v>
      </c>
      <c r="I2788" s="8">
        <v>2</v>
      </c>
      <c r="J2788" s="8">
        <v>2</v>
      </c>
      <c r="K2788" s="8">
        <v>2</v>
      </c>
      <c r="L2788" s="8">
        <v>2</v>
      </c>
      <c r="M2788" s="8">
        <v>2</v>
      </c>
      <c r="N2788" s="8">
        <v>0</v>
      </c>
      <c r="O2788" s="8">
        <v>2</v>
      </c>
      <c r="P2788" s="8">
        <v>2</v>
      </c>
      <c r="Q2788" s="8">
        <v>2</v>
      </c>
      <c r="R2788" s="8">
        <v>2</v>
      </c>
      <c r="S2788" s="8">
        <v>2</v>
      </c>
      <c r="T2788" s="8">
        <v>2</v>
      </c>
      <c r="U2788" s="8">
        <v>0</v>
      </c>
      <c r="V2788" s="8">
        <v>2</v>
      </c>
      <c r="W2788" s="8">
        <v>2</v>
      </c>
      <c r="X2788" s="8">
        <v>2</v>
      </c>
      <c r="Y2788" s="8">
        <v>2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2</v>
      </c>
      <c r="AF2788" s="8">
        <v>0</v>
      </c>
      <c r="AG2788" s="8">
        <v>0</v>
      </c>
      <c r="AH2788" s="8">
        <v>0</v>
      </c>
      <c r="AI2788" s="8">
        <v>0</v>
      </c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11" t="s">
        <v>263</v>
      </c>
    </row>
    <row r="2789" spans="1:46" ht="15.1" customHeight="1">
      <c r="A2789" s="8"/>
      <c r="B2789" s="9"/>
      <c r="C2789" s="8"/>
      <c r="D2789" s="9"/>
      <c r="E2789" s="8">
        <v>10</v>
      </c>
      <c r="F2789" s="8">
        <v>6</v>
      </c>
      <c r="G2789" s="8">
        <v>15</v>
      </c>
      <c r="H2789" s="8">
        <v>9</v>
      </c>
      <c r="I2789" s="8">
        <v>9.5</v>
      </c>
      <c r="J2789" s="8">
        <v>8</v>
      </c>
      <c r="K2789" s="8">
        <v>10</v>
      </c>
      <c r="L2789" s="8">
        <v>8</v>
      </c>
      <c r="M2789" s="8">
        <v>7</v>
      </c>
      <c r="N2789" s="8">
        <v>16.5</v>
      </c>
      <c r="O2789" s="8">
        <v>7</v>
      </c>
      <c r="P2789" s="8">
        <v>9</v>
      </c>
      <c r="Q2789" s="8">
        <v>10</v>
      </c>
      <c r="R2789" s="8">
        <v>7</v>
      </c>
      <c r="S2789" s="8">
        <v>9</v>
      </c>
      <c r="T2789" s="8">
        <v>10</v>
      </c>
      <c r="U2789" s="8">
        <v>12</v>
      </c>
      <c r="V2789" s="8">
        <v>11</v>
      </c>
      <c r="W2789" s="8">
        <v>11</v>
      </c>
      <c r="X2789" s="8">
        <v>1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11" t="s">
        <v>263</v>
      </c>
    </row>
    <row r="2790" spans="1:46" ht="15.1" customHeight="1">
      <c r="A2790" s="8">
        <v>929</v>
      </c>
      <c r="B2790" s="9" t="s">
        <v>2086</v>
      </c>
      <c r="C2790" s="8" t="s">
        <v>2087</v>
      </c>
      <c r="D2790" s="9" t="s">
        <v>532</v>
      </c>
      <c r="E2790" s="8" t="s">
        <v>54</v>
      </c>
      <c r="F2790" s="8" t="s">
        <v>54</v>
      </c>
      <c r="G2790" s="10" t="s">
        <v>67</v>
      </c>
      <c r="H2790" s="8" t="s">
        <v>54</v>
      </c>
      <c r="I2790" s="8" t="s">
        <v>54</v>
      </c>
      <c r="J2790" s="8" t="s">
        <v>54</v>
      </c>
      <c r="K2790" s="8" t="s">
        <v>54</v>
      </c>
      <c r="L2790" s="8" t="s">
        <v>54</v>
      </c>
      <c r="M2790" s="12" t="s">
        <v>55</v>
      </c>
      <c r="N2790" s="10" t="s">
        <v>67</v>
      </c>
      <c r="O2790" s="8" t="s">
        <v>54</v>
      </c>
      <c r="P2790" s="8" t="s">
        <v>54</v>
      </c>
      <c r="Q2790" s="8" t="s">
        <v>54</v>
      </c>
      <c r="R2790" s="8" t="s">
        <v>54</v>
      </c>
      <c r="S2790" s="8" t="s">
        <v>54</v>
      </c>
      <c r="T2790" s="8" t="s">
        <v>54</v>
      </c>
      <c r="U2790" s="10" t="s">
        <v>67</v>
      </c>
      <c r="V2790" s="8" t="s">
        <v>54</v>
      </c>
      <c r="W2790" s="8" t="s">
        <v>54</v>
      </c>
      <c r="X2790" s="8" t="s">
        <v>54</v>
      </c>
      <c r="Y2790" s="8" t="s">
        <v>54</v>
      </c>
      <c r="Z2790" s="8" t="s">
        <v>54</v>
      </c>
      <c r="AA2790" s="8" t="s">
        <v>54</v>
      </c>
      <c r="AB2790" s="10" t="s">
        <v>67</v>
      </c>
      <c r="AC2790" s="8" t="s">
        <v>54</v>
      </c>
      <c r="AD2790" s="8" t="s">
        <v>54</v>
      </c>
      <c r="AE2790" s="8" t="s">
        <v>54</v>
      </c>
      <c r="AF2790" s="8" t="s">
        <v>54</v>
      </c>
      <c r="AG2790" s="8" t="s">
        <v>54</v>
      </c>
      <c r="AH2790" s="8" t="s">
        <v>54</v>
      </c>
      <c r="AI2790" s="10" t="s">
        <v>67</v>
      </c>
      <c r="AJ2790" s="8">
        <f>COUNTIF($E$2790:$AI$2790,"P")</f>
        <v>25</v>
      </c>
      <c r="AK2790" s="8">
        <f>COUNTIF($E$2790:$AI$2790,"A")</f>
        <v>1</v>
      </c>
      <c r="AL2790" s="8">
        <f>SUM($E$2791:$AI$2791)</f>
        <v>34</v>
      </c>
      <c r="AM2790" s="8">
        <f>SUM($E$2792:$AI$2792)</f>
        <v>132.5</v>
      </c>
      <c r="AN2790" s="8">
        <f>AL2790+AM2790</f>
        <v>166.5</v>
      </c>
      <c r="AO2790" s="8">
        <f>COUNTIF($E$2790:$AI$2790,"CL")</f>
        <v>0</v>
      </c>
      <c r="AP2790" s="8">
        <f>COUNTIF($E$2790:$AI$2790,"SL")</f>
        <v>0</v>
      </c>
      <c r="AQ2790" s="8">
        <f>COUNTIF($E$2790:$AI$2790,"EL")</f>
        <v>0</v>
      </c>
      <c r="AR2790" s="8">
        <f>COUNTIF($E$2790:$AI$2790,"H")</f>
        <v>0</v>
      </c>
      <c r="AS2790" s="8"/>
      <c r="AT2790" s="11" t="s">
        <v>263</v>
      </c>
    </row>
    <row r="2791" spans="1:46" ht="15.1" customHeight="1">
      <c r="A2791" s="8"/>
      <c r="B2791" s="9"/>
      <c r="C2791" s="8"/>
      <c r="D2791" s="9"/>
      <c r="E2791" s="8">
        <v>2</v>
      </c>
      <c r="F2791" s="8">
        <v>0</v>
      </c>
      <c r="G2791" s="8">
        <v>0</v>
      </c>
      <c r="H2791" s="8">
        <v>2</v>
      </c>
      <c r="I2791" s="8">
        <v>2</v>
      </c>
      <c r="J2791" s="8">
        <v>2</v>
      </c>
      <c r="K2791" s="8">
        <v>2</v>
      </c>
      <c r="L2791" s="8">
        <v>2</v>
      </c>
      <c r="M2791" s="8">
        <v>0</v>
      </c>
      <c r="N2791" s="8">
        <v>0</v>
      </c>
      <c r="O2791" s="8">
        <v>2</v>
      </c>
      <c r="P2791" s="8">
        <v>2</v>
      </c>
      <c r="Q2791" s="8">
        <v>2</v>
      </c>
      <c r="R2791" s="8">
        <v>2</v>
      </c>
      <c r="S2791" s="8">
        <v>2</v>
      </c>
      <c r="T2791" s="8">
        <v>2</v>
      </c>
      <c r="U2791" s="8">
        <v>0</v>
      </c>
      <c r="V2791" s="8">
        <v>2</v>
      </c>
      <c r="W2791" s="8">
        <v>2</v>
      </c>
      <c r="X2791" s="8">
        <v>2</v>
      </c>
      <c r="Y2791" s="8">
        <v>2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2</v>
      </c>
      <c r="AF2791" s="8">
        <v>0</v>
      </c>
      <c r="AG2791" s="8">
        <v>0</v>
      </c>
      <c r="AH2791" s="8">
        <v>0</v>
      </c>
      <c r="AI2791" s="8">
        <v>0</v>
      </c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11" t="s">
        <v>263</v>
      </c>
    </row>
    <row r="2792" spans="1:46" ht="15.1" customHeight="1">
      <c r="A2792" s="8"/>
      <c r="B2792" s="9"/>
      <c r="C2792" s="8"/>
      <c r="D2792" s="9"/>
      <c r="E2792" s="8">
        <v>9</v>
      </c>
      <c r="F2792" s="8">
        <v>0</v>
      </c>
      <c r="G2792" s="8">
        <v>0</v>
      </c>
      <c r="H2792" s="8">
        <v>3</v>
      </c>
      <c r="I2792" s="8">
        <v>9.5</v>
      </c>
      <c r="J2792" s="8">
        <v>11</v>
      </c>
      <c r="K2792" s="8">
        <v>10</v>
      </c>
      <c r="L2792" s="8">
        <v>5</v>
      </c>
      <c r="M2792" s="8">
        <v>0</v>
      </c>
      <c r="N2792" s="8">
        <v>0</v>
      </c>
      <c r="O2792" s="8">
        <v>7</v>
      </c>
      <c r="P2792" s="8">
        <v>9</v>
      </c>
      <c r="Q2792" s="8">
        <v>10</v>
      </c>
      <c r="R2792" s="8">
        <v>7</v>
      </c>
      <c r="S2792" s="8">
        <v>5</v>
      </c>
      <c r="T2792" s="8">
        <v>10</v>
      </c>
      <c r="U2792" s="8">
        <v>12</v>
      </c>
      <c r="V2792" s="8">
        <v>11</v>
      </c>
      <c r="W2792" s="8">
        <v>11</v>
      </c>
      <c r="X2792" s="8">
        <v>3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0</v>
      </c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11" t="s">
        <v>263</v>
      </c>
    </row>
  </sheetData>
  <sheetProtection password="EC95" sheet="1" objects="1" scenarios="1" formatColumns="0" formatRows="0" autoFilter="0"/>
  <autoFilter ref="A5:AT2792"/>
  <mergeCells count="13009">
    <mergeCell ref="A1:AS1"/>
    <mergeCell ref="A2:AS2"/>
    <mergeCell ref="A3:AS3"/>
    <mergeCell ref="A6:A8"/>
    <mergeCell ref="B6:B8"/>
    <mergeCell ref="C6:C8"/>
    <mergeCell ref="D6:D8"/>
    <mergeCell ref="AJ6:AJ8"/>
    <mergeCell ref="AK6:AK8"/>
    <mergeCell ref="AL6:AL8"/>
    <mergeCell ref="AM6:AM8"/>
    <mergeCell ref="AN6:AN8"/>
    <mergeCell ref="AO6:AO8"/>
    <mergeCell ref="AP6:AP8"/>
    <mergeCell ref="AQ6:AQ8"/>
    <mergeCell ref="AR6:AR8"/>
    <mergeCell ref="AS6:AS8"/>
    <mergeCell ref="A9:A11"/>
    <mergeCell ref="B9:B11"/>
    <mergeCell ref="C9:C11"/>
    <mergeCell ref="D9:D11"/>
    <mergeCell ref="AJ9:AJ11"/>
    <mergeCell ref="AK9:AK11"/>
    <mergeCell ref="AL9:AL11"/>
    <mergeCell ref="AM9:AM11"/>
    <mergeCell ref="AN9:AN11"/>
    <mergeCell ref="AO9:AO11"/>
    <mergeCell ref="AP9:AP11"/>
    <mergeCell ref="AQ9:AQ11"/>
    <mergeCell ref="AR9:AR11"/>
    <mergeCell ref="AS9:AS11"/>
    <mergeCell ref="A12:A14"/>
    <mergeCell ref="B12:B14"/>
    <mergeCell ref="C12:C14"/>
    <mergeCell ref="D12:D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15:A17"/>
    <mergeCell ref="B15:B17"/>
    <mergeCell ref="C15:C17"/>
    <mergeCell ref="D15:D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AR15:AR17"/>
    <mergeCell ref="AS15:AS17"/>
    <mergeCell ref="A18:A20"/>
    <mergeCell ref="B18:B20"/>
    <mergeCell ref="C18:C20"/>
    <mergeCell ref="D18:D20"/>
    <mergeCell ref="AJ18:AJ20"/>
    <mergeCell ref="AK18:AK20"/>
    <mergeCell ref="AL18:AL20"/>
    <mergeCell ref="AM18:AM20"/>
    <mergeCell ref="AN18:AN20"/>
    <mergeCell ref="AO18:AO20"/>
    <mergeCell ref="AP18:AP20"/>
    <mergeCell ref="AQ18:AQ20"/>
    <mergeCell ref="AR18:AR20"/>
    <mergeCell ref="AS18:AS20"/>
    <mergeCell ref="A21:A23"/>
    <mergeCell ref="B21:B23"/>
    <mergeCell ref="C21:C23"/>
    <mergeCell ref="D21:D23"/>
    <mergeCell ref="AJ21:AJ23"/>
    <mergeCell ref="AK21:AK23"/>
    <mergeCell ref="AL21:AL23"/>
    <mergeCell ref="AM21:AM23"/>
    <mergeCell ref="AN21:AN23"/>
    <mergeCell ref="AO21:AO23"/>
    <mergeCell ref="AP21:AP23"/>
    <mergeCell ref="AQ21:AQ23"/>
    <mergeCell ref="AR21:AR23"/>
    <mergeCell ref="AS21:AS23"/>
    <mergeCell ref="A24:A26"/>
    <mergeCell ref="B24:B26"/>
    <mergeCell ref="C24:C26"/>
    <mergeCell ref="D24:D26"/>
    <mergeCell ref="AJ24:AJ26"/>
    <mergeCell ref="AK24:AK26"/>
    <mergeCell ref="AL24:AL26"/>
    <mergeCell ref="AM24:AM26"/>
    <mergeCell ref="AN24:AN26"/>
    <mergeCell ref="AO24:AO26"/>
    <mergeCell ref="AP24:AP26"/>
    <mergeCell ref="AQ24:AQ26"/>
    <mergeCell ref="AR24:AR26"/>
    <mergeCell ref="AS24:AS26"/>
    <mergeCell ref="A27:A29"/>
    <mergeCell ref="B27:B29"/>
    <mergeCell ref="C27:C29"/>
    <mergeCell ref="D27:D29"/>
    <mergeCell ref="AJ27:AJ29"/>
    <mergeCell ref="AK27:AK29"/>
    <mergeCell ref="AL27:AL29"/>
    <mergeCell ref="AM27:AM29"/>
    <mergeCell ref="AN27:AN29"/>
    <mergeCell ref="AO27:AO29"/>
    <mergeCell ref="AP27:AP29"/>
    <mergeCell ref="AQ27:AQ29"/>
    <mergeCell ref="AR27:AR29"/>
    <mergeCell ref="AS27:AS29"/>
    <mergeCell ref="A30:A32"/>
    <mergeCell ref="B30:B32"/>
    <mergeCell ref="C30:C32"/>
    <mergeCell ref="D30:D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33:A35"/>
    <mergeCell ref="B33:B35"/>
    <mergeCell ref="C33:C35"/>
    <mergeCell ref="D33:D35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S33:AS35"/>
    <mergeCell ref="A36:A38"/>
    <mergeCell ref="B36:B38"/>
    <mergeCell ref="C36:C38"/>
    <mergeCell ref="D36:D38"/>
    <mergeCell ref="AJ36:AJ38"/>
    <mergeCell ref="AK36:AK38"/>
    <mergeCell ref="AL36:AL38"/>
    <mergeCell ref="AM36:AM38"/>
    <mergeCell ref="AN36:AN38"/>
    <mergeCell ref="AO36:AO38"/>
    <mergeCell ref="AP36:AP38"/>
    <mergeCell ref="AQ36:AQ38"/>
    <mergeCell ref="AR36:AR38"/>
    <mergeCell ref="AS36:AS38"/>
    <mergeCell ref="A39:A41"/>
    <mergeCell ref="B39:B41"/>
    <mergeCell ref="C39:C41"/>
    <mergeCell ref="D39:D41"/>
    <mergeCell ref="AJ39:AJ41"/>
    <mergeCell ref="AK39:AK41"/>
    <mergeCell ref="AL39:AL41"/>
    <mergeCell ref="AM39:AM41"/>
    <mergeCell ref="AN39:AN41"/>
    <mergeCell ref="AO39:AO41"/>
    <mergeCell ref="AP39:AP41"/>
    <mergeCell ref="AQ39:AQ41"/>
    <mergeCell ref="AR39:AR41"/>
    <mergeCell ref="AS39:AS41"/>
    <mergeCell ref="A42:A44"/>
    <mergeCell ref="B42:B44"/>
    <mergeCell ref="C42:C44"/>
    <mergeCell ref="D42:D44"/>
    <mergeCell ref="AJ42:AJ44"/>
    <mergeCell ref="AK42:AK44"/>
    <mergeCell ref="AL42:AL44"/>
    <mergeCell ref="AM42:AM44"/>
    <mergeCell ref="AN42:AN44"/>
    <mergeCell ref="AO42:AO44"/>
    <mergeCell ref="AP42:AP44"/>
    <mergeCell ref="AQ42:AQ44"/>
    <mergeCell ref="AR42:AR44"/>
    <mergeCell ref="AS42:AS44"/>
    <mergeCell ref="A45:A47"/>
    <mergeCell ref="B45:B47"/>
    <mergeCell ref="C45:C47"/>
    <mergeCell ref="D45:D47"/>
    <mergeCell ref="AJ45:AJ47"/>
    <mergeCell ref="AK45:AK47"/>
    <mergeCell ref="AL45:AL47"/>
    <mergeCell ref="AM45:AM47"/>
    <mergeCell ref="AN45:AN47"/>
    <mergeCell ref="AO45:AO47"/>
    <mergeCell ref="AP45:AP47"/>
    <mergeCell ref="AQ45:AQ47"/>
    <mergeCell ref="AR45:AR47"/>
    <mergeCell ref="AS45:AS47"/>
    <mergeCell ref="A48:A50"/>
    <mergeCell ref="B48:B50"/>
    <mergeCell ref="C48:C50"/>
    <mergeCell ref="D48:D50"/>
    <mergeCell ref="AJ48:AJ50"/>
    <mergeCell ref="AK48:AK50"/>
    <mergeCell ref="AL48:AL50"/>
    <mergeCell ref="AM48:AM50"/>
    <mergeCell ref="AN48:AN50"/>
    <mergeCell ref="AO48:AO50"/>
    <mergeCell ref="AP48:AP50"/>
    <mergeCell ref="AQ48:AQ50"/>
    <mergeCell ref="AR48:AR50"/>
    <mergeCell ref="AS48:AS50"/>
    <mergeCell ref="A51:A53"/>
    <mergeCell ref="B51:B53"/>
    <mergeCell ref="C51:C53"/>
    <mergeCell ref="D51:D53"/>
    <mergeCell ref="AJ51:AJ53"/>
    <mergeCell ref="AK51:AK53"/>
    <mergeCell ref="AL51:AL53"/>
    <mergeCell ref="AM51:AM53"/>
    <mergeCell ref="AN51:AN53"/>
    <mergeCell ref="AO51:AO53"/>
    <mergeCell ref="AP51:AP53"/>
    <mergeCell ref="AQ51:AQ53"/>
    <mergeCell ref="AR51:AR53"/>
    <mergeCell ref="AS51:AS53"/>
    <mergeCell ref="A54:A56"/>
    <mergeCell ref="B54:B56"/>
    <mergeCell ref="C54:C56"/>
    <mergeCell ref="D54:D56"/>
    <mergeCell ref="AJ54:AJ56"/>
    <mergeCell ref="AK54:AK56"/>
    <mergeCell ref="AL54:AL56"/>
    <mergeCell ref="AM54:AM56"/>
    <mergeCell ref="AN54:AN56"/>
    <mergeCell ref="AO54:AO56"/>
    <mergeCell ref="AP54:AP56"/>
    <mergeCell ref="AQ54:AQ56"/>
    <mergeCell ref="AR54:AR56"/>
    <mergeCell ref="AS54:AS56"/>
    <mergeCell ref="A57:A59"/>
    <mergeCell ref="B57:B59"/>
    <mergeCell ref="C57:C59"/>
    <mergeCell ref="D57:D59"/>
    <mergeCell ref="AJ57:AJ59"/>
    <mergeCell ref="AK57:AK59"/>
    <mergeCell ref="AL57:AL59"/>
    <mergeCell ref="AM57:AM59"/>
    <mergeCell ref="AN57:AN59"/>
    <mergeCell ref="AO57:AO59"/>
    <mergeCell ref="AP57:AP59"/>
    <mergeCell ref="AQ57:AQ59"/>
    <mergeCell ref="AR57:AR59"/>
    <mergeCell ref="AS57:AS59"/>
    <mergeCell ref="A60:A62"/>
    <mergeCell ref="B60:B62"/>
    <mergeCell ref="C60:C62"/>
    <mergeCell ref="D60:D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63:A65"/>
    <mergeCell ref="B63:B65"/>
    <mergeCell ref="C63:C65"/>
    <mergeCell ref="D63:D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66:A68"/>
    <mergeCell ref="B66:B68"/>
    <mergeCell ref="C66:C68"/>
    <mergeCell ref="D66:D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69:A71"/>
    <mergeCell ref="B69:B71"/>
    <mergeCell ref="C69:C71"/>
    <mergeCell ref="D69:D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72:A74"/>
    <mergeCell ref="B72:B74"/>
    <mergeCell ref="C72:C74"/>
    <mergeCell ref="D72:D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75:A77"/>
    <mergeCell ref="B75:B77"/>
    <mergeCell ref="C75:C77"/>
    <mergeCell ref="D75:D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78:A80"/>
    <mergeCell ref="B78:B80"/>
    <mergeCell ref="C78:C80"/>
    <mergeCell ref="D78:D80"/>
    <mergeCell ref="AJ78:AJ80"/>
    <mergeCell ref="AK78:AK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81:A83"/>
    <mergeCell ref="B81:B83"/>
    <mergeCell ref="C81:C83"/>
    <mergeCell ref="D81:D83"/>
    <mergeCell ref="AJ81:AJ83"/>
    <mergeCell ref="AK81:AK83"/>
    <mergeCell ref="AL81:AL83"/>
    <mergeCell ref="AM81:AM83"/>
    <mergeCell ref="AN81:AN83"/>
    <mergeCell ref="AO81:AO83"/>
    <mergeCell ref="AP81:AP83"/>
    <mergeCell ref="AQ81:AQ83"/>
    <mergeCell ref="AR81:AR83"/>
    <mergeCell ref="AS81:AS83"/>
    <mergeCell ref="A84:A86"/>
    <mergeCell ref="B84:B86"/>
    <mergeCell ref="C84:C86"/>
    <mergeCell ref="D84:D86"/>
    <mergeCell ref="AJ84:AJ86"/>
    <mergeCell ref="AK84:AK86"/>
    <mergeCell ref="AL84:AL86"/>
    <mergeCell ref="AM84:AM86"/>
    <mergeCell ref="AN84:AN86"/>
    <mergeCell ref="AO84:AO86"/>
    <mergeCell ref="AP84:AP86"/>
    <mergeCell ref="AQ84:AQ86"/>
    <mergeCell ref="AR84:AR86"/>
    <mergeCell ref="AS84:AS86"/>
    <mergeCell ref="A87:A89"/>
    <mergeCell ref="B87:B89"/>
    <mergeCell ref="C87:C89"/>
    <mergeCell ref="D87:D89"/>
    <mergeCell ref="AJ87:AJ89"/>
    <mergeCell ref="AK87:AK89"/>
    <mergeCell ref="AL87:AL89"/>
    <mergeCell ref="AM87:AM89"/>
    <mergeCell ref="AN87:AN89"/>
    <mergeCell ref="AO87:AO89"/>
    <mergeCell ref="AP87:AP89"/>
    <mergeCell ref="AQ87:AQ89"/>
    <mergeCell ref="AR87:AR89"/>
    <mergeCell ref="AS87:AS89"/>
    <mergeCell ref="A90:A92"/>
    <mergeCell ref="B90:B92"/>
    <mergeCell ref="C90:C92"/>
    <mergeCell ref="D90:D92"/>
    <mergeCell ref="AJ90:AJ92"/>
    <mergeCell ref="AK90:AK92"/>
    <mergeCell ref="AL90:AL92"/>
    <mergeCell ref="AM90:AM92"/>
    <mergeCell ref="AN90:AN92"/>
    <mergeCell ref="AO90:AO92"/>
    <mergeCell ref="AP90:AP92"/>
    <mergeCell ref="AQ90:AQ92"/>
    <mergeCell ref="AR90:AR92"/>
    <mergeCell ref="AS90:AS92"/>
    <mergeCell ref="A93:A95"/>
    <mergeCell ref="B93:B95"/>
    <mergeCell ref="C93:C95"/>
    <mergeCell ref="D93:D95"/>
    <mergeCell ref="AJ93:AJ95"/>
    <mergeCell ref="AK93:AK95"/>
    <mergeCell ref="AL93:AL95"/>
    <mergeCell ref="AM93:AM95"/>
    <mergeCell ref="AN93:AN95"/>
    <mergeCell ref="AO93:AO95"/>
    <mergeCell ref="AP93:AP95"/>
    <mergeCell ref="AQ93:AQ95"/>
    <mergeCell ref="AR93:AR95"/>
    <mergeCell ref="AS93:AS95"/>
    <mergeCell ref="A96:A98"/>
    <mergeCell ref="B96:B98"/>
    <mergeCell ref="C96:C98"/>
    <mergeCell ref="D96:D98"/>
    <mergeCell ref="AJ96:AJ98"/>
    <mergeCell ref="AK96:AK98"/>
    <mergeCell ref="AL96:AL98"/>
    <mergeCell ref="AM96:AM98"/>
    <mergeCell ref="AN96:AN98"/>
    <mergeCell ref="AO96:AO98"/>
    <mergeCell ref="AP96:AP98"/>
    <mergeCell ref="AQ96:AQ98"/>
    <mergeCell ref="AR96:AR98"/>
    <mergeCell ref="AS96:AS98"/>
    <mergeCell ref="A99:A101"/>
    <mergeCell ref="B99:B101"/>
    <mergeCell ref="C99:C101"/>
    <mergeCell ref="D99:D101"/>
    <mergeCell ref="AJ99:AJ101"/>
    <mergeCell ref="AK99:AK101"/>
    <mergeCell ref="AL99:AL101"/>
    <mergeCell ref="AM99:AM101"/>
    <mergeCell ref="AN99:AN101"/>
    <mergeCell ref="AO99:AO101"/>
    <mergeCell ref="AP99:AP101"/>
    <mergeCell ref="AQ99:AQ101"/>
    <mergeCell ref="AR99:AR101"/>
    <mergeCell ref="AS99:AS101"/>
    <mergeCell ref="A102:A104"/>
    <mergeCell ref="B102:B104"/>
    <mergeCell ref="C102:C104"/>
    <mergeCell ref="D102:D104"/>
    <mergeCell ref="AJ102:AJ104"/>
    <mergeCell ref="AK102:AK104"/>
    <mergeCell ref="AL102:AL104"/>
    <mergeCell ref="AM102:AM104"/>
    <mergeCell ref="AN102:AN104"/>
    <mergeCell ref="AO102:AO104"/>
    <mergeCell ref="AP102:AP104"/>
    <mergeCell ref="AQ102:AQ104"/>
    <mergeCell ref="AR102:AR104"/>
    <mergeCell ref="AS102:AS104"/>
    <mergeCell ref="A105:A107"/>
    <mergeCell ref="B105:B107"/>
    <mergeCell ref="C105:C107"/>
    <mergeCell ref="D105:D107"/>
    <mergeCell ref="AJ105:AJ107"/>
    <mergeCell ref="AK105:AK107"/>
    <mergeCell ref="AL105:AL107"/>
    <mergeCell ref="AM105:AM107"/>
    <mergeCell ref="AN105:AN107"/>
    <mergeCell ref="AO105:AO107"/>
    <mergeCell ref="AP105:AP107"/>
    <mergeCell ref="AQ105:AQ107"/>
    <mergeCell ref="AR105:AR107"/>
    <mergeCell ref="AS105:AS107"/>
    <mergeCell ref="A108:A110"/>
    <mergeCell ref="B108:B110"/>
    <mergeCell ref="C108:C110"/>
    <mergeCell ref="D108:D110"/>
    <mergeCell ref="AJ108:AJ110"/>
    <mergeCell ref="AK108:AK110"/>
    <mergeCell ref="AL108:AL110"/>
    <mergeCell ref="AM108:AM110"/>
    <mergeCell ref="AN108:AN110"/>
    <mergeCell ref="AO108:AO110"/>
    <mergeCell ref="AP108:AP110"/>
    <mergeCell ref="AQ108:AQ110"/>
    <mergeCell ref="AR108:AR110"/>
    <mergeCell ref="AS108:AS110"/>
    <mergeCell ref="A111:A113"/>
    <mergeCell ref="B111:B113"/>
    <mergeCell ref="C111:C113"/>
    <mergeCell ref="D111:D113"/>
    <mergeCell ref="AJ111:AJ113"/>
    <mergeCell ref="AK111:AK113"/>
    <mergeCell ref="AL111:AL113"/>
    <mergeCell ref="AM111:AM113"/>
    <mergeCell ref="AN111:AN113"/>
    <mergeCell ref="AO111:AO113"/>
    <mergeCell ref="AP111:AP113"/>
    <mergeCell ref="AQ111:AQ113"/>
    <mergeCell ref="AR111:AR113"/>
    <mergeCell ref="AS111:AS113"/>
    <mergeCell ref="A114:A116"/>
    <mergeCell ref="B114:B116"/>
    <mergeCell ref="C114:C116"/>
    <mergeCell ref="D114:D116"/>
    <mergeCell ref="AJ114:AJ116"/>
    <mergeCell ref="AK114:AK116"/>
    <mergeCell ref="AL114:AL116"/>
    <mergeCell ref="AM114:AM116"/>
    <mergeCell ref="AN114:AN116"/>
    <mergeCell ref="AO114:AO116"/>
    <mergeCell ref="AP114:AP116"/>
    <mergeCell ref="AQ114:AQ116"/>
    <mergeCell ref="AR114:AR116"/>
    <mergeCell ref="AS114:AS116"/>
    <mergeCell ref="A117:A119"/>
    <mergeCell ref="B117:B119"/>
    <mergeCell ref="C117:C119"/>
    <mergeCell ref="D117:D119"/>
    <mergeCell ref="AJ117:AJ119"/>
    <mergeCell ref="AK117:AK119"/>
    <mergeCell ref="AL117:AL119"/>
    <mergeCell ref="AM117:AM119"/>
    <mergeCell ref="AN117:AN119"/>
    <mergeCell ref="AO117:AO119"/>
    <mergeCell ref="AP117:AP119"/>
    <mergeCell ref="AQ117:AQ119"/>
    <mergeCell ref="AR117:AR119"/>
    <mergeCell ref="AS117:AS119"/>
    <mergeCell ref="A120:A122"/>
    <mergeCell ref="B120:B122"/>
    <mergeCell ref="C120:C122"/>
    <mergeCell ref="D120:D122"/>
    <mergeCell ref="AJ120:AJ122"/>
    <mergeCell ref="AK120:AK122"/>
    <mergeCell ref="AL120:AL122"/>
    <mergeCell ref="AM120:AM122"/>
    <mergeCell ref="AN120:AN122"/>
    <mergeCell ref="AO120:AO122"/>
    <mergeCell ref="AP120:AP122"/>
    <mergeCell ref="AQ120:AQ122"/>
    <mergeCell ref="AR120:AR122"/>
    <mergeCell ref="AS120:AS122"/>
    <mergeCell ref="A123:A125"/>
    <mergeCell ref="B123:B125"/>
    <mergeCell ref="C123:C125"/>
    <mergeCell ref="D123:D125"/>
    <mergeCell ref="AJ123:AJ125"/>
    <mergeCell ref="AK123:AK125"/>
    <mergeCell ref="AL123:AL125"/>
    <mergeCell ref="AM123:AM125"/>
    <mergeCell ref="AN123:AN125"/>
    <mergeCell ref="AO123:AO125"/>
    <mergeCell ref="AP123:AP125"/>
    <mergeCell ref="AQ123:AQ125"/>
    <mergeCell ref="AR123:AR125"/>
    <mergeCell ref="AS123:AS125"/>
    <mergeCell ref="A126:A128"/>
    <mergeCell ref="B126:B128"/>
    <mergeCell ref="C126:C128"/>
    <mergeCell ref="D126:D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129:A131"/>
    <mergeCell ref="B129:B131"/>
    <mergeCell ref="C129:C131"/>
    <mergeCell ref="D129:D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132:A134"/>
    <mergeCell ref="B132:B134"/>
    <mergeCell ref="C132:C134"/>
    <mergeCell ref="D132:D134"/>
    <mergeCell ref="AJ132:AJ134"/>
    <mergeCell ref="AK132:AK134"/>
    <mergeCell ref="AL132:AL134"/>
    <mergeCell ref="AM132:AM134"/>
    <mergeCell ref="AN132:AN134"/>
    <mergeCell ref="AO132:AO134"/>
    <mergeCell ref="AP132:AP134"/>
    <mergeCell ref="AQ132:AQ134"/>
    <mergeCell ref="AR132:AR134"/>
    <mergeCell ref="AS132:AS134"/>
    <mergeCell ref="A135:A137"/>
    <mergeCell ref="B135:B137"/>
    <mergeCell ref="C135:C137"/>
    <mergeCell ref="D135:D137"/>
    <mergeCell ref="AJ135:AJ137"/>
    <mergeCell ref="AK135:AK137"/>
    <mergeCell ref="AL135:AL137"/>
    <mergeCell ref="AM135:AM137"/>
    <mergeCell ref="AN135:AN137"/>
    <mergeCell ref="AO135:AO137"/>
    <mergeCell ref="AP135:AP137"/>
    <mergeCell ref="AQ135:AQ137"/>
    <mergeCell ref="AR135:AR137"/>
    <mergeCell ref="AS135:AS137"/>
    <mergeCell ref="A138:A140"/>
    <mergeCell ref="B138:B140"/>
    <mergeCell ref="C138:C140"/>
    <mergeCell ref="D138:D140"/>
    <mergeCell ref="AJ138:AJ140"/>
    <mergeCell ref="AK138:AK140"/>
    <mergeCell ref="AL138:AL140"/>
    <mergeCell ref="AM138:AM140"/>
    <mergeCell ref="AN138:AN140"/>
    <mergeCell ref="AO138:AO140"/>
    <mergeCell ref="AP138:AP140"/>
    <mergeCell ref="AQ138:AQ140"/>
    <mergeCell ref="AR138:AR140"/>
    <mergeCell ref="AS138:AS140"/>
    <mergeCell ref="A141:A143"/>
    <mergeCell ref="B141:B143"/>
    <mergeCell ref="C141:C143"/>
    <mergeCell ref="D141:D143"/>
    <mergeCell ref="AJ141:AJ143"/>
    <mergeCell ref="AK141:AK143"/>
    <mergeCell ref="AL141:AL143"/>
    <mergeCell ref="AM141:AM143"/>
    <mergeCell ref="AN141:AN143"/>
    <mergeCell ref="AO141:AO143"/>
    <mergeCell ref="AP141:AP143"/>
    <mergeCell ref="AQ141:AQ143"/>
    <mergeCell ref="AR141:AR143"/>
    <mergeCell ref="AS141:AS143"/>
    <mergeCell ref="A144:A146"/>
    <mergeCell ref="B144:B146"/>
    <mergeCell ref="C144:C146"/>
    <mergeCell ref="D144:D146"/>
    <mergeCell ref="AJ144:AJ146"/>
    <mergeCell ref="AK144:AK146"/>
    <mergeCell ref="AL144:AL146"/>
    <mergeCell ref="AM144:AM146"/>
    <mergeCell ref="AN144:AN146"/>
    <mergeCell ref="AO144:AO146"/>
    <mergeCell ref="AP144:AP146"/>
    <mergeCell ref="AQ144:AQ146"/>
    <mergeCell ref="AR144:AR146"/>
    <mergeCell ref="AS144:AS146"/>
    <mergeCell ref="A147:A149"/>
    <mergeCell ref="B147:B149"/>
    <mergeCell ref="C147:C149"/>
    <mergeCell ref="D147:D149"/>
    <mergeCell ref="AJ147:AJ149"/>
    <mergeCell ref="AK147:AK149"/>
    <mergeCell ref="AL147:AL149"/>
    <mergeCell ref="AM147:AM149"/>
    <mergeCell ref="AN147:AN149"/>
    <mergeCell ref="AO147:AO149"/>
    <mergeCell ref="AP147:AP149"/>
    <mergeCell ref="AQ147:AQ149"/>
    <mergeCell ref="AR147:AR149"/>
    <mergeCell ref="AS147:AS149"/>
    <mergeCell ref="A150:A152"/>
    <mergeCell ref="B150:B152"/>
    <mergeCell ref="C150:C152"/>
    <mergeCell ref="D150:D152"/>
    <mergeCell ref="AJ150:AJ152"/>
    <mergeCell ref="AK150:AK152"/>
    <mergeCell ref="AL150:AL152"/>
    <mergeCell ref="AM150:AM152"/>
    <mergeCell ref="AN150:AN152"/>
    <mergeCell ref="AO150:AO152"/>
    <mergeCell ref="AP150:AP152"/>
    <mergeCell ref="AQ150:AQ152"/>
    <mergeCell ref="AR150:AR152"/>
    <mergeCell ref="AS150:AS152"/>
    <mergeCell ref="A153:A155"/>
    <mergeCell ref="B153:B155"/>
    <mergeCell ref="C153:C155"/>
    <mergeCell ref="D153:D155"/>
    <mergeCell ref="AJ153:AJ155"/>
    <mergeCell ref="AK153:AK155"/>
    <mergeCell ref="AL153:AL155"/>
    <mergeCell ref="AM153:AM155"/>
    <mergeCell ref="AN153:AN155"/>
    <mergeCell ref="AO153:AO155"/>
    <mergeCell ref="AP153:AP155"/>
    <mergeCell ref="AQ153:AQ155"/>
    <mergeCell ref="AR153:AR155"/>
    <mergeCell ref="AS153:AS155"/>
    <mergeCell ref="A156:A158"/>
    <mergeCell ref="B156:B158"/>
    <mergeCell ref="C156:C158"/>
    <mergeCell ref="D156:D158"/>
    <mergeCell ref="AJ156:AJ158"/>
    <mergeCell ref="AK156:AK158"/>
    <mergeCell ref="AL156:AL158"/>
    <mergeCell ref="AM156:AM158"/>
    <mergeCell ref="AN156:AN158"/>
    <mergeCell ref="AO156:AO158"/>
    <mergeCell ref="AP156:AP158"/>
    <mergeCell ref="AQ156:AQ158"/>
    <mergeCell ref="AR156:AR158"/>
    <mergeCell ref="AS156:AS158"/>
    <mergeCell ref="A159:A161"/>
    <mergeCell ref="B159:B161"/>
    <mergeCell ref="C159:C161"/>
    <mergeCell ref="D159:D161"/>
    <mergeCell ref="AJ159:AJ161"/>
    <mergeCell ref="AK159:AK161"/>
    <mergeCell ref="AL159:AL161"/>
    <mergeCell ref="AM159:AM161"/>
    <mergeCell ref="AN159:AN161"/>
    <mergeCell ref="AO159:AO161"/>
    <mergeCell ref="AP159:AP161"/>
    <mergeCell ref="AQ159:AQ161"/>
    <mergeCell ref="AR159:AR161"/>
    <mergeCell ref="AS159:AS161"/>
    <mergeCell ref="A162:A164"/>
    <mergeCell ref="B162:B164"/>
    <mergeCell ref="C162:C164"/>
    <mergeCell ref="D162:D164"/>
    <mergeCell ref="AJ162:AJ164"/>
    <mergeCell ref="AK162:AK164"/>
    <mergeCell ref="AL162:AL164"/>
    <mergeCell ref="AM162:AM164"/>
    <mergeCell ref="AN162:AN164"/>
    <mergeCell ref="AO162:AO164"/>
    <mergeCell ref="AP162:AP164"/>
    <mergeCell ref="AQ162:AQ164"/>
    <mergeCell ref="AR162:AR164"/>
    <mergeCell ref="AS162:AS164"/>
    <mergeCell ref="A165:A167"/>
    <mergeCell ref="B165:B167"/>
    <mergeCell ref="C165:C167"/>
    <mergeCell ref="D165:D167"/>
    <mergeCell ref="AJ165:AJ167"/>
    <mergeCell ref="AK165:AK167"/>
    <mergeCell ref="AL165:AL167"/>
    <mergeCell ref="AM165:AM167"/>
    <mergeCell ref="AN165:AN167"/>
    <mergeCell ref="AO165:AO167"/>
    <mergeCell ref="AP165:AP167"/>
    <mergeCell ref="AQ165:AQ167"/>
    <mergeCell ref="AR165:AR167"/>
    <mergeCell ref="AS165:AS167"/>
    <mergeCell ref="A168:A170"/>
    <mergeCell ref="B168:B170"/>
    <mergeCell ref="C168:C170"/>
    <mergeCell ref="D168:D170"/>
    <mergeCell ref="AJ168:AJ170"/>
    <mergeCell ref="AK168:AK170"/>
    <mergeCell ref="AL168:AL170"/>
    <mergeCell ref="AM168:AM170"/>
    <mergeCell ref="AN168:AN170"/>
    <mergeCell ref="AO168:AO170"/>
    <mergeCell ref="AP168:AP170"/>
    <mergeCell ref="AQ168:AQ170"/>
    <mergeCell ref="AR168:AR170"/>
    <mergeCell ref="AS168:AS170"/>
    <mergeCell ref="A171:A173"/>
    <mergeCell ref="B171:B173"/>
    <mergeCell ref="C171:C173"/>
    <mergeCell ref="D171:D173"/>
    <mergeCell ref="AJ171:AJ173"/>
    <mergeCell ref="AK171:AK173"/>
    <mergeCell ref="AL171:AL173"/>
    <mergeCell ref="AM171:AM173"/>
    <mergeCell ref="AN171:AN173"/>
    <mergeCell ref="AO171:AO173"/>
    <mergeCell ref="AP171:AP173"/>
    <mergeCell ref="AQ171:AQ173"/>
    <mergeCell ref="AR171:AR173"/>
    <mergeCell ref="AS171:AS173"/>
    <mergeCell ref="A174:A176"/>
    <mergeCell ref="B174:B176"/>
    <mergeCell ref="C174:C176"/>
    <mergeCell ref="D174:D176"/>
    <mergeCell ref="AJ174:AJ176"/>
    <mergeCell ref="AK174:AK176"/>
    <mergeCell ref="AL174:AL176"/>
    <mergeCell ref="AM174:AM176"/>
    <mergeCell ref="AN174:AN176"/>
    <mergeCell ref="AO174:AO176"/>
    <mergeCell ref="AP174:AP176"/>
    <mergeCell ref="AQ174:AQ176"/>
    <mergeCell ref="AR174:AR176"/>
    <mergeCell ref="AS174:AS176"/>
    <mergeCell ref="A177:A179"/>
    <mergeCell ref="B177:B179"/>
    <mergeCell ref="C177:C179"/>
    <mergeCell ref="D177:D179"/>
    <mergeCell ref="AJ177:AJ179"/>
    <mergeCell ref="AK177:AK179"/>
    <mergeCell ref="AL177:AL179"/>
    <mergeCell ref="AM177:AM179"/>
    <mergeCell ref="AN177:AN179"/>
    <mergeCell ref="AO177:AO179"/>
    <mergeCell ref="AP177:AP179"/>
    <mergeCell ref="AQ177:AQ179"/>
    <mergeCell ref="AR177:AR179"/>
    <mergeCell ref="AS177:AS179"/>
    <mergeCell ref="A180:A182"/>
    <mergeCell ref="B180:B182"/>
    <mergeCell ref="C180:C182"/>
    <mergeCell ref="D180:D182"/>
    <mergeCell ref="AJ180:AJ182"/>
    <mergeCell ref="AK180:AK182"/>
    <mergeCell ref="AL180:AL182"/>
    <mergeCell ref="AM180:AM182"/>
    <mergeCell ref="AN180:AN182"/>
    <mergeCell ref="AO180:AO182"/>
    <mergeCell ref="AP180:AP182"/>
    <mergeCell ref="AQ180:AQ182"/>
    <mergeCell ref="AR180:AR182"/>
    <mergeCell ref="AS180:AS182"/>
    <mergeCell ref="A183:A185"/>
    <mergeCell ref="B183:B185"/>
    <mergeCell ref="C183:C185"/>
    <mergeCell ref="D183:D185"/>
    <mergeCell ref="AJ183:AJ185"/>
    <mergeCell ref="AK183:AK185"/>
    <mergeCell ref="AL183:AL185"/>
    <mergeCell ref="AM183:AM185"/>
    <mergeCell ref="AN183:AN185"/>
    <mergeCell ref="AO183:AO185"/>
    <mergeCell ref="AP183:AP185"/>
    <mergeCell ref="AQ183:AQ185"/>
    <mergeCell ref="AR183:AR185"/>
    <mergeCell ref="AS183:AS185"/>
    <mergeCell ref="A186:A188"/>
    <mergeCell ref="B186:B188"/>
    <mergeCell ref="C186:C188"/>
    <mergeCell ref="D186:D188"/>
    <mergeCell ref="AJ186:AJ188"/>
    <mergeCell ref="AK186:AK188"/>
    <mergeCell ref="AL186:AL188"/>
    <mergeCell ref="AM186:AM188"/>
    <mergeCell ref="AN186:AN188"/>
    <mergeCell ref="AO186:AO188"/>
    <mergeCell ref="AP186:AP188"/>
    <mergeCell ref="AQ186:AQ188"/>
    <mergeCell ref="AR186:AR188"/>
    <mergeCell ref="AS186:AS188"/>
    <mergeCell ref="A189:A191"/>
    <mergeCell ref="B189:B191"/>
    <mergeCell ref="C189:C191"/>
    <mergeCell ref="D189:D191"/>
    <mergeCell ref="AJ189:AJ191"/>
    <mergeCell ref="AK189:AK191"/>
    <mergeCell ref="AL189:AL191"/>
    <mergeCell ref="AM189:AM191"/>
    <mergeCell ref="AN189:AN191"/>
    <mergeCell ref="AO189:AO191"/>
    <mergeCell ref="AP189:AP191"/>
    <mergeCell ref="AQ189:AQ191"/>
    <mergeCell ref="AR189:AR191"/>
    <mergeCell ref="AS189:AS191"/>
    <mergeCell ref="A192:A194"/>
    <mergeCell ref="B192:B194"/>
    <mergeCell ref="C192:C194"/>
    <mergeCell ref="D192:D194"/>
    <mergeCell ref="AJ192:AJ194"/>
    <mergeCell ref="AK192:AK194"/>
    <mergeCell ref="AL192:AL194"/>
    <mergeCell ref="AM192:AM194"/>
    <mergeCell ref="AN192:AN194"/>
    <mergeCell ref="AO192:AO194"/>
    <mergeCell ref="AP192:AP194"/>
    <mergeCell ref="AQ192:AQ194"/>
    <mergeCell ref="AR192:AR194"/>
    <mergeCell ref="AS192:AS194"/>
    <mergeCell ref="A195:A197"/>
    <mergeCell ref="B195:B197"/>
    <mergeCell ref="C195:C197"/>
    <mergeCell ref="D195:D197"/>
    <mergeCell ref="AJ195:AJ197"/>
    <mergeCell ref="AK195:AK197"/>
    <mergeCell ref="AL195:AL197"/>
    <mergeCell ref="AM195:AM197"/>
    <mergeCell ref="AN195:AN197"/>
    <mergeCell ref="AO195:AO197"/>
    <mergeCell ref="AP195:AP197"/>
    <mergeCell ref="AQ195:AQ197"/>
    <mergeCell ref="AR195:AR197"/>
    <mergeCell ref="AS195:AS197"/>
    <mergeCell ref="A198:A200"/>
    <mergeCell ref="B198:B200"/>
    <mergeCell ref="C198:C200"/>
    <mergeCell ref="D198:D200"/>
    <mergeCell ref="AJ198:AJ200"/>
    <mergeCell ref="AK198:AK200"/>
    <mergeCell ref="AL198:AL200"/>
    <mergeCell ref="AM198:AM200"/>
    <mergeCell ref="AN198:AN200"/>
    <mergeCell ref="AO198:AO200"/>
    <mergeCell ref="AP198:AP200"/>
    <mergeCell ref="AQ198:AQ200"/>
    <mergeCell ref="AR198:AR200"/>
    <mergeCell ref="AS198:AS200"/>
    <mergeCell ref="A201:A203"/>
    <mergeCell ref="B201:B203"/>
    <mergeCell ref="C201:C203"/>
    <mergeCell ref="D201:D203"/>
    <mergeCell ref="AJ201:AJ203"/>
    <mergeCell ref="AK201:AK203"/>
    <mergeCell ref="AL201:AL203"/>
    <mergeCell ref="AM201:AM203"/>
    <mergeCell ref="AN201:AN203"/>
    <mergeCell ref="AO201:AO203"/>
    <mergeCell ref="AP201:AP203"/>
    <mergeCell ref="AQ201:AQ203"/>
    <mergeCell ref="AR201:AR203"/>
    <mergeCell ref="AS201:AS203"/>
    <mergeCell ref="A204:A206"/>
    <mergeCell ref="B204:B206"/>
    <mergeCell ref="C204:C206"/>
    <mergeCell ref="D204:D206"/>
    <mergeCell ref="AJ204:AJ206"/>
    <mergeCell ref="AK204:AK206"/>
    <mergeCell ref="AL204:AL206"/>
    <mergeCell ref="AM204:AM206"/>
    <mergeCell ref="AN204:AN206"/>
    <mergeCell ref="AO204:AO206"/>
    <mergeCell ref="AP204:AP206"/>
    <mergeCell ref="AQ204:AQ206"/>
    <mergeCell ref="AR204:AR206"/>
    <mergeCell ref="AS204:AS206"/>
    <mergeCell ref="A207:A209"/>
    <mergeCell ref="B207:B209"/>
    <mergeCell ref="C207:C209"/>
    <mergeCell ref="D207:D209"/>
    <mergeCell ref="AJ207:AJ209"/>
    <mergeCell ref="AK207:AK209"/>
    <mergeCell ref="AL207:AL209"/>
    <mergeCell ref="AM207:AM209"/>
    <mergeCell ref="AN207:AN209"/>
    <mergeCell ref="AO207:AO209"/>
    <mergeCell ref="AP207:AP209"/>
    <mergeCell ref="AQ207:AQ209"/>
    <mergeCell ref="AR207:AR209"/>
    <mergeCell ref="AS207:AS209"/>
    <mergeCell ref="A210:A212"/>
    <mergeCell ref="B210:B212"/>
    <mergeCell ref="C210:C212"/>
    <mergeCell ref="D210:D212"/>
    <mergeCell ref="AJ210:AJ212"/>
    <mergeCell ref="AK210:AK212"/>
    <mergeCell ref="AL210:AL212"/>
    <mergeCell ref="AM210:AM212"/>
    <mergeCell ref="AN210:AN212"/>
    <mergeCell ref="AO210:AO212"/>
    <mergeCell ref="AP210:AP212"/>
    <mergeCell ref="AQ210:AQ212"/>
    <mergeCell ref="AR210:AR212"/>
    <mergeCell ref="AS210:AS212"/>
    <mergeCell ref="A213:A215"/>
    <mergeCell ref="B213:B215"/>
    <mergeCell ref="C213:C215"/>
    <mergeCell ref="D213:D215"/>
    <mergeCell ref="AJ213:AJ215"/>
    <mergeCell ref="AK213:AK215"/>
    <mergeCell ref="AL213:AL215"/>
    <mergeCell ref="AM213:AM215"/>
    <mergeCell ref="AN213:AN215"/>
    <mergeCell ref="AO213:AO215"/>
    <mergeCell ref="AP213:AP215"/>
    <mergeCell ref="AQ213:AQ215"/>
    <mergeCell ref="AR213:AR215"/>
    <mergeCell ref="AS213:AS215"/>
    <mergeCell ref="A216:A218"/>
    <mergeCell ref="B216:B218"/>
    <mergeCell ref="C216:C218"/>
    <mergeCell ref="D216:D218"/>
    <mergeCell ref="AJ216:AJ218"/>
    <mergeCell ref="AK216:AK218"/>
    <mergeCell ref="AL216:AL218"/>
    <mergeCell ref="AM216:AM218"/>
    <mergeCell ref="AN216:AN218"/>
    <mergeCell ref="AO216:AO218"/>
    <mergeCell ref="AP216:AP218"/>
    <mergeCell ref="AQ216:AQ218"/>
    <mergeCell ref="AR216:AR218"/>
    <mergeCell ref="AS216:AS218"/>
    <mergeCell ref="A219:A221"/>
    <mergeCell ref="B219:B221"/>
    <mergeCell ref="C219:C221"/>
    <mergeCell ref="D219:D221"/>
    <mergeCell ref="AJ219:AJ221"/>
    <mergeCell ref="AK219:AK221"/>
    <mergeCell ref="AL219:AL221"/>
    <mergeCell ref="AM219:AM221"/>
    <mergeCell ref="AN219:AN221"/>
    <mergeCell ref="AO219:AO221"/>
    <mergeCell ref="AP219:AP221"/>
    <mergeCell ref="AQ219:AQ221"/>
    <mergeCell ref="AR219:AR221"/>
    <mergeCell ref="AS219:AS221"/>
    <mergeCell ref="A222:A224"/>
    <mergeCell ref="B222:B224"/>
    <mergeCell ref="C222:C224"/>
    <mergeCell ref="D222:D224"/>
    <mergeCell ref="AJ222:AJ224"/>
    <mergeCell ref="AK222:AK224"/>
    <mergeCell ref="AL222:AL224"/>
    <mergeCell ref="AM222:AM224"/>
    <mergeCell ref="AN222:AN224"/>
    <mergeCell ref="AO222:AO224"/>
    <mergeCell ref="AP222:AP224"/>
    <mergeCell ref="AQ222:AQ224"/>
    <mergeCell ref="AR222:AR224"/>
    <mergeCell ref="AS222:AS224"/>
    <mergeCell ref="A225:A227"/>
    <mergeCell ref="B225:B227"/>
    <mergeCell ref="C225:C227"/>
    <mergeCell ref="D225:D227"/>
    <mergeCell ref="AJ225:AJ227"/>
    <mergeCell ref="AK225:AK227"/>
    <mergeCell ref="AL225:AL227"/>
    <mergeCell ref="AM225:AM227"/>
    <mergeCell ref="AN225:AN227"/>
    <mergeCell ref="AO225:AO227"/>
    <mergeCell ref="AP225:AP227"/>
    <mergeCell ref="AQ225:AQ227"/>
    <mergeCell ref="AR225:AR227"/>
    <mergeCell ref="AS225:AS227"/>
    <mergeCell ref="A228:A230"/>
    <mergeCell ref="B228:B230"/>
    <mergeCell ref="C228:C230"/>
    <mergeCell ref="D228:D230"/>
    <mergeCell ref="AJ228:AJ230"/>
    <mergeCell ref="AK228:AK230"/>
    <mergeCell ref="AL228:AL230"/>
    <mergeCell ref="AM228:AM230"/>
    <mergeCell ref="AN228:AN230"/>
    <mergeCell ref="AO228:AO230"/>
    <mergeCell ref="AP228:AP230"/>
    <mergeCell ref="AQ228:AQ230"/>
    <mergeCell ref="AR228:AR230"/>
    <mergeCell ref="AS228:AS230"/>
    <mergeCell ref="A231:A233"/>
    <mergeCell ref="B231:B233"/>
    <mergeCell ref="C231:C233"/>
    <mergeCell ref="D231:D233"/>
    <mergeCell ref="AJ231:AJ233"/>
    <mergeCell ref="AK231:AK233"/>
    <mergeCell ref="AL231:AL233"/>
    <mergeCell ref="AM231:AM233"/>
    <mergeCell ref="AN231:AN233"/>
    <mergeCell ref="AO231:AO233"/>
    <mergeCell ref="AP231:AP233"/>
    <mergeCell ref="AQ231:AQ233"/>
    <mergeCell ref="AR231:AR233"/>
    <mergeCell ref="AS231:AS233"/>
    <mergeCell ref="A234:A236"/>
    <mergeCell ref="B234:B236"/>
    <mergeCell ref="C234:C236"/>
    <mergeCell ref="D234:D236"/>
    <mergeCell ref="AJ234:AJ236"/>
    <mergeCell ref="AK234:AK236"/>
    <mergeCell ref="AL234:AL236"/>
    <mergeCell ref="AM234:AM236"/>
    <mergeCell ref="AN234:AN236"/>
    <mergeCell ref="AO234:AO236"/>
    <mergeCell ref="AP234:AP236"/>
    <mergeCell ref="AQ234:AQ236"/>
    <mergeCell ref="AR234:AR236"/>
    <mergeCell ref="AS234:AS236"/>
    <mergeCell ref="A237:A239"/>
    <mergeCell ref="B237:B239"/>
    <mergeCell ref="C237:C239"/>
    <mergeCell ref="D237:D239"/>
    <mergeCell ref="AJ237:AJ239"/>
    <mergeCell ref="AK237:AK239"/>
    <mergeCell ref="AL237:AL239"/>
    <mergeCell ref="AM237:AM239"/>
    <mergeCell ref="AN237:AN239"/>
    <mergeCell ref="AO237:AO239"/>
    <mergeCell ref="AP237:AP239"/>
    <mergeCell ref="AQ237:AQ239"/>
    <mergeCell ref="AR237:AR239"/>
    <mergeCell ref="AS237:AS239"/>
    <mergeCell ref="A240:A242"/>
    <mergeCell ref="B240:B242"/>
    <mergeCell ref="C240:C242"/>
    <mergeCell ref="D240:D242"/>
    <mergeCell ref="AJ240:AJ242"/>
    <mergeCell ref="AK240:AK242"/>
    <mergeCell ref="AL240:AL242"/>
    <mergeCell ref="AM240:AM242"/>
    <mergeCell ref="AN240:AN242"/>
    <mergeCell ref="AO240:AO242"/>
    <mergeCell ref="AP240:AP242"/>
    <mergeCell ref="AQ240:AQ242"/>
    <mergeCell ref="AR240:AR242"/>
    <mergeCell ref="AS240:AS242"/>
    <mergeCell ref="A243:A245"/>
    <mergeCell ref="B243:B245"/>
    <mergeCell ref="C243:C245"/>
    <mergeCell ref="D243:D245"/>
    <mergeCell ref="AJ243:AJ245"/>
    <mergeCell ref="AK243:AK245"/>
    <mergeCell ref="AL243:AL245"/>
    <mergeCell ref="AM243:AM245"/>
    <mergeCell ref="AN243:AN245"/>
    <mergeCell ref="AO243:AO245"/>
    <mergeCell ref="AP243:AP245"/>
    <mergeCell ref="AQ243:AQ245"/>
    <mergeCell ref="AR243:AR245"/>
    <mergeCell ref="AS243:AS245"/>
    <mergeCell ref="A246:A248"/>
    <mergeCell ref="B246:B248"/>
    <mergeCell ref="C246:C248"/>
    <mergeCell ref="D246:D248"/>
    <mergeCell ref="AJ246:AJ248"/>
    <mergeCell ref="AK246:AK248"/>
    <mergeCell ref="AL246:AL248"/>
    <mergeCell ref="AM246:AM248"/>
    <mergeCell ref="AN246:AN248"/>
    <mergeCell ref="AO246:AO248"/>
    <mergeCell ref="AP246:AP248"/>
    <mergeCell ref="AQ246:AQ248"/>
    <mergeCell ref="AR246:AR248"/>
    <mergeCell ref="AS246:AS248"/>
    <mergeCell ref="A249:A251"/>
    <mergeCell ref="B249:B251"/>
    <mergeCell ref="C249:C251"/>
    <mergeCell ref="D249:D251"/>
    <mergeCell ref="AJ249:AJ251"/>
    <mergeCell ref="AK249:AK251"/>
    <mergeCell ref="AL249:AL251"/>
    <mergeCell ref="AM249:AM251"/>
    <mergeCell ref="AN249:AN251"/>
    <mergeCell ref="AO249:AO251"/>
    <mergeCell ref="AP249:AP251"/>
    <mergeCell ref="AQ249:AQ251"/>
    <mergeCell ref="AR249:AR251"/>
    <mergeCell ref="AS249:AS251"/>
    <mergeCell ref="A252:A254"/>
    <mergeCell ref="B252:B254"/>
    <mergeCell ref="C252:C254"/>
    <mergeCell ref="D252:D254"/>
    <mergeCell ref="AJ252:AJ254"/>
    <mergeCell ref="AK252:AK254"/>
    <mergeCell ref="AL252:AL254"/>
    <mergeCell ref="AM252:AM254"/>
    <mergeCell ref="AN252:AN254"/>
    <mergeCell ref="AO252:AO254"/>
    <mergeCell ref="AP252:AP254"/>
    <mergeCell ref="AQ252:AQ254"/>
    <mergeCell ref="AR252:AR254"/>
    <mergeCell ref="AS252:AS254"/>
    <mergeCell ref="A255:A257"/>
    <mergeCell ref="B255:B257"/>
    <mergeCell ref="C255:C257"/>
    <mergeCell ref="D255:D257"/>
    <mergeCell ref="AJ255:AJ257"/>
    <mergeCell ref="AK255:AK257"/>
    <mergeCell ref="AL255:AL257"/>
    <mergeCell ref="AM255:AM257"/>
    <mergeCell ref="AN255:AN257"/>
    <mergeCell ref="AO255:AO257"/>
    <mergeCell ref="AP255:AP257"/>
    <mergeCell ref="AQ255:AQ257"/>
    <mergeCell ref="AR255:AR257"/>
    <mergeCell ref="AS255:AS257"/>
    <mergeCell ref="A258:A260"/>
    <mergeCell ref="B258:B260"/>
    <mergeCell ref="C258:C260"/>
    <mergeCell ref="D258:D260"/>
    <mergeCell ref="AJ258:AJ260"/>
    <mergeCell ref="AK258:AK260"/>
    <mergeCell ref="AL258:AL260"/>
    <mergeCell ref="AM258:AM260"/>
    <mergeCell ref="AN258:AN260"/>
    <mergeCell ref="AO258:AO260"/>
    <mergeCell ref="AP258:AP260"/>
    <mergeCell ref="AQ258:AQ260"/>
    <mergeCell ref="AR258:AR260"/>
    <mergeCell ref="AS258:AS260"/>
    <mergeCell ref="A261:A263"/>
    <mergeCell ref="B261:B263"/>
    <mergeCell ref="C261:C263"/>
    <mergeCell ref="D261:D263"/>
    <mergeCell ref="AJ261:AJ263"/>
    <mergeCell ref="AK261:AK263"/>
    <mergeCell ref="AL261:AL263"/>
    <mergeCell ref="AM261:AM263"/>
    <mergeCell ref="AN261:AN263"/>
    <mergeCell ref="AO261:AO263"/>
    <mergeCell ref="AP261:AP263"/>
    <mergeCell ref="AQ261:AQ263"/>
    <mergeCell ref="AR261:AR263"/>
    <mergeCell ref="AS261:AS263"/>
    <mergeCell ref="A264:A266"/>
    <mergeCell ref="B264:B266"/>
    <mergeCell ref="C264:C266"/>
    <mergeCell ref="D264:D266"/>
    <mergeCell ref="AJ264:AJ266"/>
    <mergeCell ref="AK264:AK266"/>
    <mergeCell ref="AL264:AL266"/>
    <mergeCell ref="AM264:AM266"/>
    <mergeCell ref="AN264:AN266"/>
    <mergeCell ref="AO264:AO266"/>
    <mergeCell ref="AP264:AP266"/>
    <mergeCell ref="AQ264:AQ266"/>
    <mergeCell ref="AR264:AR266"/>
    <mergeCell ref="AS264:AS266"/>
    <mergeCell ref="A267:A269"/>
    <mergeCell ref="B267:B269"/>
    <mergeCell ref="C267:C269"/>
    <mergeCell ref="D267:D269"/>
    <mergeCell ref="AJ267:AJ269"/>
    <mergeCell ref="AK267:AK269"/>
    <mergeCell ref="AL267:AL269"/>
    <mergeCell ref="AM267:AM269"/>
    <mergeCell ref="AN267:AN269"/>
    <mergeCell ref="AO267:AO269"/>
    <mergeCell ref="AP267:AP269"/>
    <mergeCell ref="AQ267:AQ269"/>
    <mergeCell ref="AR267:AR269"/>
    <mergeCell ref="AS267:AS269"/>
    <mergeCell ref="A270:A272"/>
    <mergeCell ref="B270:B272"/>
    <mergeCell ref="C270:C272"/>
    <mergeCell ref="D270:D272"/>
    <mergeCell ref="AJ270:AJ272"/>
    <mergeCell ref="AK270:AK272"/>
    <mergeCell ref="AL270:AL272"/>
    <mergeCell ref="AM270:AM272"/>
    <mergeCell ref="AN270:AN272"/>
    <mergeCell ref="AO270:AO272"/>
    <mergeCell ref="AP270:AP272"/>
    <mergeCell ref="AQ270:AQ272"/>
    <mergeCell ref="AR270:AR272"/>
    <mergeCell ref="AS270:AS272"/>
    <mergeCell ref="A273:A275"/>
    <mergeCell ref="B273:B275"/>
    <mergeCell ref="C273:C275"/>
    <mergeCell ref="D273:D275"/>
    <mergeCell ref="AJ273:AJ275"/>
    <mergeCell ref="AK273:AK275"/>
    <mergeCell ref="AL273:AL275"/>
    <mergeCell ref="AM273:AM275"/>
    <mergeCell ref="AN273:AN275"/>
    <mergeCell ref="AO273:AO275"/>
    <mergeCell ref="AP273:AP275"/>
    <mergeCell ref="AQ273:AQ275"/>
    <mergeCell ref="AR273:AR275"/>
    <mergeCell ref="AS273:AS275"/>
    <mergeCell ref="A276:A278"/>
    <mergeCell ref="B276:B278"/>
    <mergeCell ref="C276:C278"/>
    <mergeCell ref="D276:D278"/>
    <mergeCell ref="AJ276:AJ278"/>
    <mergeCell ref="AK276:AK278"/>
    <mergeCell ref="AL276:AL278"/>
    <mergeCell ref="AM276:AM278"/>
    <mergeCell ref="AN276:AN278"/>
    <mergeCell ref="AO276:AO278"/>
    <mergeCell ref="AP276:AP278"/>
    <mergeCell ref="AQ276:AQ278"/>
    <mergeCell ref="AR276:AR278"/>
    <mergeCell ref="AS276:AS278"/>
    <mergeCell ref="A279:A281"/>
    <mergeCell ref="B279:B281"/>
    <mergeCell ref="C279:C281"/>
    <mergeCell ref="D279:D281"/>
    <mergeCell ref="AJ279:AJ281"/>
    <mergeCell ref="AK279:AK281"/>
    <mergeCell ref="AL279:AL281"/>
    <mergeCell ref="AM279:AM281"/>
    <mergeCell ref="AN279:AN281"/>
    <mergeCell ref="AO279:AO281"/>
    <mergeCell ref="AP279:AP281"/>
    <mergeCell ref="AQ279:AQ281"/>
    <mergeCell ref="AR279:AR281"/>
    <mergeCell ref="AS279:AS281"/>
    <mergeCell ref="A282:A284"/>
    <mergeCell ref="B282:B284"/>
    <mergeCell ref="C282:C284"/>
    <mergeCell ref="D282:D284"/>
    <mergeCell ref="AJ282:AJ284"/>
    <mergeCell ref="AK282:AK284"/>
    <mergeCell ref="AL282:AL284"/>
    <mergeCell ref="AM282:AM284"/>
    <mergeCell ref="AN282:AN284"/>
    <mergeCell ref="AO282:AO284"/>
    <mergeCell ref="AP282:AP284"/>
    <mergeCell ref="AQ282:AQ284"/>
    <mergeCell ref="AR282:AR284"/>
    <mergeCell ref="AS282:AS284"/>
    <mergeCell ref="A285:A287"/>
    <mergeCell ref="B285:B287"/>
    <mergeCell ref="C285:C287"/>
    <mergeCell ref="D285:D287"/>
    <mergeCell ref="AJ285:AJ287"/>
    <mergeCell ref="AK285:AK287"/>
    <mergeCell ref="AL285:AL287"/>
    <mergeCell ref="AM285:AM287"/>
    <mergeCell ref="AN285:AN287"/>
    <mergeCell ref="AO285:AO287"/>
    <mergeCell ref="AP285:AP287"/>
    <mergeCell ref="AQ285:AQ287"/>
    <mergeCell ref="AR285:AR287"/>
    <mergeCell ref="AS285:AS287"/>
    <mergeCell ref="A288:A290"/>
    <mergeCell ref="B288:B290"/>
    <mergeCell ref="C288:C290"/>
    <mergeCell ref="D288:D290"/>
    <mergeCell ref="AJ288:AJ290"/>
    <mergeCell ref="AK288:AK290"/>
    <mergeCell ref="AL288:AL290"/>
    <mergeCell ref="AM288:AM290"/>
    <mergeCell ref="AN288:AN290"/>
    <mergeCell ref="AO288:AO290"/>
    <mergeCell ref="AP288:AP290"/>
    <mergeCell ref="AQ288:AQ290"/>
    <mergeCell ref="AR288:AR290"/>
    <mergeCell ref="AS288:AS290"/>
    <mergeCell ref="A291:A293"/>
    <mergeCell ref="B291:B293"/>
    <mergeCell ref="C291:C293"/>
    <mergeCell ref="D291:D293"/>
    <mergeCell ref="AJ291:AJ293"/>
    <mergeCell ref="AK291:AK293"/>
    <mergeCell ref="AL291:AL293"/>
    <mergeCell ref="AM291:AM293"/>
    <mergeCell ref="AN291:AN293"/>
    <mergeCell ref="AO291:AO293"/>
    <mergeCell ref="AP291:AP293"/>
    <mergeCell ref="AQ291:AQ293"/>
    <mergeCell ref="AR291:AR293"/>
    <mergeCell ref="AS291:AS293"/>
    <mergeCell ref="A294:A296"/>
    <mergeCell ref="B294:B296"/>
    <mergeCell ref="C294:C296"/>
    <mergeCell ref="D294:D296"/>
    <mergeCell ref="AJ294:AJ296"/>
    <mergeCell ref="AK294:AK296"/>
    <mergeCell ref="AL294:AL296"/>
    <mergeCell ref="AM294:AM296"/>
    <mergeCell ref="AN294:AN296"/>
    <mergeCell ref="AO294:AO296"/>
    <mergeCell ref="AP294:AP296"/>
    <mergeCell ref="AQ294:AQ296"/>
    <mergeCell ref="AR294:AR296"/>
    <mergeCell ref="AS294:AS296"/>
    <mergeCell ref="A297:A299"/>
    <mergeCell ref="B297:B299"/>
    <mergeCell ref="C297:C299"/>
    <mergeCell ref="D297:D299"/>
    <mergeCell ref="AJ297:AJ299"/>
    <mergeCell ref="AK297:AK299"/>
    <mergeCell ref="AL297:AL299"/>
    <mergeCell ref="AM297:AM299"/>
    <mergeCell ref="AN297:AN299"/>
    <mergeCell ref="AO297:AO299"/>
    <mergeCell ref="AP297:AP299"/>
    <mergeCell ref="AQ297:AQ299"/>
    <mergeCell ref="AR297:AR299"/>
    <mergeCell ref="AS297:AS299"/>
    <mergeCell ref="A300:A302"/>
    <mergeCell ref="B300:B302"/>
    <mergeCell ref="C300:C302"/>
    <mergeCell ref="D300:D302"/>
    <mergeCell ref="AJ300:AJ302"/>
    <mergeCell ref="AK300:AK302"/>
    <mergeCell ref="AL300:AL302"/>
    <mergeCell ref="AM300:AM302"/>
    <mergeCell ref="AN300:AN302"/>
    <mergeCell ref="AO300:AO302"/>
    <mergeCell ref="AP300:AP302"/>
    <mergeCell ref="AQ300:AQ302"/>
    <mergeCell ref="AR300:AR302"/>
    <mergeCell ref="AS300:AS302"/>
    <mergeCell ref="A303:A305"/>
    <mergeCell ref="B303:B305"/>
    <mergeCell ref="C303:C305"/>
    <mergeCell ref="D303:D305"/>
    <mergeCell ref="AJ303:AJ305"/>
    <mergeCell ref="AK303:AK305"/>
    <mergeCell ref="AL303:AL305"/>
    <mergeCell ref="AM303:AM305"/>
    <mergeCell ref="AN303:AN305"/>
    <mergeCell ref="AO303:AO305"/>
    <mergeCell ref="AP303:AP305"/>
    <mergeCell ref="AQ303:AQ305"/>
    <mergeCell ref="AR303:AR305"/>
    <mergeCell ref="AS303:AS305"/>
    <mergeCell ref="A306:A308"/>
    <mergeCell ref="B306:B308"/>
    <mergeCell ref="C306:C308"/>
    <mergeCell ref="D306:D308"/>
    <mergeCell ref="AJ306:AJ308"/>
    <mergeCell ref="AK306:AK308"/>
    <mergeCell ref="AL306:AL308"/>
    <mergeCell ref="AM306:AM308"/>
    <mergeCell ref="AN306:AN308"/>
    <mergeCell ref="AO306:AO308"/>
    <mergeCell ref="AP306:AP308"/>
    <mergeCell ref="AQ306:AQ308"/>
    <mergeCell ref="AR306:AR308"/>
    <mergeCell ref="AS306:AS308"/>
    <mergeCell ref="A309:A311"/>
    <mergeCell ref="B309:B311"/>
    <mergeCell ref="C309:C311"/>
    <mergeCell ref="D309:D311"/>
    <mergeCell ref="AJ309:AJ311"/>
    <mergeCell ref="AK309:AK311"/>
    <mergeCell ref="AL309:AL311"/>
    <mergeCell ref="AM309:AM311"/>
    <mergeCell ref="AN309:AN311"/>
    <mergeCell ref="AO309:AO311"/>
    <mergeCell ref="AP309:AP311"/>
    <mergeCell ref="AQ309:AQ311"/>
    <mergeCell ref="AR309:AR311"/>
    <mergeCell ref="AS309:AS311"/>
    <mergeCell ref="A312:A314"/>
    <mergeCell ref="B312:B314"/>
    <mergeCell ref="C312:C314"/>
    <mergeCell ref="D312:D314"/>
    <mergeCell ref="AJ312:AJ314"/>
    <mergeCell ref="AK312:AK314"/>
    <mergeCell ref="AL312:AL314"/>
    <mergeCell ref="AM312:AM314"/>
    <mergeCell ref="AN312:AN314"/>
    <mergeCell ref="AO312:AO314"/>
    <mergeCell ref="AP312:AP314"/>
    <mergeCell ref="AQ312:AQ314"/>
    <mergeCell ref="AR312:AR314"/>
    <mergeCell ref="AS312:AS314"/>
    <mergeCell ref="A315:A317"/>
    <mergeCell ref="B315:B317"/>
    <mergeCell ref="C315:C317"/>
    <mergeCell ref="D315:D317"/>
    <mergeCell ref="AJ315:AJ317"/>
    <mergeCell ref="AK315:AK317"/>
    <mergeCell ref="AL315:AL317"/>
    <mergeCell ref="AM315:AM317"/>
    <mergeCell ref="AN315:AN317"/>
    <mergeCell ref="AO315:AO317"/>
    <mergeCell ref="AP315:AP317"/>
    <mergeCell ref="AQ315:AQ317"/>
    <mergeCell ref="AR315:AR317"/>
    <mergeCell ref="AS315:AS317"/>
    <mergeCell ref="A318:A320"/>
    <mergeCell ref="B318:B320"/>
    <mergeCell ref="C318:C320"/>
    <mergeCell ref="D318:D320"/>
    <mergeCell ref="AJ318:AJ320"/>
    <mergeCell ref="AK318:AK320"/>
    <mergeCell ref="AL318:AL320"/>
    <mergeCell ref="AM318:AM320"/>
    <mergeCell ref="AN318:AN320"/>
    <mergeCell ref="AO318:AO320"/>
    <mergeCell ref="AP318:AP320"/>
    <mergeCell ref="AQ318:AQ320"/>
    <mergeCell ref="AR318:AR320"/>
    <mergeCell ref="AS318:AS320"/>
    <mergeCell ref="A321:A323"/>
    <mergeCell ref="B321:B323"/>
    <mergeCell ref="C321:C323"/>
    <mergeCell ref="D321:D323"/>
    <mergeCell ref="AJ321:AJ323"/>
    <mergeCell ref="AK321:AK323"/>
    <mergeCell ref="AL321:AL323"/>
    <mergeCell ref="AM321:AM323"/>
    <mergeCell ref="AN321:AN323"/>
    <mergeCell ref="AO321:AO323"/>
    <mergeCell ref="AP321:AP323"/>
    <mergeCell ref="AQ321:AQ323"/>
    <mergeCell ref="AR321:AR323"/>
    <mergeCell ref="AS321:AS323"/>
    <mergeCell ref="A324:A326"/>
    <mergeCell ref="B324:B326"/>
    <mergeCell ref="C324:C326"/>
    <mergeCell ref="D324:D326"/>
    <mergeCell ref="AJ324:AJ326"/>
    <mergeCell ref="AK324:AK326"/>
    <mergeCell ref="AL324:AL326"/>
    <mergeCell ref="AM324:AM326"/>
    <mergeCell ref="AN324:AN326"/>
    <mergeCell ref="AO324:AO326"/>
    <mergeCell ref="AP324:AP326"/>
    <mergeCell ref="AQ324:AQ326"/>
    <mergeCell ref="AR324:AR326"/>
    <mergeCell ref="AS324:AS326"/>
    <mergeCell ref="A327:A329"/>
    <mergeCell ref="B327:B329"/>
    <mergeCell ref="C327:C329"/>
    <mergeCell ref="D327:D329"/>
    <mergeCell ref="AJ327:AJ329"/>
    <mergeCell ref="AK327:AK329"/>
    <mergeCell ref="AL327:AL329"/>
    <mergeCell ref="AM327:AM329"/>
    <mergeCell ref="AN327:AN329"/>
    <mergeCell ref="AO327:AO329"/>
    <mergeCell ref="AP327:AP329"/>
    <mergeCell ref="AQ327:AQ329"/>
    <mergeCell ref="AR327:AR329"/>
    <mergeCell ref="AS327:AS329"/>
    <mergeCell ref="A330:A332"/>
    <mergeCell ref="B330:B332"/>
    <mergeCell ref="C330:C332"/>
    <mergeCell ref="D330:D332"/>
    <mergeCell ref="AJ330:AJ332"/>
    <mergeCell ref="AK330:AK332"/>
    <mergeCell ref="AL330:AL332"/>
    <mergeCell ref="AM330:AM332"/>
    <mergeCell ref="AN330:AN332"/>
    <mergeCell ref="AO330:AO332"/>
    <mergeCell ref="AP330:AP332"/>
    <mergeCell ref="AQ330:AQ332"/>
    <mergeCell ref="AR330:AR332"/>
    <mergeCell ref="AS330:AS332"/>
    <mergeCell ref="A333:A335"/>
    <mergeCell ref="B333:B335"/>
    <mergeCell ref="C333:C335"/>
    <mergeCell ref="D333:D335"/>
    <mergeCell ref="AJ333:AJ335"/>
    <mergeCell ref="AK333:AK335"/>
    <mergeCell ref="AL333:AL335"/>
    <mergeCell ref="AM333:AM335"/>
    <mergeCell ref="AN333:AN335"/>
    <mergeCell ref="AO333:AO335"/>
    <mergeCell ref="AP333:AP335"/>
    <mergeCell ref="AQ333:AQ335"/>
    <mergeCell ref="AR333:AR335"/>
    <mergeCell ref="AS333:AS335"/>
    <mergeCell ref="A336:A338"/>
    <mergeCell ref="B336:B338"/>
    <mergeCell ref="C336:C338"/>
    <mergeCell ref="D336:D338"/>
    <mergeCell ref="AJ336:AJ338"/>
    <mergeCell ref="AK336:AK338"/>
    <mergeCell ref="AL336:AL338"/>
    <mergeCell ref="AM336:AM338"/>
    <mergeCell ref="AN336:AN338"/>
    <mergeCell ref="AO336:AO338"/>
    <mergeCell ref="AP336:AP338"/>
    <mergeCell ref="AQ336:AQ338"/>
    <mergeCell ref="AR336:AR338"/>
    <mergeCell ref="AS336:AS338"/>
    <mergeCell ref="A339:A341"/>
    <mergeCell ref="B339:B341"/>
    <mergeCell ref="C339:C341"/>
    <mergeCell ref="D339:D341"/>
    <mergeCell ref="AJ339:AJ341"/>
    <mergeCell ref="AK339:AK341"/>
    <mergeCell ref="AL339:AL341"/>
    <mergeCell ref="AM339:AM341"/>
    <mergeCell ref="AN339:AN341"/>
    <mergeCell ref="AO339:AO341"/>
    <mergeCell ref="AP339:AP341"/>
    <mergeCell ref="AQ339:AQ341"/>
    <mergeCell ref="AR339:AR341"/>
    <mergeCell ref="AS339:AS341"/>
    <mergeCell ref="A342:A344"/>
    <mergeCell ref="B342:B344"/>
    <mergeCell ref="C342:C344"/>
    <mergeCell ref="D342:D344"/>
    <mergeCell ref="AJ342:AJ344"/>
    <mergeCell ref="AK342:AK344"/>
    <mergeCell ref="AL342:AL344"/>
    <mergeCell ref="AM342:AM344"/>
    <mergeCell ref="AN342:AN344"/>
    <mergeCell ref="AO342:AO344"/>
    <mergeCell ref="AP342:AP344"/>
    <mergeCell ref="AQ342:AQ344"/>
    <mergeCell ref="AR342:AR344"/>
    <mergeCell ref="AS342:AS344"/>
    <mergeCell ref="A345:A347"/>
    <mergeCell ref="B345:B347"/>
    <mergeCell ref="C345:C347"/>
    <mergeCell ref="D345:D347"/>
    <mergeCell ref="AJ345:AJ347"/>
    <mergeCell ref="AK345:AK347"/>
    <mergeCell ref="AL345:AL347"/>
    <mergeCell ref="AM345:AM347"/>
    <mergeCell ref="AN345:AN347"/>
    <mergeCell ref="AO345:AO347"/>
    <mergeCell ref="AP345:AP347"/>
    <mergeCell ref="AQ345:AQ347"/>
    <mergeCell ref="AR345:AR347"/>
    <mergeCell ref="AS345:AS347"/>
    <mergeCell ref="A348:A350"/>
    <mergeCell ref="B348:B350"/>
    <mergeCell ref="C348:C350"/>
    <mergeCell ref="D348:D350"/>
    <mergeCell ref="AJ348:AJ350"/>
    <mergeCell ref="AK348:AK350"/>
    <mergeCell ref="AL348:AL350"/>
    <mergeCell ref="AM348:AM350"/>
    <mergeCell ref="AN348:AN350"/>
    <mergeCell ref="AO348:AO350"/>
    <mergeCell ref="AP348:AP350"/>
    <mergeCell ref="AQ348:AQ350"/>
    <mergeCell ref="AR348:AR350"/>
    <mergeCell ref="AS348:AS350"/>
    <mergeCell ref="A351:A353"/>
    <mergeCell ref="B351:B353"/>
    <mergeCell ref="C351:C353"/>
    <mergeCell ref="D351:D353"/>
    <mergeCell ref="AJ351:AJ353"/>
    <mergeCell ref="AK351:AK353"/>
    <mergeCell ref="AL351:AL353"/>
    <mergeCell ref="AM351:AM353"/>
    <mergeCell ref="AN351:AN353"/>
    <mergeCell ref="AO351:AO353"/>
    <mergeCell ref="AP351:AP353"/>
    <mergeCell ref="AQ351:AQ353"/>
    <mergeCell ref="AR351:AR353"/>
    <mergeCell ref="AS351:AS353"/>
    <mergeCell ref="A354:A356"/>
    <mergeCell ref="B354:B356"/>
    <mergeCell ref="C354:C356"/>
    <mergeCell ref="D354:D356"/>
    <mergeCell ref="AJ354:AJ356"/>
    <mergeCell ref="AK354:AK356"/>
    <mergeCell ref="AL354:AL356"/>
    <mergeCell ref="AM354:AM356"/>
    <mergeCell ref="AN354:AN356"/>
    <mergeCell ref="AO354:AO356"/>
    <mergeCell ref="AP354:AP356"/>
    <mergeCell ref="AQ354:AQ356"/>
    <mergeCell ref="AR354:AR356"/>
    <mergeCell ref="AS354:AS356"/>
    <mergeCell ref="A357:A359"/>
    <mergeCell ref="B357:B359"/>
    <mergeCell ref="C357:C359"/>
    <mergeCell ref="D357:D359"/>
    <mergeCell ref="AJ357:AJ359"/>
    <mergeCell ref="AK357:AK359"/>
    <mergeCell ref="AL357:AL359"/>
    <mergeCell ref="AM357:AM359"/>
    <mergeCell ref="AN357:AN359"/>
    <mergeCell ref="AO357:AO359"/>
    <mergeCell ref="AP357:AP359"/>
    <mergeCell ref="AQ357:AQ359"/>
    <mergeCell ref="AR357:AR359"/>
    <mergeCell ref="AS357:AS359"/>
    <mergeCell ref="A360:A362"/>
    <mergeCell ref="B360:B362"/>
    <mergeCell ref="C360:C362"/>
    <mergeCell ref="D360:D362"/>
    <mergeCell ref="AJ360:AJ362"/>
    <mergeCell ref="AK360:AK362"/>
    <mergeCell ref="AL360:AL362"/>
    <mergeCell ref="AM360:AM362"/>
    <mergeCell ref="AN360:AN362"/>
    <mergeCell ref="AO360:AO362"/>
    <mergeCell ref="AP360:AP362"/>
    <mergeCell ref="AQ360:AQ362"/>
    <mergeCell ref="AR360:AR362"/>
    <mergeCell ref="AS360:AS362"/>
    <mergeCell ref="A363:A365"/>
    <mergeCell ref="B363:B365"/>
    <mergeCell ref="C363:C365"/>
    <mergeCell ref="D363:D365"/>
    <mergeCell ref="AJ363:AJ365"/>
    <mergeCell ref="AK363:AK365"/>
    <mergeCell ref="AL363:AL365"/>
    <mergeCell ref="AM363:AM365"/>
    <mergeCell ref="AN363:AN365"/>
    <mergeCell ref="AO363:AO365"/>
    <mergeCell ref="AP363:AP365"/>
    <mergeCell ref="AQ363:AQ365"/>
    <mergeCell ref="AR363:AR365"/>
    <mergeCell ref="AS363:AS365"/>
    <mergeCell ref="A366:A368"/>
    <mergeCell ref="B366:B368"/>
    <mergeCell ref="C366:C368"/>
    <mergeCell ref="D366:D368"/>
    <mergeCell ref="AJ366:AJ368"/>
    <mergeCell ref="AK366:AK368"/>
    <mergeCell ref="AL366:AL368"/>
    <mergeCell ref="AM366:AM368"/>
    <mergeCell ref="AN366:AN368"/>
    <mergeCell ref="AO366:AO368"/>
    <mergeCell ref="AP366:AP368"/>
    <mergeCell ref="AQ366:AQ368"/>
    <mergeCell ref="AR366:AR368"/>
    <mergeCell ref="AS366:AS368"/>
    <mergeCell ref="A369:A371"/>
    <mergeCell ref="B369:B371"/>
    <mergeCell ref="C369:C371"/>
    <mergeCell ref="D369:D371"/>
    <mergeCell ref="AJ369:AJ371"/>
    <mergeCell ref="AK369:AK371"/>
    <mergeCell ref="AL369:AL371"/>
    <mergeCell ref="AM369:AM371"/>
    <mergeCell ref="AN369:AN371"/>
    <mergeCell ref="AO369:AO371"/>
    <mergeCell ref="AP369:AP371"/>
    <mergeCell ref="AQ369:AQ371"/>
    <mergeCell ref="AR369:AR371"/>
    <mergeCell ref="AS369:AS371"/>
    <mergeCell ref="A372:A374"/>
    <mergeCell ref="B372:B374"/>
    <mergeCell ref="C372:C374"/>
    <mergeCell ref="D372:D374"/>
    <mergeCell ref="AJ372:AJ374"/>
    <mergeCell ref="AK372:AK374"/>
    <mergeCell ref="AL372:AL374"/>
    <mergeCell ref="AM372:AM374"/>
    <mergeCell ref="AN372:AN374"/>
    <mergeCell ref="AO372:AO374"/>
    <mergeCell ref="AP372:AP374"/>
    <mergeCell ref="AQ372:AQ374"/>
    <mergeCell ref="AR372:AR374"/>
    <mergeCell ref="AS372:AS374"/>
    <mergeCell ref="A375:A377"/>
    <mergeCell ref="B375:B377"/>
    <mergeCell ref="C375:C377"/>
    <mergeCell ref="D375:D377"/>
    <mergeCell ref="AJ375:AJ377"/>
    <mergeCell ref="AK375:AK377"/>
    <mergeCell ref="AL375:AL377"/>
    <mergeCell ref="AM375:AM377"/>
    <mergeCell ref="AN375:AN377"/>
    <mergeCell ref="AO375:AO377"/>
    <mergeCell ref="AP375:AP377"/>
    <mergeCell ref="AQ375:AQ377"/>
    <mergeCell ref="AR375:AR377"/>
    <mergeCell ref="AS375:AS377"/>
    <mergeCell ref="A378:A380"/>
    <mergeCell ref="B378:B380"/>
    <mergeCell ref="C378:C380"/>
    <mergeCell ref="D378:D380"/>
    <mergeCell ref="AJ378:AJ380"/>
    <mergeCell ref="AK378:AK380"/>
    <mergeCell ref="AL378:AL380"/>
    <mergeCell ref="AM378:AM380"/>
    <mergeCell ref="AN378:AN380"/>
    <mergeCell ref="AO378:AO380"/>
    <mergeCell ref="AP378:AP380"/>
    <mergeCell ref="AQ378:AQ380"/>
    <mergeCell ref="AR378:AR380"/>
    <mergeCell ref="AS378:AS380"/>
    <mergeCell ref="A381:A383"/>
    <mergeCell ref="B381:B383"/>
    <mergeCell ref="C381:C383"/>
    <mergeCell ref="D381:D383"/>
    <mergeCell ref="AJ381:AJ383"/>
    <mergeCell ref="AK381:AK383"/>
    <mergeCell ref="AL381:AL383"/>
    <mergeCell ref="AM381:AM383"/>
    <mergeCell ref="AN381:AN383"/>
    <mergeCell ref="AO381:AO383"/>
    <mergeCell ref="AP381:AP383"/>
    <mergeCell ref="AQ381:AQ383"/>
    <mergeCell ref="AR381:AR383"/>
    <mergeCell ref="AS381:AS383"/>
    <mergeCell ref="A384:A386"/>
    <mergeCell ref="B384:B386"/>
    <mergeCell ref="C384:C386"/>
    <mergeCell ref="D384:D386"/>
    <mergeCell ref="AJ384:AJ386"/>
    <mergeCell ref="AK384:AK386"/>
    <mergeCell ref="AL384:AL386"/>
    <mergeCell ref="AM384:AM386"/>
    <mergeCell ref="AN384:AN386"/>
    <mergeCell ref="AO384:AO386"/>
    <mergeCell ref="AP384:AP386"/>
    <mergeCell ref="AQ384:AQ386"/>
    <mergeCell ref="AR384:AR386"/>
    <mergeCell ref="AS384:AS386"/>
    <mergeCell ref="A387:A389"/>
    <mergeCell ref="B387:B389"/>
    <mergeCell ref="C387:C389"/>
    <mergeCell ref="D387:D389"/>
    <mergeCell ref="AJ387:AJ389"/>
    <mergeCell ref="AK387:AK389"/>
    <mergeCell ref="AL387:AL389"/>
    <mergeCell ref="AM387:AM389"/>
    <mergeCell ref="AN387:AN389"/>
    <mergeCell ref="AO387:AO389"/>
    <mergeCell ref="AP387:AP389"/>
    <mergeCell ref="AQ387:AQ389"/>
    <mergeCell ref="AR387:AR389"/>
    <mergeCell ref="AS387:AS389"/>
    <mergeCell ref="A390:A392"/>
    <mergeCell ref="B390:B392"/>
    <mergeCell ref="C390:C392"/>
    <mergeCell ref="D390:D392"/>
    <mergeCell ref="AJ390:AJ392"/>
    <mergeCell ref="AK390:AK392"/>
    <mergeCell ref="AL390:AL392"/>
    <mergeCell ref="AM390:AM392"/>
    <mergeCell ref="AN390:AN392"/>
    <mergeCell ref="AO390:AO392"/>
    <mergeCell ref="AP390:AP392"/>
    <mergeCell ref="AQ390:AQ392"/>
    <mergeCell ref="AR390:AR392"/>
    <mergeCell ref="AS390:AS392"/>
    <mergeCell ref="A393:A395"/>
    <mergeCell ref="B393:B395"/>
    <mergeCell ref="C393:C395"/>
    <mergeCell ref="D393:D395"/>
    <mergeCell ref="AJ393:AJ395"/>
    <mergeCell ref="AK393:AK395"/>
    <mergeCell ref="AL393:AL395"/>
    <mergeCell ref="AM393:AM395"/>
    <mergeCell ref="AN393:AN395"/>
    <mergeCell ref="AO393:AO395"/>
    <mergeCell ref="AP393:AP395"/>
    <mergeCell ref="AQ393:AQ395"/>
    <mergeCell ref="AR393:AR395"/>
    <mergeCell ref="AS393:AS395"/>
    <mergeCell ref="A396:A398"/>
    <mergeCell ref="B396:B398"/>
    <mergeCell ref="C396:C398"/>
    <mergeCell ref="D396:D398"/>
    <mergeCell ref="AJ396:AJ398"/>
    <mergeCell ref="AK396:AK398"/>
    <mergeCell ref="AL396:AL398"/>
    <mergeCell ref="AM396:AM398"/>
    <mergeCell ref="AN396:AN398"/>
    <mergeCell ref="AO396:AO398"/>
    <mergeCell ref="AP396:AP398"/>
    <mergeCell ref="AQ396:AQ398"/>
    <mergeCell ref="AR396:AR398"/>
    <mergeCell ref="AS396:AS398"/>
    <mergeCell ref="A399:A401"/>
    <mergeCell ref="B399:B401"/>
    <mergeCell ref="C399:C401"/>
    <mergeCell ref="D399:D401"/>
    <mergeCell ref="AJ399:AJ401"/>
    <mergeCell ref="AK399:AK401"/>
    <mergeCell ref="AL399:AL401"/>
    <mergeCell ref="AM399:AM401"/>
    <mergeCell ref="AN399:AN401"/>
    <mergeCell ref="AO399:AO401"/>
    <mergeCell ref="AP399:AP401"/>
    <mergeCell ref="AQ399:AQ401"/>
    <mergeCell ref="AR399:AR401"/>
    <mergeCell ref="AS399:AS401"/>
    <mergeCell ref="A402:A404"/>
    <mergeCell ref="B402:B404"/>
    <mergeCell ref="C402:C404"/>
    <mergeCell ref="D402:D404"/>
    <mergeCell ref="AJ402:AJ404"/>
    <mergeCell ref="AK402:AK404"/>
    <mergeCell ref="AL402:AL404"/>
    <mergeCell ref="AM402:AM404"/>
    <mergeCell ref="AN402:AN404"/>
    <mergeCell ref="AO402:AO404"/>
    <mergeCell ref="AP402:AP404"/>
    <mergeCell ref="AQ402:AQ404"/>
    <mergeCell ref="AR402:AR404"/>
    <mergeCell ref="AS402:AS404"/>
    <mergeCell ref="A405:A407"/>
    <mergeCell ref="B405:B407"/>
    <mergeCell ref="C405:C407"/>
    <mergeCell ref="D405:D407"/>
    <mergeCell ref="AJ405:AJ407"/>
    <mergeCell ref="AK405:AK407"/>
    <mergeCell ref="AL405:AL407"/>
    <mergeCell ref="AM405:AM407"/>
    <mergeCell ref="AN405:AN407"/>
    <mergeCell ref="AO405:AO407"/>
    <mergeCell ref="AP405:AP407"/>
    <mergeCell ref="AQ405:AQ407"/>
    <mergeCell ref="AR405:AR407"/>
    <mergeCell ref="AS405:AS407"/>
    <mergeCell ref="A408:A410"/>
    <mergeCell ref="B408:B410"/>
    <mergeCell ref="C408:C410"/>
    <mergeCell ref="D408:D410"/>
    <mergeCell ref="AJ408:AJ410"/>
    <mergeCell ref="AK408:AK410"/>
    <mergeCell ref="AL408:AL410"/>
    <mergeCell ref="AM408:AM410"/>
    <mergeCell ref="AN408:AN410"/>
    <mergeCell ref="AO408:AO410"/>
    <mergeCell ref="AP408:AP410"/>
    <mergeCell ref="AQ408:AQ410"/>
    <mergeCell ref="AR408:AR410"/>
    <mergeCell ref="AS408:AS410"/>
    <mergeCell ref="A411:A413"/>
    <mergeCell ref="B411:B413"/>
    <mergeCell ref="C411:C413"/>
    <mergeCell ref="D411:D413"/>
    <mergeCell ref="AJ411:AJ413"/>
    <mergeCell ref="AK411:AK413"/>
    <mergeCell ref="AL411:AL413"/>
    <mergeCell ref="AM411:AM413"/>
    <mergeCell ref="AN411:AN413"/>
    <mergeCell ref="AO411:AO413"/>
    <mergeCell ref="AP411:AP413"/>
    <mergeCell ref="AQ411:AQ413"/>
    <mergeCell ref="AR411:AR413"/>
    <mergeCell ref="AS411:AS413"/>
    <mergeCell ref="A414:A416"/>
    <mergeCell ref="B414:B416"/>
    <mergeCell ref="C414:C416"/>
    <mergeCell ref="D414:D416"/>
    <mergeCell ref="AJ414:AJ416"/>
    <mergeCell ref="AK414:AK416"/>
    <mergeCell ref="AL414:AL416"/>
    <mergeCell ref="AM414:AM416"/>
    <mergeCell ref="AN414:AN416"/>
    <mergeCell ref="AO414:AO416"/>
    <mergeCell ref="AP414:AP416"/>
    <mergeCell ref="AQ414:AQ416"/>
    <mergeCell ref="AR414:AR416"/>
    <mergeCell ref="AS414:AS416"/>
    <mergeCell ref="A417:A419"/>
    <mergeCell ref="B417:B419"/>
    <mergeCell ref="C417:C419"/>
    <mergeCell ref="D417:D419"/>
    <mergeCell ref="AJ417:AJ419"/>
    <mergeCell ref="AK417:AK419"/>
    <mergeCell ref="AL417:AL419"/>
    <mergeCell ref="AM417:AM419"/>
    <mergeCell ref="AN417:AN419"/>
    <mergeCell ref="AO417:AO419"/>
    <mergeCell ref="AP417:AP419"/>
    <mergeCell ref="AQ417:AQ419"/>
    <mergeCell ref="AR417:AR419"/>
    <mergeCell ref="AS417:AS419"/>
    <mergeCell ref="A420:A422"/>
    <mergeCell ref="B420:B422"/>
    <mergeCell ref="C420:C422"/>
    <mergeCell ref="D420:D422"/>
    <mergeCell ref="AJ420:AJ422"/>
    <mergeCell ref="AK420:AK422"/>
    <mergeCell ref="AL420:AL422"/>
    <mergeCell ref="AM420:AM422"/>
    <mergeCell ref="AN420:AN422"/>
    <mergeCell ref="AO420:AO422"/>
    <mergeCell ref="AP420:AP422"/>
    <mergeCell ref="AQ420:AQ422"/>
    <mergeCell ref="AR420:AR422"/>
    <mergeCell ref="AS420:AS422"/>
    <mergeCell ref="A423:A425"/>
    <mergeCell ref="B423:B425"/>
    <mergeCell ref="C423:C425"/>
    <mergeCell ref="D423:D425"/>
    <mergeCell ref="AJ423:AJ425"/>
    <mergeCell ref="AK423:AK425"/>
    <mergeCell ref="AL423:AL425"/>
    <mergeCell ref="AM423:AM425"/>
    <mergeCell ref="AN423:AN425"/>
    <mergeCell ref="AO423:AO425"/>
    <mergeCell ref="AP423:AP425"/>
    <mergeCell ref="AQ423:AQ425"/>
    <mergeCell ref="AR423:AR425"/>
    <mergeCell ref="AS423:AS425"/>
    <mergeCell ref="A426:A428"/>
    <mergeCell ref="B426:B428"/>
    <mergeCell ref="C426:C428"/>
    <mergeCell ref="D426:D428"/>
    <mergeCell ref="AJ426:AJ428"/>
    <mergeCell ref="AK426:AK428"/>
    <mergeCell ref="AL426:AL428"/>
    <mergeCell ref="AM426:AM428"/>
    <mergeCell ref="AN426:AN428"/>
    <mergeCell ref="AO426:AO428"/>
    <mergeCell ref="AP426:AP428"/>
    <mergeCell ref="AQ426:AQ428"/>
    <mergeCell ref="AR426:AR428"/>
    <mergeCell ref="AS426:AS428"/>
    <mergeCell ref="A429:A431"/>
    <mergeCell ref="B429:B431"/>
    <mergeCell ref="C429:C431"/>
    <mergeCell ref="D429:D431"/>
    <mergeCell ref="AJ429:AJ431"/>
    <mergeCell ref="AK429:AK431"/>
    <mergeCell ref="AL429:AL431"/>
    <mergeCell ref="AM429:AM431"/>
    <mergeCell ref="AN429:AN431"/>
    <mergeCell ref="AO429:AO431"/>
    <mergeCell ref="AP429:AP431"/>
    <mergeCell ref="AQ429:AQ431"/>
    <mergeCell ref="AR429:AR431"/>
    <mergeCell ref="AS429:AS431"/>
    <mergeCell ref="A432:A434"/>
    <mergeCell ref="B432:B434"/>
    <mergeCell ref="C432:C434"/>
    <mergeCell ref="D432:D434"/>
    <mergeCell ref="AJ432:AJ434"/>
    <mergeCell ref="AK432:AK434"/>
    <mergeCell ref="AL432:AL434"/>
    <mergeCell ref="AM432:AM434"/>
    <mergeCell ref="AN432:AN434"/>
    <mergeCell ref="AO432:AO434"/>
    <mergeCell ref="AP432:AP434"/>
    <mergeCell ref="AQ432:AQ434"/>
    <mergeCell ref="AR432:AR434"/>
    <mergeCell ref="AS432:AS434"/>
    <mergeCell ref="A435:A437"/>
    <mergeCell ref="B435:B437"/>
    <mergeCell ref="C435:C437"/>
    <mergeCell ref="D435:D437"/>
    <mergeCell ref="AJ435:AJ437"/>
    <mergeCell ref="AK435:AK437"/>
    <mergeCell ref="AL435:AL437"/>
    <mergeCell ref="AM435:AM437"/>
    <mergeCell ref="AN435:AN437"/>
    <mergeCell ref="AO435:AO437"/>
    <mergeCell ref="AP435:AP437"/>
    <mergeCell ref="AQ435:AQ437"/>
    <mergeCell ref="AR435:AR437"/>
    <mergeCell ref="AS435:AS437"/>
    <mergeCell ref="A438:A440"/>
    <mergeCell ref="B438:B440"/>
    <mergeCell ref="C438:C440"/>
    <mergeCell ref="D438:D440"/>
    <mergeCell ref="AJ438:AJ440"/>
    <mergeCell ref="AK438:AK440"/>
    <mergeCell ref="AL438:AL440"/>
    <mergeCell ref="AM438:AM440"/>
    <mergeCell ref="AN438:AN440"/>
    <mergeCell ref="AO438:AO440"/>
    <mergeCell ref="AP438:AP440"/>
    <mergeCell ref="AQ438:AQ440"/>
    <mergeCell ref="AR438:AR440"/>
    <mergeCell ref="AS438:AS440"/>
    <mergeCell ref="A441:A443"/>
    <mergeCell ref="B441:B443"/>
    <mergeCell ref="C441:C443"/>
    <mergeCell ref="D441:D443"/>
    <mergeCell ref="AJ441:AJ443"/>
    <mergeCell ref="AK441:AK443"/>
    <mergeCell ref="AL441:AL443"/>
    <mergeCell ref="AM441:AM443"/>
    <mergeCell ref="AN441:AN443"/>
    <mergeCell ref="AO441:AO443"/>
    <mergeCell ref="AP441:AP443"/>
    <mergeCell ref="AQ441:AQ443"/>
    <mergeCell ref="AR441:AR443"/>
    <mergeCell ref="AS441:AS443"/>
    <mergeCell ref="A444:A446"/>
    <mergeCell ref="B444:B446"/>
    <mergeCell ref="C444:C446"/>
    <mergeCell ref="D444:D446"/>
    <mergeCell ref="AJ444:AJ446"/>
    <mergeCell ref="AK444:AK446"/>
    <mergeCell ref="AL444:AL446"/>
    <mergeCell ref="AM444:AM446"/>
    <mergeCell ref="AN444:AN446"/>
    <mergeCell ref="AO444:AO446"/>
    <mergeCell ref="AP444:AP446"/>
    <mergeCell ref="AQ444:AQ446"/>
    <mergeCell ref="AR444:AR446"/>
    <mergeCell ref="AS444:AS446"/>
    <mergeCell ref="A447:A449"/>
    <mergeCell ref="B447:B449"/>
    <mergeCell ref="C447:C449"/>
    <mergeCell ref="D447:D449"/>
    <mergeCell ref="AJ447:AJ449"/>
    <mergeCell ref="AK447:AK449"/>
    <mergeCell ref="AL447:AL449"/>
    <mergeCell ref="AM447:AM449"/>
    <mergeCell ref="AN447:AN449"/>
    <mergeCell ref="AO447:AO449"/>
    <mergeCell ref="AP447:AP449"/>
    <mergeCell ref="AQ447:AQ449"/>
    <mergeCell ref="AR447:AR449"/>
    <mergeCell ref="AS447:AS449"/>
    <mergeCell ref="A450:A452"/>
    <mergeCell ref="B450:B452"/>
    <mergeCell ref="C450:C452"/>
    <mergeCell ref="D450:D452"/>
    <mergeCell ref="AJ450:AJ452"/>
    <mergeCell ref="AK450:AK452"/>
    <mergeCell ref="AL450:AL452"/>
    <mergeCell ref="AM450:AM452"/>
    <mergeCell ref="AN450:AN452"/>
    <mergeCell ref="AO450:AO452"/>
    <mergeCell ref="AP450:AP452"/>
    <mergeCell ref="AQ450:AQ452"/>
    <mergeCell ref="AR450:AR452"/>
    <mergeCell ref="AS450:AS452"/>
    <mergeCell ref="A453:A455"/>
    <mergeCell ref="B453:B455"/>
    <mergeCell ref="C453:C455"/>
    <mergeCell ref="D453:D455"/>
    <mergeCell ref="AJ453:AJ455"/>
    <mergeCell ref="AK453:AK455"/>
    <mergeCell ref="AL453:AL455"/>
    <mergeCell ref="AM453:AM455"/>
    <mergeCell ref="AN453:AN455"/>
    <mergeCell ref="AO453:AO455"/>
    <mergeCell ref="AP453:AP455"/>
    <mergeCell ref="AQ453:AQ455"/>
    <mergeCell ref="AR453:AR455"/>
    <mergeCell ref="AS453:AS455"/>
    <mergeCell ref="A456:A458"/>
    <mergeCell ref="B456:B458"/>
    <mergeCell ref="C456:C458"/>
    <mergeCell ref="D456:D458"/>
    <mergeCell ref="AJ456:AJ458"/>
    <mergeCell ref="AK456:AK458"/>
    <mergeCell ref="AL456:AL458"/>
    <mergeCell ref="AM456:AM458"/>
    <mergeCell ref="AN456:AN458"/>
    <mergeCell ref="AO456:AO458"/>
    <mergeCell ref="AP456:AP458"/>
    <mergeCell ref="AQ456:AQ458"/>
    <mergeCell ref="AR456:AR458"/>
    <mergeCell ref="AS456:AS458"/>
    <mergeCell ref="A459:A461"/>
    <mergeCell ref="B459:B461"/>
    <mergeCell ref="C459:C461"/>
    <mergeCell ref="D459:D461"/>
    <mergeCell ref="AJ459:AJ461"/>
    <mergeCell ref="AK459:AK461"/>
    <mergeCell ref="AL459:AL461"/>
    <mergeCell ref="AM459:AM461"/>
    <mergeCell ref="AN459:AN461"/>
    <mergeCell ref="AO459:AO461"/>
    <mergeCell ref="AP459:AP461"/>
    <mergeCell ref="AQ459:AQ461"/>
    <mergeCell ref="AR459:AR461"/>
    <mergeCell ref="AS459:AS461"/>
    <mergeCell ref="A462:A464"/>
    <mergeCell ref="B462:B464"/>
    <mergeCell ref="C462:C464"/>
    <mergeCell ref="D462:D464"/>
    <mergeCell ref="AJ462:AJ464"/>
    <mergeCell ref="AK462:AK464"/>
    <mergeCell ref="AL462:AL464"/>
    <mergeCell ref="AM462:AM464"/>
    <mergeCell ref="AN462:AN464"/>
    <mergeCell ref="AO462:AO464"/>
    <mergeCell ref="AP462:AP464"/>
    <mergeCell ref="AQ462:AQ464"/>
    <mergeCell ref="AR462:AR464"/>
    <mergeCell ref="AS462:AS464"/>
    <mergeCell ref="A465:A467"/>
    <mergeCell ref="B465:B467"/>
    <mergeCell ref="C465:C467"/>
    <mergeCell ref="D465:D467"/>
    <mergeCell ref="AJ465:AJ467"/>
    <mergeCell ref="AK465:AK467"/>
    <mergeCell ref="AL465:AL467"/>
    <mergeCell ref="AM465:AM467"/>
    <mergeCell ref="AN465:AN467"/>
    <mergeCell ref="AO465:AO467"/>
    <mergeCell ref="AP465:AP467"/>
    <mergeCell ref="AQ465:AQ467"/>
    <mergeCell ref="AR465:AR467"/>
    <mergeCell ref="AS465:AS467"/>
    <mergeCell ref="A468:A470"/>
    <mergeCell ref="B468:B470"/>
    <mergeCell ref="C468:C470"/>
    <mergeCell ref="D468:D470"/>
    <mergeCell ref="AJ468:AJ470"/>
    <mergeCell ref="AK468:AK470"/>
    <mergeCell ref="AL468:AL470"/>
    <mergeCell ref="AM468:AM470"/>
    <mergeCell ref="AN468:AN470"/>
    <mergeCell ref="AO468:AO470"/>
    <mergeCell ref="AP468:AP470"/>
    <mergeCell ref="AQ468:AQ470"/>
    <mergeCell ref="AR468:AR470"/>
    <mergeCell ref="AS468:AS470"/>
    <mergeCell ref="A471:A473"/>
    <mergeCell ref="B471:B473"/>
    <mergeCell ref="C471:C473"/>
    <mergeCell ref="D471:D473"/>
    <mergeCell ref="AJ471:AJ473"/>
    <mergeCell ref="AK471:AK473"/>
    <mergeCell ref="AL471:AL473"/>
    <mergeCell ref="AM471:AM473"/>
    <mergeCell ref="AN471:AN473"/>
    <mergeCell ref="AO471:AO473"/>
    <mergeCell ref="AP471:AP473"/>
    <mergeCell ref="AQ471:AQ473"/>
    <mergeCell ref="AR471:AR473"/>
    <mergeCell ref="AS471:AS473"/>
    <mergeCell ref="A474:A476"/>
    <mergeCell ref="B474:B476"/>
    <mergeCell ref="C474:C476"/>
    <mergeCell ref="D474:D476"/>
    <mergeCell ref="AJ474:AJ476"/>
    <mergeCell ref="AK474:AK476"/>
    <mergeCell ref="AL474:AL476"/>
    <mergeCell ref="AM474:AM476"/>
    <mergeCell ref="AN474:AN476"/>
    <mergeCell ref="AO474:AO476"/>
    <mergeCell ref="AP474:AP476"/>
    <mergeCell ref="AQ474:AQ476"/>
    <mergeCell ref="AR474:AR476"/>
    <mergeCell ref="AS474:AS476"/>
    <mergeCell ref="A477:A479"/>
    <mergeCell ref="B477:B479"/>
    <mergeCell ref="C477:C479"/>
    <mergeCell ref="D477:D479"/>
    <mergeCell ref="AJ477:AJ479"/>
    <mergeCell ref="AK477:AK479"/>
    <mergeCell ref="AL477:AL479"/>
    <mergeCell ref="AM477:AM479"/>
    <mergeCell ref="AN477:AN479"/>
    <mergeCell ref="AO477:AO479"/>
    <mergeCell ref="AP477:AP479"/>
    <mergeCell ref="AQ477:AQ479"/>
    <mergeCell ref="AR477:AR479"/>
    <mergeCell ref="AS477:AS479"/>
    <mergeCell ref="A480:A482"/>
    <mergeCell ref="B480:B482"/>
    <mergeCell ref="C480:C482"/>
    <mergeCell ref="D480:D482"/>
    <mergeCell ref="AJ480:AJ482"/>
    <mergeCell ref="AK480:AK482"/>
    <mergeCell ref="AL480:AL482"/>
    <mergeCell ref="AM480:AM482"/>
    <mergeCell ref="AN480:AN482"/>
    <mergeCell ref="AO480:AO482"/>
    <mergeCell ref="AP480:AP482"/>
    <mergeCell ref="AQ480:AQ482"/>
    <mergeCell ref="AR480:AR482"/>
    <mergeCell ref="AS480:AS482"/>
    <mergeCell ref="A483:A485"/>
    <mergeCell ref="B483:B485"/>
    <mergeCell ref="C483:C485"/>
    <mergeCell ref="D483:D485"/>
    <mergeCell ref="AJ483:AJ485"/>
    <mergeCell ref="AK483:AK485"/>
    <mergeCell ref="AL483:AL485"/>
    <mergeCell ref="AM483:AM485"/>
    <mergeCell ref="AN483:AN485"/>
    <mergeCell ref="AO483:AO485"/>
    <mergeCell ref="AP483:AP485"/>
    <mergeCell ref="AQ483:AQ485"/>
    <mergeCell ref="AR483:AR485"/>
    <mergeCell ref="AS483:AS485"/>
    <mergeCell ref="A486:A488"/>
    <mergeCell ref="B486:B488"/>
    <mergeCell ref="C486:C488"/>
    <mergeCell ref="D486:D488"/>
    <mergeCell ref="AJ486:AJ488"/>
    <mergeCell ref="AK486:AK488"/>
    <mergeCell ref="AL486:AL488"/>
    <mergeCell ref="AM486:AM488"/>
    <mergeCell ref="AN486:AN488"/>
    <mergeCell ref="AO486:AO488"/>
    <mergeCell ref="AP486:AP488"/>
    <mergeCell ref="AQ486:AQ488"/>
    <mergeCell ref="AR486:AR488"/>
    <mergeCell ref="AS486:AS488"/>
    <mergeCell ref="A489:A491"/>
    <mergeCell ref="B489:B491"/>
    <mergeCell ref="C489:C491"/>
    <mergeCell ref="D489:D491"/>
    <mergeCell ref="AJ489:AJ491"/>
    <mergeCell ref="AK489:AK491"/>
    <mergeCell ref="AL489:AL491"/>
    <mergeCell ref="AM489:AM491"/>
    <mergeCell ref="AN489:AN491"/>
    <mergeCell ref="AO489:AO491"/>
    <mergeCell ref="AP489:AP491"/>
    <mergeCell ref="AQ489:AQ491"/>
    <mergeCell ref="AR489:AR491"/>
    <mergeCell ref="AS489:AS491"/>
    <mergeCell ref="A492:A494"/>
    <mergeCell ref="B492:B494"/>
    <mergeCell ref="C492:C494"/>
    <mergeCell ref="D492:D494"/>
    <mergeCell ref="AJ492:AJ494"/>
    <mergeCell ref="AK492:AK494"/>
    <mergeCell ref="AL492:AL494"/>
    <mergeCell ref="AM492:AM494"/>
    <mergeCell ref="AN492:AN494"/>
    <mergeCell ref="AO492:AO494"/>
    <mergeCell ref="AP492:AP494"/>
    <mergeCell ref="AQ492:AQ494"/>
    <mergeCell ref="AR492:AR494"/>
    <mergeCell ref="AS492:AS494"/>
    <mergeCell ref="A495:A497"/>
    <mergeCell ref="B495:B497"/>
    <mergeCell ref="C495:C497"/>
    <mergeCell ref="D495:D497"/>
    <mergeCell ref="AJ495:AJ497"/>
    <mergeCell ref="AK495:AK497"/>
    <mergeCell ref="AL495:AL497"/>
    <mergeCell ref="AM495:AM497"/>
    <mergeCell ref="AN495:AN497"/>
    <mergeCell ref="AO495:AO497"/>
    <mergeCell ref="AP495:AP497"/>
    <mergeCell ref="AQ495:AQ497"/>
    <mergeCell ref="AR495:AR497"/>
    <mergeCell ref="AS495:AS497"/>
    <mergeCell ref="A498:A500"/>
    <mergeCell ref="B498:B500"/>
    <mergeCell ref="C498:C500"/>
    <mergeCell ref="D498:D500"/>
    <mergeCell ref="AJ498:AJ500"/>
    <mergeCell ref="AK498:AK500"/>
    <mergeCell ref="AL498:AL500"/>
    <mergeCell ref="AM498:AM500"/>
    <mergeCell ref="AN498:AN500"/>
    <mergeCell ref="AO498:AO500"/>
    <mergeCell ref="AP498:AP500"/>
    <mergeCell ref="AQ498:AQ500"/>
    <mergeCell ref="AR498:AR500"/>
    <mergeCell ref="AS498:AS500"/>
    <mergeCell ref="A501:A503"/>
    <mergeCell ref="B501:B503"/>
    <mergeCell ref="C501:C503"/>
    <mergeCell ref="D501:D503"/>
    <mergeCell ref="AJ501:AJ503"/>
    <mergeCell ref="AK501:AK503"/>
    <mergeCell ref="AL501:AL503"/>
    <mergeCell ref="AM501:AM503"/>
    <mergeCell ref="AN501:AN503"/>
    <mergeCell ref="AO501:AO503"/>
    <mergeCell ref="AP501:AP503"/>
    <mergeCell ref="AQ501:AQ503"/>
    <mergeCell ref="AR501:AR503"/>
    <mergeCell ref="AS501:AS503"/>
    <mergeCell ref="A504:A506"/>
    <mergeCell ref="B504:B506"/>
    <mergeCell ref="C504:C506"/>
    <mergeCell ref="D504:D506"/>
    <mergeCell ref="AJ504:AJ506"/>
    <mergeCell ref="AK504:AK506"/>
    <mergeCell ref="AL504:AL506"/>
    <mergeCell ref="AM504:AM506"/>
    <mergeCell ref="AN504:AN506"/>
    <mergeCell ref="AO504:AO506"/>
    <mergeCell ref="AP504:AP506"/>
    <mergeCell ref="AQ504:AQ506"/>
    <mergeCell ref="AR504:AR506"/>
    <mergeCell ref="AS504:AS506"/>
    <mergeCell ref="A507:A509"/>
    <mergeCell ref="B507:B509"/>
    <mergeCell ref="C507:C509"/>
    <mergeCell ref="D507:D509"/>
    <mergeCell ref="AJ507:AJ509"/>
    <mergeCell ref="AK507:AK509"/>
    <mergeCell ref="AL507:AL509"/>
    <mergeCell ref="AM507:AM509"/>
    <mergeCell ref="AN507:AN509"/>
    <mergeCell ref="AO507:AO509"/>
    <mergeCell ref="AP507:AP509"/>
    <mergeCell ref="AQ507:AQ509"/>
    <mergeCell ref="AR507:AR509"/>
    <mergeCell ref="AS507:AS509"/>
    <mergeCell ref="A510:A512"/>
    <mergeCell ref="B510:B512"/>
    <mergeCell ref="C510:C512"/>
    <mergeCell ref="D510:D512"/>
    <mergeCell ref="AJ510:AJ512"/>
    <mergeCell ref="AK510:AK512"/>
    <mergeCell ref="AL510:AL512"/>
    <mergeCell ref="AM510:AM512"/>
    <mergeCell ref="AN510:AN512"/>
    <mergeCell ref="AO510:AO512"/>
    <mergeCell ref="AP510:AP512"/>
    <mergeCell ref="AQ510:AQ512"/>
    <mergeCell ref="AR510:AR512"/>
    <mergeCell ref="AS510:AS512"/>
    <mergeCell ref="A513:A515"/>
    <mergeCell ref="B513:B515"/>
    <mergeCell ref="C513:C515"/>
    <mergeCell ref="D513:D515"/>
    <mergeCell ref="AJ513:AJ515"/>
    <mergeCell ref="AK513:AK515"/>
    <mergeCell ref="AL513:AL515"/>
    <mergeCell ref="AM513:AM515"/>
    <mergeCell ref="AN513:AN515"/>
    <mergeCell ref="AO513:AO515"/>
    <mergeCell ref="AP513:AP515"/>
    <mergeCell ref="AQ513:AQ515"/>
    <mergeCell ref="AR513:AR515"/>
    <mergeCell ref="AS513:AS515"/>
    <mergeCell ref="A516:A518"/>
    <mergeCell ref="B516:B518"/>
    <mergeCell ref="C516:C518"/>
    <mergeCell ref="D516:D518"/>
    <mergeCell ref="AJ516:AJ518"/>
    <mergeCell ref="AK516:AK518"/>
    <mergeCell ref="AL516:AL518"/>
    <mergeCell ref="AM516:AM518"/>
    <mergeCell ref="AN516:AN518"/>
    <mergeCell ref="AO516:AO518"/>
    <mergeCell ref="AP516:AP518"/>
    <mergeCell ref="AQ516:AQ518"/>
    <mergeCell ref="AR516:AR518"/>
    <mergeCell ref="AS516:AS518"/>
    <mergeCell ref="A519:A521"/>
    <mergeCell ref="B519:B521"/>
    <mergeCell ref="C519:C521"/>
    <mergeCell ref="D519:D521"/>
    <mergeCell ref="AJ519:AJ521"/>
    <mergeCell ref="AK519:AK521"/>
    <mergeCell ref="AL519:AL521"/>
    <mergeCell ref="AM519:AM521"/>
    <mergeCell ref="AN519:AN521"/>
    <mergeCell ref="AO519:AO521"/>
    <mergeCell ref="AP519:AP521"/>
    <mergeCell ref="AQ519:AQ521"/>
    <mergeCell ref="AR519:AR521"/>
    <mergeCell ref="AS519:AS521"/>
    <mergeCell ref="A522:A524"/>
    <mergeCell ref="B522:B524"/>
    <mergeCell ref="C522:C524"/>
    <mergeCell ref="D522:D524"/>
    <mergeCell ref="AJ522:AJ524"/>
    <mergeCell ref="AK522:AK524"/>
    <mergeCell ref="AL522:AL524"/>
    <mergeCell ref="AM522:AM524"/>
    <mergeCell ref="AN522:AN524"/>
    <mergeCell ref="AO522:AO524"/>
    <mergeCell ref="AP522:AP524"/>
    <mergeCell ref="AQ522:AQ524"/>
    <mergeCell ref="AR522:AR524"/>
    <mergeCell ref="AS522:AS524"/>
    <mergeCell ref="A525:A527"/>
    <mergeCell ref="B525:B527"/>
    <mergeCell ref="C525:C527"/>
    <mergeCell ref="D525:D527"/>
    <mergeCell ref="AJ525:AJ527"/>
    <mergeCell ref="AK525:AK527"/>
    <mergeCell ref="AL525:AL527"/>
    <mergeCell ref="AM525:AM527"/>
    <mergeCell ref="AN525:AN527"/>
    <mergeCell ref="AO525:AO527"/>
    <mergeCell ref="AP525:AP527"/>
    <mergeCell ref="AQ525:AQ527"/>
    <mergeCell ref="AR525:AR527"/>
    <mergeCell ref="AS525:AS527"/>
    <mergeCell ref="A528:A530"/>
    <mergeCell ref="B528:B530"/>
    <mergeCell ref="C528:C530"/>
    <mergeCell ref="D528:D530"/>
    <mergeCell ref="AJ528:AJ530"/>
    <mergeCell ref="AK528:AK530"/>
    <mergeCell ref="AL528:AL530"/>
    <mergeCell ref="AM528:AM530"/>
    <mergeCell ref="AN528:AN530"/>
    <mergeCell ref="AO528:AO530"/>
    <mergeCell ref="AP528:AP530"/>
    <mergeCell ref="AQ528:AQ530"/>
    <mergeCell ref="AR528:AR530"/>
    <mergeCell ref="AS528:AS530"/>
    <mergeCell ref="A531:A533"/>
    <mergeCell ref="B531:B533"/>
    <mergeCell ref="C531:C533"/>
    <mergeCell ref="D531:D533"/>
    <mergeCell ref="AJ531:AJ533"/>
    <mergeCell ref="AK531:AK533"/>
    <mergeCell ref="AL531:AL533"/>
    <mergeCell ref="AM531:AM533"/>
    <mergeCell ref="AN531:AN533"/>
    <mergeCell ref="AO531:AO533"/>
    <mergeCell ref="AP531:AP533"/>
    <mergeCell ref="AQ531:AQ533"/>
    <mergeCell ref="AR531:AR533"/>
    <mergeCell ref="AS531:AS533"/>
    <mergeCell ref="A534:A536"/>
    <mergeCell ref="B534:B536"/>
    <mergeCell ref="C534:C536"/>
    <mergeCell ref="D534:D536"/>
    <mergeCell ref="AJ534:AJ536"/>
    <mergeCell ref="AK534:AK536"/>
    <mergeCell ref="AL534:AL536"/>
    <mergeCell ref="AM534:AM536"/>
    <mergeCell ref="AN534:AN536"/>
    <mergeCell ref="AO534:AO536"/>
    <mergeCell ref="AP534:AP536"/>
    <mergeCell ref="AQ534:AQ536"/>
    <mergeCell ref="AR534:AR536"/>
    <mergeCell ref="AS534:AS536"/>
    <mergeCell ref="A537:A539"/>
    <mergeCell ref="B537:B539"/>
    <mergeCell ref="C537:C539"/>
    <mergeCell ref="D537:D539"/>
    <mergeCell ref="AJ537:AJ539"/>
    <mergeCell ref="AK537:AK539"/>
    <mergeCell ref="AL537:AL539"/>
    <mergeCell ref="AM537:AM539"/>
    <mergeCell ref="AN537:AN539"/>
    <mergeCell ref="AO537:AO539"/>
    <mergeCell ref="AP537:AP539"/>
    <mergeCell ref="AQ537:AQ539"/>
    <mergeCell ref="AR537:AR539"/>
    <mergeCell ref="AS537:AS539"/>
    <mergeCell ref="A540:A542"/>
    <mergeCell ref="B540:B542"/>
    <mergeCell ref="C540:C542"/>
    <mergeCell ref="D540:D542"/>
    <mergeCell ref="AJ540:AJ542"/>
    <mergeCell ref="AK540:AK542"/>
    <mergeCell ref="AL540:AL542"/>
    <mergeCell ref="AM540:AM542"/>
    <mergeCell ref="AN540:AN542"/>
    <mergeCell ref="AO540:AO542"/>
    <mergeCell ref="AP540:AP542"/>
    <mergeCell ref="AQ540:AQ542"/>
    <mergeCell ref="AR540:AR542"/>
    <mergeCell ref="AS540:AS542"/>
    <mergeCell ref="A543:A545"/>
    <mergeCell ref="B543:B545"/>
    <mergeCell ref="C543:C545"/>
    <mergeCell ref="D543:D545"/>
    <mergeCell ref="AJ543:AJ545"/>
    <mergeCell ref="AK543:AK545"/>
    <mergeCell ref="AL543:AL545"/>
    <mergeCell ref="AM543:AM545"/>
    <mergeCell ref="AN543:AN545"/>
    <mergeCell ref="AO543:AO545"/>
    <mergeCell ref="AP543:AP545"/>
    <mergeCell ref="AQ543:AQ545"/>
    <mergeCell ref="AR543:AR545"/>
    <mergeCell ref="AS543:AS545"/>
    <mergeCell ref="A546:A548"/>
    <mergeCell ref="B546:B548"/>
    <mergeCell ref="C546:C548"/>
    <mergeCell ref="D546:D548"/>
    <mergeCell ref="AJ546:AJ548"/>
    <mergeCell ref="AK546:AK548"/>
    <mergeCell ref="AL546:AL548"/>
    <mergeCell ref="AM546:AM548"/>
    <mergeCell ref="AN546:AN548"/>
    <mergeCell ref="AO546:AO548"/>
    <mergeCell ref="AP546:AP548"/>
    <mergeCell ref="AQ546:AQ548"/>
    <mergeCell ref="AR546:AR548"/>
    <mergeCell ref="AS546:AS548"/>
    <mergeCell ref="A549:A551"/>
    <mergeCell ref="B549:B551"/>
    <mergeCell ref="C549:C551"/>
    <mergeCell ref="D549:D551"/>
    <mergeCell ref="AJ549:AJ551"/>
    <mergeCell ref="AK549:AK551"/>
    <mergeCell ref="AL549:AL551"/>
    <mergeCell ref="AM549:AM551"/>
    <mergeCell ref="AN549:AN551"/>
    <mergeCell ref="AO549:AO551"/>
    <mergeCell ref="AP549:AP551"/>
    <mergeCell ref="AQ549:AQ551"/>
    <mergeCell ref="AR549:AR551"/>
    <mergeCell ref="AS549:AS551"/>
    <mergeCell ref="A552:A554"/>
    <mergeCell ref="B552:B554"/>
    <mergeCell ref="C552:C554"/>
    <mergeCell ref="D552:D554"/>
    <mergeCell ref="AJ552:AJ554"/>
    <mergeCell ref="AK552:AK554"/>
    <mergeCell ref="AL552:AL554"/>
    <mergeCell ref="AM552:AM554"/>
    <mergeCell ref="AN552:AN554"/>
    <mergeCell ref="AO552:AO554"/>
    <mergeCell ref="AP552:AP554"/>
    <mergeCell ref="AQ552:AQ554"/>
    <mergeCell ref="AR552:AR554"/>
    <mergeCell ref="AS552:AS554"/>
    <mergeCell ref="A555:A557"/>
    <mergeCell ref="B555:B557"/>
    <mergeCell ref="C555:C557"/>
    <mergeCell ref="D555:D557"/>
    <mergeCell ref="AJ555:AJ557"/>
    <mergeCell ref="AK555:AK557"/>
    <mergeCell ref="AL555:AL557"/>
    <mergeCell ref="AM555:AM557"/>
    <mergeCell ref="AN555:AN557"/>
    <mergeCell ref="AO555:AO557"/>
    <mergeCell ref="AP555:AP557"/>
    <mergeCell ref="AQ555:AQ557"/>
    <mergeCell ref="AR555:AR557"/>
    <mergeCell ref="AS555:AS557"/>
    <mergeCell ref="A558:A560"/>
    <mergeCell ref="B558:B560"/>
    <mergeCell ref="C558:C560"/>
    <mergeCell ref="D558:D560"/>
    <mergeCell ref="AJ558:AJ560"/>
    <mergeCell ref="AK558:AK560"/>
    <mergeCell ref="AL558:AL560"/>
    <mergeCell ref="AM558:AM560"/>
    <mergeCell ref="AN558:AN560"/>
    <mergeCell ref="AO558:AO560"/>
    <mergeCell ref="AP558:AP560"/>
    <mergeCell ref="AQ558:AQ560"/>
    <mergeCell ref="AR558:AR560"/>
    <mergeCell ref="AS558:AS560"/>
    <mergeCell ref="A561:A563"/>
    <mergeCell ref="B561:B563"/>
    <mergeCell ref="C561:C563"/>
    <mergeCell ref="D561:D563"/>
    <mergeCell ref="AJ561:AJ563"/>
    <mergeCell ref="AK561:AK563"/>
    <mergeCell ref="AL561:AL563"/>
    <mergeCell ref="AM561:AM563"/>
    <mergeCell ref="AN561:AN563"/>
    <mergeCell ref="AO561:AO563"/>
    <mergeCell ref="AP561:AP563"/>
    <mergeCell ref="AQ561:AQ563"/>
    <mergeCell ref="AR561:AR563"/>
    <mergeCell ref="AS561:AS563"/>
    <mergeCell ref="A564:A566"/>
    <mergeCell ref="B564:B566"/>
    <mergeCell ref="C564:C566"/>
    <mergeCell ref="D564:D566"/>
    <mergeCell ref="AJ564:AJ566"/>
    <mergeCell ref="AK564:AK566"/>
    <mergeCell ref="AL564:AL566"/>
    <mergeCell ref="AM564:AM566"/>
    <mergeCell ref="AN564:AN566"/>
    <mergeCell ref="AO564:AO566"/>
    <mergeCell ref="AP564:AP566"/>
    <mergeCell ref="AQ564:AQ566"/>
    <mergeCell ref="AR564:AR566"/>
    <mergeCell ref="AS564:AS566"/>
    <mergeCell ref="A567:A569"/>
    <mergeCell ref="B567:B569"/>
    <mergeCell ref="C567:C569"/>
    <mergeCell ref="D567:D569"/>
    <mergeCell ref="AJ567:AJ569"/>
    <mergeCell ref="AK567:AK569"/>
    <mergeCell ref="AL567:AL569"/>
    <mergeCell ref="AM567:AM569"/>
    <mergeCell ref="AN567:AN569"/>
    <mergeCell ref="AO567:AO569"/>
    <mergeCell ref="AP567:AP569"/>
    <mergeCell ref="AQ567:AQ569"/>
    <mergeCell ref="AR567:AR569"/>
    <mergeCell ref="AS567:AS569"/>
    <mergeCell ref="A570:A572"/>
    <mergeCell ref="B570:B572"/>
    <mergeCell ref="C570:C572"/>
    <mergeCell ref="D570:D572"/>
    <mergeCell ref="AJ570:AJ572"/>
    <mergeCell ref="AK570:AK572"/>
    <mergeCell ref="AL570:AL572"/>
    <mergeCell ref="AM570:AM572"/>
    <mergeCell ref="AN570:AN572"/>
    <mergeCell ref="AO570:AO572"/>
    <mergeCell ref="AP570:AP572"/>
    <mergeCell ref="AQ570:AQ572"/>
    <mergeCell ref="AR570:AR572"/>
    <mergeCell ref="AS570:AS572"/>
    <mergeCell ref="A573:A575"/>
    <mergeCell ref="B573:B575"/>
    <mergeCell ref="C573:C575"/>
    <mergeCell ref="D573:D575"/>
    <mergeCell ref="AJ573:AJ575"/>
    <mergeCell ref="AK573:AK575"/>
    <mergeCell ref="AL573:AL575"/>
    <mergeCell ref="AM573:AM575"/>
    <mergeCell ref="AN573:AN575"/>
    <mergeCell ref="AO573:AO575"/>
    <mergeCell ref="AP573:AP575"/>
    <mergeCell ref="AQ573:AQ575"/>
    <mergeCell ref="AR573:AR575"/>
    <mergeCell ref="AS573:AS575"/>
    <mergeCell ref="A576:A578"/>
    <mergeCell ref="B576:B578"/>
    <mergeCell ref="C576:C578"/>
    <mergeCell ref="D576:D578"/>
    <mergeCell ref="AJ576:AJ578"/>
    <mergeCell ref="AK576:AK578"/>
    <mergeCell ref="AL576:AL578"/>
    <mergeCell ref="AM576:AM578"/>
    <mergeCell ref="AN576:AN578"/>
    <mergeCell ref="AO576:AO578"/>
    <mergeCell ref="AP576:AP578"/>
    <mergeCell ref="AQ576:AQ578"/>
    <mergeCell ref="AR576:AR578"/>
    <mergeCell ref="AS576:AS578"/>
    <mergeCell ref="A579:A581"/>
    <mergeCell ref="B579:B581"/>
    <mergeCell ref="C579:C581"/>
    <mergeCell ref="D579:D581"/>
    <mergeCell ref="AJ579:AJ581"/>
    <mergeCell ref="AK579:AK581"/>
    <mergeCell ref="AL579:AL581"/>
    <mergeCell ref="AM579:AM581"/>
    <mergeCell ref="AN579:AN581"/>
    <mergeCell ref="AO579:AO581"/>
    <mergeCell ref="AP579:AP581"/>
    <mergeCell ref="AQ579:AQ581"/>
    <mergeCell ref="AR579:AR581"/>
    <mergeCell ref="AS579:AS581"/>
    <mergeCell ref="A582:A584"/>
    <mergeCell ref="B582:B584"/>
    <mergeCell ref="C582:C584"/>
    <mergeCell ref="D582:D584"/>
    <mergeCell ref="AJ582:AJ584"/>
    <mergeCell ref="AK582:AK584"/>
    <mergeCell ref="AL582:AL584"/>
    <mergeCell ref="AM582:AM584"/>
    <mergeCell ref="AN582:AN584"/>
    <mergeCell ref="AO582:AO584"/>
    <mergeCell ref="AP582:AP584"/>
    <mergeCell ref="AQ582:AQ584"/>
    <mergeCell ref="AR582:AR584"/>
    <mergeCell ref="AS582:AS584"/>
    <mergeCell ref="A585:A587"/>
    <mergeCell ref="B585:B587"/>
    <mergeCell ref="C585:C587"/>
    <mergeCell ref="D585:D587"/>
    <mergeCell ref="AJ585:AJ587"/>
    <mergeCell ref="AK585:AK587"/>
    <mergeCell ref="AL585:AL587"/>
    <mergeCell ref="AM585:AM587"/>
    <mergeCell ref="AN585:AN587"/>
    <mergeCell ref="AO585:AO587"/>
    <mergeCell ref="AP585:AP587"/>
    <mergeCell ref="AQ585:AQ587"/>
    <mergeCell ref="AR585:AR587"/>
    <mergeCell ref="AS585:AS587"/>
    <mergeCell ref="A588:A590"/>
    <mergeCell ref="B588:B590"/>
    <mergeCell ref="C588:C590"/>
    <mergeCell ref="D588:D590"/>
    <mergeCell ref="AJ588:AJ590"/>
    <mergeCell ref="AK588:AK590"/>
    <mergeCell ref="AL588:AL590"/>
    <mergeCell ref="AM588:AM590"/>
    <mergeCell ref="AN588:AN590"/>
    <mergeCell ref="AO588:AO590"/>
    <mergeCell ref="AP588:AP590"/>
    <mergeCell ref="AQ588:AQ590"/>
    <mergeCell ref="AR588:AR590"/>
    <mergeCell ref="AS588:AS590"/>
    <mergeCell ref="A591:A593"/>
    <mergeCell ref="B591:B593"/>
    <mergeCell ref="C591:C593"/>
    <mergeCell ref="D591:D593"/>
    <mergeCell ref="AJ591:AJ593"/>
    <mergeCell ref="AK591:AK593"/>
    <mergeCell ref="AL591:AL593"/>
    <mergeCell ref="AM591:AM593"/>
    <mergeCell ref="AN591:AN593"/>
    <mergeCell ref="AO591:AO593"/>
    <mergeCell ref="AP591:AP593"/>
    <mergeCell ref="AQ591:AQ593"/>
    <mergeCell ref="AR591:AR593"/>
    <mergeCell ref="AS591:AS593"/>
    <mergeCell ref="A594:A596"/>
    <mergeCell ref="B594:B596"/>
    <mergeCell ref="C594:C596"/>
    <mergeCell ref="D594:D596"/>
    <mergeCell ref="AJ594:AJ596"/>
    <mergeCell ref="AK594:AK596"/>
    <mergeCell ref="AL594:AL596"/>
    <mergeCell ref="AM594:AM596"/>
    <mergeCell ref="AN594:AN596"/>
    <mergeCell ref="AO594:AO596"/>
    <mergeCell ref="AP594:AP596"/>
    <mergeCell ref="AQ594:AQ596"/>
    <mergeCell ref="AR594:AR596"/>
    <mergeCell ref="AS594:AS596"/>
    <mergeCell ref="A597:A599"/>
    <mergeCell ref="B597:B599"/>
    <mergeCell ref="C597:C599"/>
    <mergeCell ref="D597:D599"/>
    <mergeCell ref="AJ597:AJ599"/>
    <mergeCell ref="AK597:AK599"/>
    <mergeCell ref="AL597:AL599"/>
    <mergeCell ref="AM597:AM599"/>
    <mergeCell ref="AN597:AN599"/>
    <mergeCell ref="AO597:AO599"/>
    <mergeCell ref="AP597:AP599"/>
    <mergeCell ref="AQ597:AQ599"/>
    <mergeCell ref="AR597:AR599"/>
    <mergeCell ref="AS597:AS599"/>
    <mergeCell ref="A600:A602"/>
    <mergeCell ref="B600:B602"/>
    <mergeCell ref="C600:C602"/>
    <mergeCell ref="D600:D602"/>
    <mergeCell ref="AJ600:AJ602"/>
    <mergeCell ref="AK600:AK602"/>
    <mergeCell ref="AL600:AL602"/>
    <mergeCell ref="AM600:AM602"/>
    <mergeCell ref="AN600:AN602"/>
    <mergeCell ref="AO600:AO602"/>
    <mergeCell ref="AP600:AP602"/>
    <mergeCell ref="AQ600:AQ602"/>
    <mergeCell ref="AR600:AR602"/>
    <mergeCell ref="AS600:AS602"/>
    <mergeCell ref="A603:A605"/>
    <mergeCell ref="B603:B605"/>
    <mergeCell ref="C603:C605"/>
    <mergeCell ref="D603:D605"/>
    <mergeCell ref="AJ603:AJ605"/>
    <mergeCell ref="AK603:AK605"/>
    <mergeCell ref="AL603:AL605"/>
    <mergeCell ref="AM603:AM605"/>
    <mergeCell ref="AN603:AN605"/>
    <mergeCell ref="AO603:AO605"/>
    <mergeCell ref="AP603:AP605"/>
    <mergeCell ref="AQ603:AQ605"/>
    <mergeCell ref="AR603:AR605"/>
    <mergeCell ref="AS603:AS605"/>
    <mergeCell ref="A606:A608"/>
    <mergeCell ref="B606:B608"/>
    <mergeCell ref="C606:C608"/>
    <mergeCell ref="D606:D608"/>
    <mergeCell ref="AJ606:AJ608"/>
    <mergeCell ref="AK606:AK608"/>
    <mergeCell ref="AL606:AL608"/>
    <mergeCell ref="AM606:AM608"/>
    <mergeCell ref="AN606:AN608"/>
    <mergeCell ref="AO606:AO608"/>
    <mergeCell ref="AP606:AP608"/>
    <mergeCell ref="AQ606:AQ608"/>
    <mergeCell ref="AR606:AR608"/>
    <mergeCell ref="AS606:AS608"/>
    <mergeCell ref="A609:A611"/>
    <mergeCell ref="B609:B611"/>
    <mergeCell ref="C609:C611"/>
    <mergeCell ref="D609:D611"/>
    <mergeCell ref="AJ609:AJ611"/>
    <mergeCell ref="AK609:AK611"/>
    <mergeCell ref="AL609:AL611"/>
    <mergeCell ref="AM609:AM611"/>
    <mergeCell ref="AN609:AN611"/>
    <mergeCell ref="AO609:AO611"/>
    <mergeCell ref="AP609:AP611"/>
    <mergeCell ref="AQ609:AQ611"/>
    <mergeCell ref="AR609:AR611"/>
    <mergeCell ref="AS609:AS611"/>
    <mergeCell ref="A612:A614"/>
    <mergeCell ref="B612:B614"/>
    <mergeCell ref="C612:C614"/>
    <mergeCell ref="D612:D614"/>
    <mergeCell ref="AJ612:AJ614"/>
    <mergeCell ref="AK612:AK614"/>
    <mergeCell ref="AL612:AL614"/>
    <mergeCell ref="AM612:AM614"/>
    <mergeCell ref="AN612:AN614"/>
    <mergeCell ref="AO612:AO614"/>
    <mergeCell ref="AP612:AP614"/>
    <mergeCell ref="AQ612:AQ614"/>
    <mergeCell ref="AR612:AR614"/>
    <mergeCell ref="AS612:AS614"/>
    <mergeCell ref="A615:A617"/>
    <mergeCell ref="B615:B617"/>
    <mergeCell ref="C615:C617"/>
    <mergeCell ref="D615:D617"/>
    <mergeCell ref="AJ615:AJ617"/>
    <mergeCell ref="AK615:AK617"/>
    <mergeCell ref="AL615:AL617"/>
    <mergeCell ref="AM615:AM617"/>
    <mergeCell ref="AN615:AN617"/>
    <mergeCell ref="AO615:AO617"/>
    <mergeCell ref="AP615:AP617"/>
    <mergeCell ref="AQ615:AQ617"/>
    <mergeCell ref="AR615:AR617"/>
    <mergeCell ref="AS615:AS617"/>
    <mergeCell ref="A618:A620"/>
    <mergeCell ref="B618:B620"/>
    <mergeCell ref="C618:C620"/>
    <mergeCell ref="D618:D620"/>
    <mergeCell ref="AJ618:AJ620"/>
    <mergeCell ref="AK618:AK620"/>
    <mergeCell ref="AL618:AL620"/>
    <mergeCell ref="AM618:AM620"/>
    <mergeCell ref="AN618:AN620"/>
    <mergeCell ref="AO618:AO620"/>
    <mergeCell ref="AP618:AP620"/>
    <mergeCell ref="AQ618:AQ620"/>
    <mergeCell ref="AR618:AR620"/>
    <mergeCell ref="AS618:AS620"/>
    <mergeCell ref="A621:A623"/>
    <mergeCell ref="B621:B623"/>
    <mergeCell ref="C621:C623"/>
    <mergeCell ref="D621:D623"/>
    <mergeCell ref="AJ621:AJ623"/>
    <mergeCell ref="AK621:AK623"/>
    <mergeCell ref="AL621:AL623"/>
    <mergeCell ref="AM621:AM623"/>
    <mergeCell ref="AN621:AN623"/>
    <mergeCell ref="AO621:AO623"/>
    <mergeCell ref="AP621:AP623"/>
    <mergeCell ref="AQ621:AQ623"/>
    <mergeCell ref="AR621:AR623"/>
    <mergeCell ref="AS621:AS623"/>
    <mergeCell ref="A624:A626"/>
    <mergeCell ref="B624:B626"/>
    <mergeCell ref="C624:C626"/>
    <mergeCell ref="D624:D626"/>
    <mergeCell ref="AJ624:AJ626"/>
    <mergeCell ref="AK624:AK626"/>
    <mergeCell ref="AL624:AL626"/>
    <mergeCell ref="AM624:AM626"/>
    <mergeCell ref="AN624:AN626"/>
    <mergeCell ref="AO624:AO626"/>
    <mergeCell ref="AP624:AP626"/>
    <mergeCell ref="AQ624:AQ626"/>
    <mergeCell ref="AR624:AR626"/>
    <mergeCell ref="AS624:AS626"/>
    <mergeCell ref="A627:A629"/>
    <mergeCell ref="B627:B629"/>
    <mergeCell ref="C627:C629"/>
    <mergeCell ref="D627:D629"/>
    <mergeCell ref="AJ627:AJ629"/>
    <mergeCell ref="AK627:AK629"/>
    <mergeCell ref="AL627:AL629"/>
    <mergeCell ref="AM627:AM629"/>
    <mergeCell ref="AN627:AN629"/>
    <mergeCell ref="AO627:AO629"/>
    <mergeCell ref="AP627:AP629"/>
    <mergeCell ref="AQ627:AQ629"/>
    <mergeCell ref="AR627:AR629"/>
    <mergeCell ref="AS627:AS629"/>
    <mergeCell ref="A630:A632"/>
    <mergeCell ref="B630:B632"/>
    <mergeCell ref="C630:C632"/>
    <mergeCell ref="D630:D632"/>
    <mergeCell ref="AJ630:AJ632"/>
    <mergeCell ref="AK630:AK632"/>
    <mergeCell ref="AL630:AL632"/>
    <mergeCell ref="AM630:AM632"/>
    <mergeCell ref="AN630:AN632"/>
    <mergeCell ref="AO630:AO632"/>
    <mergeCell ref="AP630:AP632"/>
    <mergeCell ref="AQ630:AQ632"/>
    <mergeCell ref="AR630:AR632"/>
    <mergeCell ref="AS630:AS632"/>
    <mergeCell ref="A633:A635"/>
    <mergeCell ref="B633:B635"/>
    <mergeCell ref="C633:C635"/>
    <mergeCell ref="D633:D635"/>
    <mergeCell ref="AJ633:AJ635"/>
    <mergeCell ref="AK633:AK635"/>
    <mergeCell ref="AL633:AL635"/>
    <mergeCell ref="AM633:AM635"/>
    <mergeCell ref="AN633:AN635"/>
    <mergeCell ref="AO633:AO635"/>
    <mergeCell ref="AP633:AP635"/>
    <mergeCell ref="AQ633:AQ635"/>
    <mergeCell ref="AR633:AR635"/>
    <mergeCell ref="AS633:AS635"/>
    <mergeCell ref="A636:A638"/>
    <mergeCell ref="B636:B638"/>
    <mergeCell ref="C636:C638"/>
    <mergeCell ref="D636:D638"/>
    <mergeCell ref="AJ636:AJ638"/>
    <mergeCell ref="AK636:AK638"/>
    <mergeCell ref="AL636:AL638"/>
    <mergeCell ref="AM636:AM638"/>
    <mergeCell ref="AN636:AN638"/>
    <mergeCell ref="AO636:AO638"/>
    <mergeCell ref="AP636:AP638"/>
    <mergeCell ref="AQ636:AQ638"/>
    <mergeCell ref="AR636:AR638"/>
    <mergeCell ref="AS636:AS638"/>
    <mergeCell ref="A639:A641"/>
    <mergeCell ref="B639:B641"/>
    <mergeCell ref="C639:C641"/>
    <mergeCell ref="D639:D641"/>
    <mergeCell ref="AJ639:AJ641"/>
    <mergeCell ref="AK639:AK641"/>
    <mergeCell ref="AL639:AL641"/>
    <mergeCell ref="AM639:AM641"/>
    <mergeCell ref="AN639:AN641"/>
    <mergeCell ref="AO639:AO641"/>
    <mergeCell ref="AP639:AP641"/>
    <mergeCell ref="AQ639:AQ641"/>
    <mergeCell ref="AR639:AR641"/>
    <mergeCell ref="AS639:AS641"/>
    <mergeCell ref="A642:A644"/>
    <mergeCell ref="B642:B644"/>
    <mergeCell ref="C642:C644"/>
    <mergeCell ref="D642:D644"/>
    <mergeCell ref="AJ642:AJ644"/>
    <mergeCell ref="AK642:AK644"/>
    <mergeCell ref="AL642:AL644"/>
    <mergeCell ref="AM642:AM644"/>
    <mergeCell ref="AN642:AN644"/>
    <mergeCell ref="AO642:AO644"/>
    <mergeCell ref="AP642:AP644"/>
    <mergeCell ref="AQ642:AQ644"/>
    <mergeCell ref="AR642:AR644"/>
    <mergeCell ref="AS642:AS644"/>
    <mergeCell ref="A645:A647"/>
    <mergeCell ref="B645:B647"/>
    <mergeCell ref="C645:C647"/>
    <mergeCell ref="D645:D647"/>
    <mergeCell ref="AJ645:AJ647"/>
    <mergeCell ref="AK645:AK647"/>
    <mergeCell ref="AL645:AL647"/>
    <mergeCell ref="AM645:AM647"/>
    <mergeCell ref="AN645:AN647"/>
    <mergeCell ref="AO645:AO647"/>
    <mergeCell ref="AP645:AP647"/>
    <mergeCell ref="AQ645:AQ647"/>
    <mergeCell ref="AR645:AR647"/>
    <mergeCell ref="AS645:AS647"/>
    <mergeCell ref="A648:A650"/>
    <mergeCell ref="B648:B650"/>
    <mergeCell ref="C648:C650"/>
    <mergeCell ref="D648:D650"/>
    <mergeCell ref="AJ648:AJ650"/>
    <mergeCell ref="AK648:AK650"/>
    <mergeCell ref="AL648:AL650"/>
    <mergeCell ref="AM648:AM650"/>
    <mergeCell ref="AN648:AN650"/>
    <mergeCell ref="AO648:AO650"/>
    <mergeCell ref="AP648:AP650"/>
    <mergeCell ref="AQ648:AQ650"/>
    <mergeCell ref="AR648:AR650"/>
    <mergeCell ref="AS648:AS650"/>
    <mergeCell ref="A651:A653"/>
    <mergeCell ref="B651:B653"/>
    <mergeCell ref="C651:C653"/>
    <mergeCell ref="D651:D653"/>
    <mergeCell ref="AJ651:AJ653"/>
    <mergeCell ref="AK651:AK653"/>
    <mergeCell ref="AL651:AL653"/>
    <mergeCell ref="AM651:AM653"/>
    <mergeCell ref="AN651:AN653"/>
    <mergeCell ref="AO651:AO653"/>
    <mergeCell ref="AP651:AP653"/>
    <mergeCell ref="AQ651:AQ653"/>
    <mergeCell ref="AR651:AR653"/>
    <mergeCell ref="AS651:AS653"/>
    <mergeCell ref="A654:A656"/>
    <mergeCell ref="B654:B656"/>
    <mergeCell ref="C654:C656"/>
    <mergeCell ref="D654:D656"/>
    <mergeCell ref="AJ654:AJ656"/>
    <mergeCell ref="AK654:AK656"/>
    <mergeCell ref="AL654:AL656"/>
    <mergeCell ref="AM654:AM656"/>
    <mergeCell ref="AN654:AN656"/>
    <mergeCell ref="AO654:AO656"/>
    <mergeCell ref="AP654:AP656"/>
    <mergeCell ref="AQ654:AQ656"/>
    <mergeCell ref="AR654:AR656"/>
    <mergeCell ref="AS654:AS656"/>
    <mergeCell ref="A657:A659"/>
    <mergeCell ref="B657:B659"/>
    <mergeCell ref="C657:C659"/>
    <mergeCell ref="D657:D659"/>
    <mergeCell ref="AJ657:AJ659"/>
    <mergeCell ref="AK657:AK659"/>
    <mergeCell ref="AL657:AL659"/>
    <mergeCell ref="AM657:AM659"/>
    <mergeCell ref="AN657:AN659"/>
    <mergeCell ref="AO657:AO659"/>
    <mergeCell ref="AP657:AP659"/>
    <mergeCell ref="AQ657:AQ659"/>
    <mergeCell ref="AR657:AR659"/>
    <mergeCell ref="AS657:AS659"/>
    <mergeCell ref="A660:A662"/>
    <mergeCell ref="B660:B662"/>
    <mergeCell ref="C660:C662"/>
    <mergeCell ref="D660:D662"/>
    <mergeCell ref="AJ660:AJ662"/>
    <mergeCell ref="AK660:AK662"/>
    <mergeCell ref="AL660:AL662"/>
    <mergeCell ref="AM660:AM662"/>
    <mergeCell ref="AN660:AN662"/>
    <mergeCell ref="AO660:AO662"/>
    <mergeCell ref="AP660:AP662"/>
    <mergeCell ref="AQ660:AQ662"/>
    <mergeCell ref="AR660:AR662"/>
    <mergeCell ref="AS660:AS662"/>
    <mergeCell ref="A663:A665"/>
    <mergeCell ref="B663:B665"/>
    <mergeCell ref="C663:C665"/>
    <mergeCell ref="D663:D665"/>
    <mergeCell ref="AJ663:AJ665"/>
    <mergeCell ref="AK663:AK665"/>
    <mergeCell ref="AL663:AL665"/>
    <mergeCell ref="AM663:AM665"/>
    <mergeCell ref="AN663:AN665"/>
    <mergeCell ref="AO663:AO665"/>
    <mergeCell ref="AP663:AP665"/>
    <mergeCell ref="AQ663:AQ665"/>
    <mergeCell ref="AR663:AR665"/>
    <mergeCell ref="AS663:AS665"/>
    <mergeCell ref="A666:A668"/>
    <mergeCell ref="B666:B668"/>
    <mergeCell ref="C666:C668"/>
    <mergeCell ref="D666:D668"/>
    <mergeCell ref="AJ666:AJ668"/>
    <mergeCell ref="AK666:AK668"/>
    <mergeCell ref="AL666:AL668"/>
    <mergeCell ref="AM666:AM668"/>
    <mergeCell ref="AN666:AN668"/>
    <mergeCell ref="AO666:AO668"/>
    <mergeCell ref="AP666:AP668"/>
    <mergeCell ref="AQ666:AQ668"/>
    <mergeCell ref="AR666:AR668"/>
    <mergeCell ref="AS666:AS668"/>
    <mergeCell ref="A669:A671"/>
    <mergeCell ref="B669:B671"/>
    <mergeCell ref="C669:C671"/>
    <mergeCell ref="D669:D671"/>
    <mergeCell ref="AJ669:AJ671"/>
    <mergeCell ref="AK669:AK671"/>
    <mergeCell ref="AL669:AL671"/>
    <mergeCell ref="AM669:AM671"/>
    <mergeCell ref="AN669:AN671"/>
    <mergeCell ref="AO669:AO671"/>
    <mergeCell ref="AP669:AP671"/>
    <mergeCell ref="AQ669:AQ671"/>
    <mergeCell ref="AR669:AR671"/>
    <mergeCell ref="AS669:AS671"/>
    <mergeCell ref="A672:A674"/>
    <mergeCell ref="B672:B674"/>
    <mergeCell ref="C672:C674"/>
    <mergeCell ref="D672:D674"/>
    <mergeCell ref="AJ672:AJ674"/>
    <mergeCell ref="AK672:AK674"/>
    <mergeCell ref="AL672:AL674"/>
    <mergeCell ref="AM672:AM674"/>
    <mergeCell ref="AN672:AN674"/>
    <mergeCell ref="AO672:AO674"/>
    <mergeCell ref="AP672:AP674"/>
    <mergeCell ref="AQ672:AQ674"/>
    <mergeCell ref="AR672:AR674"/>
    <mergeCell ref="AS672:AS674"/>
    <mergeCell ref="A675:A677"/>
    <mergeCell ref="B675:B677"/>
    <mergeCell ref="C675:C677"/>
    <mergeCell ref="D675:D677"/>
    <mergeCell ref="AJ675:AJ677"/>
    <mergeCell ref="AK675:AK677"/>
    <mergeCell ref="AL675:AL677"/>
    <mergeCell ref="AM675:AM677"/>
    <mergeCell ref="AN675:AN677"/>
    <mergeCell ref="AO675:AO677"/>
    <mergeCell ref="AP675:AP677"/>
    <mergeCell ref="AQ675:AQ677"/>
    <mergeCell ref="AR675:AR677"/>
    <mergeCell ref="AS675:AS677"/>
    <mergeCell ref="A678:A680"/>
    <mergeCell ref="B678:B680"/>
    <mergeCell ref="C678:C680"/>
    <mergeCell ref="D678:D680"/>
    <mergeCell ref="AJ678:AJ680"/>
    <mergeCell ref="AK678:AK680"/>
    <mergeCell ref="AL678:AL680"/>
    <mergeCell ref="AM678:AM680"/>
    <mergeCell ref="AN678:AN680"/>
    <mergeCell ref="AO678:AO680"/>
    <mergeCell ref="AP678:AP680"/>
    <mergeCell ref="AQ678:AQ680"/>
    <mergeCell ref="AR678:AR680"/>
    <mergeCell ref="AS678:AS680"/>
    <mergeCell ref="A681:A683"/>
    <mergeCell ref="B681:B683"/>
    <mergeCell ref="C681:C683"/>
    <mergeCell ref="D681:D683"/>
    <mergeCell ref="AJ681:AJ683"/>
    <mergeCell ref="AK681:AK683"/>
    <mergeCell ref="AL681:AL683"/>
    <mergeCell ref="AM681:AM683"/>
    <mergeCell ref="AN681:AN683"/>
    <mergeCell ref="AO681:AO683"/>
    <mergeCell ref="AP681:AP683"/>
    <mergeCell ref="AQ681:AQ683"/>
    <mergeCell ref="AR681:AR683"/>
    <mergeCell ref="AS681:AS683"/>
    <mergeCell ref="A684:A686"/>
    <mergeCell ref="B684:B686"/>
    <mergeCell ref="C684:C686"/>
    <mergeCell ref="D684:D686"/>
    <mergeCell ref="AJ684:AJ686"/>
    <mergeCell ref="AK684:AK686"/>
    <mergeCell ref="AL684:AL686"/>
    <mergeCell ref="AM684:AM686"/>
    <mergeCell ref="AN684:AN686"/>
    <mergeCell ref="AO684:AO686"/>
    <mergeCell ref="AP684:AP686"/>
    <mergeCell ref="AQ684:AQ686"/>
    <mergeCell ref="AR684:AR686"/>
    <mergeCell ref="AS684:AS686"/>
    <mergeCell ref="A687:A689"/>
    <mergeCell ref="B687:B689"/>
    <mergeCell ref="C687:C689"/>
    <mergeCell ref="D687:D689"/>
    <mergeCell ref="AJ687:AJ689"/>
    <mergeCell ref="AK687:AK689"/>
    <mergeCell ref="AL687:AL689"/>
    <mergeCell ref="AM687:AM689"/>
    <mergeCell ref="AN687:AN689"/>
    <mergeCell ref="AO687:AO689"/>
    <mergeCell ref="AP687:AP689"/>
    <mergeCell ref="AQ687:AQ689"/>
    <mergeCell ref="AR687:AR689"/>
    <mergeCell ref="AS687:AS689"/>
    <mergeCell ref="A690:A692"/>
    <mergeCell ref="B690:B692"/>
    <mergeCell ref="C690:C692"/>
    <mergeCell ref="D690:D692"/>
    <mergeCell ref="AJ690:AJ692"/>
    <mergeCell ref="AK690:AK692"/>
    <mergeCell ref="AL690:AL692"/>
    <mergeCell ref="AM690:AM692"/>
    <mergeCell ref="AN690:AN692"/>
    <mergeCell ref="AO690:AO692"/>
    <mergeCell ref="AP690:AP692"/>
    <mergeCell ref="AQ690:AQ692"/>
    <mergeCell ref="AR690:AR692"/>
    <mergeCell ref="AS690:AS692"/>
    <mergeCell ref="A693:A695"/>
    <mergeCell ref="B693:B695"/>
    <mergeCell ref="C693:C695"/>
    <mergeCell ref="D693:D695"/>
    <mergeCell ref="AJ693:AJ695"/>
    <mergeCell ref="AK693:AK695"/>
    <mergeCell ref="AL693:AL695"/>
    <mergeCell ref="AM693:AM695"/>
    <mergeCell ref="AN693:AN695"/>
    <mergeCell ref="AO693:AO695"/>
    <mergeCell ref="AP693:AP695"/>
    <mergeCell ref="AQ693:AQ695"/>
    <mergeCell ref="AR693:AR695"/>
    <mergeCell ref="AS693:AS695"/>
    <mergeCell ref="A696:A698"/>
    <mergeCell ref="B696:B698"/>
    <mergeCell ref="C696:C698"/>
    <mergeCell ref="D696:D698"/>
    <mergeCell ref="AJ696:AJ698"/>
    <mergeCell ref="AK696:AK698"/>
    <mergeCell ref="AL696:AL698"/>
    <mergeCell ref="AM696:AM698"/>
    <mergeCell ref="AN696:AN698"/>
    <mergeCell ref="AO696:AO698"/>
    <mergeCell ref="AP696:AP698"/>
    <mergeCell ref="AQ696:AQ698"/>
    <mergeCell ref="AR696:AR698"/>
    <mergeCell ref="AS696:AS698"/>
    <mergeCell ref="A699:A701"/>
    <mergeCell ref="B699:B701"/>
    <mergeCell ref="C699:C701"/>
    <mergeCell ref="D699:D701"/>
    <mergeCell ref="AJ699:AJ701"/>
    <mergeCell ref="AK699:AK701"/>
    <mergeCell ref="AL699:AL701"/>
    <mergeCell ref="AM699:AM701"/>
    <mergeCell ref="AN699:AN701"/>
    <mergeCell ref="AO699:AO701"/>
    <mergeCell ref="AP699:AP701"/>
    <mergeCell ref="AQ699:AQ701"/>
    <mergeCell ref="AR699:AR701"/>
    <mergeCell ref="AS699:AS701"/>
    <mergeCell ref="A702:A704"/>
    <mergeCell ref="B702:B704"/>
    <mergeCell ref="C702:C704"/>
    <mergeCell ref="D702:D704"/>
    <mergeCell ref="AJ702:AJ704"/>
    <mergeCell ref="AK702:AK704"/>
    <mergeCell ref="AL702:AL704"/>
    <mergeCell ref="AM702:AM704"/>
    <mergeCell ref="AN702:AN704"/>
    <mergeCell ref="AO702:AO704"/>
    <mergeCell ref="AP702:AP704"/>
    <mergeCell ref="AQ702:AQ704"/>
    <mergeCell ref="AR702:AR704"/>
    <mergeCell ref="AS702:AS704"/>
    <mergeCell ref="A705:A707"/>
    <mergeCell ref="B705:B707"/>
    <mergeCell ref="C705:C707"/>
    <mergeCell ref="D705:D707"/>
    <mergeCell ref="AJ705:AJ707"/>
    <mergeCell ref="AK705:AK707"/>
    <mergeCell ref="AL705:AL707"/>
    <mergeCell ref="AM705:AM707"/>
    <mergeCell ref="AN705:AN707"/>
    <mergeCell ref="AO705:AO707"/>
    <mergeCell ref="AP705:AP707"/>
    <mergeCell ref="AQ705:AQ707"/>
    <mergeCell ref="AR705:AR707"/>
    <mergeCell ref="AS705:AS707"/>
    <mergeCell ref="A708:A710"/>
    <mergeCell ref="B708:B710"/>
    <mergeCell ref="C708:C710"/>
    <mergeCell ref="D708:D710"/>
    <mergeCell ref="AJ708:AJ710"/>
    <mergeCell ref="AK708:AK710"/>
    <mergeCell ref="AL708:AL710"/>
    <mergeCell ref="AM708:AM710"/>
    <mergeCell ref="AN708:AN710"/>
    <mergeCell ref="AO708:AO710"/>
    <mergeCell ref="AP708:AP710"/>
    <mergeCell ref="AQ708:AQ710"/>
    <mergeCell ref="AR708:AR710"/>
    <mergeCell ref="AS708:AS710"/>
    <mergeCell ref="A711:A713"/>
    <mergeCell ref="B711:B713"/>
    <mergeCell ref="C711:C713"/>
    <mergeCell ref="D711:D713"/>
    <mergeCell ref="AJ711:AJ713"/>
    <mergeCell ref="AK711:AK713"/>
    <mergeCell ref="AL711:AL713"/>
    <mergeCell ref="AM711:AM713"/>
    <mergeCell ref="AN711:AN713"/>
    <mergeCell ref="AO711:AO713"/>
    <mergeCell ref="AP711:AP713"/>
    <mergeCell ref="AQ711:AQ713"/>
    <mergeCell ref="AR711:AR713"/>
    <mergeCell ref="AS711:AS713"/>
    <mergeCell ref="A714:A716"/>
    <mergeCell ref="B714:B716"/>
    <mergeCell ref="C714:C716"/>
    <mergeCell ref="D714:D716"/>
    <mergeCell ref="AJ714:AJ716"/>
    <mergeCell ref="AK714:AK716"/>
    <mergeCell ref="AL714:AL716"/>
    <mergeCell ref="AM714:AM716"/>
    <mergeCell ref="AN714:AN716"/>
    <mergeCell ref="AO714:AO716"/>
    <mergeCell ref="AP714:AP716"/>
    <mergeCell ref="AQ714:AQ716"/>
    <mergeCell ref="AR714:AR716"/>
    <mergeCell ref="AS714:AS716"/>
    <mergeCell ref="A717:A719"/>
    <mergeCell ref="B717:B719"/>
    <mergeCell ref="C717:C719"/>
    <mergeCell ref="D717:D719"/>
    <mergeCell ref="AJ717:AJ719"/>
    <mergeCell ref="AK717:AK719"/>
    <mergeCell ref="AL717:AL719"/>
    <mergeCell ref="AM717:AM719"/>
    <mergeCell ref="AN717:AN719"/>
    <mergeCell ref="AO717:AO719"/>
    <mergeCell ref="AP717:AP719"/>
    <mergeCell ref="AQ717:AQ719"/>
    <mergeCell ref="AR717:AR719"/>
    <mergeCell ref="AS717:AS719"/>
    <mergeCell ref="A720:A722"/>
    <mergeCell ref="B720:B722"/>
    <mergeCell ref="C720:C722"/>
    <mergeCell ref="D720:D722"/>
    <mergeCell ref="AJ720:AJ722"/>
    <mergeCell ref="AK720:AK722"/>
    <mergeCell ref="AL720:AL722"/>
    <mergeCell ref="AM720:AM722"/>
    <mergeCell ref="AN720:AN722"/>
    <mergeCell ref="AO720:AO722"/>
    <mergeCell ref="AP720:AP722"/>
    <mergeCell ref="AQ720:AQ722"/>
    <mergeCell ref="AR720:AR722"/>
    <mergeCell ref="AS720:AS722"/>
    <mergeCell ref="A723:A725"/>
    <mergeCell ref="B723:B725"/>
    <mergeCell ref="C723:C725"/>
    <mergeCell ref="D723:D725"/>
    <mergeCell ref="AJ723:AJ725"/>
    <mergeCell ref="AK723:AK725"/>
    <mergeCell ref="AL723:AL725"/>
    <mergeCell ref="AM723:AM725"/>
    <mergeCell ref="AN723:AN725"/>
    <mergeCell ref="AO723:AO725"/>
    <mergeCell ref="AP723:AP725"/>
    <mergeCell ref="AQ723:AQ725"/>
    <mergeCell ref="AR723:AR725"/>
    <mergeCell ref="AS723:AS725"/>
    <mergeCell ref="A726:A728"/>
    <mergeCell ref="B726:B728"/>
    <mergeCell ref="C726:C728"/>
    <mergeCell ref="D726:D728"/>
    <mergeCell ref="AJ726:AJ728"/>
    <mergeCell ref="AK726:AK728"/>
    <mergeCell ref="AL726:AL728"/>
    <mergeCell ref="AM726:AM728"/>
    <mergeCell ref="AN726:AN728"/>
    <mergeCell ref="AO726:AO728"/>
    <mergeCell ref="AP726:AP728"/>
    <mergeCell ref="AQ726:AQ728"/>
    <mergeCell ref="AR726:AR728"/>
    <mergeCell ref="AS726:AS728"/>
    <mergeCell ref="A729:A731"/>
    <mergeCell ref="B729:B731"/>
    <mergeCell ref="C729:C731"/>
    <mergeCell ref="D729:D731"/>
    <mergeCell ref="AJ729:AJ731"/>
    <mergeCell ref="AK729:AK731"/>
    <mergeCell ref="AL729:AL731"/>
    <mergeCell ref="AM729:AM731"/>
    <mergeCell ref="AN729:AN731"/>
    <mergeCell ref="AO729:AO731"/>
    <mergeCell ref="AP729:AP731"/>
    <mergeCell ref="AQ729:AQ731"/>
    <mergeCell ref="AR729:AR731"/>
    <mergeCell ref="AS729:AS731"/>
    <mergeCell ref="A732:A734"/>
    <mergeCell ref="B732:B734"/>
    <mergeCell ref="C732:C734"/>
    <mergeCell ref="D732:D734"/>
    <mergeCell ref="AJ732:AJ734"/>
    <mergeCell ref="AK732:AK734"/>
    <mergeCell ref="AL732:AL734"/>
    <mergeCell ref="AM732:AM734"/>
    <mergeCell ref="AN732:AN734"/>
    <mergeCell ref="AO732:AO734"/>
    <mergeCell ref="AP732:AP734"/>
    <mergeCell ref="AQ732:AQ734"/>
    <mergeCell ref="AR732:AR734"/>
    <mergeCell ref="AS732:AS734"/>
    <mergeCell ref="A735:A737"/>
    <mergeCell ref="B735:B737"/>
    <mergeCell ref="C735:C737"/>
    <mergeCell ref="D735:D737"/>
    <mergeCell ref="AJ735:AJ737"/>
    <mergeCell ref="AK735:AK737"/>
    <mergeCell ref="AL735:AL737"/>
    <mergeCell ref="AM735:AM737"/>
    <mergeCell ref="AN735:AN737"/>
    <mergeCell ref="AO735:AO737"/>
    <mergeCell ref="AP735:AP737"/>
    <mergeCell ref="AQ735:AQ737"/>
    <mergeCell ref="AR735:AR737"/>
    <mergeCell ref="AS735:AS737"/>
    <mergeCell ref="A738:A740"/>
    <mergeCell ref="B738:B740"/>
    <mergeCell ref="C738:C740"/>
    <mergeCell ref="D738:D740"/>
    <mergeCell ref="AJ738:AJ740"/>
    <mergeCell ref="AK738:AK740"/>
    <mergeCell ref="AL738:AL740"/>
    <mergeCell ref="AM738:AM740"/>
    <mergeCell ref="AN738:AN740"/>
    <mergeCell ref="AO738:AO740"/>
    <mergeCell ref="AP738:AP740"/>
    <mergeCell ref="AQ738:AQ740"/>
    <mergeCell ref="AR738:AR740"/>
    <mergeCell ref="AS738:AS740"/>
    <mergeCell ref="A741:A743"/>
    <mergeCell ref="B741:B743"/>
    <mergeCell ref="C741:C743"/>
    <mergeCell ref="D741:D743"/>
    <mergeCell ref="AJ741:AJ743"/>
    <mergeCell ref="AK741:AK743"/>
    <mergeCell ref="AL741:AL743"/>
    <mergeCell ref="AM741:AM743"/>
    <mergeCell ref="AN741:AN743"/>
    <mergeCell ref="AO741:AO743"/>
    <mergeCell ref="AP741:AP743"/>
    <mergeCell ref="AQ741:AQ743"/>
    <mergeCell ref="AR741:AR743"/>
    <mergeCell ref="AS741:AS743"/>
    <mergeCell ref="A744:A746"/>
    <mergeCell ref="B744:B746"/>
    <mergeCell ref="C744:C746"/>
    <mergeCell ref="D744:D746"/>
    <mergeCell ref="AJ744:AJ746"/>
    <mergeCell ref="AK744:AK746"/>
    <mergeCell ref="AL744:AL746"/>
    <mergeCell ref="AM744:AM746"/>
    <mergeCell ref="AN744:AN746"/>
    <mergeCell ref="AO744:AO746"/>
    <mergeCell ref="AP744:AP746"/>
    <mergeCell ref="AQ744:AQ746"/>
    <mergeCell ref="AR744:AR746"/>
    <mergeCell ref="AS744:AS746"/>
    <mergeCell ref="A747:A749"/>
    <mergeCell ref="B747:B749"/>
    <mergeCell ref="C747:C749"/>
    <mergeCell ref="D747:D749"/>
    <mergeCell ref="AJ747:AJ749"/>
    <mergeCell ref="AK747:AK749"/>
    <mergeCell ref="AL747:AL749"/>
    <mergeCell ref="AM747:AM749"/>
    <mergeCell ref="AN747:AN749"/>
    <mergeCell ref="AO747:AO749"/>
    <mergeCell ref="AP747:AP749"/>
    <mergeCell ref="AQ747:AQ749"/>
    <mergeCell ref="AR747:AR749"/>
    <mergeCell ref="AS747:AS749"/>
    <mergeCell ref="A750:A752"/>
    <mergeCell ref="B750:B752"/>
    <mergeCell ref="C750:C752"/>
    <mergeCell ref="D750:D752"/>
    <mergeCell ref="AJ750:AJ752"/>
    <mergeCell ref="AK750:AK752"/>
    <mergeCell ref="AL750:AL752"/>
    <mergeCell ref="AM750:AM752"/>
    <mergeCell ref="AN750:AN752"/>
    <mergeCell ref="AO750:AO752"/>
    <mergeCell ref="AP750:AP752"/>
    <mergeCell ref="AQ750:AQ752"/>
    <mergeCell ref="AR750:AR752"/>
    <mergeCell ref="AS750:AS752"/>
    <mergeCell ref="A753:A755"/>
    <mergeCell ref="B753:B755"/>
    <mergeCell ref="C753:C755"/>
    <mergeCell ref="D753:D755"/>
    <mergeCell ref="AJ753:AJ755"/>
    <mergeCell ref="AK753:AK755"/>
    <mergeCell ref="AL753:AL755"/>
    <mergeCell ref="AM753:AM755"/>
    <mergeCell ref="AN753:AN755"/>
    <mergeCell ref="AO753:AO755"/>
    <mergeCell ref="AP753:AP755"/>
    <mergeCell ref="AQ753:AQ755"/>
    <mergeCell ref="AR753:AR755"/>
    <mergeCell ref="AS753:AS755"/>
    <mergeCell ref="A756:A758"/>
    <mergeCell ref="B756:B758"/>
    <mergeCell ref="C756:C758"/>
    <mergeCell ref="D756:D758"/>
    <mergeCell ref="AJ756:AJ758"/>
    <mergeCell ref="AK756:AK758"/>
    <mergeCell ref="AL756:AL758"/>
    <mergeCell ref="AM756:AM758"/>
    <mergeCell ref="AN756:AN758"/>
    <mergeCell ref="AO756:AO758"/>
    <mergeCell ref="AP756:AP758"/>
    <mergeCell ref="AQ756:AQ758"/>
    <mergeCell ref="AR756:AR758"/>
    <mergeCell ref="AS756:AS758"/>
    <mergeCell ref="A759:A761"/>
    <mergeCell ref="B759:B761"/>
    <mergeCell ref="C759:C761"/>
    <mergeCell ref="D759:D761"/>
    <mergeCell ref="AJ759:AJ761"/>
    <mergeCell ref="AK759:AK761"/>
    <mergeCell ref="AL759:AL761"/>
    <mergeCell ref="AM759:AM761"/>
    <mergeCell ref="AN759:AN761"/>
    <mergeCell ref="AO759:AO761"/>
    <mergeCell ref="AP759:AP761"/>
    <mergeCell ref="AQ759:AQ761"/>
    <mergeCell ref="AR759:AR761"/>
    <mergeCell ref="AS759:AS761"/>
    <mergeCell ref="A762:A764"/>
    <mergeCell ref="B762:B764"/>
    <mergeCell ref="C762:C764"/>
    <mergeCell ref="D762:D764"/>
    <mergeCell ref="AJ762:AJ764"/>
    <mergeCell ref="AK762:AK764"/>
    <mergeCell ref="AL762:AL764"/>
    <mergeCell ref="AM762:AM764"/>
    <mergeCell ref="AN762:AN764"/>
    <mergeCell ref="AO762:AO764"/>
    <mergeCell ref="AP762:AP764"/>
    <mergeCell ref="AQ762:AQ764"/>
    <mergeCell ref="AR762:AR764"/>
    <mergeCell ref="AS762:AS764"/>
    <mergeCell ref="A765:A767"/>
    <mergeCell ref="B765:B767"/>
    <mergeCell ref="C765:C767"/>
    <mergeCell ref="D765:D767"/>
    <mergeCell ref="AJ765:AJ767"/>
    <mergeCell ref="AK765:AK767"/>
    <mergeCell ref="AL765:AL767"/>
    <mergeCell ref="AM765:AM767"/>
    <mergeCell ref="AN765:AN767"/>
    <mergeCell ref="AO765:AO767"/>
    <mergeCell ref="AP765:AP767"/>
    <mergeCell ref="AQ765:AQ767"/>
    <mergeCell ref="AR765:AR767"/>
    <mergeCell ref="AS765:AS767"/>
    <mergeCell ref="A768:A770"/>
    <mergeCell ref="B768:B770"/>
    <mergeCell ref="C768:C770"/>
    <mergeCell ref="D768:D770"/>
    <mergeCell ref="AJ768:AJ770"/>
    <mergeCell ref="AK768:AK770"/>
    <mergeCell ref="AL768:AL770"/>
    <mergeCell ref="AM768:AM770"/>
    <mergeCell ref="AN768:AN770"/>
    <mergeCell ref="AO768:AO770"/>
    <mergeCell ref="AP768:AP770"/>
    <mergeCell ref="AQ768:AQ770"/>
    <mergeCell ref="AR768:AR770"/>
    <mergeCell ref="AS768:AS770"/>
    <mergeCell ref="A771:A773"/>
    <mergeCell ref="B771:B773"/>
    <mergeCell ref="C771:C773"/>
    <mergeCell ref="D771:D773"/>
    <mergeCell ref="AJ771:AJ773"/>
    <mergeCell ref="AK771:AK773"/>
    <mergeCell ref="AL771:AL773"/>
    <mergeCell ref="AM771:AM773"/>
    <mergeCell ref="AN771:AN773"/>
    <mergeCell ref="AO771:AO773"/>
    <mergeCell ref="AP771:AP773"/>
    <mergeCell ref="AQ771:AQ773"/>
    <mergeCell ref="AR771:AR773"/>
    <mergeCell ref="AS771:AS773"/>
    <mergeCell ref="A774:A776"/>
    <mergeCell ref="B774:B776"/>
    <mergeCell ref="C774:C776"/>
    <mergeCell ref="D774:D776"/>
    <mergeCell ref="AJ774:AJ776"/>
    <mergeCell ref="AK774:AK776"/>
    <mergeCell ref="AL774:AL776"/>
    <mergeCell ref="AM774:AM776"/>
    <mergeCell ref="AN774:AN776"/>
    <mergeCell ref="AO774:AO776"/>
    <mergeCell ref="AP774:AP776"/>
    <mergeCell ref="AQ774:AQ776"/>
    <mergeCell ref="AR774:AR776"/>
    <mergeCell ref="AS774:AS776"/>
    <mergeCell ref="A777:A779"/>
    <mergeCell ref="B777:B779"/>
    <mergeCell ref="C777:C779"/>
    <mergeCell ref="D777:D779"/>
    <mergeCell ref="AJ777:AJ779"/>
    <mergeCell ref="AK777:AK779"/>
    <mergeCell ref="AL777:AL779"/>
    <mergeCell ref="AM777:AM779"/>
    <mergeCell ref="AN777:AN779"/>
    <mergeCell ref="AO777:AO779"/>
    <mergeCell ref="AP777:AP779"/>
    <mergeCell ref="AQ777:AQ779"/>
    <mergeCell ref="AR777:AR779"/>
    <mergeCell ref="AS777:AS779"/>
    <mergeCell ref="A780:A782"/>
    <mergeCell ref="B780:B782"/>
    <mergeCell ref="C780:C782"/>
    <mergeCell ref="D780:D782"/>
    <mergeCell ref="AJ780:AJ782"/>
    <mergeCell ref="AK780:AK782"/>
    <mergeCell ref="AL780:AL782"/>
    <mergeCell ref="AM780:AM782"/>
    <mergeCell ref="AN780:AN782"/>
    <mergeCell ref="AO780:AO782"/>
    <mergeCell ref="AP780:AP782"/>
    <mergeCell ref="AQ780:AQ782"/>
    <mergeCell ref="AR780:AR782"/>
    <mergeCell ref="AS780:AS782"/>
    <mergeCell ref="A783:A785"/>
    <mergeCell ref="B783:B785"/>
    <mergeCell ref="C783:C785"/>
    <mergeCell ref="D783:D785"/>
    <mergeCell ref="AJ783:AJ785"/>
    <mergeCell ref="AK783:AK785"/>
    <mergeCell ref="AL783:AL785"/>
    <mergeCell ref="AM783:AM785"/>
    <mergeCell ref="AN783:AN785"/>
    <mergeCell ref="AO783:AO785"/>
    <mergeCell ref="AP783:AP785"/>
    <mergeCell ref="AQ783:AQ785"/>
    <mergeCell ref="AR783:AR785"/>
    <mergeCell ref="AS783:AS785"/>
    <mergeCell ref="A786:A788"/>
    <mergeCell ref="B786:B788"/>
    <mergeCell ref="C786:C788"/>
    <mergeCell ref="D786:D788"/>
    <mergeCell ref="AJ786:AJ788"/>
    <mergeCell ref="AK786:AK788"/>
    <mergeCell ref="AL786:AL788"/>
    <mergeCell ref="AM786:AM788"/>
    <mergeCell ref="AN786:AN788"/>
    <mergeCell ref="AO786:AO788"/>
    <mergeCell ref="AP786:AP788"/>
    <mergeCell ref="AQ786:AQ788"/>
    <mergeCell ref="AR786:AR788"/>
    <mergeCell ref="AS786:AS788"/>
    <mergeCell ref="A789:A791"/>
    <mergeCell ref="B789:B791"/>
    <mergeCell ref="C789:C791"/>
    <mergeCell ref="D789:D791"/>
    <mergeCell ref="AJ789:AJ791"/>
    <mergeCell ref="AK789:AK791"/>
    <mergeCell ref="AL789:AL791"/>
    <mergeCell ref="AM789:AM791"/>
    <mergeCell ref="AN789:AN791"/>
    <mergeCell ref="AO789:AO791"/>
    <mergeCell ref="AP789:AP791"/>
    <mergeCell ref="AQ789:AQ791"/>
    <mergeCell ref="AR789:AR791"/>
    <mergeCell ref="AS789:AS791"/>
    <mergeCell ref="A792:A794"/>
    <mergeCell ref="B792:B794"/>
    <mergeCell ref="C792:C794"/>
    <mergeCell ref="D792:D794"/>
    <mergeCell ref="AJ792:AJ794"/>
    <mergeCell ref="AK792:AK794"/>
    <mergeCell ref="AL792:AL794"/>
    <mergeCell ref="AM792:AM794"/>
    <mergeCell ref="AN792:AN794"/>
    <mergeCell ref="AO792:AO794"/>
    <mergeCell ref="AP792:AP794"/>
    <mergeCell ref="AQ792:AQ794"/>
    <mergeCell ref="AR792:AR794"/>
    <mergeCell ref="AS792:AS794"/>
    <mergeCell ref="A795:A797"/>
    <mergeCell ref="B795:B797"/>
    <mergeCell ref="C795:C797"/>
    <mergeCell ref="D795:D797"/>
    <mergeCell ref="AJ795:AJ797"/>
    <mergeCell ref="AK795:AK797"/>
    <mergeCell ref="AL795:AL797"/>
    <mergeCell ref="AM795:AM797"/>
    <mergeCell ref="AN795:AN797"/>
    <mergeCell ref="AO795:AO797"/>
    <mergeCell ref="AP795:AP797"/>
    <mergeCell ref="AQ795:AQ797"/>
    <mergeCell ref="AR795:AR797"/>
    <mergeCell ref="AS795:AS797"/>
    <mergeCell ref="A798:A800"/>
    <mergeCell ref="B798:B800"/>
    <mergeCell ref="C798:C800"/>
    <mergeCell ref="D798:D800"/>
    <mergeCell ref="AJ798:AJ800"/>
    <mergeCell ref="AK798:AK800"/>
    <mergeCell ref="AL798:AL800"/>
    <mergeCell ref="AM798:AM800"/>
    <mergeCell ref="AN798:AN800"/>
    <mergeCell ref="AO798:AO800"/>
    <mergeCell ref="AP798:AP800"/>
    <mergeCell ref="AQ798:AQ800"/>
    <mergeCell ref="AR798:AR800"/>
    <mergeCell ref="AS798:AS800"/>
    <mergeCell ref="A801:A803"/>
    <mergeCell ref="B801:B803"/>
    <mergeCell ref="C801:C803"/>
    <mergeCell ref="D801:D803"/>
    <mergeCell ref="AJ801:AJ803"/>
    <mergeCell ref="AK801:AK803"/>
    <mergeCell ref="AL801:AL803"/>
    <mergeCell ref="AM801:AM803"/>
    <mergeCell ref="AN801:AN803"/>
    <mergeCell ref="AO801:AO803"/>
    <mergeCell ref="AP801:AP803"/>
    <mergeCell ref="AQ801:AQ803"/>
    <mergeCell ref="AR801:AR803"/>
    <mergeCell ref="AS801:AS803"/>
    <mergeCell ref="A804:A806"/>
    <mergeCell ref="B804:B806"/>
    <mergeCell ref="C804:C806"/>
    <mergeCell ref="D804:D806"/>
    <mergeCell ref="AJ804:AJ806"/>
    <mergeCell ref="AK804:AK806"/>
    <mergeCell ref="AL804:AL806"/>
    <mergeCell ref="AM804:AM806"/>
    <mergeCell ref="AN804:AN806"/>
    <mergeCell ref="AO804:AO806"/>
    <mergeCell ref="AP804:AP806"/>
    <mergeCell ref="AQ804:AQ806"/>
    <mergeCell ref="AR804:AR806"/>
    <mergeCell ref="AS804:AS806"/>
    <mergeCell ref="A807:A809"/>
    <mergeCell ref="B807:B809"/>
    <mergeCell ref="C807:C809"/>
    <mergeCell ref="D807:D809"/>
    <mergeCell ref="AJ807:AJ809"/>
    <mergeCell ref="AK807:AK809"/>
    <mergeCell ref="AL807:AL809"/>
    <mergeCell ref="AM807:AM809"/>
    <mergeCell ref="AN807:AN809"/>
    <mergeCell ref="AO807:AO809"/>
    <mergeCell ref="AP807:AP809"/>
    <mergeCell ref="AQ807:AQ809"/>
    <mergeCell ref="AR807:AR809"/>
    <mergeCell ref="AS807:AS809"/>
    <mergeCell ref="A810:A812"/>
    <mergeCell ref="B810:B812"/>
    <mergeCell ref="C810:C812"/>
    <mergeCell ref="D810:D812"/>
    <mergeCell ref="AJ810:AJ812"/>
    <mergeCell ref="AK810:AK812"/>
    <mergeCell ref="AL810:AL812"/>
    <mergeCell ref="AM810:AM812"/>
    <mergeCell ref="AN810:AN812"/>
    <mergeCell ref="AO810:AO812"/>
    <mergeCell ref="AP810:AP812"/>
    <mergeCell ref="AQ810:AQ812"/>
    <mergeCell ref="AR810:AR812"/>
    <mergeCell ref="AS810:AS812"/>
    <mergeCell ref="A813:A815"/>
    <mergeCell ref="B813:B815"/>
    <mergeCell ref="C813:C815"/>
    <mergeCell ref="D813:D815"/>
    <mergeCell ref="AJ813:AJ815"/>
    <mergeCell ref="AK813:AK815"/>
    <mergeCell ref="AL813:AL815"/>
    <mergeCell ref="AM813:AM815"/>
    <mergeCell ref="AN813:AN815"/>
    <mergeCell ref="AO813:AO815"/>
    <mergeCell ref="AP813:AP815"/>
    <mergeCell ref="AQ813:AQ815"/>
    <mergeCell ref="AR813:AR815"/>
    <mergeCell ref="AS813:AS815"/>
    <mergeCell ref="A816:A818"/>
    <mergeCell ref="B816:B818"/>
    <mergeCell ref="C816:C818"/>
    <mergeCell ref="D816:D818"/>
    <mergeCell ref="AJ816:AJ818"/>
    <mergeCell ref="AK816:AK818"/>
    <mergeCell ref="AL816:AL818"/>
    <mergeCell ref="AM816:AM818"/>
    <mergeCell ref="AN816:AN818"/>
    <mergeCell ref="AO816:AO818"/>
    <mergeCell ref="AP816:AP818"/>
    <mergeCell ref="AQ816:AQ818"/>
    <mergeCell ref="AR816:AR818"/>
    <mergeCell ref="AS816:AS818"/>
    <mergeCell ref="A819:A821"/>
    <mergeCell ref="B819:B821"/>
    <mergeCell ref="C819:C821"/>
    <mergeCell ref="D819:D821"/>
    <mergeCell ref="AJ819:AJ821"/>
    <mergeCell ref="AK819:AK821"/>
    <mergeCell ref="AL819:AL821"/>
    <mergeCell ref="AM819:AM821"/>
    <mergeCell ref="AN819:AN821"/>
    <mergeCell ref="AO819:AO821"/>
    <mergeCell ref="AP819:AP821"/>
    <mergeCell ref="AQ819:AQ821"/>
    <mergeCell ref="AR819:AR821"/>
    <mergeCell ref="AS819:AS821"/>
    <mergeCell ref="A822:A824"/>
    <mergeCell ref="B822:B824"/>
    <mergeCell ref="C822:C824"/>
    <mergeCell ref="D822:D824"/>
    <mergeCell ref="AJ822:AJ824"/>
    <mergeCell ref="AK822:AK824"/>
    <mergeCell ref="AL822:AL824"/>
    <mergeCell ref="AM822:AM824"/>
    <mergeCell ref="AN822:AN824"/>
    <mergeCell ref="AO822:AO824"/>
    <mergeCell ref="AP822:AP824"/>
    <mergeCell ref="AQ822:AQ824"/>
    <mergeCell ref="AR822:AR824"/>
    <mergeCell ref="AS822:AS824"/>
    <mergeCell ref="A825:A827"/>
    <mergeCell ref="B825:B827"/>
    <mergeCell ref="C825:C827"/>
    <mergeCell ref="D825:D827"/>
    <mergeCell ref="AJ825:AJ827"/>
    <mergeCell ref="AK825:AK827"/>
    <mergeCell ref="AL825:AL827"/>
    <mergeCell ref="AM825:AM827"/>
    <mergeCell ref="AN825:AN827"/>
    <mergeCell ref="AO825:AO827"/>
    <mergeCell ref="AP825:AP827"/>
    <mergeCell ref="AQ825:AQ827"/>
    <mergeCell ref="AR825:AR827"/>
    <mergeCell ref="AS825:AS827"/>
    <mergeCell ref="A828:A830"/>
    <mergeCell ref="B828:B830"/>
    <mergeCell ref="C828:C830"/>
    <mergeCell ref="D828:D830"/>
    <mergeCell ref="AJ828:AJ830"/>
    <mergeCell ref="AK828:AK830"/>
    <mergeCell ref="AL828:AL830"/>
    <mergeCell ref="AM828:AM830"/>
    <mergeCell ref="AN828:AN830"/>
    <mergeCell ref="AO828:AO830"/>
    <mergeCell ref="AP828:AP830"/>
    <mergeCell ref="AQ828:AQ830"/>
    <mergeCell ref="AR828:AR830"/>
    <mergeCell ref="AS828:AS830"/>
    <mergeCell ref="A831:A833"/>
    <mergeCell ref="B831:B833"/>
    <mergeCell ref="C831:C833"/>
    <mergeCell ref="D831:D833"/>
    <mergeCell ref="AJ831:AJ833"/>
    <mergeCell ref="AK831:AK833"/>
    <mergeCell ref="AL831:AL833"/>
    <mergeCell ref="AM831:AM833"/>
    <mergeCell ref="AN831:AN833"/>
    <mergeCell ref="AO831:AO833"/>
    <mergeCell ref="AP831:AP833"/>
    <mergeCell ref="AQ831:AQ833"/>
    <mergeCell ref="AR831:AR833"/>
    <mergeCell ref="AS831:AS833"/>
    <mergeCell ref="A834:A836"/>
    <mergeCell ref="B834:B836"/>
    <mergeCell ref="C834:C836"/>
    <mergeCell ref="D834:D836"/>
    <mergeCell ref="AJ834:AJ836"/>
    <mergeCell ref="AK834:AK836"/>
    <mergeCell ref="AL834:AL836"/>
    <mergeCell ref="AM834:AM836"/>
    <mergeCell ref="AN834:AN836"/>
    <mergeCell ref="AO834:AO836"/>
    <mergeCell ref="AP834:AP836"/>
    <mergeCell ref="AQ834:AQ836"/>
    <mergeCell ref="AR834:AR836"/>
    <mergeCell ref="AS834:AS836"/>
    <mergeCell ref="A837:A839"/>
    <mergeCell ref="B837:B839"/>
    <mergeCell ref="C837:C839"/>
    <mergeCell ref="D837:D839"/>
    <mergeCell ref="AJ837:AJ839"/>
    <mergeCell ref="AK837:AK839"/>
    <mergeCell ref="AL837:AL839"/>
    <mergeCell ref="AM837:AM839"/>
    <mergeCell ref="AN837:AN839"/>
    <mergeCell ref="AO837:AO839"/>
    <mergeCell ref="AP837:AP839"/>
    <mergeCell ref="AQ837:AQ839"/>
    <mergeCell ref="AR837:AR839"/>
    <mergeCell ref="AS837:AS839"/>
    <mergeCell ref="A840:A842"/>
    <mergeCell ref="B840:B842"/>
    <mergeCell ref="C840:C842"/>
    <mergeCell ref="D840:D842"/>
    <mergeCell ref="AJ840:AJ842"/>
    <mergeCell ref="AK840:AK842"/>
    <mergeCell ref="AL840:AL842"/>
    <mergeCell ref="AM840:AM842"/>
    <mergeCell ref="AN840:AN842"/>
    <mergeCell ref="AO840:AO842"/>
    <mergeCell ref="AP840:AP842"/>
    <mergeCell ref="AQ840:AQ842"/>
    <mergeCell ref="AR840:AR842"/>
    <mergeCell ref="AS840:AS842"/>
    <mergeCell ref="A843:A845"/>
    <mergeCell ref="B843:B845"/>
    <mergeCell ref="C843:C845"/>
    <mergeCell ref="D843:D845"/>
    <mergeCell ref="AJ843:AJ845"/>
    <mergeCell ref="AK843:AK845"/>
    <mergeCell ref="AL843:AL845"/>
    <mergeCell ref="AM843:AM845"/>
    <mergeCell ref="AN843:AN845"/>
    <mergeCell ref="AO843:AO845"/>
    <mergeCell ref="AP843:AP845"/>
    <mergeCell ref="AQ843:AQ845"/>
    <mergeCell ref="AR843:AR845"/>
    <mergeCell ref="AS843:AS845"/>
    <mergeCell ref="A846:A848"/>
    <mergeCell ref="B846:B848"/>
    <mergeCell ref="C846:C848"/>
    <mergeCell ref="D846:D848"/>
    <mergeCell ref="AJ846:AJ848"/>
    <mergeCell ref="AK846:AK848"/>
    <mergeCell ref="AL846:AL848"/>
    <mergeCell ref="AM846:AM848"/>
    <mergeCell ref="AN846:AN848"/>
    <mergeCell ref="AO846:AO848"/>
    <mergeCell ref="AP846:AP848"/>
    <mergeCell ref="AQ846:AQ848"/>
    <mergeCell ref="AR846:AR848"/>
    <mergeCell ref="AS846:AS848"/>
    <mergeCell ref="A849:A851"/>
    <mergeCell ref="B849:B851"/>
    <mergeCell ref="C849:C851"/>
    <mergeCell ref="D849:D851"/>
    <mergeCell ref="AJ849:AJ851"/>
    <mergeCell ref="AK849:AK851"/>
    <mergeCell ref="AL849:AL851"/>
    <mergeCell ref="AM849:AM851"/>
    <mergeCell ref="AN849:AN851"/>
    <mergeCell ref="AO849:AO851"/>
    <mergeCell ref="AP849:AP851"/>
    <mergeCell ref="AQ849:AQ851"/>
    <mergeCell ref="AR849:AR851"/>
    <mergeCell ref="AS849:AS851"/>
    <mergeCell ref="A852:A854"/>
    <mergeCell ref="B852:B854"/>
    <mergeCell ref="C852:C854"/>
    <mergeCell ref="D852:D854"/>
    <mergeCell ref="AJ852:AJ854"/>
    <mergeCell ref="AK852:AK854"/>
    <mergeCell ref="AL852:AL854"/>
    <mergeCell ref="AM852:AM854"/>
    <mergeCell ref="AN852:AN854"/>
    <mergeCell ref="AO852:AO854"/>
    <mergeCell ref="AP852:AP854"/>
    <mergeCell ref="AQ852:AQ854"/>
    <mergeCell ref="AR852:AR854"/>
    <mergeCell ref="AS852:AS854"/>
    <mergeCell ref="A855:A857"/>
    <mergeCell ref="B855:B857"/>
    <mergeCell ref="C855:C857"/>
    <mergeCell ref="D855:D857"/>
    <mergeCell ref="AJ855:AJ857"/>
    <mergeCell ref="AK855:AK857"/>
    <mergeCell ref="AL855:AL857"/>
    <mergeCell ref="AM855:AM857"/>
    <mergeCell ref="AN855:AN857"/>
    <mergeCell ref="AO855:AO857"/>
    <mergeCell ref="AP855:AP857"/>
    <mergeCell ref="AQ855:AQ857"/>
    <mergeCell ref="AR855:AR857"/>
    <mergeCell ref="AS855:AS857"/>
    <mergeCell ref="A858:A860"/>
    <mergeCell ref="B858:B860"/>
    <mergeCell ref="C858:C860"/>
    <mergeCell ref="D858:D860"/>
    <mergeCell ref="AJ858:AJ860"/>
    <mergeCell ref="AK858:AK860"/>
    <mergeCell ref="AL858:AL860"/>
    <mergeCell ref="AM858:AM860"/>
    <mergeCell ref="AN858:AN860"/>
    <mergeCell ref="AO858:AO860"/>
    <mergeCell ref="AP858:AP860"/>
    <mergeCell ref="AQ858:AQ860"/>
    <mergeCell ref="AR858:AR860"/>
    <mergeCell ref="AS858:AS860"/>
    <mergeCell ref="A861:A863"/>
    <mergeCell ref="B861:B863"/>
    <mergeCell ref="C861:C863"/>
    <mergeCell ref="D861:D863"/>
    <mergeCell ref="AJ861:AJ863"/>
    <mergeCell ref="AK861:AK863"/>
    <mergeCell ref="AL861:AL863"/>
    <mergeCell ref="AM861:AM863"/>
    <mergeCell ref="AN861:AN863"/>
    <mergeCell ref="AO861:AO863"/>
    <mergeCell ref="AP861:AP863"/>
    <mergeCell ref="AQ861:AQ863"/>
    <mergeCell ref="AR861:AR863"/>
    <mergeCell ref="AS861:AS863"/>
    <mergeCell ref="A864:A866"/>
    <mergeCell ref="B864:B866"/>
    <mergeCell ref="C864:C866"/>
    <mergeCell ref="D864:D866"/>
    <mergeCell ref="AJ864:AJ866"/>
    <mergeCell ref="AK864:AK866"/>
    <mergeCell ref="AL864:AL866"/>
    <mergeCell ref="AM864:AM866"/>
    <mergeCell ref="AN864:AN866"/>
    <mergeCell ref="AO864:AO866"/>
    <mergeCell ref="AP864:AP866"/>
    <mergeCell ref="AQ864:AQ866"/>
    <mergeCell ref="AR864:AR866"/>
    <mergeCell ref="AS864:AS866"/>
    <mergeCell ref="A867:A869"/>
    <mergeCell ref="B867:B869"/>
    <mergeCell ref="C867:C869"/>
    <mergeCell ref="D867:D869"/>
    <mergeCell ref="AJ867:AJ869"/>
    <mergeCell ref="AK867:AK869"/>
    <mergeCell ref="AL867:AL869"/>
    <mergeCell ref="AM867:AM869"/>
    <mergeCell ref="AN867:AN869"/>
    <mergeCell ref="AO867:AO869"/>
    <mergeCell ref="AP867:AP869"/>
    <mergeCell ref="AQ867:AQ869"/>
    <mergeCell ref="AR867:AR869"/>
    <mergeCell ref="AS867:AS869"/>
    <mergeCell ref="A870:A872"/>
    <mergeCell ref="B870:B872"/>
    <mergeCell ref="C870:C872"/>
    <mergeCell ref="D870:D872"/>
    <mergeCell ref="AJ870:AJ872"/>
    <mergeCell ref="AK870:AK872"/>
    <mergeCell ref="AL870:AL872"/>
    <mergeCell ref="AM870:AM872"/>
    <mergeCell ref="AN870:AN872"/>
    <mergeCell ref="AO870:AO872"/>
    <mergeCell ref="AP870:AP872"/>
    <mergeCell ref="AQ870:AQ872"/>
    <mergeCell ref="AR870:AR872"/>
    <mergeCell ref="AS870:AS872"/>
    <mergeCell ref="A873:A875"/>
    <mergeCell ref="B873:B875"/>
    <mergeCell ref="C873:C875"/>
    <mergeCell ref="D873:D875"/>
    <mergeCell ref="AJ873:AJ875"/>
    <mergeCell ref="AK873:AK875"/>
    <mergeCell ref="AL873:AL875"/>
    <mergeCell ref="AM873:AM875"/>
    <mergeCell ref="AN873:AN875"/>
    <mergeCell ref="AO873:AO875"/>
    <mergeCell ref="AP873:AP875"/>
    <mergeCell ref="AQ873:AQ875"/>
    <mergeCell ref="AR873:AR875"/>
    <mergeCell ref="AS873:AS875"/>
    <mergeCell ref="A876:A878"/>
    <mergeCell ref="B876:B878"/>
    <mergeCell ref="C876:C878"/>
    <mergeCell ref="D876:D878"/>
    <mergeCell ref="AJ876:AJ878"/>
    <mergeCell ref="AK876:AK878"/>
    <mergeCell ref="AL876:AL878"/>
    <mergeCell ref="AM876:AM878"/>
    <mergeCell ref="AN876:AN878"/>
    <mergeCell ref="AO876:AO878"/>
    <mergeCell ref="AP876:AP878"/>
    <mergeCell ref="AQ876:AQ878"/>
    <mergeCell ref="AR876:AR878"/>
    <mergeCell ref="AS876:AS878"/>
    <mergeCell ref="A879:A881"/>
    <mergeCell ref="B879:B881"/>
    <mergeCell ref="C879:C881"/>
    <mergeCell ref="D879:D881"/>
    <mergeCell ref="AJ879:AJ881"/>
    <mergeCell ref="AK879:AK881"/>
    <mergeCell ref="AL879:AL881"/>
    <mergeCell ref="AM879:AM881"/>
    <mergeCell ref="AN879:AN881"/>
    <mergeCell ref="AO879:AO881"/>
    <mergeCell ref="AP879:AP881"/>
    <mergeCell ref="AQ879:AQ881"/>
    <mergeCell ref="AR879:AR881"/>
    <mergeCell ref="AS879:AS881"/>
    <mergeCell ref="A882:A884"/>
    <mergeCell ref="B882:B884"/>
    <mergeCell ref="C882:C884"/>
    <mergeCell ref="D882:D884"/>
    <mergeCell ref="AJ882:AJ884"/>
    <mergeCell ref="AK882:AK884"/>
    <mergeCell ref="AL882:AL884"/>
    <mergeCell ref="AM882:AM884"/>
    <mergeCell ref="AN882:AN884"/>
    <mergeCell ref="AO882:AO884"/>
    <mergeCell ref="AP882:AP884"/>
    <mergeCell ref="AQ882:AQ884"/>
    <mergeCell ref="AR882:AR884"/>
    <mergeCell ref="AS882:AS884"/>
    <mergeCell ref="A885:A887"/>
    <mergeCell ref="B885:B887"/>
    <mergeCell ref="C885:C887"/>
    <mergeCell ref="D885:D887"/>
    <mergeCell ref="AJ885:AJ887"/>
    <mergeCell ref="AK885:AK887"/>
    <mergeCell ref="AL885:AL887"/>
    <mergeCell ref="AM885:AM887"/>
    <mergeCell ref="AN885:AN887"/>
    <mergeCell ref="AO885:AO887"/>
    <mergeCell ref="AP885:AP887"/>
    <mergeCell ref="AQ885:AQ887"/>
    <mergeCell ref="AR885:AR887"/>
    <mergeCell ref="AS885:AS887"/>
    <mergeCell ref="A888:A890"/>
    <mergeCell ref="B888:B890"/>
    <mergeCell ref="C888:C890"/>
    <mergeCell ref="D888:D890"/>
    <mergeCell ref="AJ888:AJ890"/>
    <mergeCell ref="AK888:AK890"/>
    <mergeCell ref="AL888:AL890"/>
    <mergeCell ref="AM888:AM890"/>
    <mergeCell ref="AN888:AN890"/>
    <mergeCell ref="AO888:AO890"/>
    <mergeCell ref="AP888:AP890"/>
    <mergeCell ref="AQ888:AQ890"/>
    <mergeCell ref="AR888:AR890"/>
    <mergeCell ref="AS888:AS890"/>
    <mergeCell ref="A891:A893"/>
    <mergeCell ref="B891:B893"/>
    <mergeCell ref="C891:C893"/>
    <mergeCell ref="D891:D893"/>
    <mergeCell ref="AJ891:AJ893"/>
    <mergeCell ref="AK891:AK893"/>
    <mergeCell ref="AL891:AL893"/>
    <mergeCell ref="AM891:AM893"/>
    <mergeCell ref="AN891:AN893"/>
    <mergeCell ref="AO891:AO893"/>
    <mergeCell ref="AP891:AP893"/>
    <mergeCell ref="AQ891:AQ893"/>
    <mergeCell ref="AR891:AR893"/>
    <mergeCell ref="AS891:AS893"/>
    <mergeCell ref="A894:A896"/>
    <mergeCell ref="B894:B896"/>
    <mergeCell ref="C894:C896"/>
    <mergeCell ref="D894:D896"/>
    <mergeCell ref="AJ894:AJ896"/>
    <mergeCell ref="AK894:AK896"/>
    <mergeCell ref="AL894:AL896"/>
    <mergeCell ref="AM894:AM896"/>
    <mergeCell ref="AN894:AN896"/>
    <mergeCell ref="AO894:AO896"/>
    <mergeCell ref="AP894:AP896"/>
    <mergeCell ref="AQ894:AQ896"/>
    <mergeCell ref="AR894:AR896"/>
    <mergeCell ref="AS894:AS896"/>
    <mergeCell ref="A897:A899"/>
    <mergeCell ref="B897:B899"/>
    <mergeCell ref="C897:C899"/>
    <mergeCell ref="D897:D899"/>
    <mergeCell ref="AJ897:AJ899"/>
    <mergeCell ref="AK897:AK899"/>
    <mergeCell ref="AL897:AL899"/>
    <mergeCell ref="AM897:AM899"/>
    <mergeCell ref="AN897:AN899"/>
    <mergeCell ref="AO897:AO899"/>
    <mergeCell ref="AP897:AP899"/>
    <mergeCell ref="AQ897:AQ899"/>
    <mergeCell ref="AR897:AR899"/>
    <mergeCell ref="AS897:AS899"/>
    <mergeCell ref="A900:A902"/>
    <mergeCell ref="B900:B902"/>
    <mergeCell ref="C900:C902"/>
    <mergeCell ref="D900:D902"/>
    <mergeCell ref="AJ900:AJ902"/>
    <mergeCell ref="AK900:AK902"/>
    <mergeCell ref="AL900:AL902"/>
    <mergeCell ref="AM900:AM902"/>
    <mergeCell ref="AN900:AN902"/>
    <mergeCell ref="AO900:AO902"/>
    <mergeCell ref="AP900:AP902"/>
    <mergeCell ref="AQ900:AQ902"/>
    <mergeCell ref="AR900:AR902"/>
    <mergeCell ref="AS900:AS902"/>
    <mergeCell ref="A903:A905"/>
    <mergeCell ref="B903:B905"/>
    <mergeCell ref="C903:C905"/>
    <mergeCell ref="D903:D905"/>
    <mergeCell ref="AJ903:AJ905"/>
    <mergeCell ref="AK903:AK905"/>
    <mergeCell ref="AL903:AL905"/>
    <mergeCell ref="AM903:AM905"/>
    <mergeCell ref="AN903:AN905"/>
    <mergeCell ref="AO903:AO905"/>
    <mergeCell ref="AP903:AP905"/>
    <mergeCell ref="AQ903:AQ905"/>
    <mergeCell ref="AR903:AR905"/>
    <mergeCell ref="AS903:AS905"/>
    <mergeCell ref="A906:A908"/>
    <mergeCell ref="B906:B908"/>
    <mergeCell ref="C906:C908"/>
    <mergeCell ref="D906:D908"/>
    <mergeCell ref="AJ906:AJ908"/>
    <mergeCell ref="AK906:AK908"/>
    <mergeCell ref="AL906:AL908"/>
    <mergeCell ref="AM906:AM908"/>
    <mergeCell ref="AN906:AN908"/>
    <mergeCell ref="AO906:AO908"/>
    <mergeCell ref="AP906:AP908"/>
    <mergeCell ref="AQ906:AQ908"/>
    <mergeCell ref="AR906:AR908"/>
    <mergeCell ref="AS906:AS908"/>
    <mergeCell ref="A909:A911"/>
    <mergeCell ref="B909:B911"/>
    <mergeCell ref="C909:C911"/>
    <mergeCell ref="D909:D911"/>
    <mergeCell ref="AJ909:AJ911"/>
    <mergeCell ref="AK909:AK911"/>
    <mergeCell ref="AL909:AL911"/>
    <mergeCell ref="AM909:AM911"/>
    <mergeCell ref="AN909:AN911"/>
    <mergeCell ref="AO909:AO911"/>
    <mergeCell ref="AP909:AP911"/>
    <mergeCell ref="AQ909:AQ911"/>
    <mergeCell ref="AR909:AR911"/>
    <mergeCell ref="AS909:AS911"/>
    <mergeCell ref="A912:A914"/>
    <mergeCell ref="B912:B914"/>
    <mergeCell ref="C912:C914"/>
    <mergeCell ref="D912:D914"/>
    <mergeCell ref="AJ912:AJ914"/>
    <mergeCell ref="AK912:AK914"/>
    <mergeCell ref="AL912:AL914"/>
    <mergeCell ref="AM912:AM914"/>
    <mergeCell ref="AN912:AN914"/>
    <mergeCell ref="AO912:AO914"/>
    <mergeCell ref="AP912:AP914"/>
    <mergeCell ref="AQ912:AQ914"/>
    <mergeCell ref="AR912:AR914"/>
    <mergeCell ref="AS912:AS914"/>
    <mergeCell ref="A915:A917"/>
    <mergeCell ref="B915:B917"/>
    <mergeCell ref="C915:C917"/>
    <mergeCell ref="D915:D917"/>
    <mergeCell ref="AJ915:AJ917"/>
    <mergeCell ref="AK915:AK917"/>
    <mergeCell ref="AL915:AL917"/>
    <mergeCell ref="AM915:AM917"/>
    <mergeCell ref="AN915:AN917"/>
    <mergeCell ref="AO915:AO917"/>
    <mergeCell ref="AP915:AP917"/>
    <mergeCell ref="AQ915:AQ917"/>
    <mergeCell ref="AR915:AR917"/>
    <mergeCell ref="AS915:AS917"/>
    <mergeCell ref="A918:A920"/>
    <mergeCell ref="B918:B920"/>
    <mergeCell ref="C918:C920"/>
    <mergeCell ref="D918:D920"/>
    <mergeCell ref="AJ918:AJ920"/>
    <mergeCell ref="AK918:AK920"/>
    <mergeCell ref="AL918:AL920"/>
    <mergeCell ref="AM918:AM920"/>
    <mergeCell ref="AN918:AN920"/>
    <mergeCell ref="AO918:AO920"/>
    <mergeCell ref="AP918:AP920"/>
    <mergeCell ref="AQ918:AQ920"/>
    <mergeCell ref="AR918:AR920"/>
    <mergeCell ref="AS918:AS920"/>
    <mergeCell ref="A921:A923"/>
    <mergeCell ref="B921:B923"/>
    <mergeCell ref="C921:C923"/>
    <mergeCell ref="D921:D923"/>
    <mergeCell ref="AJ921:AJ923"/>
    <mergeCell ref="AK921:AK923"/>
    <mergeCell ref="AL921:AL923"/>
    <mergeCell ref="AM921:AM923"/>
    <mergeCell ref="AN921:AN923"/>
    <mergeCell ref="AO921:AO923"/>
    <mergeCell ref="AP921:AP923"/>
    <mergeCell ref="AQ921:AQ923"/>
    <mergeCell ref="AR921:AR923"/>
    <mergeCell ref="AS921:AS923"/>
    <mergeCell ref="A924:A926"/>
    <mergeCell ref="B924:B926"/>
    <mergeCell ref="C924:C926"/>
    <mergeCell ref="D924:D926"/>
    <mergeCell ref="AJ924:AJ926"/>
    <mergeCell ref="AK924:AK926"/>
    <mergeCell ref="AL924:AL926"/>
    <mergeCell ref="AM924:AM926"/>
    <mergeCell ref="AN924:AN926"/>
    <mergeCell ref="AO924:AO926"/>
    <mergeCell ref="AP924:AP926"/>
    <mergeCell ref="AQ924:AQ926"/>
    <mergeCell ref="AR924:AR926"/>
    <mergeCell ref="AS924:AS926"/>
    <mergeCell ref="A927:A929"/>
    <mergeCell ref="B927:B929"/>
    <mergeCell ref="C927:C929"/>
    <mergeCell ref="D927:D929"/>
    <mergeCell ref="AJ927:AJ929"/>
    <mergeCell ref="AK927:AK929"/>
    <mergeCell ref="AL927:AL929"/>
    <mergeCell ref="AM927:AM929"/>
    <mergeCell ref="AN927:AN929"/>
    <mergeCell ref="AO927:AO929"/>
    <mergeCell ref="AP927:AP929"/>
    <mergeCell ref="AQ927:AQ929"/>
    <mergeCell ref="AR927:AR929"/>
    <mergeCell ref="AS927:AS929"/>
    <mergeCell ref="A930:A932"/>
    <mergeCell ref="B930:B932"/>
    <mergeCell ref="C930:C932"/>
    <mergeCell ref="D930:D932"/>
    <mergeCell ref="AJ930:AJ932"/>
    <mergeCell ref="AK930:AK932"/>
    <mergeCell ref="AL930:AL932"/>
    <mergeCell ref="AM930:AM932"/>
    <mergeCell ref="AN930:AN932"/>
    <mergeCell ref="AO930:AO932"/>
    <mergeCell ref="AP930:AP932"/>
    <mergeCell ref="AQ930:AQ932"/>
    <mergeCell ref="AR930:AR932"/>
    <mergeCell ref="AS930:AS932"/>
    <mergeCell ref="A933:A935"/>
    <mergeCell ref="B933:B935"/>
    <mergeCell ref="C933:C935"/>
    <mergeCell ref="D933:D935"/>
    <mergeCell ref="AJ933:AJ935"/>
    <mergeCell ref="AK933:AK935"/>
    <mergeCell ref="AL933:AL935"/>
    <mergeCell ref="AM933:AM935"/>
    <mergeCell ref="AN933:AN935"/>
    <mergeCell ref="AO933:AO935"/>
    <mergeCell ref="AP933:AP935"/>
    <mergeCell ref="AQ933:AQ935"/>
    <mergeCell ref="AR933:AR935"/>
    <mergeCell ref="AS933:AS935"/>
    <mergeCell ref="A936:A938"/>
    <mergeCell ref="B936:B938"/>
    <mergeCell ref="C936:C938"/>
    <mergeCell ref="D936:D938"/>
    <mergeCell ref="AJ936:AJ938"/>
    <mergeCell ref="AK936:AK938"/>
    <mergeCell ref="AL936:AL938"/>
    <mergeCell ref="AM936:AM938"/>
    <mergeCell ref="AN936:AN938"/>
    <mergeCell ref="AO936:AO938"/>
    <mergeCell ref="AP936:AP938"/>
    <mergeCell ref="AQ936:AQ938"/>
    <mergeCell ref="AR936:AR938"/>
    <mergeCell ref="AS936:AS938"/>
    <mergeCell ref="A939:A941"/>
    <mergeCell ref="B939:B941"/>
    <mergeCell ref="C939:C941"/>
    <mergeCell ref="D939:D941"/>
    <mergeCell ref="AJ939:AJ941"/>
    <mergeCell ref="AK939:AK941"/>
    <mergeCell ref="AL939:AL941"/>
    <mergeCell ref="AM939:AM941"/>
    <mergeCell ref="AN939:AN941"/>
    <mergeCell ref="AO939:AO941"/>
    <mergeCell ref="AP939:AP941"/>
    <mergeCell ref="AQ939:AQ941"/>
    <mergeCell ref="AR939:AR941"/>
    <mergeCell ref="AS939:AS941"/>
    <mergeCell ref="A942:A944"/>
    <mergeCell ref="B942:B944"/>
    <mergeCell ref="C942:C944"/>
    <mergeCell ref="D942:D944"/>
    <mergeCell ref="AJ942:AJ944"/>
    <mergeCell ref="AK942:AK944"/>
    <mergeCell ref="AL942:AL944"/>
    <mergeCell ref="AM942:AM944"/>
    <mergeCell ref="AN942:AN944"/>
    <mergeCell ref="AO942:AO944"/>
    <mergeCell ref="AP942:AP944"/>
    <mergeCell ref="AQ942:AQ944"/>
    <mergeCell ref="AR942:AR944"/>
    <mergeCell ref="AS942:AS944"/>
    <mergeCell ref="A945:A947"/>
    <mergeCell ref="B945:B947"/>
    <mergeCell ref="C945:C947"/>
    <mergeCell ref="D945:D947"/>
    <mergeCell ref="AJ945:AJ947"/>
    <mergeCell ref="AK945:AK947"/>
    <mergeCell ref="AL945:AL947"/>
    <mergeCell ref="AM945:AM947"/>
    <mergeCell ref="AN945:AN947"/>
    <mergeCell ref="AO945:AO947"/>
    <mergeCell ref="AP945:AP947"/>
    <mergeCell ref="AQ945:AQ947"/>
    <mergeCell ref="AR945:AR947"/>
    <mergeCell ref="AS945:AS947"/>
    <mergeCell ref="A948:A950"/>
    <mergeCell ref="B948:B950"/>
    <mergeCell ref="C948:C950"/>
    <mergeCell ref="D948:D950"/>
    <mergeCell ref="AJ948:AJ950"/>
    <mergeCell ref="AK948:AK950"/>
    <mergeCell ref="AL948:AL950"/>
    <mergeCell ref="AM948:AM950"/>
    <mergeCell ref="AN948:AN950"/>
    <mergeCell ref="AO948:AO950"/>
    <mergeCell ref="AP948:AP950"/>
    <mergeCell ref="AQ948:AQ950"/>
    <mergeCell ref="AR948:AR950"/>
    <mergeCell ref="AS948:AS950"/>
    <mergeCell ref="A951:A953"/>
    <mergeCell ref="B951:B953"/>
    <mergeCell ref="C951:C953"/>
    <mergeCell ref="D951:D953"/>
    <mergeCell ref="AJ951:AJ953"/>
    <mergeCell ref="AK951:AK953"/>
    <mergeCell ref="AL951:AL953"/>
    <mergeCell ref="AM951:AM953"/>
    <mergeCell ref="AN951:AN953"/>
    <mergeCell ref="AO951:AO953"/>
    <mergeCell ref="AP951:AP953"/>
    <mergeCell ref="AQ951:AQ953"/>
    <mergeCell ref="AR951:AR953"/>
    <mergeCell ref="AS951:AS953"/>
    <mergeCell ref="A954:A956"/>
    <mergeCell ref="B954:B956"/>
    <mergeCell ref="C954:C956"/>
    <mergeCell ref="D954:D956"/>
    <mergeCell ref="AJ954:AJ956"/>
    <mergeCell ref="AK954:AK956"/>
    <mergeCell ref="AL954:AL956"/>
    <mergeCell ref="AM954:AM956"/>
    <mergeCell ref="AN954:AN956"/>
    <mergeCell ref="AO954:AO956"/>
    <mergeCell ref="AP954:AP956"/>
    <mergeCell ref="AQ954:AQ956"/>
    <mergeCell ref="AR954:AR956"/>
    <mergeCell ref="AS954:AS956"/>
    <mergeCell ref="A957:A959"/>
    <mergeCell ref="B957:B959"/>
    <mergeCell ref="C957:C959"/>
    <mergeCell ref="D957:D959"/>
    <mergeCell ref="AJ957:AJ959"/>
    <mergeCell ref="AK957:AK959"/>
    <mergeCell ref="AL957:AL959"/>
    <mergeCell ref="AM957:AM959"/>
    <mergeCell ref="AN957:AN959"/>
    <mergeCell ref="AO957:AO959"/>
    <mergeCell ref="AP957:AP959"/>
    <mergeCell ref="AQ957:AQ959"/>
    <mergeCell ref="AR957:AR959"/>
    <mergeCell ref="AS957:AS959"/>
    <mergeCell ref="A960:A962"/>
    <mergeCell ref="B960:B962"/>
    <mergeCell ref="C960:C962"/>
    <mergeCell ref="D960:D962"/>
    <mergeCell ref="AJ960:AJ962"/>
    <mergeCell ref="AK960:AK962"/>
    <mergeCell ref="AL960:AL962"/>
    <mergeCell ref="AM960:AM962"/>
    <mergeCell ref="AN960:AN962"/>
    <mergeCell ref="AO960:AO962"/>
    <mergeCell ref="AP960:AP962"/>
    <mergeCell ref="AQ960:AQ962"/>
    <mergeCell ref="AR960:AR962"/>
    <mergeCell ref="AS960:AS962"/>
    <mergeCell ref="A963:A965"/>
    <mergeCell ref="B963:B965"/>
    <mergeCell ref="C963:C965"/>
    <mergeCell ref="D963:D965"/>
    <mergeCell ref="AJ963:AJ965"/>
    <mergeCell ref="AK963:AK965"/>
    <mergeCell ref="AL963:AL965"/>
    <mergeCell ref="AM963:AM965"/>
    <mergeCell ref="AN963:AN965"/>
    <mergeCell ref="AO963:AO965"/>
    <mergeCell ref="AP963:AP965"/>
    <mergeCell ref="AQ963:AQ965"/>
    <mergeCell ref="AR963:AR965"/>
    <mergeCell ref="AS963:AS965"/>
    <mergeCell ref="A966:A968"/>
    <mergeCell ref="B966:B968"/>
    <mergeCell ref="C966:C968"/>
    <mergeCell ref="D966:D968"/>
    <mergeCell ref="AJ966:AJ968"/>
    <mergeCell ref="AK966:AK968"/>
    <mergeCell ref="AL966:AL968"/>
    <mergeCell ref="AM966:AM968"/>
    <mergeCell ref="AN966:AN968"/>
    <mergeCell ref="AO966:AO968"/>
    <mergeCell ref="AP966:AP968"/>
    <mergeCell ref="AQ966:AQ968"/>
    <mergeCell ref="AR966:AR968"/>
    <mergeCell ref="AS966:AS968"/>
    <mergeCell ref="A969:A971"/>
    <mergeCell ref="B969:B971"/>
    <mergeCell ref="C969:C971"/>
    <mergeCell ref="D969:D971"/>
    <mergeCell ref="AJ969:AJ971"/>
    <mergeCell ref="AK969:AK971"/>
    <mergeCell ref="AL969:AL971"/>
    <mergeCell ref="AM969:AM971"/>
    <mergeCell ref="AN969:AN971"/>
    <mergeCell ref="AO969:AO971"/>
    <mergeCell ref="AP969:AP971"/>
    <mergeCell ref="AQ969:AQ971"/>
    <mergeCell ref="AR969:AR971"/>
    <mergeCell ref="AS969:AS971"/>
    <mergeCell ref="A972:A974"/>
    <mergeCell ref="B972:B974"/>
    <mergeCell ref="C972:C974"/>
    <mergeCell ref="D972:D974"/>
    <mergeCell ref="AJ972:AJ974"/>
    <mergeCell ref="AK972:AK974"/>
    <mergeCell ref="AL972:AL974"/>
    <mergeCell ref="AM972:AM974"/>
    <mergeCell ref="AN972:AN974"/>
    <mergeCell ref="AO972:AO974"/>
    <mergeCell ref="AP972:AP974"/>
    <mergeCell ref="AQ972:AQ974"/>
    <mergeCell ref="AR972:AR974"/>
    <mergeCell ref="AS972:AS974"/>
    <mergeCell ref="A975:A977"/>
    <mergeCell ref="B975:B977"/>
    <mergeCell ref="C975:C977"/>
    <mergeCell ref="D975:D977"/>
    <mergeCell ref="AJ975:AJ977"/>
    <mergeCell ref="AK975:AK977"/>
    <mergeCell ref="AL975:AL977"/>
    <mergeCell ref="AM975:AM977"/>
    <mergeCell ref="AN975:AN977"/>
    <mergeCell ref="AO975:AO977"/>
    <mergeCell ref="AP975:AP977"/>
    <mergeCell ref="AQ975:AQ977"/>
    <mergeCell ref="AR975:AR977"/>
    <mergeCell ref="AS975:AS977"/>
    <mergeCell ref="A978:A980"/>
    <mergeCell ref="B978:B980"/>
    <mergeCell ref="C978:C980"/>
    <mergeCell ref="D978:D980"/>
    <mergeCell ref="AJ978:AJ980"/>
    <mergeCell ref="AK978:AK980"/>
    <mergeCell ref="AL978:AL980"/>
    <mergeCell ref="AM978:AM980"/>
    <mergeCell ref="AN978:AN980"/>
    <mergeCell ref="AO978:AO980"/>
    <mergeCell ref="AP978:AP980"/>
    <mergeCell ref="AQ978:AQ980"/>
    <mergeCell ref="AR978:AR980"/>
    <mergeCell ref="AS978:AS980"/>
    <mergeCell ref="A981:A983"/>
    <mergeCell ref="B981:B983"/>
    <mergeCell ref="C981:C983"/>
    <mergeCell ref="D981:D983"/>
    <mergeCell ref="AJ981:AJ983"/>
    <mergeCell ref="AK981:AK983"/>
    <mergeCell ref="AL981:AL983"/>
    <mergeCell ref="AM981:AM983"/>
    <mergeCell ref="AN981:AN983"/>
    <mergeCell ref="AO981:AO983"/>
    <mergeCell ref="AP981:AP983"/>
    <mergeCell ref="AQ981:AQ983"/>
    <mergeCell ref="AR981:AR983"/>
    <mergeCell ref="AS981:AS983"/>
    <mergeCell ref="A984:A986"/>
    <mergeCell ref="B984:B986"/>
    <mergeCell ref="C984:C986"/>
    <mergeCell ref="D984:D986"/>
    <mergeCell ref="AJ984:AJ986"/>
    <mergeCell ref="AK984:AK986"/>
    <mergeCell ref="AL984:AL986"/>
    <mergeCell ref="AM984:AM986"/>
    <mergeCell ref="AN984:AN986"/>
    <mergeCell ref="AO984:AO986"/>
    <mergeCell ref="AP984:AP986"/>
    <mergeCell ref="AQ984:AQ986"/>
    <mergeCell ref="AR984:AR986"/>
    <mergeCell ref="AS984:AS986"/>
    <mergeCell ref="A987:A989"/>
    <mergeCell ref="B987:B989"/>
    <mergeCell ref="C987:C989"/>
    <mergeCell ref="D987:D989"/>
    <mergeCell ref="AJ987:AJ989"/>
    <mergeCell ref="AK987:AK989"/>
    <mergeCell ref="AL987:AL989"/>
    <mergeCell ref="AM987:AM989"/>
    <mergeCell ref="AN987:AN989"/>
    <mergeCell ref="AO987:AO989"/>
    <mergeCell ref="AP987:AP989"/>
    <mergeCell ref="AQ987:AQ989"/>
    <mergeCell ref="AR987:AR989"/>
    <mergeCell ref="AS987:AS989"/>
    <mergeCell ref="A990:A992"/>
    <mergeCell ref="B990:B992"/>
    <mergeCell ref="C990:C992"/>
    <mergeCell ref="D990:D992"/>
    <mergeCell ref="AJ990:AJ992"/>
    <mergeCell ref="AK990:AK992"/>
    <mergeCell ref="AL990:AL992"/>
    <mergeCell ref="AM990:AM992"/>
    <mergeCell ref="AN990:AN992"/>
    <mergeCell ref="AO990:AO992"/>
    <mergeCell ref="AP990:AP992"/>
    <mergeCell ref="AQ990:AQ992"/>
    <mergeCell ref="AR990:AR992"/>
    <mergeCell ref="AS990:AS992"/>
    <mergeCell ref="A993:A995"/>
    <mergeCell ref="B993:B995"/>
    <mergeCell ref="C993:C995"/>
    <mergeCell ref="D993:D995"/>
    <mergeCell ref="AJ993:AJ995"/>
    <mergeCell ref="AK993:AK995"/>
    <mergeCell ref="AL993:AL995"/>
    <mergeCell ref="AM993:AM995"/>
    <mergeCell ref="AN993:AN995"/>
    <mergeCell ref="AO993:AO995"/>
    <mergeCell ref="AP993:AP995"/>
    <mergeCell ref="AQ993:AQ995"/>
    <mergeCell ref="AR993:AR995"/>
    <mergeCell ref="AS993:AS995"/>
    <mergeCell ref="A996:A998"/>
    <mergeCell ref="B996:B998"/>
    <mergeCell ref="C996:C998"/>
    <mergeCell ref="D996:D998"/>
    <mergeCell ref="AJ996:AJ998"/>
    <mergeCell ref="AK996:AK998"/>
    <mergeCell ref="AL996:AL998"/>
    <mergeCell ref="AM996:AM998"/>
    <mergeCell ref="AN996:AN998"/>
    <mergeCell ref="AO996:AO998"/>
    <mergeCell ref="AP996:AP998"/>
    <mergeCell ref="AQ996:AQ998"/>
    <mergeCell ref="AR996:AR998"/>
    <mergeCell ref="AS996:AS998"/>
    <mergeCell ref="A999:A1001"/>
    <mergeCell ref="B999:B1001"/>
    <mergeCell ref="C999:C1001"/>
    <mergeCell ref="D999:D1001"/>
    <mergeCell ref="AJ999:AJ1001"/>
    <mergeCell ref="AK999:AK1001"/>
    <mergeCell ref="AL999:AL1001"/>
    <mergeCell ref="AM999:AM1001"/>
    <mergeCell ref="AN999:AN1001"/>
    <mergeCell ref="AO999:AO1001"/>
    <mergeCell ref="AP999:AP1001"/>
    <mergeCell ref="AQ999:AQ1001"/>
    <mergeCell ref="AR999:AR1001"/>
    <mergeCell ref="AS999:AS1001"/>
    <mergeCell ref="A1002:A1004"/>
    <mergeCell ref="B1002:B1004"/>
    <mergeCell ref="C1002:C1004"/>
    <mergeCell ref="D1002:D1004"/>
    <mergeCell ref="AJ1002:AJ1004"/>
    <mergeCell ref="AK1002:AK1004"/>
    <mergeCell ref="AL1002:AL1004"/>
    <mergeCell ref="AM1002:AM1004"/>
    <mergeCell ref="AN1002:AN1004"/>
    <mergeCell ref="AO1002:AO1004"/>
    <mergeCell ref="AP1002:AP1004"/>
    <mergeCell ref="AQ1002:AQ1004"/>
    <mergeCell ref="AR1002:AR1004"/>
    <mergeCell ref="AS1002:AS1004"/>
    <mergeCell ref="A1005:A1007"/>
    <mergeCell ref="B1005:B1007"/>
    <mergeCell ref="C1005:C1007"/>
    <mergeCell ref="D1005:D1007"/>
    <mergeCell ref="AJ1005:AJ1007"/>
    <mergeCell ref="AK1005:AK1007"/>
    <mergeCell ref="AL1005:AL1007"/>
    <mergeCell ref="AM1005:AM1007"/>
    <mergeCell ref="AN1005:AN1007"/>
    <mergeCell ref="AO1005:AO1007"/>
    <mergeCell ref="AP1005:AP1007"/>
    <mergeCell ref="AQ1005:AQ1007"/>
    <mergeCell ref="AR1005:AR1007"/>
    <mergeCell ref="AS1005:AS1007"/>
    <mergeCell ref="A1008:A1010"/>
    <mergeCell ref="B1008:B1010"/>
    <mergeCell ref="C1008:C1010"/>
    <mergeCell ref="D1008:D1010"/>
    <mergeCell ref="AJ1008:AJ1010"/>
    <mergeCell ref="AK1008:AK1010"/>
    <mergeCell ref="AL1008:AL1010"/>
    <mergeCell ref="AM1008:AM1010"/>
    <mergeCell ref="AN1008:AN1010"/>
    <mergeCell ref="AO1008:AO1010"/>
    <mergeCell ref="AP1008:AP1010"/>
    <mergeCell ref="AQ1008:AQ1010"/>
    <mergeCell ref="AR1008:AR1010"/>
    <mergeCell ref="AS1008:AS1010"/>
    <mergeCell ref="A1011:A1013"/>
    <mergeCell ref="B1011:B1013"/>
    <mergeCell ref="C1011:C1013"/>
    <mergeCell ref="D1011:D1013"/>
    <mergeCell ref="AJ1011:AJ1013"/>
    <mergeCell ref="AK1011:AK1013"/>
    <mergeCell ref="AL1011:AL1013"/>
    <mergeCell ref="AM1011:AM1013"/>
    <mergeCell ref="AN1011:AN1013"/>
    <mergeCell ref="AO1011:AO1013"/>
    <mergeCell ref="AP1011:AP1013"/>
    <mergeCell ref="AQ1011:AQ1013"/>
    <mergeCell ref="AR1011:AR1013"/>
    <mergeCell ref="AS1011:AS1013"/>
    <mergeCell ref="A1014:A1016"/>
    <mergeCell ref="B1014:B1016"/>
    <mergeCell ref="C1014:C1016"/>
    <mergeCell ref="D1014:D1016"/>
    <mergeCell ref="AJ1014:AJ1016"/>
    <mergeCell ref="AK1014:AK1016"/>
    <mergeCell ref="AL1014:AL1016"/>
    <mergeCell ref="AM1014:AM1016"/>
    <mergeCell ref="AN1014:AN1016"/>
    <mergeCell ref="AO1014:AO1016"/>
    <mergeCell ref="AP1014:AP1016"/>
    <mergeCell ref="AQ1014:AQ1016"/>
    <mergeCell ref="AR1014:AR1016"/>
    <mergeCell ref="AS1014:AS1016"/>
    <mergeCell ref="A1017:A1019"/>
    <mergeCell ref="B1017:B1019"/>
    <mergeCell ref="C1017:C1019"/>
    <mergeCell ref="D1017:D1019"/>
    <mergeCell ref="AJ1017:AJ1019"/>
    <mergeCell ref="AK1017:AK1019"/>
    <mergeCell ref="AL1017:AL1019"/>
    <mergeCell ref="AM1017:AM1019"/>
    <mergeCell ref="AN1017:AN1019"/>
    <mergeCell ref="AO1017:AO1019"/>
    <mergeCell ref="AP1017:AP1019"/>
    <mergeCell ref="AQ1017:AQ1019"/>
    <mergeCell ref="AR1017:AR1019"/>
    <mergeCell ref="AS1017:AS1019"/>
    <mergeCell ref="A1020:A1022"/>
    <mergeCell ref="B1020:B1022"/>
    <mergeCell ref="C1020:C1022"/>
    <mergeCell ref="D1020:D1022"/>
    <mergeCell ref="AJ1020:AJ1022"/>
    <mergeCell ref="AK1020:AK1022"/>
    <mergeCell ref="AL1020:AL1022"/>
    <mergeCell ref="AM1020:AM1022"/>
    <mergeCell ref="AN1020:AN1022"/>
    <mergeCell ref="AO1020:AO1022"/>
    <mergeCell ref="AP1020:AP1022"/>
    <mergeCell ref="AQ1020:AQ1022"/>
    <mergeCell ref="AR1020:AR1022"/>
    <mergeCell ref="AS1020:AS1022"/>
    <mergeCell ref="A1023:A1025"/>
    <mergeCell ref="B1023:B1025"/>
    <mergeCell ref="C1023:C1025"/>
    <mergeCell ref="D1023:D1025"/>
    <mergeCell ref="AJ1023:AJ1025"/>
    <mergeCell ref="AK1023:AK1025"/>
    <mergeCell ref="AL1023:AL1025"/>
    <mergeCell ref="AM1023:AM1025"/>
    <mergeCell ref="AN1023:AN1025"/>
    <mergeCell ref="AO1023:AO1025"/>
    <mergeCell ref="AP1023:AP1025"/>
    <mergeCell ref="AQ1023:AQ1025"/>
    <mergeCell ref="AR1023:AR1025"/>
    <mergeCell ref="AS1023:AS1025"/>
    <mergeCell ref="A1026:A1028"/>
    <mergeCell ref="B1026:B1028"/>
    <mergeCell ref="C1026:C1028"/>
    <mergeCell ref="D1026:D1028"/>
    <mergeCell ref="AJ1026:AJ1028"/>
    <mergeCell ref="AK1026:AK1028"/>
    <mergeCell ref="AL1026:AL1028"/>
    <mergeCell ref="AM1026:AM1028"/>
    <mergeCell ref="AN1026:AN1028"/>
    <mergeCell ref="AO1026:AO1028"/>
    <mergeCell ref="AP1026:AP1028"/>
    <mergeCell ref="AQ1026:AQ1028"/>
    <mergeCell ref="AR1026:AR1028"/>
    <mergeCell ref="AS1026:AS1028"/>
    <mergeCell ref="A1029:A1031"/>
    <mergeCell ref="B1029:B1031"/>
    <mergeCell ref="C1029:C1031"/>
    <mergeCell ref="D1029:D1031"/>
    <mergeCell ref="AJ1029:AJ1031"/>
    <mergeCell ref="AK1029:AK1031"/>
    <mergeCell ref="AL1029:AL1031"/>
    <mergeCell ref="AM1029:AM1031"/>
    <mergeCell ref="AN1029:AN1031"/>
    <mergeCell ref="AO1029:AO1031"/>
    <mergeCell ref="AP1029:AP1031"/>
    <mergeCell ref="AQ1029:AQ1031"/>
    <mergeCell ref="AR1029:AR1031"/>
    <mergeCell ref="AS1029:AS1031"/>
    <mergeCell ref="A1032:A1034"/>
    <mergeCell ref="B1032:B1034"/>
    <mergeCell ref="C1032:C1034"/>
    <mergeCell ref="D1032:D1034"/>
    <mergeCell ref="AJ1032:AJ1034"/>
    <mergeCell ref="AK1032:AK1034"/>
    <mergeCell ref="AL1032:AL1034"/>
    <mergeCell ref="AM1032:AM1034"/>
    <mergeCell ref="AN1032:AN1034"/>
    <mergeCell ref="AO1032:AO1034"/>
    <mergeCell ref="AP1032:AP1034"/>
    <mergeCell ref="AQ1032:AQ1034"/>
    <mergeCell ref="AR1032:AR1034"/>
    <mergeCell ref="AS1032:AS1034"/>
    <mergeCell ref="A1035:A1037"/>
    <mergeCell ref="B1035:B1037"/>
    <mergeCell ref="C1035:C1037"/>
    <mergeCell ref="D1035:D1037"/>
    <mergeCell ref="AJ1035:AJ1037"/>
    <mergeCell ref="AK1035:AK1037"/>
    <mergeCell ref="AL1035:AL1037"/>
    <mergeCell ref="AM1035:AM1037"/>
    <mergeCell ref="AN1035:AN1037"/>
    <mergeCell ref="AO1035:AO1037"/>
    <mergeCell ref="AP1035:AP1037"/>
    <mergeCell ref="AQ1035:AQ1037"/>
    <mergeCell ref="AR1035:AR1037"/>
    <mergeCell ref="AS1035:AS1037"/>
    <mergeCell ref="A1038:A1040"/>
    <mergeCell ref="B1038:B1040"/>
    <mergeCell ref="C1038:C1040"/>
    <mergeCell ref="D1038:D1040"/>
    <mergeCell ref="AJ1038:AJ1040"/>
    <mergeCell ref="AK1038:AK1040"/>
    <mergeCell ref="AL1038:AL1040"/>
    <mergeCell ref="AM1038:AM1040"/>
    <mergeCell ref="AN1038:AN1040"/>
    <mergeCell ref="AO1038:AO1040"/>
    <mergeCell ref="AP1038:AP1040"/>
    <mergeCell ref="AQ1038:AQ1040"/>
    <mergeCell ref="AR1038:AR1040"/>
    <mergeCell ref="AS1038:AS1040"/>
    <mergeCell ref="A1041:A1043"/>
    <mergeCell ref="B1041:B1043"/>
    <mergeCell ref="C1041:C1043"/>
    <mergeCell ref="D1041:D1043"/>
    <mergeCell ref="AJ1041:AJ1043"/>
    <mergeCell ref="AK1041:AK1043"/>
    <mergeCell ref="AL1041:AL1043"/>
    <mergeCell ref="AM1041:AM1043"/>
    <mergeCell ref="AN1041:AN1043"/>
    <mergeCell ref="AO1041:AO1043"/>
    <mergeCell ref="AP1041:AP1043"/>
    <mergeCell ref="AQ1041:AQ1043"/>
    <mergeCell ref="AR1041:AR1043"/>
    <mergeCell ref="AS1041:AS1043"/>
    <mergeCell ref="A1044:A1046"/>
    <mergeCell ref="B1044:B1046"/>
    <mergeCell ref="C1044:C1046"/>
    <mergeCell ref="D1044:D1046"/>
    <mergeCell ref="AJ1044:AJ1046"/>
    <mergeCell ref="AK1044:AK1046"/>
    <mergeCell ref="AL1044:AL1046"/>
    <mergeCell ref="AM1044:AM1046"/>
    <mergeCell ref="AN1044:AN1046"/>
    <mergeCell ref="AO1044:AO1046"/>
    <mergeCell ref="AP1044:AP1046"/>
    <mergeCell ref="AQ1044:AQ1046"/>
    <mergeCell ref="AR1044:AR1046"/>
    <mergeCell ref="AS1044:AS1046"/>
    <mergeCell ref="A1047:A1049"/>
    <mergeCell ref="B1047:B1049"/>
    <mergeCell ref="C1047:C1049"/>
    <mergeCell ref="D1047:D1049"/>
    <mergeCell ref="AJ1047:AJ1049"/>
    <mergeCell ref="AK1047:AK1049"/>
    <mergeCell ref="AL1047:AL1049"/>
    <mergeCell ref="AM1047:AM1049"/>
    <mergeCell ref="AN1047:AN1049"/>
    <mergeCell ref="AO1047:AO1049"/>
    <mergeCell ref="AP1047:AP1049"/>
    <mergeCell ref="AQ1047:AQ1049"/>
    <mergeCell ref="AR1047:AR1049"/>
    <mergeCell ref="AS1047:AS1049"/>
    <mergeCell ref="A1050:A1052"/>
    <mergeCell ref="B1050:B1052"/>
    <mergeCell ref="C1050:C1052"/>
    <mergeCell ref="D1050:D1052"/>
    <mergeCell ref="AJ1050:AJ1052"/>
    <mergeCell ref="AK1050:AK1052"/>
    <mergeCell ref="AL1050:AL1052"/>
    <mergeCell ref="AM1050:AM1052"/>
    <mergeCell ref="AN1050:AN1052"/>
    <mergeCell ref="AO1050:AO1052"/>
    <mergeCell ref="AP1050:AP1052"/>
    <mergeCell ref="AQ1050:AQ1052"/>
    <mergeCell ref="AR1050:AR1052"/>
    <mergeCell ref="AS1050:AS1052"/>
    <mergeCell ref="A1053:A1055"/>
    <mergeCell ref="B1053:B1055"/>
    <mergeCell ref="C1053:C1055"/>
    <mergeCell ref="D1053:D1055"/>
    <mergeCell ref="AJ1053:AJ1055"/>
    <mergeCell ref="AK1053:AK1055"/>
    <mergeCell ref="AL1053:AL1055"/>
    <mergeCell ref="AM1053:AM1055"/>
    <mergeCell ref="AN1053:AN1055"/>
    <mergeCell ref="AO1053:AO1055"/>
    <mergeCell ref="AP1053:AP1055"/>
    <mergeCell ref="AQ1053:AQ1055"/>
    <mergeCell ref="AR1053:AR1055"/>
    <mergeCell ref="AS1053:AS1055"/>
    <mergeCell ref="A1056:A1058"/>
    <mergeCell ref="B1056:B1058"/>
    <mergeCell ref="C1056:C1058"/>
    <mergeCell ref="D1056:D1058"/>
    <mergeCell ref="AJ1056:AJ1058"/>
    <mergeCell ref="AK1056:AK1058"/>
    <mergeCell ref="AL1056:AL1058"/>
    <mergeCell ref="AM1056:AM1058"/>
    <mergeCell ref="AN1056:AN1058"/>
    <mergeCell ref="AO1056:AO1058"/>
    <mergeCell ref="AP1056:AP1058"/>
    <mergeCell ref="AQ1056:AQ1058"/>
    <mergeCell ref="AR1056:AR1058"/>
    <mergeCell ref="AS1056:AS1058"/>
    <mergeCell ref="A1059:A1061"/>
    <mergeCell ref="B1059:B1061"/>
    <mergeCell ref="C1059:C1061"/>
    <mergeCell ref="D1059:D1061"/>
    <mergeCell ref="AJ1059:AJ1061"/>
    <mergeCell ref="AK1059:AK1061"/>
    <mergeCell ref="AL1059:AL1061"/>
    <mergeCell ref="AM1059:AM1061"/>
    <mergeCell ref="AN1059:AN1061"/>
    <mergeCell ref="AO1059:AO1061"/>
    <mergeCell ref="AP1059:AP1061"/>
    <mergeCell ref="AQ1059:AQ1061"/>
    <mergeCell ref="AR1059:AR1061"/>
    <mergeCell ref="AS1059:AS1061"/>
    <mergeCell ref="A1062:A1064"/>
    <mergeCell ref="B1062:B1064"/>
    <mergeCell ref="C1062:C1064"/>
    <mergeCell ref="D1062:D1064"/>
    <mergeCell ref="AJ1062:AJ1064"/>
    <mergeCell ref="AK1062:AK1064"/>
    <mergeCell ref="AL1062:AL1064"/>
    <mergeCell ref="AM1062:AM1064"/>
    <mergeCell ref="AN1062:AN1064"/>
    <mergeCell ref="AO1062:AO1064"/>
    <mergeCell ref="AP1062:AP1064"/>
    <mergeCell ref="AQ1062:AQ1064"/>
    <mergeCell ref="AR1062:AR1064"/>
    <mergeCell ref="AS1062:AS1064"/>
    <mergeCell ref="A1065:A1067"/>
    <mergeCell ref="B1065:B1067"/>
    <mergeCell ref="C1065:C1067"/>
    <mergeCell ref="D1065:D1067"/>
    <mergeCell ref="AJ1065:AJ1067"/>
    <mergeCell ref="AK1065:AK1067"/>
    <mergeCell ref="AL1065:AL1067"/>
    <mergeCell ref="AM1065:AM1067"/>
    <mergeCell ref="AN1065:AN1067"/>
    <mergeCell ref="AO1065:AO1067"/>
    <mergeCell ref="AP1065:AP1067"/>
    <mergeCell ref="AQ1065:AQ1067"/>
    <mergeCell ref="AR1065:AR1067"/>
    <mergeCell ref="AS1065:AS1067"/>
    <mergeCell ref="A1068:A1070"/>
    <mergeCell ref="B1068:B1070"/>
    <mergeCell ref="C1068:C1070"/>
    <mergeCell ref="D1068:D1070"/>
    <mergeCell ref="AJ1068:AJ1070"/>
    <mergeCell ref="AK1068:AK1070"/>
    <mergeCell ref="AL1068:AL1070"/>
    <mergeCell ref="AM1068:AM1070"/>
    <mergeCell ref="AN1068:AN1070"/>
    <mergeCell ref="AO1068:AO1070"/>
    <mergeCell ref="AP1068:AP1070"/>
    <mergeCell ref="AQ1068:AQ1070"/>
    <mergeCell ref="AR1068:AR1070"/>
    <mergeCell ref="AS1068:AS1070"/>
    <mergeCell ref="A1071:A1073"/>
    <mergeCell ref="B1071:B1073"/>
    <mergeCell ref="C1071:C1073"/>
    <mergeCell ref="D1071:D1073"/>
    <mergeCell ref="AJ1071:AJ1073"/>
    <mergeCell ref="AK1071:AK1073"/>
    <mergeCell ref="AL1071:AL1073"/>
    <mergeCell ref="AM1071:AM1073"/>
    <mergeCell ref="AN1071:AN1073"/>
    <mergeCell ref="AO1071:AO1073"/>
    <mergeCell ref="AP1071:AP1073"/>
    <mergeCell ref="AQ1071:AQ1073"/>
    <mergeCell ref="AR1071:AR1073"/>
    <mergeCell ref="AS1071:AS1073"/>
    <mergeCell ref="A1074:A1076"/>
    <mergeCell ref="B1074:B1076"/>
    <mergeCell ref="C1074:C1076"/>
    <mergeCell ref="D1074:D1076"/>
    <mergeCell ref="AJ1074:AJ1076"/>
    <mergeCell ref="AK1074:AK1076"/>
    <mergeCell ref="AL1074:AL1076"/>
    <mergeCell ref="AM1074:AM1076"/>
    <mergeCell ref="AN1074:AN1076"/>
    <mergeCell ref="AO1074:AO1076"/>
    <mergeCell ref="AP1074:AP1076"/>
    <mergeCell ref="AQ1074:AQ1076"/>
    <mergeCell ref="AR1074:AR1076"/>
    <mergeCell ref="AS1074:AS1076"/>
    <mergeCell ref="A1077:A1079"/>
    <mergeCell ref="B1077:B1079"/>
    <mergeCell ref="C1077:C1079"/>
    <mergeCell ref="D1077:D1079"/>
    <mergeCell ref="AJ1077:AJ1079"/>
    <mergeCell ref="AK1077:AK1079"/>
    <mergeCell ref="AL1077:AL1079"/>
    <mergeCell ref="AM1077:AM1079"/>
    <mergeCell ref="AN1077:AN1079"/>
    <mergeCell ref="AO1077:AO1079"/>
    <mergeCell ref="AP1077:AP1079"/>
    <mergeCell ref="AQ1077:AQ1079"/>
    <mergeCell ref="AR1077:AR1079"/>
    <mergeCell ref="AS1077:AS1079"/>
    <mergeCell ref="A1080:A1082"/>
    <mergeCell ref="B1080:B1082"/>
    <mergeCell ref="C1080:C1082"/>
    <mergeCell ref="D1080:D1082"/>
    <mergeCell ref="AJ1080:AJ1082"/>
    <mergeCell ref="AK1080:AK1082"/>
    <mergeCell ref="AL1080:AL1082"/>
    <mergeCell ref="AM1080:AM1082"/>
    <mergeCell ref="AN1080:AN1082"/>
    <mergeCell ref="AO1080:AO1082"/>
    <mergeCell ref="AP1080:AP1082"/>
    <mergeCell ref="AQ1080:AQ1082"/>
    <mergeCell ref="AR1080:AR1082"/>
    <mergeCell ref="AS1080:AS1082"/>
    <mergeCell ref="A1083:A1085"/>
    <mergeCell ref="B1083:B1085"/>
    <mergeCell ref="C1083:C1085"/>
    <mergeCell ref="D1083:D1085"/>
    <mergeCell ref="AJ1083:AJ1085"/>
    <mergeCell ref="AK1083:AK1085"/>
    <mergeCell ref="AL1083:AL1085"/>
    <mergeCell ref="AM1083:AM1085"/>
    <mergeCell ref="AN1083:AN1085"/>
    <mergeCell ref="AO1083:AO1085"/>
    <mergeCell ref="AP1083:AP1085"/>
    <mergeCell ref="AQ1083:AQ1085"/>
    <mergeCell ref="AR1083:AR1085"/>
    <mergeCell ref="AS1083:AS1085"/>
    <mergeCell ref="A1086:A1088"/>
    <mergeCell ref="B1086:B1088"/>
    <mergeCell ref="C1086:C1088"/>
    <mergeCell ref="D1086:D1088"/>
    <mergeCell ref="AJ1086:AJ1088"/>
    <mergeCell ref="AK1086:AK1088"/>
    <mergeCell ref="AL1086:AL1088"/>
    <mergeCell ref="AM1086:AM1088"/>
    <mergeCell ref="AN1086:AN1088"/>
    <mergeCell ref="AO1086:AO1088"/>
    <mergeCell ref="AP1086:AP1088"/>
    <mergeCell ref="AQ1086:AQ1088"/>
    <mergeCell ref="AR1086:AR1088"/>
    <mergeCell ref="AS1086:AS1088"/>
    <mergeCell ref="A1089:A1091"/>
    <mergeCell ref="B1089:B1091"/>
    <mergeCell ref="C1089:C1091"/>
    <mergeCell ref="D1089:D1091"/>
    <mergeCell ref="AJ1089:AJ1091"/>
    <mergeCell ref="AK1089:AK1091"/>
    <mergeCell ref="AL1089:AL1091"/>
    <mergeCell ref="AM1089:AM1091"/>
    <mergeCell ref="AN1089:AN1091"/>
    <mergeCell ref="AO1089:AO1091"/>
    <mergeCell ref="AP1089:AP1091"/>
    <mergeCell ref="AQ1089:AQ1091"/>
    <mergeCell ref="AR1089:AR1091"/>
    <mergeCell ref="AS1089:AS1091"/>
    <mergeCell ref="A1092:A1094"/>
    <mergeCell ref="B1092:B1094"/>
    <mergeCell ref="C1092:C1094"/>
    <mergeCell ref="D1092:D1094"/>
    <mergeCell ref="AJ1092:AJ1094"/>
    <mergeCell ref="AK1092:AK1094"/>
    <mergeCell ref="AL1092:AL1094"/>
    <mergeCell ref="AM1092:AM1094"/>
    <mergeCell ref="AN1092:AN1094"/>
    <mergeCell ref="AO1092:AO1094"/>
    <mergeCell ref="AP1092:AP1094"/>
    <mergeCell ref="AQ1092:AQ1094"/>
    <mergeCell ref="AR1092:AR1094"/>
    <mergeCell ref="AS1092:AS1094"/>
    <mergeCell ref="A1095:A1097"/>
    <mergeCell ref="B1095:B1097"/>
    <mergeCell ref="C1095:C1097"/>
    <mergeCell ref="D1095:D1097"/>
    <mergeCell ref="AJ1095:AJ1097"/>
    <mergeCell ref="AK1095:AK1097"/>
    <mergeCell ref="AL1095:AL1097"/>
    <mergeCell ref="AM1095:AM1097"/>
    <mergeCell ref="AN1095:AN1097"/>
    <mergeCell ref="AO1095:AO1097"/>
    <mergeCell ref="AP1095:AP1097"/>
    <mergeCell ref="AQ1095:AQ1097"/>
    <mergeCell ref="AR1095:AR1097"/>
    <mergeCell ref="AS1095:AS1097"/>
    <mergeCell ref="A1098:A1100"/>
    <mergeCell ref="B1098:B1100"/>
    <mergeCell ref="C1098:C1100"/>
    <mergeCell ref="D1098:D1100"/>
    <mergeCell ref="AJ1098:AJ1100"/>
    <mergeCell ref="AK1098:AK1100"/>
    <mergeCell ref="AL1098:AL1100"/>
    <mergeCell ref="AM1098:AM1100"/>
    <mergeCell ref="AN1098:AN1100"/>
    <mergeCell ref="AO1098:AO1100"/>
    <mergeCell ref="AP1098:AP1100"/>
    <mergeCell ref="AQ1098:AQ1100"/>
    <mergeCell ref="AR1098:AR1100"/>
    <mergeCell ref="AS1098:AS1100"/>
    <mergeCell ref="A1101:A1103"/>
    <mergeCell ref="B1101:B1103"/>
    <mergeCell ref="C1101:C1103"/>
    <mergeCell ref="D1101:D1103"/>
    <mergeCell ref="AJ1101:AJ1103"/>
    <mergeCell ref="AK1101:AK1103"/>
    <mergeCell ref="AL1101:AL1103"/>
    <mergeCell ref="AM1101:AM1103"/>
    <mergeCell ref="AN1101:AN1103"/>
    <mergeCell ref="AO1101:AO1103"/>
    <mergeCell ref="AP1101:AP1103"/>
    <mergeCell ref="AQ1101:AQ1103"/>
    <mergeCell ref="AR1101:AR1103"/>
    <mergeCell ref="AS1101:AS1103"/>
    <mergeCell ref="A1104:A1106"/>
    <mergeCell ref="B1104:B1106"/>
    <mergeCell ref="C1104:C1106"/>
    <mergeCell ref="D1104:D1106"/>
    <mergeCell ref="AJ1104:AJ1106"/>
    <mergeCell ref="AK1104:AK1106"/>
    <mergeCell ref="AL1104:AL1106"/>
    <mergeCell ref="AM1104:AM1106"/>
    <mergeCell ref="AN1104:AN1106"/>
    <mergeCell ref="AO1104:AO1106"/>
    <mergeCell ref="AP1104:AP1106"/>
    <mergeCell ref="AQ1104:AQ1106"/>
    <mergeCell ref="AR1104:AR1106"/>
    <mergeCell ref="AS1104:AS1106"/>
    <mergeCell ref="A1107:A1109"/>
    <mergeCell ref="B1107:B1109"/>
    <mergeCell ref="C1107:C1109"/>
    <mergeCell ref="D1107:D1109"/>
    <mergeCell ref="AJ1107:AJ1109"/>
    <mergeCell ref="AK1107:AK1109"/>
    <mergeCell ref="AL1107:AL1109"/>
    <mergeCell ref="AM1107:AM1109"/>
    <mergeCell ref="AN1107:AN1109"/>
    <mergeCell ref="AO1107:AO1109"/>
    <mergeCell ref="AP1107:AP1109"/>
    <mergeCell ref="AQ1107:AQ1109"/>
    <mergeCell ref="AR1107:AR1109"/>
    <mergeCell ref="AS1107:AS1109"/>
    <mergeCell ref="A1110:A1112"/>
    <mergeCell ref="B1110:B1112"/>
    <mergeCell ref="C1110:C1112"/>
    <mergeCell ref="D1110:D1112"/>
    <mergeCell ref="AJ1110:AJ1112"/>
    <mergeCell ref="AK1110:AK1112"/>
    <mergeCell ref="AL1110:AL1112"/>
    <mergeCell ref="AM1110:AM1112"/>
    <mergeCell ref="AN1110:AN1112"/>
    <mergeCell ref="AO1110:AO1112"/>
    <mergeCell ref="AP1110:AP1112"/>
    <mergeCell ref="AQ1110:AQ1112"/>
    <mergeCell ref="AR1110:AR1112"/>
    <mergeCell ref="AS1110:AS1112"/>
    <mergeCell ref="A1113:A1115"/>
    <mergeCell ref="B1113:B1115"/>
    <mergeCell ref="C1113:C1115"/>
    <mergeCell ref="D1113:D1115"/>
    <mergeCell ref="AJ1113:AJ1115"/>
    <mergeCell ref="AK1113:AK1115"/>
    <mergeCell ref="AL1113:AL1115"/>
    <mergeCell ref="AM1113:AM1115"/>
    <mergeCell ref="AN1113:AN1115"/>
    <mergeCell ref="AO1113:AO1115"/>
    <mergeCell ref="AP1113:AP1115"/>
    <mergeCell ref="AQ1113:AQ1115"/>
    <mergeCell ref="AR1113:AR1115"/>
    <mergeCell ref="AS1113:AS1115"/>
    <mergeCell ref="A1116:A1118"/>
    <mergeCell ref="B1116:B1118"/>
    <mergeCell ref="C1116:C1118"/>
    <mergeCell ref="D1116:D1118"/>
    <mergeCell ref="AJ1116:AJ1118"/>
    <mergeCell ref="AK1116:AK1118"/>
    <mergeCell ref="AL1116:AL1118"/>
    <mergeCell ref="AM1116:AM1118"/>
    <mergeCell ref="AN1116:AN1118"/>
    <mergeCell ref="AO1116:AO1118"/>
    <mergeCell ref="AP1116:AP1118"/>
    <mergeCell ref="AQ1116:AQ1118"/>
    <mergeCell ref="AR1116:AR1118"/>
    <mergeCell ref="AS1116:AS1118"/>
    <mergeCell ref="A1119:A1121"/>
    <mergeCell ref="B1119:B1121"/>
    <mergeCell ref="C1119:C1121"/>
    <mergeCell ref="D1119:D1121"/>
    <mergeCell ref="AJ1119:AJ1121"/>
    <mergeCell ref="AK1119:AK1121"/>
    <mergeCell ref="AL1119:AL1121"/>
    <mergeCell ref="AM1119:AM1121"/>
    <mergeCell ref="AN1119:AN1121"/>
    <mergeCell ref="AO1119:AO1121"/>
    <mergeCell ref="AP1119:AP1121"/>
    <mergeCell ref="AQ1119:AQ1121"/>
    <mergeCell ref="AR1119:AR1121"/>
    <mergeCell ref="AS1119:AS1121"/>
    <mergeCell ref="A1122:A1124"/>
    <mergeCell ref="B1122:B1124"/>
    <mergeCell ref="C1122:C1124"/>
    <mergeCell ref="D1122:D1124"/>
    <mergeCell ref="AJ1122:AJ1124"/>
    <mergeCell ref="AK1122:AK1124"/>
    <mergeCell ref="AL1122:AL1124"/>
    <mergeCell ref="AM1122:AM1124"/>
    <mergeCell ref="AN1122:AN1124"/>
    <mergeCell ref="AO1122:AO1124"/>
    <mergeCell ref="AP1122:AP1124"/>
    <mergeCell ref="AQ1122:AQ1124"/>
    <mergeCell ref="AR1122:AR1124"/>
    <mergeCell ref="AS1122:AS1124"/>
    <mergeCell ref="A1125:A1127"/>
    <mergeCell ref="B1125:B1127"/>
    <mergeCell ref="C1125:C1127"/>
    <mergeCell ref="D1125:D1127"/>
    <mergeCell ref="AJ1125:AJ1127"/>
    <mergeCell ref="AK1125:AK1127"/>
    <mergeCell ref="AL1125:AL1127"/>
    <mergeCell ref="AM1125:AM1127"/>
    <mergeCell ref="AN1125:AN1127"/>
    <mergeCell ref="AO1125:AO1127"/>
    <mergeCell ref="AP1125:AP1127"/>
    <mergeCell ref="AQ1125:AQ1127"/>
    <mergeCell ref="AR1125:AR1127"/>
    <mergeCell ref="AS1125:AS1127"/>
    <mergeCell ref="A1128:A1130"/>
    <mergeCell ref="B1128:B1130"/>
    <mergeCell ref="C1128:C1130"/>
    <mergeCell ref="D1128:D1130"/>
    <mergeCell ref="AJ1128:AJ1130"/>
    <mergeCell ref="AK1128:AK1130"/>
    <mergeCell ref="AL1128:AL1130"/>
    <mergeCell ref="AM1128:AM1130"/>
    <mergeCell ref="AN1128:AN1130"/>
    <mergeCell ref="AO1128:AO1130"/>
    <mergeCell ref="AP1128:AP1130"/>
    <mergeCell ref="AQ1128:AQ1130"/>
    <mergeCell ref="AR1128:AR1130"/>
    <mergeCell ref="AS1128:AS1130"/>
    <mergeCell ref="A1131:A1133"/>
    <mergeCell ref="B1131:B1133"/>
    <mergeCell ref="C1131:C1133"/>
    <mergeCell ref="D1131:D1133"/>
    <mergeCell ref="AJ1131:AJ1133"/>
    <mergeCell ref="AK1131:AK1133"/>
    <mergeCell ref="AL1131:AL1133"/>
    <mergeCell ref="AM1131:AM1133"/>
    <mergeCell ref="AN1131:AN1133"/>
    <mergeCell ref="AO1131:AO1133"/>
    <mergeCell ref="AP1131:AP1133"/>
    <mergeCell ref="AQ1131:AQ1133"/>
    <mergeCell ref="AR1131:AR1133"/>
    <mergeCell ref="AS1131:AS1133"/>
    <mergeCell ref="A1134:A1136"/>
    <mergeCell ref="B1134:B1136"/>
    <mergeCell ref="C1134:C1136"/>
    <mergeCell ref="D1134:D1136"/>
    <mergeCell ref="AJ1134:AJ1136"/>
    <mergeCell ref="AK1134:AK1136"/>
    <mergeCell ref="AL1134:AL1136"/>
    <mergeCell ref="AM1134:AM1136"/>
    <mergeCell ref="AN1134:AN1136"/>
    <mergeCell ref="AO1134:AO1136"/>
    <mergeCell ref="AP1134:AP1136"/>
    <mergeCell ref="AQ1134:AQ1136"/>
    <mergeCell ref="AR1134:AR1136"/>
    <mergeCell ref="AS1134:AS1136"/>
    <mergeCell ref="A1137:A1139"/>
    <mergeCell ref="B1137:B1139"/>
    <mergeCell ref="C1137:C1139"/>
    <mergeCell ref="D1137:D1139"/>
    <mergeCell ref="AJ1137:AJ1139"/>
    <mergeCell ref="AK1137:AK1139"/>
    <mergeCell ref="AL1137:AL1139"/>
    <mergeCell ref="AM1137:AM1139"/>
    <mergeCell ref="AN1137:AN1139"/>
    <mergeCell ref="AO1137:AO1139"/>
    <mergeCell ref="AP1137:AP1139"/>
    <mergeCell ref="AQ1137:AQ1139"/>
    <mergeCell ref="AR1137:AR1139"/>
    <mergeCell ref="AS1137:AS1139"/>
    <mergeCell ref="A1140:A1142"/>
    <mergeCell ref="B1140:B1142"/>
    <mergeCell ref="C1140:C1142"/>
    <mergeCell ref="D1140:D1142"/>
    <mergeCell ref="AJ1140:AJ1142"/>
    <mergeCell ref="AK1140:AK1142"/>
    <mergeCell ref="AL1140:AL1142"/>
    <mergeCell ref="AM1140:AM1142"/>
    <mergeCell ref="AN1140:AN1142"/>
    <mergeCell ref="AO1140:AO1142"/>
    <mergeCell ref="AP1140:AP1142"/>
    <mergeCell ref="AQ1140:AQ1142"/>
    <mergeCell ref="AR1140:AR1142"/>
    <mergeCell ref="AS1140:AS1142"/>
    <mergeCell ref="A1143:A1145"/>
    <mergeCell ref="B1143:B1145"/>
    <mergeCell ref="C1143:C1145"/>
    <mergeCell ref="D1143:D1145"/>
    <mergeCell ref="AJ1143:AJ1145"/>
    <mergeCell ref="AK1143:AK1145"/>
    <mergeCell ref="AL1143:AL1145"/>
    <mergeCell ref="AM1143:AM1145"/>
    <mergeCell ref="AN1143:AN1145"/>
    <mergeCell ref="AO1143:AO1145"/>
    <mergeCell ref="AP1143:AP1145"/>
    <mergeCell ref="AQ1143:AQ1145"/>
    <mergeCell ref="AR1143:AR1145"/>
    <mergeCell ref="AS1143:AS1145"/>
    <mergeCell ref="A1146:A1148"/>
    <mergeCell ref="B1146:B1148"/>
    <mergeCell ref="C1146:C1148"/>
    <mergeCell ref="D1146:D1148"/>
    <mergeCell ref="AJ1146:AJ1148"/>
    <mergeCell ref="AK1146:AK1148"/>
    <mergeCell ref="AL1146:AL1148"/>
    <mergeCell ref="AM1146:AM1148"/>
    <mergeCell ref="AN1146:AN1148"/>
    <mergeCell ref="AO1146:AO1148"/>
    <mergeCell ref="AP1146:AP1148"/>
    <mergeCell ref="AQ1146:AQ1148"/>
    <mergeCell ref="AR1146:AR1148"/>
    <mergeCell ref="AS1146:AS1148"/>
    <mergeCell ref="A1149:A1151"/>
    <mergeCell ref="B1149:B1151"/>
    <mergeCell ref="C1149:C1151"/>
    <mergeCell ref="D1149:D1151"/>
    <mergeCell ref="AJ1149:AJ1151"/>
    <mergeCell ref="AK1149:AK1151"/>
    <mergeCell ref="AL1149:AL1151"/>
    <mergeCell ref="AM1149:AM1151"/>
    <mergeCell ref="AN1149:AN1151"/>
    <mergeCell ref="AO1149:AO1151"/>
    <mergeCell ref="AP1149:AP1151"/>
    <mergeCell ref="AQ1149:AQ1151"/>
    <mergeCell ref="AR1149:AR1151"/>
    <mergeCell ref="AS1149:AS1151"/>
    <mergeCell ref="A1152:A1154"/>
    <mergeCell ref="B1152:B1154"/>
    <mergeCell ref="C1152:C1154"/>
    <mergeCell ref="D1152:D1154"/>
    <mergeCell ref="AJ1152:AJ1154"/>
    <mergeCell ref="AK1152:AK1154"/>
    <mergeCell ref="AL1152:AL1154"/>
    <mergeCell ref="AM1152:AM1154"/>
    <mergeCell ref="AN1152:AN1154"/>
    <mergeCell ref="AO1152:AO1154"/>
    <mergeCell ref="AP1152:AP1154"/>
    <mergeCell ref="AQ1152:AQ1154"/>
    <mergeCell ref="AR1152:AR1154"/>
    <mergeCell ref="AS1152:AS1154"/>
    <mergeCell ref="A1155:A1157"/>
    <mergeCell ref="B1155:B1157"/>
    <mergeCell ref="C1155:C1157"/>
    <mergeCell ref="D1155:D1157"/>
    <mergeCell ref="AJ1155:AJ1157"/>
    <mergeCell ref="AK1155:AK1157"/>
    <mergeCell ref="AL1155:AL1157"/>
    <mergeCell ref="AM1155:AM1157"/>
    <mergeCell ref="AN1155:AN1157"/>
    <mergeCell ref="AO1155:AO1157"/>
    <mergeCell ref="AP1155:AP1157"/>
    <mergeCell ref="AQ1155:AQ1157"/>
    <mergeCell ref="AR1155:AR1157"/>
    <mergeCell ref="AS1155:AS1157"/>
    <mergeCell ref="A1158:A1160"/>
    <mergeCell ref="B1158:B1160"/>
    <mergeCell ref="C1158:C1160"/>
    <mergeCell ref="D1158:D1160"/>
    <mergeCell ref="AJ1158:AJ1160"/>
    <mergeCell ref="AK1158:AK1160"/>
    <mergeCell ref="AL1158:AL1160"/>
    <mergeCell ref="AM1158:AM1160"/>
    <mergeCell ref="AN1158:AN1160"/>
    <mergeCell ref="AO1158:AO1160"/>
    <mergeCell ref="AP1158:AP1160"/>
    <mergeCell ref="AQ1158:AQ1160"/>
    <mergeCell ref="AR1158:AR1160"/>
    <mergeCell ref="AS1158:AS1160"/>
    <mergeCell ref="A1161:A1163"/>
    <mergeCell ref="B1161:B1163"/>
    <mergeCell ref="C1161:C1163"/>
    <mergeCell ref="D1161:D1163"/>
    <mergeCell ref="AJ1161:AJ1163"/>
    <mergeCell ref="AK1161:AK1163"/>
    <mergeCell ref="AL1161:AL1163"/>
    <mergeCell ref="AM1161:AM1163"/>
    <mergeCell ref="AN1161:AN1163"/>
    <mergeCell ref="AO1161:AO1163"/>
    <mergeCell ref="AP1161:AP1163"/>
    <mergeCell ref="AQ1161:AQ1163"/>
    <mergeCell ref="AR1161:AR1163"/>
    <mergeCell ref="AS1161:AS1163"/>
    <mergeCell ref="A1164:A1166"/>
    <mergeCell ref="B1164:B1166"/>
    <mergeCell ref="C1164:C1166"/>
    <mergeCell ref="D1164:D1166"/>
    <mergeCell ref="AJ1164:AJ1166"/>
    <mergeCell ref="AK1164:AK1166"/>
    <mergeCell ref="AL1164:AL1166"/>
    <mergeCell ref="AM1164:AM1166"/>
    <mergeCell ref="AN1164:AN1166"/>
    <mergeCell ref="AO1164:AO1166"/>
    <mergeCell ref="AP1164:AP1166"/>
    <mergeCell ref="AQ1164:AQ1166"/>
    <mergeCell ref="AR1164:AR1166"/>
    <mergeCell ref="AS1164:AS1166"/>
    <mergeCell ref="A1167:A1169"/>
    <mergeCell ref="B1167:B1169"/>
    <mergeCell ref="C1167:C1169"/>
    <mergeCell ref="D1167:D1169"/>
    <mergeCell ref="AJ1167:AJ1169"/>
    <mergeCell ref="AK1167:AK1169"/>
    <mergeCell ref="AL1167:AL1169"/>
    <mergeCell ref="AM1167:AM1169"/>
    <mergeCell ref="AN1167:AN1169"/>
    <mergeCell ref="AO1167:AO1169"/>
    <mergeCell ref="AP1167:AP1169"/>
    <mergeCell ref="AQ1167:AQ1169"/>
    <mergeCell ref="AR1167:AR1169"/>
    <mergeCell ref="AS1167:AS1169"/>
    <mergeCell ref="A1170:A1172"/>
    <mergeCell ref="B1170:B1172"/>
    <mergeCell ref="C1170:C1172"/>
    <mergeCell ref="D1170:D1172"/>
    <mergeCell ref="AJ1170:AJ1172"/>
    <mergeCell ref="AK1170:AK1172"/>
    <mergeCell ref="AL1170:AL1172"/>
    <mergeCell ref="AM1170:AM1172"/>
    <mergeCell ref="AN1170:AN1172"/>
    <mergeCell ref="AO1170:AO1172"/>
    <mergeCell ref="AP1170:AP1172"/>
    <mergeCell ref="AQ1170:AQ1172"/>
    <mergeCell ref="AR1170:AR1172"/>
    <mergeCell ref="AS1170:AS1172"/>
    <mergeCell ref="A1173:A1175"/>
    <mergeCell ref="B1173:B1175"/>
    <mergeCell ref="C1173:C1175"/>
    <mergeCell ref="D1173:D1175"/>
    <mergeCell ref="AJ1173:AJ1175"/>
    <mergeCell ref="AK1173:AK1175"/>
    <mergeCell ref="AL1173:AL1175"/>
    <mergeCell ref="AM1173:AM1175"/>
    <mergeCell ref="AN1173:AN1175"/>
    <mergeCell ref="AO1173:AO1175"/>
    <mergeCell ref="AP1173:AP1175"/>
    <mergeCell ref="AQ1173:AQ1175"/>
    <mergeCell ref="AR1173:AR1175"/>
    <mergeCell ref="AS1173:AS1175"/>
    <mergeCell ref="A1176:A1178"/>
    <mergeCell ref="B1176:B1178"/>
    <mergeCell ref="C1176:C1178"/>
    <mergeCell ref="D1176:D1178"/>
    <mergeCell ref="AJ1176:AJ1178"/>
    <mergeCell ref="AK1176:AK1178"/>
    <mergeCell ref="AL1176:AL1178"/>
    <mergeCell ref="AM1176:AM1178"/>
    <mergeCell ref="AN1176:AN1178"/>
    <mergeCell ref="AO1176:AO1178"/>
    <mergeCell ref="AP1176:AP1178"/>
    <mergeCell ref="AQ1176:AQ1178"/>
    <mergeCell ref="AR1176:AR1178"/>
    <mergeCell ref="AS1176:AS1178"/>
    <mergeCell ref="A1179:A1181"/>
    <mergeCell ref="B1179:B1181"/>
    <mergeCell ref="C1179:C1181"/>
    <mergeCell ref="D1179:D1181"/>
    <mergeCell ref="AJ1179:AJ1181"/>
    <mergeCell ref="AK1179:AK1181"/>
    <mergeCell ref="AL1179:AL1181"/>
    <mergeCell ref="AM1179:AM1181"/>
    <mergeCell ref="AN1179:AN1181"/>
    <mergeCell ref="AO1179:AO1181"/>
    <mergeCell ref="AP1179:AP1181"/>
    <mergeCell ref="AQ1179:AQ1181"/>
    <mergeCell ref="AR1179:AR1181"/>
    <mergeCell ref="AS1179:AS1181"/>
    <mergeCell ref="A1182:A1184"/>
    <mergeCell ref="B1182:B1184"/>
    <mergeCell ref="C1182:C1184"/>
    <mergeCell ref="D1182:D1184"/>
    <mergeCell ref="AJ1182:AJ1184"/>
    <mergeCell ref="AK1182:AK1184"/>
    <mergeCell ref="AL1182:AL1184"/>
    <mergeCell ref="AM1182:AM1184"/>
    <mergeCell ref="AN1182:AN1184"/>
    <mergeCell ref="AO1182:AO1184"/>
    <mergeCell ref="AP1182:AP1184"/>
    <mergeCell ref="AQ1182:AQ1184"/>
    <mergeCell ref="AR1182:AR1184"/>
    <mergeCell ref="AS1182:AS1184"/>
    <mergeCell ref="A1185:A1187"/>
    <mergeCell ref="B1185:B1187"/>
    <mergeCell ref="C1185:C1187"/>
    <mergeCell ref="D1185:D1187"/>
    <mergeCell ref="AJ1185:AJ1187"/>
    <mergeCell ref="AK1185:AK1187"/>
    <mergeCell ref="AL1185:AL1187"/>
    <mergeCell ref="AM1185:AM1187"/>
    <mergeCell ref="AN1185:AN1187"/>
    <mergeCell ref="AO1185:AO1187"/>
    <mergeCell ref="AP1185:AP1187"/>
    <mergeCell ref="AQ1185:AQ1187"/>
    <mergeCell ref="AR1185:AR1187"/>
    <mergeCell ref="AS1185:AS1187"/>
    <mergeCell ref="A1188:A1190"/>
    <mergeCell ref="B1188:B1190"/>
    <mergeCell ref="C1188:C1190"/>
    <mergeCell ref="D1188:D1190"/>
    <mergeCell ref="AJ1188:AJ1190"/>
    <mergeCell ref="AK1188:AK1190"/>
    <mergeCell ref="AL1188:AL1190"/>
    <mergeCell ref="AM1188:AM1190"/>
    <mergeCell ref="AN1188:AN1190"/>
    <mergeCell ref="AO1188:AO1190"/>
    <mergeCell ref="AP1188:AP1190"/>
    <mergeCell ref="AQ1188:AQ1190"/>
    <mergeCell ref="AR1188:AR1190"/>
    <mergeCell ref="AS1188:AS1190"/>
    <mergeCell ref="A1191:A1193"/>
    <mergeCell ref="B1191:B1193"/>
    <mergeCell ref="C1191:C1193"/>
    <mergeCell ref="D1191:D1193"/>
    <mergeCell ref="AJ1191:AJ1193"/>
    <mergeCell ref="AK1191:AK1193"/>
    <mergeCell ref="AL1191:AL1193"/>
    <mergeCell ref="AM1191:AM1193"/>
    <mergeCell ref="AN1191:AN1193"/>
    <mergeCell ref="AO1191:AO1193"/>
    <mergeCell ref="AP1191:AP1193"/>
    <mergeCell ref="AQ1191:AQ1193"/>
    <mergeCell ref="AR1191:AR1193"/>
    <mergeCell ref="AS1191:AS1193"/>
    <mergeCell ref="A1194:A1196"/>
    <mergeCell ref="B1194:B1196"/>
    <mergeCell ref="C1194:C1196"/>
    <mergeCell ref="D1194:D1196"/>
    <mergeCell ref="AJ1194:AJ1196"/>
    <mergeCell ref="AK1194:AK1196"/>
    <mergeCell ref="AL1194:AL1196"/>
    <mergeCell ref="AM1194:AM1196"/>
    <mergeCell ref="AN1194:AN1196"/>
    <mergeCell ref="AO1194:AO1196"/>
    <mergeCell ref="AP1194:AP1196"/>
    <mergeCell ref="AQ1194:AQ1196"/>
    <mergeCell ref="AR1194:AR1196"/>
    <mergeCell ref="AS1194:AS1196"/>
    <mergeCell ref="A1197:A1199"/>
    <mergeCell ref="B1197:B1199"/>
    <mergeCell ref="C1197:C1199"/>
    <mergeCell ref="D1197:D1199"/>
    <mergeCell ref="AJ1197:AJ1199"/>
    <mergeCell ref="AK1197:AK1199"/>
    <mergeCell ref="AL1197:AL1199"/>
    <mergeCell ref="AM1197:AM1199"/>
    <mergeCell ref="AN1197:AN1199"/>
    <mergeCell ref="AO1197:AO1199"/>
    <mergeCell ref="AP1197:AP1199"/>
    <mergeCell ref="AQ1197:AQ1199"/>
    <mergeCell ref="AR1197:AR1199"/>
    <mergeCell ref="AS1197:AS1199"/>
    <mergeCell ref="A1200:A1202"/>
    <mergeCell ref="B1200:B1202"/>
    <mergeCell ref="C1200:C1202"/>
    <mergeCell ref="D1200:D1202"/>
    <mergeCell ref="AJ1200:AJ1202"/>
    <mergeCell ref="AK1200:AK1202"/>
    <mergeCell ref="AL1200:AL1202"/>
    <mergeCell ref="AM1200:AM1202"/>
    <mergeCell ref="AN1200:AN1202"/>
    <mergeCell ref="AO1200:AO1202"/>
    <mergeCell ref="AP1200:AP1202"/>
    <mergeCell ref="AQ1200:AQ1202"/>
    <mergeCell ref="AR1200:AR1202"/>
    <mergeCell ref="AS1200:AS1202"/>
    <mergeCell ref="A1203:A1205"/>
    <mergeCell ref="B1203:B1205"/>
    <mergeCell ref="C1203:C1205"/>
    <mergeCell ref="D1203:D1205"/>
    <mergeCell ref="AJ1203:AJ1205"/>
    <mergeCell ref="AK1203:AK1205"/>
    <mergeCell ref="AL1203:AL1205"/>
    <mergeCell ref="AM1203:AM1205"/>
    <mergeCell ref="AN1203:AN1205"/>
    <mergeCell ref="AO1203:AO1205"/>
    <mergeCell ref="AP1203:AP1205"/>
    <mergeCell ref="AQ1203:AQ1205"/>
    <mergeCell ref="AR1203:AR1205"/>
    <mergeCell ref="AS1203:AS1205"/>
    <mergeCell ref="A1206:A1208"/>
    <mergeCell ref="B1206:B1208"/>
    <mergeCell ref="C1206:C1208"/>
    <mergeCell ref="D1206:D1208"/>
    <mergeCell ref="AJ1206:AJ1208"/>
    <mergeCell ref="AK1206:AK1208"/>
    <mergeCell ref="AL1206:AL1208"/>
    <mergeCell ref="AM1206:AM1208"/>
    <mergeCell ref="AN1206:AN1208"/>
    <mergeCell ref="AO1206:AO1208"/>
    <mergeCell ref="AP1206:AP1208"/>
    <mergeCell ref="AQ1206:AQ1208"/>
    <mergeCell ref="AR1206:AR1208"/>
    <mergeCell ref="AS1206:AS1208"/>
    <mergeCell ref="A1209:A1211"/>
    <mergeCell ref="B1209:B1211"/>
    <mergeCell ref="C1209:C1211"/>
    <mergeCell ref="D1209:D1211"/>
    <mergeCell ref="AJ1209:AJ1211"/>
    <mergeCell ref="AK1209:AK1211"/>
    <mergeCell ref="AL1209:AL1211"/>
    <mergeCell ref="AM1209:AM1211"/>
    <mergeCell ref="AN1209:AN1211"/>
    <mergeCell ref="AO1209:AO1211"/>
    <mergeCell ref="AP1209:AP1211"/>
    <mergeCell ref="AQ1209:AQ1211"/>
    <mergeCell ref="AR1209:AR1211"/>
    <mergeCell ref="AS1209:AS1211"/>
    <mergeCell ref="A1212:A1214"/>
    <mergeCell ref="B1212:B1214"/>
    <mergeCell ref="C1212:C1214"/>
    <mergeCell ref="D1212:D1214"/>
    <mergeCell ref="AJ1212:AJ1214"/>
    <mergeCell ref="AK1212:AK1214"/>
    <mergeCell ref="AL1212:AL1214"/>
    <mergeCell ref="AM1212:AM1214"/>
    <mergeCell ref="AN1212:AN1214"/>
    <mergeCell ref="AO1212:AO1214"/>
    <mergeCell ref="AP1212:AP1214"/>
    <mergeCell ref="AQ1212:AQ1214"/>
    <mergeCell ref="AR1212:AR1214"/>
    <mergeCell ref="AS1212:AS1214"/>
    <mergeCell ref="A1215:A1217"/>
    <mergeCell ref="B1215:B1217"/>
    <mergeCell ref="C1215:C1217"/>
    <mergeCell ref="D1215:D1217"/>
    <mergeCell ref="AJ1215:AJ1217"/>
    <mergeCell ref="AK1215:AK1217"/>
    <mergeCell ref="AL1215:AL1217"/>
    <mergeCell ref="AM1215:AM1217"/>
    <mergeCell ref="AN1215:AN1217"/>
    <mergeCell ref="AO1215:AO1217"/>
    <mergeCell ref="AP1215:AP1217"/>
    <mergeCell ref="AQ1215:AQ1217"/>
    <mergeCell ref="AR1215:AR1217"/>
    <mergeCell ref="AS1215:AS1217"/>
    <mergeCell ref="A1218:A1220"/>
    <mergeCell ref="B1218:B1220"/>
    <mergeCell ref="C1218:C1220"/>
    <mergeCell ref="D1218:D1220"/>
    <mergeCell ref="AJ1218:AJ1220"/>
    <mergeCell ref="AK1218:AK1220"/>
    <mergeCell ref="AL1218:AL1220"/>
    <mergeCell ref="AM1218:AM1220"/>
    <mergeCell ref="AN1218:AN1220"/>
    <mergeCell ref="AO1218:AO1220"/>
    <mergeCell ref="AP1218:AP1220"/>
    <mergeCell ref="AQ1218:AQ1220"/>
    <mergeCell ref="AR1218:AR1220"/>
    <mergeCell ref="AS1218:AS1220"/>
    <mergeCell ref="A1221:A1223"/>
    <mergeCell ref="B1221:B1223"/>
    <mergeCell ref="C1221:C1223"/>
    <mergeCell ref="D1221:D1223"/>
    <mergeCell ref="AJ1221:AJ1223"/>
    <mergeCell ref="AK1221:AK1223"/>
    <mergeCell ref="AL1221:AL1223"/>
    <mergeCell ref="AM1221:AM1223"/>
    <mergeCell ref="AN1221:AN1223"/>
    <mergeCell ref="AO1221:AO1223"/>
    <mergeCell ref="AP1221:AP1223"/>
    <mergeCell ref="AQ1221:AQ1223"/>
    <mergeCell ref="AR1221:AR1223"/>
    <mergeCell ref="AS1221:AS1223"/>
    <mergeCell ref="A1224:A1226"/>
    <mergeCell ref="B1224:B1226"/>
    <mergeCell ref="C1224:C1226"/>
    <mergeCell ref="D1224:D1226"/>
    <mergeCell ref="AJ1224:AJ1226"/>
    <mergeCell ref="AK1224:AK1226"/>
    <mergeCell ref="AL1224:AL1226"/>
    <mergeCell ref="AM1224:AM1226"/>
    <mergeCell ref="AN1224:AN1226"/>
    <mergeCell ref="AO1224:AO1226"/>
    <mergeCell ref="AP1224:AP1226"/>
    <mergeCell ref="AQ1224:AQ1226"/>
    <mergeCell ref="AR1224:AR1226"/>
    <mergeCell ref="AS1224:AS1226"/>
    <mergeCell ref="A1227:A1229"/>
    <mergeCell ref="B1227:B1229"/>
    <mergeCell ref="C1227:C1229"/>
    <mergeCell ref="D1227:D1229"/>
    <mergeCell ref="AJ1227:AJ1229"/>
    <mergeCell ref="AK1227:AK1229"/>
    <mergeCell ref="AL1227:AL1229"/>
    <mergeCell ref="AM1227:AM1229"/>
    <mergeCell ref="AN1227:AN1229"/>
    <mergeCell ref="AO1227:AO1229"/>
    <mergeCell ref="AP1227:AP1229"/>
    <mergeCell ref="AQ1227:AQ1229"/>
    <mergeCell ref="AR1227:AR1229"/>
    <mergeCell ref="AS1227:AS1229"/>
    <mergeCell ref="A1230:A1232"/>
    <mergeCell ref="B1230:B1232"/>
    <mergeCell ref="C1230:C1232"/>
    <mergeCell ref="D1230:D1232"/>
    <mergeCell ref="AJ1230:AJ1232"/>
    <mergeCell ref="AK1230:AK1232"/>
    <mergeCell ref="AL1230:AL1232"/>
    <mergeCell ref="AM1230:AM1232"/>
    <mergeCell ref="AN1230:AN1232"/>
    <mergeCell ref="AO1230:AO1232"/>
    <mergeCell ref="AP1230:AP1232"/>
    <mergeCell ref="AQ1230:AQ1232"/>
    <mergeCell ref="AR1230:AR1232"/>
    <mergeCell ref="AS1230:AS1232"/>
    <mergeCell ref="A1233:A1235"/>
    <mergeCell ref="B1233:B1235"/>
    <mergeCell ref="C1233:C1235"/>
    <mergeCell ref="D1233:D1235"/>
    <mergeCell ref="AJ1233:AJ1235"/>
    <mergeCell ref="AK1233:AK1235"/>
    <mergeCell ref="AL1233:AL1235"/>
    <mergeCell ref="AM1233:AM1235"/>
    <mergeCell ref="AN1233:AN1235"/>
    <mergeCell ref="AO1233:AO1235"/>
    <mergeCell ref="AP1233:AP1235"/>
    <mergeCell ref="AQ1233:AQ1235"/>
    <mergeCell ref="AR1233:AR1235"/>
    <mergeCell ref="AS1233:AS1235"/>
    <mergeCell ref="A1236:A1238"/>
    <mergeCell ref="B1236:B1238"/>
    <mergeCell ref="C1236:C1238"/>
    <mergeCell ref="D1236:D1238"/>
    <mergeCell ref="AJ1236:AJ1238"/>
    <mergeCell ref="AK1236:AK1238"/>
    <mergeCell ref="AL1236:AL1238"/>
    <mergeCell ref="AM1236:AM1238"/>
    <mergeCell ref="AN1236:AN1238"/>
    <mergeCell ref="AO1236:AO1238"/>
    <mergeCell ref="AP1236:AP1238"/>
    <mergeCell ref="AQ1236:AQ1238"/>
    <mergeCell ref="AR1236:AR1238"/>
    <mergeCell ref="AS1236:AS1238"/>
    <mergeCell ref="A1239:A1241"/>
    <mergeCell ref="B1239:B1241"/>
    <mergeCell ref="C1239:C1241"/>
    <mergeCell ref="D1239:D1241"/>
    <mergeCell ref="AJ1239:AJ1241"/>
    <mergeCell ref="AK1239:AK1241"/>
    <mergeCell ref="AL1239:AL1241"/>
    <mergeCell ref="AM1239:AM1241"/>
    <mergeCell ref="AN1239:AN1241"/>
    <mergeCell ref="AO1239:AO1241"/>
    <mergeCell ref="AP1239:AP1241"/>
    <mergeCell ref="AQ1239:AQ1241"/>
    <mergeCell ref="AR1239:AR1241"/>
    <mergeCell ref="AS1239:AS1241"/>
    <mergeCell ref="A1242:A1244"/>
    <mergeCell ref="B1242:B1244"/>
    <mergeCell ref="C1242:C1244"/>
    <mergeCell ref="D1242:D1244"/>
    <mergeCell ref="AJ1242:AJ1244"/>
    <mergeCell ref="AK1242:AK1244"/>
    <mergeCell ref="AL1242:AL1244"/>
    <mergeCell ref="AM1242:AM1244"/>
    <mergeCell ref="AN1242:AN1244"/>
    <mergeCell ref="AO1242:AO1244"/>
    <mergeCell ref="AP1242:AP1244"/>
    <mergeCell ref="AQ1242:AQ1244"/>
    <mergeCell ref="AR1242:AR1244"/>
    <mergeCell ref="AS1242:AS1244"/>
    <mergeCell ref="A1245:A1247"/>
    <mergeCell ref="B1245:B1247"/>
    <mergeCell ref="C1245:C1247"/>
    <mergeCell ref="D1245:D1247"/>
    <mergeCell ref="AJ1245:AJ1247"/>
    <mergeCell ref="AK1245:AK1247"/>
    <mergeCell ref="AL1245:AL1247"/>
    <mergeCell ref="AM1245:AM1247"/>
    <mergeCell ref="AN1245:AN1247"/>
    <mergeCell ref="AO1245:AO1247"/>
    <mergeCell ref="AP1245:AP1247"/>
    <mergeCell ref="AQ1245:AQ1247"/>
    <mergeCell ref="AR1245:AR1247"/>
    <mergeCell ref="AS1245:AS1247"/>
    <mergeCell ref="A1248:A1250"/>
    <mergeCell ref="B1248:B1250"/>
    <mergeCell ref="C1248:C1250"/>
    <mergeCell ref="D1248:D1250"/>
    <mergeCell ref="AJ1248:AJ1250"/>
    <mergeCell ref="AK1248:AK1250"/>
    <mergeCell ref="AL1248:AL1250"/>
    <mergeCell ref="AM1248:AM1250"/>
    <mergeCell ref="AN1248:AN1250"/>
    <mergeCell ref="AO1248:AO1250"/>
    <mergeCell ref="AP1248:AP1250"/>
    <mergeCell ref="AQ1248:AQ1250"/>
    <mergeCell ref="AR1248:AR1250"/>
    <mergeCell ref="AS1248:AS1250"/>
    <mergeCell ref="A1251:A1253"/>
    <mergeCell ref="B1251:B1253"/>
    <mergeCell ref="C1251:C1253"/>
    <mergeCell ref="D1251:D1253"/>
    <mergeCell ref="AJ1251:AJ1253"/>
    <mergeCell ref="AK1251:AK1253"/>
    <mergeCell ref="AL1251:AL1253"/>
    <mergeCell ref="AM1251:AM1253"/>
    <mergeCell ref="AN1251:AN1253"/>
    <mergeCell ref="AO1251:AO1253"/>
    <mergeCell ref="AP1251:AP1253"/>
    <mergeCell ref="AQ1251:AQ1253"/>
    <mergeCell ref="AR1251:AR1253"/>
    <mergeCell ref="AS1251:AS1253"/>
    <mergeCell ref="A1254:A1256"/>
    <mergeCell ref="B1254:B1256"/>
    <mergeCell ref="C1254:C1256"/>
    <mergeCell ref="D1254:D1256"/>
    <mergeCell ref="AJ1254:AJ1256"/>
    <mergeCell ref="AK1254:AK1256"/>
    <mergeCell ref="AL1254:AL1256"/>
    <mergeCell ref="AM1254:AM1256"/>
    <mergeCell ref="AN1254:AN1256"/>
    <mergeCell ref="AO1254:AO1256"/>
    <mergeCell ref="AP1254:AP1256"/>
    <mergeCell ref="AQ1254:AQ1256"/>
    <mergeCell ref="AR1254:AR1256"/>
    <mergeCell ref="AS1254:AS1256"/>
    <mergeCell ref="A1257:A1259"/>
    <mergeCell ref="B1257:B1259"/>
    <mergeCell ref="C1257:C1259"/>
    <mergeCell ref="D1257:D1259"/>
    <mergeCell ref="AJ1257:AJ1259"/>
    <mergeCell ref="AK1257:AK1259"/>
    <mergeCell ref="AL1257:AL1259"/>
    <mergeCell ref="AM1257:AM1259"/>
    <mergeCell ref="AN1257:AN1259"/>
    <mergeCell ref="AO1257:AO1259"/>
    <mergeCell ref="AP1257:AP1259"/>
    <mergeCell ref="AQ1257:AQ1259"/>
    <mergeCell ref="AR1257:AR1259"/>
    <mergeCell ref="AS1257:AS1259"/>
    <mergeCell ref="A1260:A1262"/>
    <mergeCell ref="B1260:B1262"/>
    <mergeCell ref="C1260:C1262"/>
    <mergeCell ref="D1260:D1262"/>
    <mergeCell ref="AJ1260:AJ1262"/>
    <mergeCell ref="AK1260:AK1262"/>
    <mergeCell ref="AL1260:AL1262"/>
    <mergeCell ref="AM1260:AM1262"/>
    <mergeCell ref="AN1260:AN1262"/>
    <mergeCell ref="AO1260:AO1262"/>
    <mergeCell ref="AP1260:AP1262"/>
    <mergeCell ref="AQ1260:AQ1262"/>
    <mergeCell ref="AR1260:AR1262"/>
    <mergeCell ref="AS1260:AS1262"/>
    <mergeCell ref="A1263:A1265"/>
    <mergeCell ref="B1263:B1265"/>
    <mergeCell ref="C1263:C1265"/>
    <mergeCell ref="D1263:D1265"/>
    <mergeCell ref="AJ1263:AJ1265"/>
    <mergeCell ref="AK1263:AK1265"/>
    <mergeCell ref="AL1263:AL1265"/>
    <mergeCell ref="AM1263:AM1265"/>
    <mergeCell ref="AN1263:AN1265"/>
    <mergeCell ref="AO1263:AO1265"/>
    <mergeCell ref="AP1263:AP1265"/>
    <mergeCell ref="AQ1263:AQ1265"/>
    <mergeCell ref="AR1263:AR1265"/>
    <mergeCell ref="AS1263:AS1265"/>
    <mergeCell ref="A1266:A1268"/>
    <mergeCell ref="B1266:B1268"/>
    <mergeCell ref="C1266:C1268"/>
    <mergeCell ref="D1266:D1268"/>
    <mergeCell ref="AJ1266:AJ1268"/>
    <mergeCell ref="AK1266:AK1268"/>
    <mergeCell ref="AL1266:AL1268"/>
    <mergeCell ref="AM1266:AM1268"/>
    <mergeCell ref="AN1266:AN1268"/>
    <mergeCell ref="AO1266:AO1268"/>
    <mergeCell ref="AP1266:AP1268"/>
    <mergeCell ref="AQ1266:AQ1268"/>
    <mergeCell ref="AR1266:AR1268"/>
    <mergeCell ref="AS1266:AS1268"/>
    <mergeCell ref="A1269:A1271"/>
    <mergeCell ref="B1269:B1271"/>
    <mergeCell ref="C1269:C1271"/>
    <mergeCell ref="D1269:D1271"/>
    <mergeCell ref="AJ1269:AJ1271"/>
    <mergeCell ref="AK1269:AK1271"/>
    <mergeCell ref="AL1269:AL1271"/>
    <mergeCell ref="AM1269:AM1271"/>
    <mergeCell ref="AN1269:AN1271"/>
    <mergeCell ref="AO1269:AO1271"/>
    <mergeCell ref="AP1269:AP1271"/>
    <mergeCell ref="AQ1269:AQ1271"/>
    <mergeCell ref="AR1269:AR1271"/>
    <mergeCell ref="AS1269:AS1271"/>
    <mergeCell ref="A1272:A1274"/>
    <mergeCell ref="B1272:B1274"/>
    <mergeCell ref="C1272:C1274"/>
    <mergeCell ref="D1272:D1274"/>
    <mergeCell ref="AJ1272:AJ1274"/>
    <mergeCell ref="AK1272:AK1274"/>
    <mergeCell ref="AL1272:AL1274"/>
    <mergeCell ref="AM1272:AM1274"/>
    <mergeCell ref="AN1272:AN1274"/>
    <mergeCell ref="AO1272:AO1274"/>
    <mergeCell ref="AP1272:AP1274"/>
    <mergeCell ref="AQ1272:AQ1274"/>
    <mergeCell ref="AR1272:AR1274"/>
    <mergeCell ref="AS1272:AS1274"/>
    <mergeCell ref="A1275:A1277"/>
    <mergeCell ref="B1275:B1277"/>
    <mergeCell ref="C1275:C1277"/>
    <mergeCell ref="D1275:D1277"/>
    <mergeCell ref="AJ1275:AJ1277"/>
    <mergeCell ref="AK1275:AK1277"/>
    <mergeCell ref="AL1275:AL1277"/>
    <mergeCell ref="AM1275:AM1277"/>
    <mergeCell ref="AN1275:AN1277"/>
    <mergeCell ref="AO1275:AO1277"/>
    <mergeCell ref="AP1275:AP1277"/>
    <mergeCell ref="AQ1275:AQ1277"/>
    <mergeCell ref="AR1275:AR1277"/>
    <mergeCell ref="AS1275:AS1277"/>
    <mergeCell ref="A1278:A1280"/>
    <mergeCell ref="B1278:B1280"/>
    <mergeCell ref="C1278:C1280"/>
    <mergeCell ref="D1278:D1280"/>
    <mergeCell ref="AJ1278:AJ1280"/>
    <mergeCell ref="AK1278:AK1280"/>
    <mergeCell ref="AL1278:AL1280"/>
    <mergeCell ref="AM1278:AM1280"/>
    <mergeCell ref="AN1278:AN1280"/>
    <mergeCell ref="AO1278:AO1280"/>
    <mergeCell ref="AP1278:AP1280"/>
    <mergeCell ref="AQ1278:AQ1280"/>
    <mergeCell ref="AR1278:AR1280"/>
    <mergeCell ref="AS1278:AS1280"/>
    <mergeCell ref="A1281:A1283"/>
    <mergeCell ref="B1281:B1283"/>
    <mergeCell ref="C1281:C1283"/>
    <mergeCell ref="D1281:D1283"/>
    <mergeCell ref="AJ1281:AJ1283"/>
    <mergeCell ref="AK1281:AK1283"/>
    <mergeCell ref="AL1281:AL1283"/>
    <mergeCell ref="AM1281:AM1283"/>
    <mergeCell ref="AN1281:AN1283"/>
    <mergeCell ref="AO1281:AO1283"/>
    <mergeCell ref="AP1281:AP1283"/>
    <mergeCell ref="AQ1281:AQ1283"/>
    <mergeCell ref="AR1281:AR1283"/>
    <mergeCell ref="AS1281:AS1283"/>
    <mergeCell ref="A1284:A1286"/>
    <mergeCell ref="B1284:B1286"/>
    <mergeCell ref="C1284:C1286"/>
    <mergeCell ref="D1284:D1286"/>
    <mergeCell ref="AJ1284:AJ1286"/>
    <mergeCell ref="AK1284:AK1286"/>
    <mergeCell ref="AL1284:AL1286"/>
    <mergeCell ref="AM1284:AM1286"/>
    <mergeCell ref="AN1284:AN1286"/>
    <mergeCell ref="AO1284:AO1286"/>
    <mergeCell ref="AP1284:AP1286"/>
    <mergeCell ref="AQ1284:AQ1286"/>
    <mergeCell ref="AR1284:AR1286"/>
    <mergeCell ref="AS1284:AS1286"/>
    <mergeCell ref="A1287:A1289"/>
    <mergeCell ref="B1287:B1289"/>
    <mergeCell ref="C1287:C1289"/>
    <mergeCell ref="D1287:D1289"/>
    <mergeCell ref="AJ1287:AJ1289"/>
    <mergeCell ref="AK1287:AK1289"/>
    <mergeCell ref="AL1287:AL1289"/>
    <mergeCell ref="AM1287:AM1289"/>
    <mergeCell ref="AN1287:AN1289"/>
    <mergeCell ref="AO1287:AO1289"/>
    <mergeCell ref="AP1287:AP1289"/>
    <mergeCell ref="AQ1287:AQ1289"/>
    <mergeCell ref="AR1287:AR1289"/>
    <mergeCell ref="AS1287:AS1289"/>
    <mergeCell ref="A1290:A1292"/>
    <mergeCell ref="B1290:B1292"/>
    <mergeCell ref="C1290:C1292"/>
    <mergeCell ref="D1290:D1292"/>
    <mergeCell ref="AJ1290:AJ1292"/>
    <mergeCell ref="AK1290:AK1292"/>
    <mergeCell ref="AL1290:AL1292"/>
    <mergeCell ref="AM1290:AM1292"/>
    <mergeCell ref="AN1290:AN1292"/>
    <mergeCell ref="AO1290:AO1292"/>
    <mergeCell ref="AP1290:AP1292"/>
    <mergeCell ref="AQ1290:AQ1292"/>
    <mergeCell ref="AR1290:AR1292"/>
    <mergeCell ref="AS1290:AS1292"/>
    <mergeCell ref="A1293:A1295"/>
    <mergeCell ref="B1293:B1295"/>
    <mergeCell ref="C1293:C1295"/>
    <mergeCell ref="D1293:D1295"/>
    <mergeCell ref="AJ1293:AJ1295"/>
    <mergeCell ref="AK1293:AK1295"/>
    <mergeCell ref="AL1293:AL1295"/>
    <mergeCell ref="AM1293:AM1295"/>
    <mergeCell ref="AN1293:AN1295"/>
    <mergeCell ref="AO1293:AO1295"/>
    <mergeCell ref="AP1293:AP1295"/>
    <mergeCell ref="AQ1293:AQ1295"/>
    <mergeCell ref="AR1293:AR1295"/>
    <mergeCell ref="AS1293:AS1295"/>
    <mergeCell ref="A1296:A1298"/>
    <mergeCell ref="B1296:B1298"/>
    <mergeCell ref="C1296:C1298"/>
    <mergeCell ref="D1296:D1298"/>
    <mergeCell ref="AJ1296:AJ1298"/>
    <mergeCell ref="AK1296:AK1298"/>
    <mergeCell ref="AL1296:AL1298"/>
    <mergeCell ref="AM1296:AM1298"/>
    <mergeCell ref="AN1296:AN1298"/>
    <mergeCell ref="AO1296:AO1298"/>
    <mergeCell ref="AP1296:AP1298"/>
    <mergeCell ref="AQ1296:AQ1298"/>
    <mergeCell ref="AR1296:AR1298"/>
    <mergeCell ref="AS1296:AS1298"/>
    <mergeCell ref="A1299:A1301"/>
    <mergeCell ref="B1299:B1301"/>
    <mergeCell ref="C1299:C1301"/>
    <mergeCell ref="D1299:D1301"/>
    <mergeCell ref="AJ1299:AJ1301"/>
    <mergeCell ref="AK1299:AK1301"/>
    <mergeCell ref="AL1299:AL1301"/>
    <mergeCell ref="AM1299:AM1301"/>
    <mergeCell ref="AN1299:AN1301"/>
    <mergeCell ref="AO1299:AO1301"/>
    <mergeCell ref="AP1299:AP1301"/>
    <mergeCell ref="AQ1299:AQ1301"/>
    <mergeCell ref="AR1299:AR1301"/>
    <mergeCell ref="AS1299:AS1301"/>
    <mergeCell ref="A1302:A1304"/>
    <mergeCell ref="B1302:B1304"/>
    <mergeCell ref="C1302:C1304"/>
    <mergeCell ref="D1302:D1304"/>
    <mergeCell ref="AJ1302:AJ1304"/>
    <mergeCell ref="AK1302:AK1304"/>
    <mergeCell ref="AL1302:AL1304"/>
    <mergeCell ref="AM1302:AM1304"/>
    <mergeCell ref="AN1302:AN1304"/>
    <mergeCell ref="AO1302:AO1304"/>
    <mergeCell ref="AP1302:AP1304"/>
    <mergeCell ref="AQ1302:AQ1304"/>
    <mergeCell ref="AR1302:AR1304"/>
    <mergeCell ref="AS1302:AS1304"/>
    <mergeCell ref="A1305:A1307"/>
    <mergeCell ref="B1305:B1307"/>
    <mergeCell ref="C1305:C1307"/>
    <mergeCell ref="D1305:D1307"/>
    <mergeCell ref="AJ1305:AJ1307"/>
    <mergeCell ref="AK1305:AK1307"/>
    <mergeCell ref="AL1305:AL1307"/>
    <mergeCell ref="AM1305:AM1307"/>
    <mergeCell ref="AN1305:AN1307"/>
    <mergeCell ref="AO1305:AO1307"/>
    <mergeCell ref="AP1305:AP1307"/>
    <mergeCell ref="AQ1305:AQ1307"/>
    <mergeCell ref="AR1305:AR1307"/>
    <mergeCell ref="AS1305:AS1307"/>
    <mergeCell ref="A1308:A1310"/>
    <mergeCell ref="B1308:B1310"/>
    <mergeCell ref="C1308:C1310"/>
    <mergeCell ref="D1308:D1310"/>
    <mergeCell ref="AJ1308:AJ1310"/>
    <mergeCell ref="AK1308:AK1310"/>
    <mergeCell ref="AL1308:AL1310"/>
    <mergeCell ref="AM1308:AM1310"/>
    <mergeCell ref="AN1308:AN1310"/>
    <mergeCell ref="AO1308:AO1310"/>
    <mergeCell ref="AP1308:AP1310"/>
    <mergeCell ref="AQ1308:AQ1310"/>
    <mergeCell ref="AR1308:AR1310"/>
    <mergeCell ref="AS1308:AS1310"/>
    <mergeCell ref="A1311:A1313"/>
    <mergeCell ref="B1311:B1313"/>
    <mergeCell ref="C1311:C1313"/>
    <mergeCell ref="D1311:D1313"/>
    <mergeCell ref="AJ1311:AJ1313"/>
    <mergeCell ref="AK1311:AK1313"/>
    <mergeCell ref="AL1311:AL1313"/>
    <mergeCell ref="AM1311:AM1313"/>
    <mergeCell ref="AN1311:AN1313"/>
    <mergeCell ref="AO1311:AO1313"/>
    <mergeCell ref="AP1311:AP1313"/>
    <mergeCell ref="AQ1311:AQ1313"/>
    <mergeCell ref="AR1311:AR1313"/>
    <mergeCell ref="AS1311:AS1313"/>
    <mergeCell ref="A1314:A1316"/>
    <mergeCell ref="B1314:B1316"/>
    <mergeCell ref="C1314:C1316"/>
    <mergeCell ref="D1314:D1316"/>
    <mergeCell ref="AJ1314:AJ1316"/>
    <mergeCell ref="AK1314:AK1316"/>
    <mergeCell ref="AL1314:AL1316"/>
    <mergeCell ref="AM1314:AM1316"/>
    <mergeCell ref="AN1314:AN1316"/>
    <mergeCell ref="AO1314:AO1316"/>
    <mergeCell ref="AP1314:AP1316"/>
    <mergeCell ref="AQ1314:AQ1316"/>
    <mergeCell ref="AR1314:AR1316"/>
    <mergeCell ref="AS1314:AS1316"/>
    <mergeCell ref="A1317:A1319"/>
    <mergeCell ref="B1317:B1319"/>
    <mergeCell ref="C1317:C1319"/>
    <mergeCell ref="D1317:D1319"/>
    <mergeCell ref="AJ1317:AJ1319"/>
    <mergeCell ref="AK1317:AK1319"/>
    <mergeCell ref="AL1317:AL1319"/>
    <mergeCell ref="AM1317:AM1319"/>
    <mergeCell ref="AN1317:AN1319"/>
    <mergeCell ref="AO1317:AO1319"/>
    <mergeCell ref="AP1317:AP1319"/>
    <mergeCell ref="AQ1317:AQ1319"/>
    <mergeCell ref="AR1317:AR1319"/>
    <mergeCell ref="AS1317:AS1319"/>
    <mergeCell ref="A1320:A1322"/>
    <mergeCell ref="B1320:B1322"/>
    <mergeCell ref="C1320:C1322"/>
    <mergeCell ref="D1320:D1322"/>
    <mergeCell ref="AJ1320:AJ1322"/>
    <mergeCell ref="AK1320:AK1322"/>
    <mergeCell ref="AL1320:AL1322"/>
    <mergeCell ref="AM1320:AM1322"/>
    <mergeCell ref="AN1320:AN1322"/>
    <mergeCell ref="AO1320:AO1322"/>
    <mergeCell ref="AP1320:AP1322"/>
    <mergeCell ref="AQ1320:AQ1322"/>
    <mergeCell ref="AR1320:AR1322"/>
    <mergeCell ref="AS1320:AS1322"/>
    <mergeCell ref="A1323:A1325"/>
    <mergeCell ref="B1323:B1325"/>
    <mergeCell ref="C1323:C1325"/>
    <mergeCell ref="D1323:D1325"/>
    <mergeCell ref="AJ1323:AJ1325"/>
    <mergeCell ref="AK1323:AK1325"/>
    <mergeCell ref="AL1323:AL1325"/>
    <mergeCell ref="AM1323:AM1325"/>
    <mergeCell ref="AN1323:AN1325"/>
    <mergeCell ref="AO1323:AO1325"/>
    <mergeCell ref="AP1323:AP1325"/>
    <mergeCell ref="AQ1323:AQ1325"/>
    <mergeCell ref="AR1323:AR1325"/>
    <mergeCell ref="AS1323:AS1325"/>
    <mergeCell ref="A1326:A1328"/>
    <mergeCell ref="B1326:B1328"/>
    <mergeCell ref="C1326:C1328"/>
    <mergeCell ref="D1326:D1328"/>
    <mergeCell ref="AJ1326:AJ1328"/>
    <mergeCell ref="AK1326:AK1328"/>
    <mergeCell ref="AL1326:AL1328"/>
    <mergeCell ref="AM1326:AM1328"/>
    <mergeCell ref="AN1326:AN1328"/>
    <mergeCell ref="AO1326:AO1328"/>
    <mergeCell ref="AP1326:AP1328"/>
    <mergeCell ref="AQ1326:AQ1328"/>
    <mergeCell ref="AR1326:AR1328"/>
    <mergeCell ref="AS1326:AS1328"/>
    <mergeCell ref="A1329:A1331"/>
    <mergeCell ref="B1329:B1331"/>
    <mergeCell ref="C1329:C1331"/>
    <mergeCell ref="D1329:D1331"/>
    <mergeCell ref="AJ1329:AJ1331"/>
    <mergeCell ref="AK1329:AK1331"/>
    <mergeCell ref="AL1329:AL1331"/>
    <mergeCell ref="AM1329:AM1331"/>
    <mergeCell ref="AN1329:AN1331"/>
    <mergeCell ref="AO1329:AO1331"/>
    <mergeCell ref="AP1329:AP1331"/>
    <mergeCell ref="AQ1329:AQ1331"/>
    <mergeCell ref="AR1329:AR1331"/>
    <mergeCell ref="AS1329:AS1331"/>
    <mergeCell ref="A1332:A1334"/>
    <mergeCell ref="B1332:B1334"/>
    <mergeCell ref="C1332:C1334"/>
    <mergeCell ref="D1332:D1334"/>
    <mergeCell ref="AJ1332:AJ1334"/>
    <mergeCell ref="AK1332:AK1334"/>
    <mergeCell ref="AL1332:AL1334"/>
    <mergeCell ref="AM1332:AM1334"/>
    <mergeCell ref="AN1332:AN1334"/>
    <mergeCell ref="AO1332:AO1334"/>
    <mergeCell ref="AP1332:AP1334"/>
    <mergeCell ref="AQ1332:AQ1334"/>
    <mergeCell ref="AR1332:AR1334"/>
    <mergeCell ref="AS1332:AS1334"/>
    <mergeCell ref="A1335:A1337"/>
    <mergeCell ref="B1335:B1337"/>
    <mergeCell ref="C1335:C1337"/>
    <mergeCell ref="D1335:D1337"/>
    <mergeCell ref="AJ1335:AJ1337"/>
    <mergeCell ref="AK1335:AK1337"/>
    <mergeCell ref="AL1335:AL1337"/>
    <mergeCell ref="AM1335:AM1337"/>
    <mergeCell ref="AN1335:AN1337"/>
    <mergeCell ref="AO1335:AO1337"/>
    <mergeCell ref="AP1335:AP1337"/>
    <mergeCell ref="AQ1335:AQ1337"/>
    <mergeCell ref="AR1335:AR1337"/>
    <mergeCell ref="AS1335:AS1337"/>
    <mergeCell ref="A1338:A1340"/>
    <mergeCell ref="B1338:B1340"/>
    <mergeCell ref="C1338:C1340"/>
    <mergeCell ref="D1338:D1340"/>
    <mergeCell ref="AJ1338:AJ1340"/>
    <mergeCell ref="AK1338:AK1340"/>
    <mergeCell ref="AL1338:AL1340"/>
    <mergeCell ref="AM1338:AM1340"/>
    <mergeCell ref="AN1338:AN1340"/>
    <mergeCell ref="AO1338:AO1340"/>
    <mergeCell ref="AP1338:AP1340"/>
    <mergeCell ref="AQ1338:AQ1340"/>
    <mergeCell ref="AR1338:AR1340"/>
    <mergeCell ref="AS1338:AS1340"/>
    <mergeCell ref="A1341:A1343"/>
    <mergeCell ref="B1341:B1343"/>
    <mergeCell ref="C1341:C1343"/>
    <mergeCell ref="D1341:D1343"/>
    <mergeCell ref="AJ1341:AJ1343"/>
    <mergeCell ref="AK1341:AK1343"/>
    <mergeCell ref="AL1341:AL1343"/>
    <mergeCell ref="AM1341:AM1343"/>
    <mergeCell ref="AN1341:AN1343"/>
    <mergeCell ref="AO1341:AO1343"/>
    <mergeCell ref="AP1341:AP1343"/>
    <mergeCell ref="AQ1341:AQ1343"/>
    <mergeCell ref="AR1341:AR1343"/>
    <mergeCell ref="AS1341:AS1343"/>
    <mergeCell ref="A1344:A1346"/>
    <mergeCell ref="B1344:B1346"/>
    <mergeCell ref="C1344:C1346"/>
    <mergeCell ref="D1344:D1346"/>
    <mergeCell ref="AJ1344:AJ1346"/>
    <mergeCell ref="AK1344:AK1346"/>
    <mergeCell ref="AL1344:AL1346"/>
    <mergeCell ref="AM1344:AM1346"/>
    <mergeCell ref="AN1344:AN1346"/>
    <mergeCell ref="AO1344:AO1346"/>
    <mergeCell ref="AP1344:AP1346"/>
    <mergeCell ref="AQ1344:AQ1346"/>
    <mergeCell ref="AR1344:AR1346"/>
    <mergeCell ref="AS1344:AS1346"/>
    <mergeCell ref="A1347:A1349"/>
    <mergeCell ref="B1347:B1349"/>
    <mergeCell ref="C1347:C1349"/>
    <mergeCell ref="D1347:D1349"/>
    <mergeCell ref="AJ1347:AJ1349"/>
    <mergeCell ref="AK1347:AK1349"/>
    <mergeCell ref="AL1347:AL1349"/>
    <mergeCell ref="AM1347:AM1349"/>
    <mergeCell ref="AN1347:AN1349"/>
    <mergeCell ref="AO1347:AO1349"/>
    <mergeCell ref="AP1347:AP1349"/>
    <mergeCell ref="AQ1347:AQ1349"/>
    <mergeCell ref="AR1347:AR1349"/>
    <mergeCell ref="AS1347:AS1349"/>
    <mergeCell ref="A1350:A1352"/>
    <mergeCell ref="B1350:B1352"/>
    <mergeCell ref="C1350:C1352"/>
    <mergeCell ref="D1350:D1352"/>
    <mergeCell ref="AJ1350:AJ1352"/>
    <mergeCell ref="AK1350:AK1352"/>
    <mergeCell ref="AL1350:AL1352"/>
    <mergeCell ref="AM1350:AM1352"/>
    <mergeCell ref="AN1350:AN1352"/>
    <mergeCell ref="AO1350:AO1352"/>
    <mergeCell ref="AP1350:AP1352"/>
    <mergeCell ref="AQ1350:AQ1352"/>
    <mergeCell ref="AR1350:AR1352"/>
    <mergeCell ref="AS1350:AS1352"/>
    <mergeCell ref="A1353:A1355"/>
    <mergeCell ref="B1353:B1355"/>
    <mergeCell ref="C1353:C1355"/>
    <mergeCell ref="D1353:D1355"/>
    <mergeCell ref="AJ1353:AJ1355"/>
    <mergeCell ref="AK1353:AK1355"/>
    <mergeCell ref="AL1353:AL1355"/>
    <mergeCell ref="AM1353:AM1355"/>
    <mergeCell ref="AN1353:AN1355"/>
    <mergeCell ref="AO1353:AO1355"/>
    <mergeCell ref="AP1353:AP1355"/>
    <mergeCell ref="AQ1353:AQ1355"/>
    <mergeCell ref="AR1353:AR1355"/>
    <mergeCell ref="AS1353:AS1355"/>
    <mergeCell ref="A1356:A1358"/>
    <mergeCell ref="B1356:B1358"/>
    <mergeCell ref="C1356:C1358"/>
    <mergeCell ref="D1356:D1358"/>
    <mergeCell ref="AJ1356:AJ1358"/>
    <mergeCell ref="AK1356:AK1358"/>
    <mergeCell ref="AL1356:AL1358"/>
    <mergeCell ref="AM1356:AM1358"/>
    <mergeCell ref="AN1356:AN1358"/>
    <mergeCell ref="AO1356:AO1358"/>
    <mergeCell ref="AP1356:AP1358"/>
    <mergeCell ref="AQ1356:AQ1358"/>
    <mergeCell ref="AR1356:AR1358"/>
    <mergeCell ref="AS1356:AS1358"/>
    <mergeCell ref="A1359:A1361"/>
    <mergeCell ref="B1359:B1361"/>
    <mergeCell ref="C1359:C1361"/>
    <mergeCell ref="D1359:D1361"/>
    <mergeCell ref="AJ1359:AJ1361"/>
    <mergeCell ref="AK1359:AK1361"/>
    <mergeCell ref="AL1359:AL1361"/>
    <mergeCell ref="AM1359:AM1361"/>
    <mergeCell ref="AN1359:AN1361"/>
    <mergeCell ref="AO1359:AO1361"/>
    <mergeCell ref="AP1359:AP1361"/>
    <mergeCell ref="AQ1359:AQ1361"/>
    <mergeCell ref="AR1359:AR1361"/>
    <mergeCell ref="AS1359:AS1361"/>
    <mergeCell ref="A1362:A1364"/>
    <mergeCell ref="B1362:B1364"/>
    <mergeCell ref="C1362:C1364"/>
    <mergeCell ref="D1362:D1364"/>
    <mergeCell ref="AJ1362:AJ1364"/>
    <mergeCell ref="AK1362:AK1364"/>
    <mergeCell ref="AL1362:AL1364"/>
    <mergeCell ref="AM1362:AM1364"/>
    <mergeCell ref="AN1362:AN1364"/>
    <mergeCell ref="AO1362:AO1364"/>
    <mergeCell ref="AP1362:AP1364"/>
    <mergeCell ref="AQ1362:AQ1364"/>
    <mergeCell ref="AR1362:AR1364"/>
    <mergeCell ref="AS1362:AS1364"/>
    <mergeCell ref="A1365:A1367"/>
    <mergeCell ref="B1365:B1367"/>
    <mergeCell ref="C1365:C1367"/>
    <mergeCell ref="D1365:D1367"/>
    <mergeCell ref="AJ1365:AJ1367"/>
    <mergeCell ref="AK1365:AK1367"/>
    <mergeCell ref="AL1365:AL1367"/>
    <mergeCell ref="AM1365:AM1367"/>
    <mergeCell ref="AN1365:AN1367"/>
    <mergeCell ref="AO1365:AO1367"/>
    <mergeCell ref="AP1365:AP1367"/>
    <mergeCell ref="AQ1365:AQ1367"/>
    <mergeCell ref="AR1365:AR1367"/>
    <mergeCell ref="AS1365:AS1367"/>
    <mergeCell ref="A1368:A1370"/>
    <mergeCell ref="B1368:B1370"/>
    <mergeCell ref="C1368:C1370"/>
    <mergeCell ref="D1368:D1370"/>
    <mergeCell ref="AJ1368:AJ1370"/>
    <mergeCell ref="AK1368:AK1370"/>
    <mergeCell ref="AL1368:AL1370"/>
    <mergeCell ref="AM1368:AM1370"/>
    <mergeCell ref="AN1368:AN1370"/>
    <mergeCell ref="AO1368:AO1370"/>
    <mergeCell ref="AP1368:AP1370"/>
    <mergeCell ref="AQ1368:AQ1370"/>
    <mergeCell ref="AR1368:AR1370"/>
    <mergeCell ref="AS1368:AS1370"/>
    <mergeCell ref="A1371:A1373"/>
    <mergeCell ref="B1371:B1373"/>
    <mergeCell ref="C1371:C1373"/>
    <mergeCell ref="D1371:D1373"/>
    <mergeCell ref="AJ1371:AJ1373"/>
    <mergeCell ref="AK1371:AK1373"/>
    <mergeCell ref="AL1371:AL1373"/>
    <mergeCell ref="AM1371:AM1373"/>
    <mergeCell ref="AN1371:AN1373"/>
    <mergeCell ref="AO1371:AO1373"/>
    <mergeCell ref="AP1371:AP1373"/>
    <mergeCell ref="AQ1371:AQ1373"/>
    <mergeCell ref="AR1371:AR1373"/>
    <mergeCell ref="AS1371:AS1373"/>
    <mergeCell ref="A1374:A1376"/>
    <mergeCell ref="B1374:B1376"/>
    <mergeCell ref="C1374:C1376"/>
    <mergeCell ref="D1374:D1376"/>
    <mergeCell ref="AJ1374:AJ1376"/>
    <mergeCell ref="AK1374:AK1376"/>
    <mergeCell ref="AL1374:AL1376"/>
    <mergeCell ref="AM1374:AM1376"/>
    <mergeCell ref="AN1374:AN1376"/>
    <mergeCell ref="AO1374:AO1376"/>
    <mergeCell ref="AP1374:AP1376"/>
    <mergeCell ref="AQ1374:AQ1376"/>
    <mergeCell ref="AR1374:AR1376"/>
    <mergeCell ref="AS1374:AS1376"/>
    <mergeCell ref="A1377:A1379"/>
    <mergeCell ref="B1377:B1379"/>
    <mergeCell ref="C1377:C1379"/>
    <mergeCell ref="D1377:D1379"/>
    <mergeCell ref="AJ1377:AJ1379"/>
    <mergeCell ref="AK1377:AK1379"/>
    <mergeCell ref="AL1377:AL1379"/>
    <mergeCell ref="AM1377:AM1379"/>
    <mergeCell ref="AN1377:AN1379"/>
    <mergeCell ref="AO1377:AO1379"/>
    <mergeCell ref="AP1377:AP1379"/>
    <mergeCell ref="AQ1377:AQ1379"/>
    <mergeCell ref="AR1377:AR1379"/>
    <mergeCell ref="AS1377:AS1379"/>
    <mergeCell ref="A1380:A1382"/>
    <mergeCell ref="B1380:B1382"/>
    <mergeCell ref="C1380:C1382"/>
    <mergeCell ref="D1380:D1382"/>
    <mergeCell ref="AJ1380:AJ1382"/>
    <mergeCell ref="AK1380:AK1382"/>
    <mergeCell ref="AL1380:AL1382"/>
    <mergeCell ref="AM1380:AM1382"/>
    <mergeCell ref="AN1380:AN1382"/>
    <mergeCell ref="AO1380:AO1382"/>
    <mergeCell ref="AP1380:AP1382"/>
    <mergeCell ref="AQ1380:AQ1382"/>
    <mergeCell ref="AR1380:AR1382"/>
    <mergeCell ref="AS1380:AS1382"/>
    <mergeCell ref="A1383:A1385"/>
    <mergeCell ref="B1383:B1385"/>
    <mergeCell ref="C1383:C1385"/>
    <mergeCell ref="D1383:D1385"/>
    <mergeCell ref="AJ1383:AJ1385"/>
    <mergeCell ref="AK1383:AK1385"/>
    <mergeCell ref="AL1383:AL1385"/>
    <mergeCell ref="AM1383:AM1385"/>
    <mergeCell ref="AN1383:AN1385"/>
    <mergeCell ref="AO1383:AO1385"/>
    <mergeCell ref="AP1383:AP1385"/>
    <mergeCell ref="AQ1383:AQ1385"/>
    <mergeCell ref="AR1383:AR1385"/>
    <mergeCell ref="AS1383:AS1385"/>
    <mergeCell ref="A1386:A1388"/>
    <mergeCell ref="B1386:B1388"/>
    <mergeCell ref="C1386:C1388"/>
    <mergeCell ref="D1386:D1388"/>
    <mergeCell ref="AJ1386:AJ1388"/>
    <mergeCell ref="AK1386:AK1388"/>
    <mergeCell ref="AL1386:AL1388"/>
    <mergeCell ref="AM1386:AM1388"/>
    <mergeCell ref="AN1386:AN1388"/>
    <mergeCell ref="AO1386:AO1388"/>
    <mergeCell ref="AP1386:AP1388"/>
    <mergeCell ref="AQ1386:AQ1388"/>
    <mergeCell ref="AR1386:AR1388"/>
    <mergeCell ref="AS1386:AS1388"/>
    <mergeCell ref="A1389:A1391"/>
    <mergeCell ref="B1389:B1391"/>
    <mergeCell ref="C1389:C1391"/>
    <mergeCell ref="D1389:D1391"/>
    <mergeCell ref="AJ1389:AJ1391"/>
    <mergeCell ref="AK1389:AK1391"/>
    <mergeCell ref="AL1389:AL1391"/>
    <mergeCell ref="AM1389:AM1391"/>
    <mergeCell ref="AN1389:AN1391"/>
    <mergeCell ref="AO1389:AO1391"/>
    <mergeCell ref="AP1389:AP1391"/>
    <mergeCell ref="AQ1389:AQ1391"/>
    <mergeCell ref="AR1389:AR1391"/>
    <mergeCell ref="AS1389:AS1391"/>
    <mergeCell ref="A1392:A1394"/>
    <mergeCell ref="B1392:B1394"/>
    <mergeCell ref="C1392:C1394"/>
    <mergeCell ref="D1392:D1394"/>
    <mergeCell ref="AJ1392:AJ1394"/>
    <mergeCell ref="AK1392:AK1394"/>
    <mergeCell ref="AL1392:AL1394"/>
    <mergeCell ref="AM1392:AM1394"/>
    <mergeCell ref="AN1392:AN1394"/>
    <mergeCell ref="AO1392:AO1394"/>
    <mergeCell ref="AP1392:AP1394"/>
    <mergeCell ref="AQ1392:AQ1394"/>
    <mergeCell ref="AR1392:AR1394"/>
    <mergeCell ref="AS1392:AS1394"/>
    <mergeCell ref="A1395:A1397"/>
    <mergeCell ref="B1395:B1397"/>
    <mergeCell ref="C1395:C1397"/>
    <mergeCell ref="D1395:D1397"/>
    <mergeCell ref="AJ1395:AJ1397"/>
    <mergeCell ref="AK1395:AK1397"/>
    <mergeCell ref="AL1395:AL1397"/>
    <mergeCell ref="AM1395:AM1397"/>
    <mergeCell ref="AN1395:AN1397"/>
    <mergeCell ref="AO1395:AO1397"/>
    <mergeCell ref="AP1395:AP1397"/>
    <mergeCell ref="AQ1395:AQ1397"/>
    <mergeCell ref="AR1395:AR1397"/>
    <mergeCell ref="AS1395:AS1397"/>
    <mergeCell ref="A1398:A1400"/>
    <mergeCell ref="B1398:B1400"/>
    <mergeCell ref="C1398:C1400"/>
    <mergeCell ref="D1398:D1400"/>
    <mergeCell ref="AJ1398:AJ1400"/>
    <mergeCell ref="AK1398:AK1400"/>
    <mergeCell ref="AL1398:AL1400"/>
    <mergeCell ref="AM1398:AM1400"/>
    <mergeCell ref="AN1398:AN1400"/>
    <mergeCell ref="AO1398:AO1400"/>
    <mergeCell ref="AP1398:AP1400"/>
    <mergeCell ref="AQ1398:AQ1400"/>
    <mergeCell ref="AR1398:AR1400"/>
    <mergeCell ref="AS1398:AS1400"/>
    <mergeCell ref="A1401:A1403"/>
    <mergeCell ref="B1401:B1403"/>
    <mergeCell ref="C1401:C1403"/>
    <mergeCell ref="D1401:D1403"/>
    <mergeCell ref="AJ1401:AJ1403"/>
    <mergeCell ref="AK1401:AK1403"/>
    <mergeCell ref="AL1401:AL1403"/>
    <mergeCell ref="AM1401:AM1403"/>
    <mergeCell ref="AN1401:AN1403"/>
    <mergeCell ref="AO1401:AO1403"/>
    <mergeCell ref="AP1401:AP1403"/>
    <mergeCell ref="AQ1401:AQ1403"/>
    <mergeCell ref="AR1401:AR1403"/>
    <mergeCell ref="AS1401:AS1403"/>
    <mergeCell ref="A1404:A1406"/>
    <mergeCell ref="B1404:B1406"/>
    <mergeCell ref="C1404:C1406"/>
    <mergeCell ref="D1404:D1406"/>
    <mergeCell ref="AJ1404:AJ1406"/>
    <mergeCell ref="AK1404:AK1406"/>
    <mergeCell ref="AL1404:AL1406"/>
    <mergeCell ref="AM1404:AM1406"/>
    <mergeCell ref="AN1404:AN1406"/>
    <mergeCell ref="AO1404:AO1406"/>
    <mergeCell ref="AP1404:AP1406"/>
    <mergeCell ref="AQ1404:AQ1406"/>
    <mergeCell ref="AR1404:AR1406"/>
    <mergeCell ref="AS1404:AS1406"/>
    <mergeCell ref="A1407:A1409"/>
    <mergeCell ref="B1407:B1409"/>
    <mergeCell ref="C1407:C1409"/>
    <mergeCell ref="D1407:D1409"/>
    <mergeCell ref="AJ1407:AJ1409"/>
    <mergeCell ref="AK1407:AK1409"/>
    <mergeCell ref="AL1407:AL1409"/>
    <mergeCell ref="AM1407:AM1409"/>
    <mergeCell ref="AN1407:AN1409"/>
    <mergeCell ref="AO1407:AO1409"/>
    <mergeCell ref="AP1407:AP1409"/>
    <mergeCell ref="AQ1407:AQ1409"/>
    <mergeCell ref="AR1407:AR1409"/>
    <mergeCell ref="AS1407:AS1409"/>
    <mergeCell ref="A1410:A1412"/>
    <mergeCell ref="B1410:B1412"/>
    <mergeCell ref="C1410:C1412"/>
    <mergeCell ref="D1410:D1412"/>
    <mergeCell ref="AJ1410:AJ1412"/>
    <mergeCell ref="AK1410:AK1412"/>
    <mergeCell ref="AL1410:AL1412"/>
    <mergeCell ref="AM1410:AM1412"/>
    <mergeCell ref="AN1410:AN1412"/>
    <mergeCell ref="AO1410:AO1412"/>
    <mergeCell ref="AP1410:AP1412"/>
    <mergeCell ref="AQ1410:AQ1412"/>
    <mergeCell ref="AR1410:AR1412"/>
    <mergeCell ref="AS1410:AS1412"/>
    <mergeCell ref="A1413:A1415"/>
    <mergeCell ref="B1413:B1415"/>
    <mergeCell ref="C1413:C1415"/>
    <mergeCell ref="D1413:D1415"/>
    <mergeCell ref="AJ1413:AJ1415"/>
    <mergeCell ref="AK1413:AK1415"/>
    <mergeCell ref="AL1413:AL1415"/>
    <mergeCell ref="AM1413:AM1415"/>
    <mergeCell ref="AN1413:AN1415"/>
    <mergeCell ref="AO1413:AO1415"/>
    <mergeCell ref="AP1413:AP1415"/>
    <mergeCell ref="AQ1413:AQ1415"/>
    <mergeCell ref="AR1413:AR1415"/>
    <mergeCell ref="AS1413:AS1415"/>
    <mergeCell ref="A1416:A1418"/>
    <mergeCell ref="B1416:B1418"/>
    <mergeCell ref="C1416:C1418"/>
    <mergeCell ref="D1416:D1418"/>
    <mergeCell ref="AJ1416:AJ1418"/>
    <mergeCell ref="AK1416:AK1418"/>
    <mergeCell ref="AL1416:AL1418"/>
    <mergeCell ref="AM1416:AM1418"/>
    <mergeCell ref="AN1416:AN1418"/>
    <mergeCell ref="AO1416:AO1418"/>
    <mergeCell ref="AP1416:AP1418"/>
    <mergeCell ref="AQ1416:AQ1418"/>
    <mergeCell ref="AR1416:AR1418"/>
    <mergeCell ref="AS1416:AS1418"/>
    <mergeCell ref="A1419:A1421"/>
    <mergeCell ref="B1419:B1421"/>
    <mergeCell ref="C1419:C1421"/>
    <mergeCell ref="D1419:D1421"/>
    <mergeCell ref="AJ1419:AJ1421"/>
    <mergeCell ref="AK1419:AK1421"/>
    <mergeCell ref="AL1419:AL1421"/>
    <mergeCell ref="AM1419:AM1421"/>
    <mergeCell ref="AN1419:AN1421"/>
    <mergeCell ref="AO1419:AO1421"/>
    <mergeCell ref="AP1419:AP1421"/>
    <mergeCell ref="AQ1419:AQ1421"/>
    <mergeCell ref="AR1419:AR1421"/>
    <mergeCell ref="AS1419:AS1421"/>
    <mergeCell ref="A1422:A1424"/>
    <mergeCell ref="B1422:B1424"/>
    <mergeCell ref="C1422:C1424"/>
    <mergeCell ref="D1422:D1424"/>
    <mergeCell ref="AJ1422:AJ1424"/>
    <mergeCell ref="AK1422:AK1424"/>
    <mergeCell ref="AL1422:AL1424"/>
    <mergeCell ref="AM1422:AM1424"/>
    <mergeCell ref="AN1422:AN1424"/>
    <mergeCell ref="AO1422:AO1424"/>
    <mergeCell ref="AP1422:AP1424"/>
    <mergeCell ref="AQ1422:AQ1424"/>
    <mergeCell ref="AR1422:AR1424"/>
    <mergeCell ref="AS1422:AS1424"/>
    <mergeCell ref="A1425:A1427"/>
    <mergeCell ref="B1425:B1427"/>
    <mergeCell ref="C1425:C1427"/>
    <mergeCell ref="D1425:D1427"/>
    <mergeCell ref="AJ1425:AJ1427"/>
    <mergeCell ref="AK1425:AK1427"/>
    <mergeCell ref="AL1425:AL1427"/>
    <mergeCell ref="AM1425:AM1427"/>
    <mergeCell ref="AN1425:AN1427"/>
    <mergeCell ref="AO1425:AO1427"/>
    <mergeCell ref="AP1425:AP1427"/>
    <mergeCell ref="AQ1425:AQ1427"/>
    <mergeCell ref="AR1425:AR1427"/>
    <mergeCell ref="AS1425:AS1427"/>
    <mergeCell ref="A1428:A1430"/>
    <mergeCell ref="B1428:B1430"/>
    <mergeCell ref="C1428:C1430"/>
    <mergeCell ref="D1428:D1430"/>
    <mergeCell ref="AJ1428:AJ1430"/>
    <mergeCell ref="AK1428:AK1430"/>
    <mergeCell ref="AL1428:AL1430"/>
    <mergeCell ref="AM1428:AM1430"/>
    <mergeCell ref="AN1428:AN1430"/>
    <mergeCell ref="AO1428:AO1430"/>
    <mergeCell ref="AP1428:AP1430"/>
    <mergeCell ref="AQ1428:AQ1430"/>
    <mergeCell ref="AR1428:AR1430"/>
    <mergeCell ref="AS1428:AS1430"/>
    <mergeCell ref="A1431:A1433"/>
    <mergeCell ref="B1431:B1433"/>
    <mergeCell ref="C1431:C1433"/>
    <mergeCell ref="D1431:D1433"/>
    <mergeCell ref="AJ1431:AJ1433"/>
    <mergeCell ref="AK1431:AK1433"/>
    <mergeCell ref="AL1431:AL1433"/>
    <mergeCell ref="AM1431:AM1433"/>
    <mergeCell ref="AN1431:AN1433"/>
    <mergeCell ref="AO1431:AO1433"/>
    <mergeCell ref="AP1431:AP1433"/>
    <mergeCell ref="AQ1431:AQ1433"/>
    <mergeCell ref="AR1431:AR1433"/>
    <mergeCell ref="AS1431:AS1433"/>
    <mergeCell ref="A1434:A1436"/>
    <mergeCell ref="B1434:B1436"/>
    <mergeCell ref="C1434:C1436"/>
    <mergeCell ref="D1434:D1436"/>
    <mergeCell ref="AJ1434:AJ1436"/>
    <mergeCell ref="AK1434:AK1436"/>
    <mergeCell ref="AL1434:AL1436"/>
    <mergeCell ref="AM1434:AM1436"/>
    <mergeCell ref="AN1434:AN1436"/>
    <mergeCell ref="AO1434:AO1436"/>
    <mergeCell ref="AP1434:AP1436"/>
    <mergeCell ref="AQ1434:AQ1436"/>
    <mergeCell ref="AR1434:AR1436"/>
    <mergeCell ref="AS1434:AS1436"/>
    <mergeCell ref="A1437:A1439"/>
    <mergeCell ref="B1437:B1439"/>
    <mergeCell ref="C1437:C1439"/>
    <mergeCell ref="D1437:D1439"/>
    <mergeCell ref="AJ1437:AJ1439"/>
    <mergeCell ref="AK1437:AK1439"/>
    <mergeCell ref="AL1437:AL1439"/>
    <mergeCell ref="AM1437:AM1439"/>
    <mergeCell ref="AN1437:AN1439"/>
    <mergeCell ref="AO1437:AO1439"/>
    <mergeCell ref="AP1437:AP1439"/>
    <mergeCell ref="AQ1437:AQ1439"/>
    <mergeCell ref="AR1437:AR1439"/>
    <mergeCell ref="AS1437:AS1439"/>
    <mergeCell ref="A1440:A1442"/>
    <mergeCell ref="B1440:B1442"/>
    <mergeCell ref="C1440:C1442"/>
    <mergeCell ref="D1440:D1442"/>
    <mergeCell ref="AJ1440:AJ1442"/>
    <mergeCell ref="AK1440:AK1442"/>
    <mergeCell ref="AL1440:AL1442"/>
    <mergeCell ref="AM1440:AM1442"/>
    <mergeCell ref="AN1440:AN1442"/>
    <mergeCell ref="AO1440:AO1442"/>
    <mergeCell ref="AP1440:AP1442"/>
    <mergeCell ref="AQ1440:AQ1442"/>
    <mergeCell ref="AR1440:AR1442"/>
    <mergeCell ref="AS1440:AS1442"/>
    <mergeCell ref="A1443:A1445"/>
    <mergeCell ref="B1443:B1445"/>
    <mergeCell ref="C1443:C1445"/>
    <mergeCell ref="D1443:D1445"/>
    <mergeCell ref="AJ1443:AJ1445"/>
    <mergeCell ref="AK1443:AK1445"/>
    <mergeCell ref="AL1443:AL1445"/>
    <mergeCell ref="AM1443:AM1445"/>
    <mergeCell ref="AN1443:AN1445"/>
    <mergeCell ref="AO1443:AO1445"/>
    <mergeCell ref="AP1443:AP1445"/>
    <mergeCell ref="AQ1443:AQ1445"/>
    <mergeCell ref="AR1443:AR1445"/>
    <mergeCell ref="AS1443:AS1445"/>
    <mergeCell ref="A1446:A1448"/>
    <mergeCell ref="B1446:B1448"/>
    <mergeCell ref="C1446:C1448"/>
    <mergeCell ref="D1446:D1448"/>
    <mergeCell ref="AJ1446:AJ1448"/>
    <mergeCell ref="AK1446:AK1448"/>
    <mergeCell ref="AL1446:AL1448"/>
    <mergeCell ref="AM1446:AM1448"/>
    <mergeCell ref="AN1446:AN1448"/>
    <mergeCell ref="AO1446:AO1448"/>
    <mergeCell ref="AP1446:AP1448"/>
    <mergeCell ref="AQ1446:AQ1448"/>
    <mergeCell ref="AR1446:AR1448"/>
    <mergeCell ref="AS1446:AS1448"/>
    <mergeCell ref="A1449:A1451"/>
    <mergeCell ref="B1449:B1451"/>
    <mergeCell ref="C1449:C1451"/>
    <mergeCell ref="D1449:D1451"/>
    <mergeCell ref="AJ1449:AJ1451"/>
    <mergeCell ref="AK1449:AK1451"/>
    <mergeCell ref="AL1449:AL1451"/>
    <mergeCell ref="AM1449:AM1451"/>
    <mergeCell ref="AN1449:AN1451"/>
    <mergeCell ref="AO1449:AO1451"/>
    <mergeCell ref="AP1449:AP1451"/>
    <mergeCell ref="AQ1449:AQ1451"/>
    <mergeCell ref="AR1449:AR1451"/>
    <mergeCell ref="AS1449:AS1451"/>
    <mergeCell ref="A1452:A1454"/>
    <mergeCell ref="B1452:B1454"/>
    <mergeCell ref="C1452:C1454"/>
    <mergeCell ref="D1452:D1454"/>
    <mergeCell ref="AJ1452:AJ1454"/>
    <mergeCell ref="AK1452:AK1454"/>
    <mergeCell ref="AL1452:AL1454"/>
    <mergeCell ref="AM1452:AM1454"/>
    <mergeCell ref="AN1452:AN1454"/>
    <mergeCell ref="AO1452:AO1454"/>
    <mergeCell ref="AP1452:AP1454"/>
    <mergeCell ref="AQ1452:AQ1454"/>
    <mergeCell ref="AR1452:AR1454"/>
    <mergeCell ref="AS1452:AS1454"/>
    <mergeCell ref="A1455:A1457"/>
    <mergeCell ref="B1455:B1457"/>
    <mergeCell ref="C1455:C1457"/>
    <mergeCell ref="D1455:D1457"/>
    <mergeCell ref="AJ1455:AJ1457"/>
    <mergeCell ref="AK1455:AK1457"/>
    <mergeCell ref="AL1455:AL1457"/>
    <mergeCell ref="AM1455:AM1457"/>
    <mergeCell ref="AN1455:AN1457"/>
    <mergeCell ref="AO1455:AO1457"/>
    <mergeCell ref="AP1455:AP1457"/>
    <mergeCell ref="AQ1455:AQ1457"/>
    <mergeCell ref="AR1455:AR1457"/>
    <mergeCell ref="AS1455:AS1457"/>
    <mergeCell ref="A1458:A1460"/>
    <mergeCell ref="B1458:B1460"/>
    <mergeCell ref="C1458:C1460"/>
    <mergeCell ref="D1458:D1460"/>
    <mergeCell ref="AJ1458:AJ1460"/>
    <mergeCell ref="AK1458:AK1460"/>
    <mergeCell ref="AL1458:AL1460"/>
    <mergeCell ref="AM1458:AM1460"/>
    <mergeCell ref="AN1458:AN1460"/>
    <mergeCell ref="AO1458:AO1460"/>
    <mergeCell ref="AP1458:AP1460"/>
    <mergeCell ref="AQ1458:AQ1460"/>
    <mergeCell ref="AR1458:AR1460"/>
    <mergeCell ref="AS1458:AS1460"/>
    <mergeCell ref="A1461:A1463"/>
    <mergeCell ref="B1461:B1463"/>
    <mergeCell ref="C1461:C1463"/>
    <mergeCell ref="D1461:D1463"/>
    <mergeCell ref="AJ1461:AJ1463"/>
    <mergeCell ref="AK1461:AK1463"/>
    <mergeCell ref="AL1461:AL1463"/>
    <mergeCell ref="AM1461:AM1463"/>
    <mergeCell ref="AN1461:AN1463"/>
    <mergeCell ref="AO1461:AO1463"/>
    <mergeCell ref="AP1461:AP1463"/>
    <mergeCell ref="AQ1461:AQ1463"/>
    <mergeCell ref="AR1461:AR1463"/>
    <mergeCell ref="AS1461:AS1463"/>
    <mergeCell ref="A1464:A1466"/>
    <mergeCell ref="B1464:B1466"/>
    <mergeCell ref="C1464:C1466"/>
    <mergeCell ref="D1464:D1466"/>
    <mergeCell ref="AJ1464:AJ1466"/>
    <mergeCell ref="AK1464:AK1466"/>
    <mergeCell ref="AL1464:AL1466"/>
    <mergeCell ref="AM1464:AM1466"/>
    <mergeCell ref="AN1464:AN1466"/>
    <mergeCell ref="AO1464:AO1466"/>
    <mergeCell ref="AP1464:AP1466"/>
    <mergeCell ref="AQ1464:AQ1466"/>
    <mergeCell ref="AR1464:AR1466"/>
    <mergeCell ref="AS1464:AS1466"/>
    <mergeCell ref="A1467:A1469"/>
    <mergeCell ref="B1467:B1469"/>
    <mergeCell ref="C1467:C1469"/>
    <mergeCell ref="D1467:D1469"/>
    <mergeCell ref="AJ1467:AJ1469"/>
    <mergeCell ref="AK1467:AK1469"/>
    <mergeCell ref="AL1467:AL1469"/>
    <mergeCell ref="AM1467:AM1469"/>
    <mergeCell ref="AN1467:AN1469"/>
    <mergeCell ref="AO1467:AO1469"/>
    <mergeCell ref="AP1467:AP1469"/>
    <mergeCell ref="AQ1467:AQ1469"/>
    <mergeCell ref="AR1467:AR1469"/>
    <mergeCell ref="AS1467:AS1469"/>
    <mergeCell ref="A1470:A1472"/>
    <mergeCell ref="B1470:B1472"/>
    <mergeCell ref="C1470:C1472"/>
    <mergeCell ref="D1470:D1472"/>
    <mergeCell ref="AJ1470:AJ1472"/>
    <mergeCell ref="AK1470:AK1472"/>
    <mergeCell ref="AL1470:AL1472"/>
    <mergeCell ref="AM1470:AM1472"/>
    <mergeCell ref="AN1470:AN1472"/>
    <mergeCell ref="AO1470:AO1472"/>
    <mergeCell ref="AP1470:AP1472"/>
    <mergeCell ref="AQ1470:AQ1472"/>
    <mergeCell ref="AR1470:AR1472"/>
    <mergeCell ref="AS1470:AS1472"/>
    <mergeCell ref="A1473:A1475"/>
    <mergeCell ref="B1473:B1475"/>
    <mergeCell ref="C1473:C1475"/>
    <mergeCell ref="D1473:D1475"/>
    <mergeCell ref="AJ1473:AJ1475"/>
    <mergeCell ref="AK1473:AK1475"/>
    <mergeCell ref="AL1473:AL1475"/>
    <mergeCell ref="AM1473:AM1475"/>
    <mergeCell ref="AN1473:AN1475"/>
    <mergeCell ref="AO1473:AO1475"/>
    <mergeCell ref="AP1473:AP1475"/>
    <mergeCell ref="AQ1473:AQ1475"/>
    <mergeCell ref="AR1473:AR1475"/>
    <mergeCell ref="AS1473:AS1475"/>
    <mergeCell ref="A1476:A1478"/>
    <mergeCell ref="B1476:B1478"/>
    <mergeCell ref="C1476:C1478"/>
    <mergeCell ref="D1476:D1478"/>
    <mergeCell ref="AJ1476:AJ1478"/>
    <mergeCell ref="AK1476:AK1478"/>
    <mergeCell ref="AL1476:AL1478"/>
    <mergeCell ref="AM1476:AM1478"/>
    <mergeCell ref="AN1476:AN1478"/>
    <mergeCell ref="AO1476:AO1478"/>
    <mergeCell ref="AP1476:AP1478"/>
    <mergeCell ref="AQ1476:AQ1478"/>
    <mergeCell ref="AR1476:AR1478"/>
    <mergeCell ref="AS1476:AS1478"/>
    <mergeCell ref="A1479:A1481"/>
    <mergeCell ref="B1479:B1481"/>
    <mergeCell ref="C1479:C1481"/>
    <mergeCell ref="D1479:D1481"/>
    <mergeCell ref="AJ1479:AJ1481"/>
    <mergeCell ref="AK1479:AK1481"/>
    <mergeCell ref="AL1479:AL1481"/>
    <mergeCell ref="AM1479:AM1481"/>
    <mergeCell ref="AN1479:AN1481"/>
    <mergeCell ref="AO1479:AO1481"/>
    <mergeCell ref="AP1479:AP1481"/>
    <mergeCell ref="AQ1479:AQ1481"/>
    <mergeCell ref="AR1479:AR1481"/>
    <mergeCell ref="AS1479:AS1481"/>
    <mergeCell ref="A1482:A1484"/>
    <mergeCell ref="B1482:B1484"/>
    <mergeCell ref="C1482:C1484"/>
    <mergeCell ref="D1482:D1484"/>
    <mergeCell ref="AJ1482:AJ1484"/>
    <mergeCell ref="AK1482:AK1484"/>
    <mergeCell ref="AL1482:AL1484"/>
    <mergeCell ref="AM1482:AM1484"/>
    <mergeCell ref="AN1482:AN1484"/>
    <mergeCell ref="AO1482:AO1484"/>
    <mergeCell ref="AP1482:AP1484"/>
    <mergeCell ref="AQ1482:AQ1484"/>
    <mergeCell ref="AR1482:AR1484"/>
    <mergeCell ref="AS1482:AS1484"/>
    <mergeCell ref="A1485:A1487"/>
    <mergeCell ref="B1485:B1487"/>
    <mergeCell ref="C1485:C1487"/>
    <mergeCell ref="D1485:D1487"/>
    <mergeCell ref="AJ1485:AJ1487"/>
    <mergeCell ref="AK1485:AK1487"/>
    <mergeCell ref="AL1485:AL1487"/>
    <mergeCell ref="AM1485:AM1487"/>
    <mergeCell ref="AN1485:AN1487"/>
    <mergeCell ref="AO1485:AO1487"/>
    <mergeCell ref="AP1485:AP1487"/>
    <mergeCell ref="AQ1485:AQ1487"/>
    <mergeCell ref="AR1485:AR1487"/>
    <mergeCell ref="AS1485:AS1487"/>
    <mergeCell ref="A1488:A1490"/>
    <mergeCell ref="B1488:B1490"/>
    <mergeCell ref="C1488:C1490"/>
    <mergeCell ref="D1488:D1490"/>
    <mergeCell ref="AJ1488:AJ1490"/>
    <mergeCell ref="AK1488:AK1490"/>
    <mergeCell ref="AL1488:AL1490"/>
    <mergeCell ref="AM1488:AM1490"/>
    <mergeCell ref="AN1488:AN1490"/>
    <mergeCell ref="AO1488:AO1490"/>
    <mergeCell ref="AP1488:AP1490"/>
    <mergeCell ref="AQ1488:AQ1490"/>
    <mergeCell ref="AR1488:AR1490"/>
    <mergeCell ref="AS1488:AS1490"/>
    <mergeCell ref="A1491:A1493"/>
    <mergeCell ref="B1491:B1493"/>
    <mergeCell ref="C1491:C1493"/>
    <mergeCell ref="D1491:D1493"/>
    <mergeCell ref="AJ1491:AJ1493"/>
    <mergeCell ref="AK1491:AK1493"/>
    <mergeCell ref="AL1491:AL1493"/>
    <mergeCell ref="AM1491:AM1493"/>
    <mergeCell ref="AN1491:AN1493"/>
    <mergeCell ref="AO1491:AO1493"/>
    <mergeCell ref="AP1491:AP1493"/>
    <mergeCell ref="AQ1491:AQ1493"/>
    <mergeCell ref="AR1491:AR1493"/>
    <mergeCell ref="AS1491:AS1493"/>
    <mergeCell ref="A1494:A1496"/>
    <mergeCell ref="B1494:B1496"/>
    <mergeCell ref="C1494:C1496"/>
    <mergeCell ref="D1494:D1496"/>
    <mergeCell ref="AJ1494:AJ1496"/>
    <mergeCell ref="AK1494:AK1496"/>
    <mergeCell ref="AL1494:AL1496"/>
    <mergeCell ref="AM1494:AM1496"/>
    <mergeCell ref="AN1494:AN1496"/>
    <mergeCell ref="AO1494:AO1496"/>
    <mergeCell ref="AP1494:AP1496"/>
    <mergeCell ref="AQ1494:AQ1496"/>
    <mergeCell ref="AR1494:AR1496"/>
    <mergeCell ref="AS1494:AS1496"/>
    <mergeCell ref="A1497:A1499"/>
    <mergeCell ref="B1497:B1499"/>
    <mergeCell ref="C1497:C1499"/>
    <mergeCell ref="D1497:D1499"/>
    <mergeCell ref="AJ1497:AJ1499"/>
    <mergeCell ref="AK1497:AK1499"/>
    <mergeCell ref="AL1497:AL1499"/>
    <mergeCell ref="AM1497:AM1499"/>
    <mergeCell ref="AN1497:AN1499"/>
    <mergeCell ref="AO1497:AO1499"/>
    <mergeCell ref="AP1497:AP1499"/>
    <mergeCell ref="AQ1497:AQ1499"/>
    <mergeCell ref="AR1497:AR1499"/>
    <mergeCell ref="AS1497:AS1499"/>
    <mergeCell ref="A1500:A1502"/>
    <mergeCell ref="B1500:B1502"/>
    <mergeCell ref="C1500:C1502"/>
    <mergeCell ref="D1500:D1502"/>
    <mergeCell ref="AJ1500:AJ1502"/>
    <mergeCell ref="AK1500:AK1502"/>
    <mergeCell ref="AL1500:AL1502"/>
    <mergeCell ref="AM1500:AM1502"/>
    <mergeCell ref="AN1500:AN1502"/>
    <mergeCell ref="AO1500:AO1502"/>
    <mergeCell ref="AP1500:AP1502"/>
    <mergeCell ref="AQ1500:AQ1502"/>
    <mergeCell ref="AR1500:AR1502"/>
    <mergeCell ref="AS1500:AS1502"/>
    <mergeCell ref="A1503:A1505"/>
    <mergeCell ref="B1503:B1505"/>
    <mergeCell ref="C1503:C1505"/>
    <mergeCell ref="D1503:D1505"/>
    <mergeCell ref="AJ1503:AJ1505"/>
    <mergeCell ref="AK1503:AK1505"/>
    <mergeCell ref="AL1503:AL1505"/>
    <mergeCell ref="AM1503:AM1505"/>
    <mergeCell ref="AN1503:AN1505"/>
    <mergeCell ref="AO1503:AO1505"/>
    <mergeCell ref="AP1503:AP1505"/>
    <mergeCell ref="AQ1503:AQ1505"/>
    <mergeCell ref="AR1503:AR1505"/>
    <mergeCell ref="AS1503:AS1505"/>
    <mergeCell ref="A1506:A1508"/>
    <mergeCell ref="B1506:B1508"/>
    <mergeCell ref="C1506:C1508"/>
    <mergeCell ref="D1506:D1508"/>
    <mergeCell ref="AJ1506:AJ1508"/>
    <mergeCell ref="AK1506:AK1508"/>
    <mergeCell ref="AL1506:AL1508"/>
    <mergeCell ref="AM1506:AM1508"/>
    <mergeCell ref="AN1506:AN1508"/>
    <mergeCell ref="AO1506:AO1508"/>
    <mergeCell ref="AP1506:AP1508"/>
    <mergeCell ref="AQ1506:AQ1508"/>
    <mergeCell ref="AR1506:AR1508"/>
    <mergeCell ref="AS1506:AS1508"/>
    <mergeCell ref="A1509:A1511"/>
    <mergeCell ref="B1509:B1511"/>
    <mergeCell ref="C1509:C1511"/>
    <mergeCell ref="D1509:D1511"/>
    <mergeCell ref="AJ1509:AJ1511"/>
    <mergeCell ref="AK1509:AK1511"/>
    <mergeCell ref="AL1509:AL1511"/>
    <mergeCell ref="AM1509:AM1511"/>
    <mergeCell ref="AN1509:AN1511"/>
    <mergeCell ref="AO1509:AO1511"/>
    <mergeCell ref="AP1509:AP1511"/>
    <mergeCell ref="AQ1509:AQ1511"/>
    <mergeCell ref="AR1509:AR1511"/>
    <mergeCell ref="AS1509:AS1511"/>
    <mergeCell ref="A1512:A1514"/>
    <mergeCell ref="B1512:B1514"/>
    <mergeCell ref="C1512:C1514"/>
    <mergeCell ref="D1512:D1514"/>
    <mergeCell ref="AJ1512:AJ1514"/>
    <mergeCell ref="AK1512:AK1514"/>
    <mergeCell ref="AL1512:AL1514"/>
    <mergeCell ref="AM1512:AM1514"/>
    <mergeCell ref="AN1512:AN1514"/>
    <mergeCell ref="AO1512:AO1514"/>
    <mergeCell ref="AP1512:AP1514"/>
    <mergeCell ref="AQ1512:AQ1514"/>
    <mergeCell ref="AR1512:AR1514"/>
    <mergeCell ref="AS1512:AS1514"/>
    <mergeCell ref="A1515:A1517"/>
    <mergeCell ref="B1515:B1517"/>
    <mergeCell ref="C1515:C1517"/>
    <mergeCell ref="D1515:D1517"/>
    <mergeCell ref="AJ1515:AJ1517"/>
    <mergeCell ref="AK1515:AK1517"/>
    <mergeCell ref="AL1515:AL1517"/>
    <mergeCell ref="AM1515:AM1517"/>
    <mergeCell ref="AN1515:AN1517"/>
    <mergeCell ref="AO1515:AO1517"/>
    <mergeCell ref="AP1515:AP1517"/>
    <mergeCell ref="AQ1515:AQ1517"/>
    <mergeCell ref="AR1515:AR1517"/>
    <mergeCell ref="AS1515:AS1517"/>
    <mergeCell ref="A1518:A1520"/>
    <mergeCell ref="B1518:B1520"/>
    <mergeCell ref="C1518:C1520"/>
    <mergeCell ref="D1518:D1520"/>
    <mergeCell ref="AJ1518:AJ1520"/>
    <mergeCell ref="AK1518:AK1520"/>
    <mergeCell ref="AL1518:AL1520"/>
    <mergeCell ref="AM1518:AM1520"/>
    <mergeCell ref="AN1518:AN1520"/>
    <mergeCell ref="AO1518:AO1520"/>
    <mergeCell ref="AP1518:AP1520"/>
    <mergeCell ref="AQ1518:AQ1520"/>
    <mergeCell ref="AR1518:AR1520"/>
    <mergeCell ref="AS1518:AS1520"/>
    <mergeCell ref="A1521:A1523"/>
    <mergeCell ref="B1521:B1523"/>
    <mergeCell ref="C1521:C1523"/>
    <mergeCell ref="D1521:D1523"/>
    <mergeCell ref="AJ1521:AJ1523"/>
    <mergeCell ref="AK1521:AK1523"/>
    <mergeCell ref="AL1521:AL1523"/>
    <mergeCell ref="AM1521:AM1523"/>
    <mergeCell ref="AN1521:AN1523"/>
    <mergeCell ref="AO1521:AO1523"/>
    <mergeCell ref="AP1521:AP1523"/>
    <mergeCell ref="AQ1521:AQ1523"/>
    <mergeCell ref="AR1521:AR1523"/>
    <mergeCell ref="AS1521:AS1523"/>
    <mergeCell ref="A1524:A1526"/>
    <mergeCell ref="B1524:B1526"/>
    <mergeCell ref="C1524:C1526"/>
    <mergeCell ref="D1524:D1526"/>
    <mergeCell ref="AJ1524:AJ1526"/>
    <mergeCell ref="AK1524:AK1526"/>
    <mergeCell ref="AL1524:AL1526"/>
    <mergeCell ref="AM1524:AM1526"/>
    <mergeCell ref="AN1524:AN1526"/>
    <mergeCell ref="AO1524:AO1526"/>
    <mergeCell ref="AP1524:AP1526"/>
    <mergeCell ref="AQ1524:AQ1526"/>
    <mergeCell ref="AR1524:AR1526"/>
    <mergeCell ref="AS1524:AS1526"/>
    <mergeCell ref="A1527:A1529"/>
    <mergeCell ref="B1527:B1529"/>
    <mergeCell ref="C1527:C1529"/>
    <mergeCell ref="D1527:D1529"/>
    <mergeCell ref="AJ1527:AJ1529"/>
    <mergeCell ref="AK1527:AK1529"/>
    <mergeCell ref="AL1527:AL1529"/>
    <mergeCell ref="AM1527:AM1529"/>
    <mergeCell ref="AN1527:AN1529"/>
    <mergeCell ref="AO1527:AO1529"/>
    <mergeCell ref="AP1527:AP1529"/>
    <mergeCell ref="AQ1527:AQ1529"/>
    <mergeCell ref="AR1527:AR1529"/>
    <mergeCell ref="AS1527:AS1529"/>
    <mergeCell ref="A1530:A1532"/>
    <mergeCell ref="B1530:B1532"/>
    <mergeCell ref="C1530:C1532"/>
    <mergeCell ref="D1530:D1532"/>
    <mergeCell ref="AJ1530:AJ1532"/>
    <mergeCell ref="AK1530:AK1532"/>
    <mergeCell ref="AL1530:AL1532"/>
    <mergeCell ref="AM1530:AM1532"/>
    <mergeCell ref="AN1530:AN1532"/>
    <mergeCell ref="AO1530:AO1532"/>
    <mergeCell ref="AP1530:AP1532"/>
    <mergeCell ref="AQ1530:AQ1532"/>
    <mergeCell ref="AR1530:AR1532"/>
    <mergeCell ref="AS1530:AS1532"/>
    <mergeCell ref="A1533:A1535"/>
    <mergeCell ref="B1533:B1535"/>
    <mergeCell ref="C1533:C1535"/>
    <mergeCell ref="D1533:D1535"/>
    <mergeCell ref="AJ1533:AJ1535"/>
    <mergeCell ref="AK1533:AK1535"/>
    <mergeCell ref="AL1533:AL1535"/>
    <mergeCell ref="AM1533:AM1535"/>
    <mergeCell ref="AN1533:AN1535"/>
    <mergeCell ref="AO1533:AO1535"/>
    <mergeCell ref="AP1533:AP1535"/>
    <mergeCell ref="AQ1533:AQ1535"/>
    <mergeCell ref="AR1533:AR1535"/>
    <mergeCell ref="AS1533:AS1535"/>
    <mergeCell ref="A1536:A1538"/>
    <mergeCell ref="B1536:B1538"/>
    <mergeCell ref="C1536:C1538"/>
    <mergeCell ref="D1536:D1538"/>
    <mergeCell ref="AJ1536:AJ1538"/>
    <mergeCell ref="AK1536:AK1538"/>
    <mergeCell ref="AL1536:AL1538"/>
    <mergeCell ref="AM1536:AM1538"/>
    <mergeCell ref="AN1536:AN1538"/>
    <mergeCell ref="AO1536:AO1538"/>
    <mergeCell ref="AP1536:AP1538"/>
    <mergeCell ref="AQ1536:AQ1538"/>
    <mergeCell ref="AR1536:AR1538"/>
    <mergeCell ref="AS1536:AS1538"/>
    <mergeCell ref="A1539:A1541"/>
    <mergeCell ref="B1539:B1541"/>
    <mergeCell ref="C1539:C1541"/>
    <mergeCell ref="D1539:D1541"/>
    <mergeCell ref="AJ1539:AJ1541"/>
    <mergeCell ref="AK1539:AK1541"/>
    <mergeCell ref="AL1539:AL1541"/>
    <mergeCell ref="AM1539:AM1541"/>
    <mergeCell ref="AN1539:AN1541"/>
    <mergeCell ref="AO1539:AO1541"/>
    <mergeCell ref="AP1539:AP1541"/>
    <mergeCell ref="AQ1539:AQ1541"/>
    <mergeCell ref="AR1539:AR1541"/>
    <mergeCell ref="AS1539:AS1541"/>
    <mergeCell ref="A1542:A1544"/>
    <mergeCell ref="B1542:B1544"/>
    <mergeCell ref="C1542:C1544"/>
    <mergeCell ref="D1542:D1544"/>
    <mergeCell ref="AJ1542:AJ1544"/>
    <mergeCell ref="AK1542:AK1544"/>
    <mergeCell ref="AL1542:AL1544"/>
    <mergeCell ref="AM1542:AM1544"/>
    <mergeCell ref="AN1542:AN1544"/>
    <mergeCell ref="AO1542:AO1544"/>
    <mergeCell ref="AP1542:AP1544"/>
    <mergeCell ref="AQ1542:AQ1544"/>
    <mergeCell ref="AR1542:AR1544"/>
    <mergeCell ref="AS1542:AS1544"/>
    <mergeCell ref="A1545:A1547"/>
    <mergeCell ref="B1545:B1547"/>
    <mergeCell ref="C1545:C1547"/>
    <mergeCell ref="D1545:D1547"/>
    <mergeCell ref="AJ1545:AJ1547"/>
    <mergeCell ref="AK1545:AK1547"/>
    <mergeCell ref="AL1545:AL1547"/>
    <mergeCell ref="AM1545:AM1547"/>
    <mergeCell ref="AN1545:AN1547"/>
    <mergeCell ref="AO1545:AO1547"/>
    <mergeCell ref="AP1545:AP1547"/>
    <mergeCell ref="AQ1545:AQ1547"/>
    <mergeCell ref="AR1545:AR1547"/>
    <mergeCell ref="AS1545:AS1547"/>
    <mergeCell ref="A1548:A1550"/>
    <mergeCell ref="B1548:B1550"/>
    <mergeCell ref="C1548:C1550"/>
    <mergeCell ref="D1548:D1550"/>
    <mergeCell ref="AJ1548:AJ1550"/>
    <mergeCell ref="AK1548:AK1550"/>
    <mergeCell ref="AL1548:AL1550"/>
    <mergeCell ref="AM1548:AM1550"/>
    <mergeCell ref="AN1548:AN1550"/>
    <mergeCell ref="AO1548:AO1550"/>
    <mergeCell ref="AP1548:AP1550"/>
    <mergeCell ref="AQ1548:AQ1550"/>
    <mergeCell ref="AR1548:AR1550"/>
    <mergeCell ref="AS1548:AS1550"/>
    <mergeCell ref="A1551:A1553"/>
    <mergeCell ref="B1551:B1553"/>
    <mergeCell ref="C1551:C1553"/>
    <mergeCell ref="D1551:D1553"/>
    <mergeCell ref="AJ1551:AJ1553"/>
    <mergeCell ref="AK1551:AK1553"/>
    <mergeCell ref="AL1551:AL1553"/>
    <mergeCell ref="AM1551:AM1553"/>
    <mergeCell ref="AN1551:AN1553"/>
    <mergeCell ref="AO1551:AO1553"/>
    <mergeCell ref="AP1551:AP1553"/>
    <mergeCell ref="AQ1551:AQ1553"/>
    <mergeCell ref="AR1551:AR1553"/>
    <mergeCell ref="AS1551:AS1553"/>
    <mergeCell ref="A1554:A1556"/>
    <mergeCell ref="B1554:B1556"/>
    <mergeCell ref="C1554:C1556"/>
    <mergeCell ref="D1554:D1556"/>
    <mergeCell ref="AJ1554:AJ1556"/>
    <mergeCell ref="AK1554:AK1556"/>
    <mergeCell ref="AL1554:AL1556"/>
    <mergeCell ref="AM1554:AM1556"/>
    <mergeCell ref="AN1554:AN1556"/>
    <mergeCell ref="AO1554:AO1556"/>
    <mergeCell ref="AP1554:AP1556"/>
    <mergeCell ref="AQ1554:AQ1556"/>
    <mergeCell ref="AR1554:AR1556"/>
    <mergeCell ref="AS1554:AS1556"/>
    <mergeCell ref="A1557:A1559"/>
    <mergeCell ref="B1557:B1559"/>
    <mergeCell ref="C1557:C1559"/>
    <mergeCell ref="D1557:D1559"/>
    <mergeCell ref="AJ1557:AJ1559"/>
    <mergeCell ref="AK1557:AK1559"/>
    <mergeCell ref="AL1557:AL1559"/>
    <mergeCell ref="AM1557:AM1559"/>
    <mergeCell ref="AN1557:AN1559"/>
    <mergeCell ref="AO1557:AO1559"/>
    <mergeCell ref="AP1557:AP1559"/>
    <mergeCell ref="AQ1557:AQ1559"/>
    <mergeCell ref="AR1557:AR1559"/>
    <mergeCell ref="AS1557:AS1559"/>
    <mergeCell ref="A1560:A1562"/>
    <mergeCell ref="B1560:B1562"/>
    <mergeCell ref="C1560:C1562"/>
    <mergeCell ref="D1560:D1562"/>
    <mergeCell ref="AJ1560:AJ1562"/>
    <mergeCell ref="AK1560:AK1562"/>
    <mergeCell ref="AL1560:AL1562"/>
    <mergeCell ref="AM1560:AM1562"/>
    <mergeCell ref="AN1560:AN1562"/>
    <mergeCell ref="AO1560:AO1562"/>
    <mergeCell ref="AP1560:AP1562"/>
    <mergeCell ref="AQ1560:AQ1562"/>
    <mergeCell ref="AR1560:AR1562"/>
    <mergeCell ref="AS1560:AS1562"/>
    <mergeCell ref="A1563:A1565"/>
    <mergeCell ref="B1563:B1565"/>
    <mergeCell ref="C1563:C1565"/>
    <mergeCell ref="D1563:D1565"/>
    <mergeCell ref="AJ1563:AJ1565"/>
    <mergeCell ref="AK1563:AK1565"/>
    <mergeCell ref="AL1563:AL1565"/>
    <mergeCell ref="AM1563:AM1565"/>
    <mergeCell ref="AN1563:AN1565"/>
    <mergeCell ref="AO1563:AO1565"/>
    <mergeCell ref="AP1563:AP1565"/>
    <mergeCell ref="AQ1563:AQ1565"/>
    <mergeCell ref="AR1563:AR1565"/>
    <mergeCell ref="AS1563:AS1565"/>
    <mergeCell ref="A1566:A1568"/>
    <mergeCell ref="B1566:B1568"/>
    <mergeCell ref="C1566:C1568"/>
    <mergeCell ref="D1566:D1568"/>
    <mergeCell ref="AJ1566:AJ1568"/>
    <mergeCell ref="AK1566:AK1568"/>
    <mergeCell ref="AL1566:AL1568"/>
    <mergeCell ref="AM1566:AM1568"/>
    <mergeCell ref="AN1566:AN1568"/>
    <mergeCell ref="AO1566:AO1568"/>
    <mergeCell ref="AP1566:AP1568"/>
    <mergeCell ref="AQ1566:AQ1568"/>
    <mergeCell ref="AR1566:AR1568"/>
    <mergeCell ref="AS1566:AS1568"/>
    <mergeCell ref="A1569:A1571"/>
    <mergeCell ref="B1569:B1571"/>
    <mergeCell ref="C1569:C1571"/>
    <mergeCell ref="D1569:D1571"/>
    <mergeCell ref="AJ1569:AJ1571"/>
    <mergeCell ref="AK1569:AK1571"/>
    <mergeCell ref="AL1569:AL1571"/>
    <mergeCell ref="AM1569:AM1571"/>
    <mergeCell ref="AN1569:AN1571"/>
    <mergeCell ref="AO1569:AO1571"/>
    <mergeCell ref="AP1569:AP1571"/>
    <mergeCell ref="AQ1569:AQ1571"/>
    <mergeCell ref="AR1569:AR1571"/>
    <mergeCell ref="AS1569:AS1571"/>
    <mergeCell ref="A1572:A1574"/>
    <mergeCell ref="B1572:B1574"/>
    <mergeCell ref="C1572:C1574"/>
    <mergeCell ref="D1572:D1574"/>
    <mergeCell ref="AJ1572:AJ1574"/>
    <mergeCell ref="AK1572:AK1574"/>
    <mergeCell ref="AL1572:AL1574"/>
    <mergeCell ref="AM1572:AM1574"/>
    <mergeCell ref="AN1572:AN1574"/>
    <mergeCell ref="AO1572:AO1574"/>
    <mergeCell ref="AP1572:AP1574"/>
    <mergeCell ref="AQ1572:AQ1574"/>
    <mergeCell ref="AR1572:AR1574"/>
    <mergeCell ref="AS1572:AS1574"/>
    <mergeCell ref="A1575:A1577"/>
    <mergeCell ref="B1575:B1577"/>
    <mergeCell ref="C1575:C1577"/>
    <mergeCell ref="D1575:D1577"/>
    <mergeCell ref="AJ1575:AJ1577"/>
    <mergeCell ref="AK1575:AK1577"/>
    <mergeCell ref="AL1575:AL1577"/>
    <mergeCell ref="AM1575:AM1577"/>
    <mergeCell ref="AN1575:AN1577"/>
    <mergeCell ref="AO1575:AO1577"/>
    <mergeCell ref="AP1575:AP1577"/>
    <mergeCell ref="AQ1575:AQ1577"/>
    <mergeCell ref="AR1575:AR1577"/>
    <mergeCell ref="AS1575:AS1577"/>
    <mergeCell ref="A1578:A1580"/>
    <mergeCell ref="B1578:B1580"/>
    <mergeCell ref="C1578:C1580"/>
    <mergeCell ref="D1578:D1580"/>
    <mergeCell ref="AJ1578:AJ1580"/>
    <mergeCell ref="AK1578:AK1580"/>
    <mergeCell ref="AL1578:AL1580"/>
    <mergeCell ref="AM1578:AM1580"/>
    <mergeCell ref="AN1578:AN1580"/>
    <mergeCell ref="AO1578:AO1580"/>
    <mergeCell ref="AP1578:AP1580"/>
    <mergeCell ref="AQ1578:AQ1580"/>
    <mergeCell ref="AR1578:AR1580"/>
    <mergeCell ref="AS1578:AS1580"/>
    <mergeCell ref="A1581:A1583"/>
    <mergeCell ref="B1581:B1583"/>
    <mergeCell ref="C1581:C1583"/>
    <mergeCell ref="D1581:D1583"/>
    <mergeCell ref="AJ1581:AJ1583"/>
    <mergeCell ref="AK1581:AK1583"/>
    <mergeCell ref="AL1581:AL1583"/>
    <mergeCell ref="AM1581:AM1583"/>
    <mergeCell ref="AN1581:AN1583"/>
    <mergeCell ref="AO1581:AO1583"/>
    <mergeCell ref="AP1581:AP1583"/>
    <mergeCell ref="AQ1581:AQ1583"/>
    <mergeCell ref="AR1581:AR1583"/>
    <mergeCell ref="AS1581:AS1583"/>
    <mergeCell ref="A1584:A1586"/>
    <mergeCell ref="B1584:B1586"/>
    <mergeCell ref="C1584:C1586"/>
    <mergeCell ref="D1584:D1586"/>
    <mergeCell ref="AJ1584:AJ1586"/>
    <mergeCell ref="AK1584:AK1586"/>
    <mergeCell ref="AL1584:AL1586"/>
    <mergeCell ref="AM1584:AM1586"/>
    <mergeCell ref="AN1584:AN1586"/>
    <mergeCell ref="AO1584:AO1586"/>
    <mergeCell ref="AP1584:AP1586"/>
    <mergeCell ref="AQ1584:AQ1586"/>
    <mergeCell ref="AR1584:AR1586"/>
    <mergeCell ref="AS1584:AS1586"/>
    <mergeCell ref="A1587:A1589"/>
    <mergeCell ref="B1587:B1589"/>
    <mergeCell ref="C1587:C1589"/>
    <mergeCell ref="D1587:D1589"/>
    <mergeCell ref="AJ1587:AJ1589"/>
    <mergeCell ref="AK1587:AK1589"/>
    <mergeCell ref="AL1587:AL1589"/>
    <mergeCell ref="AM1587:AM1589"/>
    <mergeCell ref="AN1587:AN1589"/>
    <mergeCell ref="AO1587:AO1589"/>
    <mergeCell ref="AP1587:AP1589"/>
    <mergeCell ref="AQ1587:AQ1589"/>
    <mergeCell ref="AR1587:AR1589"/>
    <mergeCell ref="AS1587:AS1589"/>
    <mergeCell ref="A1590:A1592"/>
    <mergeCell ref="B1590:B1592"/>
    <mergeCell ref="C1590:C1592"/>
    <mergeCell ref="D1590:D1592"/>
    <mergeCell ref="AJ1590:AJ1592"/>
    <mergeCell ref="AK1590:AK1592"/>
    <mergeCell ref="AL1590:AL1592"/>
    <mergeCell ref="AM1590:AM1592"/>
    <mergeCell ref="AN1590:AN1592"/>
    <mergeCell ref="AO1590:AO1592"/>
    <mergeCell ref="AP1590:AP1592"/>
    <mergeCell ref="AQ1590:AQ1592"/>
    <mergeCell ref="AR1590:AR1592"/>
    <mergeCell ref="AS1590:AS1592"/>
    <mergeCell ref="A1593:A1595"/>
    <mergeCell ref="B1593:B1595"/>
    <mergeCell ref="C1593:C1595"/>
    <mergeCell ref="D1593:D1595"/>
    <mergeCell ref="AJ1593:AJ1595"/>
    <mergeCell ref="AK1593:AK1595"/>
    <mergeCell ref="AL1593:AL1595"/>
    <mergeCell ref="AM1593:AM1595"/>
    <mergeCell ref="AN1593:AN1595"/>
    <mergeCell ref="AO1593:AO1595"/>
    <mergeCell ref="AP1593:AP1595"/>
    <mergeCell ref="AQ1593:AQ1595"/>
    <mergeCell ref="AR1593:AR1595"/>
    <mergeCell ref="AS1593:AS1595"/>
    <mergeCell ref="A1596:A1598"/>
    <mergeCell ref="B1596:B1598"/>
    <mergeCell ref="C1596:C1598"/>
    <mergeCell ref="D1596:D1598"/>
    <mergeCell ref="AJ1596:AJ1598"/>
    <mergeCell ref="AK1596:AK1598"/>
    <mergeCell ref="AL1596:AL1598"/>
    <mergeCell ref="AM1596:AM1598"/>
    <mergeCell ref="AN1596:AN1598"/>
    <mergeCell ref="AO1596:AO1598"/>
    <mergeCell ref="AP1596:AP1598"/>
    <mergeCell ref="AQ1596:AQ1598"/>
    <mergeCell ref="AR1596:AR1598"/>
    <mergeCell ref="AS1596:AS1598"/>
    <mergeCell ref="A1599:A1601"/>
    <mergeCell ref="B1599:B1601"/>
    <mergeCell ref="C1599:C1601"/>
    <mergeCell ref="D1599:D1601"/>
    <mergeCell ref="AJ1599:AJ1601"/>
    <mergeCell ref="AK1599:AK1601"/>
    <mergeCell ref="AL1599:AL1601"/>
    <mergeCell ref="AM1599:AM1601"/>
    <mergeCell ref="AN1599:AN1601"/>
    <mergeCell ref="AO1599:AO1601"/>
    <mergeCell ref="AP1599:AP1601"/>
    <mergeCell ref="AQ1599:AQ1601"/>
    <mergeCell ref="AR1599:AR1601"/>
    <mergeCell ref="AS1599:AS1601"/>
    <mergeCell ref="A1602:A1604"/>
    <mergeCell ref="B1602:B1604"/>
    <mergeCell ref="C1602:C1604"/>
    <mergeCell ref="D1602:D1604"/>
    <mergeCell ref="AJ1602:AJ1604"/>
    <mergeCell ref="AK1602:AK1604"/>
    <mergeCell ref="AL1602:AL1604"/>
    <mergeCell ref="AM1602:AM1604"/>
    <mergeCell ref="AN1602:AN1604"/>
    <mergeCell ref="AO1602:AO1604"/>
    <mergeCell ref="AP1602:AP1604"/>
    <mergeCell ref="AQ1602:AQ1604"/>
    <mergeCell ref="AR1602:AR1604"/>
    <mergeCell ref="AS1602:AS1604"/>
    <mergeCell ref="A1605:A1607"/>
    <mergeCell ref="B1605:B1607"/>
    <mergeCell ref="C1605:C1607"/>
    <mergeCell ref="D1605:D1607"/>
    <mergeCell ref="AJ1605:AJ1607"/>
    <mergeCell ref="AK1605:AK1607"/>
    <mergeCell ref="AL1605:AL1607"/>
    <mergeCell ref="AM1605:AM1607"/>
    <mergeCell ref="AN1605:AN1607"/>
    <mergeCell ref="AO1605:AO1607"/>
    <mergeCell ref="AP1605:AP1607"/>
    <mergeCell ref="AQ1605:AQ1607"/>
    <mergeCell ref="AR1605:AR1607"/>
    <mergeCell ref="AS1605:AS1607"/>
    <mergeCell ref="A1608:A1610"/>
    <mergeCell ref="B1608:B1610"/>
    <mergeCell ref="C1608:C1610"/>
    <mergeCell ref="D1608:D1610"/>
    <mergeCell ref="AJ1608:AJ1610"/>
    <mergeCell ref="AK1608:AK1610"/>
    <mergeCell ref="AL1608:AL1610"/>
    <mergeCell ref="AM1608:AM1610"/>
    <mergeCell ref="AN1608:AN1610"/>
    <mergeCell ref="AO1608:AO1610"/>
    <mergeCell ref="AP1608:AP1610"/>
    <mergeCell ref="AQ1608:AQ1610"/>
    <mergeCell ref="AR1608:AR1610"/>
    <mergeCell ref="AS1608:AS1610"/>
    <mergeCell ref="A1611:A1613"/>
    <mergeCell ref="B1611:B1613"/>
    <mergeCell ref="C1611:C1613"/>
    <mergeCell ref="D1611:D1613"/>
    <mergeCell ref="AJ1611:AJ1613"/>
    <mergeCell ref="AK1611:AK1613"/>
    <mergeCell ref="AL1611:AL1613"/>
    <mergeCell ref="AM1611:AM1613"/>
    <mergeCell ref="AN1611:AN1613"/>
    <mergeCell ref="AO1611:AO1613"/>
    <mergeCell ref="AP1611:AP1613"/>
    <mergeCell ref="AQ1611:AQ1613"/>
    <mergeCell ref="AR1611:AR1613"/>
    <mergeCell ref="AS1611:AS1613"/>
    <mergeCell ref="A1614:A1616"/>
    <mergeCell ref="B1614:B1616"/>
    <mergeCell ref="C1614:C1616"/>
    <mergeCell ref="D1614:D1616"/>
    <mergeCell ref="AJ1614:AJ1616"/>
    <mergeCell ref="AK1614:AK1616"/>
    <mergeCell ref="AL1614:AL1616"/>
    <mergeCell ref="AM1614:AM1616"/>
    <mergeCell ref="AN1614:AN1616"/>
    <mergeCell ref="AO1614:AO1616"/>
    <mergeCell ref="AP1614:AP1616"/>
    <mergeCell ref="AQ1614:AQ1616"/>
    <mergeCell ref="AR1614:AR1616"/>
    <mergeCell ref="AS1614:AS1616"/>
    <mergeCell ref="A1617:A1619"/>
    <mergeCell ref="B1617:B1619"/>
    <mergeCell ref="C1617:C1619"/>
    <mergeCell ref="D1617:D1619"/>
    <mergeCell ref="AJ1617:AJ1619"/>
    <mergeCell ref="AK1617:AK1619"/>
    <mergeCell ref="AL1617:AL1619"/>
    <mergeCell ref="AM1617:AM1619"/>
    <mergeCell ref="AN1617:AN1619"/>
    <mergeCell ref="AO1617:AO1619"/>
    <mergeCell ref="AP1617:AP1619"/>
    <mergeCell ref="AQ1617:AQ1619"/>
    <mergeCell ref="AR1617:AR1619"/>
    <mergeCell ref="AS1617:AS1619"/>
    <mergeCell ref="A1620:A1622"/>
    <mergeCell ref="B1620:B1622"/>
    <mergeCell ref="C1620:C1622"/>
    <mergeCell ref="D1620:D1622"/>
    <mergeCell ref="AJ1620:AJ1622"/>
    <mergeCell ref="AK1620:AK1622"/>
    <mergeCell ref="AL1620:AL1622"/>
    <mergeCell ref="AM1620:AM1622"/>
    <mergeCell ref="AN1620:AN1622"/>
    <mergeCell ref="AO1620:AO1622"/>
    <mergeCell ref="AP1620:AP1622"/>
    <mergeCell ref="AQ1620:AQ1622"/>
    <mergeCell ref="AR1620:AR1622"/>
    <mergeCell ref="AS1620:AS1622"/>
    <mergeCell ref="A1623:A1625"/>
    <mergeCell ref="B1623:B1625"/>
    <mergeCell ref="C1623:C1625"/>
    <mergeCell ref="D1623:D1625"/>
    <mergeCell ref="AJ1623:AJ1625"/>
    <mergeCell ref="AK1623:AK1625"/>
    <mergeCell ref="AL1623:AL1625"/>
    <mergeCell ref="AM1623:AM1625"/>
    <mergeCell ref="AN1623:AN1625"/>
    <mergeCell ref="AO1623:AO1625"/>
    <mergeCell ref="AP1623:AP1625"/>
    <mergeCell ref="AQ1623:AQ1625"/>
    <mergeCell ref="AR1623:AR1625"/>
    <mergeCell ref="AS1623:AS1625"/>
    <mergeCell ref="A1626:A1628"/>
    <mergeCell ref="B1626:B1628"/>
    <mergeCell ref="C1626:C1628"/>
    <mergeCell ref="D1626:D1628"/>
    <mergeCell ref="AJ1626:AJ1628"/>
    <mergeCell ref="AK1626:AK1628"/>
    <mergeCell ref="AL1626:AL1628"/>
    <mergeCell ref="AM1626:AM1628"/>
    <mergeCell ref="AN1626:AN1628"/>
    <mergeCell ref="AO1626:AO1628"/>
    <mergeCell ref="AP1626:AP1628"/>
    <mergeCell ref="AQ1626:AQ1628"/>
    <mergeCell ref="AR1626:AR1628"/>
    <mergeCell ref="AS1626:AS1628"/>
    <mergeCell ref="A1629:A1631"/>
    <mergeCell ref="B1629:B1631"/>
    <mergeCell ref="C1629:C1631"/>
    <mergeCell ref="D1629:D1631"/>
    <mergeCell ref="AJ1629:AJ1631"/>
    <mergeCell ref="AK1629:AK1631"/>
    <mergeCell ref="AL1629:AL1631"/>
    <mergeCell ref="AM1629:AM1631"/>
    <mergeCell ref="AN1629:AN1631"/>
    <mergeCell ref="AO1629:AO1631"/>
    <mergeCell ref="AP1629:AP1631"/>
    <mergeCell ref="AQ1629:AQ1631"/>
    <mergeCell ref="AR1629:AR1631"/>
    <mergeCell ref="AS1629:AS1631"/>
    <mergeCell ref="A1632:A1634"/>
    <mergeCell ref="B1632:B1634"/>
    <mergeCell ref="C1632:C1634"/>
    <mergeCell ref="D1632:D1634"/>
    <mergeCell ref="AJ1632:AJ1634"/>
    <mergeCell ref="AK1632:AK1634"/>
    <mergeCell ref="AL1632:AL1634"/>
    <mergeCell ref="AM1632:AM1634"/>
    <mergeCell ref="AN1632:AN1634"/>
    <mergeCell ref="AO1632:AO1634"/>
    <mergeCell ref="AP1632:AP1634"/>
    <mergeCell ref="AQ1632:AQ1634"/>
    <mergeCell ref="AR1632:AR1634"/>
    <mergeCell ref="AS1632:AS1634"/>
    <mergeCell ref="A1635:A1637"/>
    <mergeCell ref="B1635:B1637"/>
    <mergeCell ref="C1635:C1637"/>
    <mergeCell ref="D1635:D1637"/>
    <mergeCell ref="AJ1635:AJ1637"/>
    <mergeCell ref="AK1635:AK1637"/>
    <mergeCell ref="AL1635:AL1637"/>
    <mergeCell ref="AM1635:AM1637"/>
    <mergeCell ref="AN1635:AN1637"/>
    <mergeCell ref="AO1635:AO1637"/>
    <mergeCell ref="AP1635:AP1637"/>
    <mergeCell ref="AQ1635:AQ1637"/>
    <mergeCell ref="AR1635:AR1637"/>
    <mergeCell ref="AS1635:AS1637"/>
    <mergeCell ref="A1638:A1640"/>
    <mergeCell ref="B1638:B1640"/>
    <mergeCell ref="C1638:C1640"/>
    <mergeCell ref="D1638:D1640"/>
    <mergeCell ref="AJ1638:AJ1640"/>
    <mergeCell ref="AK1638:AK1640"/>
    <mergeCell ref="AL1638:AL1640"/>
    <mergeCell ref="AM1638:AM1640"/>
    <mergeCell ref="AN1638:AN1640"/>
    <mergeCell ref="AO1638:AO1640"/>
    <mergeCell ref="AP1638:AP1640"/>
    <mergeCell ref="AQ1638:AQ1640"/>
    <mergeCell ref="AR1638:AR1640"/>
    <mergeCell ref="AS1638:AS1640"/>
    <mergeCell ref="A1641:A1643"/>
    <mergeCell ref="B1641:B1643"/>
    <mergeCell ref="C1641:C1643"/>
    <mergeCell ref="D1641:D1643"/>
    <mergeCell ref="AJ1641:AJ1643"/>
    <mergeCell ref="AK1641:AK1643"/>
    <mergeCell ref="AL1641:AL1643"/>
    <mergeCell ref="AM1641:AM1643"/>
    <mergeCell ref="AN1641:AN1643"/>
    <mergeCell ref="AO1641:AO1643"/>
    <mergeCell ref="AP1641:AP1643"/>
    <mergeCell ref="AQ1641:AQ1643"/>
    <mergeCell ref="AR1641:AR1643"/>
    <mergeCell ref="AS1641:AS1643"/>
    <mergeCell ref="A1644:A1646"/>
    <mergeCell ref="B1644:B1646"/>
    <mergeCell ref="C1644:C1646"/>
    <mergeCell ref="D1644:D1646"/>
    <mergeCell ref="AJ1644:AJ1646"/>
    <mergeCell ref="AK1644:AK1646"/>
    <mergeCell ref="AL1644:AL1646"/>
    <mergeCell ref="AM1644:AM1646"/>
    <mergeCell ref="AN1644:AN1646"/>
    <mergeCell ref="AO1644:AO1646"/>
    <mergeCell ref="AP1644:AP1646"/>
    <mergeCell ref="AQ1644:AQ1646"/>
    <mergeCell ref="AR1644:AR1646"/>
    <mergeCell ref="AS1644:AS1646"/>
    <mergeCell ref="A1647:A1649"/>
    <mergeCell ref="B1647:B1649"/>
    <mergeCell ref="C1647:C1649"/>
    <mergeCell ref="D1647:D1649"/>
    <mergeCell ref="AJ1647:AJ1649"/>
    <mergeCell ref="AK1647:AK1649"/>
    <mergeCell ref="AL1647:AL1649"/>
    <mergeCell ref="AM1647:AM1649"/>
    <mergeCell ref="AN1647:AN1649"/>
    <mergeCell ref="AO1647:AO1649"/>
    <mergeCell ref="AP1647:AP1649"/>
    <mergeCell ref="AQ1647:AQ1649"/>
    <mergeCell ref="AR1647:AR1649"/>
    <mergeCell ref="AS1647:AS1649"/>
    <mergeCell ref="A1650:A1652"/>
    <mergeCell ref="B1650:B1652"/>
    <mergeCell ref="C1650:C1652"/>
    <mergeCell ref="D1650:D1652"/>
    <mergeCell ref="AJ1650:AJ1652"/>
    <mergeCell ref="AK1650:AK1652"/>
    <mergeCell ref="AL1650:AL1652"/>
    <mergeCell ref="AM1650:AM1652"/>
    <mergeCell ref="AN1650:AN1652"/>
    <mergeCell ref="AO1650:AO1652"/>
    <mergeCell ref="AP1650:AP1652"/>
    <mergeCell ref="AQ1650:AQ1652"/>
    <mergeCell ref="AR1650:AR1652"/>
    <mergeCell ref="AS1650:AS1652"/>
    <mergeCell ref="A1653:A1655"/>
    <mergeCell ref="B1653:B1655"/>
    <mergeCell ref="C1653:C1655"/>
    <mergeCell ref="D1653:D1655"/>
    <mergeCell ref="AJ1653:AJ1655"/>
    <mergeCell ref="AK1653:AK1655"/>
    <mergeCell ref="AL1653:AL1655"/>
    <mergeCell ref="AM1653:AM1655"/>
    <mergeCell ref="AN1653:AN1655"/>
    <mergeCell ref="AO1653:AO1655"/>
    <mergeCell ref="AP1653:AP1655"/>
    <mergeCell ref="AQ1653:AQ1655"/>
    <mergeCell ref="AR1653:AR1655"/>
    <mergeCell ref="AS1653:AS1655"/>
    <mergeCell ref="A1656:A1658"/>
    <mergeCell ref="B1656:B1658"/>
    <mergeCell ref="C1656:C1658"/>
    <mergeCell ref="D1656:D1658"/>
    <mergeCell ref="AJ1656:AJ1658"/>
    <mergeCell ref="AK1656:AK1658"/>
    <mergeCell ref="AL1656:AL1658"/>
    <mergeCell ref="AM1656:AM1658"/>
    <mergeCell ref="AN1656:AN1658"/>
    <mergeCell ref="AO1656:AO1658"/>
    <mergeCell ref="AP1656:AP1658"/>
    <mergeCell ref="AQ1656:AQ1658"/>
    <mergeCell ref="AR1656:AR1658"/>
    <mergeCell ref="AS1656:AS1658"/>
    <mergeCell ref="A1659:A1661"/>
    <mergeCell ref="B1659:B1661"/>
    <mergeCell ref="C1659:C1661"/>
    <mergeCell ref="D1659:D1661"/>
    <mergeCell ref="AJ1659:AJ1661"/>
    <mergeCell ref="AK1659:AK1661"/>
    <mergeCell ref="AL1659:AL1661"/>
    <mergeCell ref="AM1659:AM1661"/>
    <mergeCell ref="AN1659:AN1661"/>
    <mergeCell ref="AO1659:AO1661"/>
    <mergeCell ref="AP1659:AP1661"/>
    <mergeCell ref="AQ1659:AQ1661"/>
    <mergeCell ref="AR1659:AR1661"/>
    <mergeCell ref="AS1659:AS1661"/>
    <mergeCell ref="A1662:A1664"/>
    <mergeCell ref="B1662:B1664"/>
    <mergeCell ref="C1662:C1664"/>
    <mergeCell ref="D1662:D1664"/>
    <mergeCell ref="AJ1662:AJ1664"/>
    <mergeCell ref="AK1662:AK1664"/>
    <mergeCell ref="AL1662:AL1664"/>
    <mergeCell ref="AM1662:AM1664"/>
    <mergeCell ref="AN1662:AN1664"/>
    <mergeCell ref="AO1662:AO1664"/>
    <mergeCell ref="AP1662:AP1664"/>
    <mergeCell ref="AQ1662:AQ1664"/>
    <mergeCell ref="AR1662:AR1664"/>
    <mergeCell ref="AS1662:AS1664"/>
    <mergeCell ref="A1665:A1667"/>
    <mergeCell ref="B1665:B1667"/>
    <mergeCell ref="C1665:C1667"/>
    <mergeCell ref="D1665:D1667"/>
    <mergeCell ref="AJ1665:AJ1667"/>
    <mergeCell ref="AK1665:AK1667"/>
    <mergeCell ref="AL1665:AL1667"/>
    <mergeCell ref="AM1665:AM1667"/>
    <mergeCell ref="AN1665:AN1667"/>
    <mergeCell ref="AO1665:AO1667"/>
    <mergeCell ref="AP1665:AP1667"/>
    <mergeCell ref="AQ1665:AQ1667"/>
    <mergeCell ref="AR1665:AR1667"/>
    <mergeCell ref="AS1665:AS1667"/>
    <mergeCell ref="A1668:A1670"/>
    <mergeCell ref="B1668:B1670"/>
    <mergeCell ref="C1668:C1670"/>
    <mergeCell ref="D1668:D1670"/>
    <mergeCell ref="AJ1668:AJ1670"/>
    <mergeCell ref="AK1668:AK1670"/>
    <mergeCell ref="AL1668:AL1670"/>
    <mergeCell ref="AM1668:AM1670"/>
    <mergeCell ref="AN1668:AN1670"/>
    <mergeCell ref="AO1668:AO1670"/>
    <mergeCell ref="AP1668:AP1670"/>
    <mergeCell ref="AQ1668:AQ1670"/>
    <mergeCell ref="AR1668:AR1670"/>
    <mergeCell ref="AS1668:AS1670"/>
    <mergeCell ref="A1671:A1673"/>
    <mergeCell ref="B1671:B1673"/>
    <mergeCell ref="C1671:C1673"/>
    <mergeCell ref="D1671:D1673"/>
    <mergeCell ref="AJ1671:AJ1673"/>
    <mergeCell ref="AK1671:AK1673"/>
    <mergeCell ref="AL1671:AL1673"/>
    <mergeCell ref="AM1671:AM1673"/>
    <mergeCell ref="AN1671:AN1673"/>
    <mergeCell ref="AO1671:AO1673"/>
    <mergeCell ref="AP1671:AP1673"/>
    <mergeCell ref="AQ1671:AQ1673"/>
    <mergeCell ref="AR1671:AR1673"/>
    <mergeCell ref="AS1671:AS1673"/>
    <mergeCell ref="A1674:A1676"/>
    <mergeCell ref="B1674:B1676"/>
    <mergeCell ref="C1674:C1676"/>
    <mergeCell ref="D1674:D1676"/>
    <mergeCell ref="AJ1674:AJ1676"/>
    <mergeCell ref="AK1674:AK1676"/>
    <mergeCell ref="AL1674:AL1676"/>
    <mergeCell ref="AM1674:AM1676"/>
    <mergeCell ref="AN1674:AN1676"/>
    <mergeCell ref="AO1674:AO1676"/>
    <mergeCell ref="AP1674:AP1676"/>
    <mergeCell ref="AQ1674:AQ1676"/>
    <mergeCell ref="AR1674:AR1676"/>
    <mergeCell ref="AS1674:AS1676"/>
    <mergeCell ref="A1677:A1679"/>
    <mergeCell ref="B1677:B1679"/>
    <mergeCell ref="C1677:C1679"/>
    <mergeCell ref="D1677:D1679"/>
    <mergeCell ref="AJ1677:AJ1679"/>
    <mergeCell ref="AK1677:AK1679"/>
    <mergeCell ref="AL1677:AL1679"/>
    <mergeCell ref="AM1677:AM1679"/>
    <mergeCell ref="AN1677:AN1679"/>
    <mergeCell ref="AO1677:AO1679"/>
    <mergeCell ref="AP1677:AP1679"/>
    <mergeCell ref="AQ1677:AQ1679"/>
    <mergeCell ref="AR1677:AR1679"/>
    <mergeCell ref="AS1677:AS1679"/>
    <mergeCell ref="A1680:A1682"/>
    <mergeCell ref="B1680:B1682"/>
    <mergeCell ref="C1680:C1682"/>
    <mergeCell ref="D1680:D1682"/>
    <mergeCell ref="AJ1680:AJ1682"/>
    <mergeCell ref="AK1680:AK1682"/>
    <mergeCell ref="AL1680:AL1682"/>
    <mergeCell ref="AM1680:AM1682"/>
    <mergeCell ref="AN1680:AN1682"/>
    <mergeCell ref="AO1680:AO1682"/>
    <mergeCell ref="AP1680:AP1682"/>
    <mergeCell ref="AQ1680:AQ1682"/>
    <mergeCell ref="AR1680:AR1682"/>
    <mergeCell ref="AS1680:AS1682"/>
    <mergeCell ref="A1683:A1685"/>
    <mergeCell ref="B1683:B1685"/>
    <mergeCell ref="C1683:C1685"/>
    <mergeCell ref="D1683:D1685"/>
    <mergeCell ref="AJ1683:AJ1685"/>
    <mergeCell ref="AK1683:AK1685"/>
    <mergeCell ref="AL1683:AL1685"/>
    <mergeCell ref="AM1683:AM1685"/>
    <mergeCell ref="AN1683:AN1685"/>
    <mergeCell ref="AO1683:AO1685"/>
    <mergeCell ref="AP1683:AP1685"/>
    <mergeCell ref="AQ1683:AQ1685"/>
    <mergeCell ref="AR1683:AR1685"/>
    <mergeCell ref="AS1683:AS1685"/>
    <mergeCell ref="A1686:A1688"/>
    <mergeCell ref="B1686:B1688"/>
    <mergeCell ref="C1686:C1688"/>
    <mergeCell ref="D1686:D1688"/>
    <mergeCell ref="AJ1686:AJ1688"/>
    <mergeCell ref="AK1686:AK1688"/>
    <mergeCell ref="AL1686:AL1688"/>
    <mergeCell ref="AM1686:AM1688"/>
    <mergeCell ref="AN1686:AN1688"/>
    <mergeCell ref="AO1686:AO1688"/>
    <mergeCell ref="AP1686:AP1688"/>
    <mergeCell ref="AQ1686:AQ1688"/>
    <mergeCell ref="AR1686:AR1688"/>
    <mergeCell ref="AS1686:AS1688"/>
    <mergeCell ref="A1689:A1691"/>
    <mergeCell ref="B1689:B1691"/>
    <mergeCell ref="C1689:C1691"/>
    <mergeCell ref="D1689:D1691"/>
    <mergeCell ref="AJ1689:AJ1691"/>
    <mergeCell ref="AK1689:AK1691"/>
    <mergeCell ref="AL1689:AL1691"/>
    <mergeCell ref="AM1689:AM1691"/>
    <mergeCell ref="AN1689:AN1691"/>
    <mergeCell ref="AO1689:AO1691"/>
    <mergeCell ref="AP1689:AP1691"/>
    <mergeCell ref="AQ1689:AQ1691"/>
    <mergeCell ref="AR1689:AR1691"/>
    <mergeCell ref="AS1689:AS1691"/>
    <mergeCell ref="A1692:A1694"/>
    <mergeCell ref="B1692:B1694"/>
    <mergeCell ref="C1692:C1694"/>
    <mergeCell ref="D1692:D1694"/>
    <mergeCell ref="AJ1692:AJ1694"/>
    <mergeCell ref="AK1692:AK1694"/>
    <mergeCell ref="AL1692:AL1694"/>
    <mergeCell ref="AM1692:AM1694"/>
    <mergeCell ref="AN1692:AN1694"/>
    <mergeCell ref="AO1692:AO1694"/>
    <mergeCell ref="AP1692:AP1694"/>
    <mergeCell ref="AQ1692:AQ1694"/>
    <mergeCell ref="AR1692:AR1694"/>
    <mergeCell ref="AS1692:AS1694"/>
    <mergeCell ref="A1695:A1697"/>
    <mergeCell ref="B1695:B1697"/>
    <mergeCell ref="C1695:C1697"/>
    <mergeCell ref="D1695:D1697"/>
    <mergeCell ref="AJ1695:AJ1697"/>
    <mergeCell ref="AK1695:AK1697"/>
    <mergeCell ref="AL1695:AL1697"/>
    <mergeCell ref="AM1695:AM1697"/>
    <mergeCell ref="AN1695:AN1697"/>
    <mergeCell ref="AO1695:AO1697"/>
    <mergeCell ref="AP1695:AP1697"/>
    <mergeCell ref="AQ1695:AQ1697"/>
    <mergeCell ref="AR1695:AR1697"/>
    <mergeCell ref="AS1695:AS1697"/>
    <mergeCell ref="A1698:A1700"/>
    <mergeCell ref="B1698:B1700"/>
    <mergeCell ref="C1698:C1700"/>
    <mergeCell ref="D1698:D1700"/>
    <mergeCell ref="AJ1698:AJ1700"/>
    <mergeCell ref="AK1698:AK1700"/>
    <mergeCell ref="AL1698:AL1700"/>
    <mergeCell ref="AM1698:AM1700"/>
    <mergeCell ref="AN1698:AN1700"/>
    <mergeCell ref="AO1698:AO1700"/>
    <mergeCell ref="AP1698:AP1700"/>
    <mergeCell ref="AQ1698:AQ1700"/>
    <mergeCell ref="AR1698:AR1700"/>
    <mergeCell ref="AS1698:AS1700"/>
    <mergeCell ref="A1701:A1703"/>
    <mergeCell ref="B1701:B1703"/>
    <mergeCell ref="C1701:C1703"/>
    <mergeCell ref="D1701:D1703"/>
    <mergeCell ref="AJ1701:AJ1703"/>
    <mergeCell ref="AK1701:AK1703"/>
    <mergeCell ref="AL1701:AL1703"/>
    <mergeCell ref="AM1701:AM1703"/>
    <mergeCell ref="AN1701:AN1703"/>
    <mergeCell ref="AO1701:AO1703"/>
    <mergeCell ref="AP1701:AP1703"/>
    <mergeCell ref="AQ1701:AQ1703"/>
    <mergeCell ref="AR1701:AR1703"/>
    <mergeCell ref="AS1701:AS1703"/>
    <mergeCell ref="A1704:A1706"/>
    <mergeCell ref="B1704:B1706"/>
    <mergeCell ref="C1704:C1706"/>
    <mergeCell ref="D1704:D1706"/>
    <mergeCell ref="AJ1704:AJ1706"/>
    <mergeCell ref="AK1704:AK1706"/>
    <mergeCell ref="AL1704:AL1706"/>
    <mergeCell ref="AM1704:AM1706"/>
    <mergeCell ref="AN1704:AN1706"/>
    <mergeCell ref="AO1704:AO1706"/>
    <mergeCell ref="AP1704:AP1706"/>
    <mergeCell ref="AQ1704:AQ1706"/>
    <mergeCell ref="AR1704:AR1706"/>
    <mergeCell ref="AS1704:AS1706"/>
    <mergeCell ref="A1707:A1709"/>
    <mergeCell ref="B1707:B1709"/>
    <mergeCell ref="C1707:C1709"/>
    <mergeCell ref="D1707:D1709"/>
    <mergeCell ref="AJ1707:AJ1709"/>
    <mergeCell ref="AK1707:AK1709"/>
    <mergeCell ref="AL1707:AL1709"/>
    <mergeCell ref="AM1707:AM1709"/>
    <mergeCell ref="AN1707:AN1709"/>
    <mergeCell ref="AO1707:AO1709"/>
    <mergeCell ref="AP1707:AP1709"/>
    <mergeCell ref="AQ1707:AQ1709"/>
    <mergeCell ref="AR1707:AR1709"/>
    <mergeCell ref="AS1707:AS1709"/>
    <mergeCell ref="A1710:A1712"/>
    <mergeCell ref="B1710:B1712"/>
    <mergeCell ref="C1710:C1712"/>
    <mergeCell ref="D1710:D1712"/>
    <mergeCell ref="AJ1710:AJ1712"/>
    <mergeCell ref="AK1710:AK1712"/>
    <mergeCell ref="AL1710:AL1712"/>
    <mergeCell ref="AM1710:AM1712"/>
    <mergeCell ref="AN1710:AN1712"/>
    <mergeCell ref="AO1710:AO1712"/>
    <mergeCell ref="AP1710:AP1712"/>
    <mergeCell ref="AQ1710:AQ1712"/>
    <mergeCell ref="AR1710:AR1712"/>
    <mergeCell ref="AS1710:AS1712"/>
    <mergeCell ref="A1713:A1715"/>
    <mergeCell ref="B1713:B1715"/>
    <mergeCell ref="C1713:C1715"/>
    <mergeCell ref="D1713:D1715"/>
    <mergeCell ref="AJ1713:AJ1715"/>
    <mergeCell ref="AK1713:AK1715"/>
    <mergeCell ref="AL1713:AL1715"/>
    <mergeCell ref="AM1713:AM1715"/>
    <mergeCell ref="AN1713:AN1715"/>
    <mergeCell ref="AO1713:AO1715"/>
    <mergeCell ref="AP1713:AP1715"/>
    <mergeCell ref="AQ1713:AQ1715"/>
    <mergeCell ref="AR1713:AR1715"/>
    <mergeCell ref="AS1713:AS1715"/>
    <mergeCell ref="A1716:A1718"/>
    <mergeCell ref="B1716:B1718"/>
    <mergeCell ref="C1716:C1718"/>
    <mergeCell ref="D1716:D1718"/>
    <mergeCell ref="AJ1716:AJ1718"/>
    <mergeCell ref="AK1716:AK1718"/>
    <mergeCell ref="AL1716:AL1718"/>
    <mergeCell ref="AM1716:AM1718"/>
    <mergeCell ref="AN1716:AN1718"/>
    <mergeCell ref="AO1716:AO1718"/>
    <mergeCell ref="AP1716:AP1718"/>
    <mergeCell ref="AQ1716:AQ1718"/>
    <mergeCell ref="AR1716:AR1718"/>
    <mergeCell ref="AS1716:AS1718"/>
    <mergeCell ref="A1719:A1721"/>
    <mergeCell ref="B1719:B1721"/>
    <mergeCell ref="C1719:C1721"/>
    <mergeCell ref="D1719:D1721"/>
    <mergeCell ref="AJ1719:AJ1721"/>
    <mergeCell ref="AK1719:AK1721"/>
    <mergeCell ref="AL1719:AL1721"/>
    <mergeCell ref="AM1719:AM1721"/>
    <mergeCell ref="AN1719:AN1721"/>
    <mergeCell ref="AO1719:AO1721"/>
    <mergeCell ref="AP1719:AP1721"/>
    <mergeCell ref="AQ1719:AQ1721"/>
    <mergeCell ref="AR1719:AR1721"/>
    <mergeCell ref="AS1719:AS1721"/>
    <mergeCell ref="A1722:A1724"/>
    <mergeCell ref="B1722:B1724"/>
    <mergeCell ref="C1722:C1724"/>
    <mergeCell ref="D1722:D1724"/>
    <mergeCell ref="AJ1722:AJ1724"/>
    <mergeCell ref="AK1722:AK1724"/>
    <mergeCell ref="AL1722:AL1724"/>
    <mergeCell ref="AM1722:AM1724"/>
    <mergeCell ref="AN1722:AN1724"/>
    <mergeCell ref="AO1722:AO1724"/>
    <mergeCell ref="AP1722:AP1724"/>
    <mergeCell ref="AQ1722:AQ1724"/>
    <mergeCell ref="AR1722:AR1724"/>
    <mergeCell ref="AS1722:AS1724"/>
    <mergeCell ref="A1725:A1727"/>
    <mergeCell ref="B1725:B1727"/>
    <mergeCell ref="C1725:C1727"/>
    <mergeCell ref="D1725:D1727"/>
    <mergeCell ref="AJ1725:AJ1727"/>
    <mergeCell ref="AK1725:AK1727"/>
    <mergeCell ref="AL1725:AL1727"/>
    <mergeCell ref="AM1725:AM1727"/>
    <mergeCell ref="AN1725:AN1727"/>
    <mergeCell ref="AO1725:AO1727"/>
    <mergeCell ref="AP1725:AP1727"/>
    <mergeCell ref="AQ1725:AQ1727"/>
    <mergeCell ref="AR1725:AR1727"/>
    <mergeCell ref="AS1725:AS1727"/>
    <mergeCell ref="A1728:A1730"/>
    <mergeCell ref="B1728:B1730"/>
    <mergeCell ref="C1728:C1730"/>
    <mergeCell ref="D1728:D1730"/>
    <mergeCell ref="AJ1728:AJ1730"/>
    <mergeCell ref="AK1728:AK1730"/>
    <mergeCell ref="AL1728:AL1730"/>
    <mergeCell ref="AM1728:AM1730"/>
    <mergeCell ref="AN1728:AN1730"/>
    <mergeCell ref="AO1728:AO1730"/>
    <mergeCell ref="AP1728:AP1730"/>
    <mergeCell ref="AQ1728:AQ1730"/>
    <mergeCell ref="AR1728:AR1730"/>
    <mergeCell ref="AS1728:AS1730"/>
    <mergeCell ref="A1731:A1733"/>
    <mergeCell ref="B1731:B1733"/>
    <mergeCell ref="C1731:C1733"/>
    <mergeCell ref="D1731:D1733"/>
    <mergeCell ref="AJ1731:AJ1733"/>
    <mergeCell ref="AK1731:AK1733"/>
    <mergeCell ref="AL1731:AL1733"/>
    <mergeCell ref="AM1731:AM1733"/>
    <mergeCell ref="AN1731:AN1733"/>
    <mergeCell ref="AO1731:AO1733"/>
    <mergeCell ref="AP1731:AP1733"/>
    <mergeCell ref="AQ1731:AQ1733"/>
    <mergeCell ref="AR1731:AR1733"/>
    <mergeCell ref="AS1731:AS1733"/>
    <mergeCell ref="A1734:A1736"/>
    <mergeCell ref="B1734:B1736"/>
    <mergeCell ref="C1734:C1736"/>
    <mergeCell ref="D1734:D1736"/>
    <mergeCell ref="AJ1734:AJ1736"/>
    <mergeCell ref="AK1734:AK1736"/>
    <mergeCell ref="AL1734:AL1736"/>
    <mergeCell ref="AM1734:AM1736"/>
    <mergeCell ref="AN1734:AN1736"/>
    <mergeCell ref="AO1734:AO1736"/>
    <mergeCell ref="AP1734:AP1736"/>
    <mergeCell ref="AQ1734:AQ1736"/>
    <mergeCell ref="AR1734:AR1736"/>
    <mergeCell ref="AS1734:AS1736"/>
    <mergeCell ref="A1737:A1739"/>
    <mergeCell ref="B1737:B1739"/>
    <mergeCell ref="C1737:C1739"/>
    <mergeCell ref="D1737:D1739"/>
    <mergeCell ref="AJ1737:AJ1739"/>
    <mergeCell ref="AK1737:AK1739"/>
    <mergeCell ref="AL1737:AL1739"/>
    <mergeCell ref="AM1737:AM1739"/>
    <mergeCell ref="AN1737:AN1739"/>
    <mergeCell ref="AO1737:AO1739"/>
    <mergeCell ref="AP1737:AP1739"/>
    <mergeCell ref="AQ1737:AQ1739"/>
    <mergeCell ref="AR1737:AR1739"/>
    <mergeCell ref="AS1737:AS1739"/>
    <mergeCell ref="A1740:A1742"/>
    <mergeCell ref="B1740:B1742"/>
    <mergeCell ref="C1740:C1742"/>
    <mergeCell ref="D1740:D1742"/>
    <mergeCell ref="AJ1740:AJ1742"/>
    <mergeCell ref="AK1740:AK1742"/>
    <mergeCell ref="AL1740:AL1742"/>
    <mergeCell ref="AM1740:AM1742"/>
    <mergeCell ref="AN1740:AN1742"/>
    <mergeCell ref="AO1740:AO1742"/>
    <mergeCell ref="AP1740:AP1742"/>
    <mergeCell ref="AQ1740:AQ1742"/>
    <mergeCell ref="AR1740:AR1742"/>
    <mergeCell ref="AS1740:AS1742"/>
    <mergeCell ref="A1743:A1745"/>
    <mergeCell ref="B1743:B1745"/>
    <mergeCell ref="C1743:C1745"/>
    <mergeCell ref="D1743:D1745"/>
    <mergeCell ref="AJ1743:AJ1745"/>
    <mergeCell ref="AK1743:AK1745"/>
    <mergeCell ref="AL1743:AL1745"/>
    <mergeCell ref="AM1743:AM1745"/>
    <mergeCell ref="AN1743:AN1745"/>
    <mergeCell ref="AO1743:AO1745"/>
    <mergeCell ref="AP1743:AP1745"/>
    <mergeCell ref="AQ1743:AQ1745"/>
    <mergeCell ref="AR1743:AR1745"/>
    <mergeCell ref="AS1743:AS1745"/>
    <mergeCell ref="A1746:A1748"/>
    <mergeCell ref="B1746:B1748"/>
    <mergeCell ref="C1746:C1748"/>
    <mergeCell ref="D1746:D1748"/>
    <mergeCell ref="AJ1746:AJ1748"/>
    <mergeCell ref="AK1746:AK1748"/>
    <mergeCell ref="AL1746:AL1748"/>
    <mergeCell ref="AM1746:AM1748"/>
    <mergeCell ref="AN1746:AN1748"/>
    <mergeCell ref="AO1746:AO1748"/>
    <mergeCell ref="AP1746:AP1748"/>
    <mergeCell ref="AQ1746:AQ1748"/>
    <mergeCell ref="AR1746:AR1748"/>
    <mergeCell ref="AS1746:AS1748"/>
    <mergeCell ref="A1749:A1751"/>
    <mergeCell ref="B1749:B1751"/>
    <mergeCell ref="C1749:C1751"/>
    <mergeCell ref="D1749:D1751"/>
    <mergeCell ref="AJ1749:AJ1751"/>
    <mergeCell ref="AK1749:AK1751"/>
    <mergeCell ref="AL1749:AL1751"/>
    <mergeCell ref="AM1749:AM1751"/>
    <mergeCell ref="AN1749:AN1751"/>
    <mergeCell ref="AO1749:AO1751"/>
    <mergeCell ref="AP1749:AP1751"/>
    <mergeCell ref="AQ1749:AQ1751"/>
    <mergeCell ref="AR1749:AR1751"/>
    <mergeCell ref="AS1749:AS1751"/>
    <mergeCell ref="A1752:A1754"/>
    <mergeCell ref="B1752:B1754"/>
    <mergeCell ref="C1752:C1754"/>
    <mergeCell ref="D1752:D1754"/>
    <mergeCell ref="AJ1752:AJ1754"/>
    <mergeCell ref="AK1752:AK1754"/>
    <mergeCell ref="AL1752:AL1754"/>
    <mergeCell ref="AM1752:AM1754"/>
    <mergeCell ref="AN1752:AN1754"/>
    <mergeCell ref="AO1752:AO1754"/>
    <mergeCell ref="AP1752:AP1754"/>
    <mergeCell ref="AQ1752:AQ1754"/>
    <mergeCell ref="AR1752:AR1754"/>
    <mergeCell ref="AS1752:AS1754"/>
    <mergeCell ref="A1755:A1757"/>
    <mergeCell ref="B1755:B1757"/>
    <mergeCell ref="C1755:C1757"/>
    <mergeCell ref="D1755:D1757"/>
    <mergeCell ref="AJ1755:AJ1757"/>
    <mergeCell ref="AK1755:AK1757"/>
    <mergeCell ref="AL1755:AL1757"/>
    <mergeCell ref="AM1755:AM1757"/>
    <mergeCell ref="AN1755:AN1757"/>
    <mergeCell ref="AO1755:AO1757"/>
    <mergeCell ref="AP1755:AP1757"/>
    <mergeCell ref="AQ1755:AQ1757"/>
    <mergeCell ref="AR1755:AR1757"/>
    <mergeCell ref="AS1755:AS1757"/>
    <mergeCell ref="A1758:A1760"/>
    <mergeCell ref="B1758:B1760"/>
    <mergeCell ref="C1758:C1760"/>
    <mergeCell ref="D1758:D1760"/>
    <mergeCell ref="AJ1758:AJ1760"/>
    <mergeCell ref="AK1758:AK1760"/>
    <mergeCell ref="AL1758:AL1760"/>
    <mergeCell ref="AM1758:AM1760"/>
    <mergeCell ref="AN1758:AN1760"/>
    <mergeCell ref="AO1758:AO1760"/>
    <mergeCell ref="AP1758:AP1760"/>
    <mergeCell ref="AQ1758:AQ1760"/>
    <mergeCell ref="AR1758:AR1760"/>
    <mergeCell ref="AS1758:AS1760"/>
    <mergeCell ref="A1761:A1763"/>
    <mergeCell ref="B1761:B1763"/>
    <mergeCell ref="C1761:C1763"/>
    <mergeCell ref="D1761:D1763"/>
    <mergeCell ref="AJ1761:AJ1763"/>
    <mergeCell ref="AK1761:AK1763"/>
    <mergeCell ref="AL1761:AL1763"/>
    <mergeCell ref="AM1761:AM1763"/>
    <mergeCell ref="AN1761:AN1763"/>
    <mergeCell ref="AO1761:AO1763"/>
    <mergeCell ref="AP1761:AP1763"/>
    <mergeCell ref="AQ1761:AQ1763"/>
    <mergeCell ref="AR1761:AR1763"/>
    <mergeCell ref="AS1761:AS1763"/>
    <mergeCell ref="A1764:A1766"/>
    <mergeCell ref="B1764:B1766"/>
    <mergeCell ref="C1764:C1766"/>
    <mergeCell ref="D1764:D1766"/>
    <mergeCell ref="AJ1764:AJ1766"/>
    <mergeCell ref="AK1764:AK1766"/>
    <mergeCell ref="AL1764:AL1766"/>
    <mergeCell ref="AM1764:AM1766"/>
    <mergeCell ref="AN1764:AN1766"/>
    <mergeCell ref="AO1764:AO1766"/>
    <mergeCell ref="AP1764:AP1766"/>
    <mergeCell ref="AQ1764:AQ1766"/>
    <mergeCell ref="AR1764:AR1766"/>
    <mergeCell ref="AS1764:AS1766"/>
    <mergeCell ref="A1767:A1769"/>
    <mergeCell ref="B1767:B1769"/>
    <mergeCell ref="C1767:C1769"/>
    <mergeCell ref="D1767:D1769"/>
    <mergeCell ref="AJ1767:AJ1769"/>
    <mergeCell ref="AK1767:AK1769"/>
    <mergeCell ref="AL1767:AL1769"/>
    <mergeCell ref="AM1767:AM1769"/>
    <mergeCell ref="AN1767:AN1769"/>
    <mergeCell ref="AO1767:AO1769"/>
    <mergeCell ref="AP1767:AP1769"/>
    <mergeCell ref="AQ1767:AQ1769"/>
    <mergeCell ref="AR1767:AR1769"/>
    <mergeCell ref="AS1767:AS1769"/>
    <mergeCell ref="A1770:A1772"/>
    <mergeCell ref="B1770:B1772"/>
    <mergeCell ref="C1770:C1772"/>
    <mergeCell ref="D1770:D1772"/>
    <mergeCell ref="AJ1770:AJ1772"/>
    <mergeCell ref="AK1770:AK1772"/>
    <mergeCell ref="AL1770:AL1772"/>
    <mergeCell ref="AM1770:AM1772"/>
    <mergeCell ref="AN1770:AN1772"/>
    <mergeCell ref="AO1770:AO1772"/>
    <mergeCell ref="AP1770:AP1772"/>
    <mergeCell ref="AQ1770:AQ1772"/>
    <mergeCell ref="AR1770:AR1772"/>
    <mergeCell ref="AS1770:AS1772"/>
    <mergeCell ref="A1773:A1775"/>
    <mergeCell ref="B1773:B1775"/>
    <mergeCell ref="C1773:C1775"/>
    <mergeCell ref="D1773:D1775"/>
    <mergeCell ref="AJ1773:AJ1775"/>
    <mergeCell ref="AK1773:AK1775"/>
    <mergeCell ref="AL1773:AL1775"/>
    <mergeCell ref="AM1773:AM1775"/>
    <mergeCell ref="AN1773:AN1775"/>
    <mergeCell ref="AO1773:AO1775"/>
    <mergeCell ref="AP1773:AP1775"/>
    <mergeCell ref="AQ1773:AQ1775"/>
    <mergeCell ref="AR1773:AR1775"/>
    <mergeCell ref="AS1773:AS1775"/>
    <mergeCell ref="A1776:A1778"/>
    <mergeCell ref="B1776:B1778"/>
    <mergeCell ref="C1776:C1778"/>
    <mergeCell ref="D1776:D1778"/>
    <mergeCell ref="AJ1776:AJ1778"/>
    <mergeCell ref="AK1776:AK1778"/>
    <mergeCell ref="AL1776:AL1778"/>
    <mergeCell ref="AM1776:AM1778"/>
    <mergeCell ref="AN1776:AN1778"/>
    <mergeCell ref="AO1776:AO1778"/>
    <mergeCell ref="AP1776:AP1778"/>
    <mergeCell ref="AQ1776:AQ1778"/>
    <mergeCell ref="AR1776:AR1778"/>
    <mergeCell ref="AS1776:AS1778"/>
    <mergeCell ref="A1779:A1781"/>
    <mergeCell ref="B1779:B1781"/>
    <mergeCell ref="C1779:C1781"/>
    <mergeCell ref="D1779:D1781"/>
    <mergeCell ref="AJ1779:AJ1781"/>
    <mergeCell ref="AK1779:AK1781"/>
    <mergeCell ref="AL1779:AL1781"/>
    <mergeCell ref="AM1779:AM1781"/>
    <mergeCell ref="AN1779:AN1781"/>
    <mergeCell ref="AO1779:AO1781"/>
    <mergeCell ref="AP1779:AP1781"/>
    <mergeCell ref="AQ1779:AQ1781"/>
    <mergeCell ref="AR1779:AR1781"/>
    <mergeCell ref="AS1779:AS1781"/>
    <mergeCell ref="A1782:A1784"/>
    <mergeCell ref="B1782:B1784"/>
    <mergeCell ref="C1782:C1784"/>
    <mergeCell ref="D1782:D1784"/>
    <mergeCell ref="AJ1782:AJ1784"/>
    <mergeCell ref="AK1782:AK1784"/>
    <mergeCell ref="AL1782:AL1784"/>
    <mergeCell ref="AM1782:AM1784"/>
    <mergeCell ref="AN1782:AN1784"/>
    <mergeCell ref="AO1782:AO1784"/>
    <mergeCell ref="AP1782:AP1784"/>
    <mergeCell ref="AQ1782:AQ1784"/>
    <mergeCell ref="AR1782:AR1784"/>
    <mergeCell ref="AS1782:AS1784"/>
    <mergeCell ref="A1785:A1787"/>
    <mergeCell ref="B1785:B1787"/>
    <mergeCell ref="C1785:C1787"/>
    <mergeCell ref="D1785:D1787"/>
    <mergeCell ref="AJ1785:AJ1787"/>
    <mergeCell ref="AK1785:AK1787"/>
    <mergeCell ref="AL1785:AL1787"/>
    <mergeCell ref="AM1785:AM1787"/>
    <mergeCell ref="AN1785:AN1787"/>
    <mergeCell ref="AO1785:AO1787"/>
    <mergeCell ref="AP1785:AP1787"/>
    <mergeCell ref="AQ1785:AQ1787"/>
    <mergeCell ref="AR1785:AR1787"/>
    <mergeCell ref="AS1785:AS1787"/>
    <mergeCell ref="A1788:A1790"/>
    <mergeCell ref="B1788:B1790"/>
    <mergeCell ref="C1788:C1790"/>
    <mergeCell ref="D1788:D1790"/>
    <mergeCell ref="AJ1788:AJ1790"/>
    <mergeCell ref="AK1788:AK1790"/>
    <mergeCell ref="AL1788:AL1790"/>
    <mergeCell ref="AM1788:AM1790"/>
    <mergeCell ref="AN1788:AN1790"/>
    <mergeCell ref="AO1788:AO1790"/>
    <mergeCell ref="AP1788:AP1790"/>
    <mergeCell ref="AQ1788:AQ1790"/>
    <mergeCell ref="AR1788:AR1790"/>
    <mergeCell ref="AS1788:AS1790"/>
    <mergeCell ref="A1791:A1793"/>
    <mergeCell ref="B1791:B1793"/>
    <mergeCell ref="C1791:C1793"/>
    <mergeCell ref="D1791:D1793"/>
    <mergeCell ref="AJ1791:AJ1793"/>
    <mergeCell ref="AK1791:AK1793"/>
    <mergeCell ref="AL1791:AL1793"/>
    <mergeCell ref="AM1791:AM1793"/>
    <mergeCell ref="AN1791:AN1793"/>
    <mergeCell ref="AO1791:AO1793"/>
    <mergeCell ref="AP1791:AP1793"/>
    <mergeCell ref="AQ1791:AQ1793"/>
    <mergeCell ref="AR1791:AR1793"/>
    <mergeCell ref="AS1791:AS1793"/>
    <mergeCell ref="A1794:A1796"/>
    <mergeCell ref="B1794:B1796"/>
    <mergeCell ref="C1794:C1796"/>
    <mergeCell ref="D1794:D1796"/>
    <mergeCell ref="AJ1794:AJ1796"/>
    <mergeCell ref="AK1794:AK1796"/>
    <mergeCell ref="AL1794:AL1796"/>
    <mergeCell ref="AM1794:AM1796"/>
    <mergeCell ref="AN1794:AN1796"/>
    <mergeCell ref="AO1794:AO1796"/>
    <mergeCell ref="AP1794:AP1796"/>
    <mergeCell ref="AQ1794:AQ1796"/>
    <mergeCell ref="AR1794:AR1796"/>
    <mergeCell ref="AS1794:AS1796"/>
    <mergeCell ref="A1797:A1799"/>
    <mergeCell ref="B1797:B1799"/>
    <mergeCell ref="C1797:C1799"/>
    <mergeCell ref="D1797:D1799"/>
    <mergeCell ref="AJ1797:AJ1799"/>
    <mergeCell ref="AK1797:AK1799"/>
    <mergeCell ref="AL1797:AL1799"/>
    <mergeCell ref="AM1797:AM1799"/>
    <mergeCell ref="AN1797:AN1799"/>
    <mergeCell ref="AO1797:AO1799"/>
    <mergeCell ref="AP1797:AP1799"/>
    <mergeCell ref="AQ1797:AQ1799"/>
    <mergeCell ref="AR1797:AR1799"/>
    <mergeCell ref="AS1797:AS1799"/>
    <mergeCell ref="A1800:A1802"/>
    <mergeCell ref="B1800:B1802"/>
    <mergeCell ref="C1800:C1802"/>
    <mergeCell ref="D1800:D1802"/>
    <mergeCell ref="AJ1800:AJ1802"/>
    <mergeCell ref="AK1800:AK1802"/>
    <mergeCell ref="AL1800:AL1802"/>
    <mergeCell ref="AM1800:AM1802"/>
    <mergeCell ref="AN1800:AN1802"/>
    <mergeCell ref="AO1800:AO1802"/>
    <mergeCell ref="AP1800:AP1802"/>
    <mergeCell ref="AQ1800:AQ1802"/>
    <mergeCell ref="AR1800:AR1802"/>
    <mergeCell ref="AS1800:AS1802"/>
    <mergeCell ref="A1803:A1805"/>
    <mergeCell ref="B1803:B1805"/>
    <mergeCell ref="C1803:C1805"/>
    <mergeCell ref="D1803:D1805"/>
    <mergeCell ref="AJ1803:AJ1805"/>
    <mergeCell ref="AK1803:AK1805"/>
    <mergeCell ref="AL1803:AL1805"/>
    <mergeCell ref="AM1803:AM1805"/>
    <mergeCell ref="AN1803:AN1805"/>
    <mergeCell ref="AO1803:AO1805"/>
    <mergeCell ref="AP1803:AP1805"/>
    <mergeCell ref="AQ1803:AQ1805"/>
    <mergeCell ref="AR1803:AR1805"/>
    <mergeCell ref="AS1803:AS1805"/>
    <mergeCell ref="A1806:A1808"/>
    <mergeCell ref="B1806:B1808"/>
    <mergeCell ref="C1806:C1808"/>
    <mergeCell ref="D1806:D1808"/>
    <mergeCell ref="AJ1806:AJ1808"/>
    <mergeCell ref="AK1806:AK1808"/>
    <mergeCell ref="AL1806:AL1808"/>
    <mergeCell ref="AM1806:AM1808"/>
    <mergeCell ref="AN1806:AN1808"/>
    <mergeCell ref="AO1806:AO1808"/>
    <mergeCell ref="AP1806:AP1808"/>
    <mergeCell ref="AQ1806:AQ1808"/>
    <mergeCell ref="AR1806:AR1808"/>
    <mergeCell ref="AS1806:AS1808"/>
    <mergeCell ref="A1809:A1811"/>
    <mergeCell ref="B1809:B1811"/>
    <mergeCell ref="C1809:C1811"/>
    <mergeCell ref="D1809:D1811"/>
    <mergeCell ref="AJ1809:AJ1811"/>
    <mergeCell ref="AK1809:AK1811"/>
    <mergeCell ref="AL1809:AL1811"/>
    <mergeCell ref="AM1809:AM1811"/>
    <mergeCell ref="AN1809:AN1811"/>
    <mergeCell ref="AO1809:AO1811"/>
    <mergeCell ref="AP1809:AP1811"/>
    <mergeCell ref="AQ1809:AQ1811"/>
    <mergeCell ref="AR1809:AR1811"/>
    <mergeCell ref="AS1809:AS1811"/>
    <mergeCell ref="A1812:A1814"/>
    <mergeCell ref="B1812:B1814"/>
    <mergeCell ref="C1812:C1814"/>
    <mergeCell ref="D1812:D1814"/>
    <mergeCell ref="AJ1812:AJ1814"/>
    <mergeCell ref="AK1812:AK1814"/>
    <mergeCell ref="AL1812:AL1814"/>
    <mergeCell ref="AM1812:AM1814"/>
    <mergeCell ref="AN1812:AN1814"/>
    <mergeCell ref="AO1812:AO1814"/>
    <mergeCell ref="AP1812:AP1814"/>
    <mergeCell ref="AQ1812:AQ1814"/>
    <mergeCell ref="AR1812:AR1814"/>
    <mergeCell ref="AS1812:AS1814"/>
    <mergeCell ref="A1815:A1817"/>
    <mergeCell ref="B1815:B1817"/>
    <mergeCell ref="C1815:C1817"/>
    <mergeCell ref="D1815:D1817"/>
    <mergeCell ref="AJ1815:AJ1817"/>
    <mergeCell ref="AK1815:AK1817"/>
    <mergeCell ref="AL1815:AL1817"/>
    <mergeCell ref="AM1815:AM1817"/>
    <mergeCell ref="AN1815:AN1817"/>
    <mergeCell ref="AO1815:AO1817"/>
    <mergeCell ref="AP1815:AP1817"/>
    <mergeCell ref="AQ1815:AQ1817"/>
    <mergeCell ref="AR1815:AR1817"/>
    <mergeCell ref="AS1815:AS1817"/>
    <mergeCell ref="A1818:A1820"/>
    <mergeCell ref="B1818:B1820"/>
    <mergeCell ref="C1818:C1820"/>
    <mergeCell ref="D1818:D1820"/>
    <mergeCell ref="AJ1818:AJ1820"/>
    <mergeCell ref="AK1818:AK1820"/>
    <mergeCell ref="AL1818:AL1820"/>
    <mergeCell ref="AM1818:AM1820"/>
    <mergeCell ref="AN1818:AN1820"/>
    <mergeCell ref="AO1818:AO1820"/>
    <mergeCell ref="AP1818:AP1820"/>
    <mergeCell ref="AQ1818:AQ1820"/>
    <mergeCell ref="AR1818:AR1820"/>
    <mergeCell ref="AS1818:AS1820"/>
    <mergeCell ref="A1821:A1823"/>
    <mergeCell ref="B1821:B1823"/>
    <mergeCell ref="C1821:C1823"/>
    <mergeCell ref="D1821:D1823"/>
    <mergeCell ref="AJ1821:AJ1823"/>
    <mergeCell ref="AK1821:AK1823"/>
    <mergeCell ref="AL1821:AL1823"/>
    <mergeCell ref="AM1821:AM1823"/>
    <mergeCell ref="AN1821:AN1823"/>
    <mergeCell ref="AO1821:AO1823"/>
    <mergeCell ref="AP1821:AP1823"/>
    <mergeCell ref="AQ1821:AQ1823"/>
    <mergeCell ref="AR1821:AR1823"/>
    <mergeCell ref="AS1821:AS1823"/>
    <mergeCell ref="A1824:A1826"/>
    <mergeCell ref="B1824:B1826"/>
    <mergeCell ref="C1824:C1826"/>
    <mergeCell ref="D1824:D1826"/>
    <mergeCell ref="AJ1824:AJ1826"/>
    <mergeCell ref="AK1824:AK1826"/>
    <mergeCell ref="AL1824:AL1826"/>
    <mergeCell ref="AM1824:AM1826"/>
    <mergeCell ref="AN1824:AN1826"/>
    <mergeCell ref="AO1824:AO1826"/>
    <mergeCell ref="AP1824:AP1826"/>
    <mergeCell ref="AQ1824:AQ1826"/>
    <mergeCell ref="AR1824:AR1826"/>
    <mergeCell ref="AS1824:AS1826"/>
    <mergeCell ref="A1827:A1829"/>
    <mergeCell ref="B1827:B1829"/>
    <mergeCell ref="C1827:C1829"/>
    <mergeCell ref="D1827:D1829"/>
    <mergeCell ref="AJ1827:AJ1829"/>
    <mergeCell ref="AK1827:AK1829"/>
    <mergeCell ref="AL1827:AL1829"/>
    <mergeCell ref="AM1827:AM1829"/>
    <mergeCell ref="AN1827:AN1829"/>
    <mergeCell ref="AO1827:AO1829"/>
    <mergeCell ref="AP1827:AP1829"/>
    <mergeCell ref="AQ1827:AQ1829"/>
    <mergeCell ref="AR1827:AR1829"/>
    <mergeCell ref="AS1827:AS1829"/>
    <mergeCell ref="A1830:A1832"/>
    <mergeCell ref="B1830:B1832"/>
    <mergeCell ref="C1830:C1832"/>
    <mergeCell ref="D1830:D1832"/>
    <mergeCell ref="AJ1830:AJ1832"/>
    <mergeCell ref="AK1830:AK1832"/>
    <mergeCell ref="AL1830:AL1832"/>
    <mergeCell ref="AM1830:AM1832"/>
    <mergeCell ref="AN1830:AN1832"/>
    <mergeCell ref="AO1830:AO1832"/>
    <mergeCell ref="AP1830:AP1832"/>
    <mergeCell ref="AQ1830:AQ1832"/>
    <mergeCell ref="AR1830:AR1832"/>
    <mergeCell ref="AS1830:AS1832"/>
    <mergeCell ref="A1833:A1835"/>
    <mergeCell ref="B1833:B1835"/>
    <mergeCell ref="C1833:C1835"/>
    <mergeCell ref="D1833:D1835"/>
    <mergeCell ref="AJ1833:AJ1835"/>
    <mergeCell ref="AK1833:AK1835"/>
    <mergeCell ref="AL1833:AL1835"/>
    <mergeCell ref="AM1833:AM1835"/>
    <mergeCell ref="AN1833:AN1835"/>
    <mergeCell ref="AO1833:AO1835"/>
    <mergeCell ref="AP1833:AP1835"/>
    <mergeCell ref="AQ1833:AQ1835"/>
    <mergeCell ref="AR1833:AR1835"/>
    <mergeCell ref="AS1833:AS1835"/>
    <mergeCell ref="A1836:A1838"/>
    <mergeCell ref="B1836:B1838"/>
    <mergeCell ref="C1836:C1838"/>
    <mergeCell ref="D1836:D1838"/>
    <mergeCell ref="AJ1836:AJ1838"/>
    <mergeCell ref="AK1836:AK1838"/>
    <mergeCell ref="AL1836:AL1838"/>
    <mergeCell ref="AM1836:AM1838"/>
    <mergeCell ref="AN1836:AN1838"/>
    <mergeCell ref="AO1836:AO1838"/>
    <mergeCell ref="AP1836:AP1838"/>
    <mergeCell ref="AQ1836:AQ1838"/>
    <mergeCell ref="AR1836:AR1838"/>
    <mergeCell ref="AS1836:AS1838"/>
    <mergeCell ref="A1839:A1841"/>
    <mergeCell ref="B1839:B1841"/>
    <mergeCell ref="C1839:C1841"/>
    <mergeCell ref="D1839:D1841"/>
    <mergeCell ref="AJ1839:AJ1841"/>
    <mergeCell ref="AK1839:AK1841"/>
    <mergeCell ref="AL1839:AL1841"/>
    <mergeCell ref="AM1839:AM1841"/>
    <mergeCell ref="AN1839:AN1841"/>
    <mergeCell ref="AO1839:AO1841"/>
    <mergeCell ref="AP1839:AP1841"/>
    <mergeCell ref="AQ1839:AQ1841"/>
    <mergeCell ref="AR1839:AR1841"/>
    <mergeCell ref="AS1839:AS1841"/>
    <mergeCell ref="A1842:A1844"/>
    <mergeCell ref="B1842:B1844"/>
    <mergeCell ref="C1842:C1844"/>
    <mergeCell ref="D1842:D1844"/>
    <mergeCell ref="AJ1842:AJ1844"/>
    <mergeCell ref="AK1842:AK1844"/>
    <mergeCell ref="AL1842:AL1844"/>
    <mergeCell ref="AM1842:AM1844"/>
    <mergeCell ref="AN1842:AN1844"/>
    <mergeCell ref="AO1842:AO1844"/>
    <mergeCell ref="AP1842:AP1844"/>
    <mergeCell ref="AQ1842:AQ1844"/>
    <mergeCell ref="AR1842:AR1844"/>
    <mergeCell ref="AS1842:AS1844"/>
    <mergeCell ref="A1845:A1847"/>
    <mergeCell ref="B1845:B1847"/>
    <mergeCell ref="C1845:C1847"/>
    <mergeCell ref="D1845:D1847"/>
    <mergeCell ref="AJ1845:AJ1847"/>
    <mergeCell ref="AK1845:AK1847"/>
    <mergeCell ref="AL1845:AL1847"/>
    <mergeCell ref="AM1845:AM1847"/>
    <mergeCell ref="AN1845:AN1847"/>
    <mergeCell ref="AO1845:AO1847"/>
    <mergeCell ref="AP1845:AP1847"/>
    <mergeCell ref="AQ1845:AQ1847"/>
    <mergeCell ref="AR1845:AR1847"/>
    <mergeCell ref="AS1845:AS1847"/>
    <mergeCell ref="A1848:A1850"/>
    <mergeCell ref="B1848:B1850"/>
    <mergeCell ref="C1848:C1850"/>
    <mergeCell ref="D1848:D1850"/>
    <mergeCell ref="AJ1848:AJ1850"/>
    <mergeCell ref="AK1848:AK1850"/>
    <mergeCell ref="AL1848:AL1850"/>
    <mergeCell ref="AM1848:AM1850"/>
    <mergeCell ref="AN1848:AN1850"/>
    <mergeCell ref="AO1848:AO1850"/>
    <mergeCell ref="AP1848:AP1850"/>
    <mergeCell ref="AQ1848:AQ1850"/>
    <mergeCell ref="AR1848:AR1850"/>
    <mergeCell ref="AS1848:AS1850"/>
    <mergeCell ref="A1851:A1853"/>
    <mergeCell ref="B1851:B1853"/>
    <mergeCell ref="C1851:C1853"/>
    <mergeCell ref="D1851:D1853"/>
    <mergeCell ref="AJ1851:AJ1853"/>
    <mergeCell ref="AK1851:AK1853"/>
    <mergeCell ref="AL1851:AL1853"/>
    <mergeCell ref="AM1851:AM1853"/>
    <mergeCell ref="AN1851:AN1853"/>
    <mergeCell ref="AO1851:AO1853"/>
    <mergeCell ref="AP1851:AP1853"/>
    <mergeCell ref="AQ1851:AQ1853"/>
    <mergeCell ref="AR1851:AR1853"/>
    <mergeCell ref="AS1851:AS1853"/>
    <mergeCell ref="A1854:A1856"/>
    <mergeCell ref="B1854:B1856"/>
    <mergeCell ref="C1854:C1856"/>
    <mergeCell ref="D1854:D1856"/>
    <mergeCell ref="AJ1854:AJ1856"/>
    <mergeCell ref="AK1854:AK1856"/>
    <mergeCell ref="AL1854:AL1856"/>
    <mergeCell ref="AM1854:AM1856"/>
    <mergeCell ref="AN1854:AN1856"/>
    <mergeCell ref="AO1854:AO1856"/>
    <mergeCell ref="AP1854:AP1856"/>
    <mergeCell ref="AQ1854:AQ1856"/>
    <mergeCell ref="AR1854:AR1856"/>
    <mergeCell ref="AS1854:AS1856"/>
    <mergeCell ref="A1857:A1859"/>
    <mergeCell ref="B1857:B1859"/>
    <mergeCell ref="C1857:C1859"/>
    <mergeCell ref="D1857:D1859"/>
    <mergeCell ref="AJ1857:AJ1859"/>
    <mergeCell ref="AK1857:AK1859"/>
    <mergeCell ref="AL1857:AL1859"/>
    <mergeCell ref="AM1857:AM1859"/>
    <mergeCell ref="AN1857:AN1859"/>
    <mergeCell ref="AO1857:AO1859"/>
    <mergeCell ref="AP1857:AP1859"/>
    <mergeCell ref="AQ1857:AQ1859"/>
    <mergeCell ref="AR1857:AR1859"/>
    <mergeCell ref="AS1857:AS1859"/>
    <mergeCell ref="A1860:A1862"/>
    <mergeCell ref="B1860:B1862"/>
    <mergeCell ref="C1860:C1862"/>
    <mergeCell ref="D1860:D1862"/>
    <mergeCell ref="AJ1860:AJ1862"/>
    <mergeCell ref="AK1860:AK1862"/>
    <mergeCell ref="AL1860:AL1862"/>
    <mergeCell ref="AM1860:AM1862"/>
    <mergeCell ref="AN1860:AN1862"/>
    <mergeCell ref="AO1860:AO1862"/>
    <mergeCell ref="AP1860:AP1862"/>
    <mergeCell ref="AQ1860:AQ1862"/>
    <mergeCell ref="AR1860:AR1862"/>
    <mergeCell ref="AS1860:AS1862"/>
    <mergeCell ref="A1863:A1865"/>
    <mergeCell ref="B1863:B1865"/>
    <mergeCell ref="C1863:C1865"/>
    <mergeCell ref="D1863:D1865"/>
    <mergeCell ref="AJ1863:AJ1865"/>
    <mergeCell ref="AK1863:AK1865"/>
    <mergeCell ref="AL1863:AL1865"/>
    <mergeCell ref="AM1863:AM1865"/>
    <mergeCell ref="AN1863:AN1865"/>
    <mergeCell ref="AO1863:AO1865"/>
    <mergeCell ref="AP1863:AP1865"/>
    <mergeCell ref="AQ1863:AQ1865"/>
    <mergeCell ref="AR1863:AR1865"/>
    <mergeCell ref="AS1863:AS1865"/>
    <mergeCell ref="A1866:A1868"/>
    <mergeCell ref="B1866:B1868"/>
    <mergeCell ref="C1866:C1868"/>
    <mergeCell ref="D1866:D1868"/>
    <mergeCell ref="AJ1866:AJ1868"/>
    <mergeCell ref="AK1866:AK1868"/>
    <mergeCell ref="AL1866:AL1868"/>
    <mergeCell ref="AM1866:AM1868"/>
    <mergeCell ref="AN1866:AN1868"/>
    <mergeCell ref="AO1866:AO1868"/>
    <mergeCell ref="AP1866:AP1868"/>
    <mergeCell ref="AQ1866:AQ1868"/>
    <mergeCell ref="AR1866:AR1868"/>
    <mergeCell ref="AS1866:AS1868"/>
    <mergeCell ref="A1869:A1871"/>
    <mergeCell ref="B1869:B1871"/>
    <mergeCell ref="C1869:C1871"/>
    <mergeCell ref="D1869:D1871"/>
    <mergeCell ref="AJ1869:AJ1871"/>
    <mergeCell ref="AK1869:AK1871"/>
    <mergeCell ref="AL1869:AL1871"/>
    <mergeCell ref="AM1869:AM1871"/>
    <mergeCell ref="AN1869:AN1871"/>
    <mergeCell ref="AO1869:AO1871"/>
    <mergeCell ref="AP1869:AP1871"/>
    <mergeCell ref="AQ1869:AQ1871"/>
    <mergeCell ref="AR1869:AR1871"/>
    <mergeCell ref="AS1869:AS1871"/>
    <mergeCell ref="A1872:A1874"/>
    <mergeCell ref="B1872:B1874"/>
    <mergeCell ref="C1872:C1874"/>
    <mergeCell ref="D1872:D1874"/>
    <mergeCell ref="AJ1872:AJ1874"/>
    <mergeCell ref="AK1872:AK1874"/>
    <mergeCell ref="AL1872:AL1874"/>
    <mergeCell ref="AM1872:AM1874"/>
    <mergeCell ref="AN1872:AN1874"/>
    <mergeCell ref="AO1872:AO1874"/>
    <mergeCell ref="AP1872:AP1874"/>
    <mergeCell ref="AQ1872:AQ1874"/>
    <mergeCell ref="AR1872:AR1874"/>
    <mergeCell ref="AS1872:AS1874"/>
    <mergeCell ref="A1875:A1877"/>
    <mergeCell ref="B1875:B1877"/>
    <mergeCell ref="C1875:C1877"/>
    <mergeCell ref="D1875:D1877"/>
    <mergeCell ref="AJ1875:AJ1877"/>
    <mergeCell ref="AK1875:AK1877"/>
    <mergeCell ref="AL1875:AL1877"/>
    <mergeCell ref="AM1875:AM1877"/>
    <mergeCell ref="AN1875:AN1877"/>
    <mergeCell ref="AO1875:AO1877"/>
    <mergeCell ref="AP1875:AP1877"/>
    <mergeCell ref="AQ1875:AQ1877"/>
    <mergeCell ref="AR1875:AR1877"/>
    <mergeCell ref="AS1875:AS1877"/>
    <mergeCell ref="A1878:A1880"/>
    <mergeCell ref="B1878:B1880"/>
    <mergeCell ref="C1878:C1880"/>
    <mergeCell ref="D1878:D1880"/>
    <mergeCell ref="AJ1878:AJ1880"/>
    <mergeCell ref="AK1878:AK1880"/>
    <mergeCell ref="AL1878:AL1880"/>
    <mergeCell ref="AM1878:AM1880"/>
    <mergeCell ref="AN1878:AN1880"/>
    <mergeCell ref="AO1878:AO1880"/>
    <mergeCell ref="AP1878:AP1880"/>
    <mergeCell ref="AQ1878:AQ1880"/>
    <mergeCell ref="AR1878:AR1880"/>
    <mergeCell ref="AS1878:AS1880"/>
    <mergeCell ref="A1881:A1883"/>
    <mergeCell ref="B1881:B1883"/>
    <mergeCell ref="C1881:C1883"/>
    <mergeCell ref="D1881:D1883"/>
    <mergeCell ref="AJ1881:AJ1883"/>
    <mergeCell ref="AK1881:AK1883"/>
    <mergeCell ref="AL1881:AL1883"/>
    <mergeCell ref="AM1881:AM1883"/>
    <mergeCell ref="AN1881:AN1883"/>
    <mergeCell ref="AO1881:AO1883"/>
    <mergeCell ref="AP1881:AP1883"/>
    <mergeCell ref="AQ1881:AQ1883"/>
    <mergeCell ref="AR1881:AR1883"/>
    <mergeCell ref="AS1881:AS1883"/>
    <mergeCell ref="A1884:A1886"/>
    <mergeCell ref="B1884:B1886"/>
    <mergeCell ref="C1884:C1886"/>
    <mergeCell ref="D1884:D1886"/>
    <mergeCell ref="AJ1884:AJ1886"/>
    <mergeCell ref="AK1884:AK1886"/>
    <mergeCell ref="AL1884:AL1886"/>
    <mergeCell ref="AM1884:AM1886"/>
    <mergeCell ref="AN1884:AN1886"/>
    <mergeCell ref="AO1884:AO1886"/>
    <mergeCell ref="AP1884:AP1886"/>
    <mergeCell ref="AQ1884:AQ1886"/>
    <mergeCell ref="AR1884:AR1886"/>
    <mergeCell ref="AS1884:AS1886"/>
    <mergeCell ref="A1887:A1889"/>
    <mergeCell ref="B1887:B1889"/>
    <mergeCell ref="C1887:C1889"/>
    <mergeCell ref="D1887:D1889"/>
    <mergeCell ref="AJ1887:AJ1889"/>
    <mergeCell ref="AK1887:AK1889"/>
    <mergeCell ref="AL1887:AL1889"/>
    <mergeCell ref="AM1887:AM1889"/>
    <mergeCell ref="AN1887:AN1889"/>
    <mergeCell ref="AO1887:AO1889"/>
    <mergeCell ref="AP1887:AP1889"/>
    <mergeCell ref="AQ1887:AQ1889"/>
    <mergeCell ref="AR1887:AR1889"/>
    <mergeCell ref="AS1887:AS1889"/>
    <mergeCell ref="A1890:A1892"/>
    <mergeCell ref="B1890:B1892"/>
    <mergeCell ref="C1890:C1892"/>
    <mergeCell ref="D1890:D1892"/>
    <mergeCell ref="AJ1890:AJ1892"/>
    <mergeCell ref="AK1890:AK1892"/>
    <mergeCell ref="AL1890:AL1892"/>
    <mergeCell ref="AM1890:AM1892"/>
    <mergeCell ref="AN1890:AN1892"/>
    <mergeCell ref="AO1890:AO1892"/>
    <mergeCell ref="AP1890:AP1892"/>
    <mergeCell ref="AQ1890:AQ1892"/>
    <mergeCell ref="AR1890:AR1892"/>
    <mergeCell ref="AS1890:AS1892"/>
    <mergeCell ref="A1893:A1895"/>
    <mergeCell ref="B1893:B1895"/>
    <mergeCell ref="C1893:C1895"/>
    <mergeCell ref="D1893:D1895"/>
    <mergeCell ref="AJ1893:AJ1895"/>
    <mergeCell ref="AK1893:AK1895"/>
    <mergeCell ref="AL1893:AL1895"/>
    <mergeCell ref="AM1893:AM1895"/>
    <mergeCell ref="AN1893:AN1895"/>
    <mergeCell ref="AO1893:AO1895"/>
    <mergeCell ref="AP1893:AP1895"/>
    <mergeCell ref="AQ1893:AQ1895"/>
    <mergeCell ref="AR1893:AR1895"/>
    <mergeCell ref="AS1893:AS1895"/>
    <mergeCell ref="A1896:A1898"/>
    <mergeCell ref="B1896:B1898"/>
    <mergeCell ref="C1896:C1898"/>
    <mergeCell ref="D1896:D1898"/>
    <mergeCell ref="AJ1896:AJ1898"/>
    <mergeCell ref="AK1896:AK1898"/>
    <mergeCell ref="AL1896:AL1898"/>
    <mergeCell ref="AM1896:AM1898"/>
    <mergeCell ref="AN1896:AN1898"/>
    <mergeCell ref="AO1896:AO1898"/>
    <mergeCell ref="AP1896:AP1898"/>
    <mergeCell ref="AQ1896:AQ1898"/>
    <mergeCell ref="AR1896:AR1898"/>
    <mergeCell ref="AS1896:AS1898"/>
    <mergeCell ref="A1899:A1901"/>
    <mergeCell ref="B1899:B1901"/>
    <mergeCell ref="C1899:C1901"/>
    <mergeCell ref="D1899:D1901"/>
    <mergeCell ref="AJ1899:AJ1901"/>
    <mergeCell ref="AK1899:AK1901"/>
    <mergeCell ref="AL1899:AL1901"/>
    <mergeCell ref="AM1899:AM1901"/>
    <mergeCell ref="AN1899:AN1901"/>
    <mergeCell ref="AO1899:AO1901"/>
    <mergeCell ref="AP1899:AP1901"/>
    <mergeCell ref="AQ1899:AQ1901"/>
    <mergeCell ref="AR1899:AR1901"/>
    <mergeCell ref="AS1899:AS1901"/>
    <mergeCell ref="A1902:A1904"/>
    <mergeCell ref="B1902:B1904"/>
    <mergeCell ref="C1902:C1904"/>
    <mergeCell ref="D1902:D1904"/>
    <mergeCell ref="AJ1902:AJ1904"/>
    <mergeCell ref="AK1902:AK1904"/>
    <mergeCell ref="AL1902:AL1904"/>
    <mergeCell ref="AM1902:AM1904"/>
    <mergeCell ref="AN1902:AN1904"/>
    <mergeCell ref="AO1902:AO1904"/>
    <mergeCell ref="AP1902:AP1904"/>
    <mergeCell ref="AQ1902:AQ1904"/>
    <mergeCell ref="AR1902:AR1904"/>
    <mergeCell ref="AS1902:AS1904"/>
    <mergeCell ref="A1905:A1907"/>
    <mergeCell ref="B1905:B1907"/>
    <mergeCell ref="C1905:C1907"/>
    <mergeCell ref="D1905:D1907"/>
    <mergeCell ref="AJ1905:AJ1907"/>
    <mergeCell ref="AK1905:AK1907"/>
    <mergeCell ref="AL1905:AL1907"/>
    <mergeCell ref="AM1905:AM1907"/>
    <mergeCell ref="AN1905:AN1907"/>
    <mergeCell ref="AO1905:AO1907"/>
    <mergeCell ref="AP1905:AP1907"/>
    <mergeCell ref="AQ1905:AQ1907"/>
    <mergeCell ref="AR1905:AR1907"/>
    <mergeCell ref="AS1905:AS1907"/>
    <mergeCell ref="A1908:A1910"/>
    <mergeCell ref="B1908:B1910"/>
    <mergeCell ref="C1908:C1910"/>
    <mergeCell ref="D1908:D1910"/>
    <mergeCell ref="AJ1908:AJ1910"/>
    <mergeCell ref="AK1908:AK1910"/>
    <mergeCell ref="AL1908:AL1910"/>
    <mergeCell ref="AM1908:AM1910"/>
    <mergeCell ref="AN1908:AN1910"/>
    <mergeCell ref="AO1908:AO1910"/>
    <mergeCell ref="AP1908:AP1910"/>
    <mergeCell ref="AQ1908:AQ1910"/>
    <mergeCell ref="AR1908:AR1910"/>
    <mergeCell ref="AS1908:AS1910"/>
    <mergeCell ref="A1911:A1913"/>
    <mergeCell ref="B1911:B1913"/>
    <mergeCell ref="C1911:C1913"/>
    <mergeCell ref="D1911:D1913"/>
    <mergeCell ref="AJ1911:AJ1913"/>
    <mergeCell ref="AK1911:AK1913"/>
    <mergeCell ref="AL1911:AL1913"/>
    <mergeCell ref="AM1911:AM1913"/>
    <mergeCell ref="AN1911:AN1913"/>
    <mergeCell ref="AO1911:AO1913"/>
    <mergeCell ref="AP1911:AP1913"/>
    <mergeCell ref="AQ1911:AQ1913"/>
    <mergeCell ref="AR1911:AR1913"/>
    <mergeCell ref="AS1911:AS1913"/>
    <mergeCell ref="A1914:A1916"/>
    <mergeCell ref="B1914:B1916"/>
    <mergeCell ref="C1914:C1916"/>
    <mergeCell ref="D1914:D1916"/>
    <mergeCell ref="AJ1914:AJ1916"/>
    <mergeCell ref="AK1914:AK1916"/>
    <mergeCell ref="AL1914:AL1916"/>
    <mergeCell ref="AM1914:AM1916"/>
    <mergeCell ref="AN1914:AN1916"/>
    <mergeCell ref="AO1914:AO1916"/>
    <mergeCell ref="AP1914:AP1916"/>
    <mergeCell ref="AQ1914:AQ1916"/>
    <mergeCell ref="AR1914:AR1916"/>
    <mergeCell ref="AS1914:AS1916"/>
    <mergeCell ref="A1917:A1919"/>
    <mergeCell ref="B1917:B1919"/>
    <mergeCell ref="C1917:C1919"/>
    <mergeCell ref="D1917:D1919"/>
    <mergeCell ref="AJ1917:AJ1919"/>
    <mergeCell ref="AK1917:AK1919"/>
    <mergeCell ref="AL1917:AL1919"/>
    <mergeCell ref="AM1917:AM1919"/>
    <mergeCell ref="AN1917:AN1919"/>
    <mergeCell ref="AO1917:AO1919"/>
    <mergeCell ref="AP1917:AP1919"/>
    <mergeCell ref="AQ1917:AQ1919"/>
    <mergeCell ref="AR1917:AR1919"/>
    <mergeCell ref="AS1917:AS1919"/>
    <mergeCell ref="A1920:A1922"/>
    <mergeCell ref="B1920:B1922"/>
    <mergeCell ref="C1920:C1922"/>
    <mergeCell ref="D1920:D1922"/>
    <mergeCell ref="AJ1920:AJ1922"/>
    <mergeCell ref="AK1920:AK1922"/>
    <mergeCell ref="AL1920:AL1922"/>
    <mergeCell ref="AM1920:AM1922"/>
    <mergeCell ref="AN1920:AN1922"/>
    <mergeCell ref="AO1920:AO1922"/>
    <mergeCell ref="AP1920:AP1922"/>
    <mergeCell ref="AQ1920:AQ1922"/>
    <mergeCell ref="AR1920:AR1922"/>
    <mergeCell ref="AS1920:AS1922"/>
    <mergeCell ref="A1923:A1925"/>
    <mergeCell ref="B1923:B1925"/>
    <mergeCell ref="C1923:C1925"/>
    <mergeCell ref="D1923:D1925"/>
    <mergeCell ref="AJ1923:AJ1925"/>
    <mergeCell ref="AK1923:AK1925"/>
    <mergeCell ref="AL1923:AL1925"/>
    <mergeCell ref="AM1923:AM1925"/>
    <mergeCell ref="AN1923:AN1925"/>
    <mergeCell ref="AO1923:AO1925"/>
    <mergeCell ref="AP1923:AP1925"/>
    <mergeCell ref="AQ1923:AQ1925"/>
    <mergeCell ref="AR1923:AR1925"/>
    <mergeCell ref="AS1923:AS1925"/>
    <mergeCell ref="A1926:A1928"/>
    <mergeCell ref="B1926:B1928"/>
    <mergeCell ref="C1926:C1928"/>
    <mergeCell ref="D1926:D1928"/>
    <mergeCell ref="AJ1926:AJ1928"/>
    <mergeCell ref="AK1926:AK1928"/>
    <mergeCell ref="AL1926:AL1928"/>
    <mergeCell ref="AM1926:AM1928"/>
    <mergeCell ref="AN1926:AN1928"/>
    <mergeCell ref="AO1926:AO1928"/>
    <mergeCell ref="AP1926:AP1928"/>
    <mergeCell ref="AQ1926:AQ1928"/>
    <mergeCell ref="AR1926:AR1928"/>
    <mergeCell ref="AS1926:AS1928"/>
    <mergeCell ref="A1929:A1931"/>
    <mergeCell ref="B1929:B1931"/>
    <mergeCell ref="C1929:C1931"/>
    <mergeCell ref="D1929:D1931"/>
    <mergeCell ref="AJ1929:AJ1931"/>
    <mergeCell ref="AK1929:AK1931"/>
    <mergeCell ref="AL1929:AL1931"/>
    <mergeCell ref="AM1929:AM1931"/>
    <mergeCell ref="AN1929:AN1931"/>
    <mergeCell ref="AO1929:AO1931"/>
    <mergeCell ref="AP1929:AP1931"/>
    <mergeCell ref="AQ1929:AQ1931"/>
    <mergeCell ref="AR1929:AR1931"/>
    <mergeCell ref="AS1929:AS1931"/>
    <mergeCell ref="A1932:A1934"/>
    <mergeCell ref="B1932:B1934"/>
    <mergeCell ref="C1932:C1934"/>
    <mergeCell ref="D1932:D1934"/>
    <mergeCell ref="AJ1932:AJ1934"/>
    <mergeCell ref="AK1932:AK1934"/>
    <mergeCell ref="AL1932:AL1934"/>
    <mergeCell ref="AM1932:AM1934"/>
    <mergeCell ref="AN1932:AN1934"/>
    <mergeCell ref="AO1932:AO1934"/>
    <mergeCell ref="AP1932:AP1934"/>
    <mergeCell ref="AQ1932:AQ1934"/>
    <mergeCell ref="AR1932:AR1934"/>
    <mergeCell ref="AS1932:AS1934"/>
    <mergeCell ref="A1935:A1937"/>
    <mergeCell ref="B1935:B1937"/>
    <mergeCell ref="C1935:C1937"/>
    <mergeCell ref="D1935:D1937"/>
    <mergeCell ref="AJ1935:AJ1937"/>
    <mergeCell ref="AK1935:AK1937"/>
    <mergeCell ref="AL1935:AL1937"/>
    <mergeCell ref="AM1935:AM1937"/>
    <mergeCell ref="AN1935:AN1937"/>
    <mergeCell ref="AO1935:AO1937"/>
    <mergeCell ref="AP1935:AP1937"/>
    <mergeCell ref="AQ1935:AQ1937"/>
    <mergeCell ref="AR1935:AR1937"/>
    <mergeCell ref="AS1935:AS1937"/>
    <mergeCell ref="A1938:A1940"/>
    <mergeCell ref="B1938:B1940"/>
    <mergeCell ref="C1938:C1940"/>
    <mergeCell ref="D1938:D1940"/>
    <mergeCell ref="AJ1938:AJ1940"/>
    <mergeCell ref="AK1938:AK1940"/>
    <mergeCell ref="AL1938:AL1940"/>
    <mergeCell ref="AM1938:AM1940"/>
    <mergeCell ref="AN1938:AN1940"/>
    <mergeCell ref="AO1938:AO1940"/>
    <mergeCell ref="AP1938:AP1940"/>
    <mergeCell ref="AQ1938:AQ1940"/>
    <mergeCell ref="AR1938:AR1940"/>
    <mergeCell ref="AS1938:AS1940"/>
    <mergeCell ref="A1941:A1943"/>
    <mergeCell ref="B1941:B1943"/>
    <mergeCell ref="C1941:C1943"/>
    <mergeCell ref="D1941:D1943"/>
    <mergeCell ref="AJ1941:AJ1943"/>
    <mergeCell ref="AK1941:AK1943"/>
    <mergeCell ref="AL1941:AL1943"/>
    <mergeCell ref="AM1941:AM1943"/>
    <mergeCell ref="AN1941:AN1943"/>
    <mergeCell ref="AO1941:AO1943"/>
    <mergeCell ref="AP1941:AP1943"/>
    <mergeCell ref="AQ1941:AQ1943"/>
    <mergeCell ref="AR1941:AR1943"/>
    <mergeCell ref="AS1941:AS1943"/>
    <mergeCell ref="A1944:A1946"/>
    <mergeCell ref="B1944:B1946"/>
    <mergeCell ref="C1944:C1946"/>
    <mergeCell ref="D1944:D1946"/>
    <mergeCell ref="AJ1944:AJ1946"/>
    <mergeCell ref="AK1944:AK1946"/>
    <mergeCell ref="AL1944:AL1946"/>
    <mergeCell ref="AM1944:AM1946"/>
    <mergeCell ref="AN1944:AN1946"/>
    <mergeCell ref="AO1944:AO1946"/>
    <mergeCell ref="AP1944:AP1946"/>
    <mergeCell ref="AQ1944:AQ1946"/>
    <mergeCell ref="AR1944:AR1946"/>
    <mergeCell ref="AS1944:AS1946"/>
    <mergeCell ref="A1947:A1949"/>
    <mergeCell ref="B1947:B1949"/>
    <mergeCell ref="C1947:C1949"/>
    <mergeCell ref="D1947:D1949"/>
    <mergeCell ref="AJ1947:AJ1949"/>
    <mergeCell ref="AK1947:AK1949"/>
    <mergeCell ref="AL1947:AL1949"/>
    <mergeCell ref="AM1947:AM1949"/>
    <mergeCell ref="AN1947:AN1949"/>
    <mergeCell ref="AO1947:AO1949"/>
    <mergeCell ref="AP1947:AP1949"/>
    <mergeCell ref="AQ1947:AQ1949"/>
    <mergeCell ref="AR1947:AR1949"/>
    <mergeCell ref="AS1947:AS1949"/>
    <mergeCell ref="A1950:A1952"/>
    <mergeCell ref="B1950:B1952"/>
    <mergeCell ref="C1950:C1952"/>
    <mergeCell ref="D1950:D1952"/>
    <mergeCell ref="AJ1950:AJ1952"/>
    <mergeCell ref="AK1950:AK1952"/>
    <mergeCell ref="AL1950:AL1952"/>
    <mergeCell ref="AM1950:AM1952"/>
    <mergeCell ref="AN1950:AN1952"/>
    <mergeCell ref="AO1950:AO1952"/>
    <mergeCell ref="AP1950:AP1952"/>
    <mergeCell ref="AQ1950:AQ1952"/>
    <mergeCell ref="AR1950:AR1952"/>
    <mergeCell ref="AS1950:AS1952"/>
    <mergeCell ref="A1953:A1955"/>
    <mergeCell ref="B1953:B1955"/>
    <mergeCell ref="C1953:C1955"/>
    <mergeCell ref="D1953:D1955"/>
    <mergeCell ref="AJ1953:AJ1955"/>
    <mergeCell ref="AK1953:AK1955"/>
    <mergeCell ref="AL1953:AL1955"/>
    <mergeCell ref="AM1953:AM1955"/>
    <mergeCell ref="AN1953:AN1955"/>
    <mergeCell ref="AO1953:AO1955"/>
    <mergeCell ref="AP1953:AP1955"/>
    <mergeCell ref="AQ1953:AQ1955"/>
    <mergeCell ref="AR1953:AR1955"/>
    <mergeCell ref="AS1953:AS1955"/>
    <mergeCell ref="A1956:A1958"/>
    <mergeCell ref="B1956:B1958"/>
    <mergeCell ref="C1956:C1958"/>
    <mergeCell ref="D1956:D1958"/>
    <mergeCell ref="AJ1956:AJ1958"/>
    <mergeCell ref="AK1956:AK1958"/>
    <mergeCell ref="AL1956:AL1958"/>
    <mergeCell ref="AM1956:AM1958"/>
    <mergeCell ref="AN1956:AN1958"/>
    <mergeCell ref="AO1956:AO1958"/>
    <mergeCell ref="AP1956:AP1958"/>
    <mergeCell ref="AQ1956:AQ1958"/>
    <mergeCell ref="AR1956:AR1958"/>
    <mergeCell ref="AS1956:AS1958"/>
    <mergeCell ref="A1959:A1961"/>
    <mergeCell ref="B1959:B1961"/>
    <mergeCell ref="C1959:C1961"/>
    <mergeCell ref="D1959:D1961"/>
    <mergeCell ref="AJ1959:AJ1961"/>
    <mergeCell ref="AK1959:AK1961"/>
    <mergeCell ref="AL1959:AL1961"/>
    <mergeCell ref="AM1959:AM1961"/>
    <mergeCell ref="AN1959:AN1961"/>
    <mergeCell ref="AO1959:AO1961"/>
    <mergeCell ref="AP1959:AP1961"/>
    <mergeCell ref="AQ1959:AQ1961"/>
    <mergeCell ref="AR1959:AR1961"/>
    <mergeCell ref="AS1959:AS1961"/>
    <mergeCell ref="A1962:A1964"/>
    <mergeCell ref="B1962:B1964"/>
    <mergeCell ref="C1962:C1964"/>
    <mergeCell ref="D1962:D1964"/>
    <mergeCell ref="AJ1962:AJ1964"/>
    <mergeCell ref="AK1962:AK1964"/>
    <mergeCell ref="AL1962:AL1964"/>
    <mergeCell ref="AM1962:AM1964"/>
    <mergeCell ref="AN1962:AN1964"/>
    <mergeCell ref="AO1962:AO1964"/>
    <mergeCell ref="AP1962:AP1964"/>
    <mergeCell ref="AQ1962:AQ1964"/>
    <mergeCell ref="AR1962:AR1964"/>
    <mergeCell ref="AS1962:AS1964"/>
    <mergeCell ref="A1965:A1967"/>
    <mergeCell ref="B1965:B1967"/>
    <mergeCell ref="C1965:C1967"/>
    <mergeCell ref="D1965:D1967"/>
    <mergeCell ref="AJ1965:AJ1967"/>
    <mergeCell ref="AK1965:AK1967"/>
    <mergeCell ref="AL1965:AL1967"/>
    <mergeCell ref="AM1965:AM1967"/>
    <mergeCell ref="AN1965:AN1967"/>
    <mergeCell ref="AO1965:AO1967"/>
    <mergeCell ref="AP1965:AP1967"/>
    <mergeCell ref="AQ1965:AQ1967"/>
    <mergeCell ref="AR1965:AR1967"/>
    <mergeCell ref="AS1965:AS1967"/>
    <mergeCell ref="A1968:A1970"/>
    <mergeCell ref="B1968:B1970"/>
    <mergeCell ref="C1968:C1970"/>
    <mergeCell ref="D1968:D1970"/>
    <mergeCell ref="AJ1968:AJ1970"/>
    <mergeCell ref="AK1968:AK1970"/>
    <mergeCell ref="AL1968:AL1970"/>
    <mergeCell ref="AM1968:AM1970"/>
    <mergeCell ref="AN1968:AN1970"/>
    <mergeCell ref="AO1968:AO1970"/>
    <mergeCell ref="AP1968:AP1970"/>
    <mergeCell ref="AQ1968:AQ1970"/>
    <mergeCell ref="AR1968:AR1970"/>
    <mergeCell ref="AS1968:AS1970"/>
    <mergeCell ref="A1971:A1973"/>
    <mergeCell ref="B1971:B1973"/>
    <mergeCell ref="C1971:C1973"/>
    <mergeCell ref="D1971:D1973"/>
    <mergeCell ref="AJ1971:AJ1973"/>
    <mergeCell ref="AK1971:AK1973"/>
    <mergeCell ref="AL1971:AL1973"/>
    <mergeCell ref="AM1971:AM1973"/>
    <mergeCell ref="AN1971:AN1973"/>
    <mergeCell ref="AO1971:AO1973"/>
    <mergeCell ref="AP1971:AP1973"/>
    <mergeCell ref="AQ1971:AQ1973"/>
    <mergeCell ref="AR1971:AR1973"/>
    <mergeCell ref="AS1971:AS1973"/>
    <mergeCell ref="A1974:A1976"/>
    <mergeCell ref="B1974:B1976"/>
    <mergeCell ref="C1974:C1976"/>
    <mergeCell ref="D1974:D1976"/>
    <mergeCell ref="AJ1974:AJ1976"/>
    <mergeCell ref="AK1974:AK1976"/>
    <mergeCell ref="AL1974:AL1976"/>
    <mergeCell ref="AM1974:AM1976"/>
    <mergeCell ref="AN1974:AN1976"/>
    <mergeCell ref="AO1974:AO1976"/>
    <mergeCell ref="AP1974:AP1976"/>
    <mergeCell ref="AQ1974:AQ1976"/>
    <mergeCell ref="AR1974:AR1976"/>
    <mergeCell ref="AS1974:AS1976"/>
    <mergeCell ref="A1977:A1979"/>
    <mergeCell ref="B1977:B1979"/>
    <mergeCell ref="C1977:C1979"/>
    <mergeCell ref="D1977:D1979"/>
    <mergeCell ref="AJ1977:AJ1979"/>
    <mergeCell ref="AK1977:AK1979"/>
    <mergeCell ref="AL1977:AL1979"/>
    <mergeCell ref="AM1977:AM1979"/>
    <mergeCell ref="AN1977:AN1979"/>
    <mergeCell ref="AO1977:AO1979"/>
    <mergeCell ref="AP1977:AP1979"/>
    <mergeCell ref="AQ1977:AQ1979"/>
    <mergeCell ref="AR1977:AR1979"/>
    <mergeCell ref="AS1977:AS1979"/>
    <mergeCell ref="A1980:A1982"/>
    <mergeCell ref="B1980:B1982"/>
    <mergeCell ref="C1980:C1982"/>
    <mergeCell ref="D1980:D1982"/>
    <mergeCell ref="AJ1980:AJ1982"/>
    <mergeCell ref="AK1980:AK1982"/>
    <mergeCell ref="AL1980:AL1982"/>
    <mergeCell ref="AM1980:AM1982"/>
    <mergeCell ref="AN1980:AN1982"/>
    <mergeCell ref="AO1980:AO1982"/>
    <mergeCell ref="AP1980:AP1982"/>
    <mergeCell ref="AQ1980:AQ1982"/>
    <mergeCell ref="AR1980:AR1982"/>
    <mergeCell ref="AS1980:AS1982"/>
    <mergeCell ref="A1983:A1985"/>
    <mergeCell ref="B1983:B1985"/>
    <mergeCell ref="C1983:C1985"/>
    <mergeCell ref="D1983:D1985"/>
    <mergeCell ref="AJ1983:AJ1985"/>
    <mergeCell ref="AK1983:AK1985"/>
    <mergeCell ref="AL1983:AL1985"/>
    <mergeCell ref="AM1983:AM1985"/>
    <mergeCell ref="AN1983:AN1985"/>
    <mergeCell ref="AO1983:AO1985"/>
    <mergeCell ref="AP1983:AP1985"/>
    <mergeCell ref="AQ1983:AQ1985"/>
    <mergeCell ref="AR1983:AR1985"/>
    <mergeCell ref="AS1983:AS1985"/>
    <mergeCell ref="A1986:A1988"/>
    <mergeCell ref="B1986:B1988"/>
    <mergeCell ref="C1986:C1988"/>
    <mergeCell ref="D1986:D1988"/>
    <mergeCell ref="AJ1986:AJ1988"/>
    <mergeCell ref="AK1986:AK1988"/>
    <mergeCell ref="AL1986:AL1988"/>
    <mergeCell ref="AM1986:AM1988"/>
    <mergeCell ref="AN1986:AN1988"/>
    <mergeCell ref="AO1986:AO1988"/>
    <mergeCell ref="AP1986:AP1988"/>
    <mergeCell ref="AQ1986:AQ1988"/>
    <mergeCell ref="AR1986:AR1988"/>
    <mergeCell ref="AS1986:AS1988"/>
    <mergeCell ref="A1989:A1991"/>
    <mergeCell ref="B1989:B1991"/>
    <mergeCell ref="C1989:C1991"/>
    <mergeCell ref="D1989:D1991"/>
    <mergeCell ref="AJ1989:AJ1991"/>
    <mergeCell ref="AK1989:AK1991"/>
    <mergeCell ref="AL1989:AL1991"/>
    <mergeCell ref="AM1989:AM1991"/>
    <mergeCell ref="AN1989:AN1991"/>
    <mergeCell ref="AO1989:AO1991"/>
    <mergeCell ref="AP1989:AP1991"/>
    <mergeCell ref="AQ1989:AQ1991"/>
    <mergeCell ref="AR1989:AR1991"/>
    <mergeCell ref="AS1989:AS1991"/>
    <mergeCell ref="A1992:A1994"/>
    <mergeCell ref="B1992:B1994"/>
    <mergeCell ref="C1992:C1994"/>
    <mergeCell ref="D1992:D1994"/>
    <mergeCell ref="AJ1992:AJ1994"/>
    <mergeCell ref="AK1992:AK1994"/>
    <mergeCell ref="AL1992:AL1994"/>
    <mergeCell ref="AM1992:AM1994"/>
    <mergeCell ref="AN1992:AN1994"/>
    <mergeCell ref="AO1992:AO1994"/>
    <mergeCell ref="AP1992:AP1994"/>
    <mergeCell ref="AQ1992:AQ1994"/>
    <mergeCell ref="AR1992:AR1994"/>
    <mergeCell ref="AS1992:AS1994"/>
    <mergeCell ref="A1995:A1997"/>
    <mergeCell ref="B1995:B1997"/>
    <mergeCell ref="C1995:C1997"/>
    <mergeCell ref="D1995:D1997"/>
    <mergeCell ref="AJ1995:AJ1997"/>
    <mergeCell ref="AK1995:AK1997"/>
    <mergeCell ref="AL1995:AL1997"/>
    <mergeCell ref="AM1995:AM1997"/>
    <mergeCell ref="AN1995:AN1997"/>
    <mergeCell ref="AO1995:AO1997"/>
    <mergeCell ref="AP1995:AP1997"/>
    <mergeCell ref="AQ1995:AQ1997"/>
    <mergeCell ref="AR1995:AR1997"/>
    <mergeCell ref="AS1995:AS1997"/>
    <mergeCell ref="A1998:A2000"/>
    <mergeCell ref="B1998:B2000"/>
    <mergeCell ref="C1998:C2000"/>
    <mergeCell ref="D1998:D2000"/>
    <mergeCell ref="AJ1998:AJ2000"/>
    <mergeCell ref="AK1998:AK2000"/>
    <mergeCell ref="AL1998:AL2000"/>
    <mergeCell ref="AM1998:AM2000"/>
    <mergeCell ref="AN1998:AN2000"/>
    <mergeCell ref="AO1998:AO2000"/>
    <mergeCell ref="AP1998:AP2000"/>
    <mergeCell ref="AQ1998:AQ2000"/>
    <mergeCell ref="AR1998:AR2000"/>
    <mergeCell ref="AS1998:AS2000"/>
    <mergeCell ref="A2001:A2003"/>
    <mergeCell ref="B2001:B2003"/>
    <mergeCell ref="C2001:C2003"/>
    <mergeCell ref="D2001:D2003"/>
    <mergeCell ref="AJ2001:AJ2003"/>
    <mergeCell ref="AK2001:AK2003"/>
    <mergeCell ref="AL2001:AL2003"/>
    <mergeCell ref="AM2001:AM2003"/>
    <mergeCell ref="AN2001:AN2003"/>
    <mergeCell ref="AO2001:AO2003"/>
    <mergeCell ref="AP2001:AP2003"/>
    <mergeCell ref="AQ2001:AQ2003"/>
    <mergeCell ref="AR2001:AR2003"/>
    <mergeCell ref="AS2001:AS2003"/>
    <mergeCell ref="A2004:A2006"/>
    <mergeCell ref="B2004:B2006"/>
    <mergeCell ref="C2004:C2006"/>
    <mergeCell ref="D2004:D2006"/>
    <mergeCell ref="AJ2004:AJ2006"/>
    <mergeCell ref="AK2004:AK2006"/>
    <mergeCell ref="AL2004:AL2006"/>
    <mergeCell ref="AM2004:AM2006"/>
    <mergeCell ref="AN2004:AN2006"/>
    <mergeCell ref="AO2004:AO2006"/>
    <mergeCell ref="AP2004:AP2006"/>
    <mergeCell ref="AQ2004:AQ2006"/>
    <mergeCell ref="AR2004:AR2006"/>
    <mergeCell ref="AS2004:AS2006"/>
    <mergeCell ref="A2007:A2009"/>
    <mergeCell ref="B2007:B2009"/>
    <mergeCell ref="C2007:C2009"/>
    <mergeCell ref="D2007:D2009"/>
    <mergeCell ref="AJ2007:AJ2009"/>
    <mergeCell ref="AK2007:AK2009"/>
    <mergeCell ref="AL2007:AL2009"/>
    <mergeCell ref="AM2007:AM2009"/>
    <mergeCell ref="AN2007:AN2009"/>
    <mergeCell ref="AO2007:AO2009"/>
    <mergeCell ref="AP2007:AP2009"/>
    <mergeCell ref="AQ2007:AQ2009"/>
    <mergeCell ref="AR2007:AR2009"/>
    <mergeCell ref="AS2007:AS2009"/>
    <mergeCell ref="A2010:A2012"/>
    <mergeCell ref="B2010:B2012"/>
    <mergeCell ref="C2010:C2012"/>
    <mergeCell ref="D2010:D2012"/>
    <mergeCell ref="AJ2010:AJ2012"/>
    <mergeCell ref="AK2010:AK2012"/>
    <mergeCell ref="AL2010:AL2012"/>
    <mergeCell ref="AM2010:AM2012"/>
    <mergeCell ref="AN2010:AN2012"/>
    <mergeCell ref="AO2010:AO2012"/>
    <mergeCell ref="AP2010:AP2012"/>
    <mergeCell ref="AQ2010:AQ2012"/>
    <mergeCell ref="AR2010:AR2012"/>
    <mergeCell ref="AS2010:AS2012"/>
    <mergeCell ref="A2013:A2015"/>
    <mergeCell ref="B2013:B2015"/>
    <mergeCell ref="C2013:C2015"/>
    <mergeCell ref="D2013:D2015"/>
    <mergeCell ref="AJ2013:AJ2015"/>
    <mergeCell ref="AK2013:AK2015"/>
    <mergeCell ref="AL2013:AL2015"/>
    <mergeCell ref="AM2013:AM2015"/>
    <mergeCell ref="AN2013:AN2015"/>
    <mergeCell ref="AO2013:AO2015"/>
    <mergeCell ref="AP2013:AP2015"/>
    <mergeCell ref="AQ2013:AQ2015"/>
    <mergeCell ref="AR2013:AR2015"/>
    <mergeCell ref="AS2013:AS2015"/>
    <mergeCell ref="A2016:A2018"/>
    <mergeCell ref="B2016:B2018"/>
    <mergeCell ref="C2016:C2018"/>
    <mergeCell ref="D2016:D2018"/>
    <mergeCell ref="AJ2016:AJ2018"/>
    <mergeCell ref="AK2016:AK2018"/>
    <mergeCell ref="AL2016:AL2018"/>
    <mergeCell ref="AM2016:AM2018"/>
    <mergeCell ref="AN2016:AN2018"/>
    <mergeCell ref="AO2016:AO2018"/>
    <mergeCell ref="AP2016:AP2018"/>
    <mergeCell ref="AQ2016:AQ2018"/>
    <mergeCell ref="AR2016:AR2018"/>
    <mergeCell ref="AS2016:AS2018"/>
    <mergeCell ref="A2019:A2021"/>
    <mergeCell ref="B2019:B2021"/>
    <mergeCell ref="C2019:C2021"/>
    <mergeCell ref="D2019:D2021"/>
    <mergeCell ref="AJ2019:AJ2021"/>
    <mergeCell ref="AK2019:AK2021"/>
    <mergeCell ref="AL2019:AL2021"/>
    <mergeCell ref="AM2019:AM2021"/>
    <mergeCell ref="AN2019:AN2021"/>
    <mergeCell ref="AO2019:AO2021"/>
    <mergeCell ref="AP2019:AP2021"/>
    <mergeCell ref="AQ2019:AQ2021"/>
    <mergeCell ref="AR2019:AR2021"/>
    <mergeCell ref="AS2019:AS2021"/>
    <mergeCell ref="A2022:A2024"/>
    <mergeCell ref="B2022:B2024"/>
    <mergeCell ref="C2022:C2024"/>
    <mergeCell ref="D2022:D2024"/>
    <mergeCell ref="AJ2022:AJ2024"/>
    <mergeCell ref="AK2022:AK2024"/>
    <mergeCell ref="AL2022:AL2024"/>
    <mergeCell ref="AM2022:AM2024"/>
    <mergeCell ref="AN2022:AN2024"/>
    <mergeCell ref="AO2022:AO2024"/>
    <mergeCell ref="AP2022:AP2024"/>
    <mergeCell ref="AQ2022:AQ2024"/>
    <mergeCell ref="AR2022:AR2024"/>
    <mergeCell ref="AS2022:AS2024"/>
    <mergeCell ref="A2025:A2027"/>
    <mergeCell ref="B2025:B2027"/>
    <mergeCell ref="C2025:C2027"/>
    <mergeCell ref="D2025:D2027"/>
    <mergeCell ref="AJ2025:AJ2027"/>
    <mergeCell ref="AK2025:AK2027"/>
    <mergeCell ref="AL2025:AL2027"/>
    <mergeCell ref="AM2025:AM2027"/>
    <mergeCell ref="AN2025:AN2027"/>
    <mergeCell ref="AO2025:AO2027"/>
    <mergeCell ref="AP2025:AP2027"/>
    <mergeCell ref="AQ2025:AQ2027"/>
    <mergeCell ref="AR2025:AR2027"/>
    <mergeCell ref="AS2025:AS2027"/>
    <mergeCell ref="A2028:A2030"/>
    <mergeCell ref="B2028:B2030"/>
    <mergeCell ref="C2028:C2030"/>
    <mergeCell ref="D2028:D2030"/>
    <mergeCell ref="AJ2028:AJ2030"/>
    <mergeCell ref="AK2028:AK2030"/>
    <mergeCell ref="AL2028:AL2030"/>
    <mergeCell ref="AM2028:AM2030"/>
    <mergeCell ref="AN2028:AN2030"/>
    <mergeCell ref="AO2028:AO2030"/>
    <mergeCell ref="AP2028:AP2030"/>
    <mergeCell ref="AQ2028:AQ2030"/>
    <mergeCell ref="AR2028:AR2030"/>
    <mergeCell ref="AS2028:AS2030"/>
    <mergeCell ref="A2031:A2033"/>
    <mergeCell ref="B2031:B2033"/>
    <mergeCell ref="C2031:C2033"/>
    <mergeCell ref="D2031:D2033"/>
    <mergeCell ref="AJ2031:AJ2033"/>
    <mergeCell ref="AK2031:AK2033"/>
    <mergeCell ref="AL2031:AL2033"/>
    <mergeCell ref="AM2031:AM2033"/>
    <mergeCell ref="AN2031:AN2033"/>
    <mergeCell ref="AO2031:AO2033"/>
    <mergeCell ref="AP2031:AP2033"/>
    <mergeCell ref="AQ2031:AQ2033"/>
    <mergeCell ref="AR2031:AR2033"/>
    <mergeCell ref="AS2031:AS2033"/>
    <mergeCell ref="A2034:A2036"/>
    <mergeCell ref="B2034:B2036"/>
    <mergeCell ref="C2034:C2036"/>
    <mergeCell ref="D2034:D2036"/>
    <mergeCell ref="AJ2034:AJ2036"/>
    <mergeCell ref="AK2034:AK2036"/>
    <mergeCell ref="AL2034:AL2036"/>
    <mergeCell ref="AM2034:AM2036"/>
    <mergeCell ref="AN2034:AN2036"/>
    <mergeCell ref="AO2034:AO2036"/>
    <mergeCell ref="AP2034:AP2036"/>
    <mergeCell ref="AQ2034:AQ2036"/>
    <mergeCell ref="AR2034:AR2036"/>
    <mergeCell ref="AS2034:AS2036"/>
    <mergeCell ref="A2037:A2039"/>
    <mergeCell ref="B2037:B2039"/>
    <mergeCell ref="C2037:C2039"/>
    <mergeCell ref="D2037:D2039"/>
    <mergeCell ref="AJ2037:AJ2039"/>
    <mergeCell ref="AK2037:AK2039"/>
    <mergeCell ref="AL2037:AL2039"/>
    <mergeCell ref="AM2037:AM2039"/>
    <mergeCell ref="AN2037:AN2039"/>
    <mergeCell ref="AO2037:AO2039"/>
    <mergeCell ref="AP2037:AP2039"/>
    <mergeCell ref="AQ2037:AQ2039"/>
    <mergeCell ref="AR2037:AR2039"/>
    <mergeCell ref="AS2037:AS2039"/>
    <mergeCell ref="A2040:A2042"/>
    <mergeCell ref="B2040:B2042"/>
    <mergeCell ref="C2040:C2042"/>
    <mergeCell ref="D2040:D2042"/>
    <mergeCell ref="AJ2040:AJ2042"/>
    <mergeCell ref="AK2040:AK2042"/>
    <mergeCell ref="AL2040:AL2042"/>
    <mergeCell ref="AM2040:AM2042"/>
    <mergeCell ref="AN2040:AN2042"/>
    <mergeCell ref="AO2040:AO2042"/>
    <mergeCell ref="AP2040:AP2042"/>
    <mergeCell ref="AQ2040:AQ2042"/>
    <mergeCell ref="AR2040:AR2042"/>
    <mergeCell ref="AS2040:AS2042"/>
    <mergeCell ref="A2043:A2045"/>
    <mergeCell ref="B2043:B2045"/>
    <mergeCell ref="C2043:C2045"/>
    <mergeCell ref="D2043:D2045"/>
    <mergeCell ref="AJ2043:AJ2045"/>
    <mergeCell ref="AK2043:AK2045"/>
    <mergeCell ref="AL2043:AL2045"/>
    <mergeCell ref="AM2043:AM2045"/>
    <mergeCell ref="AN2043:AN2045"/>
    <mergeCell ref="AO2043:AO2045"/>
    <mergeCell ref="AP2043:AP2045"/>
    <mergeCell ref="AQ2043:AQ2045"/>
    <mergeCell ref="AR2043:AR2045"/>
    <mergeCell ref="AS2043:AS2045"/>
    <mergeCell ref="A2046:A2048"/>
    <mergeCell ref="B2046:B2048"/>
    <mergeCell ref="C2046:C2048"/>
    <mergeCell ref="D2046:D2048"/>
    <mergeCell ref="AJ2046:AJ2048"/>
    <mergeCell ref="AK2046:AK2048"/>
    <mergeCell ref="AL2046:AL2048"/>
    <mergeCell ref="AM2046:AM2048"/>
    <mergeCell ref="AN2046:AN2048"/>
    <mergeCell ref="AO2046:AO2048"/>
    <mergeCell ref="AP2046:AP2048"/>
    <mergeCell ref="AQ2046:AQ2048"/>
    <mergeCell ref="AR2046:AR2048"/>
    <mergeCell ref="AS2046:AS2048"/>
    <mergeCell ref="A2049:A2051"/>
    <mergeCell ref="B2049:B2051"/>
    <mergeCell ref="C2049:C2051"/>
    <mergeCell ref="D2049:D2051"/>
    <mergeCell ref="AJ2049:AJ2051"/>
    <mergeCell ref="AK2049:AK2051"/>
    <mergeCell ref="AL2049:AL2051"/>
    <mergeCell ref="AM2049:AM2051"/>
    <mergeCell ref="AN2049:AN2051"/>
    <mergeCell ref="AO2049:AO2051"/>
    <mergeCell ref="AP2049:AP2051"/>
    <mergeCell ref="AQ2049:AQ2051"/>
    <mergeCell ref="AR2049:AR2051"/>
    <mergeCell ref="AS2049:AS2051"/>
    <mergeCell ref="A2052:A2054"/>
    <mergeCell ref="B2052:B2054"/>
    <mergeCell ref="C2052:C2054"/>
    <mergeCell ref="D2052:D2054"/>
    <mergeCell ref="AJ2052:AJ2054"/>
    <mergeCell ref="AK2052:AK2054"/>
    <mergeCell ref="AL2052:AL2054"/>
    <mergeCell ref="AM2052:AM2054"/>
    <mergeCell ref="AN2052:AN2054"/>
    <mergeCell ref="AO2052:AO2054"/>
    <mergeCell ref="AP2052:AP2054"/>
    <mergeCell ref="AQ2052:AQ2054"/>
    <mergeCell ref="AR2052:AR2054"/>
    <mergeCell ref="AS2052:AS2054"/>
    <mergeCell ref="A2055:A2057"/>
    <mergeCell ref="B2055:B2057"/>
    <mergeCell ref="C2055:C2057"/>
    <mergeCell ref="D2055:D2057"/>
    <mergeCell ref="AJ2055:AJ2057"/>
    <mergeCell ref="AK2055:AK2057"/>
    <mergeCell ref="AL2055:AL2057"/>
    <mergeCell ref="AM2055:AM2057"/>
    <mergeCell ref="AN2055:AN2057"/>
    <mergeCell ref="AO2055:AO2057"/>
    <mergeCell ref="AP2055:AP2057"/>
    <mergeCell ref="AQ2055:AQ2057"/>
    <mergeCell ref="AR2055:AR2057"/>
    <mergeCell ref="AS2055:AS2057"/>
    <mergeCell ref="A2058:A2060"/>
    <mergeCell ref="B2058:B2060"/>
    <mergeCell ref="C2058:C2060"/>
    <mergeCell ref="D2058:D2060"/>
    <mergeCell ref="AJ2058:AJ2060"/>
    <mergeCell ref="AK2058:AK2060"/>
    <mergeCell ref="AL2058:AL2060"/>
    <mergeCell ref="AM2058:AM2060"/>
    <mergeCell ref="AN2058:AN2060"/>
    <mergeCell ref="AO2058:AO2060"/>
    <mergeCell ref="AP2058:AP2060"/>
    <mergeCell ref="AQ2058:AQ2060"/>
    <mergeCell ref="AR2058:AR2060"/>
    <mergeCell ref="AS2058:AS2060"/>
    <mergeCell ref="A2061:A2063"/>
    <mergeCell ref="B2061:B2063"/>
    <mergeCell ref="C2061:C2063"/>
    <mergeCell ref="D2061:D2063"/>
    <mergeCell ref="AJ2061:AJ2063"/>
    <mergeCell ref="AK2061:AK2063"/>
    <mergeCell ref="AL2061:AL2063"/>
    <mergeCell ref="AM2061:AM2063"/>
    <mergeCell ref="AN2061:AN2063"/>
    <mergeCell ref="AO2061:AO2063"/>
    <mergeCell ref="AP2061:AP2063"/>
    <mergeCell ref="AQ2061:AQ2063"/>
    <mergeCell ref="AR2061:AR2063"/>
    <mergeCell ref="AS2061:AS2063"/>
    <mergeCell ref="A2064:A2066"/>
    <mergeCell ref="B2064:B2066"/>
    <mergeCell ref="C2064:C2066"/>
    <mergeCell ref="D2064:D2066"/>
    <mergeCell ref="AJ2064:AJ2066"/>
    <mergeCell ref="AK2064:AK2066"/>
    <mergeCell ref="AL2064:AL2066"/>
    <mergeCell ref="AM2064:AM2066"/>
    <mergeCell ref="AN2064:AN2066"/>
    <mergeCell ref="AO2064:AO2066"/>
    <mergeCell ref="AP2064:AP2066"/>
    <mergeCell ref="AQ2064:AQ2066"/>
    <mergeCell ref="AR2064:AR2066"/>
    <mergeCell ref="AS2064:AS2066"/>
    <mergeCell ref="A2067:A2069"/>
    <mergeCell ref="B2067:B2069"/>
    <mergeCell ref="C2067:C2069"/>
    <mergeCell ref="D2067:D2069"/>
    <mergeCell ref="AJ2067:AJ2069"/>
    <mergeCell ref="AK2067:AK2069"/>
    <mergeCell ref="AL2067:AL2069"/>
    <mergeCell ref="AM2067:AM2069"/>
    <mergeCell ref="AN2067:AN2069"/>
    <mergeCell ref="AO2067:AO2069"/>
    <mergeCell ref="AP2067:AP2069"/>
    <mergeCell ref="AQ2067:AQ2069"/>
    <mergeCell ref="AR2067:AR2069"/>
    <mergeCell ref="AS2067:AS2069"/>
    <mergeCell ref="A2070:A2072"/>
    <mergeCell ref="B2070:B2072"/>
    <mergeCell ref="C2070:C2072"/>
    <mergeCell ref="D2070:D2072"/>
    <mergeCell ref="AJ2070:AJ2072"/>
    <mergeCell ref="AK2070:AK2072"/>
    <mergeCell ref="AL2070:AL2072"/>
    <mergeCell ref="AM2070:AM2072"/>
    <mergeCell ref="AN2070:AN2072"/>
    <mergeCell ref="AO2070:AO2072"/>
    <mergeCell ref="AP2070:AP2072"/>
    <mergeCell ref="AQ2070:AQ2072"/>
    <mergeCell ref="AR2070:AR2072"/>
    <mergeCell ref="AS2070:AS2072"/>
    <mergeCell ref="A2073:A2075"/>
    <mergeCell ref="B2073:B2075"/>
    <mergeCell ref="C2073:C2075"/>
    <mergeCell ref="D2073:D2075"/>
    <mergeCell ref="AJ2073:AJ2075"/>
    <mergeCell ref="AK2073:AK2075"/>
    <mergeCell ref="AL2073:AL2075"/>
    <mergeCell ref="AM2073:AM2075"/>
    <mergeCell ref="AN2073:AN2075"/>
    <mergeCell ref="AO2073:AO2075"/>
    <mergeCell ref="AP2073:AP2075"/>
    <mergeCell ref="AQ2073:AQ2075"/>
    <mergeCell ref="AR2073:AR2075"/>
    <mergeCell ref="AS2073:AS2075"/>
    <mergeCell ref="A2076:A2078"/>
    <mergeCell ref="B2076:B2078"/>
    <mergeCell ref="C2076:C2078"/>
    <mergeCell ref="D2076:D2078"/>
    <mergeCell ref="AJ2076:AJ2078"/>
    <mergeCell ref="AK2076:AK2078"/>
    <mergeCell ref="AL2076:AL2078"/>
    <mergeCell ref="AM2076:AM2078"/>
    <mergeCell ref="AN2076:AN2078"/>
    <mergeCell ref="AO2076:AO2078"/>
    <mergeCell ref="AP2076:AP2078"/>
    <mergeCell ref="AQ2076:AQ2078"/>
    <mergeCell ref="AR2076:AR2078"/>
    <mergeCell ref="AS2076:AS2078"/>
    <mergeCell ref="A2079:A2081"/>
    <mergeCell ref="B2079:B2081"/>
    <mergeCell ref="C2079:C2081"/>
    <mergeCell ref="D2079:D2081"/>
    <mergeCell ref="AJ2079:AJ2081"/>
    <mergeCell ref="AK2079:AK2081"/>
    <mergeCell ref="AL2079:AL2081"/>
    <mergeCell ref="AM2079:AM2081"/>
    <mergeCell ref="AN2079:AN2081"/>
    <mergeCell ref="AO2079:AO2081"/>
    <mergeCell ref="AP2079:AP2081"/>
    <mergeCell ref="AQ2079:AQ2081"/>
    <mergeCell ref="AR2079:AR2081"/>
    <mergeCell ref="AS2079:AS2081"/>
    <mergeCell ref="A2082:A2084"/>
    <mergeCell ref="B2082:B2084"/>
    <mergeCell ref="C2082:C2084"/>
    <mergeCell ref="D2082:D2084"/>
    <mergeCell ref="AJ2082:AJ2084"/>
    <mergeCell ref="AK2082:AK2084"/>
    <mergeCell ref="AL2082:AL2084"/>
    <mergeCell ref="AM2082:AM2084"/>
    <mergeCell ref="AN2082:AN2084"/>
    <mergeCell ref="AO2082:AO2084"/>
    <mergeCell ref="AP2082:AP2084"/>
    <mergeCell ref="AQ2082:AQ2084"/>
    <mergeCell ref="AR2082:AR2084"/>
    <mergeCell ref="AS2082:AS2084"/>
    <mergeCell ref="A2085:A2087"/>
    <mergeCell ref="B2085:B2087"/>
    <mergeCell ref="C2085:C2087"/>
    <mergeCell ref="D2085:D2087"/>
    <mergeCell ref="AJ2085:AJ2087"/>
    <mergeCell ref="AK2085:AK2087"/>
    <mergeCell ref="AL2085:AL2087"/>
    <mergeCell ref="AM2085:AM2087"/>
    <mergeCell ref="AN2085:AN2087"/>
    <mergeCell ref="AO2085:AO2087"/>
    <mergeCell ref="AP2085:AP2087"/>
    <mergeCell ref="AQ2085:AQ2087"/>
    <mergeCell ref="AR2085:AR2087"/>
    <mergeCell ref="AS2085:AS2087"/>
    <mergeCell ref="A2088:A2090"/>
    <mergeCell ref="B2088:B2090"/>
    <mergeCell ref="C2088:C2090"/>
    <mergeCell ref="D2088:D2090"/>
    <mergeCell ref="AJ2088:AJ2090"/>
    <mergeCell ref="AK2088:AK2090"/>
    <mergeCell ref="AL2088:AL2090"/>
    <mergeCell ref="AM2088:AM2090"/>
    <mergeCell ref="AN2088:AN2090"/>
    <mergeCell ref="AO2088:AO2090"/>
    <mergeCell ref="AP2088:AP2090"/>
    <mergeCell ref="AQ2088:AQ2090"/>
    <mergeCell ref="AR2088:AR2090"/>
    <mergeCell ref="AS2088:AS2090"/>
    <mergeCell ref="A2091:A2093"/>
    <mergeCell ref="B2091:B2093"/>
    <mergeCell ref="C2091:C2093"/>
    <mergeCell ref="D2091:D2093"/>
    <mergeCell ref="AJ2091:AJ2093"/>
    <mergeCell ref="AK2091:AK2093"/>
    <mergeCell ref="AL2091:AL2093"/>
    <mergeCell ref="AM2091:AM2093"/>
    <mergeCell ref="AN2091:AN2093"/>
    <mergeCell ref="AO2091:AO2093"/>
    <mergeCell ref="AP2091:AP2093"/>
    <mergeCell ref="AQ2091:AQ2093"/>
    <mergeCell ref="AR2091:AR2093"/>
    <mergeCell ref="AS2091:AS2093"/>
    <mergeCell ref="A2094:A2096"/>
    <mergeCell ref="B2094:B2096"/>
    <mergeCell ref="C2094:C2096"/>
    <mergeCell ref="D2094:D2096"/>
    <mergeCell ref="AJ2094:AJ2096"/>
    <mergeCell ref="AK2094:AK2096"/>
    <mergeCell ref="AL2094:AL2096"/>
    <mergeCell ref="AM2094:AM2096"/>
    <mergeCell ref="AN2094:AN2096"/>
    <mergeCell ref="AO2094:AO2096"/>
    <mergeCell ref="AP2094:AP2096"/>
    <mergeCell ref="AQ2094:AQ2096"/>
    <mergeCell ref="AR2094:AR2096"/>
    <mergeCell ref="AS2094:AS2096"/>
    <mergeCell ref="A2097:A2099"/>
    <mergeCell ref="B2097:B2099"/>
    <mergeCell ref="C2097:C2099"/>
    <mergeCell ref="D2097:D2099"/>
    <mergeCell ref="AJ2097:AJ2099"/>
    <mergeCell ref="AK2097:AK2099"/>
    <mergeCell ref="AL2097:AL2099"/>
    <mergeCell ref="AM2097:AM2099"/>
    <mergeCell ref="AN2097:AN2099"/>
    <mergeCell ref="AO2097:AO2099"/>
    <mergeCell ref="AP2097:AP2099"/>
    <mergeCell ref="AQ2097:AQ2099"/>
    <mergeCell ref="AR2097:AR2099"/>
    <mergeCell ref="AS2097:AS2099"/>
    <mergeCell ref="A2100:A2102"/>
    <mergeCell ref="B2100:B2102"/>
    <mergeCell ref="C2100:C2102"/>
    <mergeCell ref="D2100:D2102"/>
    <mergeCell ref="AJ2100:AJ2102"/>
    <mergeCell ref="AK2100:AK2102"/>
    <mergeCell ref="AL2100:AL2102"/>
    <mergeCell ref="AM2100:AM2102"/>
    <mergeCell ref="AN2100:AN2102"/>
    <mergeCell ref="AO2100:AO2102"/>
    <mergeCell ref="AP2100:AP2102"/>
    <mergeCell ref="AQ2100:AQ2102"/>
    <mergeCell ref="AR2100:AR2102"/>
    <mergeCell ref="AS2100:AS2102"/>
    <mergeCell ref="A2103:A2105"/>
    <mergeCell ref="B2103:B2105"/>
    <mergeCell ref="C2103:C2105"/>
    <mergeCell ref="D2103:D2105"/>
    <mergeCell ref="AJ2103:AJ2105"/>
    <mergeCell ref="AK2103:AK2105"/>
    <mergeCell ref="AL2103:AL2105"/>
    <mergeCell ref="AM2103:AM2105"/>
    <mergeCell ref="AN2103:AN2105"/>
    <mergeCell ref="AO2103:AO2105"/>
    <mergeCell ref="AP2103:AP2105"/>
    <mergeCell ref="AQ2103:AQ2105"/>
    <mergeCell ref="AR2103:AR2105"/>
    <mergeCell ref="AS2103:AS2105"/>
    <mergeCell ref="A2106:A2108"/>
    <mergeCell ref="B2106:B2108"/>
    <mergeCell ref="C2106:C2108"/>
    <mergeCell ref="D2106:D2108"/>
    <mergeCell ref="AJ2106:AJ2108"/>
    <mergeCell ref="AK2106:AK2108"/>
    <mergeCell ref="AL2106:AL2108"/>
    <mergeCell ref="AM2106:AM2108"/>
    <mergeCell ref="AN2106:AN2108"/>
    <mergeCell ref="AO2106:AO2108"/>
    <mergeCell ref="AP2106:AP2108"/>
    <mergeCell ref="AQ2106:AQ2108"/>
    <mergeCell ref="AR2106:AR2108"/>
    <mergeCell ref="AS2106:AS2108"/>
    <mergeCell ref="A2109:A2111"/>
    <mergeCell ref="B2109:B2111"/>
    <mergeCell ref="C2109:C2111"/>
    <mergeCell ref="D2109:D2111"/>
    <mergeCell ref="AJ2109:AJ2111"/>
    <mergeCell ref="AK2109:AK2111"/>
    <mergeCell ref="AL2109:AL2111"/>
    <mergeCell ref="AM2109:AM2111"/>
    <mergeCell ref="AN2109:AN2111"/>
    <mergeCell ref="AO2109:AO2111"/>
    <mergeCell ref="AP2109:AP2111"/>
    <mergeCell ref="AQ2109:AQ2111"/>
    <mergeCell ref="AR2109:AR2111"/>
    <mergeCell ref="AS2109:AS2111"/>
    <mergeCell ref="A2112:A2114"/>
    <mergeCell ref="B2112:B2114"/>
    <mergeCell ref="C2112:C2114"/>
    <mergeCell ref="D2112:D2114"/>
    <mergeCell ref="AJ2112:AJ2114"/>
    <mergeCell ref="AK2112:AK2114"/>
    <mergeCell ref="AL2112:AL2114"/>
    <mergeCell ref="AM2112:AM2114"/>
    <mergeCell ref="AN2112:AN2114"/>
    <mergeCell ref="AO2112:AO2114"/>
    <mergeCell ref="AP2112:AP2114"/>
    <mergeCell ref="AQ2112:AQ2114"/>
    <mergeCell ref="AR2112:AR2114"/>
    <mergeCell ref="AS2112:AS2114"/>
    <mergeCell ref="A2115:A2117"/>
    <mergeCell ref="B2115:B2117"/>
    <mergeCell ref="C2115:C2117"/>
    <mergeCell ref="D2115:D2117"/>
    <mergeCell ref="AJ2115:AJ2117"/>
    <mergeCell ref="AK2115:AK2117"/>
    <mergeCell ref="AL2115:AL2117"/>
    <mergeCell ref="AM2115:AM2117"/>
    <mergeCell ref="AN2115:AN2117"/>
    <mergeCell ref="AO2115:AO2117"/>
    <mergeCell ref="AP2115:AP2117"/>
    <mergeCell ref="AQ2115:AQ2117"/>
    <mergeCell ref="AR2115:AR2117"/>
    <mergeCell ref="AS2115:AS2117"/>
    <mergeCell ref="A2118:A2120"/>
    <mergeCell ref="B2118:B2120"/>
    <mergeCell ref="C2118:C2120"/>
    <mergeCell ref="D2118:D2120"/>
    <mergeCell ref="AJ2118:AJ2120"/>
    <mergeCell ref="AK2118:AK2120"/>
    <mergeCell ref="AL2118:AL2120"/>
    <mergeCell ref="AM2118:AM2120"/>
    <mergeCell ref="AN2118:AN2120"/>
    <mergeCell ref="AO2118:AO2120"/>
    <mergeCell ref="AP2118:AP2120"/>
    <mergeCell ref="AQ2118:AQ2120"/>
    <mergeCell ref="AR2118:AR2120"/>
    <mergeCell ref="AS2118:AS2120"/>
    <mergeCell ref="A2121:A2123"/>
    <mergeCell ref="B2121:B2123"/>
    <mergeCell ref="C2121:C2123"/>
    <mergeCell ref="D2121:D2123"/>
    <mergeCell ref="AJ2121:AJ2123"/>
    <mergeCell ref="AK2121:AK2123"/>
    <mergeCell ref="AL2121:AL2123"/>
    <mergeCell ref="AM2121:AM2123"/>
    <mergeCell ref="AN2121:AN2123"/>
    <mergeCell ref="AO2121:AO2123"/>
    <mergeCell ref="AP2121:AP2123"/>
    <mergeCell ref="AQ2121:AQ2123"/>
    <mergeCell ref="AR2121:AR2123"/>
    <mergeCell ref="AS2121:AS2123"/>
    <mergeCell ref="A2124:A2126"/>
    <mergeCell ref="B2124:B2126"/>
    <mergeCell ref="C2124:C2126"/>
    <mergeCell ref="D2124:D2126"/>
    <mergeCell ref="AJ2124:AJ2126"/>
    <mergeCell ref="AK2124:AK2126"/>
    <mergeCell ref="AL2124:AL2126"/>
    <mergeCell ref="AM2124:AM2126"/>
    <mergeCell ref="AN2124:AN2126"/>
    <mergeCell ref="AO2124:AO2126"/>
    <mergeCell ref="AP2124:AP2126"/>
    <mergeCell ref="AQ2124:AQ2126"/>
    <mergeCell ref="AR2124:AR2126"/>
    <mergeCell ref="AS2124:AS2126"/>
    <mergeCell ref="A2127:A2129"/>
    <mergeCell ref="B2127:B2129"/>
    <mergeCell ref="C2127:C2129"/>
    <mergeCell ref="D2127:D2129"/>
    <mergeCell ref="AJ2127:AJ2129"/>
    <mergeCell ref="AK2127:AK2129"/>
    <mergeCell ref="AL2127:AL2129"/>
    <mergeCell ref="AM2127:AM2129"/>
    <mergeCell ref="AN2127:AN2129"/>
    <mergeCell ref="AO2127:AO2129"/>
    <mergeCell ref="AP2127:AP2129"/>
    <mergeCell ref="AQ2127:AQ2129"/>
    <mergeCell ref="AR2127:AR2129"/>
    <mergeCell ref="AS2127:AS2129"/>
    <mergeCell ref="A2130:A2132"/>
    <mergeCell ref="B2130:B2132"/>
    <mergeCell ref="C2130:C2132"/>
    <mergeCell ref="D2130:D2132"/>
    <mergeCell ref="AJ2130:AJ2132"/>
    <mergeCell ref="AK2130:AK2132"/>
    <mergeCell ref="AL2130:AL2132"/>
    <mergeCell ref="AM2130:AM2132"/>
    <mergeCell ref="AN2130:AN2132"/>
    <mergeCell ref="AO2130:AO2132"/>
    <mergeCell ref="AP2130:AP2132"/>
    <mergeCell ref="AQ2130:AQ2132"/>
    <mergeCell ref="AR2130:AR2132"/>
    <mergeCell ref="AS2130:AS2132"/>
    <mergeCell ref="A2133:A2135"/>
    <mergeCell ref="B2133:B2135"/>
    <mergeCell ref="C2133:C2135"/>
    <mergeCell ref="D2133:D2135"/>
    <mergeCell ref="AJ2133:AJ2135"/>
    <mergeCell ref="AK2133:AK2135"/>
    <mergeCell ref="AL2133:AL2135"/>
    <mergeCell ref="AM2133:AM2135"/>
    <mergeCell ref="AN2133:AN2135"/>
    <mergeCell ref="AO2133:AO2135"/>
    <mergeCell ref="AP2133:AP2135"/>
    <mergeCell ref="AQ2133:AQ2135"/>
    <mergeCell ref="AR2133:AR2135"/>
    <mergeCell ref="AS2133:AS2135"/>
    <mergeCell ref="A2136:A2138"/>
    <mergeCell ref="B2136:B2138"/>
    <mergeCell ref="C2136:C2138"/>
    <mergeCell ref="D2136:D2138"/>
    <mergeCell ref="AJ2136:AJ2138"/>
    <mergeCell ref="AK2136:AK2138"/>
    <mergeCell ref="AL2136:AL2138"/>
    <mergeCell ref="AM2136:AM2138"/>
    <mergeCell ref="AN2136:AN2138"/>
    <mergeCell ref="AO2136:AO2138"/>
    <mergeCell ref="AP2136:AP2138"/>
    <mergeCell ref="AQ2136:AQ2138"/>
    <mergeCell ref="AR2136:AR2138"/>
    <mergeCell ref="AS2136:AS2138"/>
    <mergeCell ref="A2139:A2141"/>
    <mergeCell ref="B2139:B2141"/>
    <mergeCell ref="C2139:C2141"/>
    <mergeCell ref="D2139:D2141"/>
    <mergeCell ref="AJ2139:AJ2141"/>
    <mergeCell ref="AK2139:AK2141"/>
    <mergeCell ref="AL2139:AL2141"/>
    <mergeCell ref="AM2139:AM2141"/>
    <mergeCell ref="AN2139:AN2141"/>
    <mergeCell ref="AO2139:AO2141"/>
    <mergeCell ref="AP2139:AP2141"/>
    <mergeCell ref="AQ2139:AQ2141"/>
    <mergeCell ref="AR2139:AR2141"/>
    <mergeCell ref="AS2139:AS2141"/>
    <mergeCell ref="A2142:A2144"/>
    <mergeCell ref="B2142:B2144"/>
    <mergeCell ref="C2142:C2144"/>
    <mergeCell ref="D2142:D2144"/>
    <mergeCell ref="AJ2142:AJ2144"/>
    <mergeCell ref="AK2142:AK2144"/>
    <mergeCell ref="AL2142:AL2144"/>
    <mergeCell ref="AM2142:AM2144"/>
    <mergeCell ref="AN2142:AN2144"/>
    <mergeCell ref="AO2142:AO2144"/>
    <mergeCell ref="AP2142:AP2144"/>
    <mergeCell ref="AQ2142:AQ2144"/>
    <mergeCell ref="AR2142:AR2144"/>
    <mergeCell ref="AS2142:AS2144"/>
    <mergeCell ref="A2145:A2147"/>
    <mergeCell ref="B2145:B2147"/>
    <mergeCell ref="C2145:C2147"/>
    <mergeCell ref="D2145:D2147"/>
    <mergeCell ref="AJ2145:AJ2147"/>
    <mergeCell ref="AK2145:AK2147"/>
    <mergeCell ref="AL2145:AL2147"/>
    <mergeCell ref="AM2145:AM2147"/>
    <mergeCell ref="AN2145:AN2147"/>
    <mergeCell ref="AO2145:AO2147"/>
    <mergeCell ref="AP2145:AP2147"/>
    <mergeCell ref="AQ2145:AQ2147"/>
    <mergeCell ref="AR2145:AR2147"/>
    <mergeCell ref="AS2145:AS2147"/>
    <mergeCell ref="A2148:A2150"/>
    <mergeCell ref="B2148:B2150"/>
    <mergeCell ref="C2148:C2150"/>
    <mergeCell ref="D2148:D2150"/>
    <mergeCell ref="AJ2148:AJ2150"/>
    <mergeCell ref="AK2148:AK2150"/>
    <mergeCell ref="AL2148:AL2150"/>
    <mergeCell ref="AM2148:AM2150"/>
    <mergeCell ref="AN2148:AN2150"/>
    <mergeCell ref="AO2148:AO2150"/>
    <mergeCell ref="AP2148:AP2150"/>
    <mergeCell ref="AQ2148:AQ2150"/>
    <mergeCell ref="AR2148:AR2150"/>
    <mergeCell ref="AS2148:AS2150"/>
    <mergeCell ref="A2151:A2153"/>
    <mergeCell ref="B2151:B2153"/>
    <mergeCell ref="C2151:C2153"/>
    <mergeCell ref="D2151:D2153"/>
    <mergeCell ref="AJ2151:AJ2153"/>
    <mergeCell ref="AK2151:AK2153"/>
    <mergeCell ref="AL2151:AL2153"/>
    <mergeCell ref="AM2151:AM2153"/>
    <mergeCell ref="AN2151:AN2153"/>
    <mergeCell ref="AO2151:AO2153"/>
    <mergeCell ref="AP2151:AP2153"/>
    <mergeCell ref="AQ2151:AQ2153"/>
    <mergeCell ref="AR2151:AR2153"/>
    <mergeCell ref="AS2151:AS2153"/>
    <mergeCell ref="A2154:A2156"/>
    <mergeCell ref="B2154:B2156"/>
    <mergeCell ref="C2154:C2156"/>
    <mergeCell ref="D2154:D2156"/>
    <mergeCell ref="AJ2154:AJ2156"/>
    <mergeCell ref="AK2154:AK2156"/>
    <mergeCell ref="AL2154:AL2156"/>
    <mergeCell ref="AM2154:AM2156"/>
    <mergeCell ref="AN2154:AN2156"/>
    <mergeCell ref="AO2154:AO2156"/>
    <mergeCell ref="AP2154:AP2156"/>
    <mergeCell ref="AQ2154:AQ2156"/>
    <mergeCell ref="AR2154:AR2156"/>
    <mergeCell ref="AS2154:AS2156"/>
    <mergeCell ref="A2157:A2159"/>
    <mergeCell ref="B2157:B2159"/>
    <mergeCell ref="C2157:C2159"/>
    <mergeCell ref="D2157:D2159"/>
    <mergeCell ref="AJ2157:AJ2159"/>
    <mergeCell ref="AK2157:AK2159"/>
    <mergeCell ref="AL2157:AL2159"/>
    <mergeCell ref="AM2157:AM2159"/>
    <mergeCell ref="AN2157:AN2159"/>
    <mergeCell ref="AO2157:AO2159"/>
    <mergeCell ref="AP2157:AP2159"/>
    <mergeCell ref="AQ2157:AQ2159"/>
    <mergeCell ref="AR2157:AR2159"/>
    <mergeCell ref="AS2157:AS2159"/>
    <mergeCell ref="A2160:A2162"/>
    <mergeCell ref="B2160:B2162"/>
    <mergeCell ref="C2160:C2162"/>
    <mergeCell ref="D2160:D2162"/>
    <mergeCell ref="AJ2160:AJ2162"/>
    <mergeCell ref="AK2160:AK2162"/>
    <mergeCell ref="AL2160:AL2162"/>
    <mergeCell ref="AM2160:AM2162"/>
    <mergeCell ref="AN2160:AN2162"/>
    <mergeCell ref="AO2160:AO2162"/>
    <mergeCell ref="AP2160:AP2162"/>
    <mergeCell ref="AQ2160:AQ2162"/>
    <mergeCell ref="AR2160:AR2162"/>
    <mergeCell ref="AS2160:AS2162"/>
    <mergeCell ref="A2163:A2165"/>
    <mergeCell ref="B2163:B2165"/>
    <mergeCell ref="C2163:C2165"/>
    <mergeCell ref="D2163:D2165"/>
    <mergeCell ref="AJ2163:AJ2165"/>
    <mergeCell ref="AK2163:AK2165"/>
    <mergeCell ref="AL2163:AL2165"/>
    <mergeCell ref="AM2163:AM2165"/>
    <mergeCell ref="AN2163:AN2165"/>
    <mergeCell ref="AO2163:AO2165"/>
    <mergeCell ref="AP2163:AP2165"/>
    <mergeCell ref="AQ2163:AQ2165"/>
    <mergeCell ref="AR2163:AR2165"/>
    <mergeCell ref="AS2163:AS2165"/>
    <mergeCell ref="A2166:A2168"/>
    <mergeCell ref="B2166:B2168"/>
    <mergeCell ref="C2166:C2168"/>
    <mergeCell ref="D2166:D2168"/>
    <mergeCell ref="AJ2166:AJ2168"/>
    <mergeCell ref="AK2166:AK2168"/>
    <mergeCell ref="AL2166:AL2168"/>
    <mergeCell ref="AM2166:AM2168"/>
    <mergeCell ref="AN2166:AN2168"/>
    <mergeCell ref="AO2166:AO2168"/>
    <mergeCell ref="AP2166:AP2168"/>
    <mergeCell ref="AQ2166:AQ2168"/>
    <mergeCell ref="AR2166:AR2168"/>
    <mergeCell ref="AS2166:AS2168"/>
    <mergeCell ref="A2169:A2171"/>
    <mergeCell ref="B2169:B2171"/>
    <mergeCell ref="C2169:C2171"/>
    <mergeCell ref="D2169:D2171"/>
    <mergeCell ref="AJ2169:AJ2171"/>
    <mergeCell ref="AK2169:AK2171"/>
    <mergeCell ref="AL2169:AL2171"/>
    <mergeCell ref="AM2169:AM2171"/>
    <mergeCell ref="AN2169:AN2171"/>
    <mergeCell ref="AO2169:AO2171"/>
    <mergeCell ref="AP2169:AP2171"/>
    <mergeCell ref="AQ2169:AQ2171"/>
    <mergeCell ref="AR2169:AR2171"/>
    <mergeCell ref="AS2169:AS2171"/>
    <mergeCell ref="A2172:A2174"/>
    <mergeCell ref="B2172:B2174"/>
    <mergeCell ref="C2172:C2174"/>
    <mergeCell ref="D2172:D2174"/>
    <mergeCell ref="AJ2172:AJ2174"/>
    <mergeCell ref="AK2172:AK2174"/>
    <mergeCell ref="AL2172:AL2174"/>
    <mergeCell ref="AM2172:AM2174"/>
    <mergeCell ref="AN2172:AN2174"/>
    <mergeCell ref="AO2172:AO2174"/>
    <mergeCell ref="AP2172:AP2174"/>
    <mergeCell ref="AQ2172:AQ2174"/>
    <mergeCell ref="AR2172:AR2174"/>
    <mergeCell ref="AS2172:AS2174"/>
    <mergeCell ref="A2175:A2177"/>
    <mergeCell ref="B2175:B2177"/>
    <mergeCell ref="C2175:C2177"/>
    <mergeCell ref="D2175:D2177"/>
    <mergeCell ref="AJ2175:AJ2177"/>
    <mergeCell ref="AK2175:AK2177"/>
    <mergeCell ref="AL2175:AL2177"/>
    <mergeCell ref="AM2175:AM2177"/>
    <mergeCell ref="AN2175:AN2177"/>
    <mergeCell ref="AO2175:AO2177"/>
    <mergeCell ref="AP2175:AP2177"/>
    <mergeCell ref="AQ2175:AQ2177"/>
    <mergeCell ref="AR2175:AR2177"/>
    <mergeCell ref="AS2175:AS2177"/>
    <mergeCell ref="A2178:A2180"/>
    <mergeCell ref="B2178:B2180"/>
    <mergeCell ref="C2178:C2180"/>
    <mergeCell ref="D2178:D2180"/>
    <mergeCell ref="AJ2178:AJ2180"/>
    <mergeCell ref="AK2178:AK2180"/>
    <mergeCell ref="AL2178:AL2180"/>
    <mergeCell ref="AM2178:AM2180"/>
    <mergeCell ref="AN2178:AN2180"/>
    <mergeCell ref="AO2178:AO2180"/>
    <mergeCell ref="AP2178:AP2180"/>
    <mergeCell ref="AQ2178:AQ2180"/>
    <mergeCell ref="AR2178:AR2180"/>
    <mergeCell ref="AS2178:AS2180"/>
    <mergeCell ref="A2181:A2183"/>
    <mergeCell ref="B2181:B2183"/>
    <mergeCell ref="C2181:C2183"/>
    <mergeCell ref="D2181:D2183"/>
    <mergeCell ref="AJ2181:AJ2183"/>
    <mergeCell ref="AK2181:AK2183"/>
    <mergeCell ref="AL2181:AL2183"/>
    <mergeCell ref="AM2181:AM2183"/>
    <mergeCell ref="AN2181:AN2183"/>
    <mergeCell ref="AO2181:AO2183"/>
    <mergeCell ref="AP2181:AP2183"/>
    <mergeCell ref="AQ2181:AQ2183"/>
    <mergeCell ref="AR2181:AR2183"/>
    <mergeCell ref="AS2181:AS2183"/>
    <mergeCell ref="A2184:A2186"/>
    <mergeCell ref="B2184:B2186"/>
    <mergeCell ref="C2184:C2186"/>
    <mergeCell ref="D2184:D2186"/>
    <mergeCell ref="AJ2184:AJ2186"/>
    <mergeCell ref="AK2184:AK2186"/>
    <mergeCell ref="AL2184:AL2186"/>
    <mergeCell ref="AM2184:AM2186"/>
    <mergeCell ref="AN2184:AN2186"/>
    <mergeCell ref="AO2184:AO2186"/>
    <mergeCell ref="AP2184:AP2186"/>
    <mergeCell ref="AQ2184:AQ2186"/>
    <mergeCell ref="AR2184:AR2186"/>
    <mergeCell ref="AS2184:AS2186"/>
    <mergeCell ref="A2187:A2189"/>
    <mergeCell ref="B2187:B2189"/>
    <mergeCell ref="C2187:C2189"/>
    <mergeCell ref="D2187:D2189"/>
    <mergeCell ref="AJ2187:AJ2189"/>
    <mergeCell ref="AK2187:AK2189"/>
    <mergeCell ref="AL2187:AL2189"/>
    <mergeCell ref="AM2187:AM2189"/>
    <mergeCell ref="AN2187:AN2189"/>
    <mergeCell ref="AO2187:AO2189"/>
    <mergeCell ref="AP2187:AP2189"/>
    <mergeCell ref="AQ2187:AQ2189"/>
    <mergeCell ref="AR2187:AR2189"/>
    <mergeCell ref="AS2187:AS2189"/>
    <mergeCell ref="A2190:A2192"/>
    <mergeCell ref="B2190:B2192"/>
    <mergeCell ref="C2190:C2192"/>
    <mergeCell ref="D2190:D2192"/>
    <mergeCell ref="AJ2190:AJ2192"/>
    <mergeCell ref="AK2190:AK2192"/>
    <mergeCell ref="AL2190:AL2192"/>
    <mergeCell ref="AM2190:AM2192"/>
    <mergeCell ref="AN2190:AN2192"/>
    <mergeCell ref="AO2190:AO2192"/>
    <mergeCell ref="AP2190:AP2192"/>
    <mergeCell ref="AQ2190:AQ2192"/>
    <mergeCell ref="AR2190:AR2192"/>
    <mergeCell ref="AS2190:AS2192"/>
    <mergeCell ref="A2193:A2195"/>
    <mergeCell ref="B2193:B2195"/>
    <mergeCell ref="C2193:C2195"/>
    <mergeCell ref="D2193:D2195"/>
    <mergeCell ref="AJ2193:AJ2195"/>
    <mergeCell ref="AK2193:AK2195"/>
    <mergeCell ref="AL2193:AL2195"/>
    <mergeCell ref="AM2193:AM2195"/>
    <mergeCell ref="AN2193:AN2195"/>
    <mergeCell ref="AO2193:AO2195"/>
    <mergeCell ref="AP2193:AP2195"/>
    <mergeCell ref="AQ2193:AQ2195"/>
    <mergeCell ref="AR2193:AR2195"/>
    <mergeCell ref="AS2193:AS2195"/>
    <mergeCell ref="A2196:A2198"/>
    <mergeCell ref="B2196:B2198"/>
    <mergeCell ref="C2196:C2198"/>
    <mergeCell ref="D2196:D2198"/>
    <mergeCell ref="AJ2196:AJ2198"/>
    <mergeCell ref="AK2196:AK2198"/>
    <mergeCell ref="AL2196:AL2198"/>
    <mergeCell ref="AM2196:AM2198"/>
    <mergeCell ref="AN2196:AN2198"/>
    <mergeCell ref="AO2196:AO2198"/>
    <mergeCell ref="AP2196:AP2198"/>
    <mergeCell ref="AQ2196:AQ2198"/>
    <mergeCell ref="AR2196:AR2198"/>
    <mergeCell ref="AS2196:AS2198"/>
    <mergeCell ref="A2199:A2201"/>
    <mergeCell ref="B2199:B2201"/>
    <mergeCell ref="C2199:C2201"/>
    <mergeCell ref="D2199:D2201"/>
    <mergeCell ref="AJ2199:AJ2201"/>
    <mergeCell ref="AK2199:AK2201"/>
    <mergeCell ref="AL2199:AL2201"/>
    <mergeCell ref="AM2199:AM2201"/>
    <mergeCell ref="AN2199:AN2201"/>
    <mergeCell ref="AO2199:AO2201"/>
    <mergeCell ref="AP2199:AP2201"/>
    <mergeCell ref="AQ2199:AQ2201"/>
    <mergeCell ref="AR2199:AR2201"/>
    <mergeCell ref="AS2199:AS2201"/>
    <mergeCell ref="A2202:A2204"/>
    <mergeCell ref="B2202:B2204"/>
    <mergeCell ref="C2202:C2204"/>
    <mergeCell ref="D2202:D2204"/>
    <mergeCell ref="AJ2202:AJ2204"/>
    <mergeCell ref="AK2202:AK2204"/>
    <mergeCell ref="AL2202:AL2204"/>
    <mergeCell ref="AM2202:AM2204"/>
    <mergeCell ref="AN2202:AN2204"/>
    <mergeCell ref="AO2202:AO2204"/>
    <mergeCell ref="AP2202:AP2204"/>
    <mergeCell ref="AQ2202:AQ2204"/>
    <mergeCell ref="AR2202:AR2204"/>
    <mergeCell ref="AS2202:AS2204"/>
    <mergeCell ref="A2205:A2207"/>
    <mergeCell ref="B2205:B2207"/>
    <mergeCell ref="C2205:C2207"/>
    <mergeCell ref="D2205:D2207"/>
    <mergeCell ref="AJ2205:AJ2207"/>
    <mergeCell ref="AK2205:AK2207"/>
    <mergeCell ref="AL2205:AL2207"/>
    <mergeCell ref="AM2205:AM2207"/>
    <mergeCell ref="AN2205:AN2207"/>
    <mergeCell ref="AO2205:AO2207"/>
    <mergeCell ref="AP2205:AP2207"/>
    <mergeCell ref="AQ2205:AQ2207"/>
    <mergeCell ref="AR2205:AR2207"/>
    <mergeCell ref="AS2205:AS2207"/>
    <mergeCell ref="A2208:A2210"/>
    <mergeCell ref="B2208:B2210"/>
    <mergeCell ref="C2208:C2210"/>
    <mergeCell ref="D2208:D2210"/>
    <mergeCell ref="AJ2208:AJ2210"/>
    <mergeCell ref="AK2208:AK2210"/>
    <mergeCell ref="AL2208:AL2210"/>
    <mergeCell ref="AM2208:AM2210"/>
    <mergeCell ref="AN2208:AN2210"/>
    <mergeCell ref="AO2208:AO2210"/>
    <mergeCell ref="AP2208:AP2210"/>
    <mergeCell ref="AQ2208:AQ2210"/>
    <mergeCell ref="AR2208:AR2210"/>
    <mergeCell ref="AS2208:AS2210"/>
    <mergeCell ref="A2211:A2213"/>
    <mergeCell ref="B2211:B2213"/>
    <mergeCell ref="C2211:C2213"/>
    <mergeCell ref="D2211:D2213"/>
    <mergeCell ref="AJ2211:AJ2213"/>
    <mergeCell ref="AK2211:AK2213"/>
    <mergeCell ref="AL2211:AL2213"/>
    <mergeCell ref="AM2211:AM2213"/>
    <mergeCell ref="AN2211:AN2213"/>
    <mergeCell ref="AO2211:AO2213"/>
    <mergeCell ref="AP2211:AP2213"/>
    <mergeCell ref="AQ2211:AQ2213"/>
    <mergeCell ref="AR2211:AR2213"/>
    <mergeCell ref="AS2211:AS2213"/>
    <mergeCell ref="A2214:A2216"/>
    <mergeCell ref="B2214:B2216"/>
    <mergeCell ref="C2214:C2216"/>
    <mergeCell ref="D2214:D2216"/>
    <mergeCell ref="AJ2214:AJ2216"/>
    <mergeCell ref="AK2214:AK2216"/>
    <mergeCell ref="AL2214:AL2216"/>
    <mergeCell ref="AM2214:AM2216"/>
    <mergeCell ref="AN2214:AN2216"/>
    <mergeCell ref="AO2214:AO2216"/>
    <mergeCell ref="AP2214:AP2216"/>
    <mergeCell ref="AQ2214:AQ2216"/>
    <mergeCell ref="AR2214:AR2216"/>
    <mergeCell ref="AS2214:AS2216"/>
    <mergeCell ref="A2217:A2219"/>
    <mergeCell ref="B2217:B2219"/>
    <mergeCell ref="C2217:C2219"/>
    <mergeCell ref="D2217:D2219"/>
    <mergeCell ref="AJ2217:AJ2219"/>
    <mergeCell ref="AK2217:AK2219"/>
    <mergeCell ref="AL2217:AL2219"/>
    <mergeCell ref="AM2217:AM2219"/>
    <mergeCell ref="AN2217:AN2219"/>
    <mergeCell ref="AO2217:AO2219"/>
    <mergeCell ref="AP2217:AP2219"/>
    <mergeCell ref="AQ2217:AQ2219"/>
    <mergeCell ref="AR2217:AR2219"/>
    <mergeCell ref="AS2217:AS2219"/>
    <mergeCell ref="A2220:A2222"/>
    <mergeCell ref="B2220:B2222"/>
    <mergeCell ref="C2220:C2222"/>
    <mergeCell ref="D2220:D2222"/>
    <mergeCell ref="AJ2220:AJ2222"/>
    <mergeCell ref="AK2220:AK2222"/>
    <mergeCell ref="AL2220:AL2222"/>
    <mergeCell ref="AM2220:AM2222"/>
    <mergeCell ref="AN2220:AN2222"/>
    <mergeCell ref="AO2220:AO2222"/>
    <mergeCell ref="AP2220:AP2222"/>
    <mergeCell ref="AQ2220:AQ2222"/>
    <mergeCell ref="AR2220:AR2222"/>
    <mergeCell ref="AS2220:AS2222"/>
    <mergeCell ref="A2223:A2225"/>
    <mergeCell ref="B2223:B2225"/>
    <mergeCell ref="C2223:C2225"/>
    <mergeCell ref="D2223:D2225"/>
    <mergeCell ref="AJ2223:AJ2225"/>
    <mergeCell ref="AK2223:AK2225"/>
    <mergeCell ref="AL2223:AL2225"/>
    <mergeCell ref="AM2223:AM2225"/>
    <mergeCell ref="AN2223:AN2225"/>
    <mergeCell ref="AO2223:AO2225"/>
    <mergeCell ref="AP2223:AP2225"/>
    <mergeCell ref="AQ2223:AQ2225"/>
    <mergeCell ref="AR2223:AR2225"/>
    <mergeCell ref="AS2223:AS2225"/>
    <mergeCell ref="A2226:A2228"/>
    <mergeCell ref="B2226:B2228"/>
    <mergeCell ref="C2226:C2228"/>
    <mergeCell ref="D2226:D2228"/>
    <mergeCell ref="AJ2226:AJ2228"/>
    <mergeCell ref="AK2226:AK2228"/>
    <mergeCell ref="AL2226:AL2228"/>
    <mergeCell ref="AM2226:AM2228"/>
    <mergeCell ref="AN2226:AN2228"/>
    <mergeCell ref="AO2226:AO2228"/>
    <mergeCell ref="AP2226:AP2228"/>
    <mergeCell ref="AQ2226:AQ2228"/>
    <mergeCell ref="AR2226:AR2228"/>
    <mergeCell ref="AS2226:AS2228"/>
    <mergeCell ref="A2229:A2231"/>
    <mergeCell ref="B2229:B2231"/>
    <mergeCell ref="C2229:C2231"/>
    <mergeCell ref="D2229:D2231"/>
    <mergeCell ref="AJ2229:AJ2231"/>
    <mergeCell ref="AK2229:AK2231"/>
    <mergeCell ref="AL2229:AL2231"/>
    <mergeCell ref="AM2229:AM2231"/>
    <mergeCell ref="AN2229:AN2231"/>
    <mergeCell ref="AO2229:AO2231"/>
    <mergeCell ref="AP2229:AP2231"/>
    <mergeCell ref="AQ2229:AQ2231"/>
    <mergeCell ref="AR2229:AR2231"/>
    <mergeCell ref="AS2229:AS2231"/>
    <mergeCell ref="A2232:A2234"/>
    <mergeCell ref="B2232:B2234"/>
    <mergeCell ref="C2232:C2234"/>
    <mergeCell ref="D2232:D2234"/>
    <mergeCell ref="AJ2232:AJ2234"/>
    <mergeCell ref="AK2232:AK2234"/>
    <mergeCell ref="AL2232:AL2234"/>
    <mergeCell ref="AM2232:AM2234"/>
    <mergeCell ref="AN2232:AN2234"/>
    <mergeCell ref="AO2232:AO2234"/>
    <mergeCell ref="AP2232:AP2234"/>
    <mergeCell ref="AQ2232:AQ2234"/>
    <mergeCell ref="AR2232:AR2234"/>
    <mergeCell ref="AS2232:AS2234"/>
    <mergeCell ref="A2235:A2237"/>
    <mergeCell ref="B2235:B2237"/>
    <mergeCell ref="C2235:C2237"/>
    <mergeCell ref="D2235:D2237"/>
    <mergeCell ref="AJ2235:AJ2237"/>
    <mergeCell ref="AK2235:AK2237"/>
    <mergeCell ref="AL2235:AL2237"/>
    <mergeCell ref="AM2235:AM2237"/>
    <mergeCell ref="AN2235:AN2237"/>
    <mergeCell ref="AO2235:AO2237"/>
    <mergeCell ref="AP2235:AP2237"/>
    <mergeCell ref="AQ2235:AQ2237"/>
    <mergeCell ref="AR2235:AR2237"/>
    <mergeCell ref="AS2235:AS2237"/>
    <mergeCell ref="A2238:A2240"/>
    <mergeCell ref="B2238:B2240"/>
    <mergeCell ref="C2238:C2240"/>
    <mergeCell ref="D2238:D2240"/>
    <mergeCell ref="AJ2238:AJ2240"/>
    <mergeCell ref="AK2238:AK2240"/>
    <mergeCell ref="AL2238:AL2240"/>
    <mergeCell ref="AM2238:AM2240"/>
    <mergeCell ref="AN2238:AN2240"/>
    <mergeCell ref="AO2238:AO2240"/>
    <mergeCell ref="AP2238:AP2240"/>
    <mergeCell ref="AQ2238:AQ2240"/>
    <mergeCell ref="AR2238:AR2240"/>
    <mergeCell ref="AS2238:AS2240"/>
    <mergeCell ref="A2241:A2243"/>
    <mergeCell ref="B2241:B2243"/>
    <mergeCell ref="C2241:C2243"/>
    <mergeCell ref="D2241:D2243"/>
    <mergeCell ref="AJ2241:AJ2243"/>
    <mergeCell ref="AK2241:AK2243"/>
    <mergeCell ref="AL2241:AL2243"/>
    <mergeCell ref="AM2241:AM2243"/>
    <mergeCell ref="AN2241:AN2243"/>
    <mergeCell ref="AO2241:AO2243"/>
    <mergeCell ref="AP2241:AP2243"/>
    <mergeCell ref="AQ2241:AQ2243"/>
    <mergeCell ref="AR2241:AR2243"/>
    <mergeCell ref="AS2241:AS2243"/>
    <mergeCell ref="A2244:A2246"/>
    <mergeCell ref="B2244:B2246"/>
    <mergeCell ref="C2244:C2246"/>
    <mergeCell ref="D2244:D2246"/>
    <mergeCell ref="AJ2244:AJ2246"/>
    <mergeCell ref="AK2244:AK2246"/>
    <mergeCell ref="AL2244:AL2246"/>
    <mergeCell ref="AM2244:AM2246"/>
    <mergeCell ref="AN2244:AN2246"/>
    <mergeCell ref="AO2244:AO2246"/>
    <mergeCell ref="AP2244:AP2246"/>
    <mergeCell ref="AQ2244:AQ2246"/>
    <mergeCell ref="AR2244:AR2246"/>
    <mergeCell ref="AS2244:AS2246"/>
    <mergeCell ref="A2247:A2249"/>
    <mergeCell ref="B2247:B2249"/>
    <mergeCell ref="C2247:C2249"/>
    <mergeCell ref="D2247:D2249"/>
    <mergeCell ref="AJ2247:AJ2249"/>
    <mergeCell ref="AK2247:AK2249"/>
    <mergeCell ref="AL2247:AL2249"/>
    <mergeCell ref="AM2247:AM2249"/>
    <mergeCell ref="AN2247:AN2249"/>
    <mergeCell ref="AO2247:AO2249"/>
    <mergeCell ref="AP2247:AP2249"/>
    <mergeCell ref="AQ2247:AQ2249"/>
    <mergeCell ref="AR2247:AR2249"/>
    <mergeCell ref="AS2247:AS2249"/>
    <mergeCell ref="A2250:A2252"/>
    <mergeCell ref="B2250:B2252"/>
    <mergeCell ref="C2250:C2252"/>
    <mergeCell ref="D2250:D2252"/>
    <mergeCell ref="AJ2250:AJ2252"/>
    <mergeCell ref="AK2250:AK2252"/>
    <mergeCell ref="AL2250:AL2252"/>
    <mergeCell ref="AM2250:AM2252"/>
    <mergeCell ref="AN2250:AN2252"/>
    <mergeCell ref="AO2250:AO2252"/>
    <mergeCell ref="AP2250:AP2252"/>
    <mergeCell ref="AQ2250:AQ2252"/>
    <mergeCell ref="AR2250:AR2252"/>
    <mergeCell ref="AS2250:AS2252"/>
    <mergeCell ref="A2253:A2255"/>
    <mergeCell ref="B2253:B2255"/>
    <mergeCell ref="C2253:C2255"/>
    <mergeCell ref="D2253:D2255"/>
    <mergeCell ref="AJ2253:AJ2255"/>
    <mergeCell ref="AK2253:AK2255"/>
    <mergeCell ref="AL2253:AL2255"/>
    <mergeCell ref="AM2253:AM2255"/>
    <mergeCell ref="AN2253:AN2255"/>
    <mergeCell ref="AO2253:AO2255"/>
    <mergeCell ref="AP2253:AP2255"/>
    <mergeCell ref="AQ2253:AQ2255"/>
    <mergeCell ref="AR2253:AR2255"/>
    <mergeCell ref="AS2253:AS2255"/>
    <mergeCell ref="A2256:A2258"/>
    <mergeCell ref="B2256:B2258"/>
    <mergeCell ref="C2256:C2258"/>
    <mergeCell ref="D2256:D2258"/>
    <mergeCell ref="AJ2256:AJ2258"/>
    <mergeCell ref="AK2256:AK2258"/>
    <mergeCell ref="AL2256:AL2258"/>
    <mergeCell ref="AM2256:AM2258"/>
    <mergeCell ref="AN2256:AN2258"/>
    <mergeCell ref="AO2256:AO2258"/>
    <mergeCell ref="AP2256:AP2258"/>
    <mergeCell ref="AQ2256:AQ2258"/>
    <mergeCell ref="AR2256:AR2258"/>
    <mergeCell ref="AS2256:AS2258"/>
    <mergeCell ref="A2259:A2261"/>
    <mergeCell ref="B2259:B2261"/>
    <mergeCell ref="C2259:C2261"/>
    <mergeCell ref="D2259:D2261"/>
    <mergeCell ref="AJ2259:AJ2261"/>
    <mergeCell ref="AK2259:AK2261"/>
    <mergeCell ref="AL2259:AL2261"/>
    <mergeCell ref="AM2259:AM2261"/>
    <mergeCell ref="AN2259:AN2261"/>
    <mergeCell ref="AO2259:AO2261"/>
    <mergeCell ref="AP2259:AP2261"/>
    <mergeCell ref="AQ2259:AQ2261"/>
    <mergeCell ref="AR2259:AR2261"/>
    <mergeCell ref="AS2259:AS2261"/>
    <mergeCell ref="A2262:A2264"/>
    <mergeCell ref="B2262:B2264"/>
    <mergeCell ref="C2262:C2264"/>
    <mergeCell ref="D2262:D2264"/>
    <mergeCell ref="AJ2262:AJ2264"/>
    <mergeCell ref="AK2262:AK2264"/>
    <mergeCell ref="AL2262:AL2264"/>
    <mergeCell ref="AM2262:AM2264"/>
    <mergeCell ref="AN2262:AN2264"/>
    <mergeCell ref="AO2262:AO2264"/>
    <mergeCell ref="AP2262:AP2264"/>
    <mergeCell ref="AQ2262:AQ2264"/>
    <mergeCell ref="AR2262:AR2264"/>
    <mergeCell ref="AS2262:AS2264"/>
    <mergeCell ref="A2265:A2267"/>
    <mergeCell ref="B2265:B2267"/>
    <mergeCell ref="C2265:C2267"/>
    <mergeCell ref="D2265:D2267"/>
    <mergeCell ref="AJ2265:AJ2267"/>
    <mergeCell ref="AK2265:AK2267"/>
    <mergeCell ref="AL2265:AL2267"/>
    <mergeCell ref="AM2265:AM2267"/>
    <mergeCell ref="AN2265:AN2267"/>
    <mergeCell ref="AO2265:AO2267"/>
    <mergeCell ref="AP2265:AP2267"/>
    <mergeCell ref="AQ2265:AQ2267"/>
    <mergeCell ref="AR2265:AR2267"/>
    <mergeCell ref="AS2265:AS2267"/>
    <mergeCell ref="A2268:A2270"/>
    <mergeCell ref="B2268:B2270"/>
    <mergeCell ref="C2268:C2270"/>
    <mergeCell ref="D2268:D2270"/>
    <mergeCell ref="AJ2268:AJ2270"/>
    <mergeCell ref="AK2268:AK2270"/>
    <mergeCell ref="AL2268:AL2270"/>
    <mergeCell ref="AM2268:AM2270"/>
    <mergeCell ref="AN2268:AN2270"/>
    <mergeCell ref="AO2268:AO2270"/>
    <mergeCell ref="AP2268:AP2270"/>
    <mergeCell ref="AQ2268:AQ2270"/>
    <mergeCell ref="AR2268:AR2270"/>
    <mergeCell ref="AS2268:AS2270"/>
    <mergeCell ref="A2271:A2273"/>
    <mergeCell ref="B2271:B2273"/>
    <mergeCell ref="C2271:C2273"/>
    <mergeCell ref="D2271:D2273"/>
    <mergeCell ref="AJ2271:AJ2273"/>
    <mergeCell ref="AK2271:AK2273"/>
    <mergeCell ref="AL2271:AL2273"/>
    <mergeCell ref="AM2271:AM2273"/>
    <mergeCell ref="AN2271:AN2273"/>
    <mergeCell ref="AO2271:AO2273"/>
    <mergeCell ref="AP2271:AP2273"/>
    <mergeCell ref="AQ2271:AQ2273"/>
    <mergeCell ref="AR2271:AR2273"/>
    <mergeCell ref="AS2271:AS2273"/>
    <mergeCell ref="A2274:A2276"/>
    <mergeCell ref="B2274:B2276"/>
    <mergeCell ref="C2274:C2276"/>
    <mergeCell ref="D2274:D2276"/>
    <mergeCell ref="AJ2274:AJ2276"/>
    <mergeCell ref="AK2274:AK2276"/>
    <mergeCell ref="AL2274:AL2276"/>
    <mergeCell ref="AM2274:AM2276"/>
    <mergeCell ref="AN2274:AN2276"/>
    <mergeCell ref="AO2274:AO2276"/>
    <mergeCell ref="AP2274:AP2276"/>
    <mergeCell ref="AQ2274:AQ2276"/>
    <mergeCell ref="AR2274:AR2276"/>
    <mergeCell ref="AS2274:AS2276"/>
    <mergeCell ref="A2277:A2279"/>
    <mergeCell ref="B2277:B2279"/>
    <mergeCell ref="C2277:C2279"/>
    <mergeCell ref="D2277:D2279"/>
    <mergeCell ref="AJ2277:AJ2279"/>
    <mergeCell ref="AK2277:AK2279"/>
    <mergeCell ref="AL2277:AL2279"/>
    <mergeCell ref="AM2277:AM2279"/>
    <mergeCell ref="AN2277:AN2279"/>
    <mergeCell ref="AO2277:AO2279"/>
    <mergeCell ref="AP2277:AP2279"/>
    <mergeCell ref="AQ2277:AQ2279"/>
    <mergeCell ref="AR2277:AR2279"/>
    <mergeCell ref="AS2277:AS2279"/>
    <mergeCell ref="A2280:A2282"/>
    <mergeCell ref="B2280:B2282"/>
    <mergeCell ref="C2280:C2282"/>
    <mergeCell ref="D2280:D2282"/>
    <mergeCell ref="AJ2280:AJ2282"/>
    <mergeCell ref="AK2280:AK2282"/>
    <mergeCell ref="AL2280:AL2282"/>
    <mergeCell ref="AM2280:AM2282"/>
    <mergeCell ref="AN2280:AN2282"/>
    <mergeCell ref="AO2280:AO2282"/>
    <mergeCell ref="AP2280:AP2282"/>
    <mergeCell ref="AQ2280:AQ2282"/>
    <mergeCell ref="AR2280:AR2282"/>
    <mergeCell ref="AS2280:AS2282"/>
    <mergeCell ref="A2283:A2285"/>
    <mergeCell ref="B2283:B2285"/>
    <mergeCell ref="C2283:C2285"/>
    <mergeCell ref="D2283:D2285"/>
    <mergeCell ref="AJ2283:AJ2285"/>
    <mergeCell ref="AK2283:AK2285"/>
    <mergeCell ref="AL2283:AL2285"/>
    <mergeCell ref="AM2283:AM2285"/>
    <mergeCell ref="AN2283:AN2285"/>
    <mergeCell ref="AO2283:AO2285"/>
    <mergeCell ref="AP2283:AP2285"/>
    <mergeCell ref="AQ2283:AQ2285"/>
    <mergeCell ref="AR2283:AR2285"/>
    <mergeCell ref="AS2283:AS2285"/>
    <mergeCell ref="A2286:A2288"/>
    <mergeCell ref="B2286:B2288"/>
    <mergeCell ref="C2286:C2288"/>
    <mergeCell ref="D2286:D2288"/>
    <mergeCell ref="AJ2286:AJ2288"/>
    <mergeCell ref="AK2286:AK2288"/>
    <mergeCell ref="AL2286:AL2288"/>
    <mergeCell ref="AM2286:AM2288"/>
    <mergeCell ref="AN2286:AN2288"/>
    <mergeCell ref="AO2286:AO2288"/>
    <mergeCell ref="AP2286:AP2288"/>
    <mergeCell ref="AQ2286:AQ2288"/>
    <mergeCell ref="AR2286:AR2288"/>
    <mergeCell ref="AS2286:AS2288"/>
    <mergeCell ref="A2289:A2291"/>
    <mergeCell ref="B2289:B2291"/>
    <mergeCell ref="C2289:C2291"/>
    <mergeCell ref="D2289:D2291"/>
    <mergeCell ref="AJ2289:AJ2291"/>
    <mergeCell ref="AK2289:AK2291"/>
    <mergeCell ref="AL2289:AL2291"/>
    <mergeCell ref="AM2289:AM2291"/>
    <mergeCell ref="AN2289:AN2291"/>
    <mergeCell ref="AO2289:AO2291"/>
    <mergeCell ref="AP2289:AP2291"/>
    <mergeCell ref="AQ2289:AQ2291"/>
    <mergeCell ref="AR2289:AR2291"/>
    <mergeCell ref="AS2289:AS2291"/>
    <mergeCell ref="A2292:A2294"/>
    <mergeCell ref="B2292:B2294"/>
    <mergeCell ref="C2292:C2294"/>
    <mergeCell ref="D2292:D2294"/>
    <mergeCell ref="AJ2292:AJ2294"/>
    <mergeCell ref="AK2292:AK2294"/>
    <mergeCell ref="AL2292:AL2294"/>
    <mergeCell ref="AM2292:AM2294"/>
    <mergeCell ref="AN2292:AN2294"/>
    <mergeCell ref="AO2292:AO2294"/>
    <mergeCell ref="AP2292:AP2294"/>
    <mergeCell ref="AQ2292:AQ2294"/>
    <mergeCell ref="AR2292:AR2294"/>
    <mergeCell ref="AS2292:AS2294"/>
    <mergeCell ref="A2295:A2297"/>
    <mergeCell ref="B2295:B2297"/>
    <mergeCell ref="C2295:C2297"/>
    <mergeCell ref="D2295:D2297"/>
    <mergeCell ref="AJ2295:AJ2297"/>
    <mergeCell ref="AK2295:AK2297"/>
    <mergeCell ref="AL2295:AL2297"/>
    <mergeCell ref="AM2295:AM2297"/>
    <mergeCell ref="AN2295:AN2297"/>
    <mergeCell ref="AO2295:AO2297"/>
    <mergeCell ref="AP2295:AP2297"/>
    <mergeCell ref="AQ2295:AQ2297"/>
    <mergeCell ref="AR2295:AR2297"/>
    <mergeCell ref="AS2295:AS2297"/>
    <mergeCell ref="A2298:A2300"/>
    <mergeCell ref="B2298:B2300"/>
    <mergeCell ref="C2298:C2300"/>
    <mergeCell ref="D2298:D2300"/>
    <mergeCell ref="AJ2298:AJ2300"/>
    <mergeCell ref="AK2298:AK2300"/>
    <mergeCell ref="AL2298:AL2300"/>
    <mergeCell ref="AM2298:AM2300"/>
    <mergeCell ref="AN2298:AN2300"/>
    <mergeCell ref="AO2298:AO2300"/>
    <mergeCell ref="AP2298:AP2300"/>
    <mergeCell ref="AQ2298:AQ2300"/>
    <mergeCell ref="AR2298:AR2300"/>
    <mergeCell ref="AS2298:AS2300"/>
    <mergeCell ref="A2301:A2303"/>
    <mergeCell ref="B2301:B2303"/>
    <mergeCell ref="C2301:C2303"/>
    <mergeCell ref="D2301:D2303"/>
    <mergeCell ref="AJ2301:AJ2303"/>
    <mergeCell ref="AK2301:AK2303"/>
    <mergeCell ref="AL2301:AL2303"/>
    <mergeCell ref="AM2301:AM2303"/>
    <mergeCell ref="AN2301:AN2303"/>
    <mergeCell ref="AO2301:AO2303"/>
    <mergeCell ref="AP2301:AP2303"/>
    <mergeCell ref="AQ2301:AQ2303"/>
    <mergeCell ref="AR2301:AR2303"/>
    <mergeCell ref="AS2301:AS2303"/>
    <mergeCell ref="A2304:A2306"/>
    <mergeCell ref="B2304:B2306"/>
    <mergeCell ref="C2304:C2306"/>
    <mergeCell ref="D2304:D2306"/>
    <mergeCell ref="AJ2304:AJ2306"/>
    <mergeCell ref="AK2304:AK2306"/>
    <mergeCell ref="AL2304:AL2306"/>
    <mergeCell ref="AM2304:AM2306"/>
    <mergeCell ref="AN2304:AN2306"/>
    <mergeCell ref="AO2304:AO2306"/>
    <mergeCell ref="AP2304:AP2306"/>
    <mergeCell ref="AQ2304:AQ2306"/>
    <mergeCell ref="AR2304:AR2306"/>
    <mergeCell ref="AS2304:AS2306"/>
    <mergeCell ref="A2307:A2309"/>
    <mergeCell ref="B2307:B2309"/>
    <mergeCell ref="C2307:C2309"/>
    <mergeCell ref="D2307:D2309"/>
    <mergeCell ref="AJ2307:AJ2309"/>
    <mergeCell ref="AK2307:AK2309"/>
    <mergeCell ref="AL2307:AL2309"/>
    <mergeCell ref="AM2307:AM2309"/>
    <mergeCell ref="AN2307:AN2309"/>
    <mergeCell ref="AO2307:AO2309"/>
    <mergeCell ref="AP2307:AP2309"/>
    <mergeCell ref="AQ2307:AQ2309"/>
    <mergeCell ref="AR2307:AR2309"/>
    <mergeCell ref="AS2307:AS2309"/>
    <mergeCell ref="A2310:A2312"/>
    <mergeCell ref="B2310:B2312"/>
    <mergeCell ref="C2310:C2312"/>
    <mergeCell ref="D2310:D2312"/>
    <mergeCell ref="AJ2310:AJ2312"/>
    <mergeCell ref="AK2310:AK2312"/>
    <mergeCell ref="AL2310:AL2312"/>
    <mergeCell ref="AM2310:AM2312"/>
    <mergeCell ref="AN2310:AN2312"/>
    <mergeCell ref="AO2310:AO2312"/>
    <mergeCell ref="AP2310:AP2312"/>
    <mergeCell ref="AQ2310:AQ2312"/>
    <mergeCell ref="AR2310:AR2312"/>
    <mergeCell ref="AS2310:AS2312"/>
    <mergeCell ref="A2313:A2315"/>
    <mergeCell ref="B2313:B2315"/>
    <mergeCell ref="C2313:C2315"/>
    <mergeCell ref="D2313:D2315"/>
    <mergeCell ref="AJ2313:AJ2315"/>
    <mergeCell ref="AK2313:AK2315"/>
    <mergeCell ref="AL2313:AL2315"/>
    <mergeCell ref="AM2313:AM2315"/>
    <mergeCell ref="AN2313:AN2315"/>
    <mergeCell ref="AO2313:AO2315"/>
    <mergeCell ref="AP2313:AP2315"/>
    <mergeCell ref="AQ2313:AQ2315"/>
    <mergeCell ref="AR2313:AR2315"/>
    <mergeCell ref="AS2313:AS2315"/>
    <mergeCell ref="A2316:A2318"/>
    <mergeCell ref="B2316:B2318"/>
    <mergeCell ref="C2316:C2318"/>
    <mergeCell ref="D2316:D2318"/>
    <mergeCell ref="AJ2316:AJ2318"/>
    <mergeCell ref="AK2316:AK2318"/>
    <mergeCell ref="AL2316:AL2318"/>
    <mergeCell ref="AM2316:AM2318"/>
    <mergeCell ref="AN2316:AN2318"/>
    <mergeCell ref="AO2316:AO2318"/>
    <mergeCell ref="AP2316:AP2318"/>
    <mergeCell ref="AQ2316:AQ2318"/>
    <mergeCell ref="AR2316:AR2318"/>
    <mergeCell ref="AS2316:AS2318"/>
    <mergeCell ref="A2319:A2321"/>
    <mergeCell ref="B2319:B2321"/>
    <mergeCell ref="C2319:C2321"/>
    <mergeCell ref="D2319:D2321"/>
    <mergeCell ref="AJ2319:AJ2321"/>
    <mergeCell ref="AK2319:AK2321"/>
    <mergeCell ref="AL2319:AL2321"/>
    <mergeCell ref="AM2319:AM2321"/>
    <mergeCell ref="AN2319:AN2321"/>
    <mergeCell ref="AO2319:AO2321"/>
    <mergeCell ref="AP2319:AP2321"/>
    <mergeCell ref="AQ2319:AQ2321"/>
    <mergeCell ref="AR2319:AR2321"/>
    <mergeCell ref="AS2319:AS2321"/>
    <mergeCell ref="A2322:A2324"/>
    <mergeCell ref="B2322:B2324"/>
    <mergeCell ref="C2322:C2324"/>
    <mergeCell ref="D2322:D2324"/>
    <mergeCell ref="AJ2322:AJ2324"/>
    <mergeCell ref="AK2322:AK2324"/>
    <mergeCell ref="AL2322:AL2324"/>
    <mergeCell ref="AM2322:AM2324"/>
    <mergeCell ref="AN2322:AN2324"/>
    <mergeCell ref="AO2322:AO2324"/>
    <mergeCell ref="AP2322:AP2324"/>
    <mergeCell ref="AQ2322:AQ2324"/>
    <mergeCell ref="AR2322:AR2324"/>
    <mergeCell ref="AS2322:AS2324"/>
    <mergeCell ref="A2325:A2327"/>
    <mergeCell ref="B2325:B2327"/>
    <mergeCell ref="C2325:C2327"/>
    <mergeCell ref="D2325:D2327"/>
    <mergeCell ref="AJ2325:AJ2327"/>
    <mergeCell ref="AK2325:AK2327"/>
    <mergeCell ref="AL2325:AL2327"/>
    <mergeCell ref="AM2325:AM2327"/>
    <mergeCell ref="AN2325:AN2327"/>
    <mergeCell ref="AO2325:AO2327"/>
    <mergeCell ref="AP2325:AP2327"/>
    <mergeCell ref="AQ2325:AQ2327"/>
    <mergeCell ref="AR2325:AR2327"/>
    <mergeCell ref="AS2325:AS2327"/>
    <mergeCell ref="A2328:A2330"/>
    <mergeCell ref="B2328:B2330"/>
    <mergeCell ref="C2328:C2330"/>
    <mergeCell ref="D2328:D2330"/>
    <mergeCell ref="AJ2328:AJ2330"/>
    <mergeCell ref="AK2328:AK2330"/>
    <mergeCell ref="AL2328:AL2330"/>
    <mergeCell ref="AM2328:AM2330"/>
    <mergeCell ref="AN2328:AN2330"/>
    <mergeCell ref="AO2328:AO2330"/>
    <mergeCell ref="AP2328:AP2330"/>
    <mergeCell ref="AQ2328:AQ2330"/>
    <mergeCell ref="AR2328:AR2330"/>
    <mergeCell ref="AS2328:AS2330"/>
    <mergeCell ref="A2331:A2333"/>
    <mergeCell ref="B2331:B2333"/>
    <mergeCell ref="C2331:C2333"/>
    <mergeCell ref="D2331:D2333"/>
    <mergeCell ref="AJ2331:AJ2333"/>
    <mergeCell ref="AK2331:AK2333"/>
    <mergeCell ref="AL2331:AL2333"/>
    <mergeCell ref="AM2331:AM2333"/>
    <mergeCell ref="AN2331:AN2333"/>
    <mergeCell ref="AO2331:AO2333"/>
    <mergeCell ref="AP2331:AP2333"/>
    <mergeCell ref="AQ2331:AQ2333"/>
    <mergeCell ref="AR2331:AR2333"/>
    <mergeCell ref="AS2331:AS2333"/>
    <mergeCell ref="A2334:A2336"/>
    <mergeCell ref="B2334:B2336"/>
    <mergeCell ref="C2334:C2336"/>
    <mergeCell ref="D2334:D2336"/>
    <mergeCell ref="AJ2334:AJ2336"/>
    <mergeCell ref="AK2334:AK2336"/>
    <mergeCell ref="AL2334:AL2336"/>
    <mergeCell ref="AM2334:AM2336"/>
    <mergeCell ref="AN2334:AN2336"/>
    <mergeCell ref="AO2334:AO2336"/>
    <mergeCell ref="AP2334:AP2336"/>
    <mergeCell ref="AQ2334:AQ2336"/>
    <mergeCell ref="AR2334:AR2336"/>
    <mergeCell ref="AS2334:AS2336"/>
    <mergeCell ref="A2337:A2339"/>
    <mergeCell ref="B2337:B2339"/>
    <mergeCell ref="C2337:C2339"/>
    <mergeCell ref="D2337:D2339"/>
    <mergeCell ref="AJ2337:AJ2339"/>
    <mergeCell ref="AK2337:AK2339"/>
    <mergeCell ref="AL2337:AL2339"/>
    <mergeCell ref="AM2337:AM2339"/>
    <mergeCell ref="AN2337:AN2339"/>
    <mergeCell ref="AO2337:AO2339"/>
    <mergeCell ref="AP2337:AP2339"/>
    <mergeCell ref="AQ2337:AQ2339"/>
    <mergeCell ref="AR2337:AR2339"/>
    <mergeCell ref="AS2337:AS2339"/>
    <mergeCell ref="A2340:A2342"/>
    <mergeCell ref="B2340:B2342"/>
    <mergeCell ref="C2340:C2342"/>
    <mergeCell ref="D2340:D2342"/>
    <mergeCell ref="AJ2340:AJ2342"/>
    <mergeCell ref="AK2340:AK2342"/>
    <mergeCell ref="AL2340:AL2342"/>
    <mergeCell ref="AM2340:AM2342"/>
    <mergeCell ref="AN2340:AN2342"/>
    <mergeCell ref="AO2340:AO2342"/>
    <mergeCell ref="AP2340:AP2342"/>
    <mergeCell ref="AQ2340:AQ2342"/>
    <mergeCell ref="AR2340:AR2342"/>
    <mergeCell ref="AS2340:AS2342"/>
    <mergeCell ref="A2343:A2345"/>
    <mergeCell ref="B2343:B2345"/>
    <mergeCell ref="C2343:C2345"/>
    <mergeCell ref="D2343:D2345"/>
    <mergeCell ref="AJ2343:AJ2345"/>
    <mergeCell ref="AK2343:AK2345"/>
    <mergeCell ref="AL2343:AL2345"/>
    <mergeCell ref="AM2343:AM2345"/>
    <mergeCell ref="AN2343:AN2345"/>
    <mergeCell ref="AO2343:AO2345"/>
    <mergeCell ref="AP2343:AP2345"/>
    <mergeCell ref="AQ2343:AQ2345"/>
    <mergeCell ref="AR2343:AR2345"/>
    <mergeCell ref="AS2343:AS2345"/>
    <mergeCell ref="A2346:A2348"/>
    <mergeCell ref="B2346:B2348"/>
    <mergeCell ref="C2346:C2348"/>
    <mergeCell ref="D2346:D2348"/>
    <mergeCell ref="AJ2346:AJ2348"/>
    <mergeCell ref="AK2346:AK2348"/>
    <mergeCell ref="AL2346:AL2348"/>
    <mergeCell ref="AM2346:AM2348"/>
    <mergeCell ref="AN2346:AN2348"/>
    <mergeCell ref="AO2346:AO2348"/>
    <mergeCell ref="AP2346:AP2348"/>
    <mergeCell ref="AQ2346:AQ2348"/>
    <mergeCell ref="AR2346:AR2348"/>
    <mergeCell ref="AS2346:AS2348"/>
    <mergeCell ref="A2349:A2351"/>
    <mergeCell ref="B2349:B2351"/>
    <mergeCell ref="C2349:C2351"/>
    <mergeCell ref="D2349:D2351"/>
    <mergeCell ref="AJ2349:AJ2351"/>
    <mergeCell ref="AK2349:AK2351"/>
    <mergeCell ref="AL2349:AL2351"/>
    <mergeCell ref="AM2349:AM2351"/>
    <mergeCell ref="AN2349:AN2351"/>
    <mergeCell ref="AO2349:AO2351"/>
    <mergeCell ref="AP2349:AP2351"/>
    <mergeCell ref="AQ2349:AQ2351"/>
    <mergeCell ref="AR2349:AR2351"/>
    <mergeCell ref="AS2349:AS2351"/>
    <mergeCell ref="A2352:A2354"/>
    <mergeCell ref="B2352:B2354"/>
    <mergeCell ref="C2352:C2354"/>
    <mergeCell ref="D2352:D2354"/>
    <mergeCell ref="AJ2352:AJ2354"/>
    <mergeCell ref="AK2352:AK2354"/>
    <mergeCell ref="AL2352:AL2354"/>
    <mergeCell ref="AM2352:AM2354"/>
    <mergeCell ref="AN2352:AN2354"/>
    <mergeCell ref="AO2352:AO2354"/>
    <mergeCell ref="AP2352:AP2354"/>
    <mergeCell ref="AQ2352:AQ2354"/>
    <mergeCell ref="AR2352:AR2354"/>
    <mergeCell ref="AS2352:AS2354"/>
    <mergeCell ref="A2355:A2357"/>
    <mergeCell ref="B2355:B2357"/>
    <mergeCell ref="C2355:C2357"/>
    <mergeCell ref="D2355:D2357"/>
    <mergeCell ref="AJ2355:AJ2357"/>
    <mergeCell ref="AK2355:AK2357"/>
    <mergeCell ref="AL2355:AL2357"/>
    <mergeCell ref="AM2355:AM2357"/>
    <mergeCell ref="AN2355:AN2357"/>
    <mergeCell ref="AO2355:AO2357"/>
    <mergeCell ref="AP2355:AP2357"/>
    <mergeCell ref="AQ2355:AQ2357"/>
    <mergeCell ref="AR2355:AR2357"/>
    <mergeCell ref="AS2355:AS2357"/>
    <mergeCell ref="A2358:A2360"/>
    <mergeCell ref="B2358:B2360"/>
    <mergeCell ref="C2358:C2360"/>
    <mergeCell ref="D2358:D2360"/>
    <mergeCell ref="AJ2358:AJ2360"/>
    <mergeCell ref="AK2358:AK2360"/>
    <mergeCell ref="AL2358:AL2360"/>
    <mergeCell ref="AM2358:AM2360"/>
    <mergeCell ref="AN2358:AN2360"/>
    <mergeCell ref="AO2358:AO2360"/>
    <mergeCell ref="AP2358:AP2360"/>
    <mergeCell ref="AQ2358:AQ2360"/>
    <mergeCell ref="AR2358:AR2360"/>
    <mergeCell ref="AS2358:AS2360"/>
    <mergeCell ref="A2361:A2363"/>
    <mergeCell ref="B2361:B2363"/>
    <mergeCell ref="C2361:C2363"/>
    <mergeCell ref="D2361:D2363"/>
    <mergeCell ref="AJ2361:AJ2363"/>
    <mergeCell ref="AK2361:AK2363"/>
    <mergeCell ref="AL2361:AL2363"/>
    <mergeCell ref="AM2361:AM2363"/>
    <mergeCell ref="AN2361:AN2363"/>
    <mergeCell ref="AO2361:AO2363"/>
    <mergeCell ref="AP2361:AP2363"/>
    <mergeCell ref="AQ2361:AQ2363"/>
    <mergeCell ref="AR2361:AR2363"/>
    <mergeCell ref="AS2361:AS2363"/>
    <mergeCell ref="A2364:A2366"/>
    <mergeCell ref="B2364:B2366"/>
    <mergeCell ref="C2364:C2366"/>
    <mergeCell ref="D2364:D2366"/>
    <mergeCell ref="AJ2364:AJ2366"/>
    <mergeCell ref="AK2364:AK2366"/>
    <mergeCell ref="AL2364:AL2366"/>
    <mergeCell ref="AM2364:AM2366"/>
    <mergeCell ref="AN2364:AN2366"/>
    <mergeCell ref="AO2364:AO2366"/>
    <mergeCell ref="AP2364:AP2366"/>
    <mergeCell ref="AQ2364:AQ2366"/>
    <mergeCell ref="AR2364:AR2366"/>
    <mergeCell ref="AS2364:AS2366"/>
    <mergeCell ref="A2367:A2369"/>
    <mergeCell ref="B2367:B2369"/>
    <mergeCell ref="C2367:C2369"/>
    <mergeCell ref="D2367:D2369"/>
    <mergeCell ref="AJ2367:AJ2369"/>
    <mergeCell ref="AK2367:AK2369"/>
    <mergeCell ref="AL2367:AL2369"/>
    <mergeCell ref="AM2367:AM2369"/>
    <mergeCell ref="AN2367:AN2369"/>
    <mergeCell ref="AO2367:AO2369"/>
    <mergeCell ref="AP2367:AP2369"/>
    <mergeCell ref="AQ2367:AQ2369"/>
    <mergeCell ref="AR2367:AR2369"/>
    <mergeCell ref="AS2367:AS2369"/>
    <mergeCell ref="A2370:A2372"/>
    <mergeCell ref="B2370:B2372"/>
    <mergeCell ref="C2370:C2372"/>
    <mergeCell ref="D2370:D2372"/>
    <mergeCell ref="AJ2370:AJ2372"/>
    <mergeCell ref="AK2370:AK2372"/>
    <mergeCell ref="AL2370:AL2372"/>
    <mergeCell ref="AM2370:AM2372"/>
    <mergeCell ref="AN2370:AN2372"/>
    <mergeCell ref="AO2370:AO2372"/>
    <mergeCell ref="AP2370:AP2372"/>
    <mergeCell ref="AQ2370:AQ2372"/>
    <mergeCell ref="AR2370:AR2372"/>
    <mergeCell ref="AS2370:AS2372"/>
    <mergeCell ref="A2373:A2375"/>
    <mergeCell ref="B2373:B2375"/>
    <mergeCell ref="C2373:C2375"/>
    <mergeCell ref="D2373:D2375"/>
    <mergeCell ref="AJ2373:AJ2375"/>
    <mergeCell ref="AK2373:AK2375"/>
    <mergeCell ref="AL2373:AL2375"/>
    <mergeCell ref="AM2373:AM2375"/>
    <mergeCell ref="AN2373:AN2375"/>
    <mergeCell ref="AO2373:AO2375"/>
    <mergeCell ref="AP2373:AP2375"/>
    <mergeCell ref="AQ2373:AQ2375"/>
    <mergeCell ref="AR2373:AR2375"/>
    <mergeCell ref="AS2373:AS2375"/>
    <mergeCell ref="A2376:A2378"/>
    <mergeCell ref="B2376:B2378"/>
    <mergeCell ref="C2376:C2378"/>
    <mergeCell ref="D2376:D2378"/>
    <mergeCell ref="AJ2376:AJ2378"/>
    <mergeCell ref="AK2376:AK2378"/>
    <mergeCell ref="AL2376:AL2378"/>
    <mergeCell ref="AM2376:AM2378"/>
    <mergeCell ref="AN2376:AN2378"/>
    <mergeCell ref="AO2376:AO2378"/>
    <mergeCell ref="AP2376:AP2378"/>
    <mergeCell ref="AQ2376:AQ2378"/>
    <mergeCell ref="AR2376:AR2378"/>
    <mergeCell ref="AS2376:AS2378"/>
    <mergeCell ref="A2379:A2381"/>
    <mergeCell ref="B2379:B2381"/>
    <mergeCell ref="C2379:C2381"/>
    <mergeCell ref="D2379:D2381"/>
    <mergeCell ref="AJ2379:AJ2381"/>
    <mergeCell ref="AK2379:AK2381"/>
    <mergeCell ref="AL2379:AL2381"/>
    <mergeCell ref="AM2379:AM2381"/>
    <mergeCell ref="AN2379:AN2381"/>
    <mergeCell ref="AO2379:AO2381"/>
    <mergeCell ref="AP2379:AP2381"/>
    <mergeCell ref="AQ2379:AQ2381"/>
    <mergeCell ref="AR2379:AR2381"/>
    <mergeCell ref="AS2379:AS2381"/>
    <mergeCell ref="A2382:A2384"/>
    <mergeCell ref="B2382:B2384"/>
    <mergeCell ref="C2382:C2384"/>
    <mergeCell ref="D2382:D2384"/>
    <mergeCell ref="AJ2382:AJ2384"/>
    <mergeCell ref="AK2382:AK2384"/>
    <mergeCell ref="AL2382:AL2384"/>
    <mergeCell ref="AM2382:AM2384"/>
    <mergeCell ref="AN2382:AN2384"/>
    <mergeCell ref="AO2382:AO2384"/>
    <mergeCell ref="AP2382:AP2384"/>
    <mergeCell ref="AQ2382:AQ2384"/>
    <mergeCell ref="AR2382:AR2384"/>
    <mergeCell ref="AS2382:AS2384"/>
    <mergeCell ref="A2385:A2387"/>
    <mergeCell ref="B2385:B2387"/>
    <mergeCell ref="C2385:C2387"/>
    <mergeCell ref="D2385:D2387"/>
    <mergeCell ref="AJ2385:AJ2387"/>
    <mergeCell ref="AK2385:AK2387"/>
    <mergeCell ref="AL2385:AL2387"/>
    <mergeCell ref="AM2385:AM2387"/>
    <mergeCell ref="AN2385:AN2387"/>
    <mergeCell ref="AO2385:AO2387"/>
    <mergeCell ref="AP2385:AP2387"/>
    <mergeCell ref="AQ2385:AQ2387"/>
    <mergeCell ref="AR2385:AR2387"/>
    <mergeCell ref="AS2385:AS2387"/>
    <mergeCell ref="A2388:A2390"/>
    <mergeCell ref="B2388:B2390"/>
    <mergeCell ref="C2388:C2390"/>
    <mergeCell ref="D2388:D2390"/>
    <mergeCell ref="AJ2388:AJ2390"/>
    <mergeCell ref="AK2388:AK2390"/>
    <mergeCell ref="AL2388:AL2390"/>
    <mergeCell ref="AM2388:AM2390"/>
    <mergeCell ref="AN2388:AN2390"/>
    <mergeCell ref="AO2388:AO2390"/>
    <mergeCell ref="AP2388:AP2390"/>
    <mergeCell ref="AQ2388:AQ2390"/>
    <mergeCell ref="AR2388:AR2390"/>
    <mergeCell ref="AS2388:AS2390"/>
    <mergeCell ref="A2391:A2393"/>
    <mergeCell ref="B2391:B2393"/>
    <mergeCell ref="C2391:C2393"/>
    <mergeCell ref="D2391:D2393"/>
    <mergeCell ref="AJ2391:AJ2393"/>
    <mergeCell ref="AK2391:AK2393"/>
    <mergeCell ref="AL2391:AL2393"/>
    <mergeCell ref="AM2391:AM2393"/>
    <mergeCell ref="AN2391:AN2393"/>
    <mergeCell ref="AO2391:AO2393"/>
    <mergeCell ref="AP2391:AP2393"/>
    <mergeCell ref="AQ2391:AQ2393"/>
    <mergeCell ref="AR2391:AR2393"/>
    <mergeCell ref="AS2391:AS2393"/>
    <mergeCell ref="A2394:A2396"/>
    <mergeCell ref="B2394:B2396"/>
    <mergeCell ref="C2394:C2396"/>
    <mergeCell ref="D2394:D2396"/>
    <mergeCell ref="AJ2394:AJ2396"/>
    <mergeCell ref="AK2394:AK2396"/>
    <mergeCell ref="AL2394:AL2396"/>
    <mergeCell ref="AM2394:AM2396"/>
    <mergeCell ref="AN2394:AN2396"/>
    <mergeCell ref="AO2394:AO2396"/>
    <mergeCell ref="AP2394:AP2396"/>
    <mergeCell ref="AQ2394:AQ2396"/>
    <mergeCell ref="AR2394:AR2396"/>
    <mergeCell ref="AS2394:AS2396"/>
    <mergeCell ref="A2397:A2399"/>
    <mergeCell ref="B2397:B2399"/>
    <mergeCell ref="C2397:C2399"/>
    <mergeCell ref="D2397:D2399"/>
    <mergeCell ref="AJ2397:AJ2399"/>
    <mergeCell ref="AK2397:AK2399"/>
    <mergeCell ref="AL2397:AL2399"/>
    <mergeCell ref="AM2397:AM2399"/>
    <mergeCell ref="AN2397:AN2399"/>
    <mergeCell ref="AO2397:AO2399"/>
    <mergeCell ref="AP2397:AP2399"/>
    <mergeCell ref="AQ2397:AQ2399"/>
    <mergeCell ref="AR2397:AR2399"/>
    <mergeCell ref="AS2397:AS2399"/>
    <mergeCell ref="A2400:A2402"/>
    <mergeCell ref="B2400:B2402"/>
    <mergeCell ref="C2400:C2402"/>
    <mergeCell ref="D2400:D2402"/>
    <mergeCell ref="AJ2400:AJ2402"/>
    <mergeCell ref="AK2400:AK2402"/>
    <mergeCell ref="AL2400:AL2402"/>
    <mergeCell ref="AM2400:AM2402"/>
    <mergeCell ref="AN2400:AN2402"/>
    <mergeCell ref="AO2400:AO2402"/>
    <mergeCell ref="AP2400:AP2402"/>
    <mergeCell ref="AQ2400:AQ2402"/>
    <mergeCell ref="AR2400:AR2402"/>
    <mergeCell ref="AS2400:AS2402"/>
    <mergeCell ref="A2403:A2405"/>
    <mergeCell ref="B2403:B2405"/>
    <mergeCell ref="C2403:C2405"/>
    <mergeCell ref="D2403:D2405"/>
    <mergeCell ref="AJ2403:AJ2405"/>
    <mergeCell ref="AK2403:AK2405"/>
    <mergeCell ref="AL2403:AL2405"/>
    <mergeCell ref="AM2403:AM2405"/>
    <mergeCell ref="AN2403:AN2405"/>
    <mergeCell ref="AO2403:AO2405"/>
    <mergeCell ref="AP2403:AP2405"/>
    <mergeCell ref="AQ2403:AQ2405"/>
    <mergeCell ref="AR2403:AR2405"/>
    <mergeCell ref="AS2403:AS2405"/>
    <mergeCell ref="A2406:A2408"/>
    <mergeCell ref="B2406:B2408"/>
    <mergeCell ref="C2406:C2408"/>
    <mergeCell ref="D2406:D2408"/>
    <mergeCell ref="AJ2406:AJ2408"/>
    <mergeCell ref="AK2406:AK2408"/>
    <mergeCell ref="AL2406:AL2408"/>
    <mergeCell ref="AM2406:AM2408"/>
    <mergeCell ref="AN2406:AN2408"/>
    <mergeCell ref="AO2406:AO2408"/>
    <mergeCell ref="AP2406:AP2408"/>
    <mergeCell ref="AQ2406:AQ2408"/>
    <mergeCell ref="AR2406:AR2408"/>
    <mergeCell ref="AS2406:AS2408"/>
    <mergeCell ref="A2409:A2411"/>
    <mergeCell ref="B2409:B2411"/>
    <mergeCell ref="C2409:C2411"/>
    <mergeCell ref="D2409:D2411"/>
    <mergeCell ref="AJ2409:AJ2411"/>
    <mergeCell ref="AK2409:AK2411"/>
    <mergeCell ref="AL2409:AL2411"/>
    <mergeCell ref="AM2409:AM2411"/>
    <mergeCell ref="AN2409:AN2411"/>
    <mergeCell ref="AO2409:AO2411"/>
    <mergeCell ref="AP2409:AP2411"/>
    <mergeCell ref="AQ2409:AQ2411"/>
    <mergeCell ref="AR2409:AR2411"/>
    <mergeCell ref="AS2409:AS2411"/>
    <mergeCell ref="A2412:A2414"/>
    <mergeCell ref="B2412:B2414"/>
    <mergeCell ref="C2412:C2414"/>
    <mergeCell ref="D2412:D2414"/>
    <mergeCell ref="AJ2412:AJ2414"/>
    <mergeCell ref="AK2412:AK2414"/>
    <mergeCell ref="AL2412:AL2414"/>
    <mergeCell ref="AM2412:AM2414"/>
    <mergeCell ref="AN2412:AN2414"/>
    <mergeCell ref="AO2412:AO2414"/>
    <mergeCell ref="AP2412:AP2414"/>
    <mergeCell ref="AQ2412:AQ2414"/>
    <mergeCell ref="AR2412:AR2414"/>
    <mergeCell ref="AS2412:AS2414"/>
    <mergeCell ref="A2415:A2417"/>
    <mergeCell ref="B2415:B2417"/>
    <mergeCell ref="C2415:C2417"/>
    <mergeCell ref="D2415:D2417"/>
    <mergeCell ref="AJ2415:AJ2417"/>
    <mergeCell ref="AK2415:AK2417"/>
    <mergeCell ref="AL2415:AL2417"/>
    <mergeCell ref="AM2415:AM2417"/>
    <mergeCell ref="AN2415:AN2417"/>
    <mergeCell ref="AO2415:AO2417"/>
    <mergeCell ref="AP2415:AP2417"/>
    <mergeCell ref="AQ2415:AQ2417"/>
    <mergeCell ref="AR2415:AR2417"/>
    <mergeCell ref="AS2415:AS2417"/>
    <mergeCell ref="A2418:A2420"/>
    <mergeCell ref="B2418:B2420"/>
    <mergeCell ref="C2418:C2420"/>
    <mergeCell ref="D2418:D2420"/>
    <mergeCell ref="AJ2418:AJ2420"/>
    <mergeCell ref="AK2418:AK2420"/>
    <mergeCell ref="AL2418:AL2420"/>
    <mergeCell ref="AM2418:AM2420"/>
    <mergeCell ref="AN2418:AN2420"/>
    <mergeCell ref="AO2418:AO2420"/>
    <mergeCell ref="AP2418:AP2420"/>
    <mergeCell ref="AQ2418:AQ2420"/>
    <mergeCell ref="AR2418:AR2420"/>
    <mergeCell ref="AS2418:AS2420"/>
    <mergeCell ref="A2421:A2423"/>
    <mergeCell ref="B2421:B2423"/>
    <mergeCell ref="C2421:C2423"/>
    <mergeCell ref="D2421:D2423"/>
    <mergeCell ref="AJ2421:AJ2423"/>
    <mergeCell ref="AK2421:AK2423"/>
    <mergeCell ref="AL2421:AL2423"/>
    <mergeCell ref="AM2421:AM2423"/>
    <mergeCell ref="AN2421:AN2423"/>
    <mergeCell ref="AO2421:AO2423"/>
    <mergeCell ref="AP2421:AP2423"/>
    <mergeCell ref="AQ2421:AQ2423"/>
    <mergeCell ref="AR2421:AR2423"/>
    <mergeCell ref="AS2421:AS2423"/>
    <mergeCell ref="A2424:A2426"/>
    <mergeCell ref="B2424:B2426"/>
    <mergeCell ref="C2424:C2426"/>
    <mergeCell ref="D2424:D2426"/>
    <mergeCell ref="AJ2424:AJ2426"/>
    <mergeCell ref="AK2424:AK2426"/>
    <mergeCell ref="AL2424:AL2426"/>
    <mergeCell ref="AM2424:AM2426"/>
    <mergeCell ref="AN2424:AN2426"/>
    <mergeCell ref="AO2424:AO2426"/>
    <mergeCell ref="AP2424:AP2426"/>
    <mergeCell ref="AQ2424:AQ2426"/>
    <mergeCell ref="AR2424:AR2426"/>
    <mergeCell ref="AS2424:AS2426"/>
    <mergeCell ref="A2427:A2429"/>
    <mergeCell ref="B2427:B2429"/>
    <mergeCell ref="C2427:C2429"/>
    <mergeCell ref="D2427:D2429"/>
    <mergeCell ref="AJ2427:AJ2429"/>
    <mergeCell ref="AK2427:AK2429"/>
    <mergeCell ref="AL2427:AL2429"/>
    <mergeCell ref="AM2427:AM2429"/>
    <mergeCell ref="AN2427:AN2429"/>
    <mergeCell ref="AO2427:AO2429"/>
    <mergeCell ref="AP2427:AP2429"/>
    <mergeCell ref="AQ2427:AQ2429"/>
    <mergeCell ref="AR2427:AR2429"/>
    <mergeCell ref="AS2427:AS2429"/>
    <mergeCell ref="A2430:A2432"/>
    <mergeCell ref="B2430:B2432"/>
    <mergeCell ref="C2430:C2432"/>
    <mergeCell ref="D2430:D2432"/>
    <mergeCell ref="AJ2430:AJ2432"/>
    <mergeCell ref="AK2430:AK2432"/>
    <mergeCell ref="AL2430:AL2432"/>
    <mergeCell ref="AM2430:AM2432"/>
    <mergeCell ref="AN2430:AN2432"/>
    <mergeCell ref="AO2430:AO2432"/>
    <mergeCell ref="AP2430:AP2432"/>
    <mergeCell ref="AQ2430:AQ2432"/>
    <mergeCell ref="AR2430:AR2432"/>
    <mergeCell ref="AS2430:AS2432"/>
    <mergeCell ref="A2433:A2435"/>
    <mergeCell ref="B2433:B2435"/>
    <mergeCell ref="C2433:C2435"/>
    <mergeCell ref="D2433:D2435"/>
    <mergeCell ref="AJ2433:AJ2435"/>
    <mergeCell ref="AK2433:AK2435"/>
    <mergeCell ref="AL2433:AL2435"/>
    <mergeCell ref="AM2433:AM2435"/>
    <mergeCell ref="AN2433:AN2435"/>
    <mergeCell ref="AO2433:AO2435"/>
    <mergeCell ref="AP2433:AP2435"/>
    <mergeCell ref="AQ2433:AQ2435"/>
    <mergeCell ref="AR2433:AR2435"/>
    <mergeCell ref="AS2433:AS2435"/>
    <mergeCell ref="A2436:A2438"/>
    <mergeCell ref="B2436:B2438"/>
    <mergeCell ref="C2436:C2438"/>
    <mergeCell ref="D2436:D2438"/>
    <mergeCell ref="AJ2436:AJ2438"/>
    <mergeCell ref="AK2436:AK2438"/>
    <mergeCell ref="AL2436:AL2438"/>
    <mergeCell ref="AM2436:AM2438"/>
    <mergeCell ref="AN2436:AN2438"/>
    <mergeCell ref="AO2436:AO2438"/>
    <mergeCell ref="AP2436:AP2438"/>
    <mergeCell ref="AQ2436:AQ2438"/>
    <mergeCell ref="AR2436:AR2438"/>
    <mergeCell ref="AS2436:AS2438"/>
    <mergeCell ref="A2439:A2441"/>
    <mergeCell ref="B2439:B2441"/>
    <mergeCell ref="C2439:C2441"/>
    <mergeCell ref="D2439:D2441"/>
    <mergeCell ref="AJ2439:AJ2441"/>
    <mergeCell ref="AK2439:AK2441"/>
    <mergeCell ref="AL2439:AL2441"/>
    <mergeCell ref="AM2439:AM2441"/>
    <mergeCell ref="AN2439:AN2441"/>
    <mergeCell ref="AO2439:AO2441"/>
    <mergeCell ref="AP2439:AP2441"/>
    <mergeCell ref="AQ2439:AQ2441"/>
    <mergeCell ref="AR2439:AR2441"/>
    <mergeCell ref="AS2439:AS2441"/>
    <mergeCell ref="A2442:A2444"/>
    <mergeCell ref="B2442:B2444"/>
    <mergeCell ref="C2442:C2444"/>
    <mergeCell ref="D2442:D2444"/>
    <mergeCell ref="AJ2442:AJ2444"/>
    <mergeCell ref="AK2442:AK2444"/>
    <mergeCell ref="AL2442:AL2444"/>
    <mergeCell ref="AM2442:AM2444"/>
    <mergeCell ref="AN2442:AN2444"/>
    <mergeCell ref="AO2442:AO2444"/>
    <mergeCell ref="AP2442:AP2444"/>
    <mergeCell ref="AQ2442:AQ2444"/>
    <mergeCell ref="AR2442:AR2444"/>
    <mergeCell ref="AS2442:AS2444"/>
    <mergeCell ref="A2445:A2447"/>
    <mergeCell ref="B2445:B2447"/>
    <mergeCell ref="C2445:C2447"/>
    <mergeCell ref="D2445:D2447"/>
    <mergeCell ref="AJ2445:AJ2447"/>
    <mergeCell ref="AK2445:AK2447"/>
    <mergeCell ref="AL2445:AL2447"/>
    <mergeCell ref="AM2445:AM2447"/>
    <mergeCell ref="AN2445:AN2447"/>
    <mergeCell ref="AO2445:AO2447"/>
    <mergeCell ref="AP2445:AP2447"/>
    <mergeCell ref="AQ2445:AQ2447"/>
    <mergeCell ref="AR2445:AR2447"/>
    <mergeCell ref="AS2445:AS2447"/>
    <mergeCell ref="A2448:A2450"/>
    <mergeCell ref="B2448:B2450"/>
    <mergeCell ref="C2448:C2450"/>
    <mergeCell ref="D2448:D2450"/>
    <mergeCell ref="AJ2448:AJ2450"/>
    <mergeCell ref="AK2448:AK2450"/>
    <mergeCell ref="AL2448:AL2450"/>
    <mergeCell ref="AM2448:AM2450"/>
    <mergeCell ref="AN2448:AN2450"/>
    <mergeCell ref="AO2448:AO2450"/>
    <mergeCell ref="AP2448:AP2450"/>
    <mergeCell ref="AQ2448:AQ2450"/>
    <mergeCell ref="AR2448:AR2450"/>
    <mergeCell ref="AS2448:AS2450"/>
    <mergeCell ref="A2451:A2453"/>
    <mergeCell ref="B2451:B2453"/>
    <mergeCell ref="C2451:C2453"/>
    <mergeCell ref="D2451:D2453"/>
    <mergeCell ref="AJ2451:AJ2453"/>
    <mergeCell ref="AK2451:AK2453"/>
    <mergeCell ref="AL2451:AL2453"/>
    <mergeCell ref="AM2451:AM2453"/>
    <mergeCell ref="AN2451:AN2453"/>
    <mergeCell ref="AO2451:AO2453"/>
    <mergeCell ref="AP2451:AP2453"/>
    <mergeCell ref="AQ2451:AQ2453"/>
    <mergeCell ref="AR2451:AR2453"/>
    <mergeCell ref="AS2451:AS2453"/>
    <mergeCell ref="A2454:A2456"/>
    <mergeCell ref="B2454:B2456"/>
    <mergeCell ref="C2454:C2456"/>
    <mergeCell ref="D2454:D2456"/>
    <mergeCell ref="AJ2454:AJ2456"/>
    <mergeCell ref="AK2454:AK2456"/>
    <mergeCell ref="AL2454:AL2456"/>
    <mergeCell ref="AM2454:AM2456"/>
    <mergeCell ref="AN2454:AN2456"/>
    <mergeCell ref="AO2454:AO2456"/>
    <mergeCell ref="AP2454:AP2456"/>
    <mergeCell ref="AQ2454:AQ2456"/>
    <mergeCell ref="AR2454:AR2456"/>
    <mergeCell ref="AS2454:AS2456"/>
    <mergeCell ref="A2457:A2459"/>
    <mergeCell ref="B2457:B2459"/>
    <mergeCell ref="C2457:C2459"/>
    <mergeCell ref="D2457:D2459"/>
    <mergeCell ref="AJ2457:AJ2459"/>
    <mergeCell ref="AK2457:AK2459"/>
    <mergeCell ref="AL2457:AL2459"/>
    <mergeCell ref="AM2457:AM2459"/>
    <mergeCell ref="AN2457:AN2459"/>
    <mergeCell ref="AO2457:AO2459"/>
    <mergeCell ref="AP2457:AP2459"/>
    <mergeCell ref="AQ2457:AQ2459"/>
    <mergeCell ref="AR2457:AR2459"/>
    <mergeCell ref="AS2457:AS2459"/>
    <mergeCell ref="A2460:A2462"/>
    <mergeCell ref="B2460:B2462"/>
    <mergeCell ref="C2460:C2462"/>
    <mergeCell ref="D2460:D2462"/>
    <mergeCell ref="AJ2460:AJ2462"/>
    <mergeCell ref="AK2460:AK2462"/>
    <mergeCell ref="AL2460:AL2462"/>
    <mergeCell ref="AM2460:AM2462"/>
    <mergeCell ref="AN2460:AN2462"/>
    <mergeCell ref="AO2460:AO2462"/>
    <mergeCell ref="AP2460:AP2462"/>
    <mergeCell ref="AQ2460:AQ2462"/>
    <mergeCell ref="AR2460:AR2462"/>
    <mergeCell ref="AS2460:AS2462"/>
    <mergeCell ref="A2463:A2465"/>
    <mergeCell ref="B2463:B2465"/>
    <mergeCell ref="C2463:C2465"/>
    <mergeCell ref="D2463:D2465"/>
    <mergeCell ref="AJ2463:AJ2465"/>
    <mergeCell ref="AK2463:AK2465"/>
    <mergeCell ref="AL2463:AL2465"/>
    <mergeCell ref="AM2463:AM2465"/>
    <mergeCell ref="AN2463:AN2465"/>
    <mergeCell ref="AO2463:AO2465"/>
    <mergeCell ref="AP2463:AP2465"/>
    <mergeCell ref="AQ2463:AQ2465"/>
    <mergeCell ref="AR2463:AR2465"/>
    <mergeCell ref="AS2463:AS2465"/>
    <mergeCell ref="A2466:A2468"/>
    <mergeCell ref="B2466:B2468"/>
    <mergeCell ref="C2466:C2468"/>
    <mergeCell ref="D2466:D2468"/>
    <mergeCell ref="AJ2466:AJ2468"/>
    <mergeCell ref="AK2466:AK2468"/>
    <mergeCell ref="AL2466:AL2468"/>
    <mergeCell ref="AM2466:AM2468"/>
    <mergeCell ref="AN2466:AN2468"/>
    <mergeCell ref="AO2466:AO2468"/>
    <mergeCell ref="AP2466:AP2468"/>
    <mergeCell ref="AQ2466:AQ2468"/>
    <mergeCell ref="AR2466:AR2468"/>
    <mergeCell ref="AS2466:AS2468"/>
    <mergeCell ref="A2469:A2471"/>
    <mergeCell ref="B2469:B2471"/>
    <mergeCell ref="C2469:C2471"/>
    <mergeCell ref="D2469:D2471"/>
    <mergeCell ref="AJ2469:AJ2471"/>
    <mergeCell ref="AK2469:AK2471"/>
    <mergeCell ref="AL2469:AL2471"/>
    <mergeCell ref="AM2469:AM2471"/>
    <mergeCell ref="AN2469:AN2471"/>
    <mergeCell ref="AO2469:AO2471"/>
    <mergeCell ref="AP2469:AP2471"/>
    <mergeCell ref="AQ2469:AQ2471"/>
    <mergeCell ref="AR2469:AR2471"/>
    <mergeCell ref="AS2469:AS2471"/>
    <mergeCell ref="A2472:A2474"/>
    <mergeCell ref="B2472:B2474"/>
    <mergeCell ref="C2472:C2474"/>
    <mergeCell ref="D2472:D2474"/>
    <mergeCell ref="AJ2472:AJ2474"/>
    <mergeCell ref="AK2472:AK2474"/>
    <mergeCell ref="AL2472:AL2474"/>
    <mergeCell ref="AM2472:AM2474"/>
    <mergeCell ref="AN2472:AN2474"/>
    <mergeCell ref="AO2472:AO2474"/>
    <mergeCell ref="AP2472:AP2474"/>
    <mergeCell ref="AQ2472:AQ2474"/>
    <mergeCell ref="AR2472:AR2474"/>
    <mergeCell ref="AS2472:AS2474"/>
    <mergeCell ref="A2475:A2477"/>
    <mergeCell ref="B2475:B2477"/>
    <mergeCell ref="C2475:C2477"/>
    <mergeCell ref="D2475:D2477"/>
    <mergeCell ref="AJ2475:AJ2477"/>
    <mergeCell ref="AK2475:AK2477"/>
    <mergeCell ref="AL2475:AL2477"/>
    <mergeCell ref="AM2475:AM2477"/>
    <mergeCell ref="AN2475:AN2477"/>
    <mergeCell ref="AO2475:AO2477"/>
    <mergeCell ref="AP2475:AP2477"/>
    <mergeCell ref="AQ2475:AQ2477"/>
    <mergeCell ref="AR2475:AR2477"/>
    <mergeCell ref="AS2475:AS2477"/>
    <mergeCell ref="A2478:A2480"/>
    <mergeCell ref="B2478:B2480"/>
    <mergeCell ref="C2478:C2480"/>
    <mergeCell ref="D2478:D2480"/>
    <mergeCell ref="AJ2478:AJ2480"/>
    <mergeCell ref="AK2478:AK2480"/>
    <mergeCell ref="AL2478:AL2480"/>
    <mergeCell ref="AM2478:AM2480"/>
    <mergeCell ref="AN2478:AN2480"/>
    <mergeCell ref="AO2478:AO2480"/>
    <mergeCell ref="AP2478:AP2480"/>
    <mergeCell ref="AQ2478:AQ2480"/>
    <mergeCell ref="AR2478:AR2480"/>
    <mergeCell ref="AS2478:AS2480"/>
    <mergeCell ref="A2481:A2483"/>
    <mergeCell ref="B2481:B2483"/>
    <mergeCell ref="C2481:C2483"/>
    <mergeCell ref="D2481:D2483"/>
    <mergeCell ref="AJ2481:AJ2483"/>
    <mergeCell ref="AK2481:AK2483"/>
    <mergeCell ref="AL2481:AL2483"/>
    <mergeCell ref="AM2481:AM2483"/>
    <mergeCell ref="AN2481:AN2483"/>
    <mergeCell ref="AO2481:AO2483"/>
    <mergeCell ref="AP2481:AP2483"/>
    <mergeCell ref="AQ2481:AQ2483"/>
    <mergeCell ref="AR2481:AR2483"/>
    <mergeCell ref="AS2481:AS2483"/>
    <mergeCell ref="A2484:A2486"/>
    <mergeCell ref="B2484:B2486"/>
    <mergeCell ref="C2484:C2486"/>
    <mergeCell ref="D2484:D2486"/>
    <mergeCell ref="AJ2484:AJ2486"/>
    <mergeCell ref="AK2484:AK2486"/>
    <mergeCell ref="AL2484:AL2486"/>
    <mergeCell ref="AM2484:AM2486"/>
    <mergeCell ref="AN2484:AN2486"/>
    <mergeCell ref="AO2484:AO2486"/>
    <mergeCell ref="AP2484:AP2486"/>
    <mergeCell ref="AQ2484:AQ2486"/>
    <mergeCell ref="AR2484:AR2486"/>
    <mergeCell ref="AS2484:AS2486"/>
    <mergeCell ref="A2487:A2489"/>
    <mergeCell ref="B2487:B2489"/>
    <mergeCell ref="C2487:C2489"/>
    <mergeCell ref="D2487:D2489"/>
    <mergeCell ref="AJ2487:AJ2489"/>
    <mergeCell ref="AK2487:AK2489"/>
    <mergeCell ref="AL2487:AL2489"/>
    <mergeCell ref="AM2487:AM2489"/>
    <mergeCell ref="AN2487:AN2489"/>
    <mergeCell ref="AO2487:AO2489"/>
    <mergeCell ref="AP2487:AP2489"/>
    <mergeCell ref="AQ2487:AQ2489"/>
    <mergeCell ref="AR2487:AR2489"/>
    <mergeCell ref="AS2487:AS2489"/>
    <mergeCell ref="A2490:A2492"/>
    <mergeCell ref="B2490:B2492"/>
    <mergeCell ref="C2490:C2492"/>
    <mergeCell ref="D2490:D2492"/>
    <mergeCell ref="AJ2490:AJ2492"/>
    <mergeCell ref="AK2490:AK2492"/>
    <mergeCell ref="AL2490:AL2492"/>
    <mergeCell ref="AM2490:AM2492"/>
    <mergeCell ref="AN2490:AN2492"/>
    <mergeCell ref="AO2490:AO2492"/>
    <mergeCell ref="AP2490:AP2492"/>
    <mergeCell ref="AQ2490:AQ2492"/>
    <mergeCell ref="AR2490:AR2492"/>
    <mergeCell ref="AS2490:AS2492"/>
    <mergeCell ref="A2493:A2495"/>
    <mergeCell ref="B2493:B2495"/>
    <mergeCell ref="C2493:C2495"/>
    <mergeCell ref="D2493:D2495"/>
    <mergeCell ref="AJ2493:AJ2495"/>
    <mergeCell ref="AK2493:AK2495"/>
    <mergeCell ref="AL2493:AL2495"/>
    <mergeCell ref="AM2493:AM2495"/>
    <mergeCell ref="AN2493:AN2495"/>
    <mergeCell ref="AO2493:AO2495"/>
    <mergeCell ref="AP2493:AP2495"/>
    <mergeCell ref="AQ2493:AQ2495"/>
    <mergeCell ref="AR2493:AR2495"/>
    <mergeCell ref="AS2493:AS2495"/>
    <mergeCell ref="A2496:A2498"/>
    <mergeCell ref="B2496:B2498"/>
    <mergeCell ref="C2496:C2498"/>
    <mergeCell ref="D2496:D2498"/>
    <mergeCell ref="AJ2496:AJ2498"/>
    <mergeCell ref="AK2496:AK2498"/>
    <mergeCell ref="AL2496:AL2498"/>
    <mergeCell ref="AM2496:AM2498"/>
    <mergeCell ref="AN2496:AN2498"/>
    <mergeCell ref="AO2496:AO2498"/>
    <mergeCell ref="AP2496:AP2498"/>
    <mergeCell ref="AQ2496:AQ2498"/>
    <mergeCell ref="AR2496:AR2498"/>
    <mergeCell ref="AS2496:AS2498"/>
    <mergeCell ref="A2499:A2501"/>
    <mergeCell ref="B2499:B2501"/>
    <mergeCell ref="C2499:C2501"/>
    <mergeCell ref="D2499:D2501"/>
    <mergeCell ref="AJ2499:AJ2501"/>
    <mergeCell ref="AK2499:AK2501"/>
    <mergeCell ref="AL2499:AL2501"/>
    <mergeCell ref="AM2499:AM2501"/>
    <mergeCell ref="AN2499:AN2501"/>
    <mergeCell ref="AO2499:AO2501"/>
    <mergeCell ref="AP2499:AP2501"/>
    <mergeCell ref="AQ2499:AQ2501"/>
    <mergeCell ref="AR2499:AR2501"/>
    <mergeCell ref="AS2499:AS2501"/>
    <mergeCell ref="A2502:A2504"/>
    <mergeCell ref="B2502:B2504"/>
    <mergeCell ref="C2502:C2504"/>
    <mergeCell ref="D2502:D2504"/>
    <mergeCell ref="AJ2502:AJ2504"/>
    <mergeCell ref="AK2502:AK2504"/>
    <mergeCell ref="AL2502:AL2504"/>
    <mergeCell ref="AM2502:AM2504"/>
    <mergeCell ref="AN2502:AN2504"/>
    <mergeCell ref="AO2502:AO2504"/>
    <mergeCell ref="AP2502:AP2504"/>
    <mergeCell ref="AQ2502:AQ2504"/>
    <mergeCell ref="AR2502:AR2504"/>
    <mergeCell ref="AS2502:AS2504"/>
    <mergeCell ref="A2505:A2507"/>
    <mergeCell ref="B2505:B2507"/>
    <mergeCell ref="C2505:C2507"/>
    <mergeCell ref="D2505:D2507"/>
    <mergeCell ref="AJ2505:AJ2507"/>
    <mergeCell ref="AK2505:AK2507"/>
    <mergeCell ref="AL2505:AL2507"/>
    <mergeCell ref="AM2505:AM2507"/>
    <mergeCell ref="AN2505:AN2507"/>
    <mergeCell ref="AO2505:AO2507"/>
    <mergeCell ref="AP2505:AP2507"/>
    <mergeCell ref="AQ2505:AQ2507"/>
    <mergeCell ref="AR2505:AR2507"/>
    <mergeCell ref="AS2505:AS2507"/>
    <mergeCell ref="A2508:A2510"/>
    <mergeCell ref="B2508:B2510"/>
    <mergeCell ref="C2508:C2510"/>
    <mergeCell ref="D2508:D2510"/>
    <mergeCell ref="AJ2508:AJ2510"/>
    <mergeCell ref="AK2508:AK2510"/>
    <mergeCell ref="AL2508:AL2510"/>
    <mergeCell ref="AM2508:AM2510"/>
    <mergeCell ref="AN2508:AN2510"/>
    <mergeCell ref="AO2508:AO2510"/>
    <mergeCell ref="AP2508:AP2510"/>
    <mergeCell ref="AQ2508:AQ2510"/>
    <mergeCell ref="AR2508:AR2510"/>
    <mergeCell ref="AS2508:AS2510"/>
    <mergeCell ref="A2511:A2513"/>
    <mergeCell ref="B2511:B2513"/>
    <mergeCell ref="C2511:C2513"/>
    <mergeCell ref="D2511:D2513"/>
    <mergeCell ref="AJ2511:AJ2513"/>
    <mergeCell ref="AK2511:AK2513"/>
    <mergeCell ref="AL2511:AL2513"/>
    <mergeCell ref="AM2511:AM2513"/>
    <mergeCell ref="AN2511:AN2513"/>
    <mergeCell ref="AO2511:AO2513"/>
    <mergeCell ref="AP2511:AP2513"/>
    <mergeCell ref="AQ2511:AQ2513"/>
    <mergeCell ref="AR2511:AR2513"/>
    <mergeCell ref="AS2511:AS2513"/>
    <mergeCell ref="A2514:A2516"/>
    <mergeCell ref="B2514:B2516"/>
    <mergeCell ref="C2514:C2516"/>
    <mergeCell ref="D2514:D2516"/>
    <mergeCell ref="AJ2514:AJ2516"/>
    <mergeCell ref="AK2514:AK2516"/>
    <mergeCell ref="AL2514:AL2516"/>
    <mergeCell ref="AM2514:AM2516"/>
    <mergeCell ref="AN2514:AN2516"/>
    <mergeCell ref="AO2514:AO2516"/>
    <mergeCell ref="AP2514:AP2516"/>
    <mergeCell ref="AQ2514:AQ2516"/>
    <mergeCell ref="AR2514:AR2516"/>
    <mergeCell ref="AS2514:AS2516"/>
    <mergeCell ref="A2517:A2519"/>
    <mergeCell ref="B2517:B2519"/>
    <mergeCell ref="C2517:C2519"/>
    <mergeCell ref="D2517:D2519"/>
    <mergeCell ref="AJ2517:AJ2519"/>
    <mergeCell ref="AK2517:AK2519"/>
    <mergeCell ref="AL2517:AL2519"/>
    <mergeCell ref="AM2517:AM2519"/>
    <mergeCell ref="AN2517:AN2519"/>
    <mergeCell ref="AO2517:AO2519"/>
    <mergeCell ref="AP2517:AP2519"/>
    <mergeCell ref="AQ2517:AQ2519"/>
    <mergeCell ref="AR2517:AR2519"/>
    <mergeCell ref="AS2517:AS2519"/>
    <mergeCell ref="A2520:A2522"/>
    <mergeCell ref="B2520:B2522"/>
    <mergeCell ref="C2520:C2522"/>
    <mergeCell ref="D2520:D2522"/>
    <mergeCell ref="AJ2520:AJ2522"/>
    <mergeCell ref="AK2520:AK2522"/>
    <mergeCell ref="AL2520:AL2522"/>
    <mergeCell ref="AM2520:AM2522"/>
    <mergeCell ref="AN2520:AN2522"/>
    <mergeCell ref="AO2520:AO2522"/>
    <mergeCell ref="AP2520:AP2522"/>
    <mergeCell ref="AQ2520:AQ2522"/>
    <mergeCell ref="AR2520:AR2522"/>
    <mergeCell ref="AS2520:AS2522"/>
    <mergeCell ref="A2523:A2525"/>
    <mergeCell ref="B2523:B2525"/>
    <mergeCell ref="C2523:C2525"/>
    <mergeCell ref="D2523:D2525"/>
    <mergeCell ref="AJ2523:AJ2525"/>
    <mergeCell ref="AK2523:AK2525"/>
    <mergeCell ref="AL2523:AL2525"/>
    <mergeCell ref="AM2523:AM2525"/>
    <mergeCell ref="AN2523:AN2525"/>
    <mergeCell ref="AO2523:AO2525"/>
    <mergeCell ref="AP2523:AP2525"/>
    <mergeCell ref="AQ2523:AQ2525"/>
    <mergeCell ref="AR2523:AR2525"/>
    <mergeCell ref="AS2523:AS2525"/>
    <mergeCell ref="A2526:A2528"/>
    <mergeCell ref="B2526:B2528"/>
    <mergeCell ref="C2526:C2528"/>
    <mergeCell ref="D2526:D2528"/>
    <mergeCell ref="AJ2526:AJ2528"/>
    <mergeCell ref="AK2526:AK2528"/>
    <mergeCell ref="AL2526:AL2528"/>
    <mergeCell ref="AM2526:AM2528"/>
    <mergeCell ref="AN2526:AN2528"/>
    <mergeCell ref="AO2526:AO2528"/>
    <mergeCell ref="AP2526:AP2528"/>
    <mergeCell ref="AQ2526:AQ2528"/>
    <mergeCell ref="AR2526:AR2528"/>
    <mergeCell ref="AS2526:AS2528"/>
    <mergeCell ref="A2529:A2531"/>
    <mergeCell ref="B2529:B2531"/>
    <mergeCell ref="C2529:C2531"/>
    <mergeCell ref="D2529:D2531"/>
    <mergeCell ref="AJ2529:AJ2531"/>
    <mergeCell ref="AK2529:AK2531"/>
    <mergeCell ref="AL2529:AL2531"/>
    <mergeCell ref="AM2529:AM2531"/>
    <mergeCell ref="AN2529:AN2531"/>
    <mergeCell ref="AO2529:AO2531"/>
    <mergeCell ref="AP2529:AP2531"/>
    <mergeCell ref="AQ2529:AQ2531"/>
    <mergeCell ref="AR2529:AR2531"/>
    <mergeCell ref="AS2529:AS2531"/>
    <mergeCell ref="A2532:A2534"/>
    <mergeCell ref="B2532:B2534"/>
    <mergeCell ref="C2532:C2534"/>
    <mergeCell ref="D2532:D2534"/>
    <mergeCell ref="AJ2532:AJ2534"/>
    <mergeCell ref="AK2532:AK2534"/>
    <mergeCell ref="AL2532:AL2534"/>
    <mergeCell ref="AM2532:AM2534"/>
    <mergeCell ref="AN2532:AN2534"/>
    <mergeCell ref="AO2532:AO2534"/>
    <mergeCell ref="AP2532:AP2534"/>
    <mergeCell ref="AQ2532:AQ2534"/>
    <mergeCell ref="AR2532:AR2534"/>
    <mergeCell ref="AS2532:AS2534"/>
    <mergeCell ref="A2535:A2537"/>
    <mergeCell ref="B2535:B2537"/>
    <mergeCell ref="C2535:C2537"/>
    <mergeCell ref="D2535:D2537"/>
    <mergeCell ref="AJ2535:AJ2537"/>
    <mergeCell ref="AK2535:AK2537"/>
    <mergeCell ref="AL2535:AL2537"/>
    <mergeCell ref="AM2535:AM2537"/>
    <mergeCell ref="AN2535:AN2537"/>
    <mergeCell ref="AO2535:AO2537"/>
    <mergeCell ref="AP2535:AP2537"/>
    <mergeCell ref="AQ2535:AQ2537"/>
    <mergeCell ref="AR2535:AR2537"/>
    <mergeCell ref="AS2535:AS2537"/>
    <mergeCell ref="A2538:A2540"/>
    <mergeCell ref="B2538:B2540"/>
    <mergeCell ref="C2538:C2540"/>
    <mergeCell ref="D2538:D2540"/>
    <mergeCell ref="AJ2538:AJ2540"/>
    <mergeCell ref="AK2538:AK2540"/>
    <mergeCell ref="AL2538:AL2540"/>
    <mergeCell ref="AM2538:AM2540"/>
    <mergeCell ref="AN2538:AN2540"/>
    <mergeCell ref="AO2538:AO2540"/>
    <mergeCell ref="AP2538:AP2540"/>
    <mergeCell ref="AQ2538:AQ2540"/>
    <mergeCell ref="AR2538:AR2540"/>
    <mergeCell ref="AS2538:AS2540"/>
    <mergeCell ref="A2541:A2543"/>
    <mergeCell ref="B2541:B2543"/>
    <mergeCell ref="C2541:C2543"/>
    <mergeCell ref="D2541:D2543"/>
    <mergeCell ref="AJ2541:AJ2543"/>
    <mergeCell ref="AK2541:AK2543"/>
    <mergeCell ref="AL2541:AL2543"/>
    <mergeCell ref="AM2541:AM2543"/>
    <mergeCell ref="AN2541:AN2543"/>
    <mergeCell ref="AO2541:AO2543"/>
    <mergeCell ref="AP2541:AP2543"/>
    <mergeCell ref="AQ2541:AQ2543"/>
    <mergeCell ref="AR2541:AR2543"/>
    <mergeCell ref="AS2541:AS2543"/>
    <mergeCell ref="A2544:A2546"/>
    <mergeCell ref="B2544:B2546"/>
    <mergeCell ref="C2544:C2546"/>
    <mergeCell ref="D2544:D2546"/>
    <mergeCell ref="AJ2544:AJ2546"/>
    <mergeCell ref="AK2544:AK2546"/>
    <mergeCell ref="AL2544:AL2546"/>
    <mergeCell ref="AM2544:AM2546"/>
    <mergeCell ref="AN2544:AN2546"/>
    <mergeCell ref="AO2544:AO2546"/>
    <mergeCell ref="AP2544:AP2546"/>
    <mergeCell ref="AQ2544:AQ2546"/>
    <mergeCell ref="AR2544:AR2546"/>
    <mergeCell ref="AS2544:AS2546"/>
    <mergeCell ref="A2547:A2549"/>
    <mergeCell ref="B2547:B2549"/>
    <mergeCell ref="C2547:C2549"/>
    <mergeCell ref="D2547:D2549"/>
    <mergeCell ref="AJ2547:AJ2549"/>
    <mergeCell ref="AK2547:AK2549"/>
    <mergeCell ref="AL2547:AL2549"/>
    <mergeCell ref="AM2547:AM2549"/>
    <mergeCell ref="AN2547:AN2549"/>
    <mergeCell ref="AO2547:AO2549"/>
    <mergeCell ref="AP2547:AP2549"/>
    <mergeCell ref="AQ2547:AQ2549"/>
    <mergeCell ref="AR2547:AR2549"/>
    <mergeCell ref="AS2547:AS2549"/>
    <mergeCell ref="A2550:A2552"/>
    <mergeCell ref="B2550:B2552"/>
    <mergeCell ref="C2550:C2552"/>
    <mergeCell ref="D2550:D2552"/>
    <mergeCell ref="AJ2550:AJ2552"/>
    <mergeCell ref="AK2550:AK2552"/>
    <mergeCell ref="AL2550:AL2552"/>
    <mergeCell ref="AM2550:AM2552"/>
    <mergeCell ref="AN2550:AN2552"/>
    <mergeCell ref="AO2550:AO2552"/>
    <mergeCell ref="AP2550:AP2552"/>
    <mergeCell ref="AQ2550:AQ2552"/>
    <mergeCell ref="AR2550:AR2552"/>
    <mergeCell ref="AS2550:AS2552"/>
    <mergeCell ref="A2553:A2555"/>
    <mergeCell ref="B2553:B2555"/>
    <mergeCell ref="C2553:C2555"/>
    <mergeCell ref="D2553:D2555"/>
    <mergeCell ref="AJ2553:AJ2555"/>
    <mergeCell ref="AK2553:AK2555"/>
    <mergeCell ref="AL2553:AL2555"/>
    <mergeCell ref="AM2553:AM2555"/>
    <mergeCell ref="AN2553:AN2555"/>
    <mergeCell ref="AO2553:AO2555"/>
    <mergeCell ref="AP2553:AP2555"/>
    <mergeCell ref="AQ2553:AQ2555"/>
    <mergeCell ref="AR2553:AR2555"/>
    <mergeCell ref="AS2553:AS2555"/>
    <mergeCell ref="A2556:A2558"/>
    <mergeCell ref="B2556:B2558"/>
    <mergeCell ref="C2556:C2558"/>
    <mergeCell ref="D2556:D2558"/>
    <mergeCell ref="AJ2556:AJ2558"/>
    <mergeCell ref="AK2556:AK2558"/>
    <mergeCell ref="AL2556:AL2558"/>
    <mergeCell ref="AM2556:AM2558"/>
    <mergeCell ref="AN2556:AN2558"/>
    <mergeCell ref="AO2556:AO2558"/>
    <mergeCell ref="AP2556:AP2558"/>
    <mergeCell ref="AQ2556:AQ2558"/>
    <mergeCell ref="AR2556:AR2558"/>
    <mergeCell ref="AS2556:AS2558"/>
    <mergeCell ref="A2559:A2561"/>
    <mergeCell ref="B2559:B2561"/>
    <mergeCell ref="C2559:C2561"/>
    <mergeCell ref="D2559:D2561"/>
    <mergeCell ref="AJ2559:AJ2561"/>
    <mergeCell ref="AK2559:AK2561"/>
    <mergeCell ref="AL2559:AL2561"/>
    <mergeCell ref="AM2559:AM2561"/>
    <mergeCell ref="AN2559:AN2561"/>
    <mergeCell ref="AO2559:AO2561"/>
    <mergeCell ref="AP2559:AP2561"/>
    <mergeCell ref="AQ2559:AQ2561"/>
    <mergeCell ref="AR2559:AR2561"/>
    <mergeCell ref="AS2559:AS2561"/>
    <mergeCell ref="A2562:A2564"/>
    <mergeCell ref="B2562:B2564"/>
    <mergeCell ref="C2562:C2564"/>
    <mergeCell ref="D2562:D2564"/>
    <mergeCell ref="AJ2562:AJ2564"/>
    <mergeCell ref="AK2562:AK2564"/>
    <mergeCell ref="AL2562:AL2564"/>
    <mergeCell ref="AM2562:AM2564"/>
    <mergeCell ref="AN2562:AN2564"/>
    <mergeCell ref="AO2562:AO2564"/>
    <mergeCell ref="AP2562:AP2564"/>
    <mergeCell ref="AQ2562:AQ2564"/>
    <mergeCell ref="AR2562:AR2564"/>
    <mergeCell ref="AS2562:AS2564"/>
    <mergeCell ref="A2565:A2567"/>
    <mergeCell ref="B2565:B2567"/>
    <mergeCell ref="C2565:C2567"/>
    <mergeCell ref="D2565:D2567"/>
    <mergeCell ref="AJ2565:AJ2567"/>
    <mergeCell ref="AK2565:AK2567"/>
    <mergeCell ref="AL2565:AL2567"/>
    <mergeCell ref="AM2565:AM2567"/>
    <mergeCell ref="AN2565:AN2567"/>
    <mergeCell ref="AO2565:AO2567"/>
    <mergeCell ref="AP2565:AP2567"/>
    <mergeCell ref="AQ2565:AQ2567"/>
    <mergeCell ref="AR2565:AR2567"/>
    <mergeCell ref="AS2565:AS2567"/>
    <mergeCell ref="A2568:A2570"/>
    <mergeCell ref="B2568:B2570"/>
    <mergeCell ref="C2568:C2570"/>
    <mergeCell ref="D2568:D2570"/>
    <mergeCell ref="AJ2568:AJ2570"/>
    <mergeCell ref="AK2568:AK2570"/>
    <mergeCell ref="AL2568:AL2570"/>
    <mergeCell ref="AM2568:AM2570"/>
    <mergeCell ref="AN2568:AN2570"/>
    <mergeCell ref="AO2568:AO2570"/>
    <mergeCell ref="AP2568:AP2570"/>
    <mergeCell ref="AQ2568:AQ2570"/>
    <mergeCell ref="AR2568:AR2570"/>
    <mergeCell ref="AS2568:AS2570"/>
    <mergeCell ref="A2571:A2573"/>
    <mergeCell ref="B2571:B2573"/>
    <mergeCell ref="C2571:C2573"/>
    <mergeCell ref="D2571:D2573"/>
    <mergeCell ref="AJ2571:AJ2573"/>
    <mergeCell ref="AK2571:AK2573"/>
    <mergeCell ref="AL2571:AL2573"/>
    <mergeCell ref="AM2571:AM2573"/>
    <mergeCell ref="AN2571:AN2573"/>
    <mergeCell ref="AO2571:AO2573"/>
    <mergeCell ref="AP2571:AP2573"/>
    <mergeCell ref="AQ2571:AQ2573"/>
    <mergeCell ref="AR2571:AR2573"/>
    <mergeCell ref="AS2571:AS2573"/>
    <mergeCell ref="A2574:A2576"/>
    <mergeCell ref="B2574:B2576"/>
    <mergeCell ref="C2574:C2576"/>
    <mergeCell ref="D2574:D2576"/>
    <mergeCell ref="AJ2574:AJ2576"/>
    <mergeCell ref="AK2574:AK2576"/>
    <mergeCell ref="AL2574:AL2576"/>
    <mergeCell ref="AM2574:AM2576"/>
    <mergeCell ref="AN2574:AN2576"/>
    <mergeCell ref="AO2574:AO2576"/>
    <mergeCell ref="AP2574:AP2576"/>
    <mergeCell ref="AQ2574:AQ2576"/>
    <mergeCell ref="AR2574:AR2576"/>
    <mergeCell ref="AS2574:AS2576"/>
    <mergeCell ref="A2577:A2579"/>
    <mergeCell ref="B2577:B2579"/>
    <mergeCell ref="C2577:C2579"/>
    <mergeCell ref="D2577:D2579"/>
    <mergeCell ref="AJ2577:AJ2579"/>
    <mergeCell ref="AK2577:AK2579"/>
    <mergeCell ref="AL2577:AL2579"/>
    <mergeCell ref="AM2577:AM2579"/>
    <mergeCell ref="AN2577:AN2579"/>
    <mergeCell ref="AO2577:AO2579"/>
    <mergeCell ref="AP2577:AP2579"/>
    <mergeCell ref="AQ2577:AQ2579"/>
    <mergeCell ref="AR2577:AR2579"/>
    <mergeCell ref="AS2577:AS2579"/>
    <mergeCell ref="A2580:A2582"/>
    <mergeCell ref="B2580:B2582"/>
    <mergeCell ref="C2580:C2582"/>
    <mergeCell ref="D2580:D2582"/>
    <mergeCell ref="AJ2580:AJ2582"/>
    <mergeCell ref="AK2580:AK2582"/>
    <mergeCell ref="AL2580:AL2582"/>
    <mergeCell ref="AM2580:AM2582"/>
    <mergeCell ref="AN2580:AN2582"/>
    <mergeCell ref="AO2580:AO2582"/>
    <mergeCell ref="AP2580:AP2582"/>
    <mergeCell ref="AQ2580:AQ2582"/>
    <mergeCell ref="AR2580:AR2582"/>
    <mergeCell ref="AS2580:AS2582"/>
    <mergeCell ref="A2583:A2585"/>
    <mergeCell ref="B2583:B2585"/>
    <mergeCell ref="C2583:C2585"/>
    <mergeCell ref="D2583:D2585"/>
    <mergeCell ref="AJ2583:AJ2585"/>
    <mergeCell ref="AK2583:AK2585"/>
    <mergeCell ref="AL2583:AL2585"/>
    <mergeCell ref="AM2583:AM2585"/>
    <mergeCell ref="AN2583:AN2585"/>
    <mergeCell ref="AO2583:AO2585"/>
    <mergeCell ref="AP2583:AP2585"/>
    <mergeCell ref="AQ2583:AQ2585"/>
    <mergeCell ref="AR2583:AR2585"/>
    <mergeCell ref="AS2583:AS2585"/>
    <mergeCell ref="A2586:A2588"/>
    <mergeCell ref="B2586:B2588"/>
    <mergeCell ref="C2586:C2588"/>
    <mergeCell ref="D2586:D2588"/>
    <mergeCell ref="AJ2586:AJ2588"/>
    <mergeCell ref="AK2586:AK2588"/>
    <mergeCell ref="AL2586:AL2588"/>
    <mergeCell ref="AM2586:AM2588"/>
    <mergeCell ref="AN2586:AN2588"/>
    <mergeCell ref="AO2586:AO2588"/>
    <mergeCell ref="AP2586:AP2588"/>
    <mergeCell ref="AQ2586:AQ2588"/>
    <mergeCell ref="AR2586:AR2588"/>
    <mergeCell ref="AS2586:AS2588"/>
    <mergeCell ref="A2589:A2591"/>
    <mergeCell ref="B2589:B2591"/>
    <mergeCell ref="C2589:C2591"/>
    <mergeCell ref="D2589:D2591"/>
    <mergeCell ref="AJ2589:AJ2591"/>
    <mergeCell ref="AK2589:AK2591"/>
    <mergeCell ref="AL2589:AL2591"/>
    <mergeCell ref="AM2589:AM2591"/>
    <mergeCell ref="AN2589:AN2591"/>
    <mergeCell ref="AO2589:AO2591"/>
    <mergeCell ref="AP2589:AP2591"/>
    <mergeCell ref="AQ2589:AQ2591"/>
    <mergeCell ref="AR2589:AR2591"/>
    <mergeCell ref="AS2589:AS2591"/>
    <mergeCell ref="A2592:A2594"/>
    <mergeCell ref="B2592:B2594"/>
    <mergeCell ref="C2592:C2594"/>
    <mergeCell ref="D2592:D2594"/>
    <mergeCell ref="AJ2592:AJ2594"/>
    <mergeCell ref="AK2592:AK2594"/>
    <mergeCell ref="AL2592:AL2594"/>
    <mergeCell ref="AM2592:AM2594"/>
    <mergeCell ref="AN2592:AN2594"/>
    <mergeCell ref="AO2592:AO2594"/>
    <mergeCell ref="AP2592:AP2594"/>
    <mergeCell ref="AQ2592:AQ2594"/>
    <mergeCell ref="AR2592:AR2594"/>
    <mergeCell ref="AS2592:AS2594"/>
    <mergeCell ref="A2595:A2597"/>
    <mergeCell ref="B2595:B2597"/>
    <mergeCell ref="C2595:C2597"/>
    <mergeCell ref="D2595:D2597"/>
    <mergeCell ref="AJ2595:AJ2597"/>
    <mergeCell ref="AK2595:AK2597"/>
    <mergeCell ref="AL2595:AL2597"/>
    <mergeCell ref="AM2595:AM2597"/>
    <mergeCell ref="AN2595:AN2597"/>
    <mergeCell ref="AO2595:AO2597"/>
    <mergeCell ref="AP2595:AP2597"/>
    <mergeCell ref="AQ2595:AQ2597"/>
    <mergeCell ref="AR2595:AR2597"/>
    <mergeCell ref="AS2595:AS2597"/>
    <mergeCell ref="A2598:A2600"/>
    <mergeCell ref="B2598:B2600"/>
    <mergeCell ref="C2598:C2600"/>
    <mergeCell ref="D2598:D2600"/>
    <mergeCell ref="AJ2598:AJ2600"/>
    <mergeCell ref="AK2598:AK2600"/>
    <mergeCell ref="AL2598:AL2600"/>
    <mergeCell ref="AM2598:AM2600"/>
    <mergeCell ref="AN2598:AN2600"/>
    <mergeCell ref="AO2598:AO2600"/>
    <mergeCell ref="AP2598:AP2600"/>
    <mergeCell ref="AQ2598:AQ2600"/>
    <mergeCell ref="AR2598:AR2600"/>
    <mergeCell ref="AS2598:AS2600"/>
    <mergeCell ref="A2601:A2603"/>
    <mergeCell ref="B2601:B2603"/>
    <mergeCell ref="C2601:C2603"/>
    <mergeCell ref="D2601:D2603"/>
    <mergeCell ref="AJ2601:AJ2603"/>
    <mergeCell ref="AK2601:AK2603"/>
    <mergeCell ref="AL2601:AL2603"/>
    <mergeCell ref="AM2601:AM2603"/>
    <mergeCell ref="AN2601:AN2603"/>
    <mergeCell ref="AO2601:AO2603"/>
    <mergeCell ref="AP2601:AP2603"/>
    <mergeCell ref="AQ2601:AQ2603"/>
    <mergeCell ref="AR2601:AR2603"/>
    <mergeCell ref="AS2601:AS2603"/>
    <mergeCell ref="A2604:A2606"/>
    <mergeCell ref="B2604:B2606"/>
    <mergeCell ref="C2604:C2606"/>
    <mergeCell ref="D2604:D2606"/>
    <mergeCell ref="AJ2604:AJ2606"/>
    <mergeCell ref="AK2604:AK2606"/>
    <mergeCell ref="AL2604:AL2606"/>
    <mergeCell ref="AM2604:AM2606"/>
    <mergeCell ref="AN2604:AN2606"/>
    <mergeCell ref="AO2604:AO2606"/>
    <mergeCell ref="AP2604:AP2606"/>
    <mergeCell ref="AQ2604:AQ2606"/>
    <mergeCell ref="AR2604:AR2606"/>
    <mergeCell ref="AS2604:AS2606"/>
    <mergeCell ref="A2607:A2609"/>
    <mergeCell ref="B2607:B2609"/>
    <mergeCell ref="C2607:C2609"/>
    <mergeCell ref="D2607:D2609"/>
    <mergeCell ref="AJ2607:AJ2609"/>
    <mergeCell ref="AK2607:AK2609"/>
    <mergeCell ref="AL2607:AL2609"/>
    <mergeCell ref="AM2607:AM2609"/>
    <mergeCell ref="AN2607:AN2609"/>
    <mergeCell ref="AO2607:AO2609"/>
    <mergeCell ref="AP2607:AP2609"/>
    <mergeCell ref="AQ2607:AQ2609"/>
    <mergeCell ref="AR2607:AR2609"/>
    <mergeCell ref="AS2607:AS2609"/>
    <mergeCell ref="A2610:A2612"/>
    <mergeCell ref="B2610:B2612"/>
    <mergeCell ref="C2610:C2612"/>
    <mergeCell ref="D2610:D2612"/>
    <mergeCell ref="AJ2610:AJ2612"/>
    <mergeCell ref="AK2610:AK2612"/>
    <mergeCell ref="AL2610:AL2612"/>
    <mergeCell ref="AM2610:AM2612"/>
    <mergeCell ref="AN2610:AN2612"/>
    <mergeCell ref="AO2610:AO2612"/>
    <mergeCell ref="AP2610:AP2612"/>
    <mergeCell ref="AQ2610:AQ2612"/>
    <mergeCell ref="AR2610:AR2612"/>
    <mergeCell ref="AS2610:AS2612"/>
    <mergeCell ref="A2613:A2615"/>
    <mergeCell ref="B2613:B2615"/>
    <mergeCell ref="C2613:C2615"/>
    <mergeCell ref="D2613:D2615"/>
    <mergeCell ref="AJ2613:AJ2615"/>
    <mergeCell ref="AK2613:AK2615"/>
    <mergeCell ref="AL2613:AL2615"/>
    <mergeCell ref="AM2613:AM2615"/>
    <mergeCell ref="AN2613:AN2615"/>
    <mergeCell ref="AO2613:AO2615"/>
    <mergeCell ref="AP2613:AP2615"/>
    <mergeCell ref="AQ2613:AQ2615"/>
    <mergeCell ref="AR2613:AR2615"/>
    <mergeCell ref="AS2613:AS2615"/>
    <mergeCell ref="A2616:A2618"/>
    <mergeCell ref="B2616:B2618"/>
    <mergeCell ref="C2616:C2618"/>
    <mergeCell ref="D2616:D2618"/>
    <mergeCell ref="AJ2616:AJ2618"/>
    <mergeCell ref="AK2616:AK2618"/>
    <mergeCell ref="AL2616:AL2618"/>
    <mergeCell ref="AM2616:AM2618"/>
    <mergeCell ref="AN2616:AN2618"/>
    <mergeCell ref="AO2616:AO2618"/>
    <mergeCell ref="AP2616:AP2618"/>
    <mergeCell ref="AQ2616:AQ2618"/>
    <mergeCell ref="AR2616:AR2618"/>
    <mergeCell ref="AS2616:AS2618"/>
    <mergeCell ref="A2619:A2621"/>
    <mergeCell ref="B2619:B2621"/>
    <mergeCell ref="C2619:C2621"/>
    <mergeCell ref="D2619:D2621"/>
    <mergeCell ref="AJ2619:AJ2621"/>
    <mergeCell ref="AK2619:AK2621"/>
    <mergeCell ref="AL2619:AL2621"/>
    <mergeCell ref="AM2619:AM2621"/>
    <mergeCell ref="AN2619:AN2621"/>
    <mergeCell ref="AO2619:AO2621"/>
    <mergeCell ref="AP2619:AP2621"/>
    <mergeCell ref="AQ2619:AQ2621"/>
    <mergeCell ref="AR2619:AR2621"/>
    <mergeCell ref="AS2619:AS2621"/>
    <mergeCell ref="A2622:A2624"/>
    <mergeCell ref="B2622:B2624"/>
    <mergeCell ref="C2622:C2624"/>
    <mergeCell ref="D2622:D2624"/>
    <mergeCell ref="AJ2622:AJ2624"/>
    <mergeCell ref="AK2622:AK2624"/>
    <mergeCell ref="AL2622:AL2624"/>
    <mergeCell ref="AM2622:AM2624"/>
    <mergeCell ref="AN2622:AN2624"/>
    <mergeCell ref="AO2622:AO2624"/>
    <mergeCell ref="AP2622:AP2624"/>
    <mergeCell ref="AQ2622:AQ2624"/>
    <mergeCell ref="AR2622:AR2624"/>
    <mergeCell ref="AS2622:AS2624"/>
    <mergeCell ref="A2625:A2627"/>
    <mergeCell ref="B2625:B2627"/>
    <mergeCell ref="C2625:C2627"/>
    <mergeCell ref="D2625:D2627"/>
    <mergeCell ref="AJ2625:AJ2627"/>
    <mergeCell ref="AK2625:AK2627"/>
    <mergeCell ref="AL2625:AL2627"/>
    <mergeCell ref="AM2625:AM2627"/>
    <mergeCell ref="AN2625:AN2627"/>
    <mergeCell ref="AO2625:AO2627"/>
    <mergeCell ref="AP2625:AP2627"/>
    <mergeCell ref="AQ2625:AQ2627"/>
    <mergeCell ref="AR2625:AR2627"/>
    <mergeCell ref="AS2625:AS2627"/>
    <mergeCell ref="A2628:A2630"/>
    <mergeCell ref="B2628:B2630"/>
    <mergeCell ref="C2628:C2630"/>
    <mergeCell ref="D2628:D2630"/>
    <mergeCell ref="AJ2628:AJ2630"/>
    <mergeCell ref="AK2628:AK2630"/>
    <mergeCell ref="AL2628:AL2630"/>
    <mergeCell ref="AM2628:AM2630"/>
    <mergeCell ref="AN2628:AN2630"/>
    <mergeCell ref="AO2628:AO2630"/>
    <mergeCell ref="AP2628:AP2630"/>
    <mergeCell ref="AQ2628:AQ2630"/>
    <mergeCell ref="AR2628:AR2630"/>
    <mergeCell ref="AS2628:AS2630"/>
    <mergeCell ref="A2631:A2633"/>
    <mergeCell ref="B2631:B2633"/>
    <mergeCell ref="C2631:C2633"/>
    <mergeCell ref="D2631:D2633"/>
    <mergeCell ref="AJ2631:AJ2633"/>
    <mergeCell ref="AK2631:AK2633"/>
    <mergeCell ref="AL2631:AL2633"/>
    <mergeCell ref="AM2631:AM2633"/>
    <mergeCell ref="AN2631:AN2633"/>
    <mergeCell ref="AO2631:AO2633"/>
    <mergeCell ref="AP2631:AP2633"/>
    <mergeCell ref="AQ2631:AQ2633"/>
    <mergeCell ref="AR2631:AR2633"/>
    <mergeCell ref="AS2631:AS2633"/>
    <mergeCell ref="A2634:A2636"/>
    <mergeCell ref="B2634:B2636"/>
    <mergeCell ref="C2634:C2636"/>
    <mergeCell ref="D2634:D2636"/>
    <mergeCell ref="AJ2634:AJ2636"/>
    <mergeCell ref="AK2634:AK2636"/>
    <mergeCell ref="AL2634:AL2636"/>
    <mergeCell ref="AM2634:AM2636"/>
    <mergeCell ref="AN2634:AN2636"/>
    <mergeCell ref="AO2634:AO2636"/>
    <mergeCell ref="AP2634:AP2636"/>
    <mergeCell ref="AQ2634:AQ2636"/>
    <mergeCell ref="AR2634:AR2636"/>
    <mergeCell ref="AS2634:AS2636"/>
    <mergeCell ref="A2637:A2639"/>
    <mergeCell ref="B2637:B2639"/>
    <mergeCell ref="C2637:C2639"/>
    <mergeCell ref="D2637:D2639"/>
    <mergeCell ref="AJ2637:AJ2639"/>
    <mergeCell ref="AK2637:AK2639"/>
    <mergeCell ref="AL2637:AL2639"/>
    <mergeCell ref="AM2637:AM2639"/>
    <mergeCell ref="AN2637:AN2639"/>
    <mergeCell ref="AO2637:AO2639"/>
    <mergeCell ref="AP2637:AP2639"/>
    <mergeCell ref="AQ2637:AQ2639"/>
    <mergeCell ref="AR2637:AR2639"/>
    <mergeCell ref="AS2637:AS2639"/>
    <mergeCell ref="A2640:A2642"/>
    <mergeCell ref="B2640:B2642"/>
    <mergeCell ref="C2640:C2642"/>
    <mergeCell ref="D2640:D2642"/>
    <mergeCell ref="AJ2640:AJ2642"/>
    <mergeCell ref="AK2640:AK2642"/>
    <mergeCell ref="AL2640:AL2642"/>
    <mergeCell ref="AM2640:AM2642"/>
    <mergeCell ref="AN2640:AN2642"/>
    <mergeCell ref="AO2640:AO2642"/>
    <mergeCell ref="AP2640:AP2642"/>
    <mergeCell ref="AQ2640:AQ2642"/>
    <mergeCell ref="AR2640:AR2642"/>
    <mergeCell ref="AS2640:AS2642"/>
    <mergeCell ref="A2643:A2645"/>
    <mergeCell ref="B2643:B2645"/>
    <mergeCell ref="C2643:C2645"/>
    <mergeCell ref="D2643:D2645"/>
    <mergeCell ref="AJ2643:AJ2645"/>
    <mergeCell ref="AK2643:AK2645"/>
    <mergeCell ref="AL2643:AL2645"/>
    <mergeCell ref="AM2643:AM2645"/>
    <mergeCell ref="AN2643:AN2645"/>
    <mergeCell ref="AO2643:AO2645"/>
    <mergeCell ref="AP2643:AP2645"/>
    <mergeCell ref="AQ2643:AQ2645"/>
    <mergeCell ref="AR2643:AR2645"/>
    <mergeCell ref="AS2643:AS2645"/>
    <mergeCell ref="A2646:A2648"/>
    <mergeCell ref="B2646:B2648"/>
    <mergeCell ref="C2646:C2648"/>
    <mergeCell ref="D2646:D2648"/>
    <mergeCell ref="AJ2646:AJ2648"/>
    <mergeCell ref="AK2646:AK2648"/>
    <mergeCell ref="AL2646:AL2648"/>
    <mergeCell ref="AM2646:AM2648"/>
    <mergeCell ref="AN2646:AN2648"/>
    <mergeCell ref="AO2646:AO2648"/>
    <mergeCell ref="AP2646:AP2648"/>
    <mergeCell ref="AQ2646:AQ2648"/>
    <mergeCell ref="AR2646:AR2648"/>
    <mergeCell ref="AS2646:AS2648"/>
    <mergeCell ref="A2649:A2651"/>
    <mergeCell ref="B2649:B2651"/>
    <mergeCell ref="C2649:C2651"/>
    <mergeCell ref="D2649:D2651"/>
    <mergeCell ref="AJ2649:AJ2651"/>
    <mergeCell ref="AK2649:AK2651"/>
    <mergeCell ref="AL2649:AL2651"/>
    <mergeCell ref="AM2649:AM2651"/>
    <mergeCell ref="AN2649:AN2651"/>
    <mergeCell ref="AO2649:AO2651"/>
    <mergeCell ref="AP2649:AP2651"/>
    <mergeCell ref="AQ2649:AQ2651"/>
    <mergeCell ref="AR2649:AR2651"/>
    <mergeCell ref="AS2649:AS2651"/>
    <mergeCell ref="A2652:A2654"/>
    <mergeCell ref="B2652:B2654"/>
    <mergeCell ref="C2652:C2654"/>
    <mergeCell ref="D2652:D2654"/>
    <mergeCell ref="AJ2652:AJ2654"/>
    <mergeCell ref="AK2652:AK2654"/>
    <mergeCell ref="AL2652:AL2654"/>
    <mergeCell ref="AM2652:AM2654"/>
    <mergeCell ref="AN2652:AN2654"/>
    <mergeCell ref="AO2652:AO2654"/>
    <mergeCell ref="AP2652:AP2654"/>
    <mergeCell ref="AQ2652:AQ2654"/>
    <mergeCell ref="AR2652:AR2654"/>
    <mergeCell ref="AS2652:AS2654"/>
    <mergeCell ref="A2655:A2657"/>
    <mergeCell ref="B2655:B2657"/>
    <mergeCell ref="C2655:C2657"/>
    <mergeCell ref="D2655:D2657"/>
    <mergeCell ref="AJ2655:AJ2657"/>
    <mergeCell ref="AK2655:AK2657"/>
    <mergeCell ref="AL2655:AL2657"/>
    <mergeCell ref="AM2655:AM2657"/>
    <mergeCell ref="AN2655:AN2657"/>
    <mergeCell ref="AO2655:AO2657"/>
    <mergeCell ref="AP2655:AP2657"/>
    <mergeCell ref="AQ2655:AQ2657"/>
    <mergeCell ref="AR2655:AR2657"/>
    <mergeCell ref="AS2655:AS2657"/>
    <mergeCell ref="A2658:A2660"/>
    <mergeCell ref="B2658:B2660"/>
    <mergeCell ref="C2658:C2660"/>
    <mergeCell ref="D2658:D2660"/>
    <mergeCell ref="AJ2658:AJ2660"/>
    <mergeCell ref="AK2658:AK2660"/>
    <mergeCell ref="AL2658:AL2660"/>
    <mergeCell ref="AM2658:AM2660"/>
    <mergeCell ref="AN2658:AN2660"/>
    <mergeCell ref="AO2658:AO2660"/>
    <mergeCell ref="AP2658:AP2660"/>
    <mergeCell ref="AQ2658:AQ2660"/>
    <mergeCell ref="AR2658:AR2660"/>
    <mergeCell ref="AS2658:AS2660"/>
    <mergeCell ref="A2661:A2663"/>
    <mergeCell ref="B2661:B2663"/>
    <mergeCell ref="C2661:C2663"/>
    <mergeCell ref="D2661:D2663"/>
    <mergeCell ref="AJ2661:AJ2663"/>
    <mergeCell ref="AK2661:AK2663"/>
    <mergeCell ref="AL2661:AL2663"/>
    <mergeCell ref="AM2661:AM2663"/>
    <mergeCell ref="AN2661:AN2663"/>
    <mergeCell ref="AO2661:AO2663"/>
    <mergeCell ref="AP2661:AP2663"/>
    <mergeCell ref="AQ2661:AQ2663"/>
    <mergeCell ref="AR2661:AR2663"/>
    <mergeCell ref="AS2661:AS2663"/>
    <mergeCell ref="A2664:A2666"/>
    <mergeCell ref="B2664:B2666"/>
    <mergeCell ref="C2664:C2666"/>
    <mergeCell ref="D2664:D2666"/>
    <mergeCell ref="AJ2664:AJ2666"/>
    <mergeCell ref="AK2664:AK2666"/>
    <mergeCell ref="AL2664:AL2666"/>
    <mergeCell ref="AM2664:AM2666"/>
    <mergeCell ref="AN2664:AN2666"/>
    <mergeCell ref="AO2664:AO2666"/>
    <mergeCell ref="AP2664:AP2666"/>
    <mergeCell ref="AQ2664:AQ2666"/>
    <mergeCell ref="AR2664:AR2666"/>
    <mergeCell ref="AS2664:AS2666"/>
    <mergeCell ref="A2667:A2669"/>
    <mergeCell ref="B2667:B2669"/>
    <mergeCell ref="C2667:C2669"/>
    <mergeCell ref="D2667:D2669"/>
    <mergeCell ref="AJ2667:AJ2669"/>
    <mergeCell ref="AK2667:AK2669"/>
    <mergeCell ref="AL2667:AL2669"/>
    <mergeCell ref="AM2667:AM2669"/>
    <mergeCell ref="AN2667:AN2669"/>
    <mergeCell ref="AO2667:AO2669"/>
    <mergeCell ref="AP2667:AP2669"/>
    <mergeCell ref="AQ2667:AQ2669"/>
    <mergeCell ref="AR2667:AR2669"/>
    <mergeCell ref="AS2667:AS2669"/>
    <mergeCell ref="A2670:A2672"/>
    <mergeCell ref="B2670:B2672"/>
    <mergeCell ref="C2670:C2672"/>
    <mergeCell ref="D2670:D2672"/>
    <mergeCell ref="AJ2670:AJ2672"/>
    <mergeCell ref="AK2670:AK2672"/>
    <mergeCell ref="AL2670:AL2672"/>
    <mergeCell ref="AM2670:AM2672"/>
    <mergeCell ref="AN2670:AN2672"/>
    <mergeCell ref="AO2670:AO2672"/>
    <mergeCell ref="AP2670:AP2672"/>
    <mergeCell ref="AQ2670:AQ2672"/>
    <mergeCell ref="AR2670:AR2672"/>
    <mergeCell ref="AS2670:AS2672"/>
    <mergeCell ref="A2673:A2675"/>
    <mergeCell ref="B2673:B2675"/>
    <mergeCell ref="C2673:C2675"/>
    <mergeCell ref="D2673:D2675"/>
    <mergeCell ref="AJ2673:AJ2675"/>
    <mergeCell ref="AK2673:AK2675"/>
    <mergeCell ref="AL2673:AL2675"/>
    <mergeCell ref="AM2673:AM2675"/>
    <mergeCell ref="AN2673:AN2675"/>
    <mergeCell ref="AO2673:AO2675"/>
    <mergeCell ref="AP2673:AP2675"/>
    <mergeCell ref="AQ2673:AQ2675"/>
    <mergeCell ref="AR2673:AR2675"/>
    <mergeCell ref="AS2673:AS2675"/>
    <mergeCell ref="A2676:A2678"/>
    <mergeCell ref="B2676:B2678"/>
    <mergeCell ref="C2676:C2678"/>
    <mergeCell ref="D2676:D2678"/>
    <mergeCell ref="AJ2676:AJ2678"/>
    <mergeCell ref="AK2676:AK2678"/>
    <mergeCell ref="AL2676:AL2678"/>
    <mergeCell ref="AM2676:AM2678"/>
    <mergeCell ref="AN2676:AN2678"/>
    <mergeCell ref="AO2676:AO2678"/>
    <mergeCell ref="AP2676:AP2678"/>
    <mergeCell ref="AQ2676:AQ2678"/>
    <mergeCell ref="AR2676:AR2678"/>
    <mergeCell ref="AS2676:AS2678"/>
    <mergeCell ref="A2679:A2681"/>
    <mergeCell ref="B2679:B2681"/>
    <mergeCell ref="C2679:C2681"/>
    <mergeCell ref="D2679:D2681"/>
    <mergeCell ref="AJ2679:AJ2681"/>
    <mergeCell ref="AK2679:AK2681"/>
    <mergeCell ref="AL2679:AL2681"/>
    <mergeCell ref="AM2679:AM2681"/>
    <mergeCell ref="AN2679:AN2681"/>
    <mergeCell ref="AO2679:AO2681"/>
    <mergeCell ref="AP2679:AP2681"/>
    <mergeCell ref="AQ2679:AQ2681"/>
    <mergeCell ref="AR2679:AR2681"/>
    <mergeCell ref="AS2679:AS2681"/>
    <mergeCell ref="A2682:A2684"/>
    <mergeCell ref="B2682:B2684"/>
    <mergeCell ref="C2682:C2684"/>
    <mergeCell ref="D2682:D2684"/>
    <mergeCell ref="AJ2682:AJ2684"/>
    <mergeCell ref="AK2682:AK2684"/>
    <mergeCell ref="AL2682:AL2684"/>
    <mergeCell ref="AM2682:AM2684"/>
    <mergeCell ref="AN2682:AN2684"/>
    <mergeCell ref="AO2682:AO2684"/>
    <mergeCell ref="AP2682:AP2684"/>
    <mergeCell ref="AQ2682:AQ2684"/>
    <mergeCell ref="AR2682:AR2684"/>
    <mergeCell ref="AS2682:AS2684"/>
    <mergeCell ref="A2685:A2687"/>
    <mergeCell ref="B2685:B2687"/>
    <mergeCell ref="C2685:C2687"/>
    <mergeCell ref="D2685:D2687"/>
    <mergeCell ref="AJ2685:AJ2687"/>
    <mergeCell ref="AK2685:AK2687"/>
    <mergeCell ref="AL2685:AL2687"/>
    <mergeCell ref="AM2685:AM2687"/>
    <mergeCell ref="AN2685:AN2687"/>
    <mergeCell ref="AO2685:AO2687"/>
    <mergeCell ref="AP2685:AP2687"/>
    <mergeCell ref="AQ2685:AQ2687"/>
    <mergeCell ref="AR2685:AR2687"/>
    <mergeCell ref="AS2685:AS2687"/>
    <mergeCell ref="A2688:A2690"/>
    <mergeCell ref="B2688:B2690"/>
    <mergeCell ref="C2688:C2690"/>
    <mergeCell ref="D2688:D2690"/>
    <mergeCell ref="AJ2688:AJ2690"/>
    <mergeCell ref="AK2688:AK2690"/>
    <mergeCell ref="AL2688:AL2690"/>
    <mergeCell ref="AM2688:AM2690"/>
    <mergeCell ref="AN2688:AN2690"/>
    <mergeCell ref="AO2688:AO2690"/>
    <mergeCell ref="AP2688:AP2690"/>
    <mergeCell ref="AQ2688:AQ2690"/>
    <mergeCell ref="AR2688:AR2690"/>
    <mergeCell ref="AS2688:AS2690"/>
    <mergeCell ref="A2691:A2693"/>
    <mergeCell ref="B2691:B2693"/>
    <mergeCell ref="C2691:C2693"/>
    <mergeCell ref="D2691:D2693"/>
    <mergeCell ref="AJ2691:AJ2693"/>
    <mergeCell ref="AK2691:AK2693"/>
    <mergeCell ref="AL2691:AL2693"/>
    <mergeCell ref="AM2691:AM2693"/>
    <mergeCell ref="AN2691:AN2693"/>
    <mergeCell ref="AO2691:AO2693"/>
    <mergeCell ref="AP2691:AP2693"/>
    <mergeCell ref="AQ2691:AQ2693"/>
    <mergeCell ref="AR2691:AR2693"/>
    <mergeCell ref="AS2691:AS2693"/>
    <mergeCell ref="A2694:A2696"/>
    <mergeCell ref="B2694:B2696"/>
    <mergeCell ref="C2694:C2696"/>
    <mergeCell ref="D2694:D2696"/>
    <mergeCell ref="AJ2694:AJ2696"/>
    <mergeCell ref="AK2694:AK2696"/>
    <mergeCell ref="AL2694:AL2696"/>
    <mergeCell ref="AM2694:AM2696"/>
    <mergeCell ref="AN2694:AN2696"/>
    <mergeCell ref="AO2694:AO2696"/>
    <mergeCell ref="AP2694:AP2696"/>
    <mergeCell ref="AQ2694:AQ2696"/>
    <mergeCell ref="AR2694:AR2696"/>
    <mergeCell ref="AS2694:AS2696"/>
    <mergeCell ref="A2697:A2699"/>
    <mergeCell ref="B2697:B2699"/>
    <mergeCell ref="C2697:C2699"/>
    <mergeCell ref="D2697:D2699"/>
    <mergeCell ref="AJ2697:AJ2699"/>
    <mergeCell ref="AK2697:AK2699"/>
    <mergeCell ref="AL2697:AL2699"/>
    <mergeCell ref="AM2697:AM2699"/>
    <mergeCell ref="AN2697:AN2699"/>
    <mergeCell ref="AO2697:AO2699"/>
    <mergeCell ref="AP2697:AP2699"/>
    <mergeCell ref="AQ2697:AQ2699"/>
    <mergeCell ref="AR2697:AR2699"/>
    <mergeCell ref="AS2697:AS2699"/>
    <mergeCell ref="A2700:A2702"/>
    <mergeCell ref="B2700:B2702"/>
    <mergeCell ref="C2700:C2702"/>
    <mergeCell ref="D2700:D2702"/>
    <mergeCell ref="AJ2700:AJ2702"/>
    <mergeCell ref="AK2700:AK2702"/>
    <mergeCell ref="AL2700:AL2702"/>
    <mergeCell ref="AM2700:AM2702"/>
    <mergeCell ref="AN2700:AN2702"/>
    <mergeCell ref="AO2700:AO2702"/>
    <mergeCell ref="AP2700:AP2702"/>
    <mergeCell ref="AQ2700:AQ2702"/>
    <mergeCell ref="AR2700:AR2702"/>
    <mergeCell ref="AS2700:AS2702"/>
    <mergeCell ref="A2703:A2705"/>
    <mergeCell ref="B2703:B2705"/>
    <mergeCell ref="C2703:C2705"/>
    <mergeCell ref="D2703:D2705"/>
    <mergeCell ref="AJ2703:AJ2705"/>
    <mergeCell ref="AK2703:AK2705"/>
    <mergeCell ref="AL2703:AL2705"/>
    <mergeCell ref="AM2703:AM2705"/>
    <mergeCell ref="AN2703:AN2705"/>
    <mergeCell ref="AO2703:AO2705"/>
    <mergeCell ref="AP2703:AP2705"/>
    <mergeCell ref="AQ2703:AQ2705"/>
    <mergeCell ref="AR2703:AR2705"/>
    <mergeCell ref="AS2703:AS2705"/>
    <mergeCell ref="A2706:A2708"/>
    <mergeCell ref="B2706:B2708"/>
    <mergeCell ref="C2706:C2708"/>
    <mergeCell ref="D2706:D2708"/>
    <mergeCell ref="AJ2706:AJ2708"/>
    <mergeCell ref="AK2706:AK2708"/>
    <mergeCell ref="AL2706:AL2708"/>
    <mergeCell ref="AM2706:AM2708"/>
    <mergeCell ref="AN2706:AN2708"/>
    <mergeCell ref="AO2706:AO2708"/>
    <mergeCell ref="AP2706:AP2708"/>
    <mergeCell ref="AQ2706:AQ2708"/>
    <mergeCell ref="AR2706:AR2708"/>
    <mergeCell ref="AS2706:AS2708"/>
    <mergeCell ref="A2709:A2711"/>
    <mergeCell ref="B2709:B2711"/>
    <mergeCell ref="C2709:C2711"/>
    <mergeCell ref="D2709:D2711"/>
    <mergeCell ref="AJ2709:AJ2711"/>
    <mergeCell ref="AK2709:AK2711"/>
    <mergeCell ref="AL2709:AL2711"/>
    <mergeCell ref="AM2709:AM2711"/>
    <mergeCell ref="AN2709:AN2711"/>
    <mergeCell ref="AO2709:AO2711"/>
    <mergeCell ref="AP2709:AP2711"/>
    <mergeCell ref="AQ2709:AQ2711"/>
    <mergeCell ref="AR2709:AR2711"/>
    <mergeCell ref="AS2709:AS2711"/>
    <mergeCell ref="A2712:A2714"/>
    <mergeCell ref="B2712:B2714"/>
    <mergeCell ref="C2712:C2714"/>
    <mergeCell ref="D2712:D2714"/>
    <mergeCell ref="AJ2712:AJ2714"/>
    <mergeCell ref="AK2712:AK2714"/>
    <mergeCell ref="AL2712:AL2714"/>
    <mergeCell ref="AM2712:AM2714"/>
    <mergeCell ref="AN2712:AN2714"/>
    <mergeCell ref="AO2712:AO2714"/>
    <mergeCell ref="AP2712:AP2714"/>
    <mergeCell ref="AQ2712:AQ2714"/>
    <mergeCell ref="AR2712:AR2714"/>
    <mergeCell ref="AS2712:AS2714"/>
    <mergeCell ref="A2715:A2717"/>
    <mergeCell ref="B2715:B2717"/>
    <mergeCell ref="C2715:C2717"/>
    <mergeCell ref="D2715:D2717"/>
    <mergeCell ref="AJ2715:AJ2717"/>
    <mergeCell ref="AK2715:AK2717"/>
    <mergeCell ref="AL2715:AL2717"/>
    <mergeCell ref="AM2715:AM2717"/>
    <mergeCell ref="AN2715:AN2717"/>
    <mergeCell ref="AO2715:AO2717"/>
    <mergeCell ref="AP2715:AP2717"/>
    <mergeCell ref="AQ2715:AQ2717"/>
    <mergeCell ref="AR2715:AR2717"/>
    <mergeCell ref="AS2715:AS2717"/>
    <mergeCell ref="A2718:A2720"/>
    <mergeCell ref="B2718:B2720"/>
    <mergeCell ref="C2718:C2720"/>
    <mergeCell ref="D2718:D2720"/>
    <mergeCell ref="AJ2718:AJ2720"/>
    <mergeCell ref="AK2718:AK2720"/>
    <mergeCell ref="AL2718:AL2720"/>
    <mergeCell ref="AM2718:AM2720"/>
    <mergeCell ref="AN2718:AN2720"/>
    <mergeCell ref="AO2718:AO2720"/>
    <mergeCell ref="AP2718:AP2720"/>
    <mergeCell ref="AQ2718:AQ2720"/>
    <mergeCell ref="AR2718:AR2720"/>
    <mergeCell ref="AS2718:AS2720"/>
    <mergeCell ref="A2721:A2723"/>
    <mergeCell ref="B2721:B2723"/>
    <mergeCell ref="C2721:C2723"/>
    <mergeCell ref="D2721:D2723"/>
    <mergeCell ref="AJ2721:AJ2723"/>
    <mergeCell ref="AK2721:AK2723"/>
    <mergeCell ref="AL2721:AL2723"/>
    <mergeCell ref="AM2721:AM2723"/>
    <mergeCell ref="AN2721:AN2723"/>
    <mergeCell ref="AO2721:AO2723"/>
    <mergeCell ref="AP2721:AP2723"/>
    <mergeCell ref="AQ2721:AQ2723"/>
    <mergeCell ref="AR2721:AR2723"/>
    <mergeCell ref="AS2721:AS2723"/>
    <mergeCell ref="A2724:A2726"/>
    <mergeCell ref="B2724:B2726"/>
    <mergeCell ref="C2724:C2726"/>
    <mergeCell ref="D2724:D2726"/>
    <mergeCell ref="AJ2724:AJ2726"/>
    <mergeCell ref="AK2724:AK2726"/>
    <mergeCell ref="AL2724:AL2726"/>
    <mergeCell ref="AM2724:AM2726"/>
    <mergeCell ref="AN2724:AN2726"/>
    <mergeCell ref="AO2724:AO2726"/>
    <mergeCell ref="AP2724:AP2726"/>
    <mergeCell ref="AQ2724:AQ2726"/>
    <mergeCell ref="AR2724:AR2726"/>
    <mergeCell ref="AS2724:AS2726"/>
    <mergeCell ref="A2727:A2729"/>
    <mergeCell ref="B2727:B2729"/>
    <mergeCell ref="C2727:C2729"/>
    <mergeCell ref="D2727:D2729"/>
    <mergeCell ref="AJ2727:AJ2729"/>
    <mergeCell ref="AK2727:AK2729"/>
    <mergeCell ref="AL2727:AL2729"/>
    <mergeCell ref="AM2727:AM2729"/>
    <mergeCell ref="AN2727:AN2729"/>
    <mergeCell ref="AO2727:AO2729"/>
    <mergeCell ref="AP2727:AP2729"/>
    <mergeCell ref="AQ2727:AQ2729"/>
    <mergeCell ref="AR2727:AR2729"/>
    <mergeCell ref="AS2727:AS2729"/>
    <mergeCell ref="A2730:A2732"/>
    <mergeCell ref="B2730:B2732"/>
    <mergeCell ref="C2730:C2732"/>
    <mergeCell ref="D2730:D2732"/>
    <mergeCell ref="AJ2730:AJ2732"/>
    <mergeCell ref="AK2730:AK2732"/>
    <mergeCell ref="AL2730:AL2732"/>
    <mergeCell ref="AM2730:AM2732"/>
    <mergeCell ref="AN2730:AN2732"/>
    <mergeCell ref="AO2730:AO2732"/>
    <mergeCell ref="AP2730:AP2732"/>
    <mergeCell ref="AQ2730:AQ2732"/>
    <mergeCell ref="AR2730:AR2732"/>
    <mergeCell ref="AS2730:AS2732"/>
    <mergeCell ref="A2733:A2735"/>
    <mergeCell ref="B2733:B2735"/>
    <mergeCell ref="C2733:C2735"/>
    <mergeCell ref="D2733:D2735"/>
    <mergeCell ref="AJ2733:AJ2735"/>
    <mergeCell ref="AK2733:AK2735"/>
    <mergeCell ref="AL2733:AL2735"/>
    <mergeCell ref="AM2733:AM2735"/>
    <mergeCell ref="AN2733:AN2735"/>
    <mergeCell ref="AO2733:AO2735"/>
    <mergeCell ref="AP2733:AP2735"/>
    <mergeCell ref="AQ2733:AQ2735"/>
    <mergeCell ref="AR2733:AR2735"/>
    <mergeCell ref="AS2733:AS2735"/>
    <mergeCell ref="A2736:A2738"/>
    <mergeCell ref="B2736:B2738"/>
    <mergeCell ref="C2736:C2738"/>
    <mergeCell ref="D2736:D2738"/>
    <mergeCell ref="AJ2736:AJ2738"/>
    <mergeCell ref="AK2736:AK2738"/>
    <mergeCell ref="AL2736:AL2738"/>
    <mergeCell ref="AM2736:AM2738"/>
    <mergeCell ref="AN2736:AN2738"/>
    <mergeCell ref="AO2736:AO2738"/>
    <mergeCell ref="AP2736:AP2738"/>
    <mergeCell ref="AQ2736:AQ2738"/>
    <mergeCell ref="AR2736:AR2738"/>
    <mergeCell ref="AS2736:AS2738"/>
    <mergeCell ref="A2739:A2741"/>
    <mergeCell ref="B2739:B2741"/>
    <mergeCell ref="C2739:C2741"/>
    <mergeCell ref="D2739:D2741"/>
    <mergeCell ref="AJ2739:AJ2741"/>
    <mergeCell ref="AK2739:AK2741"/>
    <mergeCell ref="AL2739:AL2741"/>
    <mergeCell ref="AM2739:AM2741"/>
    <mergeCell ref="AN2739:AN2741"/>
    <mergeCell ref="AO2739:AO2741"/>
    <mergeCell ref="AP2739:AP2741"/>
    <mergeCell ref="AQ2739:AQ2741"/>
    <mergeCell ref="AR2739:AR2741"/>
    <mergeCell ref="AS2739:AS2741"/>
    <mergeCell ref="A2742:A2744"/>
    <mergeCell ref="B2742:B2744"/>
    <mergeCell ref="C2742:C2744"/>
    <mergeCell ref="D2742:D2744"/>
    <mergeCell ref="AJ2742:AJ2744"/>
    <mergeCell ref="AK2742:AK2744"/>
    <mergeCell ref="AL2742:AL2744"/>
    <mergeCell ref="AM2742:AM2744"/>
    <mergeCell ref="AN2742:AN2744"/>
    <mergeCell ref="AO2742:AO2744"/>
    <mergeCell ref="AP2742:AP2744"/>
    <mergeCell ref="AQ2742:AQ2744"/>
    <mergeCell ref="AR2742:AR2744"/>
    <mergeCell ref="AS2742:AS2744"/>
    <mergeCell ref="A2745:A2747"/>
    <mergeCell ref="B2745:B2747"/>
    <mergeCell ref="C2745:C2747"/>
    <mergeCell ref="D2745:D2747"/>
    <mergeCell ref="AJ2745:AJ2747"/>
    <mergeCell ref="AK2745:AK2747"/>
    <mergeCell ref="AL2745:AL2747"/>
    <mergeCell ref="AM2745:AM2747"/>
    <mergeCell ref="AN2745:AN2747"/>
    <mergeCell ref="AO2745:AO2747"/>
    <mergeCell ref="AP2745:AP2747"/>
    <mergeCell ref="AQ2745:AQ2747"/>
    <mergeCell ref="AR2745:AR2747"/>
    <mergeCell ref="AS2745:AS2747"/>
    <mergeCell ref="A2748:A2750"/>
    <mergeCell ref="B2748:B2750"/>
    <mergeCell ref="C2748:C2750"/>
    <mergeCell ref="D2748:D2750"/>
    <mergeCell ref="AJ2748:AJ2750"/>
    <mergeCell ref="AK2748:AK2750"/>
    <mergeCell ref="AL2748:AL2750"/>
    <mergeCell ref="AM2748:AM2750"/>
    <mergeCell ref="AN2748:AN2750"/>
    <mergeCell ref="AO2748:AO2750"/>
    <mergeCell ref="AP2748:AP2750"/>
    <mergeCell ref="AQ2748:AQ2750"/>
    <mergeCell ref="AR2748:AR2750"/>
    <mergeCell ref="AS2748:AS2750"/>
    <mergeCell ref="A2751:A2753"/>
    <mergeCell ref="B2751:B2753"/>
    <mergeCell ref="C2751:C2753"/>
    <mergeCell ref="D2751:D2753"/>
    <mergeCell ref="AJ2751:AJ2753"/>
    <mergeCell ref="AK2751:AK2753"/>
    <mergeCell ref="AL2751:AL2753"/>
    <mergeCell ref="AM2751:AM2753"/>
    <mergeCell ref="AN2751:AN2753"/>
    <mergeCell ref="AO2751:AO2753"/>
    <mergeCell ref="AP2751:AP2753"/>
    <mergeCell ref="AQ2751:AQ2753"/>
    <mergeCell ref="AR2751:AR2753"/>
    <mergeCell ref="AS2751:AS2753"/>
    <mergeCell ref="A2754:A2756"/>
    <mergeCell ref="B2754:B2756"/>
    <mergeCell ref="C2754:C2756"/>
    <mergeCell ref="D2754:D2756"/>
    <mergeCell ref="AJ2754:AJ2756"/>
    <mergeCell ref="AK2754:AK2756"/>
    <mergeCell ref="AL2754:AL2756"/>
    <mergeCell ref="AM2754:AM2756"/>
    <mergeCell ref="AN2754:AN2756"/>
    <mergeCell ref="AO2754:AO2756"/>
    <mergeCell ref="AP2754:AP2756"/>
    <mergeCell ref="AQ2754:AQ2756"/>
    <mergeCell ref="AR2754:AR2756"/>
    <mergeCell ref="AS2754:AS2756"/>
    <mergeCell ref="A2757:A2759"/>
    <mergeCell ref="B2757:B2759"/>
    <mergeCell ref="C2757:C2759"/>
    <mergeCell ref="D2757:D2759"/>
    <mergeCell ref="AJ2757:AJ2759"/>
    <mergeCell ref="AK2757:AK2759"/>
    <mergeCell ref="AL2757:AL2759"/>
    <mergeCell ref="AM2757:AM2759"/>
    <mergeCell ref="AN2757:AN2759"/>
    <mergeCell ref="AO2757:AO2759"/>
    <mergeCell ref="AP2757:AP2759"/>
    <mergeCell ref="AQ2757:AQ2759"/>
    <mergeCell ref="AR2757:AR2759"/>
    <mergeCell ref="AS2757:AS2759"/>
    <mergeCell ref="A2760:A2762"/>
    <mergeCell ref="B2760:B2762"/>
    <mergeCell ref="C2760:C2762"/>
    <mergeCell ref="D2760:D2762"/>
    <mergeCell ref="AJ2760:AJ2762"/>
    <mergeCell ref="AK2760:AK2762"/>
    <mergeCell ref="AL2760:AL2762"/>
    <mergeCell ref="AM2760:AM2762"/>
    <mergeCell ref="AN2760:AN2762"/>
    <mergeCell ref="AO2760:AO2762"/>
    <mergeCell ref="AP2760:AP2762"/>
    <mergeCell ref="AQ2760:AQ2762"/>
    <mergeCell ref="AR2760:AR2762"/>
    <mergeCell ref="AS2760:AS2762"/>
    <mergeCell ref="A2763:A2765"/>
    <mergeCell ref="B2763:B2765"/>
    <mergeCell ref="C2763:C2765"/>
    <mergeCell ref="D2763:D2765"/>
    <mergeCell ref="AJ2763:AJ2765"/>
    <mergeCell ref="AK2763:AK2765"/>
    <mergeCell ref="AL2763:AL2765"/>
    <mergeCell ref="AM2763:AM2765"/>
    <mergeCell ref="AN2763:AN2765"/>
    <mergeCell ref="AO2763:AO2765"/>
    <mergeCell ref="AP2763:AP2765"/>
    <mergeCell ref="AQ2763:AQ2765"/>
    <mergeCell ref="AR2763:AR2765"/>
    <mergeCell ref="AS2763:AS2765"/>
    <mergeCell ref="A2766:A2768"/>
    <mergeCell ref="B2766:B2768"/>
    <mergeCell ref="C2766:C2768"/>
    <mergeCell ref="D2766:D2768"/>
    <mergeCell ref="AJ2766:AJ2768"/>
    <mergeCell ref="AK2766:AK2768"/>
    <mergeCell ref="AL2766:AL2768"/>
    <mergeCell ref="AM2766:AM2768"/>
    <mergeCell ref="AN2766:AN2768"/>
    <mergeCell ref="AO2766:AO2768"/>
    <mergeCell ref="AP2766:AP2768"/>
    <mergeCell ref="AQ2766:AQ2768"/>
    <mergeCell ref="AR2766:AR2768"/>
    <mergeCell ref="AS2766:AS2768"/>
    <mergeCell ref="A2769:A2771"/>
    <mergeCell ref="B2769:B2771"/>
    <mergeCell ref="C2769:C2771"/>
    <mergeCell ref="D2769:D2771"/>
    <mergeCell ref="AJ2769:AJ2771"/>
    <mergeCell ref="AK2769:AK2771"/>
    <mergeCell ref="AL2769:AL2771"/>
    <mergeCell ref="AM2769:AM2771"/>
    <mergeCell ref="AN2769:AN2771"/>
    <mergeCell ref="AO2769:AO2771"/>
    <mergeCell ref="AP2769:AP2771"/>
    <mergeCell ref="AQ2769:AQ2771"/>
    <mergeCell ref="AR2769:AR2771"/>
    <mergeCell ref="AS2769:AS2771"/>
    <mergeCell ref="A2772:A2774"/>
    <mergeCell ref="B2772:B2774"/>
    <mergeCell ref="C2772:C2774"/>
    <mergeCell ref="D2772:D2774"/>
    <mergeCell ref="AJ2772:AJ2774"/>
    <mergeCell ref="AK2772:AK2774"/>
    <mergeCell ref="AL2772:AL2774"/>
    <mergeCell ref="AM2772:AM2774"/>
    <mergeCell ref="AN2772:AN2774"/>
    <mergeCell ref="AO2772:AO2774"/>
    <mergeCell ref="AP2772:AP2774"/>
    <mergeCell ref="AQ2772:AQ2774"/>
    <mergeCell ref="AR2772:AR2774"/>
    <mergeCell ref="AS2772:AS2774"/>
    <mergeCell ref="A2775:A2777"/>
    <mergeCell ref="B2775:B2777"/>
    <mergeCell ref="C2775:C2777"/>
    <mergeCell ref="D2775:D2777"/>
    <mergeCell ref="AJ2775:AJ2777"/>
    <mergeCell ref="AK2775:AK2777"/>
    <mergeCell ref="AL2775:AL2777"/>
    <mergeCell ref="AM2775:AM2777"/>
    <mergeCell ref="AN2775:AN2777"/>
    <mergeCell ref="AO2775:AO2777"/>
    <mergeCell ref="AP2775:AP2777"/>
    <mergeCell ref="AQ2775:AQ2777"/>
    <mergeCell ref="AR2775:AR2777"/>
    <mergeCell ref="AS2775:AS2777"/>
    <mergeCell ref="A2778:A2780"/>
    <mergeCell ref="B2778:B2780"/>
    <mergeCell ref="C2778:C2780"/>
    <mergeCell ref="D2778:D2780"/>
    <mergeCell ref="AJ2778:AJ2780"/>
    <mergeCell ref="AK2778:AK2780"/>
    <mergeCell ref="AL2778:AL2780"/>
    <mergeCell ref="AM2778:AM2780"/>
    <mergeCell ref="AN2778:AN2780"/>
    <mergeCell ref="AO2778:AO2780"/>
    <mergeCell ref="AP2778:AP2780"/>
    <mergeCell ref="AQ2778:AQ2780"/>
    <mergeCell ref="AR2778:AR2780"/>
    <mergeCell ref="AS2778:AS2780"/>
    <mergeCell ref="A2781:A2783"/>
    <mergeCell ref="B2781:B2783"/>
    <mergeCell ref="C2781:C2783"/>
    <mergeCell ref="D2781:D2783"/>
    <mergeCell ref="AJ2781:AJ2783"/>
    <mergeCell ref="AK2781:AK2783"/>
    <mergeCell ref="AL2781:AL2783"/>
    <mergeCell ref="AM2781:AM2783"/>
    <mergeCell ref="AN2781:AN2783"/>
    <mergeCell ref="AO2781:AO2783"/>
    <mergeCell ref="AP2781:AP2783"/>
    <mergeCell ref="AQ2781:AQ2783"/>
    <mergeCell ref="AR2781:AR2783"/>
    <mergeCell ref="AS2781:AS2783"/>
    <mergeCell ref="A2784:A2786"/>
    <mergeCell ref="B2784:B2786"/>
    <mergeCell ref="C2784:C2786"/>
    <mergeCell ref="D2784:D2786"/>
    <mergeCell ref="AJ2784:AJ2786"/>
    <mergeCell ref="AK2784:AK2786"/>
    <mergeCell ref="AL2784:AL2786"/>
    <mergeCell ref="AM2784:AM2786"/>
    <mergeCell ref="AN2784:AN2786"/>
    <mergeCell ref="AO2784:AO2786"/>
    <mergeCell ref="AP2784:AP2786"/>
    <mergeCell ref="AQ2784:AQ2786"/>
    <mergeCell ref="AR2784:AR2786"/>
    <mergeCell ref="AS2784:AS2786"/>
    <mergeCell ref="A2787:A2789"/>
    <mergeCell ref="B2787:B2789"/>
    <mergeCell ref="C2787:C2789"/>
    <mergeCell ref="D2787:D2789"/>
    <mergeCell ref="AJ2787:AJ2789"/>
    <mergeCell ref="AK2787:AK2789"/>
    <mergeCell ref="AL2787:AL2789"/>
    <mergeCell ref="AM2787:AM2789"/>
    <mergeCell ref="AN2787:AN2789"/>
    <mergeCell ref="AO2787:AO2789"/>
    <mergeCell ref="AP2787:AP2789"/>
    <mergeCell ref="AQ2787:AQ2789"/>
    <mergeCell ref="AR2787:AR2789"/>
    <mergeCell ref="AS2787:AS2789"/>
    <mergeCell ref="A2790:A2792"/>
    <mergeCell ref="B2790:B2792"/>
    <mergeCell ref="C2790:C2792"/>
    <mergeCell ref="D2790:D2792"/>
    <mergeCell ref="AJ2790:AJ2792"/>
    <mergeCell ref="AK2790:AK2792"/>
    <mergeCell ref="AL2790:AL2792"/>
    <mergeCell ref="AM2790:AM2792"/>
    <mergeCell ref="AN2790:AN2792"/>
    <mergeCell ref="AO2790:AO2792"/>
    <mergeCell ref="AP2790:AP2792"/>
    <mergeCell ref="AQ2790:AQ2792"/>
    <mergeCell ref="AR2790:AR2792"/>
    <mergeCell ref="AS2790:AS2792"/>
  </mergeCells>
  <dataValidations count="1">
    <dataValidation type="list" allowBlank="1" showInputMessage="1" showErrorMessage="1" promptTitle="Sub Section" prompt="Pick one subsection (automatic filtering uses the macro file). For several, use the check boxes in the SubSection Filter column; the label will show them joined with +." sqref="A4">
      <formula1>$AW$2:$AW$35</formula1>
    </dataValidation>
  </dataValidations>
  <printOptions horizontalCentered="1"/>
  <pageMargins left="0.25" right="0.25" top="0.25" bottom="0.75" header="0.3" footer="0.35"/>
  <pageSetup paperSize="9" fitToHeight="0" pageOrder="overThenDown" orientation="landscape"/>
  <headerFooter>
    <oddFooter>&amp;L&amp;9Prepared by: ______________________&amp;C&amp;9Checked by: ______________________&amp;R&amp;9Approved by: ______________________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1268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20.7109375" customWidth="1"/>
    <col min="3" max="3" width="8.85546875" customWidth="1"/>
    <col min="4" max="4" width="14.7109375" hidden="1" customWidth="1"/>
    <col min="5" max="35" width="2.5703125" customWidth="1"/>
    <col min="36" max="37" width="3.5703125" customWidth="1"/>
    <col min="38" max="38" width="3.85546875" customWidth="1"/>
    <col min="39" max="40" width="5.28515625" customWidth="1"/>
    <col min="41" max="44" width="3.5703125" customWidth="1"/>
    <col min="45" max="45" width="8.7109375" customWidth="1"/>
    <col min="46" max="46" width="15.7109375" customWidth="1"/>
    <col min="47" max="50" width="9.140625" hidden="1"/>
  </cols>
  <sheetData>
    <row r="1" spans="1:50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W1" s="2" t="s">
        <v>3</v>
      </c>
    </row>
    <row r="2" spans="1:50" ht="17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W2" t="s">
        <v>4</v>
      </c>
      <c r="AX2" t="s">
        <v>2899</v>
      </c>
    </row>
    <row r="3" spans="1:50" ht="17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W3" t="s">
        <v>2089</v>
      </c>
    </row>
    <row r="4" spans="1:50" ht="42" customHeight="1">
      <c r="A4" s="5">
        <f>"Sub Section: "&amp;IF(AND(SUBTOTAL(103,$A$6:$A$1268)&lt;COUNTA($A$6:$A$1268),_xlfn.TEXTJOIN(" + ",TRUE,AV6:AV9)&lt;&gt;""),_xlfn.TEXTJOIN(" + ",TRUE,AV6:AV9),"All")</f>
        <v>0</v>
      </c>
      <c r="AW4" t="s">
        <v>2090</v>
      </c>
    </row>
    <row r="5" spans="1:50" ht="32" customHeight="1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7" t="s">
        <v>25</v>
      </c>
      <c r="H5" s="6" t="s">
        <v>26</v>
      </c>
      <c r="I5" s="6" t="s">
        <v>27</v>
      </c>
      <c r="J5" s="6" t="s">
        <v>28</v>
      </c>
      <c r="K5" s="6" t="s">
        <v>29</v>
      </c>
      <c r="L5" s="6" t="s">
        <v>30</v>
      </c>
      <c r="M5" s="6" t="s">
        <v>31</v>
      </c>
      <c r="N5" s="7" t="s">
        <v>32</v>
      </c>
      <c r="O5" s="6" t="s">
        <v>33</v>
      </c>
      <c r="P5" s="6" t="s">
        <v>34</v>
      </c>
      <c r="Q5" s="6" t="s">
        <v>35</v>
      </c>
      <c r="R5" s="6" t="s">
        <v>36</v>
      </c>
      <c r="S5" s="6" t="s">
        <v>37</v>
      </c>
      <c r="T5" s="6" t="s">
        <v>38</v>
      </c>
      <c r="U5" s="7" t="s">
        <v>39</v>
      </c>
      <c r="V5" s="6" t="s">
        <v>40</v>
      </c>
      <c r="W5" s="6" t="s">
        <v>41</v>
      </c>
      <c r="X5" s="6" t="s">
        <v>42</v>
      </c>
      <c r="Y5" s="6" t="s">
        <v>43</v>
      </c>
      <c r="Z5" s="6" t="s">
        <v>44</v>
      </c>
      <c r="AA5" s="6" t="s">
        <v>45</v>
      </c>
      <c r="AB5" s="7" t="s">
        <v>46</v>
      </c>
      <c r="AC5" s="6" t="s">
        <v>47</v>
      </c>
      <c r="AD5" s="6" t="s">
        <v>48</v>
      </c>
      <c r="AE5" s="6" t="s">
        <v>49</v>
      </c>
      <c r="AF5" s="6" t="s">
        <v>50</v>
      </c>
      <c r="AG5" s="6" t="s">
        <v>51</v>
      </c>
      <c r="AH5" s="6" t="s">
        <v>52</v>
      </c>
      <c r="AI5" s="7" t="s">
        <v>53</v>
      </c>
      <c r="AJ5" s="6" t="s">
        <v>54</v>
      </c>
      <c r="AK5" s="6" t="s">
        <v>55</v>
      </c>
      <c r="AL5" s="6" t="s">
        <v>56</v>
      </c>
      <c r="AM5" s="6" t="s">
        <v>57</v>
      </c>
      <c r="AN5" s="6" t="s">
        <v>58</v>
      </c>
      <c r="AO5" s="6" t="s">
        <v>59</v>
      </c>
      <c r="AP5" s="6" t="s">
        <v>19</v>
      </c>
      <c r="AQ5" s="6" t="s">
        <v>60</v>
      </c>
      <c r="AR5" s="6" t="s">
        <v>61</v>
      </c>
      <c r="AS5" s="6" t="s">
        <v>62</v>
      </c>
      <c r="AT5" s="6" t="s">
        <v>63</v>
      </c>
      <c r="AW5" t="s">
        <v>2091</v>
      </c>
    </row>
    <row r="6" spans="1:50" ht="15.1" customHeight="1">
      <c r="A6" s="8">
        <v>1</v>
      </c>
      <c r="B6" s="9" t="s">
        <v>2092</v>
      </c>
      <c r="C6" s="8" t="s">
        <v>2093</v>
      </c>
      <c r="D6" s="9" t="s">
        <v>451</v>
      </c>
      <c r="E6" s="8" t="s">
        <v>54</v>
      </c>
      <c r="F6" s="8" t="s">
        <v>54</v>
      </c>
      <c r="G6" s="10" t="s">
        <v>67</v>
      </c>
      <c r="H6" s="8" t="s">
        <v>54</v>
      </c>
      <c r="I6" s="8" t="s">
        <v>54</v>
      </c>
      <c r="J6" s="8" t="s">
        <v>54</v>
      </c>
      <c r="K6" s="8" t="s">
        <v>54</v>
      </c>
      <c r="L6" s="8" t="s">
        <v>54</v>
      </c>
      <c r="M6" s="8" t="s">
        <v>54</v>
      </c>
      <c r="N6" s="10" t="s">
        <v>67</v>
      </c>
      <c r="O6" s="8" t="s">
        <v>54</v>
      </c>
      <c r="P6" s="8" t="s">
        <v>54</v>
      </c>
      <c r="Q6" s="8" t="s">
        <v>54</v>
      </c>
      <c r="R6" s="8" t="s">
        <v>54</v>
      </c>
      <c r="S6" s="8" t="s">
        <v>54</v>
      </c>
      <c r="T6" s="8" t="s">
        <v>54</v>
      </c>
      <c r="U6" s="10" t="s">
        <v>67</v>
      </c>
      <c r="V6" s="8" t="s">
        <v>54</v>
      </c>
      <c r="W6" s="8" t="s">
        <v>54</v>
      </c>
      <c r="X6" s="8" t="s">
        <v>54</v>
      </c>
      <c r="Y6" s="8" t="s">
        <v>54</v>
      </c>
      <c r="Z6" s="8" t="s">
        <v>54</v>
      </c>
      <c r="AA6" s="8" t="s">
        <v>54</v>
      </c>
      <c r="AB6" s="10" t="s">
        <v>67</v>
      </c>
      <c r="AC6" s="8" t="s">
        <v>54</v>
      </c>
      <c r="AD6" s="8" t="s">
        <v>54</v>
      </c>
      <c r="AE6" s="8" t="s">
        <v>54</v>
      </c>
      <c r="AF6" s="8" t="s">
        <v>54</v>
      </c>
      <c r="AG6" s="8" t="s">
        <v>54</v>
      </c>
      <c r="AH6" s="8" t="s">
        <v>54</v>
      </c>
      <c r="AI6" s="10" t="s">
        <v>67</v>
      </c>
      <c r="AJ6" s="8">
        <f>COUNTIF($E$6:$AI$6,"P")</f>
        <v>26</v>
      </c>
      <c r="AK6" s="8">
        <f>COUNTIF($E$6:$AI$6,"A")</f>
        <v>0</v>
      </c>
      <c r="AL6" s="8">
        <f>SUM($E$7:$AI$7)</f>
        <v>0</v>
      </c>
      <c r="AM6" s="8">
        <f>SUM($E$8:$AI$8)</f>
        <v>0</v>
      </c>
      <c r="AN6" s="8">
        <f>AL6+AM6</f>
        <v>0</v>
      </c>
      <c r="AO6" s="8">
        <f>COUNTIF($E$6:$AI$6,"CL")</f>
        <v>0</v>
      </c>
      <c r="AP6" s="8">
        <f>COUNTIF($E$6:$AI$6,"SL")</f>
        <v>0</v>
      </c>
      <c r="AQ6" s="8">
        <f>COUNTIF($E$6:$AI$6,"EL")</f>
        <v>0</v>
      </c>
      <c r="AR6" s="8">
        <f>COUNTIF($E$6:$AI$6,"H")</f>
        <v>0</v>
      </c>
      <c r="AS6" s="8"/>
      <c r="AT6" s="11" t="s">
        <v>2089</v>
      </c>
      <c r="AU6" t="s">
        <v>2089</v>
      </c>
      <c r="AV6">
        <f>IF(SUMPRODUCT(SUBTOTAL(103,OFFSET($A$6,ROW($A$6:$A$1268)-ROW($A$6),0)),--($AT$6:$AT$1268=$AU$6))&gt;0,$AU$6,"")</f>
        <v>0</v>
      </c>
      <c r="AW6" t="s">
        <v>260</v>
      </c>
    </row>
    <row r="7" spans="1:50" ht="15.1" customHeight="1">
      <c r="A7" s="8"/>
      <c r="B7" s="9"/>
      <c r="C7" s="8"/>
      <c r="D7" s="9"/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11" t="s">
        <v>2089</v>
      </c>
      <c r="AU7" t="s">
        <v>2090</v>
      </c>
      <c r="AV7">
        <f>IF(SUMPRODUCT(SUBTOTAL(103,OFFSET($A$6,ROW($A$6:$A$1268)-ROW($A$6),0)),--($AT$6:$AT$1268=$AU$7))&gt;0,$AU$7,"")</f>
        <v>0</v>
      </c>
    </row>
    <row r="8" spans="1:50" ht="15.1" customHeight="1">
      <c r="A8" s="8"/>
      <c r="B8" s="9"/>
      <c r="C8" s="8"/>
      <c r="D8" s="9"/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11" t="s">
        <v>2089</v>
      </c>
      <c r="AU8" t="s">
        <v>2091</v>
      </c>
      <c r="AV8">
        <f>IF(SUMPRODUCT(SUBTOTAL(103,OFFSET($A$6,ROW($A$6:$A$1268)-ROW($A$6),0)),--($AT$6:$AT$1268=$AU$8))&gt;0,$AU$8,"")</f>
        <v>0</v>
      </c>
    </row>
    <row r="9" spans="1:50" ht="15.1" customHeight="1">
      <c r="A9" s="8">
        <v>2</v>
      </c>
      <c r="B9" s="9" t="s">
        <v>2094</v>
      </c>
      <c r="C9" s="8" t="s">
        <v>2095</v>
      </c>
      <c r="D9" s="9" t="s">
        <v>451</v>
      </c>
      <c r="E9" s="8" t="s">
        <v>54</v>
      </c>
      <c r="F9" s="8" t="s">
        <v>54</v>
      </c>
      <c r="G9" s="10" t="s">
        <v>67</v>
      </c>
      <c r="H9" s="8" t="s">
        <v>54</v>
      </c>
      <c r="I9" s="8" t="s">
        <v>54</v>
      </c>
      <c r="J9" s="8" t="s">
        <v>54</v>
      </c>
      <c r="K9" s="8" t="s">
        <v>54</v>
      </c>
      <c r="L9" s="8" t="s">
        <v>54</v>
      </c>
      <c r="M9" s="8" t="s">
        <v>54</v>
      </c>
      <c r="N9" s="10" t="s">
        <v>67</v>
      </c>
      <c r="O9" s="8" t="s">
        <v>54</v>
      </c>
      <c r="P9" s="8" t="s">
        <v>54</v>
      </c>
      <c r="Q9" s="8" t="s">
        <v>54</v>
      </c>
      <c r="R9" s="8" t="s">
        <v>54</v>
      </c>
      <c r="S9" s="8" t="s">
        <v>54</v>
      </c>
      <c r="T9" s="8" t="s">
        <v>54</v>
      </c>
      <c r="U9" s="10" t="s">
        <v>67</v>
      </c>
      <c r="V9" s="8" t="s">
        <v>54</v>
      </c>
      <c r="W9" s="8" t="s">
        <v>54</v>
      </c>
      <c r="X9" s="8" t="s">
        <v>54</v>
      </c>
      <c r="Y9" s="8" t="s">
        <v>54</v>
      </c>
      <c r="Z9" s="8" t="s">
        <v>54</v>
      </c>
      <c r="AA9" s="8" t="s">
        <v>54</v>
      </c>
      <c r="AB9" s="10" t="s">
        <v>67</v>
      </c>
      <c r="AC9" s="8" t="s">
        <v>54</v>
      </c>
      <c r="AD9" s="8" t="s">
        <v>54</v>
      </c>
      <c r="AE9" s="8" t="s">
        <v>54</v>
      </c>
      <c r="AF9" s="8" t="s">
        <v>54</v>
      </c>
      <c r="AG9" s="8" t="s">
        <v>54</v>
      </c>
      <c r="AH9" s="8" t="s">
        <v>54</v>
      </c>
      <c r="AI9" s="10" t="s">
        <v>67</v>
      </c>
      <c r="AJ9" s="8">
        <f>COUNTIF($E$9:$AI$9,"P")</f>
        <v>26</v>
      </c>
      <c r="AK9" s="8">
        <f>COUNTIF($E$9:$AI$9,"A")</f>
        <v>0</v>
      </c>
      <c r="AL9" s="8">
        <f>SUM($E$10:$AI$10)</f>
        <v>0</v>
      </c>
      <c r="AM9" s="8">
        <f>SUM($E$11:$AI$11)</f>
        <v>0</v>
      </c>
      <c r="AN9" s="8">
        <f>AL9+AM9</f>
        <v>0</v>
      </c>
      <c r="AO9" s="8">
        <f>COUNTIF($E$9:$AI$9,"CL")</f>
        <v>0</v>
      </c>
      <c r="AP9" s="8">
        <f>COUNTIF($E$9:$AI$9,"SL")</f>
        <v>0</v>
      </c>
      <c r="AQ9" s="8">
        <f>COUNTIF($E$9:$AI$9,"EL")</f>
        <v>0</v>
      </c>
      <c r="AR9" s="8">
        <f>COUNTIF($E$9:$AI$9,"H")</f>
        <v>0</v>
      </c>
      <c r="AS9" s="8"/>
      <c r="AT9" s="11" t="s">
        <v>2089</v>
      </c>
      <c r="AU9" t="s">
        <v>260</v>
      </c>
      <c r="AV9">
        <f>IF(SUMPRODUCT(SUBTOTAL(103,OFFSET($A$6,ROW($A$6:$A$1268)-ROW($A$6),0)),--($AT$6:$AT$1268=$AU$9))&gt;0,$AU$9,"")</f>
        <v>0</v>
      </c>
    </row>
    <row r="10" spans="1:50" ht="15.1" customHeight="1">
      <c r="A10" s="8"/>
      <c r="B10" s="9"/>
      <c r="C10" s="8"/>
      <c r="D10" s="9"/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11" t="s">
        <v>2089</v>
      </c>
    </row>
    <row r="11" spans="1:50" ht="15.1" customHeight="1">
      <c r="A11" s="8"/>
      <c r="B11" s="9"/>
      <c r="C11" s="8"/>
      <c r="D11" s="9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11" t="s">
        <v>2089</v>
      </c>
    </row>
    <row r="12" spans="1:50" ht="15.1" customHeight="1">
      <c r="A12" s="8">
        <v>3</v>
      </c>
      <c r="B12" s="9" t="s">
        <v>2096</v>
      </c>
      <c r="C12" s="8" t="s">
        <v>2097</v>
      </c>
      <c r="D12" s="9" t="s">
        <v>451</v>
      </c>
      <c r="E12" s="8" t="s">
        <v>54</v>
      </c>
      <c r="F12" s="8" t="s">
        <v>54</v>
      </c>
      <c r="G12" s="10" t="s">
        <v>67</v>
      </c>
      <c r="H12" s="8" t="s">
        <v>54</v>
      </c>
      <c r="I12" s="8" t="s">
        <v>54</v>
      </c>
      <c r="J12" s="12" t="s">
        <v>55</v>
      </c>
      <c r="K12" s="12" t="s">
        <v>55</v>
      </c>
      <c r="L12" s="8" t="s">
        <v>54</v>
      </c>
      <c r="M12" s="8" t="s">
        <v>54</v>
      </c>
      <c r="N12" s="10" t="s">
        <v>67</v>
      </c>
      <c r="O12" s="8" t="s">
        <v>54</v>
      </c>
      <c r="P12" s="8" t="s">
        <v>54</v>
      </c>
      <c r="Q12" s="8" t="s">
        <v>54</v>
      </c>
      <c r="R12" s="8" t="s">
        <v>54</v>
      </c>
      <c r="S12" s="8" t="s">
        <v>54</v>
      </c>
      <c r="T12" s="8" t="s">
        <v>54</v>
      </c>
      <c r="U12" s="10" t="s">
        <v>67</v>
      </c>
      <c r="V12" s="8" t="s">
        <v>54</v>
      </c>
      <c r="W12" s="8" t="s">
        <v>54</v>
      </c>
      <c r="X12" s="8" t="s">
        <v>54</v>
      </c>
      <c r="Y12" s="8" t="s">
        <v>54</v>
      </c>
      <c r="Z12" s="8" t="s">
        <v>54</v>
      </c>
      <c r="AA12" s="8" t="s">
        <v>54</v>
      </c>
      <c r="AB12" s="10" t="s">
        <v>67</v>
      </c>
      <c r="AC12" s="8" t="s">
        <v>54</v>
      </c>
      <c r="AD12" s="8" t="s">
        <v>54</v>
      </c>
      <c r="AE12" s="8" t="s">
        <v>54</v>
      </c>
      <c r="AF12" s="8" t="s">
        <v>54</v>
      </c>
      <c r="AG12" s="8" t="s">
        <v>54</v>
      </c>
      <c r="AH12" s="8" t="s">
        <v>54</v>
      </c>
      <c r="AI12" s="10" t="s">
        <v>67</v>
      </c>
      <c r="AJ12" s="8">
        <f>COUNTIF($E$12:$AI$12,"P")</f>
        <v>24</v>
      </c>
      <c r="AK12" s="8">
        <f>COUNTIF($E$12:$AI$12,"A")</f>
        <v>2</v>
      </c>
      <c r="AL12" s="8">
        <f>SUM($E$13:$AI$13)</f>
        <v>0</v>
      </c>
      <c r="AM12" s="8">
        <f>SUM($E$14:$AI$14)</f>
        <v>0</v>
      </c>
      <c r="AN12" s="8">
        <f>AL12+AM12</f>
        <v>0</v>
      </c>
      <c r="AO12" s="8">
        <f>COUNTIF($E$12:$AI$12,"CL")</f>
        <v>0</v>
      </c>
      <c r="AP12" s="8">
        <f>COUNTIF($E$12:$AI$12,"SL")</f>
        <v>0</v>
      </c>
      <c r="AQ12" s="8">
        <f>COUNTIF($E$12:$AI$12,"EL")</f>
        <v>0</v>
      </c>
      <c r="AR12" s="8">
        <f>COUNTIF($E$12:$AI$12,"H")</f>
        <v>0</v>
      </c>
      <c r="AS12" s="8"/>
      <c r="AT12" s="11" t="s">
        <v>2089</v>
      </c>
    </row>
    <row r="13" spans="1:50" ht="15.1" customHeight="1">
      <c r="A13" s="8"/>
      <c r="B13" s="9"/>
      <c r="C13" s="8"/>
      <c r="D13" s="9"/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11" t="s">
        <v>2089</v>
      </c>
    </row>
    <row r="14" spans="1:50" ht="15.1" customHeight="1">
      <c r="A14" s="8"/>
      <c r="B14" s="9"/>
      <c r="C14" s="8"/>
      <c r="D14" s="9"/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1" t="s">
        <v>2089</v>
      </c>
    </row>
    <row r="15" spans="1:50" ht="15.1" customHeight="1">
      <c r="A15" s="8">
        <v>4</v>
      </c>
      <c r="B15" s="9" t="s">
        <v>396</v>
      </c>
      <c r="C15" s="8" t="s">
        <v>2098</v>
      </c>
      <c r="D15" s="9" t="s">
        <v>451</v>
      </c>
      <c r="E15" s="8" t="s">
        <v>54</v>
      </c>
      <c r="F15" s="8" t="s">
        <v>54</v>
      </c>
      <c r="G15" s="10" t="s">
        <v>67</v>
      </c>
      <c r="H15" s="8" t="s">
        <v>54</v>
      </c>
      <c r="I15" s="8" t="s">
        <v>54</v>
      </c>
      <c r="J15" s="12" t="s">
        <v>55</v>
      </c>
      <c r="K15" s="8" t="s">
        <v>54</v>
      </c>
      <c r="L15" s="8" t="s">
        <v>54</v>
      </c>
      <c r="M15" s="8" t="s">
        <v>54</v>
      </c>
      <c r="N15" s="10" t="s">
        <v>67</v>
      </c>
      <c r="O15" s="8" t="s">
        <v>54</v>
      </c>
      <c r="P15" s="8" t="s">
        <v>54</v>
      </c>
      <c r="Q15" s="8" t="s">
        <v>54</v>
      </c>
      <c r="R15" s="8" t="s">
        <v>54</v>
      </c>
      <c r="S15" s="8" t="s">
        <v>54</v>
      </c>
      <c r="T15" s="8" t="s">
        <v>54</v>
      </c>
      <c r="U15" s="10" t="s">
        <v>67</v>
      </c>
      <c r="V15" s="8" t="s">
        <v>54</v>
      </c>
      <c r="W15" s="8" t="s">
        <v>54</v>
      </c>
      <c r="X15" s="8" t="s">
        <v>54</v>
      </c>
      <c r="Y15" s="8" t="s">
        <v>54</v>
      </c>
      <c r="Z15" s="8" t="s">
        <v>54</v>
      </c>
      <c r="AA15" s="8" t="s">
        <v>54</v>
      </c>
      <c r="AB15" s="10" t="s">
        <v>67</v>
      </c>
      <c r="AC15" s="8" t="s">
        <v>54</v>
      </c>
      <c r="AD15" s="8" t="s">
        <v>54</v>
      </c>
      <c r="AE15" s="8" t="s">
        <v>54</v>
      </c>
      <c r="AF15" s="12" t="s">
        <v>55</v>
      </c>
      <c r="AG15" s="12" t="s">
        <v>55</v>
      </c>
      <c r="AH15" s="8" t="s">
        <v>54</v>
      </c>
      <c r="AI15" s="10" t="s">
        <v>67</v>
      </c>
      <c r="AJ15" s="8">
        <f>COUNTIF($E$15:$AI$15,"P")</f>
        <v>23</v>
      </c>
      <c r="AK15" s="8">
        <f>COUNTIF($E$15:$AI$15,"A")</f>
        <v>3</v>
      </c>
      <c r="AL15" s="8">
        <f>SUM($E$16:$AI$16)</f>
        <v>0</v>
      </c>
      <c r="AM15" s="8">
        <f>SUM($E$17:$AI$17)</f>
        <v>0</v>
      </c>
      <c r="AN15" s="8">
        <f>AL15+AM15</f>
        <v>0</v>
      </c>
      <c r="AO15" s="8">
        <f>COUNTIF($E$15:$AI$15,"CL")</f>
        <v>0</v>
      </c>
      <c r="AP15" s="8">
        <f>COUNTIF($E$15:$AI$15,"SL")</f>
        <v>0</v>
      </c>
      <c r="AQ15" s="8">
        <f>COUNTIF($E$15:$AI$15,"EL")</f>
        <v>0</v>
      </c>
      <c r="AR15" s="8">
        <f>COUNTIF($E$15:$AI$15,"H")</f>
        <v>0</v>
      </c>
      <c r="AS15" s="8"/>
      <c r="AT15" s="11" t="s">
        <v>2089</v>
      </c>
    </row>
    <row r="16" spans="1:50" ht="15.1" customHeight="1">
      <c r="A16" s="8"/>
      <c r="B16" s="9"/>
      <c r="C16" s="8"/>
      <c r="D16" s="9"/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11" t="s">
        <v>2089</v>
      </c>
    </row>
    <row r="17" spans="1:46" ht="15.1" customHeight="1">
      <c r="A17" s="8"/>
      <c r="B17" s="9"/>
      <c r="C17" s="8"/>
      <c r="D17" s="9"/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11" t="s">
        <v>2089</v>
      </c>
    </row>
    <row r="18" spans="1:46" ht="15.1" customHeight="1">
      <c r="A18" s="8">
        <v>5</v>
      </c>
      <c r="B18" s="9" t="s">
        <v>2099</v>
      </c>
      <c r="C18" s="8" t="s">
        <v>2100</v>
      </c>
      <c r="D18" s="9" t="s">
        <v>451</v>
      </c>
      <c r="E18" s="8" t="s">
        <v>54</v>
      </c>
      <c r="F18" s="8" t="s">
        <v>54</v>
      </c>
      <c r="G18" s="10" t="s">
        <v>67</v>
      </c>
      <c r="H18" s="8" t="s">
        <v>54</v>
      </c>
      <c r="I18" s="8" t="s">
        <v>54</v>
      </c>
      <c r="J18" s="8" t="s">
        <v>54</v>
      </c>
      <c r="K18" s="8" t="s">
        <v>54</v>
      </c>
      <c r="L18" s="8" t="s">
        <v>54</v>
      </c>
      <c r="M18" s="8" t="s">
        <v>54</v>
      </c>
      <c r="N18" s="10" t="s">
        <v>67</v>
      </c>
      <c r="O18" s="8" t="s">
        <v>54</v>
      </c>
      <c r="P18" s="8" t="s">
        <v>54</v>
      </c>
      <c r="Q18" s="8" t="s">
        <v>54</v>
      </c>
      <c r="R18" s="8" t="s">
        <v>54</v>
      </c>
      <c r="S18" s="8" t="s">
        <v>54</v>
      </c>
      <c r="T18" s="8" t="s">
        <v>54</v>
      </c>
      <c r="U18" s="10" t="s">
        <v>67</v>
      </c>
      <c r="V18" s="8" t="s">
        <v>54</v>
      </c>
      <c r="W18" s="8" t="s">
        <v>54</v>
      </c>
      <c r="X18" s="8" t="s">
        <v>54</v>
      </c>
      <c r="Y18" s="8" t="s">
        <v>54</v>
      </c>
      <c r="Z18" s="8" t="s">
        <v>54</v>
      </c>
      <c r="AA18" s="8" t="s">
        <v>54</v>
      </c>
      <c r="AB18" s="10" t="s">
        <v>67</v>
      </c>
      <c r="AC18" s="8" t="s">
        <v>54</v>
      </c>
      <c r="AD18" s="8" t="s">
        <v>54</v>
      </c>
      <c r="AE18" s="8" t="s">
        <v>54</v>
      </c>
      <c r="AF18" s="8" t="s">
        <v>54</v>
      </c>
      <c r="AG18" s="8" t="s">
        <v>54</v>
      </c>
      <c r="AH18" s="8" t="s">
        <v>54</v>
      </c>
      <c r="AI18" s="10" t="s">
        <v>67</v>
      </c>
      <c r="AJ18" s="8">
        <f>COUNTIF($E$18:$AI$18,"P")</f>
        <v>26</v>
      </c>
      <c r="AK18" s="8">
        <f>COUNTIF($E$18:$AI$18,"A")</f>
        <v>0</v>
      </c>
      <c r="AL18" s="8">
        <f>SUM($E$19:$AI$19)</f>
        <v>0</v>
      </c>
      <c r="AM18" s="8">
        <f>SUM($E$20:$AI$20)</f>
        <v>0</v>
      </c>
      <c r="AN18" s="8">
        <f>AL18+AM18</f>
        <v>0</v>
      </c>
      <c r="AO18" s="8">
        <f>COUNTIF($E$18:$AI$18,"CL")</f>
        <v>0</v>
      </c>
      <c r="AP18" s="8">
        <f>COUNTIF($E$18:$AI$18,"SL")</f>
        <v>0</v>
      </c>
      <c r="AQ18" s="8">
        <f>COUNTIF($E$18:$AI$18,"EL")</f>
        <v>0</v>
      </c>
      <c r="AR18" s="8">
        <f>COUNTIF($E$18:$AI$18,"H")</f>
        <v>0</v>
      </c>
      <c r="AS18" s="8"/>
      <c r="AT18" s="11" t="s">
        <v>2089</v>
      </c>
    </row>
    <row r="19" spans="1:46" ht="15.1" customHeight="1">
      <c r="A19" s="8"/>
      <c r="B19" s="9"/>
      <c r="C19" s="8"/>
      <c r="D19" s="9"/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11" t="s">
        <v>2089</v>
      </c>
    </row>
    <row r="20" spans="1:46" ht="15.1" customHeight="1">
      <c r="A20" s="8"/>
      <c r="B20" s="9"/>
      <c r="C20" s="8"/>
      <c r="D20" s="9"/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1" t="s">
        <v>2089</v>
      </c>
    </row>
    <row r="21" spans="1:46" ht="15.1" customHeight="1">
      <c r="A21" s="8">
        <v>6</v>
      </c>
      <c r="B21" s="9" t="s">
        <v>2101</v>
      </c>
      <c r="C21" s="8" t="s">
        <v>2102</v>
      </c>
      <c r="D21" s="9" t="s">
        <v>451</v>
      </c>
      <c r="E21" s="8" t="s">
        <v>54</v>
      </c>
      <c r="F21" s="12" t="s">
        <v>55</v>
      </c>
      <c r="G21" s="10" t="s">
        <v>67</v>
      </c>
      <c r="H21" s="8" t="s">
        <v>54</v>
      </c>
      <c r="I21" s="8" t="s">
        <v>54</v>
      </c>
      <c r="J21" s="8" t="s">
        <v>54</v>
      </c>
      <c r="K21" s="8" t="s">
        <v>54</v>
      </c>
      <c r="L21" s="12" t="s">
        <v>55</v>
      </c>
      <c r="M21" s="12" t="s">
        <v>55</v>
      </c>
      <c r="N21" s="10" t="s">
        <v>67</v>
      </c>
      <c r="O21" s="8" t="s">
        <v>54</v>
      </c>
      <c r="P21" s="12" t="s">
        <v>55</v>
      </c>
      <c r="Q21" s="8" t="s">
        <v>54</v>
      </c>
      <c r="R21" s="8" t="s">
        <v>54</v>
      </c>
      <c r="S21" s="8" t="s">
        <v>54</v>
      </c>
      <c r="T21" s="8" t="s">
        <v>54</v>
      </c>
      <c r="U21" s="10" t="s">
        <v>67</v>
      </c>
      <c r="V21" s="8" t="s">
        <v>54</v>
      </c>
      <c r="W21" s="8" t="s">
        <v>54</v>
      </c>
      <c r="X21" s="12" t="s">
        <v>55</v>
      </c>
      <c r="Y21" s="8" t="s">
        <v>54</v>
      </c>
      <c r="Z21" s="8" t="s">
        <v>54</v>
      </c>
      <c r="AA21" s="8" t="s">
        <v>54</v>
      </c>
      <c r="AB21" s="10" t="s">
        <v>67</v>
      </c>
      <c r="AC21" s="8" t="s">
        <v>54</v>
      </c>
      <c r="AD21" s="12" t="s">
        <v>55</v>
      </c>
      <c r="AE21" s="12" t="s">
        <v>55</v>
      </c>
      <c r="AF21" s="8" t="s">
        <v>54</v>
      </c>
      <c r="AG21" s="8" t="s">
        <v>54</v>
      </c>
      <c r="AH21" s="8" t="s">
        <v>54</v>
      </c>
      <c r="AI21" s="10" t="s">
        <v>67</v>
      </c>
      <c r="AJ21" s="8">
        <f>COUNTIF($E$21:$AI$21,"P")</f>
        <v>19</v>
      </c>
      <c r="AK21" s="8">
        <f>COUNTIF($E$21:$AI$21,"A")</f>
        <v>7</v>
      </c>
      <c r="AL21" s="8">
        <f>SUM($E$22:$AI$22)</f>
        <v>0</v>
      </c>
      <c r="AM21" s="8">
        <f>SUM($E$23:$AI$23)</f>
        <v>0</v>
      </c>
      <c r="AN21" s="8">
        <f>AL21+AM21</f>
        <v>0</v>
      </c>
      <c r="AO21" s="8">
        <f>COUNTIF($E$21:$AI$21,"CL")</f>
        <v>0</v>
      </c>
      <c r="AP21" s="8">
        <f>COUNTIF($E$21:$AI$21,"SL")</f>
        <v>0</v>
      </c>
      <c r="AQ21" s="8">
        <f>COUNTIF($E$21:$AI$21,"EL")</f>
        <v>0</v>
      </c>
      <c r="AR21" s="8">
        <f>COUNTIF($E$21:$AI$21,"H")</f>
        <v>0</v>
      </c>
      <c r="AS21" s="8"/>
      <c r="AT21" s="11" t="s">
        <v>2089</v>
      </c>
    </row>
    <row r="22" spans="1:46" ht="15.1" customHeight="1">
      <c r="A22" s="8"/>
      <c r="B22" s="9"/>
      <c r="C22" s="8"/>
      <c r="D22" s="9"/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1" t="s">
        <v>2089</v>
      </c>
    </row>
    <row r="23" spans="1:46" ht="15.1" customHeight="1">
      <c r="A23" s="8"/>
      <c r="B23" s="9"/>
      <c r="C23" s="8"/>
      <c r="D23" s="9"/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1" t="s">
        <v>2089</v>
      </c>
    </row>
    <row r="24" spans="1:46" ht="15.1" customHeight="1">
      <c r="A24" s="8">
        <v>7</v>
      </c>
      <c r="B24" s="9" t="s">
        <v>2103</v>
      </c>
      <c r="C24" s="8" t="s">
        <v>2104</v>
      </c>
      <c r="D24" s="9" t="s">
        <v>451</v>
      </c>
      <c r="E24" s="8" t="s">
        <v>54</v>
      </c>
      <c r="F24" s="8" t="s">
        <v>54</v>
      </c>
      <c r="G24" s="10" t="s">
        <v>67</v>
      </c>
      <c r="H24" s="8" t="s">
        <v>54</v>
      </c>
      <c r="I24" s="8" t="s">
        <v>54</v>
      </c>
      <c r="J24" s="8" t="s">
        <v>54</v>
      </c>
      <c r="K24" s="8" t="s">
        <v>54</v>
      </c>
      <c r="L24" s="8" t="s">
        <v>54</v>
      </c>
      <c r="M24" s="8" t="s">
        <v>54</v>
      </c>
      <c r="N24" s="10" t="s">
        <v>67</v>
      </c>
      <c r="O24" s="8" t="s">
        <v>54</v>
      </c>
      <c r="P24" s="8" t="s">
        <v>54</v>
      </c>
      <c r="Q24" s="8" t="s">
        <v>54</v>
      </c>
      <c r="R24" s="8" t="s">
        <v>54</v>
      </c>
      <c r="S24" s="8" t="s">
        <v>54</v>
      </c>
      <c r="T24" s="8" t="s">
        <v>54</v>
      </c>
      <c r="U24" s="10" t="s">
        <v>67</v>
      </c>
      <c r="V24" s="8" t="s">
        <v>54</v>
      </c>
      <c r="W24" s="8" t="s">
        <v>54</v>
      </c>
      <c r="X24" s="8" t="s">
        <v>54</v>
      </c>
      <c r="Y24" s="8" t="s">
        <v>54</v>
      </c>
      <c r="Z24" s="8" t="s">
        <v>54</v>
      </c>
      <c r="AA24" s="8" t="s">
        <v>54</v>
      </c>
      <c r="AB24" s="10" t="s">
        <v>67</v>
      </c>
      <c r="AC24" s="8" t="s">
        <v>54</v>
      </c>
      <c r="AD24" s="8" t="s">
        <v>54</v>
      </c>
      <c r="AE24" s="8" t="s">
        <v>54</v>
      </c>
      <c r="AF24" s="8" t="s">
        <v>54</v>
      </c>
      <c r="AG24" s="8" t="s">
        <v>54</v>
      </c>
      <c r="AH24" s="8" t="s">
        <v>54</v>
      </c>
      <c r="AI24" s="10" t="s">
        <v>67</v>
      </c>
      <c r="AJ24" s="8">
        <f>COUNTIF($E$24:$AI$24,"P")</f>
        <v>26</v>
      </c>
      <c r="AK24" s="8">
        <f>COUNTIF($E$24:$AI$24,"A")</f>
        <v>0</v>
      </c>
      <c r="AL24" s="8">
        <f>SUM($E$25:$AI$25)</f>
        <v>0</v>
      </c>
      <c r="AM24" s="8">
        <f>SUM($E$26:$AI$26)</f>
        <v>0</v>
      </c>
      <c r="AN24" s="8">
        <f>AL24+AM24</f>
        <v>0</v>
      </c>
      <c r="AO24" s="8">
        <f>COUNTIF($E$24:$AI$24,"CL")</f>
        <v>0</v>
      </c>
      <c r="AP24" s="8">
        <f>COUNTIF($E$24:$AI$24,"SL")</f>
        <v>0</v>
      </c>
      <c r="AQ24" s="8">
        <f>COUNTIF($E$24:$AI$24,"EL")</f>
        <v>0</v>
      </c>
      <c r="AR24" s="8">
        <f>COUNTIF($E$24:$AI$24,"H")</f>
        <v>0</v>
      </c>
      <c r="AS24" s="8"/>
      <c r="AT24" s="11" t="s">
        <v>2089</v>
      </c>
    </row>
    <row r="25" spans="1:46" ht="15.1" customHeight="1">
      <c r="A25" s="8"/>
      <c r="B25" s="9"/>
      <c r="C25" s="8"/>
      <c r="D25" s="9"/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1" t="s">
        <v>2089</v>
      </c>
    </row>
    <row r="26" spans="1:46" ht="15.1" customHeight="1">
      <c r="A26" s="8"/>
      <c r="B26" s="9"/>
      <c r="C26" s="8"/>
      <c r="D26" s="9"/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1" t="s">
        <v>2089</v>
      </c>
    </row>
    <row r="27" spans="1:46" ht="15.1" customHeight="1">
      <c r="A27" s="8">
        <v>8</v>
      </c>
      <c r="B27" s="9" t="s">
        <v>2105</v>
      </c>
      <c r="C27" s="8" t="s">
        <v>2106</v>
      </c>
      <c r="D27" s="9" t="s">
        <v>451</v>
      </c>
      <c r="E27" s="12" t="s">
        <v>55</v>
      </c>
      <c r="F27" s="12" t="s">
        <v>55</v>
      </c>
      <c r="G27" s="10" t="s">
        <v>67</v>
      </c>
      <c r="H27" s="8" t="s">
        <v>54</v>
      </c>
      <c r="I27" s="8" t="s">
        <v>54</v>
      </c>
      <c r="J27" s="8" t="s">
        <v>54</v>
      </c>
      <c r="K27" s="8" t="s">
        <v>54</v>
      </c>
      <c r="L27" s="8" t="s">
        <v>54</v>
      </c>
      <c r="M27" s="8" t="s">
        <v>54</v>
      </c>
      <c r="N27" s="10" t="s">
        <v>67</v>
      </c>
      <c r="O27" s="8" t="s">
        <v>54</v>
      </c>
      <c r="P27" s="8" t="s">
        <v>54</v>
      </c>
      <c r="Q27" s="8" t="s">
        <v>54</v>
      </c>
      <c r="R27" s="8" t="s">
        <v>54</v>
      </c>
      <c r="S27" s="8" t="s">
        <v>54</v>
      </c>
      <c r="T27" s="8" t="s">
        <v>54</v>
      </c>
      <c r="U27" s="10" t="s">
        <v>67</v>
      </c>
      <c r="V27" s="8" t="s">
        <v>54</v>
      </c>
      <c r="W27" s="8" t="s">
        <v>54</v>
      </c>
      <c r="X27" s="8" t="s">
        <v>54</v>
      </c>
      <c r="Y27" s="12" t="s">
        <v>55</v>
      </c>
      <c r="Z27" s="8" t="s">
        <v>54</v>
      </c>
      <c r="AA27" s="8" t="s">
        <v>54</v>
      </c>
      <c r="AB27" s="10" t="s">
        <v>67</v>
      </c>
      <c r="AC27" s="8" t="s">
        <v>54</v>
      </c>
      <c r="AD27" s="8" t="s">
        <v>54</v>
      </c>
      <c r="AE27" s="8" t="s">
        <v>54</v>
      </c>
      <c r="AF27" s="8" t="s">
        <v>54</v>
      </c>
      <c r="AG27" s="8" t="s">
        <v>54</v>
      </c>
      <c r="AH27" s="8" t="s">
        <v>54</v>
      </c>
      <c r="AI27" s="10" t="s">
        <v>67</v>
      </c>
      <c r="AJ27" s="8">
        <f>COUNTIF($E$27:$AI$27,"P")</f>
        <v>23</v>
      </c>
      <c r="AK27" s="8">
        <f>COUNTIF($E$27:$AI$27,"A")</f>
        <v>3</v>
      </c>
      <c r="AL27" s="8">
        <f>SUM($E$28:$AI$28)</f>
        <v>0</v>
      </c>
      <c r="AM27" s="8">
        <f>SUM($E$29:$AI$29)</f>
        <v>0</v>
      </c>
      <c r="AN27" s="8">
        <f>AL27+AM27</f>
        <v>0</v>
      </c>
      <c r="AO27" s="8">
        <f>COUNTIF($E$27:$AI$27,"CL")</f>
        <v>0</v>
      </c>
      <c r="AP27" s="8">
        <f>COUNTIF($E$27:$AI$27,"SL")</f>
        <v>0</v>
      </c>
      <c r="AQ27" s="8">
        <f>COUNTIF($E$27:$AI$27,"EL")</f>
        <v>0</v>
      </c>
      <c r="AR27" s="8">
        <f>COUNTIF($E$27:$AI$27,"H")</f>
        <v>0</v>
      </c>
      <c r="AS27" s="8"/>
      <c r="AT27" s="11" t="s">
        <v>2089</v>
      </c>
    </row>
    <row r="28" spans="1:46" ht="15.1" customHeight="1">
      <c r="A28" s="8"/>
      <c r="B28" s="9"/>
      <c r="C28" s="8"/>
      <c r="D28" s="9"/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11" t="s">
        <v>2089</v>
      </c>
    </row>
    <row r="29" spans="1:46" ht="15.1" customHeight="1">
      <c r="A29" s="8"/>
      <c r="B29" s="9"/>
      <c r="C29" s="8"/>
      <c r="D29" s="9"/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1" t="s">
        <v>2089</v>
      </c>
    </row>
    <row r="30" spans="1:46" ht="15.1" customHeight="1">
      <c r="A30" s="8">
        <v>9</v>
      </c>
      <c r="B30" s="9" t="s">
        <v>2107</v>
      </c>
      <c r="C30" s="8" t="s">
        <v>2108</v>
      </c>
      <c r="D30" s="9" t="s">
        <v>451</v>
      </c>
      <c r="E30" s="8" t="s">
        <v>54</v>
      </c>
      <c r="F30" s="8" t="s">
        <v>54</v>
      </c>
      <c r="G30" s="10" t="s">
        <v>67</v>
      </c>
      <c r="H30" s="8" t="s">
        <v>54</v>
      </c>
      <c r="I30" s="8" t="s">
        <v>54</v>
      </c>
      <c r="J30" s="8" t="s">
        <v>54</v>
      </c>
      <c r="K30" s="8" t="s">
        <v>54</v>
      </c>
      <c r="L30" s="8" t="s">
        <v>54</v>
      </c>
      <c r="M30" s="8" t="s">
        <v>54</v>
      </c>
      <c r="N30" s="10" t="s">
        <v>67</v>
      </c>
      <c r="O30" s="8" t="s">
        <v>54</v>
      </c>
      <c r="P30" s="8" t="s">
        <v>54</v>
      </c>
      <c r="Q30" s="8" t="s">
        <v>54</v>
      </c>
      <c r="R30" s="8" t="s">
        <v>54</v>
      </c>
      <c r="S30" s="8" t="s">
        <v>54</v>
      </c>
      <c r="T30" s="8" t="s">
        <v>54</v>
      </c>
      <c r="U30" s="10" t="s">
        <v>67</v>
      </c>
      <c r="V30" s="8" t="s">
        <v>54</v>
      </c>
      <c r="W30" s="8" t="s">
        <v>54</v>
      </c>
      <c r="X30" s="8" t="s">
        <v>54</v>
      </c>
      <c r="Y30" s="8" t="s">
        <v>54</v>
      </c>
      <c r="Z30" s="8" t="s">
        <v>54</v>
      </c>
      <c r="AA30" s="8" t="s">
        <v>54</v>
      </c>
      <c r="AB30" s="10" t="s">
        <v>67</v>
      </c>
      <c r="AC30" s="8" t="s">
        <v>54</v>
      </c>
      <c r="AD30" s="8" t="s">
        <v>54</v>
      </c>
      <c r="AE30" s="8" t="s">
        <v>54</v>
      </c>
      <c r="AF30" s="8" t="s">
        <v>54</v>
      </c>
      <c r="AG30" s="8" t="s">
        <v>54</v>
      </c>
      <c r="AH30" s="8" t="s">
        <v>54</v>
      </c>
      <c r="AI30" s="10" t="s">
        <v>67</v>
      </c>
      <c r="AJ30" s="8">
        <f>COUNTIF($E$30:$AI$30,"P")</f>
        <v>26</v>
      </c>
      <c r="AK30" s="8">
        <f>COUNTIF($E$30:$AI$30,"A")</f>
        <v>0</v>
      </c>
      <c r="AL30" s="8">
        <f>SUM($E$31:$AI$31)</f>
        <v>0</v>
      </c>
      <c r="AM30" s="8">
        <f>SUM($E$32:$AI$32)</f>
        <v>0</v>
      </c>
      <c r="AN30" s="8">
        <f>AL30+AM30</f>
        <v>0</v>
      </c>
      <c r="AO30" s="8">
        <f>COUNTIF($E$30:$AI$30,"CL")</f>
        <v>0</v>
      </c>
      <c r="AP30" s="8">
        <f>COUNTIF($E$30:$AI$30,"SL")</f>
        <v>0</v>
      </c>
      <c r="AQ30" s="8">
        <f>COUNTIF($E$30:$AI$30,"EL")</f>
        <v>0</v>
      </c>
      <c r="AR30" s="8">
        <f>COUNTIF($E$30:$AI$30,"H")</f>
        <v>0</v>
      </c>
      <c r="AS30" s="8"/>
      <c r="AT30" s="11" t="s">
        <v>2089</v>
      </c>
    </row>
    <row r="31" spans="1:46" ht="15.1" customHeight="1">
      <c r="A31" s="8"/>
      <c r="B31" s="9"/>
      <c r="C31" s="8"/>
      <c r="D31" s="9"/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1" t="s">
        <v>2089</v>
      </c>
    </row>
    <row r="32" spans="1:46" ht="15.1" customHeight="1">
      <c r="A32" s="8"/>
      <c r="B32" s="9"/>
      <c r="C32" s="8"/>
      <c r="D32" s="9"/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1" t="s">
        <v>2089</v>
      </c>
    </row>
    <row r="33" spans="1:46" ht="15.1" customHeight="1">
      <c r="A33" s="8">
        <v>10</v>
      </c>
      <c r="B33" s="9" t="s">
        <v>2109</v>
      </c>
      <c r="C33" s="8" t="s">
        <v>2110</v>
      </c>
      <c r="D33" s="9" t="s">
        <v>451</v>
      </c>
      <c r="E33" s="8" t="s">
        <v>54</v>
      </c>
      <c r="F33" s="8" t="s">
        <v>54</v>
      </c>
      <c r="G33" s="10" t="s">
        <v>67</v>
      </c>
      <c r="H33" s="8" t="s">
        <v>54</v>
      </c>
      <c r="I33" s="8" t="s">
        <v>54</v>
      </c>
      <c r="J33" s="8" t="s">
        <v>54</v>
      </c>
      <c r="K33" s="8" t="s">
        <v>54</v>
      </c>
      <c r="L33" s="8" t="s">
        <v>54</v>
      </c>
      <c r="M33" s="8" t="s">
        <v>54</v>
      </c>
      <c r="N33" s="10" t="s">
        <v>67</v>
      </c>
      <c r="O33" s="8" t="s">
        <v>54</v>
      </c>
      <c r="P33" s="8" t="s">
        <v>54</v>
      </c>
      <c r="Q33" s="8" t="s">
        <v>54</v>
      </c>
      <c r="R33" s="8" t="s">
        <v>54</v>
      </c>
      <c r="S33" s="8" t="s">
        <v>54</v>
      </c>
      <c r="T33" s="8" t="s">
        <v>54</v>
      </c>
      <c r="U33" s="10" t="s">
        <v>67</v>
      </c>
      <c r="V33" s="8" t="s">
        <v>54</v>
      </c>
      <c r="W33" s="12" t="s">
        <v>55</v>
      </c>
      <c r="X33" s="8" t="s">
        <v>54</v>
      </c>
      <c r="Y33" s="8" t="s">
        <v>54</v>
      </c>
      <c r="Z33" s="8" t="s">
        <v>54</v>
      </c>
      <c r="AA33" s="8" t="s">
        <v>54</v>
      </c>
      <c r="AB33" s="10" t="s">
        <v>67</v>
      </c>
      <c r="AC33" s="8" t="s">
        <v>54</v>
      </c>
      <c r="AD33" s="8" t="s">
        <v>54</v>
      </c>
      <c r="AE33" s="8" t="s">
        <v>54</v>
      </c>
      <c r="AF33" s="8" t="s">
        <v>54</v>
      </c>
      <c r="AG33" s="8" t="s">
        <v>54</v>
      </c>
      <c r="AH33" s="12" t="s">
        <v>55</v>
      </c>
      <c r="AI33" s="10" t="s">
        <v>67</v>
      </c>
      <c r="AJ33" s="8">
        <f>COUNTIF($E$33:$AI$33,"P")</f>
        <v>24</v>
      </c>
      <c r="AK33" s="8">
        <f>COUNTIF($E$33:$AI$33,"A")</f>
        <v>2</v>
      </c>
      <c r="AL33" s="8">
        <f>SUM($E$34:$AI$34)</f>
        <v>0</v>
      </c>
      <c r="AM33" s="8">
        <f>SUM($E$35:$AI$35)</f>
        <v>0</v>
      </c>
      <c r="AN33" s="8">
        <f>AL33+AM33</f>
        <v>0</v>
      </c>
      <c r="AO33" s="8">
        <f>COUNTIF($E$33:$AI$33,"CL")</f>
        <v>0</v>
      </c>
      <c r="AP33" s="8">
        <f>COUNTIF($E$33:$AI$33,"SL")</f>
        <v>0</v>
      </c>
      <c r="AQ33" s="8">
        <f>COUNTIF($E$33:$AI$33,"EL")</f>
        <v>0</v>
      </c>
      <c r="AR33" s="8">
        <f>COUNTIF($E$33:$AI$33,"H")</f>
        <v>0</v>
      </c>
      <c r="AS33" s="8"/>
      <c r="AT33" s="11" t="s">
        <v>2089</v>
      </c>
    </row>
    <row r="34" spans="1:46" ht="15.1" customHeight="1">
      <c r="A34" s="8"/>
      <c r="B34" s="9"/>
      <c r="C34" s="8"/>
      <c r="D34" s="9"/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1" t="s">
        <v>2089</v>
      </c>
    </row>
    <row r="35" spans="1:46" ht="15.1" customHeight="1">
      <c r="A35" s="8"/>
      <c r="B35" s="9"/>
      <c r="C35" s="8"/>
      <c r="D35" s="9"/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1" t="s">
        <v>2089</v>
      </c>
    </row>
    <row r="36" spans="1:46" ht="15.1" customHeight="1">
      <c r="A36" s="8">
        <v>11</v>
      </c>
      <c r="B36" s="9" t="s">
        <v>2111</v>
      </c>
      <c r="C36" s="8" t="s">
        <v>2112</v>
      </c>
      <c r="D36" s="9" t="s">
        <v>451</v>
      </c>
      <c r="E36" s="8" t="s">
        <v>54</v>
      </c>
      <c r="F36" s="8" t="s">
        <v>54</v>
      </c>
      <c r="G36" s="10" t="s">
        <v>67</v>
      </c>
      <c r="H36" s="8" t="s">
        <v>54</v>
      </c>
      <c r="I36" s="8" t="s">
        <v>54</v>
      </c>
      <c r="J36" s="8" t="s">
        <v>54</v>
      </c>
      <c r="K36" s="12" t="s">
        <v>55</v>
      </c>
      <c r="L36" s="8" t="s">
        <v>54</v>
      </c>
      <c r="M36" s="8" t="s">
        <v>54</v>
      </c>
      <c r="N36" s="10" t="s">
        <v>67</v>
      </c>
      <c r="O36" s="8" t="s">
        <v>54</v>
      </c>
      <c r="P36" s="8" t="s">
        <v>54</v>
      </c>
      <c r="Q36" s="8" t="s">
        <v>54</v>
      </c>
      <c r="R36" s="8" t="s">
        <v>54</v>
      </c>
      <c r="S36" s="8" t="s">
        <v>54</v>
      </c>
      <c r="T36" s="8" t="s">
        <v>54</v>
      </c>
      <c r="U36" s="10" t="s">
        <v>67</v>
      </c>
      <c r="V36" s="8" t="s">
        <v>54</v>
      </c>
      <c r="W36" s="8" t="s">
        <v>54</v>
      </c>
      <c r="X36" s="8" t="s">
        <v>54</v>
      </c>
      <c r="Y36" s="8" t="s">
        <v>54</v>
      </c>
      <c r="Z36" s="8" t="s">
        <v>54</v>
      </c>
      <c r="AA36" s="8" t="s">
        <v>54</v>
      </c>
      <c r="AB36" s="10" t="s">
        <v>67</v>
      </c>
      <c r="AC36" s="8" t="s">
        <v>54</v>
      </c>
      <c r="AD36" s="8" t="s">
        <v>54</v>
      </c>
      <c r="AE36" s="8" t="s">
        <v>54</v>
      </c>
      <c r="AF36" s="8" t="s">
        <v>54</v>
      </c>
      <c r="AG36" s="8" t="s">
        <v>54</v>
      </c>
      <c r="AH36" s="12" t="s">
        <v>55</v>
      </c>
      <c r="AI36" s="10" t="s">
        <v>67</v>
      </c>
      <c r="AJ36" s="8">
        <f>COUNTIF($E$36:$AI$36,"P")</f>
        <v>24</v>
      </c>
      <c r="AK36" s="8">
        <f>COUNTIF($E$36:$AI$36,"A")</f>
        <v>2</v>
      </c>
      <c r="AL36" s="8">
        <f>SUM($E$37:$AI$37)</f>
        <v>0</v>
      </c>
      <c r="AM36" s="8">
        <f>SUM($E$38:$AI$38)</f>
        <v>0</v>
      </c>
      <c r="AN36" s="8">
        <f>AL36+AM36</f>
        <v>0</v>
      </c>
      <c r="AO36" s="8">
        <f>COUNTIF($E$36:$AI$36,"CL")</f>
        <v>0</v>
      </c>
      <c r="AP36" s="8">
        <f>COUNTIF($E$36:$AI$36,"SL")</f>
        <v>0</v>
      </c>
      <c r="AQ36" s="8">
        <f>COUNTIF($E$36:$AI$36,"EL")</f>
        <v>0</v>
      </c>
      <c r="AR36" s="8">
        <f>COUNTIF($E$36:$AI$36,"H")</f>
        <v>0</v>
      </c>
      <c r="AS36" s="8"/>
      <c r="AT36" s="11" t="s">
        <v>2089</v>
      </c>
    </row>
    <row r="37" spans="1:46" ht="15.1" customHeight="1">
      <c r="A37" s="8"/>
      <c r="B37" s="9"/>
      <c r="C37" s="8"/>
      <c r="D37" s="9"/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11" t="s">
        <v>2089</v>
      </c>
    </row>
    <row r="38" spans="1:46" ht="15.1" customHeight="1">
      <c r="A38" s="8"/>
      <c r="B38" s="9"/>
      <c r="C38" s="8"/>
      <c r="D38" s="9"/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11" t="s">
        <v>2089</v>
      </c>
    </row>
    <row r="39" spans="1:46" ht="15.1" customHeight="1">
      <c r="A39" s="8">
        <v>12</v>
      </c>
      <c r="B39" s="9" t="s">
        <v>1200</v>
      </c>
      <c r="C39" s="8" t="s">
        <v>2113</v>
      </c>
      <c r="D39" s="9" t="s">
        <v>451</v>
      </c>
      <c r="E39" s="12" t="s">
        <v>55</v>
      </c>
      <c r="F39" s="8" t="s">
        <v>54</v>
      </c>
      <c r="G39" s="10" t="s">
        <v>67</v>
      </c>
      <c r="H39" s="8" t="s">
        <v>54</v>
      </c>
      <c r="I39" s="8" t="s">
        <v>54</v>
      </c>
      <c r="J39" s="8" t="s">
        <v>54</v>
      </c>
      <c r="K39" s="8" t="s">
        <v>54</v>
      </c>
      <c r="L39" s="8" t="s">
        <v>54</v>
      </c>
      <c r="M39" s="8" t="s">
        <v>54</v>
      </c>
      <c r="N39" s="10" t="s">
        <v>67</v>
      </c>
      <c r="O39" s="8" t="s">
        <v>54</v>
      </c>
      <c r="P39" s="8" t="s">
        <v>54</v>
      </c>
      <c r="Q39" s="8" t="s">
        <v>54</v>
      </c>
      <c r="R39" s="8" t="s">
        <v>54</v>
      </c>
      <c r="S39" s="8" t="s">
        <v>54</v>
      </c>
      <c r="T39" s="8" t="s">
        <v>54</v>
      </c>
      <c r="U39" s="10" t="s">
        <v>67</v>
      </c>
      <c r="V39" s="8" t="s">
        <v>54</v>
      </c>
      <c r="W39" s="8" t="s">
        <v>54</v>
      </c>
      <c r="X39" s="8" t="s">
        <v>54</v>
      </c>
      <c r="Y39" s="8" t="s">
        <v>54</v>
      </c>
      <c r="Z39" s="8" t="s">
        <v>54</v>
      </c>
      <c r="AA39" s="8" t="s">
        <v>54</v>
      </c>
      <c r="AB39" s="10" t="s">
        <v>67</v>
      </c>
      <c r="AC39" s="8" t="s">
        <v>54</v>
      </c>
      <c r="AD39" s="8" t="s">
        <v>54</v>
      </c>
      <c r="AE39" s="8" t="s">
        <v>54</v>
      </c>
      <c r="AF39" s="8" t="s">
        <v>54</v>
      </c>
      <c r="AG39" s="8" t="s">
        <v>54</v>
      </c>
      <c r="AH39" s="12" t="s">
        <v>55</v>
      </c>
      <c r="AI39" s="10" t="s">
        <v>67</v>
      </c>
      <c r="AJ39" s="8">
        <f>COUNTIF($E$39:$AI$39,"P")</f>
        <v>24</v>
      </c>
      <c r="AK39" s="8">
        <f>COUNTIF($E$39:$AI$39,"A")</f>
        <v>2</v>
      </c>
      <c r="AL39" s="8">
        <f>SUM($E$40:$AI$40)</f>
        <v>0</v>
      </c>
      <c r="AM39" s="8">
        <f>SUM($E$41:$AI$41)</f>
        <v>0</v>
      </c>
      <c r="AN39" s="8">
        <f>AL39+AM39</f>
        <v>0</v>
      </c>
      <c r="AO39" s="8">
        <f>COUNTIF($E$39:$AI$39,"CL")</f>
        <v>0</v>
      </c>
      <c r="AP39" s="8">
        <f>COUNTIF($E$39:$AI$39,"SL")</f>
        <v>0</v>
      </c>
      <c r="AQ39" s="8">
        <f>COUNTIF($E$39:$AI$39,"EL")</f>
        <v>0</v>
      </c>
      <c r="AR39" s="8">
        <f>COUNTIF($E$39:$AI$39,"H")</f>
        <v>0</v>
      </c>
      <c r="AS39" s="8"/>
      <c r="AT39" s="11" t="s">
        <v>2089</v>
      </c>
    </row>
    <row r="40" spans="1:46" ht="15.1" customHeight="1">
      <c r="A40" s="8"/>
      <c r="B40" s="9"/>
      <c r="C40" s="8"/>
      <c r="D40" s="9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11" t="s">
        <v>2089</v>
      </c>
    </row>
    <row r="41" spans="1:46" ht="15.1" customHeight="1">
      <c r="A41" s="8"/>
      <c r="B41" s="9"/>
      <c r="C41" s="8"/>
      <c r="D41" s="9"/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11" t="s">
        <v>2089</v>
      </c>
    </row>
    <row r="42" spans="1:46" ht="15.1" customHeight="1">
      <c r="A42" s="8">
        <v>13</v>
      </c>
      <c r="B42" s="9" t="s">
        <v>2114</v>
      </c>
      <c r="C42" s="8" t="s">
        <v>2115</v>
      </c>
      <c r="D42" s="9" t="s">
        <v>451</v>
      </c>
      <c r="E42" s="8" t="s">
        <v>54</v>
      </c>
      <c r="F42" s="12" t="s">
        <v>55</v>
      </c>
      <c r="G42" s="10" t="s">
        <v>67</v>
      </c>
      <c r="H42" s="8" t="s">
        <v>54</v>
      </c>
      <c r="I42" s="8" t="s">
        <v>54</v>
      </c>
      <c r="J42" s="8" t="s">
        <v>54</v>
      </c>
      <c r="K42" s="8" t="s">
        <v>54</v>
      </c>
      <c r="L42" s="8" t="s">
        <v>54</v>
      </c>
      <c r="M42" s="8" t="s">
        <v>54</v>
      </c>
      <c r="N42" s="10" t="s">
        <v>67</v>
      </c>
      <c r="O42" s="8" t="s">
        <v>54</v>
      </c>
      <c r="P42" s="8" t="s">
        <v>54</v>
      </c>
      <c r="Q42" s="8" t="s">
        <v>54</v>
      </c>
      <c r="R42" s="8" t="s">
        <v>54</v>
      </c>
      <c r="S42" s="8" t="s">
        <v>54</v>
      </c>
      <c r="T42" s="8" t="s">
        <v>54</v>
      </c>
      <c r="U42" s="10" t="s">
        <v>67</v>
      </c>
      <c r="V42" s="8" t="s">
        <v>54</v>
      </c>
      <c r="W42" s="8" t="s">
        <v>54</v>
      </c>
      <c r="X42" s="8" t="s">
        <v>54</v>
      </c>
      <c r="Y42" s="8" t="s">
        <v>54</v>
      </c>
      <c r="Z42" s="12" t="s">
        <v>55</v>
      </c>
      <c r="AA42" s="12" t="s">
        <v>55</v>
      </c>
      <c r="AB42" s="10" t="s">
        <v>67</v>
      </c>
      <c r="AC42" s="12" t="s">
        <v>55</v>
      </c>
      <c r="AD42" s="8" t="s">
        <v>54</v>
      </c>
      <c r="AE42" s="8" t="s">
        <v>54</v>
      </c>
      <c r="AF42" s="8" t="s">
        <v>54</v>
      </c>
      <c r="AG42" s="8" t="s">
        <v>54</v>
      </c>
      <c r="AH42" s="12" t="s">
        <v>55</v>
      </c>
      <c r="AI42" s="10" t="s">
        <v>67</v>
      </c>
      <c r="AJ42" s="8">
        <f>COUNTIF($E$42:$AI$42,"P")</f>
        <v>21</v>
      </c>
      <c r="AK42" s="8">
        <f>COUNTIF($E$42:$AI$42,"A")</f>
        <v>5</v>
      </c>
      <c r="AL42" s="8">
        <f>SUM($E$43:$AI$43)</f>
        <v>0</v>
      </c>
      <c r="AM42" s="8">
        <f>SUM($E$44:$AI$44)</f>
        <v>0</v>
      </c>
      <c r="AN42" s="8">
        <f>AL42+AM42</f>
        <v>0</v>
      </c>
      <c r="AO42" s="8">
        <f>COUNTIF($E$42:$AI$42,"CL")</f>
        <v>0</v>
      </c>
      <c r="AP42" s="8">
        <f>COUNTIF($E$42:$AI$42,"SL")</f>
        <v>0</v>
      </c>
      <c r="AQ42" s="8">
        <f>COUNTIF($E$42:$AI$42,"EL")</f>
        <v>0</v>
      </c>
      <c r="AR42" s="8">
        <f>COUNTIF($E$42:$AI$42,"H")</f>
        <v>0</v>
      </c>
      <c r="AS42" s="8"/>
      <c r="AT42" s="11" t="s">
        <v>2089</v>
      </c>
    </row>
    <row r="43" spans="1:46" ht="15.1" customHeight="1">
      <c r="A43" s="8"/>
      <c r="B43" s="9"/>
      <c r="C43" s="8"/>
      <c r="D43" s="9"/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11" t="s">
        <v>2089</v>
      </c>
    </row>
    <row r="44" spans="1:46" ht="15.1" customHeight="1">
      <c r="A44" s="8"/>
      <c r="B44" s="9"/>
      <c r="C44" s="8"/>
      <c r="D44" s="9"/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11" t="s">
        <v>2089</v>
      </c>
    </row>
    <row r="45" spans="1:46" ht="15.1" customHeight="1">
      <c r="A45" s="8">
        <v>14</v>
      </c>
      <c r="B45" s="9" t="s">
        <v>2116</v>
      </c>
      <c r="C45" s="8" t="s">
        <v>2117</v>
      </c>
      <c r="D45" s="9" t="s">
        <v>451</v>
      </c>
      <c r="E45" s="8" t="s">
        <v>54</v>
      </c>
      <c r="F45" s="8" t="s">
        <v>54</v>
      </c>
      <c r="G45" s="10" t="s">
        <v>67</v>
      </c>
      <c r="H45" s="8" t="s">
        <v>54</v>
      </c>
      <c r="I45" s="8" t="s">
        <v>54</v>
      </c>
      <c r="J45" s="8" t="s">
        <v>54</v>
      </c>
      <c r="K45" s="8" t="s">
        <v>54</v>
      </c>
      <c r="L45" s="8" t="s">
        <v>54</v>
      </c>
      <c r="M45" s="8" t="s">
        <v>54</v>
      </c>
      <c r="N45" s="10" t="s">
        <v>67</v>
      </c>
      <c r="O45" s="8" t="s">
        <v>54</v>
      </c>
      <c r="P45" s="8" t="s">
        <v>54</v>
      </c>
      <c r="Q45" s="8" t="s">
        <v>54</v>
      </c>
      <c r="R45" s="8" t="s">
        <v>54</v>
      </c>
      <c r="S45" s="8" t="s">
        <v>54</v>
      </c>
      <c r="T45" s="8" t="s">
        <v>54</v>
      </c>
      <c r="U45" s="10" t="s">
        <v>67</v>
      </c>
      <c r="V45" s="8" t="s">
        <v>54</v>
      </c>
      <c r="W45" s="8" t="s">
        <v>54</v>
      </c>
      <c r="X45" s="8" t="s">
        <v>54</v>
      </c>
      <c r="Y45" s="8" t="s">
        <v>54</v>
      </c>
      <c r="Z45" s="8" t="s">
        <v>54</v>
      </c>
      <c r="AA45" s="8" t="s">
        <v>54</v>
      </c>
      <c r="AB45" s="10" t="s">
        <v>67</v>
      </c>
      <c r="AC45" s="8" t="s">
        <v>54</v>
      </c>
      <c r="AD45" s="8" t="s">
        <v>54</v>
      </c>
      <c r="AE45" s="8" t="s">
        <v>54</v>
      </c>
      <c r="AF45" s="8" t="s">
        <v>54</v>
      </c>
      <c r="AG45" s="8" t="s">
        <v>54</v>
      </c>
      <c r="AH45" s="8" t="s">
        <v>54</v>
      </c>
      <c r="AI45" s="10" t="s">
        <v>67</v>
      </c>
      <c r="AJ45" s="8">
        <f>COUNTIF($E$45:$AI$45,"P")</f>
        <v>26</v>
      </c>
      <c r="AK45" s="8">
        <f>COUNTIF($E$45:$AI$45,"A")</f>
        <v>0</v>
      </c>
      <c r="AL45" s="8">
        <f>SUM($E$46:$AI$46)</f>
        <v>0</v>
      </c>
      <c r="AM45" s="8">
        <f>SUM($E$47:$AI$47)</f>
        <v>0</v>
      </c>
      <c r="AN45" s="8">
        <f>AL45+AM45</f>
        <v>0</v>
      </c>
      <c r="AO45" s="8">
        <f>COUNTIF($E$45:$AI$45,"CL")</f>
        <v>0</v>
      </c>
      <c r="AP45" s="8">
        <f>COUNTIF($E$45:$AI$45,"SL")</f>
        <v>0</v>
      </c>
      <c r="AQ45" s="8">
        <f>COUNTIF($E$45:$AI$45,"EL")</f>
        <v>0</v>
      </c>
      <c r="AR45" s="8">
        <f>COUNTIF($E$45:$AI$45,"H")</f>
        <v>0</v>
      </c>
      <c r="AS45" s="8"/>
      <c r="AT45" s="11" t="s">
        <v>2089</v>
      </c>
    </row>
    <row r="46" spans="1:46" ht="15.1" customHeight="1">
      <c r="A46" s="8"/>
      <c r="B46" s="9"/>
      <c r="C46" s="8"/>
      <c r="D46" s="9"/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11" t="s">
        <v>2089</v>
      </c>
    </row>
    <row r="47" spans="1:46" ht="15.1" customHeight="1">
      <c r="A47" s="8"/>
      <c r="B47" s="9"/>
      <c r="C47" s="8"/>
      <c r="D47" s="9"/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11" t="s">
        <v>2089</v>
      </c>
    </row>
    <row r="48" spans="1:46" ht="15.1" customHeight="1">
      <c r="A48" s="8">
        <v>15</v>
      </c>
      <c r="B48" s="9" t="s">
        <v>2118</v>
      </c>
      <c r="C48" s="8" t="s">
        <v>2119</v>
      </c>
      <c r="D48" s="9" t="s">
        <v>451</v>
      </c>
      <c r="E48" s="8" t="s">
        <v>54</v>
      </c>
      <c r="F48" s="8" t="s">
        <v>54</v>
      </c>
      <c r="G48" s="10" t="s">
        <v>67</v>
      </c>
      <c r="H48" s="8" t="s">
        <v>54</v>
      </c>
      <c r="I48" s="8" t="s">
        <v>54</v>
      </c>
      <c r="J48" s="8" t="s">
        <v>54</v>
      </c>
      <c r="K48" s="12" t="s">
        <v>55</v>
      </c>
      <c r="L48" s="12" t="s">
        <v>55</v>
      </c>
      <c r="M48" s="12" t="s">
        <v>55</v>
      </c>
      <c r="N48" s="10" t="s">
        <v>67</v>
      </c>
      <c r="O48" s="8" t="s">
        <v>54</v>
      </c>
      <c r="P48" s="8" t="s">
        <v>54</v>
      </c>
      <c r="Q48" s="8" t="s">
        <v>54</v>
      </c>
      <c r="R48" s="8" t="s">
        <v>54</v>
      </c>
      <c r="S48" s="8" t="s">
        <v>54</v>
      </c>
      <c r="T48" s="8" t="s">
        <v>54</v>
      </c>
      <c r="U48" s="10" t="s">
        <v>67</v>
      </c>
      <c r="V48" s="8" t="s">
        <v>54</v>
      </c>
      <c r="W48" s="8" t="s">
        <v>54</v>
      </c>
      <c r="X48" s="8" t="s">
        <v>54</v>
      </c>
      <c r="Y48" s="8" t="s">
        <v>54</v>
      </c>
      <c r="Z48" s="8" t="s">
        <v>54</v>
      </c>
      <c r="AA48" s="8" t="s">
        <v>54</v>
      </c>
      <c r="AB48" s="10" t="s">
        <v>67</v>
      </c>
      <c r="AC48" s="8" t="s">
        <v>54</v>
      </c>
      <c r="AD48" s="12" t="s">
        <v>55</v>
      </c>
      <c r="AE48" s="8" t="s">
        <v>54</v>
      </c>
      <c r="AF48" s="8" t="s">
        <v>54</v>
      </c>
      <c r="AG48" s="8" t="s">
        <v>54</v>
      </c>
      <c r="AH48" s="12" t="s">
        <v>55</v>
      </c>
      <c r="AI48" s="10" t="s">
        <v>67</v>
      </c>
      <c r="AJ48" s="8">
        <f>COUNTIF($E$48:$AI$48,"P")</f>
        <v>21</v>
      </c>
      <c r="AK48" s="8">
        <f>COUNTIF($E$48:$AI$48,"A")</f>
        <v>5</v>
      </c>
      <c r="AL48" s="8">
        <f>SUM($E$49:$AI$49)</f>
        <v>0</v>
      </c>
      <c r="AM48" s="8">
        <f>SUM($E$50:$AI$50)</f>
        <v>0</v>
      </c>
      <c r="AN48" s="8">
        <f>AL48+AM48</f>
        <v>0</v>
      </c>
      <c r="AO48" s="8">
        <f>COUNTIF($E$48:$AI$48,"CL")</f>
        <v>0</v>
      </c>
      <c r="AP48" s="8">
        <f>COUNTIF($E$48:$AI$48,"SL")</f>
        <v>0</v>
      </c>
      <c r="AQ48" s="8">
        <f>COUNTIF($E$48:$AI$48,"EL")</f>
        <v>0</v>
      </c>
      <c r="AR48" s="8">
        <f>COUNTIF($E$48:$AI$48,"H")</f>
        <v>0</v>
      </c>
      <c r="AS48" s="8"/>
      <c r="AT48" s="11" t="s">
        <v>2089</v>
      </c>
    </row>
    <row r="49" spans="1:46" ht="15.1" customHeight="1">
      <c r="A49" s="8"/>
      <c r="B49" s="9"/>
      <c r="C49" s="8"/>
      <c r="D49" s="9"/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11" t="s">
        <v>2089</v>
      </c>
    </row>
    <row r="50" spans="1:46" ht="15.1" customHeight="1">
      <c r="A50" s="8"/>
      <c r="B50" s="9"/>
      <c r="C50" s="8"/>
      <c r="D50" s="9"/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11" t="s">
        <v>2089</v>
      </c>
    </row>
    <row r="51" spans="1:46" ht="15.1" customHeight="1">
      <c r="A51" s="8">
        <v>16</v>
      </c>
      <c r="B51" s="9" t="s">
        <v>2120</v>
      </c>
      <c r="C51" s="8" t="s">
        <v>2121</v>
      </c>
      <c r="D51" s="9" t="s">
        <v>451</v>
      </c>
      <c r="E51" s="8" t="s">
        <v>54</v>
      </c>
      <c r="F51" s="8" t="s">
        <v>54</v>
      </c>
      <c r="G51" s="10" t="s">
        <v>67</v>
      </c>
      <c r="H51" s="8" t="s">
        <v>54</v>
      </c>
      <c r="I51" s="8" t="s">
        <v>54</v>
      </c>
      <c r="J51" s="8" t="s">
        <v>54</v>
      </c>
      <c r="K51" s="8" t="s">
        <v>54</v>
      </c>
      <c r="L51" s="8" t="s">
        <v>54</v>
      </c>
      <c r="M51" s="8" t="s">
        <v>54</v>
      </c>
      <c r="N51" s="10" t="s">
        <v>67</v>
      </c>
      <c r="O51" s="8" t="s">
        <v>54</v>
      </c>
      <c r="P51" s="8" t="s">
        <v>54</v>
      </c>
      <c r="Q51" s="8" t="s">
        <v>54</v>
      </c>
      <c r="R51" s="8" t="s">
        <v>54</v>
      </c>
      <c r="S51" s="8" t="s">
        <v>54</v>
      </c>
      <c r="T51" s="8" t="s">
        <v>54</v>
      </c>
      <c r="U51" s="10" t="s">
        <v>67</v>
      </c>
      <c r="V51" s="8" t="s">
        <v>54</v>
      </c>
      <c r="W51" s="8" t="s">
        <v>54</v>
      </c>
      <c r="X51" s="8" t="s">
        <v>54</v>
      </c>
      <c r="Y51" s="8" t="s">
        <v>54</v>
      </c>
      <c r="Z51" s="8" t="s">
        <v>54</v>
      </c>
      <c r="AA51" s="8" t="s">
        <v>54</v>
      </c>
      <c r="AB51" s="10" t="s">
        <v>67</v>
      </c>
      <c r="AC51" s="8" t="s">
        <v>54</v>
      </c>
      <c r="AD51" s="8" t="s">
        <v>54</v>
      </c>
      <c r="AE51" s="8" t="s">
        <v>54</v>
      </c>
      <c r="AF51" s="8" t="s">
        <v>54</v>
      </c>
      <c r="AG51" s="8" t="s">
        <v>54</v>
      </c>
      <c r="AH51" s="8" t="s">
        <v>54</v>
      </c>
      <c r="AI51" s="10" t="s">
        <v>67</v>
      </c>
      <c r="AJ51" s="8">
        <f>COUNTIF($E$51:$AI$51,"P")</f>
        <v>26</v>
      </c>
      <c r="AK51" s="8">
        <f>COUNTIF($E$51:$AI$51,"A")</f>
        <v>0</v>
      </c>
      <c r="AL51" s="8">
        <f>SUM($E$52:$AI$52)</f>
        <v>0</v>
      </c>
      <c r="AM51" s="8">
        <f>SUM($E$53:$AI$53)</f>
        <v>0</v>
      </c>
      <c r="AN51" s="8">
        <f>AL51+AM51</f>
        <v>0</v>
      </c>
      <c r="AO51" s="8">
        <f>COUNTIF($E$51:$AI$51,"CL")</f>
        <v>0</v>
      </c>
      <c r="AP51" s="8">
        <f>COUNTIF($E$51:$AI$51,"SL")</f>
        <v>0</v>
      </c>
      <c r="AQ51" s="8">
        <f>COUNTIF($E$51:$AI$51,"EL")</f>
        <v>0</v>
      </c>
      <c r="AR51" s="8">
        <f>COUNTIF($E$51:$AI$51,"H")</f>
        <v>0</v>
      </c>
      <c r="AS51" s="8"/>
      <c r="AT51" s="11" t="s">
        <v>2089</v>
      </c>
    </row>
    <row r="52" spans="1:46" ht="15.1" customHeight="1">
      <c r="A52" s="8"/>
      <c r="B52" s="9"/>
      <c r="C52" s="8"/>
      <c r="D52" s="9"/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11" t="s">
        <v>2089</v>
      </c>
    </row>
    <row r="53" spans="1:46" ht="15.1" customHeight="1">
      <c r="A53" s="8"/>
      <c r="B53" s="9"/>
      <c r="C53" s="8"/>
      <c r="D53" s="9"/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11" t="s">
        <v>2089</v>
      </c>
    </row>
    <row r="54" spans="1:46" ht="15.1" customHeight="1">
      <c r="A54" s="8">
        <v>17</v>
      </c>
      <c r="B54" s="9" t="s">
        <v>2122</v>
      </c>
      <c r="C54" s="8" t="s">
        <v>2123</v>
      </c>
      <c r="D54" s="9" t="s">
        <v>451</v>
      </c>
      <c r="E54" s="8" t="s">
        <v>54</v>
      </c>
      <c r="F54" s="8" t="s">
        <v>54</v>
      </c>
      <c r="G54" s="10" t="s">
        <v>67</v>
      </c>
      <c r="H54" s="8" t="s">
        <v>54</v>
      </c>
      <c r="I54" s="8" t="s">
        <v>54</v>
      </c>
      <c r="J54" s="8" t="s">
        <v>54</v>
      </c>
      <c r="K54" s="8" t="s">
        <v>54</v>
      </c>
      <c r="L54" s="8" t="s">
        <v>54</v>
      </c>
      <c r="M54" s="8" t="s">
        <v>54</v>
      </c>
      <c r="N54" s="10" t="s">
        <v>67</v>
      </c>
      <c r="O54" s="8" t="s">
        <v>54</v>
      </c>
      <c r="P54" s="8" t="s">
        <v>54</v>
      </c>
      <c r="Q54" s="8" t="s">
        <v>54</v>
      </c>
      <c r="R54" s="8" t="s">
        <v>54</v>
      </c>
      <c r="S54" s="8" t="s">
        <v>54</v>
      </c>
      <c r="T54" s="8" t="s">
        <v>54</v>
      </c>
      <c r="U54" s="10" t="s">
        <v>67</v>
      </c>
      <c r="V54" s="8" t="s">
        <v>54</v>
      </c>
      <c r="W54" s="8" t="s">
        <v>54</v>
      </c>
      <c r="X54" s="8" t="s">
        <v>54</v>
      </c>
      <c r="Y54" s="8" t="s">
        <v>54</v>
      </c>
      <c r="Z54" s="8" t="s">
        <v>54</v>
      </c>
      <c r="AA54" s="8" t="s">
        <v>54</v>
      </c>
      <c r="AB54" s="10" t="s">
        <v>67</v>
      </c>
      <c r="AC54" s="8" t="s">
        <v>54</v>
      </c>
      <c r="AD54" s="8" t="s">
        <v>54</v>
      </c>
      <c r="AE54" s="8" t="s">
        <v>54</v>
      </c>
      <c r="AF54" s="8" t="s">
        <v>54</v>
      </c>
      <c r="AG54" s="8" t="s">
        <v>54</v>
      </c>
      <c r="AH54" s="8" t="s">
        <v>54</v>
      </c>
      <c r="AI54" s="10" t="s">
        <v>67</v>
      </c>
      <c r="AJ54" s="8">
        <f>COUNTIF($E$54:$AI$54,"P")</f>
        <v>26</v>
      </c>
      <c r="AK54" s="8">
        <f>COUNTIF($E$54:$AI$54,"A")</f>
        <v>0</v>
      </c>
      <c r="AL54" s="8">
        <f>SUM($E$55:$AI$55)</f>
        <v>0</v>
      </c>
      <c r="AM54" s="8">
        <f>SUM($E$56:$AI$56)</f>
        <v>0</v>
      </c>
      <c r="AN54" s="8">
        <f>AL54+AM54</f>
        <v>0</v>
      </c>
      <c r="AO54" s="8">
        <f>COUNTIF($E$54:$AI$54,"CL")</f>
        <v>0</v>
      </c>
      <c r="AP54" s="8">
        <f>COUNTIF($E$54:$AI$54,"SL")</f>
        <v>0</v>
      </c>
      <c r="AQ54" s="8">
        <f>COUNTIF($E$54:$AI$54,"EL")</f>
        <v>0</v>
      </c>
      <c r="AR54" s="8">
        <f>COUNTIF($E$54:$AI$54,"H")</f>
        <v>0</v>
      </c>
      <c r="AS54" s="8"/>
      <c r="AT54" s="11" t="s">
        <v>2089</v>
      </c>
    </row>
    <row r="55" spans="1:46" ht="15.1" customHeight="1">
      <c r="A55" s="8"/>
      <c r="B55" s="9"/>
      <c r="C55" s="8"/>
      <c r="D55" s="9"/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11" t="s">
        <v>2089</v>
      </c>
    </row>
    <row r="56" spans="1:46" ht="15.1" customHeight="1">
      <c r="A56" s="8"/>
      <c r="B56" s="9"/>
      <c r="C56" s="8"/>
      <c r="D56" s="9"/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11" t="s">
        <v>2089</v>
      </c>
    </row>
    <row r="57" spans="1:46" ht="15.1" customHeight="1">
      <c r="A57" s="8">
        <v>18</v>
      </c>
      <c r="B57" s="9" t="s">
        <v>2124</v>
      </c>
      <c r="C57" s="8" t="s">
        <v>2125</v>
      </c>
      <c r="D57" s="9" t="s">
        <v>451</v>
      </c>
      <c r="E57" s="8" t="s">
        <v>54</v>
      </c>
      <c r="F57" s="8" t="s">
        <v>54</v>
      </c>
      <c r="G57" s="10" t="s">
        <v>67</v>
      </c>
      <c r="H57" s="8" t="s">
        <v>54</v>
      </c>
      <c r="I57" s="8" t="s">
        <v>54</v>
      </c>
      <c r="J57" s="8" t="s">
        <v>54</v>
      </c>
      <c r="K57" s="8" t="s">
        <v>54</v>
      </c>
      <c r="L57" s="8" t="s">
        <v>54</v>
      </c>
      <c r="M57" s="8" t="s">
        <v>54</v>
      </c>
      <c r="N57" s="10" t="s">
        <v>67</v>
      </c>
      <c r="O57" s="8" t="s">
        <v>54</v>
      </c>
      <c r="P57" s="8" t="s">
        <v>54</v>
      </c>
      <c r="Q57" s="12" t="s">
        <v>55</v>
      </c>
      <c r="R57" s="8" t="s">
        <v>54</v>
      </c>
      <c r="S57" s="8" t="s">
        <v>54</v>
      </c>
      <c r="T57" s="8" t="s">
        <v>54</v>
      </c>
      <c r="U57" s="10" t="s">
        <v>67</v>
      </c>
      <c r="V57" s="8" t="s">
        <v>54</v>
      </c>
      <c r="W57" s="8" t="s">
        <v>54</v>
      </c>
      <c r="X57" s="8" t="s">
        <v>54</v>
      </c>
      <c r="Y57" s="8" t="s">
        <v>54</v>
      </c>
      <c r="Z57" s="8" t="s">
        <v>54</v>
      </c>
      <c r="AA57" s="8" t="s">
        <v>54</v>
      </c>
      <c r="AB57" s="10" t="s">
        <v>67</v>
      </c>
      <c r="AC57" s="8" t="s">
        <v>54</v>
      </c>
      <c r="AD57" s="8" t="s">
        <v>54</v>
      </c>
      <c r="AE57" s="8" t="s">
        <v>54</v>
      </c>
      <c r="AF57" s="8" t="s">
        <v>54</v>
      </c>
      <c r="AG57" s="8" t="s">
        <v>54</v>
      </c>
      <c r="AH57" s="8" t="s">
        <v>54</v>
      </c>
      <c r="AI57" s="10" t="s">
        <v>67</v>
      </c>
      <c r="AJ57" s="8">
        <f>COUNTIF($E$57:$AI$57,"P")</f>
        <v>25</v>
      </c>
      <c r="AK57" s="8">
        <f>COUNTIF($E$57:$AI$57,"A")</f>
        <v>1</v>
      </c>
      <c r="AL57" s="8">
        <f>SUM($E$58:$AI$58)</f>
        <v>0</v>
      </c>
      <c r="AM57" s="8">
        <f>SUM($E$59:$AI$59)</f>
        <v>0</v>
      </c>
      <c r="AN57" s="8">
        <f>AL57+AM57</f>
        <v>0</v>
      </c>
      <c r="AO57" s="8">
        <f>COUNTIF($E$57:$AI$57,"CL")</f>
        <v>0</v>
      </c>
      <c r="AP57" s="8">
        <f>COUNTIF($E$57:$AI$57,"SL")</f>
        <v>0</v>
      </c>
      <c r="AQ57" s="8">
        <f>COUNTIF($E$57:$AI$57,"EL")</f>
        <v>0</v>
      </c>
      <c r="AR57" s="8">
        <f>COUNTIF($E$57:$AI$57,"H")</f>
        <v>0</v>
      </c>
      <c r="AS57" s="8"/>
      <c r="AT57" s="11" t="s">
        <v>2089</v>
      </c>
    </row>
    <row r="58" spans="1:46" ht="15.1" customHeight="1">
      <c r="A58" s="8"/>
      <c r="B58" s="9"/>
      <c r="C58" s="8"/>
      <c r="D58" s="9"/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11" t="s">
        <v>2089</v>
      </c>
    </row>
    <row r="59" spans="1:46" ht="15.1" customHeight="1">
      <c r="A59" s="8"/>
      <c r="B59" s="9"/>
      <c r="C59" s="8"/>
      <c r="D59" s="9"/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11" t="s">
        <v>2089</v>
      </c>
    </row>
    <row r="60" spans="1:46" ht="15.1" customHeight="1">
      <c r="A60" s="8">
        <v>19</v>
      </c>
      <c r="B60" s="9" t="s">
        <v>2126</v>
      </c>
      <c r="C60" s="8" t="s">
        <v>2127</v>
      </c>
      <c r="D60" s="9" t="s">
        <v>451</v>
      </c>
      <c r="E60" s="8" t="s">
        <v>54</v>
      </c>
      <c r="F60" s="8" t="s">
        <v>54</v>
      </c>
      <c r="G60" s="10" t="s">
        <v>67</v>
      </c>
      <c r="H60" s="8" t="s">
        <v>54</v>
      </c>
      <c r="I60" s="8" t="s">
        <v>54</v>
      </c>
      <c r="J60" s="12" t="s">
        <v>55</v>
      </c>
      <c r="K60" s="12" t="s">
        <v>55</v>
      </c>
      <c r="L60" s="8" t="s">
        <v>54</v>
      </c>
      <c r="M60" s="8" t="s">
        <v>54</v>
      </c>
      <c r="N60" s="10" t="s">
        <v>67</v>
      </c>
      <c r="O60" s="8" t="s">
        <v>54</v>
      </c>
      <c r="P60" s="8" t="s">
        <v>54</v>
      </c>
      <c r="Q60" s="8" t="s">
        <v>54</v>
      </c>
      <c r="R60" s="8" t="s">
        <v>54</v>
      </c>
      <c r="S60" s="8" t="s">
        <v>54</v>
      </c>
      <c r="T60" s="8" t="s">
        <v>54</v>
      </c>
      <c r="U60" s="10" t="s">
        <v>67</v>
      </c>
      <c r="V60" s="8" t="s">
        <v>54</v>
      </c>
      <c r="W60" s="12" t="s">
        <v>55</v>
      </c>
      <c r="X60" s="8" t="s">
        <v>54</v>
      </c>
      <c r="Y60" s="12" t="s">
        <v>55</v>
      </c>
      <c r="Z60" s="8" t="s">
        <v>54</v>
      </c>
      <c r="AA60" s="12" t="s">
        <v>55</v>
      </c>
      <c r="AB60" s="10" t="s">
        <v>67</v>
      </c>
      <c r="AC60" s="8" t="s">
        <v>54</v>
      </c>
      <c r="AD60" s="8" t="s">
        <v>54</v>
      </c>
      <c r="AE60" s="8" t="s">
        <v>54</v>
      </c>
      <c r="AF60" s="8" t="s">
        <v>54</v>
      </c>
      <c r="AG60" s="8" t="s">
        <v>54</v>
      </c>
      <c r="AH60" s="8" t="s">
        <v>54</v>
      </c>
      <c r="AI60" s="10" t="s">
        <v>67</v>
      </c>
      <c r="AJ60" s="8">
        <f>COUNTIF($E$60:$AI$60,"P")</f>
        <v>21</v>
      </c>
      <c r="AK60" s="8">
        <f>COUNTIF($E$60:$AI$60,"A")</f>
        <v>5</v>
      </c>
      <c r="AL60" s="8">
        <f>SUM($E$61:$AI$61)</f>
        <v>0</v>
      </c>
      <c r="AM60" s="8">
        <f>SUM($E$62:$AI$62)</f>
        <v>0</v>
      </c>
      <c r="AN60" s="8">
        <f>AL60+AM60</f>
        <v>0</v>
      </c>
      <c r="AO60" s="8">
        <f>COUNTIF($E$60:$AI$60,"CL")</f>
        <v>0</v>
      </c>
      <c r="AP60" s="8">
        <f>COUNTIF($E$60:$AI$60,"SL")</f>
        <v>0</v>
      </c>
      <c r="AQ60" s="8">
        <f>COUNTIF($E$60:$AI$60,"EL")</f>
        <v>0</v>
      </c>
      <c r="AR60" s="8">
        <f>COUNTIF($E$60:$AI$60,"H")</f>
        <v>0</v>
      </c>
      <c r="AS60" s="8"/>
      <c r="AT60" s="11" t="s">
        <v>2089</v>
      </c>
    </row>
    <row r="61" spans="1:46" ht="15.1" customHeight="1">
      <c r="A61" s="8"/>
      <c r="B61" s="9"/>
      <c r="C61" s="8"/>
      <c r="D61" s="9"/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11" t="s">
        <v>2089</v>
      </c>
    </row>
    <row r="62" spans="1:46" ht="15.1" customHeight="1">
      <c r="A62" s="8"/>
      <c r="B62" s="9"/>
      <c r="C62" s="8"/>
      <c r="D62" s="9"/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11" t="s">
        <v>2089</v>
      </c>
    </row>
    <row r="63" spans="1:46" ht="15.1" customHeight="1">
      <c r="A63" s="8">
        <v>20</v>
      </c>
      <c r="B63" s="9" t="s">
        <v>1036</v>
      </c>
      <c r="C63" s="8" t="s">
        <v>2128</v>
      </c>
      <c r="D63" s="9" t="s">
        <v>451</v>
      </c>
      <c r="E63" s="8" t="s">
        <v>54</v>
      </c>
      <c r="F63" s="8" t="s">
        <v>54</v>
      </c>
      <c r="G63" s="10" t="s">
        <v>67</v>
      </c>
      <c r="H63" s="8" t="s">
        <v>54</v>
      </c>
      <c r="I63" s="8" t="s">
        <v>54</v>
      </c>
      <c r="J63" s="8" t="s">
        <v>54</v>
      </c>
      <c r="K63" s="12" t="s">
        <v>55</v>
      </c>
      <c r="L63" s="12" t="s">
        <v>55</v>
      </c>
      <c r="M63" s="12" t="s">
        <v>55</v>
      </c>
      <c r="N63" s="10" t="s">
        <v>67</v>
      </c>
      <c r="O63" s="8" t="s">
        <v>54</v>
      </c>
      <c r="P63" s="8" t="s">
        <v>54</v>
      </c>
      <c r="Q63" s="8" t="s">
        <v>54</v>
      </c>
      <c r="R63" s="8" t="s">
        <v>54</v>
      </c>
      <c r="S63" s="8" t="s">
        <v>54</v>
      </c>
      <c r="T63" s="8" t="s">
        <v>54</v>
      </c>
      <c r="U63" s="10" t="s">
        <v>67</v>
      </c>
      <c r="V63" s="8" t="s">
        <v>54</v>
      </c>
      <c r="W63" s="8" t="s">
        <v>54</v>
      </c>
      <c r="X63" s="8" t="s">
        <v>54</v>
      </c>
      <c r="Y63" s="8" t="s">
        <v>54</v>
      </c>
      <c r="Z63" s="8" t="s">
        <v>54</v>
      </c>
      <c r="AA63" s="8" t="s">
        <v>54</v>
      </c>
      <c r="AB63" s="10" t="s">
        <v>67</v>
      </c>
      <c r="AC63" s="8" t="s">
        <v>54</v>
      </c>
      <c r="AD63" s="8" t="s">
        <v>54</v>
      </c>
      <c r="AE63" s="8" t="s">
        <v>54</v>
      </c>
      <c r="AF63" s="8" t="s">
        <v>54</v>
      </c>
      <c r="AG63" s="8" t="s">
        <v>54</v>
      </c>
      <c r="AH63" s="8" t="s">
        <v>54</v>
      </c>
      <c r="AI63" s="10" t="s">
        <v>67</v>
      </c>
      <c r="AJ63" s="8">
        <f>COUNTIF($E$63:$AI$63,"P")</f>
        <v>23</v>
      </c>
      <c r="AK63" s="8">
        <f>COUNTIF($E$63:$AI$63,"A")</f>
        <v>3</v>
      </c>
      <c r="AL63" s="8">
        <f>SUM($E$64:$AI$64)</f>
        <v>0</v>
      </c>
      <c r="AM63" s="8">
        <f>SUM($E$65:$AI$65)</f>
        <v>0</v>
      </c>
      <c r="AN63" s="8">
        <f>AL63+AM63</f>
        <v>0</v>
      </c>
      <c r="AO63" s="8">
        <f>COUNTIF($E$63:$AI$63,"CL")</f>
        <v>0</v>
      </c>
      <c r="AP63" s="8">
        <f>COUNTIF($E$63:$AI$63,"SL")</f>
        <v>0</v>
      </c>
      <c r="AQ63" s="8">
        <f>COUNTIF($E$63:$AI$63,"EL")</f>
        <v>0</v>
      </c>
      <c r="AR63" s="8">
        <f>COUNTIF($E$63:$AI$63,"H")</f>
        <v>0</v>
      </c>
      <c r="AS63" s="8"/>
      <c r="AT63" s="11" t="s">
        <v>2089</v>
      </c>
    </row>
    <row r="64" spans="1:46" ht="15.1" customHeight="1">
      <c r="A64" s="8"/>
      <c r="B64" s="9"/>
      <c r="C64" s="8"/>
      <c r="D64" s="9"/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11" t="s">
        <v>2089</v>
      </c>
    </row>
    <row r="65" spans="1:46" ht="15.1" customHeight="1">
      <c r="A65" s="8"/>
      <c r="B65" s="9"/>
      <c r="C65" s="8"/>
      <c r="D65" s="9"/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11" t="s">
        <v>2089</v>
      </c>
    </row>
    <row r="66" spans="1:46" ht="15.1" customHeight="1">
      <c r="A66" s="8">
        <v>21</v>
      </c>
      <c r="B66" s="9" t="s">
        <v>2129</v>
      </c>
      <c r="C66" s="8" t="s">
        <v>2130</v>
      </c>
      <c r="D66" s="9" t="s">
        <v>451</v>
      </c>
      <c r="E66" s="8" t="s">
        <v>54</v>
      </c>
      <c r="F66" s="8" t="s">
        <v>54</v>
      </c>
      <c r="G66" s="10" t="s">
        <v>67</v>
      </c>
      <c r="H66" s="8" t="s">
        <v>54</v>
      </c>
      <c r="I66" s="8" t="s">
        <v>54</v>
      </c>
      <c r="J66" s="8" t="s">
        <v>54</v>
      </c>
      <c r="K66" s="8" t="s">
        <v>54</v>
      </c>
      <c r="L66" s="8" t="s">
        <v>54</v>
      </c>
      <c r="M66" s="8" t="s">
        <v>54</v>
      </c>
      <c r="N66" s="10" t="s">
        <v>67</v>
      </c>
      <c r="O66" s="8" t="s">
        <v>54</v>
      </c>
      <c r="P66" s="8" t="s">
        <v>54</v>
      </c>
      <c r="Q66" s="8" t="s">
        <v>54</v>
      </c>
      <c r="R66" s="8" t="s">
        <v>54</v>
      </c>
      <c r="S66" s="8" t="s">
        <v>54</v>
      </c>
      <c r="T66" s="8" t="s">
        <v>54</v>
      </c>
      <c r="U66" s="10" t="s">
        <v>67</v>
      </c>
      <c r="V66" s="8" t="s">
        <v>54</v>
      </c>
      <c r="W66" s="8" t="s">
        <v>54</v>
      </c>
      <c r="X66" s="8" t="s">
        <v>54</v>
      </c>
      <c r="Y66" s="8" t="s">
        <v>54</v>
      </c>
      <c r="Z66" s="12" t="s">
        <v>55</v>
      </c>
      <c r="AA66" s="12" t="s">
        <v>55</v>
      </c>
      <c r="AB66" s="10" t="s">
        <v>67</v>
      </c>
      <c r="AC66" s="12" t="s">
        <v>55</v>
      </c>
      <c r="AD66" s="8" t="s">
        <v>54</v>
      </c>
      <c r="AE66" s="8" t="s">
        <v>54</v>
      </c>
      <c r="AF66" s="8" t="s">
        <v>54</v>
      </c>
      <c r="AG66" s="12" t="s">
        <v>55</v>
      </c>
      <c r="AH66" s="12" t="s">
        <v>55</v>
      </c>
      <c r="AI66" s="10" t="s">
        <v>67</v>
      </c>
      <c r="AJ66" s="8">
        <f>COUNTIF($E$66:$AI$66,"P")</f>
        <v>21</v>
      </c>
      <c r="AK66" s="8">
        <f>COUNTIF($E$66:$AI$66,"A")</f>
        <v>5</v>
      </c>
      <c r="AL66" s="8">
        <f>SUM($E$67:$AI$67)</f>
        <v>0</v>
      </c>
      <c r="AM66" s="8">
        <f>SUM($E$68:$AI$68)</f>
        <v>0</v>
      </c>
      <c r="AN66" s="8">
        <f>AL66+AM66</f>
        <v>0</v>
      </c>
      <c r="AO66" s="8">
        <f>COUNTIF($E$66:$AI$66,"CL")</f>
        <v>0</v>
      </c>
      <c r="AP66" s="8">
        <f>COUNTIF($E$66:$AI$66,"SL")</f>
        <v>0</v>
      </c>
      <c r="AQ66" s="8">
        <f>COUNTIF($E$66:$AI$66,"EL")</f>
        <v>0</v>
      </c>
      <c r="AR66" s="8">
        <f>COUNTIF($E$66:$AI$66,"H")</f>
        <v>0</v>
      </c>
      <c r="AS66" s="8"/>
      <c r="AT66" s="11" t="s">
        <v>2089</v>
      </c>
    </row>
    <row r="67" spans="1:46" ht="15.1" customHeight="1">
      <c r="A67" s="8"/>
      <c r="B67" s="9"/>
      <c r="C67" s="8"/>
      <c r="D67" s="9"/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11" t="s">
        <v>2089</v>
      </c>
    </row>
    <row r="68" spans="1:46" ht="15.1" customHeight="1">
      <c r="A68" s="8"/>
      <c r="B68" s="9"/>
      <c r="C68" s="8"/>
      <c r="D68" s="9"/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11" t="s">
        <v>2089</v>
      </c>
    </row>
    <row r="69" spans="1:46" ht="15.1" customHeight="1">
      <c r="A69" s="8">
        <v>22</v>
      </c>
      <c r="B69" s="9" t="s">
        <v>2131</v>
      </c>
      <c r="C69" s="8" t="s">
        <v>2132</v>
      </c>
      <c r="D69" s="9" t="s">
        <v>451</v>
      </c>
      <c r="E69" s="8" t="s">
        <v>54</v>
      </c>
      <c r="F69" s="8" t="s">
        <v>54</v>
      </c>
      <c r="G69" s="10" t="s">
        <v>67</v>
      </c>
      <c r="H69" s="8" t="s">
        <v>54</v>
      </c>
      <c r="I69" s="8" t="s">
        <v>54</v>
      </c>
      <c r="J69" s="12" t="s">
        <v>55</v>
      </c>
      <c r="K69" s="8" t="s">
        <v>54</v>
      </c>
      <c r="L69" s="8" t="s">
        <v>54</v>
      </c>
      <c r="M69" s="8" t="s">
        <v>54</v>
      </c>
      <c r="N69" s="10" t="s">
        <v>67</v>
      </c>
      <c r="O69" s="8" t="s">
        <v>54</v>
      </c>
      <c r="P69" s="12" t="s">
        <v>55</v>
      </c>
      <c r="Q69" s="8" t="s">
        <v>54</v>
      </c>
      <c r="R69" s="8" t="s">
        <v>54</v>
      </c>
      <c r="S69" s="8" t="s">
        <v>54</v>
      </c>
      <c r="T69" s="8" t="s">
        <v>54</v>
      </c>
      <c r="U69" s="10" t="s">
        <v>67</v>
      </c>
      <c r="V69" s="8" t="s">
        <v>54</v>
      </c>
      <c r="W69" s="8" t="s">
        <v>54</v>
      </c>
      <c r="X69" s="8" t="s">
        <v>54</v>
      </c>
      <c r="Y69" s="8" t="s">
        <v>54</v>
      </c>
      <c r="Z69" s="8" t="s">
        <v>54</v>
      </c>
      <c r="AA69" s="8" t="s">
        <v>54</v>
      </c>
      <c r="AB69" s="10" t="s">
        <v>67</v>
      </c>
      <c r="AC69" s="8" t="s">
        <v>54</v>
      </c>
      <c r="AD69" s="8" t="s">
        <v>54</v>
      </c>
      <c r="AE69" s="8" t="s">
        <v>54</v>
      </c>
      <c r="AF69" s="8" t="s">
        <v>54</v>
      </c>
      <c r="AG69" s="8" t="s">
        <v>54</v>
      </c>
      <c r="AH69" s="8" t="s">
        <v>54</v>
      </c>
      <c r="AI69" s="10" t="s">
        <v>67</v>
      </c>
      <c r="AJ69" s="8">
        <f>COUNTIF($E$69:$AI$69,"P")</f>
        <v>24</v>
      </c>
      <c r="AK69" s="8">
        <f>COUNTIF($E$69:$AI$69,"A")</f>
        <v>2</v>
      </c>
      <c r="AL69" s="8">
        <f>SUM($E$70:$AI$70)</f>
        <v>0</v>
      </c>
      <c r="AM69" s="8">
        <f>SUM($E$71:$AI$71)</f>
        <v>0</v>
      </c>
      <c r="AN69" s="8">
        <f>AL69+AM69</f>
        <v>0</v>
      </c>
      <c r="AO69" s="8">
        <f>COUNTIF($E$69:$AI$69,"CL")</f>
        <v>0</v>
      </c>
      <c r="AP69" s="8">
        <f>COUNTIF($E$69:$AI$69,"SL")</f>
        <v>0</v>
      </c>
      <c r="AQ69" s="8">
        <f>COUNTIF($E$69:$AI$69,"EL")</f>
        <v>0</v>
      </c>
      <c r="AR69" s="8">
        <f>COUNTIF($E$69:$AI$69,"H")</f>
        <v>0</v>
      </c>
      <c r="AS69" s="8"/>
      <c r="AT69" s="11" t="s">
        <v>2089</v>
      </c>
    </row>
    <row r="70" spans="1:46" ht="15.1" customHeight="1">
      <c r="A70" s="8"/>
      <c r="B70" s="9"/>
      <c r="C70" s="8"/>
      <c r="D70" s="9"/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11" t="s">
        <v>2089</v>
      </c>
    </row>
    <row r="71" spans="1:46" ht="15.1" customHeight="1">
      <c r="A71" s="8"/>
      <c r="B71" s="9"/>
      <c r="C71" s="8"/>
      <c r="D71" s="9"/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11" t="s">
        <v>2089</v>
      </c>
    </row>
    <row r="72" spans="1:46" ht="15.1" customHeight="1">
      <c r="A72" s="8">
        <v>23</v>
      </c>
      <c r="B72" s="9" t="s">
        <v>2133</v>
      </c>
      <c r="C72" s="8" t="s">
        <v>2134</v>
      </c>
      <c r="D72" s="9" t="s">
        <v>451</v>
      </c>
      <c r="E72" s="8" t="s">
        <v>54</v>
      </c>
      <c r="F72" s="8" t="s">
        <v>54</v>
      </c>
      <c r="G72" s="10" t="s">
        <v>67</v>
      </c>
      <c r="H72" s="8" t="s">
        <v>54</v>
      </c>
      <c r="I72" s="8" t="s">
        <v>54</v>
      </c>
      <c r="J72" s="8" t="s">
        <v>54</v>
      </c>
      <c r="K72" s="8" t="s">
        <v>54</v>
      </c>
      <c r="L72" s="8" t="s">
        <v>54</v>
      </c>
      <c r="M72" s="8" t="s">
        <v>54</v>
      </c>
      <c r="N72" s="10" t="s">
        <v>67</v>
      </c>
      <c r="O72" s="8" t="s">
        <v>54</v>
      </c>
      <c r="P72" s="8" t="s">
        <v>54</v>
      </c>
      <c r="Q72" s="8" t="s">
        <v>54</v>
      </c>
      <c r="R72" s="8" t="s">
        <v>54</v>
      </c>
      <c r="S72" s="8" t="s">
        <v>54</v>
      </c>
      <c r="T72" s="8" t="s">
        <v>54</v>
      </c>
      <c r="U72" s="10" t="s">
        <v>67</v>
      </c>
      <c r="V72" s="8" t="s">
        <v>54</v>
      </c>
      <c r="W72" s="8" t="s">
        <v>54</v>
      </c>
      <c r="X72" s="8" t="s">
        <v>54</v>
      </c>
      <c r="Y72" s="8" t="s">
        <v>54</v>
      </c>
      <c r="Z72" s="8" t="s">
        <v>54</v>
      </c>
      <c r="AA72" s="8" t="s">
        <v>54</v>
      </c>
      <c r="AB72" s="10" t="s">
        <v>67</v>
      </c>
      <c r="AC72" s="12" t="s">
        <v>55</v>
      </c>
      <c r="AD72" s="8" t="s">
        <v>54</v>
      </c>
      <c r="AE72" s="8" t="s">
        <v>54</v>
      </c>
      <c r="AF72" s="8" t="s">
        <v>54</v>
      </c>
      <c r="AG72" s="8" t="s">
        <v>54</v>
      </c>
      <c r="AH72" s="8" t="s">
        <v>54</v>
      </c>
      <c r="AI72" s="10" t="s">
        <v>67</v>
      </c>
      <c r="AJ72" s="8">
        <f>COUNTIF($E$72:$AI$72,"P")</f>
        <v>25</v>
      </c>
      <c r="AK72" s="8">
        <f>COUNTIF($E$72:$AI$72,"A")</f>
        <v>1</v>
      </c>
      <c r="AL72" s="8">
        <f>SUM($E$73:$AI$73)</f>
        <v>0</v>
      </c>
      <c r="AM72" s="8">
        <f>SUM($E$74:$AI$74)</f>
        <v>0</v>
      </c>
      <c r="AN72" s="8">
        <f>AL72+AM72</f>
        <v>0</v>
      </c>
      <c r="AO72" s="8">
        <f>COUNTIF($E$72:$AI$72,"CL")</f>
        <v>0</v>
      </c>
      <c r="AP72" s="8">
        <f>COUNTIF($E$72:$AI$72,"SL")</f>
        <v>0</v>
      </c>
      <c r="AQ72" s="8">
        <f>COUNTIF($E$72:$AI$72,"EL")</f>
        <v>0</v>
      </c>
      <c r="AR72" s="8">
        <f>COUNTIF($E$72:$AI$72,"H")</f>
        <v>0</v>
      </c>
      <c r="AS72" s="8"/>
      <c r="AT72" s="11" t="s">
        <v>2089</v>
      </c>
    </row>
    <row r="73" spans="1:46" ht="15.1" customHeight="1">
      <c r="A73" s="8"/>
      <c r="B73" s="9"/>
      <c r="C73" s="8"/>
      <c r="D73" s="9"/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11" t="s">
        <v>2089</v>
      </c>
    </row>
    <row r="74" spans="1:46" ht="15.1" customHeight="1">
      <c r="A74" s="8"/>
      <c r="B74" s="9"/>
      <c r="C74" s="8"/>
      <c r="D74" s="9"/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11" t="s">
        <v>2089</v>
      </c>
    </row>
    <row r="75" spans="1:46" ht="15.1" customHeight="1">
      <c r="A75" s="8">
        <v>24</v>
      </c>
      <c r="B75" s="9" t="s">
        <v>2135</v>
      </c>
      <c r="C75" s="8" t="s">
        <v>2136</v>
      </c>
      <c r="D75" s="9" t="s">
        <v>451</v>
      </c>
      <c r="E75" s="8" t="s">
        <v>54</v>
      </c>
      <c r="F75" s="8" t="s">
        <v>54</v>
      </c>
      <c r="G75" s="10" t="s">
        <v>67</v>
      </c>
      <c r="H75" s="8" t="s">
        <v>54</v>
      </c>
      <c r="I75" s="8" t="s">
        <v>54</v>
      </c>
      <c r="J75" s="8" t="s">
        <v>54</v>
      </c>
      <c r="K75" s="8" t="s">
        <v>54</v>
      </c>
      <c r="L75" s="8" t="s">
        <v>54</v>
      </c>
      <c r="M75" s="8" t="s">
        <v>54</v>
      </c>
      <c r="N75" s="10" t="s">
        <v>67</v>
      </c>
      <c r="O75" s="8" t="s">
        <v>54</v>
      </c>
      <c r="P75" s="12" t="s">
        <v>55</v>
      </c>
      <c r="Q75" s="8" t="s">
        <v>54</v>
      </c>
      <c r="R75" s="8" t="s">
        <v>54</v>
      </c>
      <c r="S75" s="8" t="s">
        <v>54</v>
      </c>
      <c r="T75" s="8" t="s">
        <v>54</v>
      </c>
      <c r="U75" s="10" t="s">
        <v>67</v>
      </c>
      <c r="V75" s="12" t="s">
        <v>55</v>
      </c>
      <c r="W75" s="8" t="s">
        <v>54</v>
      </c>
      <c r="X75" s="8" t="s">
        <v>54</v>
      </c>
      <c r="Y75" s="8" t="s">
        <v>54</v>
      </c>
      <c r="Z75" s="8" t="s">
        <v>54</v>
      </c>
      <c r="AA75" s="8" t="s">
        <v>54</v>
      </c>
      <c r="AB75" s="10" t="s">
        <v>67</v>
      </c>
      <c r="AC75" s="12" t="s">
        <v>55</v>
      </c>
      <c r="AD75" s="8" t="s">
        <v>54</v>
      </c>
      <c r="AE75" s="8" t="s">
        <v>54</v>
      </c>
      <c r="AF75" s="8" t="s">
        <v>54</v>
      </c>
      <c r="AG75" s="8" t="s">
        <v>54</v>
      </c>
      <c r="AH75" s="12" t="s">
        <v>55</v>
      </c>
      <c r="AI75" s="10" t="s">
        <v>67</v>
      </c>
      <c r="AJ75" s="8">
        <f>COUNTIF($E$75:$AI$75,"P")</f>
        <v>22</v>
      </c>
      <c r="AK75" s="8">
        <f>COUNTIF($E$75:$AI$75,"A")</f>
        <v>4</v>
      </c>
      <c r="AL75" s="8">
        <f>SUM($E$76:$AI$76)</f>
        <v>0</v>
      </c>
      <c r="AM75" s="8">
        <f>SUM($E$77:$AI$77)</f>
        <v>0</v>
      </c>
      <c r="AN75" s="8">
        <f>AL75+AM75</f>
        <v>0</v>
      </c>
      <c r="AO75" s="8">
        <f>COUNTIF($E$75:$AI$75,"CL")</f>
        <v>0</v>
      </c>
      <c r="AP75" s="8">
        <f>COUNTIF($E$75:$AI$75,"SL")</f>
        <v>0</v>
      </c>
      <c r="AQ75" s="8">
        <f>COUNTIF($E$75:$AI$75,"EL")</f>
        <v>0</v>
      </c>
      <c r="AR75" s="8">
        <f>COUNTIF($E$75:$AI$75,"H")</f>
        <v>0</v>
      </c>
      <c r="AS75" s="8"/>
      <c r="AT75" s="11" t="s">
        <v>2089</v>
      </c>
    </row>
    <row r="76" spans="1:46" ht="15.1" customHeight="1">
      <c r="A76" s="8"/>
      <c r="B76" s="9"/>
      <c r="C76" s="8"/>
      <c r="D76" s="9"/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11" t="s">
        <v>2089</v>
      </c>
    </row>
    <row r="77" spans="1:46" ht="15.1" customHeight="1">
      <c r="A77" s="8"/>
      <c r="B77" s="9"/>
      <c r="C77" s="8"/>
      <c r="D77" s="9"/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11" t="s">
        <v>2089</v>
      </c>
    </row>
    <row r="78" spans="1:46" ht="15.1" customHeight="1">
      <c r="A78" s="8">
        <v>25</v>
      </c>
      <c r="B78" s="9" t="s">
        <v>2137</v>
      </c>
      <c r="C78" s="8" t="s">
        <v>2138</v>
      </c>
      <c r="D78" s="9" t="s">
        <v>451</v>
      </c>
      <c r="E78" s="12" t="s">
        <v>55</v>
      </c>
      <c r="F78" s="8" t="s">
        <v>54</v>
      </c>
      <c r="G78" s="10" t="s">
        <v>67</v>
      </c>
      <c r="H78" s="8" t="s">
        <v>54</v>
      </c>
      <c r="I78" s="8" t="s">
        <v>54</v>
      </c>
      <c r="J78" s="12" t="s">
        <v>55</v>
      </c>
      <c r="K78" s="8" t="s">
        <v>54</v>
      </c>
      <c r="L78" s="8" t="s">
        <v>54</v>
      </c>
      <c r="M78" s="8" t="s">
        <v>54</v>
      </c>
      <c r="N78" s="10" t="s">
        <v>67</v>
      </c>
      <c r="O78" s="8" t="s">
        <v>54</v>
      </c>
      <c r="P78" s="8" t="s">
        <v>54</v>
      </c>
      <c r="Q78" s="8" t="s">
        <v>54</v>
      </c>
      <c r="R78" s="8" t="s">
        <v>54</v>
      </c>
      <c r="S78" s="8" t="s">
        <v>54</v>
      </c>
      <c r="T78" s="8" t="s">
        <v>54</v>
      </c>
      <c r="U78" s="10" t="s">
        <v>67</v>
      </c>
      <c r="V78" s="8" t="s">
        <v>54</v>
      </c>
      <c r="W78" s="12" t="s">
        <v>55</v>
      </c>
      <c r="X78" s="12" t="s">
        <v>55</v>
      </c>
      <c r="Y78" s="12" t="s">
        <v>55</v>
      </c>
      <c r="Z78" s="12" t="s">
        <v>55</v>
      </c>
      <c r="AA78" s="12" t="s">
        <v>55</v>
      </c>
      <c r="AB78" s="10" t="s">
        <v>67</v>
      </c>
      <c r="AC78" s="8" t="s">
        <v>54</v>
      </c>
      <c r="AD78" s="8" t="s">
        <v>54</v>
      </c>
      <c r="AE78" s="8" t="s">
        <v>54</v>
      </c>
      <c r="AF78" s="8" t="s">
        <v>54</v>
      </c>
      <c r="AG78" s="8" t="s">
        <v>54</v>
      </c>
      <c r="AH78" s="12" t="s">
        <v>55</v>
      </c>
      <c r="AI78" s="10" t="s">
        <v>67</v>
      </c>
      <c r="AJ78" s="8">
        <f>COUNTIF($E$78:$AI$78,"P")</f>
        <v>18</v>
      </c>
      <c r="AK78" s="8">
        <f>COUNTIF($E$78:$AI$78,"A")</f>
        <v>8</v>
      </c>
      <c r="AL78" s="8">
        <f>SUM($E$79:$AI$79)</f>
        <v>0</v>
      </c>
      <c r="AM78" s="8">
        <f>SUM($E$80:$AI$80)</f>
        <v>0</v>
      </c>
      <c r="AN78" s="8">
        <f>AL78+AM78</f>
        <v>0</v>
      </c>
      <c r="AO78" s="8">
        <f>COUNTIF($E$78:$AI$78,"CL")</f>
        <v>0</v>
      </c>
      <c r="AP78" s="8">
        <f>COUNTIF($E$78:$AI$78,"SL")</f>
        <v>0</v>
      </c>
      <c r="AQ78" s="8">
        <f>COUNTIF($E$78:$AI$78,"EL")</f>
        <v>0</v>
      </c>
      <c r="AR78" s="8">
        <f>COUNTIF($E$78:$AI$78,"H")</f>
        <v>0</v>
      </c>
      <c r="AS78" s="8"/>
      <c r="AT78" s="11" t="s">
        <v>2089</v>
      </c>
    </row>
    <row r="79" spans="1:46" ht="15.1" customHeight="1">
      <c r="A79" s="8"/>
      <c r="B79" s="9"/>
      <c r="C79" s="8"/>
      <c r="D79" s="9"/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11" t="s">
        <v>2089</v>
      </c>
    </row>
    <row r="80" spans="1:46" ht="15.1" customHeight="1">
      <c r="A80" s="8"/>
      <c r="B80" s="9"/>
      <c r="C80" s="8"/>
      <c r="D80" s="9"/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11" t="s">
        <v>2089</v>
      </c>
    </row>
    <row r="81" spans="1:46" ht="15.1" customHeight="1">
      <c r="A81" s="8">
        <v>26</v>
      </c>
      <c r="B81" s="9" t="s">
        <v>2139</v>
      </c>
      <c r="C81" s="8" t="s">
        <v>2140</v>
      </c>
      <c r="D81" s="9" t="s">
        <v>451</v>
      </c>
      <c r="E81" s="12" t="s">
        <v>55</v>
      </c>
      <c r="F81" s="12" t="s">
        <v>55</v>
      </c>
      <c r="G81" s="10" t="s">
        <v>67</v>
      </c>
      <c r="H81" s="8" t="s">
        <v>54</v>
      </c>
      <c r="I81" s="8" t="s">
        <v>54</v>
      </c>
      <c r="J81" s="8" t="s">
        <v>54</v>
      </c>
      <c r="K81" s="8" t="s">
        <v>54</v>
      </c>
      <c r="L81" s="8" t="s">
        <v>54</v>
      </c>
      <c r="M81" s="8" t="s">
        <v>54</v>
      </c>
      <c r="N81" s="10" t="s">
        <v>67</v>
      </c>
      <c r="O81" s="8" t="s">
        <v>54</v>
      </c>
      <c r="P81" s="8" t="s">
        <v>54</v>
      </c>
      <c r="Q81" s="8" t="s">
        <v>54</v>
      </c>
      <c r="R81" s="8" t="s">
        <v>54</v>
      </c>
      <c r="S81" s="8" t="s">
        <v>54</v>
      </c>
      <c r="T81" s="8" t="s">
        <v>54</v>
      </c>
      <c r="U81" s="10" t="s">
        <v>67</v>
      </c>
      <c r="V81" s="8" t="s">
        <v>54</v>
      </c>
      <c r="W81" s="8" t="s">
        <v>54</v>
      </c>
      <c r="X81" s="8" t="s">
        <v>54</v>
      </c>
      <c r="Y81" s="8" t="s">
        <v>54</v>
      </c>
      <c r="Z81" s="8" t="s">
        <v>54</v>
      </c>
      <c r="AA81" s="8" t="s">
        <v>54</v>
      </c>
      <c r="AB81" s="10" t="s">
        <v>67</v>
      </c>
      <c r="AC81" s="12" t="s">
        <v>55</v>
      </c>
      <c r="AD81" s="8" t="s">
        <v>54</v>
      </c>
      <c r="AE81" s="8" t="s">
        <v>54</v>
      </c>
      <c r="AF81" s="8" t="s">
        <v>54</v>
      </c>
      <c r="AG81" s="8" t="s">
        <v>54</v>
      </c>
      <c r="AH81" s="12" t="s">
        <v>55</v>
      </c>
      <c r="AI81" s="10" t="s">
        <v>67</v>
      </c>
      <c r="AJ81" s="8">
        <f>COUNTIF($E$81:$AI$81,"P")</f>
        <v>22</v>
      </c>
      <c r="AK81" s="8">
        <f>COUNTIF($E$81:$AI$81,"A")</f>
        <v>4</v>
      </c>
      <c r="AL81" s="8">
        <f>SUM($E$82:$AI$82)</f>
        <v>0</v>
      </c>
      <c r="AM81" s="8">
        <f>SUM($E$83:$AI$83)</f>
        <v>0</v>
      </c>
      <c r="AN81" s="8">
        <f>AL81+AM81</f>
        <v>0</v>
      </c>
      <c r="AO81" s="8">
        <f>COUNTIF($E$81:$AI$81,"CL")</f>
        <v>0</v>
      </c>
      <c r="AP81" s="8">
        <f>COUNTIF($E$81:$AI$81,"SL")</f>
        <v>0</v>
      </c>
      <c r="AQ81" s="8">
        <f>COUNTIF($E$81:$AI$81,"EL")</f>
        <v>0</v>
      </c>
      <c r="AR81" s="8">
        <f>COUNTIF($E$81:$AI$81,"H")</f>
        <v>0</v>
      </c>
      <c r="AS81" s="8"/>
      <c r="AT81" s="11" t="s">
        <v>2089</v>
      </c>
    </row>
    <row r="82" spans="1:46" ht="15.1" customHeight="1">
      <c r="A82" s="8"/>
      <c r="B82" s="9"/>
      <c r="C82" s="8"/>
      <c r="D82" s="9"/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11" t="s">
        <v>2089</v>
      </c>
    </row>
    <row r="83" spans="1:46" ht="15.1" customHeight="1">
      <c r="A83" s="8"/>
      <c r="B83" s="9"/>
      <c r="C83" s="8"/>
      <c r="D83" s="9"/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11" t="s">
        <v>2089</v>
      </c>
    </row>
    <row r="84" spans="1:46" ht="15.1" customHeight="1">
      <c r="A84" s="8">
        <v>27</v>
      </c>
      <c r="B84" s="9" t="s">
        <v>2141</v>
      </c>
      <c r="C84" s="8" t="s">
        <v>2142</v>
      </c>
      <c r="D84" s="9" t="s">
        <v>451</v>
      </c>
      <c r="E84" s="8" t="s">
        <v>54</v>
      </c>
      <c r="F84" s="8" t="s">
        <v>54</v>
      </c>
      <c r="G84" s="10" t="s">
        <v>67</v>
      </c>
      <c r="H84" s="8" t="s">
        <v>54</v>
      </c>
      <c r="I84" s="8" t="s">
        <v>54</v>
      </c>
      <c r="J84" s="8" t="s">
        <v>54</v>
      </c>
      <c r="K84" s="8" t="s">
        <v>54</v>
      </c>
      <c r="L84" s="8" t="s">
        <v>54</v>
      </c>
      <c r="M84" s="8" t="s">
        <v>54</v>
      </c>
      <c r="N84" s="10" t="s">
        <v>67</v>
      </c>
      <c r="O84" s="8" t="s">
        <v>54</v>
      </c>
      <c r="P84" s="8" t="s">
        <v>54</v>
      </c>
      <c r="Q84" s="8" t="s">
        <v>54</v>
      </c>
      <c r="R84" s="8" t="s">
        <v>54</v>
      </c>
      <c r="S84" s="8" t="s">
        <v>54</v>
      </c>
      <c r="T84" s="8" t="s">
        <v>54</v>
      </c>
      <c r="U84" s="10" t="s">
        <v>67</v>
      </c>
      <c r="V84" s="8" t="s">
        <v>54</v>
      </c>
      <c r="W84" s="8" t="s">
        <v>54</v>
      </c>
      <c r="X84" s="8" t="s">
        <v>54</v>
      </c>
      <c r="Y84" s="8" t="s">
        <v>54</v>
      </c>
      <c r="Z84" s="8" t="s">
        <v>54</v>
      </c>
      <c r="AA84" s="8" t="s">
        <v>54</v>
      </c>
      <c r="AB84" s="10" t="s">
        <v>67</v>
      </c>
      <c r="AC84" s="8" t="s">
        <v>54</v>
      </c>
      <c r="AD84" s="8" t="s">
        <v>54</v>
      </c>
      <c r="AE84" s="8" t="s">
        <v>54</v>
      </c>
      <c r="AF84" s="8" t="s">
        <v>54</v>
      </c>
      <c r="AG84" s="8" t="s">
        <v>54</v>
      </c>
      <c r="AH84" s="8" t="s">
        <v>54</v>
      </c>
      <c r="AI84" s="10" t="s">
        <v>67</v>
      </c>
      <c r="AJ84" s="8">
        <f>COUNTIF($E$84:$AI$84,"P")</f>
        <v>26</v>
      </c>
      <c r="AK84" s="8">
        <f>COUNTIF($E$84:$AI$84,"A")</f>
        <v>0</v>
      </c>
      <c r="AL84" s="8">
        <f>SUM($E$85:$AI$85)</f>
        <v>0</v>
      </c>
      <c r="AM84" s="8">
        <f>SUM($E$86:$AI$86)</f>
        <v>0</v>
      </c>
      <c r="AN84" s="8">
        <f>AL84+AM84</f>
        <v>0</v>
      </c>
      <c r="AO84" s="8">
        <f>COUNTIF($E$84:$AI$84,"CL")</f>
        <v>0</v>
      </c>
      <c r="AP84" s="8">
        <f>COUNTIF($E$84:$AI$84,"SL")</f>
        <v>0</v>
      </c>
      <c r="AQ84" s="8">
        <f>COUNTIF($E$84:$AI$84,"EL")</f>
        <v>0</v>
      </c>
      <c r="AR84" s="8">
        <f>COUNTIF($E$84:$AI$84,"H")</f>
        <v>0</v>
      </c>
      <c r="AS84" s="8"/>
      <c r="AT84" s="11" t="s">
        <v>2089</v>
      </c>
    </row>
    <row r="85" spans="1:46" ht="15.1" customHeight="1">
      <c r="A85" s="8"/>
      <c r="B85" s="9"/>
      <c r="C85" s="8"/>
      <c r="D85" s="9"/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11" t="s">
        <v>2089</v>
      </c>
    </row>
    <row r="86" spans="1:46" ht="15.1" customHeight="1">
      <c r="A86" s="8"/>
      <c r="B86" s="9"/>
      <c r="C86" s="8"/>
      <c r="D86" s="9"/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11" t="s">
        <v>2089</v>
      </c>
    </row>
    <row r="87" spans="1:46" ht="15.1" customHeight="1">
      <c r="A87" s="8">
        <v>28</v>
      </c>
      <c r="B87" s="9" t="s">
        <v>2143</v>
      </c>
      <c r="C87" s="8" t="s">
        <v>2144</v>
      </c>
      <c r="D87" s="9" t="s">
        <v>451</v>
      </c>
      <c r="E87" s="12" t="s">
        <v>55</v>
      </c>
      <c r="F87" s="12" t="s">
        <v>55</v>
      </c>
      <c r="G87" s="10" t="s">
        <v>67</v>
      </c>
      <c r="H87" s="12" t="s">
        <v>55</v>
      </c>
      <c r="I87" s="8" t="s">
        <v>54</v>
      </c>
      <c r="J87" s="8" t="s">
        <v>54</v>
      </c>
      <c r="K87" s="8" t="s">
        <v>54</v>
      </c>
      <c r="L87" s="8" t="s">
        <v>54</v>
      </c>
      <c r="M87" s="8" t="s">
        <v>54</v>
      </c>
      <c r="N87" s="10" t="s">
        <v>67</v>
      </c>
      <c r="O87" s="8" t="s">
        <v>54</v>
      </c>
      <c r="P87" s="8" t="s">
        <v>54</v>
      </c>
      <c r="Q87" s="8" t="s">
        <v>54</v>
      </c>
      <c r="R87" s="8" t="s">
        <v>54</v>
      </c>
      <c r="S87" s="12" t="s">
        <v>55</v>
      </c>
      <c r="T87" s="8" t="s">
        <v>54</v>
      </c>
      <c r="U87" s="10" t="s">
        <v>67</v>
      </c>
      <c r="V87" s="12" t="s">
        <v>55</v>
      </c>
      <c r="W87" s="8" t="s">
        <v>54</v>
      </c>
      <c r="X87" s="8" t="s">
        <v>54</v>
      </c>
      <c r="Y87" s="8" t="s">
        <v>54</v>
      </c>
      <c r="Z87" s="8" t="s">
        <v>54</v>
      </c>
      <c r="AA87" s="8" t="s">
        <v>54</v>
      </c>
      <c r="AB87" s="10" t="s">
        <v>67</v>
      </c>
      <c r="AC87" s="8" t="s">
        <v>54</v>
      </c>
      <c r="AD87" s="8" t="s">
        <v>54</v>
      </c>
      <c r="AE87" s="12" t="s">
        <v>55</v>
      </c>
      <c r="AF87" s="12" t="s">
        <v>55</v>
      </c>
      <c r="AG87" s="12" t="s">
        <v>55</v>
      </c>
      <c r="AH87" s="12" t="s">
        <v>55</v>
      </c>
      <c r="AI87" s="10" t="s">
        <v>67</v>
      </c>
      <c r="AJ87" s="8">
        <f>COUNTIF($E$87:$AI$87,"P")</f>
        <v>17</v>
      </c>
      <c r="AK87" s="8">
        <f>COUNTIF($E$87:$AI$87,"A")</f>
        <v>9</v>
      </c>
      <c r="AL87" s="8">
        <f>SUM($E$88:$AI$88)</f>
        <v>0</v>
      </c>
      <c r="AM87" s="8">
        <f>SUM($E$89:$AI$89)</f>
        <v>0</v>
      </c>
      <c r="AN87" s="8">
        <f>AL87+AM87</f>
        <v>0</v>
      </c>
      <c r="AO87" s="8">
        <f>COUNTIF($E$87:$AI$87,"CL")</f>
        <v>0</v>
      </c>
      <c r="AP87" s="8">
        <f>COUNTIF($E$87:$AI$87,"SL")</f>
        <v>0</v>
      </c>
      <c r="AQ87" s="8">
        <f>COUNTIF($E$87:$AI$87,"EL")</f>
        <v>0</v>
      </c>
      <c r="AR87" s="8">
        <f>COUNTIF($E$87:$AI$87,"H")</f>
        <v>0</v>
      </c>
      <c r="AS87" s="8"/>
      <c r="AT87" s="11" t="s">
        <v>2089</v>
      </c>
    </row>
    <row r="88" spans="1:46" ht="15.1" customHeight="1">
      <c r="A88" s="8"/>
      <c r="B88" s="9"/>
      <c r="C88" s="8"/>
      <c r="D88" s="9"/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11" t="s">
        <v>2089</v>
      </c>
    </row>
    <row r="89" spans="1:46" ht="15.1" customHeight="1">
      <c r="A89" s="8"/>
      <c r="B89" s="9"/>
      <c r="C89" s="8"/>
      <c r="D89" s="9"/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11" t="s">
        <v>2089</v>
      </c>
    </row>
    <row r="90" spans="1:46" ht="15.1" customHeight="1">
      <c r="A90" s="8">
        <v>29</v>
      </c>
      <c r="B90" s="9" t="s">
        <v>2145</v>
      </c>
      <c r="C90" s="8" t="s">
        <v>2146</v>
      </c>
      <c r="D90" s="9" t="s">
        <v>451</v>
      </c>
      <c r="E90" s="8" t="s">
        <v>54</v>
      </c>
      <c r="F90" s="8" t="s">
        <v>54</v>
      </c>
      <c r="G90" s="10" t="s">
        <v>67</v>
      </c>
      <c r="H90" s="8" t="s">
        <v>54</v>
      </c>
      <c r="I90" s="8" t="s">
        <v>54</v>
      </c>
      <c r="J90" s="8" t="s">
        <v>54</v>
      </c>
      <c r="K90" s="12" t="s">
        <v>55</v>
      </c>
      <c r="L90" s="12" t="s">
        <v>55</v>
      </c>
      <c r="M90" s="12" t="s">
        <v>55</v>
      </c>
      <c r="N90" s="10" t="s">
        <v>67</v>
      </c>
      <c r="O90" s="12" t="s">
        <v>55</v>
      </c>
      <c r="P90" s="12" t="s">
        <v>55</v>
      </c>
      <c r="Q90" s="12" t="s">
        <v>55</v>
      </c>
      <c r="R90" s="12" t="s">
        <v>55</v>
      </c>
      <c r="S90" s="8" t="s">
        <v>54</v>
      </c>
      <c r="T90" s="8" t="s">
        <v>54</v>
      </c>
      <c r="U90" s="10" t="s">
        <v>67</v>
      </c>
      <c r="V90" s="8" t="s">
        <v>54</v>
      </c>
      <c r="W90" s="8" t="s">
        <v>54</v>
      </c>
      <c r="X90" s="8" t="s">
        <v>54</v>
      </c>
      <c r="Y90" s="8" t="s">
        <v>54</v>
      </c>
      <c r="Z90" s="8" t="s">
        <v>54</v>
      </c>
      <c r="AA90" s="8" t="s">
        <v>54</v>
      </c>
      <c r="AB90" s="10" t="s">
        <v>67</v>
      </c>
      <c r="AC90" s="8" t="s">
        <v>54</v>
      </c>
      <c r="AD90" s="12" t="s">
        <v>55</v>
      </c>
      <c r="AE90" s="12" t="s">
        <v>55</v>
      </c>
      <c r="AF90" s="12" t="s">
        <v>55</v>
      </c>
      <c r="AG90" s="12" t="s">
        <v>55</v>
      </c>
      <c r="AH90" s="8" t="s">
        <v>54</v>
      </c>
      <c r="AI90" s="10" t="s">
        <v>67</v>
      </c>
      <c r="AJ90" s="8">
        <f>COUNTIF($E$90:$AI$90,"P")</f>
        <v>15</v>
      </c>
      <c r="AK90" s="8">
        <f>COUNTIF($E$90:$AI$90,"A")</f>
        <v>11</v>
      </c>
      <c r="AL90" s="8">
        <f>SUM($E$91:$AI$91)</f>
        <v>0</v>
      </c>
      <c r="AM90" s="8">
        <f>SUM($E$92:$AI$92)</f>
        <v>0</v>
      </c>
      <c r="AN90" s="8">
        <f>AL90+AM90</f>
        <v>0</v>
      </c>
      <c r="AO90" s="8">
        <f>COUNTIF($E$90:$AI$90,"CL")</f>
        <v>0</v>
      </c>
      <c r="AP90" s="8">
        <f>COUNTIF($E$90:$AI$90,"SL")</f>
        <v>0</v>
      </c>
      <c r="AQ90" s="8">
        <f>COUNTIF($E$90:$AI$90,"EL")</f>
        <v>0</v>
      </c>
      <c r="AR90" s="8">
        <f>COUNTIF($E$90:$AI$90,"H")</f>
        <v>0</v>
      </c>
      <c r="AS90" s="8"/>
      <c r="AT90" s="11" t="s">
        <v>2089</v>
      </c>
    </row>
    <row r="91" spans="1:46" ht="15.1" customHeight="1">
      <c r="A91" s="8"/>
      <c r="B91" s="9"/>
      <c r="C91" s="8"/>
      <c r="D91" s="9"/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11" t="s">
        <v>2089</v>
      </c>
    </row>
    <row r="92" spans="1:46" ht="15.1" customHeight="1">
      <c r="A92" s="8"/>
      <c r="B92" s="9"/>
      <c r="C92" s="8"/>
      <c r="D92" s="9"/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11" t="s">
        <v>2089</v>
      </c>
    </row>
    <row r="93" spans="1:46" ht="15.1" customHeight="1">
      <c r="A93" s="8">
        <v>30</v>
      </c>
      <c r="B93" s="9" t="s">
        <v>2147</v>
      </c>
      <c r="C93" s="8" t="s">
        <v>2148</v>
      </c>
      <c r="D93" s="9" t="s">
        <v>451</v>
      </c>
      <c r="E93" s="8" t="s">
        <v>54</v>
      </c>
      <c r="F93" s="8" t="s">
        <v>54</v>
      </c>
      <c r="G93" s="10" t="s">
        <v>67</v>
      </c>
      <c r="H93" s="8" t="s">
        <v>54</v>
      </c>
      <c r="I93" s="8" t="s">
        <v>54</v>
      </c>
      <c r="J93" s="8" t="s">
        <v>54</v>
      </c>
      <c r="K93" s="8" t="s">
        <v>54</v>
      </c>
      <c r="L93" s="8" t="s">
        <v>54</v>
      </c>
      <c r="M93" s="8" t="s">
        <v>54</v>
      </c>
      <c r="N93" s="10" t="s">
        <v>67</v>
      </c>
      <c r="O93" s="8" t="s">
        <v>54</v>
      </c>
      <c r="P93" s="8" t="s">
        <v>54</v>
      </c>
      <c r="Q93" s="8" t="s">
        <v>54</v>
      </c>
      <c r="R93" s="8" t="s">
        <v>54</v>
      </c>
      <c r="S93" s="8" t="s">
        <v>54</v>
      </c>
      <c r="T93" s="8" t="s">
        <v>54</v>
      </c>
      <c r="U93" s="10" t="s">
        <v>67</v>
      </c>
      <c r="V93" s="8" t="s">
        <v>54</v>
      </c>
      <c r="W93" s="8" t="s">
        <v>54</v>
      </c>
      <c r="X93" s="8" t="s">
        <v>54</v>
      </c>
      <c r="Y93" s="8" t="s">
        <v>54</v>
      </c>
      <c r="Z93" s="8" t="s">
        <v>54</v>
      </c>
      <c r="AA93" s="8" t="s">
        <v>54</v>
      </c>
      <c r="AB93" s="10" t="s">
        <v>67</v>
      </c>
      <c r="AC93" s="8" t="s">
        <v>54</v>
      </c>
      <c r="AD93" s="8" t="s">
        <v>54</v>
      </c>
      <c r="AE93" s="8" t="s">
        <v>54</v>
      </c>
      <c r="AF93" s="8" t="s">
        <v>54</v>
      </c>
      <c r="AG93" s="8" t="s">
        <v>54</v>
      </c>
      <c r="AH93" s="12" t="s">
        <v>55</v>
      </c>
      <c r="AI93" s="10" t="s">
        <v>67</v>
      </c>
      <c r="AJ93" s="8">
        <f>COUNTIF($E$93:$AI$93,"P")</f>
        <v>25</v>
      </c>
      <c r="AK93" s="8">
        <f>COUNTIF($E$93:$AI$93,"A")</f>
        <v>1</v>
      </c>
      <c r="AL93" s="8">
        <f>SUM($E$94:$AI$94)</f>
        <v>0</v>
      </c>
      <c r="AM93" s="8">
        <f>SUM($E$95:$AI$95)</f>
        <v>0</v>
      </c>
      <c r="AN93" s="8">
        <f>AL93+AM93</f>
        <v>0</v>
      </c>
      <c r="AO93" s="8">
        <f>COUNTIF($E$93:$AI$93,"CL")</f>
        <v>0</v>
      </c>
      <c r="AP93" s="8">
        <f>COUNTIF($E$93:$AI$93,"SL")</f>
        <v>0</v>
      </c>
      <c r="AQ93" s="8">
        <f>COUNTIF($E$93:$AI$93,"EL")</f>
        <v>0</v>
      </c>
      <c r="AR93" s="8">
        <f>COUNTIF($E$93:$AI$93,"H")</f>
        <v>0</v>
      </c>
      <c r="AS93" s="8"/>
      <c r="AT93" s="11" t="s">
        <v>2089</v>
      </c>
    </row>
    <row r="94" spans="1:46" ht="15.1" customHeight="1">
      <c r="A94" s="8"/>
      <c r="B94" s="9"/>
      <c r="C94" s="8"/>
      <c r="D94" s="9"/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11" t="s">
        <v>2089</v>
      </c>
    </row>
    <row r="95" spans="1:46" ht="15.1" customHeight="1">
      <c r="A95" s="8"/>
      <c r="B95" s="9"/>
      <c r="C95" s="8"/>
      <c r="D95" s="9"/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11" t="s">
        <v>2089</v>
      </c>
    </row>
    <row r="96" spans="1:46" ht="15.1" customHeight="1">
      <c r="A96" s="8">
        <v>31</v>
      </c>
      <c r="B96" s="9" t="s">
        <v>2149</v>
      </c>
      <c r="C96" s="8" t="s">
        <v>2150</v>
      </c>
      <c r="D96" s="9" t="s">
        <v>451</v>
      </c>
      <c r="E96" s="12" t="s">
        <v>55</v>
      </c>
      <c r="F96" s="8" t="s">
        <v>54</v>
      </c>
      <c r="G96" s="10" t="s">
        <v>67</v>
      </c>
      <c r="H96" s="8" t="s">
        <v>54</v>
      </c>
      <c r="I96" s="8" t="s">
        <v>54</v>
      </c>
      <c r="J96" s="12" t="s">
        <v>55</v>
      </c>
      <c r="K96" s="8" t="s">
        <v>54</v>
      </c>
      <c r="L96" s="8" t="s">
        <v>54</v>
      </c>
      <c r="M96" s="8" t="s">
        <v>54</v>
      </c>
      <c r="N96" s="10" t="s">
        <v>67</v>
      </c>
      <c r="O96" s="12" t="s">
        <v>55</v>
      </c>
      <c r="P96" s="8" t="s">
        <v>54</v>
      </c>
      <c r="Q96" s="8" t="s">
        <v>54</v>
      </c>
      <c r="R96" s="8" t="s">
        <v>54</v>
      </c>
      <c r="S96" s="12" t="s">
        <v>55</v>
      </c>
      <c r="T96" s="8" t="s">
        <v>54</v>
      </c>
      <c r="U96" s="10" t="s">
        <v>67</v>
      </c>
      <c r="V96" s="8" t="s">
        <v>54</v>
      </c>
      <c r="W96" s="12" t="s">
        <v>55</v>
      </c>
      <c r="X96" s="8" t="s">
        <v>54</v>
      </c>
      <c r="Y96" s="8" t="s">
        <v>54</v>
      </c>
      <c r="Z96" s="8" t="s">
        <v>54</v>
      </c>
      <c r="AA96" s="8" t="s">
        <v>54</v>
      </c>
      <c r="AB96" s="10" t="s">
        <v>67</v>
      </c>
      <c r="AC96" s="12" t="s">
        <v>55</v>
      </c>
      <c r="AD96" s="12" t="s">
        <v>55</v>
      </c>
      <c r="AE96" s="12" t="s">
        <v>55</v>
      </c>
      <c r="AF96" s="8" t="s">
        <v>54</v>
      </c>
      <c r="AG96" s="12" t="s">
        <v>55</v>
      </c>
      <c r="AH96" s="12" t="s">
        <v>55</v>
      </c>
      <c r="AI96" s="10" t="s">
        <v>67</v>
      </c>
      <c r="AJ96" s="8">
        <f>COUNTIF($E$96:$AI$96,"P")</f>
        <v>16</v>
      </c>
      <c r="AK96" s="8">
        <f>COUNTIF($E$96:$AI$96,"A")</f>
        <v>10</v>
      </c>
      <c r="AL96" s="8">
        <f>SUM($E$97:$AI$97)</f>
        <v>0</v>
      </c>
      <c r="AM96" s="8">
        <f>SUM($E$98:$AI$98)</f>
        <v>0</v>
      </c>
      <c r="AN96" s="8">
        <f>AL96+AM96</f>
        <v>0</v>
      </c>
      <c r="AO96" s="8">
        <f>COUNTIF($E$96:$AI$96,"CL")</f>
        <v>0</v>
      </c>
      <c r="AP96" s="8">
        <f>COUNTIF($E$96:$AI$96,"SL")</f>
        <v>0</v>
      </c>
      <c r="AQ96" s="8">
        <f>COUNTIF($E$96:$AI$96,"EL")</f>
        <v>0</v>
      </c>
      <c r="AR96" s="8">
        <f>COUNTIF($E$96:$AI$96,"H")</f>
        <v>0</v>
      </c>
      <c r="AS96" s="8"/>
      <c r="AT96" s="11" t="s">
        <v>2089</v>
      </c>
    </row>
    <row r="97" spans="1:46" ht="15.1" customHeight="1">
      <c r="A97" s="8"/>
      <c r="B97" s="9"/>
      <c r="C97" s="8"/>
      <c r="D97" s="9"/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11" t="s">
        <v>2089</v>
      </c>
    </row>
    <row r="98" spans="1:46" ht="15.1" customHeight="1">
      <c r="A98" s="8"/>
      <c r="B98" s="9"/>
      <c r="C98" s="8"/>
      <c r="D98" s="9"/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11" t="s">
        <v>2089</v>
      </c>
    </row>
    <row r="99" spans="1:46" ht="15.1" customHeight="1">
      <c r="A99" s="8">
        <v>32</v>
      </c>
      <c r="B99" s="9" t="s">
        <v>2151</v>
      </c>
      <c r="C99" s="8" t="s">
        <v>2152</v>
      </c>
      <c r="D99" s="9" t="s">
        <v>451</v>
      </c>
      <c r="E99" s="8" t="s">
        <v>54</v>
      </c>
      <c r="F99" s="8" t="s">
        <v>54</v>
      </c>
      <c r="G99" s="10" t="s">
        <v>67</v>
      </c>
      <c r="H99" s="8" t="s">
        <v>54</v>
      </c>
      <c r="I99" s="8" t="s">
        <v>54</v>
      </c>
      <c r="J99" s="8" t="s">
        <v>54</v>
      </c>
      <c r="K99" s="8" t="s">
        <v>54</v>
      </c>
      <c r="L99" s="8" t="s">
        <v>54</v>
      </c>
      <c r="M99" s="8" t="s">
        <v>54</v>
      </c>
      <c r="N99" s="10" t="s">
        <v>67</v>
      </c>
      <c r="O99" s="8" t="s">
        <v>54</v>
      </c>
      <c r="P99" s="8" t="s">
        <v>54</v>
      </c>
      <c r="Q99" s="8" t="s">
        <v>54</v>
      </c>
      <c r="R99" s="8" t="s">
        <v>54</v>
      </c>
      <c r="S99" s="8" t="s">
        <v>54</v>
      </c>
      <c r="T99" s="8" t="s">
        <v>54</v>
      </c>
      <c r="U99" s="10" t="s">
        <v>67</v>
      </c>
      <c r="V99" s="8" t="s">
        <v>54</v>
      </c>
      <c r="W99" s="8" t="s">
        <v>54</v>
      </c>
      <c r="X99" s="8" t="s">
        <v>54</v>
      </c>
      <c r="Y99" s="8" t="s">
        <v>54</v>
      </c>
      <c r="Z99" s="8" t="s">
        <v>54</v>
      </c>
      <c r="AA99" s="8" t="s">
        <v>54</v>
      </c>
      <c r="AB99" s="10" t="s">
        <v>67</v>
      </c>
      <c r="AC99" s="8" t="s">
        <v>54</v>
      </c>
      <c r="AD99" s="8" t="s">
        <v>54</v>
      </c>
      <c r="AE99" s="8" t="s">
        <v>54</v>
      </c>
      <c r="AF99" s="8" t="s">
        <v>54</v>
      </c>
      <c r="AG99" s="8" t="s">
        <v>54</v>
      </c>
      <c r="AH99" s="8" t="s">
        <v>54</v>
      </c>
      <c r="AI99" s="10" t="s">
        <v>67</v>
      </c>
      <c r="AJ99" s="8">
        <f>COUNTIF($E$99:$AI$99,"P")</f>
        <v>26</v>
      </c>
      <c r="AK99" s="8">
        <f>COUNTIF($E$99:$AI$99,"A")</f>
        <v>0</v>
      </c>
      <c r="AL99" s="8">
        <f>SUM($E$100:$AI$100)</f>
        <v>0</v>
      </c>
      <c r="AM99" s="8">
        <f>SUM($E$101:$AI$101)</f>
        <v>0</v>
      </c>
      <c r="AN99" s="8">
        <f>AL99+AM99</f>
        <v>0</v>
      </c>
      <c r="AO99" s="8">
        <f>COUNTIF($E$99:$AI$99,"CL")</f>
        <v>0</v>
      </c>
      <c r="AP99" s="8">
        <f>COUNTIF($E$99:$AI$99,"SL")</f>
        <v>0</v>
      </c>
      <c r="AQ99" s="8">
        <f>COUNTIF($E$99:$AI$99,"EL")</f>
        <v>0</v>
      </c>
      <c r="AR99" s="8">
        <f>COUNTIF($E$99:$AI$99,"H")</f>
        <v>0</v>
      </c>
      <c r="AS99" s="8"/>
      <c r="AT99" s="11" t="s">
        <v>2089</v>
      </c>
    </row>
    <row r="100" spans="1:46" ht="15.1" customHeight="1">
      <c r="A100" s="8"/>
      <c r="B100" s="9"/>
      <c r="C100" s="8"/>
      <c r="D100" s="9"/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11" t="s">
        <v>2089</v>
      </c>
    </row>
    <row r="101" spans="1:46" ht="15.1" customHeight="1">
      <c r="A101" s="8"/>
      <c r="B101" s="9"/>
      <c r="C101" s="8"/>
      <c r="D101" s="9"/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11" t="s">
        <v>2089</v>
      </c>
    </row>
    <row r="102" spans="1:46" ht="15.1" customHeight="1">
      <c r="A102" s="8">
        <v>33</v>
      </c>
      <c r="B102" s="9" t="s">
        <v>2153</v>
      </c>
      <c r="C102" s="8" t="s">
        <v>2154</v>
      </c>
      <c r="D102" s="9" t="s">
        <v>451</v>
      </c>
      <c r="E102" s="8" t="s">
        <v>54</v>
      </c>
      <c r="F102" s="8" t="s">
        <v>54</v>
      </c>
      <c r="G102" s="10" t="s">
        <v>67</v>
      </c>
      <c r="H102" s="8" t="s">
        <v>54</v>
      </c>
      <c r="I102" s="8" t="s">
        <v>54</v>
      </c>
      <c r="J102" s="12" t="s">
        <v>55</v>
      </c>
      <c r="K102" s="12" t="s">
        <v>55</v>
      </c>
      <c r="L102" s="8" t="s">
        <v>54</v>
      </c>
      <c r="M102" s="8" t="s">
        <v>54</v>
      </c>
      <c r="N102" s="10" t="s">
        <v>67</v>
      </c>
      <c r="O102" s="8" t="s">
        <v>54</v>
      </c>
      <c r="P102" s="8" t="s">
        <v>54</v>
      </c>
      <c r="Q102" s="8" t="s">
        <v>54</v>
      </c>
      <c r="R102" s="8" t="s">
        <v>54</v>
      </c>
      <c r="S102" s="8" t="s">
        <v>54</v>
      </c>
      <c r="T102" s="8" t="s">
        <v>54</v>
      </c>
      <c r="U102" s="10" t="s">
        <v>67</v>
      </c>
      <c r="V102" s="8" t="s">
        <v>54</v>
      </c>
      <c r="W102" s="8" t="s">
        <v>54</v>
      </c>
      <c r="X102" s="8" t="s">
        <v>54</v>
      </c>
      <c r="Y102" s="8" t="s">
        <v>54</v>
      </c>
      <c r="Z102" s="8" t="s">
        <v>54</v>
      </c>
      <c r="AA102" s="8" t="s">
        <v>54</v>
      </c>
      <c r="AB102" s="10" t="s">
        <v>67</v>
      </c>
      <c r="AC102" s="8" t="s">
        <v>54</v>
      </c>
      <c r="AD102" s="12" t="s">
        <v>55</v>
      </c>
      <c r="AE102" s="8" t="s">
        <v>54</v>
      </c>
      <c r="AF102" s="8" t="s">
        <v>54</v>
      </c>
      <c r="AG102" s="8" t="s">
        <v>54</v>
      </c>
      <c r="AH102" s="12" t="s">
        <v>55</v>
      </c>
      <c r="AI102" s="10" t="s">
        <v>67</v>
      </c>
      <c r="AJ102" s="8">
        <f>COUNTIF($E$102:$AI$102,"P")</f>
        <v>22</v>
      </c>
      <c r="AK102" s="8">
        <f>COUNTIF($E$102:$AI$102,"A")</f>
        <v>4</v>
      </c>
      <c r="AL102" s="8">
        <f>SUM($E$103:$AI$103)</f>
        <v>0</v>
      </c>
      <c r="AM102" s="8">
        <f>SUM($E$104:$AI$104)</f>
        <v>0</v>
      </c>
      <c r="AN102" s="8">
        <f>AL102+AM102</f>
        <v>0</v>
      </c>
      <c r="AO102" s="8">
        <f>COUNTIF($E$102:$AI$102,"CL")</f>
        <v>0</v>
      </c>
      <c r="AP102" s="8">
        <f>COUNTIF($E$102:$AI$102,"SL")</f>
        <v>0</v>
      </c>
      <c r="AQ102" s="8">
        <f>COUNTIF($E$102:$AI$102,"EL")</f>
        <v>0</v>
      </c>
      <c r="AR102" s="8">
        <f>COUNTIF($E$102:$AI$102,"H")</f>
        <v>0</v>
      </c>
      <c r="AS102" s="8"/>
      <c r="AT102" s="11" t="s">
        <v>2089</v>
      </c>
    </row>
    <row r="103" spans="1:46" ht="15.1" customHeight="1">
      <c r="A103" s="8"/>
      <c r="B103" s="9"/>
      <c r="C103" s="8"/>
      <c r="D103" s="9"/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11" t="s">
        <v>2089</v>
      </c>
    </row>
    <row r="104" spans="1:46" ht="15.1" customHeight="1">
      <c r="A104" s="8"/>
      <c r="B104" s="9"/>
      <c r="C104" s="8"/>
      <c r="D104" s="9"/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11" t="s">
        <v>2089</v>
      </c>
    </row>
    <row r="105" spans="1:46" ht="15.1" customHeight="1">
      <c r="A105" s="8">
        <v>34</v>
      </c>
      <c r="B105" s="9" t="s">
        <v>2155</v>
      </c>
      <c r="C105" s="8" t="s">
        <v>2156</v>
      </c>
      <c r="D105" s="9" t="s">
        <v>451</v>
      </c>
      <c r="E105" s="8" t="s">
        <v>54</v>
      </c>
      <c r="F105" s="8" t="s">
        <v>54</v>
      </c>
      <c r="G105" s="10" t="s">
        <v>67</v>
      </c>
      <c r="H105" s="8" t="s">
        <v>54</v>
      </c>
      <c r="I105" s="8" t="s">
        <v>54</v>
      </c>
      <c r="J105" s="12" t="s">
        <v>55</v>
      </c>
      <c r="K105" s="8" t="s">
        <v>54</v>
      </c>
      <c r="L105" s="8" t="s">
        <v>54</v>
      </c>
      <c r="M105" s="8" t="s">
        <v>54</v>
      </c>
      <c r="N105" s="10" t="s">
        <v>67</v>
      </c>
      <c r="O105" s="8" t="s">
        <v>54</v>
      </c>
      <c r="P105" s="8" t="s">
        <v>54</v>
      </c>
      <c r="Q105" s="8" t="s">
        <v>54</v>
      </c>
      <c r="R105" s="12" t="s">
        <v>55</v>
      </c>
      <c r="S105" s="8" t="s">
        <v>54</v>
      </c>
      <c r="T105" s="8" t="s">
        <v>54</v>
      </c>
      <c r="U105" s="10" t="s">
        <v>67</v>
      </c>
      <c r="V105" s="8" t="s">
        <v>54</v>
      </c>
      <c r="W105" s="8" t="s">
        <v>54</v>
      </c>
      <c r="X105" s="8" t="s">
        <v>54</v>
      </c>
      <c r="Y105" s="8" t="s">
        <v>54</v>
      </c>
      <c r="Z105" s="8" t="s">
        <v>54</v>
      </c>
      <c r="AA105" s="8" t="s">
        <v>54</v>
      </c>
      <c r="AB105" s="10" t="s">
        <v>67</v>
      </c>
      <c r="AC105" s="8" t="s">
        <v>54</v>
      </c>
      <c r="AD105" s="12" t="s">
        <v>55</v>
      </c>
      <c r="AE105" s="12" t="s">
        <v>55</v>
      </c>
      <c r="AF105" s="8" t="s">
        <v>54</v>
      </c>
      <c r="AG105" s="8" t="s">
        <v>54</v>
      </c>
      <c r="AH105" s="8" t="s">
        <v>54</v>
      </c>
      <c r="AI105" s="10" t="s">
        <v>67</v>
      </c>
      <c r="AJ105" s="8">
        <f>COUNTIF($E$105:$AI$105,"P")</f>
        <v>22</v>
      </c>
      <c r="AK105" s="8">
        <f>COUNTIF($E$105:$AI$105,"A")</f>
        <v>4</v>
      </c>
      <c r="AL105" s="8">
        <f>SUM($E$106:$AI$106)</f>
        <v>0</v>
      </c>
      <c r="AM105" s="8">
        <f>SUM($E$107:$AI$107)</f>
        <v>0</v>
      </c>
      <c r="AN105" s="8">
        <f>AL105+AM105</f>
        <v>0</v>
      </c>
      <c r="AO105" s="8">
        <f>COUNTIF($E$105:$AI$105,"CL")</f>
        <v>0</v>
      </c>
      <c r="AP105" s="8">
        <f>COUNTIF($E$105:$AI$105,"SL")</f>
        <v>0</v>
      </c>
      <c r="AQ105" s="8">
        <f>COUNTIF($E$105:$AI$105,"EL")</f>
        <v>0</v>
      </c>
      <c r="AR105" s="8">
        <f>COUNTIF($E$105:$AI$105,"H")</f>
        <v>0</v>
      </c>
      <c r="AS105" s="8"/>
      <c r="AT105" s="11" t="s">
        <v>2089</v>
      </c>
    </row>
    <row r="106" spans="1:46" ht="15.1" customHeight="1">
      <c r="A106" s="8"/>
      <c r="B106" s="9"/>
      <c r="C106" s="8"/>
      <c r="D106" s="9"/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11" t="s">
        <v>2089</v>
      </c>
    </row>
    <row r="107" spans="1:46" ht="15.1" customHeight="1">
      <c r="A107" s="8"/>
      <c r="B107" s="9"/>
      <c r="C107" s="8"/>
      <c r="D107" s="9"/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11" t="s">
        <v>2089</v>
      </c>
    </row>
    <row r="108" spans="1:46" ht="15.1" customHeight="1">
      <c r="A108" s="8">
        <v>35</v>
      </c>
      <c r="B108" s="9" t="s">
        <v>2107</v>
      </c>
      <c r="C108" s="8" t="s">
        <v>2157</v>
      </c>
      <c r="D108" s="9" t="s">
        <v>451</v>
      </c>
      <c r="E108" s="8" t="s">
        <v>54</v>
      </c>
      <c r="F108" s="8" t="s">
        <v>54</v>
      </c>
      <c r="G108" s="10" t="s">
        <v>67</v>
      </c>
      <c r="H108" s="8" t="s">
        <v>54</v>
      </c>
      <c r="I108" s="8" t="s">
        <v>54</v>
      </c>
      <c r="J108" s="8" t="s">
        <v>54</v>
      </c>
      <c r="K108" s="8" t="s">
        <v>54</v>
      </c>
      <c r="L108" s="8" t="s">
        <v>54</v>
      </c>
      <c r="M108" s="8" t="s">
        <v>54</v>
      </c>
      <c r="N108" s="10" t="s">
        <v>67</v>
      </c>
      <c r="O108" s="8" t="s">
        <v>54</v>
      </c>
      <c r="P108" s="8" t="s">
        <v>54</v>
      </c>
      <c r="Q108" s="8" t="s">
        <v>54</v>
      </c>
      <c r="R108" s="8" t="s">
        <v>54</v>
      </c>
      <c r="S108" s="8" t="s">
        <v>54</v>
      </c>
      <c r="T108" s="8" t="s">
        <v>54</v>
      </c>
      <c r="U108" s="10" t="s">
        <v>67</v>
      </c>
      <c r="V108" s="8" t="s">
        <v>54</v>
      </c>
      <c r="W108" s="12" t="s">
        <v>55</v>
      </c>
      <c r="X108" s="8" t="s">
        <v>54</v>
      </c>
      <c r="Y108" s="8" t="s">
        <v>54</v>
      </c>
      <c r="Z108" s="8" t="s">
        <v>54</v>
      </c>
      <c r="AA108" s="8" t="s">
        <v>54</v>
      </c>
      <c r="AB108" s="10" t="s">
        <v>67</v>
      </c>
      <c r="AC108" s="8" t="s">
        <v>54</v>
      </c>
      <c r="AD108" s="8" t="s">
        <v>54</v>
      </c>
      <c r="AE108" s="8" t="s">
        <v>54</v>
      </c>
      <c r="AF108" s="8" t="s">
        <v>54</v>
      </c>
      <c r="AG108" s="8" t="s">
        <v>54</v>
      </c>
      <c r="AH108" s="12" t="s">
        <v>55</v>
      </c>
      <c r="AI108" s="10" t="s">
        <v>67</v>
      </c>
      <c r="AJ108" s="8">
        <f>COUNTIF($E$108:$AI$108,"P")</f>
        <v>24</v>
      </c>
      <c r="AK108" s="8">
        <f>COUNTIF($E$108:$AI$108,"A")</f>
        <v>2</v>
      </c>
      <c r="AL108" s="8">
        <f>SUM($E$109:$AI$109)</f>
        <v>0</v>
      </c>
      <c r="AM108" s="8">
        <f>SUM($E$110:$AI$110)</f>
        <v>0</v>
      </c>
      <c r="AN108" s="8">
        <f>AL108+AM108</f>
        <v>0</v>
      </c>
      <c r="AO108" s="8">
        <f>COUNTIF($E$108:$AI$108,"CL")</f>
        <v>0</v>
      </c>
      <c r="AP108" s="8">
        <f>COUNTIF($E$108:$AI$108,"SL")</f>
        <v>0</v>
      </c>
      <c r="AQ108" s="8">
        <f>COUNTIF($E$108:$AI$108,"EL")</f>
        <v>0</v>
      </c>
      <c r="AR108" s="8">
        <f>COUNTIF($E$108:$AI$108,"H")</f>
        <v>0</v>
      </c>
      <c r="AS108" s="8"/>
      <c r="AT108" s="11" t="s">
        <v>2089</v>
      </c>
    </row>
    <row r="109" spans="1:46" ht="15.1" customHeight="1">
      <c r="A109" s="8"/>
      <c r="B109" s="9"/>
      <c r="C109" s="8"/>
      <c r="D109" s="9"/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11" t="s">
        <v>2089</v>
      </c>
    </row>
    <row r="110" spans="1:46" ht="15.1" customHeight="1">
      <c r="A110" s="8"/>
      <c r="B110" s="9"/>
      <c r="C110" s="8"/>
      <c r="D110" s="9"/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11" t="s">
        <v>2089</v>
      </c>
    </row>
    <row r="111" spans="1:46" ht="15.1" customHeight="1">
      <c r="A111" s="8">
        <v>36</v>
      </c>
      <c r="B111" s="9" t="s">
        <v>2158</v>
      </c>
      <c r="C111" s="8" t="s">
        <v>2159</v>
      </c>
      <c r="D111" s="9" t="s">
        <v>451</v>
      </c>
      <c r="E111" s="8" t="s">
        <v>54</v>
      </c>
      <c r="F111" s="8" t="s">
        <v>54</v>
      </c>
      <c r="G111" s="10" t="s">
        <v>67</v>
      </c>
      <c r="H111" s="8" t="s">
        <v>54</v>
      </c>
      <c r="I111" s="8" t="s">
        <v>54</v>
      </c>
      <c r="J111" s="12" t="s">
        <v>55</v>
      </c>
      <c r="K111" s="12" t="s">
        <v>55</v>
      </c>
      <c r="L111" s="12" t="s">
        <v>55</v>
      </c>
      <c r="M111" s="8" t="s">
        <v>54</v>
      </c>
      <c r="N111" s="10" t="s">
        <v>67</v>
      </c>
      <c r="O111" s="8" t="s">
        <v>54</v>
      </c>
      <c r="P111" s="8" t="s">
        <v>54</v>
      </c>
      <c r="Q111" s="8" t="s">
        <v>54</v>
      </c>
      <c r="R111" s="8" t="s">
        <v>54</v>
      </c>
      <c r="S111" s="8" t="s">
        <v>54</v>
      </c>
      <c r="T111" s="8" t="s">
        <v>54</v>
      </c>
      <c r="U111" s="10" t="s">
        <v>67</v>
      </c>
      <c r="V111" s="8" t="s">
        <v>54</v>
      </c>
      <c r="W111" s="12" t="s">
        <v>55</v>
      </c>
      <c r="X111" s="12" t="s">
        <v>55</v>
      </c>
      <c r="Y111" s="12" t="s">
        <v>55</v>
      </c>
      <c r="Z111" s="12" t="s">
        <v>55</v>
      </c>
      <c r="AA111" s="12" t="s">
        <v>55</v>
      </c>
      <c r="AB111" s="10" t="s">
        <v>67</v>
      </c>
      <c r="AC111" s="8" t="s">
        <v>54</v>
      </c>
      <c r="AD111" s="8" t="s">
        <v>54</v>
      </c>
      <c r="AE111" s="8"/>
      <c r="AF111" s="8"/>
      <c r="AG111" s="8"/>
      <c r="AH111" s="8"/>
      <c r="AI111" s="10"/>
      <c r="AJ111" s="8">
        <f>COUNTIF($E$111:$AI$111,"P")</f>
        <v>14</v>
      </c>
      <c r="AK111" s="8">
        <f>COUNTIF($E$111:$AI$111,"A")</f>
        <v>8</v>
      </c>
      <c r="AL111" s="8">
        <f>SUM($E$112:$AI$112)</f>
        <v>0</v>
      </c>
      <c r="AM111" s="8">
        <f>SUM($E$113:$AI$113)</f>
        <v>0</v>
      </c>
      <c r="AN111" s="8">
        <f>AL111+AM111</f>
        <v>0</v>
      </c>
      <c r="AO111" s="8">
        <f>COUNTIF($E$111:$AI$111,"CL")</f>
        <v>0</v>
      </c>
      <c r="AP111" s="8">
        <f>COUNTIF($E$111:$AI$111,"SL")</f>
        <v>0</v>
      </c>
      <c r="AQ111" s="8">
        <f>COUNTIF($E$111:$AI$111,"EL")</f>
        <v>0</v>
      </c>
      <c r="AR111" s="8">
        <f>COUNTIF($E$111:$AI$111,"H")</f>
        <v>0</v>
      </c>
      <c r="AS111" s="8"/>
      <c r="AT111" s="11" t="s">
        <v>2089</v>
      </c>
    </row>
    <row r="112" spans="1:46" ht="15.1" customHeight="1">
      <c r="A112" s="8"/>
      <c r="B112" s="9"/>
      <c r="C112" s="8"/>
      <c r="D112" s="9"/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11" t="s">
        <v>2089</v>
      </c>
    </row>
    <row r="113" spans="1:46" ht="15.1" customHeight="1">
      <c r="A113" s="8"/>
      <c r="B113" s="9"/>
      <c r="C113" s="8"/>
      <c r="D113" s="9"/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11" t="s">
        <v>2089</v>
      </c>
    </row>
    <row r="114" spans="1:46" ht="15.1" customHeight="1">
      <c r="A114" s="8">
        <v>37</v>
      </c>
      <c r="B114" s="9" t="s">
        <v>2160</v>
      </c>
      <c r="C114" s="8" t="s">
        <v>2161</v>
      </c>
      <c r="D114" s="9" t="s">
        <v>451</v>
      </c>
      <c r="E114" s="8" t="s">
        <v>54</v>
      </c>
      <c r="F114" s="8" t="s">
        <v>54</v>
      </c>
      <c r="G114" s="10" t="s">
        <v>67</v>
      </c>
      <c r="H114" s="8" t="s">
        <v>54</v>
      </c>
      <c r="I114" s="8" t="s">
        <v>54</v>
      </c>
      <c r="J114" s="8" t="s">
        <v>54</v>
      </c>
      <c r="K114" s="8" t="s">
        <v>54</v>
      </c>
      <c r="L114" s="8" t="s">
        <v>54</v>
      </c>
      <c r="M114" s="8" t="s">
        <v>54</v>
      </c>
      <c r="N114" s="10" t="s">
        <v>67</v>
      </c>
      <c r="O114" s="8" t="s">
        <v>54</v>
      </c>
      <c r="P114" s="8" t="s">
        <v>54</v>
      </c>
      <c r="Q114" s="8" t="s">
        <v>54</v>
      </c>
      <c r="R114" s="8" t="s">
        <v>54</v>
      </c>
      <c r="S114" s="8" t="s">
        <v>54</v>
      </c>
      <c r="T114" s="8" t="s">
        <v>54</v>
      </c>
      <c r="U114" s="10" t="s">
        <v>67</v>
      </c>
      <c r="V114" s="12" t="s">
        <v>55</v>
      </c>
      <c r="W114" s="12" t="s">
        <v>55</v>
      </c>
      <c r="X114" s="8" t="s">
        <v>54</v>
      </c>
      <c r="Y114" s="12" t="s">
        <v>55</v>
      </c>
      <c r="Z114" s="12" t="s">
        <v>55</v>
      </c>
      <c r="AA114" s="12" t="s">
        <v>55</v>
      </c>
      <c r="AB114" s="10" t="s">
        <v>67</v>
      </c>
      <c r="AC114" s="8" t="s">
        <v>54</v>
      </c>
      <c r="AD114" s="8" t="s">
        <v>54</v>
      </c>
      <c r="AE114" s="8" t="s">
        <v>54</v>
      </c>
      <c r="AF114" s="8" t="s">
        <v>54</v>
      </c>
      <c r="AG114" s="8" t="s">
        <v>54</v>
      </c>
      <c r="AH114" s="12" t="s">
        <v>55</v>
      </c>
      <c r="AI114" s="10" t="s">
        <v>67</v>
      </c>
      <c r="AJ114" s="8">
        <f>COUNTIF($E$114:$AI$114,"P")</f>
        <v>20</v>
      </c>
      <c r="AK114" s="8">
        <f>COUNTIF($E$114:$AI$114,"A")</f>
        <v>6</v>
      </c>
      <c r="AL114" s="8">
        <f>SUM($E$115:$AI$115)</f>
        <v>0</v>
      </c>
      <c r="AM114" s="8">
        <f>SUM($E$116:$AI$116)</f>
        <v>0</v>
      </c>
      <c r="AN114" s="8">
        <f>AL114+AM114</f>
        <v>0</v>
      </c>
      <c r="AO114" s="8">
        <f>COUNTIF($E$114:$AI$114,"CL")</f>
        <v>0</v>
      </c>
      <c r="AP114" s="8">
        <f>COUNTIF($E$114:$AI$114,"SL")</f>
        <v>0</v>
      </c>
      <c r="AQ114" s="8">
        <f>COUNTIF($E$114:$AI$114,"EL")</f>
        <v>0</v>
      </c>
      <c r="AR114" s="8">
        <f>COUNTIF($E$114:$AI$114,"H")</f>
        <v>0</v>
      </c>
      <c r="AS114" s="8"/>
      <c r="AT114" s="11" t="s">
        <v>2089</v>
      </c>
    </row>
    <row r="115" spans="1:46" ht="15.1" customHeight="1">
      <c r="A115" s="8"/>
      <c r="B115" s="9"/>
      <c r="C115" s="8"/>
      <c r="D115" s="9"/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11" t="s">
        <v>2089</v>
      </c>
    </row>
    <row r="116" spans="1:46" ht="15.1" customHeight="1">
      <c r="A116" s="8"/>
      <c r="B116" s="9"/>
      <c r="C116" s="8"/>
      <c r="D116" s="9"/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11" t="s">
        <v>2089</v>
      </c>
    </row>
    <row r="117" spans="1:46" ht="15.1" customHeight="1">
      <c r="A117" s="8">
        <v>38</v>
      </c>
      <c r="B117" s="9" t="s">
        <v>2162</v>
      </c>
      <c r="C117" s="8" t="s">
        <v>2163</v>
      </c>
      <c r="D117" s="9" t="s">
        <v>451</v>
      </c>
      <c r="E117" s="8" t="s">
        <v>54</v>
      </c>
      <c r="F117" s="8" t="s">
        <v>54</v>
      </c>
      <c r="G117" s="10" t="s">
        <v>67</v>
      </c>
      <c r="H117" s="8" t="s">
        <v>54</v>
      </c>
      <c r="I117" s="8" t="s">
        <v>54</v>
      </c>
      <c r="J117" s="8" t="s">
        <v>54</v>
      </c>
      <c r="K117" s="8" t="s">
        <v>54</v>
      </c>
      <c r="L117" s="8" t="s">
        <v>54</v>
      </c>
      <c r="M117" s="8" t="s">
        <v>54</v>
      </c>
      <c r="N117" s="10" t="s">
        <v>67</v>
      </c>
      <c r="O117" s="8" t="s">
        <v>54</v>
      </c>
      <c r="P117" s="12" t="s">
        <v>55</v>
      </c>
      <c r="Q117" s="12" t="s">
        <v>55</v>
      </c>
      <c r="R117" s="8" t="s">
        <v>54</v>
      </c>
      <c r="S117" s="8" t="s">
        <v>54</v>
      </c>
      <c r="T117" s="8" t="s">
        <v>54</v>
      </c>
      <c r="U117" s="10" t="s">
        <v>67</v>
      </c>
      <c r="V117" s="8" t="s">
        <v>54</v>
      </c>
      <c r="W117" s="8" t="s">
        <v>54</v>
      </c>
      <c r="X117" s="12" t="s">
        <v>55</v>
      </c>
      <c r="Y117" s="8" t="s">
        <v>54</v>
      </c>
      <c r="Z117" s="8" t="s">
        <v>54</v>
      </c>
      <c r="AA117" s="8" t="s">
        <v>54</v>
      </c>
      <c r="AB117" s="10" t="s">
        <v>67</v>
      </c>
      <c r="AC117" s="8" t="s">
        <v>54</v>
      </c>
      <c r="AD117" s="12" t="s">
        <v>55</v>
      </c>
      <c r="AE117" s="12" t="s">
        <v>55</v>
      </c>
      <c r="AF117" s="8" t="s">
        <v>54</v>
      </c>
      <c r="AG117" s="8" t="s">
        <v>54</v>
      </c>
      <c r="AH117" s="8" t="s">
        <v>54</v>
      </c>
      <c r="AI117" s="10" t="s">
        <v>67</v>
      </c>
      <c r="AJ117" s="8">
        <f>COUNTIF($E$117:$AI$117,"P")</f>
        <v>21</v>
      </c>
      <c r="AK117" s="8">
        <f>COUNTIF($E$117:$AI$117,"A")</f>
        <v>5</v>
      </c>
      <c r="AL117" s="8">
        <f>SUM($E$118:$AI$118)</f>
        <v>0</v>
      </c>
      <c r="AM117" s="8">
        <f>SUM($E$119:$AI$119)</f>
        <v>0</v>
      </c>
      <c r="AN117" s="8">
        <f>AL117+AM117</f>
        <v>0</v>
      </c>
      <c r="AO117" s="8">
        <f>COUNTIF($E$117:$AI$117,"CL")</f>
        <v>0</v>
      </c>
      <c r="AP117" s="8">
        <f>COUNTIF($E$117:$AI$117,"SL")</f>
        <v>0</v>
      </c>
      <c r="AQ117" s="8">
        <f>COUNTIF($E$117:$AI$117,"EL")</f>
        <v>0</v>
      </c>
      <c r="AR117" s="8">
        <f>COUNTIF($E$117:$AI$117,"H")</f>
        <v>0</v>
      </c>
      <c r="AS117" s="8"/>
      <c r="AT117" s="11" t="s">
        <v>2089</v>
      </c>
    </row>
    <row r="118" spans="1:46" ht="15.1" customHeight="1">
      <c r="A118" s="8"/>
      <c r="B118" s="9"/>
      <c r="C118" s="8"/>
      <c r="D118" s="9"/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11" t="s">
        <v>2089</v>
      </c>
    </row>
    <row r="119" spans="1:46" ht="15.1" customHeight="1">
      <c r="A119" s="8"/>
      <c r="B119" s="9"/>
      <c r="C119" s="8"/>
      <c r="D119" s="9"/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11" t="s">
        <v>2089</v>
      </c>
    </row>
    <row r="120" spans="1:46" ht="15.1" customHeight="1">
      <c r="A120" s="8">
        <v>39</v>
      </c>
      <c r="B120" s="9" t="s">
        <v>2164</v>
      </c>
      <c r="C120" s="8" t="s">
        <v>2165</v>
      </c>
      <c r="D120" s="9" t="s">
        <v>451</v>
      </c>
      <c r="E120" s="8" t="s">
        <v>54</v>
      </c>
      <c r="F120" s="8" t="s">
        <v>54</v>
      </c>
      <c r="G120" s="10" t="s">
        <v>67</v>
      </c>
      <c r="H120" s="8" t="s">
        <v>54</v>
      </c>
      <c r="I120" s="8" t="s">
        <v>54</v>
      </c>
      <c r="J120" s="8" t="s">
        <v>54</v>
      </c>
      <c r="K120" s="8" t="s">
        <v>54</v>
      </c>
      <c r="L120" s="8" t="s">
        <v>54</v>
      </c>
      <c r="M120" s="8" t="s">
        <v>54</v>
      </c>
      <c r="N120" s="10" t="s">
        <v>67</v>
      </c>
      <c r="O120" s="8" t="s">
        <v>54</v>
      </c>
      <c r="P120" s="8" t="s">
        <v>54</v>
      </c>
      <c r="Q120" s="8" t="s">
        <v>54</v>
      </c>
      <c r="R120" s="8" t="s">
        <v>54</v>
      </c>
      <c r="S120" s="8" t="s">
        <v>54</v>
      </c>
      <c r="T120" s="8" t="s">
        <v>54</v>
      </c>
      <c r="U120" s="10" t="s">
        <v>67</v>
      </c>
      <c r="V120" s="12" t="s">
        <v>55</v>
      </c>
      <c r="W120" s="12" t="s">
        <v>55</v>
      </c>
      <c r="X120" s="12" t="s">
        <v>55</v>
      </c>
      <c r="Y120" s="8" t="s">
        <v>54</v>
      </c>
      <c r="Z120" s="12" t="s">
        <v>55</v>
      </c>
      <c r="AA120" s="8" t="s">
        <v>54</v>
      </c>
      <c r="AB120" s="10" t="s">
        <v>67</v>
      </c>
      <c r="AC120" s="12" t="s">
        <v>55</v>
      </c>
      <c r="AD120" s="8" t="s">
        <v>54</v>
      </c>
      <c r="AE120" s="8" t="s">
        <v>54</v>
      </c>
      <c r="AF120" s="8" t="s">
        <v>54</v>
      </c>
      <c r="AG120" s="8" t="s">
        <v>54</v>
      </c>
      <c r="AH120" s="12" t="s">
        <v>55</v>
      </c>
      <c r="AI120" s="10" t="s">
        <v>67</v>
      </c>
      <c r="AJ120" s="8">
        <f>COUNTIF($E$120:$AI$120,"P")</f>
        <v>20</v>
      </c>
      <c r="AK120" s="8">
        <f>COUNTIF($E$120:$AI$120,"A")</f>
        <v>6</v>
      </c>
      <c r="AL120" s="8">
        <f>SUM($E$121:$AI$121)</f>
        <v>0</v>
      </c>
      <c r="AM120" s="8">
        <f>SUM($E$122:$AI$122)</f>
        <v>0</v>
      </c>
      <c r="AN120" s="8">
        <f>AL120+AM120</f>
        <v>0</v>
      </c>
      <c r="AO120" s="8">
        <f>COUNTIF($E$120:$AI$120,"CL")</f>
        <v>0</v>
      </c>
      <c r="AP120" s="8">
        <f>COUNTIF($E$120:$AI$120,"SL")</f>
        <v>0</v>
      </c>
      <c r="AQ120" s="8">
        <f>COUNTIF($E$120:$AI$120,"EL")</f>
        <v>0</v>
      </c>
      <c r="AR120" s="8">
        <f>COUNTIF($E$120:$AI$120,"H")</f>
        <v>0</v>
      </c>
      <c r="AS120" s="8"/>
      <c r="AT120" s="11" t="s">
        <v>2089</v>
      </c>
    </row>
    <row r="121" spans="1:46" ht="15.1" customHeight="1">
      <c r="A121" s="8"/>
      <c r="B121" s="9"/>
      <c r="C121" s="8"/>
      <c r="D121" s="9"/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11" t="s">
        <v>2089</v>
      </c>
    </row>
    <row r="122" spans="1:46" ht="15.1" customHeight="1">
      <c r="A122" s="8"/>
      <c r="B122" s="9"/>
      <c r="C122" s="8"/>
      <c r="D122" s="9"/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11" t="s">
        <v>2089</v>
      </c>
    </row>
    <row r="123" spans="1:46" ht="15.1" customHeight="1">
      <c r="A123" s="8">
        <v>40</v>
      </c>
      <c r="B123" s="9" t="s">
        <v>2166</v>
      </c>
      <c r="C123" s="8" t="s">
        <v>2167</v>
      </c>
      <c r="D123" s="9" t="s">
        <v>451</v>
      </c>
      <c r="E123" s="8" t="s">
        <v>54</v>
      </c>
      <c r="F123" s="8" t="s">
        <v>54</v>
      </c>
      <c r="G123" s="10" t="s">
        <v>67</v>
      </c>
      <c r="H123" s="8" t="s">
        <v>54</v>
      </c>
      <c r="I123" s="8" t="s">
        <v>54</v>
      </c>
      <c r="J123" s="8" t="s">
        <v>54</v>
      </c>
      <c r="K123" s="8" t="s">
        <v>54</v>
      </c>
      <c r="L123" s="8" t="s">
        <v>54</v>
      </c>
      <c r="M123" s="8" t="s">
        <v>54</v>
      </c>
      <c r="N123" s="10" t="s">
        <v>67</v>
      </c>
      <c r="O123" s="8" t="s">
        <v>54</v>
      </c>
      <c r="P123" s="8" t="s">
        <v>54</v>
      </c>
      <c r="Q123" s="8" t="s">
        <v>54</v>
      </c>
      <c r="R123" s="8" t="s">
        <v>54</v>
      </c>
      <c r="S123" s="8" t="s">
        <v>54</v>
      </c>
      <c r="T123" s="8" t="s">
        <v>54</v>
      </c>
      <c r="U123" s="10" t="s">
        <v>67</v>
      </c>
      <c r="V123" s="12" t="s">
        <v>55</v>
      </c>
      <c r="W123" s="8" t="s">
        <v>54</v>
      </c>
      <c r="X123" s="12" t="s">
        <v>55</v>
      </c>
      <c r="Y123" s="12" t="s">
        <v>55</v>
      </c>
      <c r="Z123" s="12" t="s">
        <v>55</v>
      </c>
      <c r="AA123" s="12" t="s">
        <v>55</v>
      </c>
      <c r="AB123" s="10" t="s">
        <v>67</v>
      </c>
      <c r="AC123" s="8" t="s">
        <v>54</v>
      </c>
      <c r="AD123" s="8" t="s">
        <v>54</v>
      </c>
      <c r="AE123" s="8" t="s">
        <v>54</v>
      </c>
      <c r="AF123" s="8" t="s">
        <v>54</v>
      </c>
      <c r="AG123" s="8" t="s">
        <v>54</v>
      </c>
      <c r="AH123" s="8" t="s">
        <v>54</v>
      </c>
      <c r="AI123" s="10" t="s">
        <v>67</v>
      </c>
      <c r="AJ123" s="8">
        <f>COUNTIF($E$123:$AI$123,"P")</f>
        <v>21</v>
      </c>
      <c r="AK123" s="8">
        <f>COUNTIF($E$123:$AI$123,"A")</f>
        <v>5</v>
      </c>
      <c r="AL123" s="8">
        <f>SUM($E$124:$AI$124)</f>
        <v>0</v>
      </c>
      <c r="AM123" s="8">
        <f>SUM($E$125:$AI$125)</f>
        <v>0</v>
      </c>
      <c r="AN123" s="8">
        <f>AL123+AM123</f>
        <v>0</v>
      </c>
      <c r="AO123" s="8">
        <f>COUNTIF($E$123:$AI$123,"CL")</f>
        <v>0</v>
      </c>
      <c r="AP123" s="8">
        <f>COUNTIF($E$123:$AI$123,"SL")</f>
        <v>0</v>
      </c>
      <c r="AQ123" s="8">
        <f>COUNTIF($E$123:$AI$123,"EL")</f>
        <v>0</v>
      </c>
      <c r="AR123" s="8">
        <f>COUNTIF($E$123:$AI$123,"H")</f>
        <v>0</v>
      </c>
      <c r="AS123" s="8"/>
      <c r="AT123" s="11" t="s">
        <v>2089</v>
      </c>
    </row>
    <row r="124" spans="1:46" ht="15.1" customHeight="1">
      <c r="A124" s="8"/>
      <c r="B124" s="9"/>
      <c r="C124" s="8"/>
      <c r="D124" s="9"/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11" t="s">
        <v>2089</v>
      </c>
    </row>
    <row r="125" spans="1:46" ht="15.1" customHeight="1">
      <c r="A125" s="8"/>
      <c r="B125" s="9"/>
      <c r="C125" s="8"/>
      <c r="D125" s="9"/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11" t="s">
        <v>2089</v>
      </c>
    </row>
    <row r="126" spans="1:46" ht="15.1" customHeight="1">
      <c r="A126" s="8">
        <v>41</v>
      </c>
      <c r="B126" s="9" t="s">
        <v>2168</v>
      </c>
      <c r="C126" s="8" t="s">
        <v>2169</v>
      </c>
      <c r="D126" s="9" t="s">
        <v>451</v>
      </c>
      <c r="E126" s="8" t="s">
        <v>54</v>
      </c>
      <c r="F126" s="8" t="s">
        <v>54</v>
      </c>
      <c r="G126" s="10" t="s">
        <v>67</v>
      </c>
      <c r="H126" s="8" t="s">
        <v>54</v>
      </c>
      <c r="I126" s="8" t="s">
        <v>54</v>
      </c>
      <c r="J126" s="8" t="s">
        <v>54</v>
      </c>
      <c r="K126" s="8" t="s">
        <v>54</v>
      </c>
      <c r="L126" s="8" t="s">
        <v>54</v>
      </c>
      <c r="M126" s="8" t="s">
        <v>54</v>
      </c>
      <c r="N126" s="10" t="s">
        <v>67</v>
      </c>
      <c r="O126" s="8" t="s">
        <v>54</v>
      </c>
      <c r="P126" s="8" t="s">
        <v>54</v>
      </c>
      <c r="Q126" s="8" t="s">
        <v>54</v>
      </c>
      <c r="R126" s="8" t="s">
        <v>54</v>
      </c>
      <c r="S126" s="8" t="s">
        <v>54</v>
      </c>
      <c r="T126" s="8" t="s">
        <v>54</v>
      </c>
      <c r="U126" s="10" t="s">
        <v>67</v>
      </c>
      <c r="V126" s="8" t="s">
        <v>54</v>
      </c>
      <c r="W126" s="8" t="s">
        <v>54</v>
      </c>
      <c r="X126" s="8" t="s">
        <v>54</v>
      </c>
      <c r="Y126" s="8" t="s">
        <v>54</v>
      </c>
      <c r="Z126" s="8" t="s">
        <v>54</v>
      </c>
      <c r="AA126" s="8" t="s">
        <v>54</v>
      </c>
      <c r="AB126" s="10" t="s">
        <v>67</v>
      </c>
      <c r="AC126" s="8" t="s">
        <v>54</v>
      </c>
      <c r="AD126" s="8" t="s">
        <v>54</v>
      </c>
      <c r="AE126" s="8" t="s">
        <v>54</v>
      </c>
      <c r="AF126" s="8" t="s">
        <v>54</v>
      </c>
      <c r="AG126" s="8" t="s">
        <v>54</v>
      </c>
      <c r="AH126" s="12" t="s">
        <v>55</v>
      </c>
      <c r="AI126" s="10" t="s">
        <v>67</v>
      </c>
      <c r="AJ126" s="8">
        <f>COUNTIF($E$126:$AI$126,"P")</f>
        <v>25</v>
      </c>
      <c r="AK126" s="8">
        <f>COUNTIF($E$126:$AI$126,"A")</f>
        <v>1</v>
      </c>
      <c r="AL126" s="8">
        <f>SUM($E$127:$AI$127)</f>
        <v>0</v>
      </c>
      <c r="AM126" s="8">
        <f>SUM($E$128:$AI$128)</f>
        <v>0</v>
      </c>
      <c r="AN126" s="8">
        <f>AL126+AM126</f>
        <v>0</v>
      </c>
      <c r="AO126" s="8">
        <f>COUNTIF($E$126:$AI$126,"CL")</f>
        <v>0</v>
      </c>
      <c r="AP126" s="8">
        <f>COUNTIF($E$126:$AI$126,"SL")</f>
        <v>0</v>
      </c>
      <c r="AQ126" s="8">
        <f>COUNTIF($E$126:$AI$126,"EL")</f>
        <v>0</v>
      </c>
      <c r="AR126" s="8">
        <f>COUNTIF($E$126:$AI$126,"H")</f>
        <v>0</v>
      </c>
      <c r="AS126" s="8"/>
      <c r="AT126" s="11" t="s">
        <v>2089</v>
      </c>
    </row>
    <row r="127" spans="1:46" ht="15.1" customHeight="1">
      <c r="A127" s="8"/>
      <c r="B127" s="9"/>
      <c r="C127" s="8"/>
      <c r="D127" s="9"/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11" t="s">
        <v>2089</v>
      </c>
    </row>
    <row r="128" spans="1:46" ht="15.1" customHeight="1">
      <c r="A128" s="8"/>
      <c r="B128" s="9"/>
      <c r="C128" s="8"/>
      <c r="D128" s="9"/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11" t="s">
        <v>2089</v>
      </c>
    </row>
    <row r="129" spans="1:46" ht="15.1" customHeight="1">
      <c r="A129" s="8">
        <v>42</v>
      </c>
      <c r="B129" s="9" t="s">
        <v>2170</v>
      </c>
      <c r="C129" s="8" t="s">
        <v>2171</v>
      </c>
      <c r="D129" s="9" t="s">
        <v>451</v>
      </c>
      <c r="E129" s="8" t="s">
        <v>54</v>
      </c>
      <c r="F129" s="8" t="s">
        <v>54</v>
      </c>
      <c r="G129" s="10" t="s">
        <v>67</v>
      </c>
      <c r="H129" s="8" t="s">
        <v>54</v>
      </c>
      <c r="I129" s="8" t="s">
        <v>54</v>
      </c>
      <c r="J129" s="8" t="s">
        <v>54</v>
      </c>
      <c r="K129" s="8" t="s">
        <v>54</v>
      </c>
      <c r="L129" s="8" t="s">
        <v>54</v>
      </c>
      <c r="M129" s="8" t="s">
        <v>54</v>
      </c>
      <c r="N129" s="10" t="s">
        <v>67</v>
      </c>
      <c r="O129" s="8" t="s">
        <v>54</v>
      </c>
      <c r="P129" s="8" t="s">
        <v>54</v>
      </c>
      <c r="Q129" s="8" t="s">
        <v>54</v>
      </c>
      <c r="R129" s="8" t="s">
        <v>54</v>
      </c>
      <c r="S129" s="8" t="s">
        <v>54</v>
      </c>
      <c r="T129" s="8" t="s">
        <v>54</v>
      </c>
      <c r="U129" s="10" t="s">
        <v>67</v>
      </c>
      <c r="V129" s="8" t="s">
        <v>54</v>
      </c>
      <c r="W129" s="8" t="s">
        <v>54</v>
      </c>
      <c r="X129" s="8" t="s">
        <v>54</v>
      </c>
      <c r="Y129" s="8" t="s">
        <v>54</v>
      </c>
      <c r="Z129" s="8" t="s">
        <v>54</v>
      </c>
      <c r="AA129" s="8" t="s">
        <v>54</v>
      </c>
      <c r="AB129" s="10" t="s">
        <v>67</v>
      </c>
      <c r="AC129" s="8" t="s">
        <v>54</v>
      </c>
      <c r="AD129" s="8" t="s">
        <v>54</v>
      </c>
      <c r="AE129" s="8" t="s">
        <v>54</v>
      </c>
      <c r="AF129" s="8" t="s">
        <v>54</v>
      </c>
      <c r="AG129" s="8" t="s">
        <v>54</v>
      </c>
      <c r="AH129" s="12" t="s">
        <v>55</v>
      </c>
      <c r="AI129" s="10" t="s">
        <v>67</v>
      </c>
      <c r="AJ129" s="8">
        <f>COUNTIF($E$129:$AI$129,"P")</f>
        <v>25</v>
      </c>
      <c r="AK129" s="8">
        <f>COUNTIF($E$129:$AI$129,"A")</f>
        <v>1</v>
      </c>
      <c r="AL129" s="8">
        <f>SUM($E$130:$AI$130)</f>
        <v>0</v>
      </c>
      <c r="AM129" s="8">
        <f>SUM($E$131:$AI$131)</f>
        <v>0</v>
      </c>
      <c r="AN129" s="8">
        <f>AL129+AM129</f>
        <v>0</v>
      </c>
      <c r="AO129" s="8">
        <f>COUNTIF($E$129:$AI$129,"CL")</f>
        <v>0</v>
      </c>
      <c r="AP129" s="8">
        <f>COUNTIF($E$129:$AI$129,"SL")</f>
        <v>0</v>
      </c>
      <c r="AQ129" s="8">
        <f>COUNTIF($E$129:$AI$129,"EL")</f>
        <v>0</v>
      </c>
      <c r="AR129" s="8">
        <f>COUNTIF($E$129:$AI$129,"H")</f>
        <v>0</v>
      </c>
      <c r="AS129" s="8"/>
      <c r="AT129" s="11" t="s">
        <v>2089</v>
      </c>
    </row>
    <row r="130" spans="1:46" ht="15.1" customHeight="1">
      <c r="A130" s="8"/>
      <c r="B130" s="9"/>
      <c r="C130" s="8"/>
      <c r="D130" s="9"/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11" t="s">
        <v>2089</v>
      </c>
    </row>
    <row r="131" spans="1:46" ht="15.1" customHeight="1">
      <c r="A131" s="8"/>
      <c r="B131" s="9"/>
      <c r="C131" s="8"/>
      <c r="D131" s="9"/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11" t="s">
        <v>2089</v>
      </c>
    </row>
    <row r="132" spans="1:46" ht="15.1" customHeight="1">
      <c r="A132" s="8">
        <v>43</v>
      </c>
      <c r="B132" s="9" t="s">
        <v>2172</v>
      </c>
      <c r="C132" s="8" t="s">
        <v>2173</v>
      </c>
      <c r="D132" s="9" t="s">
        <v>451</v>
      </c>
      <c r="E132" s="8" t="s">
        <v>54</v>
      </c>
      <c r="F132" s="8" t="s">
        <v>54</v>
      </c>
      <c r="G132" s="10" t="s">
        <v>67</v>
      </c>
      <c r="H132" s="8" t="s">
        <v>54</v>
      </c>
      <c r="I132" s="8" t="s">
        <v>54</v>
      </c>
      <c r="J132" s="8" t="s">
        <v>54</v>
      </c>
      <c r="K132" s="8" t="s">
        <v>54</v>
      </c>
      <c r="L132" s="8" t="s">
        <v>54</v>
      </c>
      <c r="M132" s="8" t="s">
        <v>54</v>
      </c>
      <c r="N132" s="10" t="s">
        <v>67</v>
      </c>
      <c r="O132" s="8" t="s">
        <v>54</v>
      </c>
      <c r="P132" s="8" t="s">
        <v>54</v>
      </c>
      <c r="Q132" s="8" t="s">
        <v>54</v>
      </c>
      <c r="R132" s="8" t="s">
        <v>54</v>
      </c>
      <c r="S132" s="8" t="s">
        <v>54</v>
      </c>
      <c r="T132" s="8" t="s">
        <v>54</v>
      </c>
      <c r="U132" s="10" t="s">
        <v>67</v>
      </c>
      <c r="V132" s="8" t="s">
        <v>54</v>
      </c>
      <c r="W132" s="8" t="s">
        <v>54</v>
      </c>
      <c r="X132" s="8" t="s">
        <v>54</v>
      </c>
      <c r="Y132" s="8" t="s">
        <v>54</v>
      </c>
      <c r="Z132" s="8" t="s">
        <v>54</v>
      </c>
      <c r="AA132" s="8" t="s">
        <v>54</v>
      </c>
      <c r="AB132" s="10" t="s">
        <v>67</v>
      </c>
      <c r="AC132" s="8" t="s">
        <v>54</v>
      </c>
      <c r="AD132" s="8" t="s">
        <v>54</v>
      </c>
      <c r="AE132" s="8" t="s">
        <v>54</v>
      </c>
      <c r="AF132" s="8" t="s">
        <v>54</v>
      </c>
      <c r="AG132" s="8" t="s">
        <v>54</v>
      </c>
      <c r="AH132" s="12" t="s">
        <v>55</v>
      </c>
      <c r="AI132" s="10" t="s">
        <v>67</v>
      </c>
      <c r="AJ132" s="8">
        <f>COUNTIF($E$132:$AI$132,"P")</f>
        <v>25</v>
      </c>
      <c r="AK132" s="8">
        <f>COUNTIF($E$132:$AI$132,"A")</f>
        <v>1</v>
      </c>
      <c r="AL132" s="8">
        <f>SUM($E$133:$AI$133)</f>
        <v>0</v>
      </c>
      <c r="AM132" s="8">
        <f>SUM($E$134:$AI$134)</f>
        <v>0</v>
      </c>
      <c r="AN132" s="8">
        <f>AL132+AM132</f>
        <v>0</v>
      </c>
      <c r="AO132" s="8">
        <f>COUNTIF($E$132:$AI$132,"CL")</f>
        <v>0</v>
      </c>
      <c r="AP132" s="8">
        <f>COUNTIF($E$132:$AI$132,"SL")</f>
        <v>0</v>
      </c>
      <c r="AQ132" s="8">
        <f>COUNTIF($E$132:$AI$132,"EL")</f>
        <v>0</v>
      </c>
      <c r="AR132" s="8">
        <f>COUNTIF($E$132:$AI$132,"H")</f>
        <v>0</v>
      </c>
      <c r="AS132" s="8"/>
      <c r="AT132" s="11" t="s">
        <v>2089</v>
      </c>
    </row>
    <row r="133" spans="1:46" ht="15.1" customHeight="1">
      <c r="A133" s="8"/>
      <c r="B133" s="9"/>
      <c r="C133" s="8"/>
      <c r="D133" s="9"/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11" t="s">
        <v>2089</v>
      </c>
    </row>
    <row r="134" spans="1:46" ht="15.1" customHeight="1">
      <c r="A134" s="8"/>
      <c r="B134" s="9"/>
      <c r="C134" s="8"/>
      <c r="D134" s="9"/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11" t="s">
        <v>2089</v>
      </c>
    </row>
    <row r="135" spans="1:46" ht="15.1" customHeight="1">
      <c r="A135" s="8">
        <v>44</v>
      </c>
      <c r="B135" s="9" t="s">
        <v>2174</v>
      </c>
      <c r="C135" s="8" t="s">
        <v>2175</v>
      </c>
      <c r="D135" s="9" t="s">
        <v>451</v>
      </c>
      <c r="E135" s="12" t="s">
        <v>55</v>
      </c>
      <c r="F135" s="8" t="s">
        <v>54</v>
      </c>
      <c r="G135" s="10" t="s">
        <v>67</v>
      </c>
      <c r="H135" s="8" t="s">
        <v>54</v>
      </c>
      <c r="I135" s="8" t="s">
        <v>54</v>
      </c>
      <c r="J135" s="12" t="s">
        <v>55</v>
      </c>
      <c r="K135" s="8" t="s">
        <v>54</v>
      </c>
      <c r="L135" s="8" t="s">
        <v>54</v>
      </c>
      <c r="M135" s="8" t="s">
        <v>54</v>
      </c>
      <c r="N135" s="10" t="s">
        <v>67</v>
      </c>
      <c r="O135" s="8" t="s">
        <v>54</v>
      </c>
      <c r="P135" s="8" t="s">
        <v>54</v>
      </c>
      <c r="Q135" s="8" t="s">
        <v>54</v>
      </c>
      <c r="R135" s="8" t="s">
        <v>54</v>
      </c>
      <c r="S135" s="8" t="s">
        <v>54</v>
      </c>
      <c r="T135" s="8" t="s">
        <v>54</v>
      </c>
      <c r="U135" s="10" t="s">
        <v>67</v>
      </c>
      <c r="V135" s="8" t="s">
        <v>54</v>
      </c>
      <c r="W135" s="12" t="s">
        <v>55</v>
      </c>
      <c r="X135" s="8" t="s">
        <v>54</v>
      </c>
      <c r="Y135" s="8" t="s">
        <v>54</v>
      </c>
      <c r="Z135" s="8" t="s">
        <v>54</v>
      </c>
      <c r="AA135" s="8" t="s">
        <v>54</v>
      </c>
      <c r="AB135" s="10" t="s">
        <v>67</v>
      </c>
      <c r="AC135" s="8" t="s">
        <v>54</v>
      </c>
      <c r="AD135" s="8" t="s">
        <v>54</v>
      </c>
      <c r="AE135" s="8" t="s">
        <v>54</v>
      </c>
      <c r="AF135" s="8" t="s">
        <v>54</v>
      </c>
      <c r="AG135" s="8" t="s">
        <v>54</v>
      </c>
      <c r="AH135" s="8" t="s">
        <v>54</v>
      </c>
      <c r="AI135" s="10" t="s">
        <v>67</v>
      </c>
      <c r="AJ135" s="8">
        <f>COUNTIF($E$135:$AI$135,"P")</f>
        <v>23</v>
      </c>
      <c r="AK135" s="8">
        <f>COUNTIF($E$135:$AI$135,"A")</f>
        <v>3</v>
      </c>
      <c r="AL135" s="8">
        <f>SUM($E$136:$AI$136)</f>
        <v>0</v>
      </c>
      <c r="AM135" s="8">
        <f>SUM($E$137:$AI$137)</f>
        <v>0</v>
      </c>
      <c r="AN135" s="8">
        <f>AL135+AM135</f>
        <v>0</v>
      </c>
      <c r="AO135" s="8">
        <f>COUNTIF($E$135:$AI$135,"CL")</f>
        <v>0</v>
      </c>
      <c r="AP135" s="8">
        <f>COUNTIF($E$135:$AI$135,"SL")</f>
        <v>0</v>
      </c>
      <c r="AQ135" s="8">
        <f>COUNTIF($E$135:$AI$135,"EL")</f>
        <v>0</v>
      </c>
      <c r="AR135" s="8">
        <f>COUNTIF($E$135:$AI$135,"H")</f>
        <v>0</v>
      </c>
      <c r="AS135" s="8"/>
      <c r="AT135" s="11" t="s">
        <v>2089</v>
      </c>
    </row>
    <row r="136" spans="1:46" ht="15.1" customHeight="1">
      <c r="A136" s="8"/>
      <c r="B136" s="9"/>
      <c r="C136" s="8"/>
      <c r="D136" s="9"/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11" t="s">
        <v>2089</v>
      </c>
    </row>
    <row r="137" spans="1:46" ht="15.1" customHeight="1">
      <c r="A137" s="8"/>
      <c r="B137" s="9"/>
      <c r="C137" s="8"/>
      <c r="D137" s="9"/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11" t="s">
        <v>2089</v>
      </c>
    </row>
    <row r="138" spans="1:46" ht="15.1" customHeight="1">
      <c r="A138" s="8">
        <v>45</v>
      </c>
      <c r="B138" s="9" t="s">
        <v>2176</v>
      </c>
      <c r="C138" s="8" t="s">
        <v>2177</v>
      </c>
      <c r="D138" s="9" t="s">
        <v>451</v>
      </c>
      <c r="E138" s="8" t="s">
        <v>54</v>
      </c>
      <c r="F138" s="8" t="s">
        <v>54</v>
      </c>
      <c r="G138" s="10" t="s">
        <v>67</v>
      </c>
      <c r="H138" s="8" t="s">
        <v>54</v>
      </c>
      <c r="I138" s="8" t="s">
        <v>54</v>
      </c>
      <c r="J138" s="8" t="s">
        <v>54</v>
      </c>
      <c r="K138" s="8" t="s">
        <v>54</v>
      </c>
      <c r="L138" s="8" t="s">
        <v>54</v>
      </c>
      <c r="M138" s="8" t="s">
        <v>54</v>
      </c>
      <c r="N138" s="10" t="s">
        <v>67</v>
      </c>
      <c r="O138" s="8" t="s">
        <v>54</v>
      </c>
      <c r="P138" s="8" t="s">
        <v>54</v>
      </c>
      <c r="Q138" s="8" t="s">
        <v>54</v>
      </c>
      <c r="R138" s="8" t="s">
        <v>54</v>
      </c>
      <c r="S138" s="8" t="s">
        <v>54</v>
      </c>
      <c r="T138" s="8" t="s">
        <v>54</v>
      </c>
      <c r="U138" s="10" t="s">
        <v>67</v>
      </c>
      <c r="V138" s="8" t="s">
        <v>54</v>
      </c>
      <c r="W138" s="12" t="s">
        <v>55</v>
      </c>
      <c r="X138" s="8" t="s">
        <v>54</v>
      </c>
      <c r="Y138" s="8" t="s">
        <v>54</v>
      </c>
      <c r="Z138" s="8" t="s">
        <v>54</v>
      </c>
      <c r="AA138" s="8" t="s">
        <v>54</v>
      </c>
      <c r="AB138" s="10" t="s">
        <v>67</v>
      </c>
      <c r="AC138" s="12" t="s">
        <v>55</v>
      </c>
      <c r="AD138" s="12" t="s">
        <v>55</v>
      </c>
      <c r="AE138" s="8" t="s">
        <v>54</v>
      </c>
      <c r="AF138" s="8" t="s">
        <v>54</v>
      </c>
      <c r="AG138" s="8" t="s">
        <v>54</v>
      </c>
      <c r="AH138" s="8" t="s">
        <v>54</v>
      </c>
      <c r="AI138" s="10" t="s">
        <v>67</v>
      </c>
      <c r="AJ138" s="8">
        <f>COUNTIF($E$138:$AI$138,"P")</f>
        <v>23</v>
      </c>
      <c r="AK138" s="8">
        <f>COUNTIF($E$138:$AI$138,"A")</f>
        <v>3</v>
      </c>
      <c r="AL138" s="8">
        <f>SUM($E$139:$AI$139)</f>
        <v>0</v>
      </c>
      <c r="AM138" s="8">
        <f>SUM($E$140:$AI$140)</f>
        <v>0</v>
      </c>
      <c r="AN138" s="8">
        <f>AL138+AM138</f>
        <v>0</v>
      </c>
      <c r="AO138" s="8">
        <f>COUNTIF($E$138:$AI$138,"CL")</f>
        <v>0</v>
      </c>
      <c r="AP138" s="8">
        <f>COUNTIF($E$138:$AI$138,"SL")</f>
        <v>0</v>
      </c>
      <c r="AQ138" s="8">
        <f>COUNTIF($E$138:$AI$138,"EL")</f>
        <v>0</v>
      </c>
      <c r="AR138" s="8">
        <f>COUNTIF($E$138:$AI$138,"H")</f>
        <v>0</v>
      </c>
      <c r="AS138" s="8"/>
      <c r="AT138" s="11" t="s">
        <v>2089</v>
      </c>
    </row>
    <row r="139" spans="1:46" ht="15.1" customHeight="1">
      <c r="A139" s="8"/>
      <c r="B139" s="9"/>
      <c r="C139" s="8"/>
      <c r="D139" s="9"/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11" t="s">
        <v>2089</v>
      </c>
    </row>
    <row r="140" spans="1:46" ht="15.1" customHeight="1">
      <c r="A140" s="8"/>
      <c r="B140" s="9"/>
      <c r="C140" s="8"/>
      <c r="D140" s="9"/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11" t="s">
        <v>2089</v>
      </c>
    </row>
    <row r="141" spans="1:46" ht="15.1" customHeight="1">
      <c r="A141" s="8">
        <v>46</v>
      </c>
      <c r="B141" s="9" t="s">
        <v>2178</v>
      </c>
      <c r="C141" s="8" t="s">
        <v>2179</v>
      </c>
      <c r="D141" s="9" t="s">
        <v>451</v>
      </c>
      <c r="E141" s="8" t="s">
        <v>54</v>
      </c>
      <c r="F141" s="8" t="s">
        <v>54</v>
      </c>
      <c r="G141" s="10" t="s">
        <v>67</v>
      </c>
      <c r="H141" s="8" t="s">
        <v>54</v>
      </c>
      <c r="I141" s="8" t="s">
        <v>54</v>
      </c>
      <c r="J141" s="8" t="s">
        <v>54</v>
      </c>
      <c r="K141" s="8" t="s">
        <v>54</v>
      </c>
      <c r="L141" s="8" t="s">
        <v>54</v>
      </c>
      <c r="M141" s="12" t="s">
        <v>55</v>
      </c>
      <c r="N141" s="10" t="s">
        <v>67</v>
      </c>
      <c r="O141" s="8" t="s">
        <v>54</v>
      </c>
      <c r="P141" s="8" t="s">
        <v>54</v>
      </c>
      <c r="Q141" s="8" t="s">
        <v>54</v>
      </c>
      <c r="R141" s="8" t="s">
        <v>54</v>
      </c>
      <c r="S141" s="8" t="s">
        <v>54</v>
      </c>
      <c r="T141" s="8" t="s">
        <v>54</v>
      </c>
      <c r="U141" s="10" t="s">
        <v>67</v>
      </c>
      <c r="V141" s="8" t="s">
        <v>54</v>
      </c>
      <c r="W141" s="8" t="s">
        <v>54</v>
      </c>
      <c r="X141" s="8" t="s">
        <v>54</v>
      </c>
      <c r="Y141" s="8" t="s">
        <v>54</v>
      </c>
      <c r="Z141" s="8" t="s">
        <v>54</v>
      </c>
      <c r="AA141" s="8" t="s">
        <v>54</v>
      </c>
      <c r="AB141" s="10" t="s">
        <v>67</v>
      </c>
      <c r="AC141" s="8" t="s">
        <v>54</v>
      </c>
      <c r="AD141" s="8" t="s">
        <v>54</v>
      </c>
      <c r="AE141" s="8" t="s">
        <v>54</v>
      </c>
      <c r="AF141" s="8" t="s">
        <v>54</v>
      </c>
      <c r="AG141" s="8" t="s">
        <v>54</v>
      </c>
      <c r="AH141" s="8" t="s">
        <v>54</v>
      </c>
      <c r="AI141" s="10" t="s">
        <v>67</v>
      </c>
      <c r="AJ141" s="8">
        <f>COUNTIF($E$141:$AI$141,"P")</f>
        <v>25</v>
      </c>
      <c r="AK141" s="8">
        <f>COUNTIF($E$141:$AI$141,"A")</f>
        <v>1</v>
      </c>
      <c r="AL141" s="8">
        <f>SUM($E$142:$AI$142)</f>
        <v>0</v>
      </c>
      <c r="AM141" s="8">
        <f>SUM($E$143:$AI$143)</f>
        <v>0</v>
      </c>
      <c r="AN141" s="8">
        <f>AL141+AM141</f>
        <v>0</v>
      </c>
      <c r="AO141" s="8">
        <f>COUNTIF($E$141:$AI$141,"CL")</f>
        <v>0</v>
      </c>
      <c r="AP141" s="8">
        <f>COUNTIF($E$141:$AI$141,"SL")</f>
        <v>0</v>
      </c>
      <c r="AQ141" s="8">
        <f>COUNTIF($E$141:$AI$141,"EL")</f>
        <v>0</v>
      </c>
      <c r="AR141" s="8">
        <f>COUNTIF($E$141:$AI$141,"H")</f>
        <v>0</v>
      </c>
      <c r="AS141" s="8"/>
      <c r="AT141" s="11" t="s">
        <v>2089</v>
      </c>
    </row>
    <row r="142" spans="1:46" ht="15.1" customHeight="1">
      <c r="A142" s="8"/>
      <c r="B142" s="9"/>
      <c r="C142" s="8"/>
      <c r="D142" s="9"/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11" t="s">
        <v>2089</v>
      </c>
    </row>
    <row r="143" spans="1:46" ht="15.1" customHeight="1">
      <c r="A143" s="8"/>
      <c r="B143" s="9"/>
      <c r="C143" s="8"/>
      <c r="D143" s="9"/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11" t="s">
        <v>2089</v>
      </c>
    </row>
    <row r="144" spans="1:46" ht="15.1" customHeight="1">
      <c r="A144" s="8">
        <v>47</v>
      </c>
      <c r="B144" s="9" t="s">
        <v>2180</v>
      </c>
      <c r="C144" s="8" t="s">
        <v>2181</v>
      </c>
      <c r="D144" s="9" t="s">
        <v>451</v>
      </c>
      <c r="E144" s="12" t="s">
        <v>55</v>
      </c>
      <c r="F144" s="12" t="s">
        <v>55</v>
      </c>
      <c r="G144" s="10" t="s">
        <v>67</v>
      </c>
      <c r="H144" s="8" t="s">
        <v>54</v>
      </c>
      <c r="I144" s="8" t="s">
        <v>54</v>
      </c>
      <c r="J144" s="8" t="s">
        <v>54</v>
      </c>
      <c r="K144" s="12" t="s">
        <v>55</v>
      </c>
      <c r="L144" s="12" t="s">
        <v>55</v>
      </c>
      <c r="M144" s="12" t="s">
        <v>55</v>
      </c>
      <c r="N144" s="10" t="s">
        <v>67</v>
      </c>
      <c r="O144" s="8" t="s">
        <v>54</v>
      </c>
      <c r="P144" s="8" t="s">
        <v>54</v>
      </c>
      <c r="Q144" s="8" t="s">
        <v>54</v>
      </c>
      <c r="R144" s="8" t="s">
        <v>54</v>
      </c>
      <c r="S144" s="8" t="s">
        <v>54</v>
      </c>
      <c r="T144" s="8" t="s">
        <v>54</v>
      </c>
      <c r="U144" s="10" t="s">
        <v>67</v>
      </c>
      <c r="V144" s="8" t="s">
        <v>54</v>
      </c>
      <c r="W144" s="8" t="s">
        <v>54</v>
      </c>
      <c r="X144" s="8" t="s">
        <v>54</v>
      </c>
      <c r="Y144" s="8" t="s">
        <v>54</v>
      </c>
      <c r="Z144" s="8" t="s">
        <v>54</v>
      </c>
      <c r="AA144" s="8" t="s">
        <v>54</v>
      </c>
      <c r="AB144" s="10" t="s">
        <v>67</v>
      </c>
      <c r="AC144" s="8" t="s">
        <v>54</v>
      </c>
      <c r="AD144" s="8" t="s">
        <v>54</v>
      </c>
      <c r="AE144" s="8" t="s">
        <v>54</v>
      </c>
      <c r="AF144" s="8" t="s">
        <v>54</v>
      </c>
      <c r="AG144" s="12" t="s">
        <v>55</v>
      </c>
      <c r="AH144" s="12" t="s">
        <v>55</v>
      </c>
      <c r="AI144" s="10" t="s">
        <v>67</v>
      </c>
      <c r="AJ144" s="8">
        <f>COUNTIF($E$144:$AI$144,"P")</f>
        <v>19</v>
      </c>
      <c r="AK144" s="8">
        <f>COUNTIF($E$144:$AI$144,"A")</f>
        <v>7</v>
      </c>
      <c r="AL144" s="8">
        <f>SUM($E$145:$AI$145)</f>
        <v>0</v>
      </c>
      <c r="AM144" s="8">
        <f>SUM($E$146:$AI$146)</f>
        <v>0</v>
      </c>
      <c r="AN144" s="8">
        <f>AL144+AM144</f>
        <v>0</v>
      </c>
      <c r="AO144" s="8">
        <f>COUNTIF($E$144:$AI$144,"CL")</f>
        <v>0</v>
      </c>
      <c r="AP144" s="8">
        <f>COUNTIF($E$144:$AI$144,"SL")</f>
        <v>0</v>
      </c>
      <c r="AQ144" s="8">
        <f>COUNTIF($E$144:$AI$144,"EL")</f>
        <v>0</v>
      </c>
      <c r="AR144" s="8">
        <f>COUNTIF($E$144:$AI$144,"H")</f>
        <v>0</v>
      </c>
      <c r="AS144" s="8"/>
      <c r="AT144" s="11" t="s">
        <v>2089</v>
      </c>
    </row>
    <row r="145" spans="1:46" ht="15.1" customHeight="1">
      <c r="A145" s="8"/>
      <c r="B145" s="9"/>
      <c r="C145" s="8"/>
      <c r="D145" s="9"/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11" t="s">
        <v>2089</v>
      </c>
    </row>
    <row r="146" spans="1:46" ht="15.1" customHeight="1">
      <c r="A146" s="8"/>
      <c r="B146" s="9"/>
      <c r="C146" s="8"/>
      <c r="D146" s="9"/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11" t="s">
        <v>2089</v>
      </c>
    </row>
    <row r="147" spans="1:46" ht="15.1" customHeight="1">
      <c r="A147" s="8">
        <v>48</v>
      </c>
      <c r="B147" s="9" t="s">
        <v>2182</v>
      </c>
      <c r="C147" s="8" t="s">
        <v>2183</v>
      </c>
      <c r="D147" s="9" t="s">
        <v>451</v>
      </c>
      <c r="E147" s="12" t="s">
        <v>55</v>
      </c>
      <c r="F147" s="8" t="s">
        <v>54</v>
      </c>
      <c r="G147" s="10" t="s">
        <v>67</v>
      </c>
      <c r="H147" s="8" t="s">
        <v>54</v>
      </c>
      <c r="I147" s="8" t="s">
        <v>54</v>
      </c>
      <c r="J147" s="12" t="s">
        <v>55</v>
      </c>
      <c r="K147" s="8" t="s">
        <v>54</v>
      </c>
      <c r="L147" s="8" t="s">
        <v>54</v>
      </c>
      <c r="M147" s="8" t="s">
        <v>54</v>
      </c>
      <c r="N147" s="10" t="s">
        <v>67</v>
      </c>
      <c r="O147" s="8" t="s">
        <v>54</v>
      </c>
      <c r="P147" s="8" t="s">
        <v>54</v>
      </c>
      <c r="Q147" s="8" t="s">
        <v>54</v>
      </c>
      <c r="R147" s="8" t="s">
        <v>54</v>
      </c>
      <c r="S147" s="8" t="s">
        <v>54</v>
      </c>
      <c r="T147" s="8" t="s">
        <v>54</v>
      </c>
      <c r="U147" s="10" t="s">
        <v>67</v>
      </c>
      <c r="V147" s="8" t="s">
        <v>54</v>
      </c>
      <c r="W147" s="12" t="s">
        <v>55</v>
      </c>
      <c r="X147" s="8" t="s">
        <v>54</v>
      </c>
      <c r="Y147" s="8" t="s">
        <v>54</v>
      </c>
      <c r="Z147" s="8" t="s">
        <v>54</v>
      </c>
      <c r="AA147" s="8" t="s">
        <v>54</v>
      </c>
      <c r="AB147" s="10" t="s">
        <v>67</v>
      </c>
      <c r="AC147" s="8" t="s">
        <v>54</v>
      </c>
      <c r="AD147" s="8" t="s">
        <v>54</v>
      </c>
      <c r="AE147" s="8" t="s">
        <v>54</v>
      </c>
      <c r="AF147" s="8" t="s">
        <v>54</v>
      </c>
      <c r="AG147" s="8" t="s">
        <v>54</v>
      </c>
      <c r="AH147" s="8" t="s">
        <v>54</v>
      </c>
      <c r="AI147" s="10" t="s">
        <v>67</v>
      </c>
      <c r="AJ147" s="8">
        <f>COUNTIF($E$147:$AI$147,"P")</f>
        <v>23</v>
      </c>
      <c r="AK147" s="8">
        <f>COUNTIF($E$147:$AI$147,"A")</f>
        <v>3</v>
      </c>
      <c r="AL147" s="8">
        <f>SUM($E$148:$AI$148)</f>
        <v>0</v>
      </c>
      <c r="AM147" s="8">
        <f>SUM($E$149:$AI$149)</f>
        <v>0</v>
      </c>
      <c r="AN147" s="8">
        <f>AL147+AM147</f>
        <v>0</v>
      </c>
      <c r="AO147" s="8">
        <f>COUNTIF($E$147:$AI$147,"CL")</f>
        <v>0</v>
      </c>
      <c r="AP147" s="8">
        <f>COUNTIF($E$147:$AI$147,"SL")</f>
        <v>0</v>
      </c>
      <c r="AQ147" s="8">
        <f>COUNTIF($E$147:$AI$147,"EL")</f>
        <v>0</v>
      </c>
      <c r="AR147" s="8">
        <f>COUNTIF($E$147:$AI$147,"H")</f>
        <v>0</v>
      </c>
      <c r="AS147" s="8"/>
      <c r="AT147" s="11" t="s">
        <v>2089</v>
      </c>
    </row>
    <row r="148" spans="1:46" ht="15.1" customHeight="1">
      <c r="A148" s="8"/>
      <c r="B148" s="9"/>
      <c r="C148" s="8"/>
      <c r="D148" s="9"/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11" t="s">
        <v>2089</v>
      </c>
    </row>
    <row r="149" spans="1:46" ht="15.1" customHeight="1">
      <c r="A149" s="8"/>
      <c r="B149" s="9"/>
      <c r="C149" s="8"/>
      <c r="D149" s="9"/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11" t="s">
        <v>2089</v>
      </c>
    </row>
    <row r="150" spans="1:46" ht="15.1" customHeight="1">
      <c r="A150" s="8">
        <v>49</v>
      </c>
      <c r="B150" s="9" t="s">
        <v>2184</v>
      </c>
      <c r="C150" s="8" t="s">
        <v>2185</v>
      </c>
      <c r="D150" s="9" t="s">
        <v>451</v>
      </c>
      <c r="E150" s="8" t="s">
        <v>54</v>
      </c>
      <c r="F150" s="8" t="s">
        <v>54</v>
      </c>
      <c r="G150" s="10" t="s">
        <v>67</v>
      </c>
      <c r="H150" s="8" t="s">
        <v>54</v>
      </c>
      <c r="I150" s="8" t="s">
        <v>54</v>
      </c>
      <c r="J150" s="8" t="s">
        <v>54</v>
      </c>
      <c r="K150" s="8" t="s">
        <v>54</v>
      </c>
      <c r="L150" s="8" t="s">
        <v>54</v>
      </c>
      <c r="M150" s="8" t="s">
        <v>54</v>
      </c>
      <c r="N150" s="10" t="s">
        <v>67</v>
      </c>
      <c r="O150" s="8" t="s">
        <v>54</v>
      </c>
      <c r="P150" s="8" t="s">
        <v>54</v>
      </c>
      <c r="Q150" s="8" t="s">
        <v>54</v>
      </c>
      <c r="R150" s="8" t="s">
        <v>54</v>
      </c>
      <c r="S150" s="8" t="s">
        <v>54</v>
      </c>
      <c r="T150" s="8" t="s">
        <v>54</v>
      </c>
      <c r="U150" s="10" t="s">
        <v>67</v>
      </c>
      <c r="V150" s="8" t="s">
        <v>54</v>
      </c>
      <c r="W150" s="8" t="s">
        <v>54</v>
      </c>
      <c r="X150" s="8" t="s">
        <v>54</v>
      </c>
      <c r="Y150" s="8" t="s">
        <v>54</v>
      </c>
      <c r="Z150" s="8" t="s">
        <v>54</v>
      </c>
      <c r="AA150" s="8" t="s">
        <v>54</v>
      </c>
      <c r="AB150" s="10" t="s">
        <v>67</v>
      </c>
      <c r="AC150" s="8" t="s">
        <v>54</v>
      </c>
      <c r="AD150" s="8" t="s">
        <v>54</v>
      </c>
      <c r="AE150" s="8" t="s">
        <v>54</v>
      </c>
      <c r="AF150" s="8" t="s">
        <v>54</v>
      </c>
      <c r="AG150" s="8" t="s">
        <v>54</v>
      </c>
      <c r="AH150" s="8" t="s">
        <v>54</v>
      </c>
      <c r="AI150" s="10" t="s">
        <v>67</v>
      </c>
      <c r="AJ150" s="8">
        <f>COUNTIF($E$150:$AI$150,"P")</f>
        <v>26</v>
      </c>
      <c r="AK150" s="8">
        <f>COUNTIF($E$150:$AI$150,"A")</f>
        <v>0</v>
      </c>
      <c r="AL150" s="8">
        <f>SUM($E$151:$AI$151)</f>
        <v>0</v>
      </c>
      <c r="AM150" s="8">
        <f>SUM($E$152:$AI$152)</f>
        <v>0</v>
      </c>
      <c r="AN150" s="8">
        <f>AL150+AM150</f>
        <v>0</v>
      </c>
      <c r="AO150" s="8">
        <f>COUNTIF($E$150:$AI$150,"CL")</f>
        <v>0</v>
      </c>
      <c r="AP150" s="8">
        <f>COUNTIF($E$150:$AI$150,"SL")</f>
        <v>0</v>
      </c>
      <c r="AQ150" s="8">
        <f>COUNTIF($E$150:$AI$150,"EL")</f>
        <v>0</v>
      </c>
      <c r="AR150" s="8">
        <f>COUNTIF($E$150:$AI$150,"H")</f>
        <v>0</v>
      </c>
      <c r="AS150" s="8"/>
      <c r="AT150" s="11" t="s">
        <v>2089</v>
      </c>
    </row>
    <row r="151" spans="1:46" ht="15.1" customHeight="1">
      <c r="A151" s="8"/>
      <c r="B151" s="9"/>
      <c r="C151" s="8"/>
      <c r="D151" s="9"/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11" t="s">
        <v>2089</v>
      </c>
    </row>
    <row r="152" spans="1:46" ht="15.1" customHeight="1">
      <c r="A152" s="8"/>
      <c r="B152" s="9"/>
      <c r="C152" s="8"/>
      <c r="D152" s="9"/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11" t="s">
        <v>2089</v>
      </c>
    </row>
    <row r="153" spans="1:46" ht="15.1" customHeight="1">
      <c r="A153" s="8">
        <v>50</v>
      </c>
      <c r="B153" s="9" t="s">
        <v>2186</v>
      </c>
      <c r="C153" s="8" t="s">
        <v>2187</v>
      </c>
      <c r="D153" s="9" t="s">
        <v>451</v>
      </c>
      <c r="E153" s="12" t="s">
        <v>55</v>
      </c>
      <c r="F153" s="8" t="s">
        <v>54</v>
      </c>
      <c r="G153" s="10" t="s">
        <v>67</v>
      </c>
      <c r="H153" s="8" t="s">
        <v>54</v>
      </c>
      <c r="I153" s="8" t="s">
        <v>54</v>
      </c>
      <c r="J153" s="8" t="s">
        <v>54</v>
      </c>
      <c r="K153" s="8" t="s">
        <v>54</v>
      </c>
      <c r="L153" s="8" t="s">
        <v>54</v>
      </c>
      <c r="M153" s="8" t="s">
        <v>54</v>
      </c>
      <c r="N153" s="10" t="s">
        <v>67</v>
      </c>
      <c r="O153" s="8" t="s">
        <v>54</v>
      </c>
      <c r="P153" s="8" t="s">
        <v>54</v>
      </c>
      <c r="Q153" s="8" t="s">
        <v>54</v>
      </c>
      <c r="R153" s="8" t="s">
        <v>54</v>
      </c>
      <c r="S153" s="8" t="s">
        <v>54</v>
      </c>
      <c r="T153" s="8" t="s">
        <v>54</v>
      </c>
      <c r="U153" s="10" t="s">
        <v>67</v>
      </c>
      <c r="V153" s="8" t="s">
        <v>54</v>
      </c>
      <c r="W153" s="8" t="s">
        <v>54</v>
      </c>
      <c r="X153" s="8" t="s">
        <v>54</v>
      </c>
      <c r="Y153" s="8" t="s">
        <v>54</v>
      </c>
      <c r="Z153" s="12" t="s">
        <v>55</v>
      </c>
      <c r="AA153" s="12" t="s">
        <v>55</v>
      </c>
      <c r="AB153" s="10" t="s">
        <v>67</v>
      </c>
      <c r="AC153" s="12" t="s">
        <v>55</v>
      </c>
      <c r="AD153" s="8" t="s">
        <v>54</v>
      </c>
      <c r="AE153" s="8" t="s">
        <v>54</v>
      </c>
      <c r="AF153" s="8" t="s">
        <v>54</v>
      </c>
      <c r="AG153" s="8" t="s">
        <v>54</v>
      </c>
      <c r="AH153" s="12" t="s">
        <v>55</v>
      </c>
      <c r="AI153" s="10" t="s">
        <v>67</v>
      </c>
      <c r="AJ153" s="8">
        <f>COUNTIF($E$153:$AI$153,"P")</f>
        <v>21</v>
      </c>
      <c r="AK153" s="8">
        <f>COUNTIF($E$153:$AI$153,"A")</f>
        <v>5</v>
      </c>
      <c r="AL153" s="8">
        <f>SUM($E$154:$AI$154)</f>
        <v>0</v>
      </c>
      <c r="AM153" s="8">
        <f>SUM($E$155:$AI$155)</f>
        <v>0</v>
      </c>
      <c r="AN153" s="8">
        <f>AL153+AM153</f>
        <v>0</v>
      </c>
      <c r="AO153" s="8">
        <f>COUNTIF($E$153:$AI$153,"CL")</f>
        <v>0</v>
      </c>
      <c r="AP153" s="8">
        <f>COUNTIF($E$153:$AI$153,"SL")</f>
        <v>0</v>
      </c>
      <c r="AQ153" s="8">
        <f>COUNTIF($E$153:$AI$153,"EL")</f>
        <v>0</v>
      </c>
      <c r="AR153" s="8">
        <f>COUNTIF($E$153:$AI$153,"H")</f>
        <v>0</v>
      </c>
      <c r="AS153" s="8"/>
      <c r="AT153" s="11" t="s">
        <v>2089</v>
      </c>
    </row>
    <row r="154" spans="1:46" ht="15.1" customHeight="1">
      <c r="A154" s="8"/>
      <c r="B154" s="9"/>
      <c r="C154" s="8"/>
      <c r="D154" s="9"/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11" t="s">
        <v>2089</v>
      </c>
    </row>
    <row r="155" spans="1:46" ht="15.1" customHeight="1">
      <c r="A155" s="8"/>
      <c r="B155" s="9"/>
      <c r="C155" s="8"/>
      <c r="D155" s="9"/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11" t="s">
        <v>2089</v>
      </c>
    </row>
    <row r="156" spans="1:46" ht="15.1" customHeight="1">
      <c r="A156" s="8">
        <v>51</v>
      </c>
      <c r="B156" s="9" t="s">
        <v>2188</v>
      </c>
      <c r="C156" s="8" t="s">
        <v>2189</v>
      </c>
      <c r="D156" s="9" t="s">
        <v>451</v>
      </c>
      <c r="E156" s="8" t="s">
        <v>54</v>
      </c>
      <c r="F156" s="12" t="s">
        <v>55</v>
      </c>
      <c r="G156" s="10" t="s">
        <v>67</v>
      </c>
      <c r="H156" s="8" t="s">
        <v>54</v>
      </c>
      <c r="I156" s="8" t="s">
        <v>54</v>
      </c>
      <c r="J156" s="8" t="s">
        <v>54</v>
      </c>
      <c r="K156" s="8" t="s">
        <v>54</v>
      </c>
      <c r="L156" s="12" t="s">
        <v>55</v>
      </c>
      <c r="M156" s="8" t="s">
        <v>54</v>
      </c>
      <c r="N156" s="10" t="s">
        <v>67</v>
      </c>
      <c r="O156" s="8" t="s">
        <v>54</v>
      </c>
      <c r="P156" s="8" t="s">
        <v>54</v>
      </c>
      <c r="Q156" s="8" t="s">
        <v>54</v>
      </c>
      <c r="R156" s="8" t="s">
        <v>54</v>
      </c>
      <c r="S156" s="8" t="s">
        <v>54</v>
      </c>
      <c r="T156" s="8" t="s">
        <v>54</v>
      </c>
      <c r="U156" s="10" t="s">
        <v>67</v>
      </c>
      <c r="V156" s="8" t="s">
        <v>54</v>
      </c>
      <c r="W156" s="8" t="s">
        <v>54</v>
      </c>
      <c r="X156" s="8" t="s">
        <v>54</v>
      </c>
      <c r="Y156" s="8" t="s">
        <v>54</v>
      </c>
      <c r="Z156" s="8" t="s">
        <v>54</v>
      </c>
      <c r="AA156" s="8" t="s">
        <v>54</v>
      </c>
      <c r="AB156" s="10" t="s">
        <v>67</v>
      </c>
      <c r="AC156" s="8" t="s">
        <v>54</v>
      </c>
      <c r="AD156" s="8" t="s">
        <v>54</v>
      </c>
      <c r="AE156" s="8" t="s">
        <v>54</v>
      </c>
      <c r="AF156" s="8" t="s">
        <v>54</v>
      </c>
      <c r="AG156" s="8" t="s">
        <v>54</v>
      </c>
      <c r="AH156" s="12" t="s">
        <v>55</v>
      </c>
      <c r="AI156" s="10" t="s">
        <v>67</v>
      </c>
      <c r="AJ156" s="8">
        <f>COUNTIF($E$156:$AI$156,"P")</f>
        <v>23</v>
      </c>
      <c r="AK156" s="8">
        <f>COUNTIF($E$156:$AI$156,"A")</f>
        <v>3</v>
      </c>
      <c r="AL156" s="8">
        <f>SUM($E$157:$AI$157)</f>
        <v>0</v>
      </c>
      <c r="AM156" s="8">
        <f>SUM($E$158:$AI$158)</f>
        <v>0</v>
      </c>
      <c r="AN156" s="8">
        <f>AL156+AM156</f>
        <v>0</v>
      </c>
      <c r="AO156" s="8">
        <f>COUNTIF($E$156:$AI$156,"CL")</f>
        <v>0</v>
      </c>
      <c r="AP156" s="8">
        <f>COUNTIF($E$156:$AI$156,"SL")</f>
        <v>0</v>
      </c>
      <c r="AQ156" s="8">
        <f>COUNTIF($E$156:$AI$156,"EL")</f>
        <v>0</v>
      </c>
      <c r="AR156" s="8">
        <f>COUNTIF($E$156:$AI$156,"H")</f>
        <v>0</v>
      </c>
      <c r="AS156" s="8"/>
      <c r="AT156" s="11" t="s">
        <v>2089</v>
      </c>
    </row>
    <row r="157" spans="1:46" ht="15.1" customHeight="1">
      <c r="A157" s="8"/>
      <c r="B157" s="9"/>
      <c r="C157" s="8"/>
      <c r="D157" s="9"/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11" t="s">
        <v>2089</v>
      </c>
    </row>
    <row r="158" spans="1:46" ht="15.1" customHeight="1">
      <c r="A158" s="8"/>
      <c r="B158" s="9"/>
      <c r="C158" s="8"/>
      <c r="D158" s="9"/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11" t="s">
        <v>2089</v>
      </c>
    </row>
    <row r="159" spans="1:46" ht="15.1" customHeight="1">
      <c r="A159" s="8">
        <v>52</v>
      </c>
      <c r="B159" s="9" t="s">
        <v>2190</v>
      </c>
      <c r="C159" s="8" t="s">
        <v>2191</v>
      </c>
      <c r="D159" s="9" t="s">
        <v>451</v>
      </c>
      <c r="E159" s="12" t="s">
        <v>55</v>
      </c>
      <c r="F159" s="12" t="s">
        <v>55</v>
      </c>
      <c r="G159" s="10" t="s">
        <v>67</v>
      </c>
      <c r="H159" s="12" t="s">
        <v>55</v>
      </c>
      <c r="I159" s="8" t="s">
        <v>54</v>
      </c>
      <c r="J159" s="12" t="s">
        <v>55</v>
      </c>
      <c r="K159" s="12" t="s">
        <v>55</v>
      </c>
      <c r="L159" s="12" t="s">
        <v>55</v>
      </c>
      <c r="M159" s="12" t="s">
        <v>55</v>
      </c>
      <c r="N159" s="10" t="s">
        <v>67</v>
      </c>
      <c r="O159" s="12" t="s">
        <v>55</v>
      </c>
      <c r="P159" s="12" t="s">
        <v>55</v>
      </c>
      <c r="Q159" s="12" t="s">
        <v>55</v>
      </c>
      <c r="R159" s="12" t="s">
        <v>55</v>
      </c>
      <c r="S159" s="12" t="s">
        <v>55</v>
      </c>
      <c r="T159" s="8" t="s">
        <v>54</v>
      </c>
      <c r="U159" s="10" t="s">
        <v>67</v>
      </c>
      <c r="V159" s="12" t="s">
        <v>55</v>
      </c>
      <c r="W159" s="12" t="s">
        <v>55</v>
      </c>
      <c r="X159" s="12" t="s">
        <v>55</v>
      </c>
      <c r="Y159" s="12" t="s">
        <v>55</v>
      </c>
      <c r="Z159" s="12" t="s">
        <v>55</v>
      </c>
      <c r="AA159" s="12" t="s">
        <v>55</v>
      </c>
      <c r="AB159" s="10" t="s">
        <v>67</v>
      </c>
      <c r="AC159" s="12" t="s">
        <v>55</v>
      </c>
      <c r="AD159" s="12" t="s">
        <v>55</v>
      </c>
      <c r="AE159" s="8"/>
      <c r="AF159" s="8"/>
      <c r="AG159" s="8"/>
      <c r="AH159" s="8"/>
      <c r="AI159" s="10"/>
      <c r="AJ159" s="8">
        <f>COUNTIF($E$159:$AI$159,"P")</f>
        <v>2</v>
      </c>
      <c r="AK159" s="8">
        <f>COUNTIF($E$159:$AI$159,"A")</f>
        <v>20</v>
      </c>
      <c r="AL159" s="8">
        <f>SUM($E$160:$AI$160)</f>
        <v>0</v>
      </c>
      <c r="AM159" s="8">
        <f>SUM($E$161:$AI$161)</f>
        <v>0</v>
      </c>
      <c r="AN159" s="8">
        <f>AL159+AM159</f>
        <v>0</v>
      </c>
      <c r="AO159" s="8">
        <f>COUNTIF($E$159:$AI$159,"CL")</f>
        <v>0</v>
      </c>
      <c r="AP159" s="8">
        <f>COUNTIF($E$159:$AI$159,"SL")</f>
        <v>0</v>
      </c>
      <c r="AQ159" s="8">
        <f>COUNTIF($E$159:$AI$159,"EL")</f>
        <v>0</v>
      </c>
      <c r="AR159" s="8">
        <f>COUNTIF($E$159:$AI$159,"H")</f>
        <v>0</v>
      </c>
      <c r="AS159" s="8"/>
      <c r="AT159" s="11" t="s">
        <v>2089</v>
      </c>
    </row>
    <row r="160" spans="1:46" ht="15.1" customHeight="1">
      <c r="A160" s="8"/>
      <c r="B160" s="9"/>
      <c r="C160" s="8"/>
      <c r="D160" s="9"/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11" t="s">
        <v>2089</v>
      </c>
    </row>
    <row r="161" spans="1:46" ht="15.1" customHeight="1">
      <c r="A161" s="8"/>
      <c r="B161" s="9"/>
      <c r="C161" s="8"/>
      <c r="D161" s="9"/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11" t="s">
        <v>2089</v>
      </c>
    </row>
    <row r="162" spans="1:46" ht="15.1" customHeight="1">
      <c r="A162" s="8">
        <v>53</v>
      </c>
      <c r="B162" s="9" t="s">
        <v>2192</v>
      </c>
      <c r="C162" s="8" t="s">
        <v>2193</v>
      </c>
      <c r="D162" s="9" t="s">
        <v>451</v>
      </c>
      <c r="E162" s="8" t="s">
        <v>54</v>
      </c>
      <c r="F162" s="8" t="s">
        <v>54</v>
      </c>
      <c r="G162" s="10" t="s">
        <v>67</v>
      </c>
      <c r="H162" s="8" t="s">
        <v>54</v>
      </c>
      <c r="I162" s="8" t="s">
        <v>54</v>
      </c>
      <c r="J162" s="8" t="s">
        <v>54</v>
      </c>
      <c r="K162" s="8" t="s">
        <v>54</v>
      </c>
      <c r="L162" s="8" t="s">
        <v>54</v>
      </c>
      <c r="M162" s="8" t="s">
        <v>54</v>
      </c>
      <c r="N162" s="10" t="s">
        <v>67</v>
      </c>
      <c r="O162" s="8" t="s">
        <v>54</v>
      </c>
      <c r="P162" s="8" t="s">
        <v>54</v>
      </c>
      <c r="Q162" s="8" t="s">
        <v>54</v>
      </c>
      <c r="R162" s="8" t="s">
        <v>54</v>
      </c>
      <c r="S162" s="8" t="s">
        <v>54</v>
      </c>
      <c r="T162" s="8" t="s">
        <v>54</v>
      </c>
      <c r="U162" s="10" t="s">
        <v>67</v>
      </c>
      <c r="V162" s="8" t="s">
        <v>54</v>
      </c>
      <c r="W162" s="8" t="s">
        <v>54</v>
      </c>
      <c r="X162" s="8" t="s">
        <v>54</v>
      </c>
      <c r="Y162" s="8" t="s">
        <v>54</v>
      </c>
      <c r="Z162" s="8" t="s">
        <v>54</v>
      </c>
      <c r="AA162" s="8" t="s">
        <v>54</v>
      </c>
      <c r="AB162" s="10" t="s">
        <v>67</v>
      </c>
      <c r="AC162" s="8" t="s">
        <v>54</v>
      </c>
      <c r="AD162" s="8" t="s">
        <v>54</v>
      </c>
      <c r="AE162" s="8" t="s">
        <v>54</v>
      </c>
      <c r="AF162" s="8" t="s">
        <v>54</v>
      </c>
      <c r="AG162" s="8" t="s">
        <v>54</v>
      </c>
      <c r="AH162" s="8" t="s">
        <v>54</v>
      </c>
      <c r="AI162" s="10" t="s">
        <v>67</v>
      </c>
      <c r="AJ162" s="8">
        <f>COUNTIF($E$162:$AI$162,"P")</f>
        <v>26</v>
      </c>
      <c r="AK162" s="8">
        <f>COUNTIF($E$162:$AI$162,"A")</f>
        <v>0</v>
      </c>
      <c r="AL162" s="8">
        <f>SUM($E$163:$AI$163)</f>
        <v>0</v>
      </c>
      <c r="AM162" s="8">
        <f>SUM($E$164:$AI$164)</f>
        <v>0</v>
      </c>
      <c r="AN162" s="8">
        <f>AL162+AM162</f>
        <v>0</v>
      </c>
      <c r="AO162" s="8">
        <f>COUNTIF($E$162:$AI$162,"CL")</f>
        <v>0</v>
      </c>
      <c r="AP162" s="8">
        <f>COUNTIF($E$162:$AI$162,"SL")</f>
        <v>0</v>
      </c>
      <c r="AQ162" s="8">
        <f>COUNTIF($E$162:$AI$162,"EL")</f>
        <v>0</v>
      </c>
      <c r="AR162" s="8">
        <f>COUNTIF($E$162:$AI$162,"H")</f>
        <v>0</v>
      </c>
      <c r="AS162" s="8"/>
      <c r="AT162" s="11" t="s">
        <v>2090</v>
      </c>
    </row>
    <row r="163" spans="1:46" ht="15.1" customHeight="1">
      <c r="A163" s="8"/>
      <c r="B163" s="9"/>
      <c r="C163" s="8"/>
      <c r="D163" s="9"/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11" t="s">
        <v>2090</v>
      </c>
    </row>
    <row r="164" spans="1:46" ht="15.1" customHeight="1">
      <c r="A164" s="8"/>
      <c r="B164" s="9"/>
      <c r="C164" s="8"/>
      <c r="D164" s="9"/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11" t="s">
        <v>2090</v>
      </c>
    </row>
    <row r="165" spans="1:46" ht="15.1" customHeight="1">
      <c r="A165" s="8">
        <v>54</v>
      </c>
      <c r="B165" s="9" t="s">
        <v>2194</v>
      </c>
      <c r="C165" s="8" t="s">
        <v>2195</v>
      </c>
      <c r="D165" s="9" t="s">
        <v>451</v>
      </c>
      <c r="E165" s="8" t="s">
        <v>54</v>
      </c>
      <c r="F165" s="8" t="s">
        <v>54</v>
      </c>
      <c r="G165" s="10" t="s">
        <v>67</v>
      </c>
      <c r="H165" s="12" t="s">
        <v>55</v>
      </c>
      <c r="I165" s="8" t="s">
        <v>54</v>
      </c>
      <c r="J165" s="8" t="s">
        <v>54</v>
      </c>
      <c r="K165" s="8" t="s">
        <v>54</v>
      </c>
      <c r="L165" s="8" t="s">
        <v>54</v>
      </c>
      <c r="M165" s="8" t="s">
        <v>54</v>
      </c>
      <c r="N165" s="10" t="s">
        <v>67</v>
      </c>
      <c r="O165" s="8" t="s">
        <v>54</v>
      </c>
      <c r="P165" s="12" t="s">
        <v>55</v>
      </c>
      <c r="Q165" s="8" t="s">
        <v>54</v>
      </c>
      <c r="R165" s="8" t="s">
        <v>54</v>
      </c>
      <c r="S165" s="8" t="s">
        <v>54</v>
      </c>
      <c r="T165" s="8" t="s">
        <v>54</v>
      </c>
      <c r="U165" s="10" t="s">
        <v>67</v>
      </c>
      <c r="V165" s="8" t="s">
        <v>54</v>
      </c>
      <c r="W165" s="8" t="s">
        <v>54</v>
      </c>
      <c r="X165" s="12" t="s">
        <v>55</v>
      </c>
      <c r="Y165" s="8" t="s">
        <v>54</v>
      </c>
      <c r="Z165" s="8" t="s">
        <v>54</v>
      </c>
      <c r="AA165" s="8" t="s">
        <v>54</v>
      </c>
      <c r="AB165" s="10" t="s">
        <v>67</v>
      </c>
      <c r="AC165" s="8" t="s">
        <v>54</v>
      </c>
      <c r="AD165" s="8" t="s">
        <v>54</v>
      </c>
      <c r="AE165" s="8" t="s">
        <v>54</v>
      </c>
      <c r="AF165" s="8" t="s">
        <v>54</v>
      </c>
      <c r="AG165" s="8" t="s">
        <v>54</v>
      </c>
      <c r="AH165" s="8" t="s">
        <v>54</v>
      </c>
      <c r="AI165" s="10" t="s">
        <v>67</v>
      </c>
      <c r="AJ165" s="8">
        <f>COUNTIF($E$165:$AI$165,"P")</f>
        <v>23</v>
      </c>
      <c r="AK165" s="8">
        <f>COUNTIF($E$165:$AI$165,"A")</f>
        <v>3</v>
      </c>
      <c r="AL165" s="8">
        <f>SUM($E$166:$AI$166)</f>
        <v>0</v>
      </c>
      <c r="AM165" s="8">
        <f>SUM($E$167:$AI$167)</f>
        <v>0</v>
      </c>
      <c r="AN165" s="8">
        <f>AL165+AM165</f>
        <v>0</v>
      </c>
      <c r="AO165" s="8">
        <f>COUNTIF($E$165:$AI$165,"CL")</f>
        <v>0</v>
      </c>
      <c r="AP165" s="8">
        <f>COUNTIF($E$165:$AI$165,"SL")</f>
        <v>0</v>
      </c>
      <c r="AQ165" s="8">
        <f>COUNTIF($E$165:$AI$165,"EL")</f>
        <v>0</v>
      </c>
      <c r="AR165" s="8">
        <f>COUNTIF($E$165:$AI$165,"H")</f>
        <v>0</v>
      </c>
      <c r="AS165" s="8"/>
      <c r="AT165" s="11" t="s">
        <v>2090</v>
      </c>
    </row>
    <row r="166" spans="1:46" ht="15.1" customHeight="1">
      <c r="A166" s="8"/>
      <c r="B166" s="9"/>
      <c r="C166" s="8"/>
      <c r="D166" s="9"/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11" t="s">
        <v>2090</v>
      </c>
    </row>
    <row r="167" spans="1:46" ht="15.1" customHeight="1">
      <c r="A167" s="8"/>
      <c r="B167" s="9"/>
      <c r="C167" s="8"/>
      <c r="D167" s="9"/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11" t="s">
        <v>2090</v>
      </c>
    </row>
    <row r="168" spans="1:46" ht="15.1" customHeight="1">
      <c r="A168" s="8">
        <v>55</v>
      </c>
      <c r="B168" s="9" t="s">
        <v>2196</v>
      </c>
      <c r="C168" s="8" t="s">
        <v>2197</v>
      </c>
      <c r="D168" s="9" t="s">
        <v>451</v>
      </c>
      <c r="E168" s="12" t="s">
        <v>55</v>
      </c>
      <c r="F168" s="12" t="s">
        <v>55</v>
      </c>
      <c r="G168" s="10" t="s">
        <v>67</v>
      </c>
      <c r="H168" s="8" t="s">
        <v>54</v>
      </c>
      <c r="I168" s="8" t="s">
        <v>54</v>
      </c>
      <c r="J168" s="8" t="s">
        <v>54</v>
      </c>
      <c r="K168" s="8" t="s">
        <v>54</v>
      </c>
      <c r="L168" s="8" t="s">
        <v>54</v>
      </c>
      <c r="M168" s="8" t="s">
        <v>54</v>
      </c>
      <c r="N168" s="10" t="s">
        <v>67</v>
      </c>
      <c r="O168" s="8" t="s">
        <v>54</v>
      </c>
      <c r="P168" s="8" t="s">
        <v>54</v>
      </c>
      <c r="Q168" s="8" t="s">
        <v>54</v>
      </c>
      <c r="R168" s="8" t="s">
        <v>54</v>
      </c>
      <c r="S168" s="8" t="s">
        <v>54</v>
      </c>
      <c r="T168" s="8" t="s">
        <v>54</v>
      </c>
      <c r="U168" s="10" t="s">
        <v>67</v>
      </c>
      <c r="V168" s="8" t="s">
        <v>54</v>
      </c>
      <c r="W168" s="8" t="s">
        <v>54</v>
      </c>
      <c r="X168" s="12" t="s">
        <v>55</v>
      </c>
      <c r="Y168" s="8" t="s">
        <v>54</v>
      </c>
      <c r="Z168" s="8" t="s">
        <v>54</v>
      </c>
      <c r="AA168" s="8" t="s">
        <v>54</v>
      </c>
      <c r="AB168" s="10" t="s">
        <v>67</v>
      </c>
      <c r="AC168" s="8" t="s">
        <v>54</v>
      </c>
      <c r="AD168" s="8" t="s">
        <v>54</v>
      </c>
      <c r="AE168" s="8" t="s">
        <v>54</v>
      </c>
      <c r="AF168" s="8" t="s">
        <v>54</v>
      </c>
      <c r="AG168" s="8" t="s">
        <v>54</v>
      </c>
      <c r="AH168" s="8" t="s">
        <v>54</v>
      </c>
      <c r="AI168" s="10" t="s">
        <v>67</v>
      </c>
      <c r="AJ168" s="8">
        <f>COUNTIF($E$168:$AI$168,"P")</f>
        <v>23</v>
      </c>
      <c r="AK168" s="8">
        <f>COUNTIF($E$168:$AI$168,"A")</f>
        <v>3</v>
      </c>
      <c r="AL168" s="8">
        <f>SUM($E$169:$AI$169)</f>
        <v>0</v>
      </c>
      <c r="AM168" s="8">
        <f>SUM($E$170:$AI$170)</f>
        <v>0</v>
      </c>
      <c r="AN168" s="8">
        <f>AL168+AM168</f>
        <v>0</v>
      </c>
      <c r="AO168" s="8">
        <f>COUNTIF($E$168:$AI$168,"CL")</f>
        <v>0</v>
      </c>
      <c r="AP168" s="8">
        <f>COUNTIF($E$168:$AI$168,"SL")</f>
        <v>0</v>
      </c>
      <c r="AQ168" s="8">
        <f>COUNTIF($E$168:$AI$168,"EL")</f>
        <v>0</v>
      </c>
      <c r="AR168" s="8">
        <f>COUNTIF($E$168:$AI$168,"H")</f>
        <v>0</v>
      </c>
      <c r="AS168" s="8"/>
      <c r="AT168" s="11" t="s">
        <v>2090</v>
      </c>
    </row>
    <row r="169" spans="1:46" ht="15.1" customHeight="1">
      <c r="A169" s="8"/>
      <c r="B169" s="9"/>
      <c r="C169" s="8"/>
      <c r="D169" s="9"/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11" t="s">
        <v>2090</v>
      </c>
    </row>
    <row r="170" spans="1:46" ht="15.1" customHeight="1">
      <c r="A170" s="8"/>
      <c r="B170" s="9"/>
      <c r="C170" s="8"/>
      <c r="D170" s="9"/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11" t="s">
        <v>2090</v>
      </c>
    </row>
    <row r="171" spans="1:46" ht="15.1" customHeight="1">
      <c r="A171" s="8">
        <v>56</v>
      </c>
      <c r="B171" s="9" t="s">
        <v>2198</v>
      </c>
      <c r="C171" s="8" t="s">
        <v>2199</v>
      </c>
      <c r="D171" s="9" t="s">
        <v>451</v>
      </c>
      <c r="E171" s="8" t="s">
        <v>54</v>
      </c>
      <c r="F171" s="8" t="s">
        <v>54</v>
      </c>
      <c r="G171" s="10" t="s">
        <v>67</v>
      </c>
      <c r="H171" s="8" t="s">
        <v>54</v>
      </c>
      <c r="I171" s="8" t="s">
        <v>54</v>
      </c>
      <c r="J171" s="8" t="s">
        <v>54</v>
      </c>
      <c r="K171" s="8" t="s">
        <v>54</v>
      </c>
      <c r="L171" s="8" t="s">
        <v>54</v>
      </c>
      <c r="M171" s="8" t="s">
        <v>54</v>
      </c>
      <c r="N171" s="10" t="s">
        <v>67</v>
      </c>
      <c r="O171" s="8" t="s">
        <v>54</v>
      </c>
      <c r="P171" s="8" t="s">
        <v>54</v>
      </c>
      <c r="Q171" s="8" t="s">
        <v>54</v>
      </c>
      <c r="R171" s="8" t="s">
        <v>54</v>
      </c>
      <c r="S171" s="8" t="s">
        <v>54</v>
      </c>
      <c r="T171" s="8" t="s">
        <v>54</v>
      </c>
      <c r="U171" s="10" t="s">
        <v>67</v>
      </c>
      <c r="V171" s="8" t="s">
        <v>54</v>
      </c>
      <c r="W171" s="8" t="s">
        <v>54</v>
      </c>
      <c r="X171" s="12" t="s">
        <v>55</v>
      </c>
      <c r="Y171" s="8" t="s">
        <v>54</v>
      </c>
      <c r="Z171" s="8" t="s">
        <v>54</v>
      </c>
      <c r="AA171" s="8" t="s">
        <v>54</v>
      </c>
      <c r="AB171" s="10" t="s">
        <v>67</v>
      </c>
      <c r="AC171" s="12" t="s">
        <v>55</v>
      </c>
      <c r="AD171" s="12" t="s">
        <v>55</v>
      </c>
      <c r="AE171" s="8" t="s">
        <v>54</v>
      </c>
      <c r="AF171" s="8" t="s">
        <v>54</v>
      </c>
      <c r="AG171" s="8" t="s">
        <v>54</v>
      </c>
      <c r="AH171" s="8" t="s">
        <v>54</v>
      </c>
      <c r="AI171" s="10" t="s">
        <v>67</v>
      </c>
      <c r="AJ171" s="8">
        <f>COUNTIF($E$171:$AI$171,"P")</f>
        <v>23</v>
      </c>
      <c r="AK171" s="8">
        <f>COUNTIF($E$171:$AI$171,"A")</f>
        <v>3</v>
      </c>
      <c r="AL171" s="8">
        <f>SUM($E$172:$AI$172)</f>
        <v>0</v>
      </c>
      <c r="AM171" s="8">
        <f>SUM($E$173:$AI$173)</f>
        <v>0</v>
      </c>
      <c r="AN171" s="8">
        <f>AL171+AM171</f>
        <v>0</v>
      </c>
      <c r="AO171" s="8">
        <f>COUNTIF($E$171:$AI$171,"CL")</f>
        <v>0</v>
      </c>
      <c r="AP171" s="8">
        <f>COUNTIF($E$171:$AI$171,"SL")</f>
        <v>0</v>
      </c>
      <c r="AQ171" s="8">
        <f>COUNTIF($E$171:$AI$171,"EL")</f>
        <v>0</v>
      </c>
      <c r="AR171" s="8">
        <f>COUNTIF($E$171:$AI$171,"H")</f>
        <v>0</v>
      </c>
      <c r="AS171" s="8"/>
      <c r="AT171" s="11" t="s">
        <v>2090</v>
      </c>
    </row>
    <row r="172" spans="1:46" ht="15.1" customHeight="1">
      <c r="A172" s="8"/>
      <c r="B172" s="9"/>
      <c r="C172" s="8"/>
      <c r="D172" s="9"/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11" t="s">
        <v>2090</v>
      </c>
    </row>
    <row r="173" spans="1:46" ht="15.1" customHeight="1">
      <c r="A173" s="8"/>
      <c r="B173" s="9"/>
      <c r="C173" s="8"/>
      <c r="D173" s="9"/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11" t="s">
        <v>2090</v>
      </c>
    </row>
    <row r="174" spans="1:46" ht="15.1" customHeight="1">
      <c r="A174" s="8">
        <v>57</v>
      </c>
      <c r="B174" s="9" t="s">
        <v>2200</v>
      </c>
      <c r="C174" s="8" t="s">
        <v>2201</v>
      </c>
      <c r="D174" s="9" t="s">
        <v>451</v>
      </c>
      <c r="E174" s="8" t="s">
        <v>54</v>
      </c>
      <c r="F174" s="8" t="s">
        <v>54</v>
      </c>
      <c r="G174" s="10" t="s">
        <v>67</v>
      </c>
      <c r="H174" s="8" t="s">
        <v>54</v>
      </c>
      <c r="I174" s="8" t="s">
        <v>54</v>
      </c>
      <c r="J174" s="8" t="s">
        <v>54</v>
      </c>
      <c r="K174" s="8" t="s">
        <v>54</v>
      </c>
      <c r="L174" s="8" t="s">
        <v>54</v>
      </c>
      <c r="M174" s="8" t="s">
        <v>54</v>
      </c>
      <c r="N174" s="10" t="s">
        <v>67</v>
      </c>
      <c r="O174" s="8" t="s">
        <v>54</v>
      </c>
      <c r="P174" s="8" t="s">
        <v>54</v>
      </c>
      <c r="Q174" s="8" t="s">
        <v>54</v>
      </c>
      <c r="R174" s="8" t="s">
        <v>54</v>
      </c>
      <c r="S174" s="8" t="s">
        <v>54</v>
      </c>
      <c r="T174" s="8" t="s">
        <v>54</v>
      </c>
      <c r="U174" s="10" t="s">
        <v>67</v>
      </c>
      <c r="V174" s="8" t="s">
        <v>54</v>
      </c>
      <c r="W174" s="8" t="s">
        <v>54</v>
      </c>
      <c r="X174" s="8" t="s">
        <v>54</v>
      </c>
      <c r="Y174" s="8" t="s">
        <v>54</v>
      </c>
      <c r="Z174" s="8" t="s">
        <v>54</v>
      </c>
      <c r="AA174" s="8" t="s">
        <v>54</v>
      </c>
      <c r="AB174" s="10" t="s">
        <v>67</v>
      </c>
      <c r="AC174" s="8" t="s">
        <v>54</v>
      </c>
      <c r="AD174" s="8" t="s">
        <v>54</v>
      </c>
      <c r="AE174" s="8" t="s">
        <v>54</v>
      </c>
      <c r="AF174" s="8" t="s">
        <v>54</v>
      </c>
      <c r="AG174" s="8" t="s">
        <v>54</v>
      </c>
      <c r="AH174" s="8" t="s">
        <v>54</v>
      </c>
      <c r="AI174" s="10" t="s">
        <v>67</v>
      </c>
      <c r="AJ174" s="8">
        <f>COUNTIF($E$174:$AI$174,"P")</f>
        <v>26</v>
      </c>
      <c r="AK174" s="8">
        <f>COUNTIF($E$174:$AI$174,"A")</f>
        <v>0</v>
      </c>
      <c r="AL174" s="8">
        <f>SUM($E$175:$AI$175)</f>
        <v>0</v>
      </c>
      <c r="AM174" s="8">
        <f>SUM($E$176:$AI$176)</f>
        <v>0</v>
      </c>
      <c r="AN174" s="8">
        <f>AL174+AM174</f>
        <v>0</v>
      </c>
      <c r="AO174" s="8">
        <f>COUNTIF($E$174:$AI$174,"CL")</f>
        <v>0</v>
      </c>
      <c r="AP174" s="8">
        <f>COUNTIF($E$174:$AI$174,"SL")</f>
        <v>0</v>
      </c>
      <c r="AQ174" s="8">
        <f>COUNTIF($E$174:$AI$174,"EL")</f>
        <v>0</v>
      </c>
      <c r="AR174" s="8">
        <f>COUNTIF($E$174:$AI$174,"H")</f>
        <v>0</v>
      </c>
      <c r="AS174" s="8"/>
      <c r="AT174" s="11" t="s">
        <v>2090</v>
      </c>
    </row>
    <row r="175" spans="1:46" ht="15.1" customHeight="1">
      <c r="A175" s="8"/>
      <c r="B175" s="9"/>
      <c r="C175" s="8"/>
      <c r="D175" s="9"/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11" t="s">
        <v>2090</v>
      </c>
    </row>
    <row r="176" spans="1:46" ht="15.1" customHeight="1">
      <c r="A176" s="8"/>
      <c r="B176" s="9"/>
      <c r="C176" s="8"/>
      <c r="D176" s="9"/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11" t="s">
        <v>2090</v>
      </c>
    </row>
    <row r="177" spans="1:46" ht="15.1" customHeight="1">
      <c r="A177" s="8">
        <v>58</v>
      </c>
      <c r="B177" s="9" t="s">
        <v>2202</v>
      </c>
      <c r="C177" s="8" t="s">
        <v>2203</v>
      </c>
      <c r="D177" s="9" t="s">
        <v>451</v>
      </c>
      <c r="E177" s="8" t="s">
        <v>54</v>
      </c>
      <c r="F177" s="8" t="s">
        <v>54</v>
      </c>
      <c r="G177" s="10" t="s">
        <v>67</v>
      </c>
      <c r="H177" s="8" t="s">
        <v>54</v>
      </c>
      <c r="I177" s="8" t="s">
        <v>54</v>
      </c>
      <c r="J177" s="8" t="s">
        <v>54</v>
      </c>
      <c r="K177" s="8" t="s">
        <v>54</v>
      </c>
      <c r="L177" s="8" t="s">
        <v>54</v>
      </c>
      <c r="M177" s="8" t="s">
        <v>54</v>
      </c>
      <c r="N177" s="10" t="s">
        <v>67</v>
      </c>
      <c r="O177" s="8" t="s">
        <v>54</v>
      </c>
      <c r="P177" s="8" t="s">
        <v>54</v>
      </c>
      <c r="Q177" s="8" t="s">
        <v>54</v>
      </c>
      <c r="R177" s="8" t="s">
        <v>54</v>
      </c>
      <c r="S177" s="8" t="s">
        <v>54</v>
      </c>
      <c r="T177" s="8" t="s">
        <v>54</v>
      </c>
      <c r="U177" s="10" t="s">
        <v>67</v>
      </c>
      <c r="V177" s="8" t="s">
        <v>54</v>
      </c>
      <c r="W177" s="8" t="s">
        <v>54</v>
      </c>
      <c r="X177" s="8" t="s">
        <v>54</v>
      </c>
      <c r="Y177" s="8" t="s">
        <v>54</v>
      </c>
      <c r="Z177" s="8" t="s">
        <v>54</v>
      </c>
      <c r="AA177" s="8" t="s">
        <v>54</v>
      </c>
      <c r="AB177" s="10" t="s">
        <v>67</v>
      </c>
      <c r="AC177" s="8" t="s">
        <v>54</v>
      </c>
      <c r="AD177" s="8" t="s">
        <v>54</v>
      </c>
      <c r="AE177" s="8" t="s">
        <v>54</v>
      </c>
      <c r="AF177" s="8" t="s">
        <v>54</v>
      </c>
      <c r="AG177" s="8" t="s">
        <v>54</v>
      </c>
      <c r="AH177" s="8" t="s">
        <v>54</v>
      </c>
      <c r="AI177" s="10" t="s">
        <v>67</v>
      </c>
      <c r="AJ177" s="8">
        <f>COUNTIF($E$177:$AI$177,"P")</f>
        <v>26</v>
      </c>
      <c r="AK177" s="8">
        <f>COUNTIF($E$177:$AI$177,"A")</f>
        <v>0</v>
      </c>
      <c r="AL177" s="8">
        <f>SUM($E$178:$AI$178)</f>
        <v>0</v>
      </c>
      <c r="AM177" s="8">
        <f>SUM($E$179:$AI$179)</f>
        <v>0</v>
      </c>
      <c r="AN177" s="8">
        <f>AL177+AM177</f>
        <v>0</v>
      </c>
      <c r="AO177" s="8">
        <f>COUNTIF($E$177:$AI$177,"CL")</f>
        <v>0</v>
      </c>
      <c r="AP177" s="8">
        <f>COUNTIF($E$177:$AI$177,"SL")</f>
        <v>0</v>
      </c>
      <c r="AQ177" s="8">
        <f>COUNTIF($E$177:$AI$177,"EL")</f>
        <v>0</v>
      </c>
      <c r="AR177" s="8">
        <f>COUNTIF($E$177:$AI$177,"H")</f>
        <v>0</v>
      </c>
      <c r="AS177" s="8"/>
      <c r="AT177" s="11" t="s">
        <v>2090</v>
      </c>
    </row>
    <row r="178" spans="1:46" ht="15.1" customHeight="1">
      <c r="A178" s="8"/>
      <c r="B178" s="9"/>
      <c r="C178" s="8"/>
      <c r="D178" s="9"/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11" t="s">
        <v>2090</v>
      </c>
    </row>
    <row r="179" spans="1:46" ht="15.1" customHeight="1">
      <c r="A179" s="8"/>
      <c r="B179" s="9"/>
      <c r="C179" s="8"/>
      <c r="D179" s="9"/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11" t="s">
        <v>2090</v>
      </c>
    </row>
    <row r="180" spans="1:46" ht="15.1" customHeight="1">
      <c r="A180" s="8">
        <v>59</v>
      </c>
      <c r="B180" s="9" t="s">
        <v>2204</v>
      </c>
      <c r="C180" s="8" t="s">
        <v>2205</v>
      </c>
      <c r="D180" s="9" t="s">
        <v>451</v>
      </c>
      <c r="E180" s="8" t="s">
        <v>54</v>
      </c>
      <c r="F180" s="8" t="s">
        <v>54</v>
      </c>
      <c r="G180" s="10" t="s">
        <v>67</v>
      </c>
      <c r="H180" s="8" t="s">
        <v>54</v>
      </c>
      <c r="I180" s="8" t="s">
        <v>54</v>
      </c>
      <c r="J180" s="8" t="s">
        <v>54</v>
      </c>
      <c r="K180" s="8" t="s">
        <v>54</v>
      </c>
      <c r="L180" s="8" t="s">
        <v>54</v>
      </c>
      <c r="M180" s="8" t="s">
        <v>54</v>
      </c>
      <c r="N180" s="10" t="s">
        <v>67</v>
      </c>
      <c r="O180" s="8" t="s">
        <v>54</v>
      </c>
      <c r="P180" s="8" t="s">
        <v>54</v>
      </c>
      <c r="Q180" s="8" t="s">
        <v>54</v>
      </c>
      <c r="R180" s="8" t="s">
        <v>54</v>
      </c>
      <c r="S180" s="8" t="s">
        <v>54</v>
      </c>
      <c r="T180" s="8" t="s">
        <v>54</v>
      </c>
      <c r="U180" s="10" t="s">
        <v>67</v>
      </c>
      <c r="V180" s="8" t="s">
        <v>54</v>
      </c>
      <c r="W180" s="8" t="s">
        <v>54</v>
      </c>
      <c r="X180" s="12" t="s">
        <v>55</v>
      </c>
      <c r="Y180" s="8" t="s">
        <v>54</v>
      </c>
      <c r="Z180" s="8" t="s">
        <v>54</v>
      </c>
      <c r="AA180" s="12" t="s">
        <v>55</v>
      </c>
      <c r="AB180" s="10" t="s">
        <v>67</v>
      </c>
      <c r="AC180" s="12" t="s">
        <v>55</v>
      </c>
      <c r="AD180" s="12" t="s">
        <v>55</v>
      </c>
      <c r="AE180" s="12" t="s">
        <v>55</v>
      </c>
      <c r="AF180" s="12" t="s">
        <v>55</v>
      </c>
      <c r="AG180" s="8" t="s">
        <v>54</v>
      </c>
      <c r="AH180" s="8" t="s">
        <v>54</v>
      </c>
      <c r="AI180" s="10" t="s">
        <v>67</v>
      </c>
      <c r="AJ180" s="8">
        <f>COUNTIF($E$180:$AI$180,"P")</f>
        <v>20</v>
      </c>
      <c r="AK180" s="8">
        <f>COUNTIF($E$180:$AI$180,"A")</f>
        <v>6</v>
      </c>
      <c r="AL180" s="8">
        <f>SUM($E$181:$AI$181)</f>
        <v>0</v>
      </c>
      <c r="AM180" s="8">
        <f>SUM($E$182:$AI$182)</f>
        <v>0</v>
      </c>
      <c r="AN180" s="8">
        <f>AL180+AM180</f>
        <v>0</v>
      </c>
      <c r="AO180" s="8">
        <f>COUNTIF($E$180:$AI$180,"CL")</f>
        <v>0</v>
      </c>
      <c r="AP180" s="8">
        <f>COUNTIF($E$180:$AI$180,"SL")</f>
        <v>0</v>
      </c>
      <c r="AQ180" s="8">
        <f>COUNTIF($E$180:$AI$180,"EL")</f>
        <v>0</v>
      </c>
      <c r="AR180" s="8">
        <f>COUNTIF($E$180:$AI$180,"H")</f>
        <v>0</v>
      </c>
      <c r="AS180" s="8"/>
      <c r="AT180" s="11" t="s">
        <v>2090</v>
      </c>
    </row>
    <row r="181" spans="1:46" ht="15.1" customHeight="1">
      <c r="A181" s="8"/>
      <c r="B181" s="9"/>
      <c r="C181" s="8"/>
      <c r="D181" s="9"/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11" t="s">
        <v>2090</v>
      </c>
    </row>
    <row r="182" spans="1:46" ht="15.1" customHeight="1">
      <c r="A182" s="8"/>
      <c r="B182" s="9"/>
      <c r="C182" s="8"/>
      <c r="D182" s="9"/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11" t="s">
        <v>2090</v>
      </c>
    </row>
    <row r="183" spans="1:46" ht="15.1" customHeight="1">
      <c r="A183" s="8">
        <v>60</v>
      </c>
      <c r="B183" s="9" t="s">
        <v>2206</v>
      </c>
      <c r="C183" s="8" t="s">
        <v>2207</v>
      </c>
      <c r="D183" s="9" t="s">
        <v>451</v>
      </c>
      <c r="E183" s="8" t="s">
        <v>54</v>
      </c>
      <c r="F183" s="8" t="s">
        <v>54</v>
      </c>
      <c r="G183" s="10" t="s">
        <v>67</v>
      </c>
      <c r="H183" s="8" t="s">
        <v>54</v>
      </c>
      <c r="I183" s="8" t="s">
        <v>54</v>
      </c>
      <c r="J183" s="8" t="s">
        <v>54</v>
      </c>
      <c r="K183" s="8" t="s">
        <v>54</v>
      </c>
      <c r="L183" s="8" t="s">
        <v>54</v>
      </c>
      <c r="M183" s="8" t="s">
        <v>54</v>
      </c>
      <c r="N183" s="10" t="s">
        <v>67</v>
      </c>
      <c r="O183" s="8" t="s">
        <v>54</v>
      </c>
      <c r="P183" s="8" t="s">
        <v>54</v>
      </c>
      <c r="Q183" s="8" t="s">
        <v>54</v>
      </c>
      <c r="R183" s="8" t="s">
        <v>54</v>
      </c>
      <c r="S183" s="8" t="s">
        <v>54</v>
      </c>
      <c r="T183" s="8" t="s">
        <v>54</v>
      </c>
      <c r="U183" s="10" t="s">
        <v>67</v>
      </c>
      <c r="V183" s="8" t="s">
        <v>54</v>
      </c>
      <c r="W183" s="8" t="s">
        <v>54</v>
      </c>
      <c r="X183" s="8" t="s">
        <v>54</v>
      </c>
      <c r="Y183" s="8" t="s">
        <v>54</v>
      </c>
      <c r="Z183" s="8" t="s">
        <v>54</v>
      </c>
      <c r="AA183" s="8" t="s">
        <v>54</v>
      </c>
      <c r="AB183" s="10" t="s">
        <v>67</v>
      </c>
      <c r="AC183" s="8" t="s">
        <v>54</v>
      </c>
      <c r="AD183" s="8" t="s">
        <v>54</v>
      </c>
      <c r="AE183" s="8" t="s">
        <v>54</v>
      </c>
      <c r="AF183" s="8" t="s">
        <v>54</v>
      </c>
      <c r="AG183" s="8" t="s">
        <v>54</v>
      </c>
      <c r="AH183" s="8" t="s">
        <v>54</v>
      </c>
      <c r="AI183" s="10" t="s">
        <v>67</v>
      </c>
      <c r="AJ183" s="8">
        <f>COUNTIF($E$183:$AI$183,"P")</f>
        <v>26</v>
      </c>
      <c r="AK183" s="8">
        <f>COUNTIF($E$183:$AI$183,"A")</f>
        <v>0</v>
      </c>
      <c r="AL183" s="8">
        <f>SUM($E$184:$AI$184)</f>
        <v>0</v>
      </c>
      <c r="AM183" s="8">
        <f>SUM($E$185:$AI$185)</f>
        <v>0</v>
      </c>
      <c r="AN183" s="8">
        <f>AL183+AM183</f>
        <v>0</v>
      </c>
      <c r="AO183" s="8">
        <f>COUNTIF($E$183:$AI$183,"CL")</f>
        <v>0</v>
      </c>
      <c r="AP183" s="8">
        <f>COUNTIF($E$183:$AI$183,"SL")</f>
        <v>0</v>
      </c>
      <c r="AQ183" s="8">
        <f>COUNTIF($E$183:$AI$183,"EL")</f>
        <v>0</v>
      </c>
      <c r="AR183" s="8">
        <f>COUNTIF($E$183:$AI$183,"H")</f>
        <v>0</v>
      </c>
      <c r="AS183" s="8"/>
      <c r="AT183" s="11" t="s">
        <v>2090</v>
      </c>
    </row>
    <row r="184" spans="1:46" ht="15.1" customHeight="1">
      <c r="A184" s="8"/>
      <c r="B184" s="9"/>
      <c r="C184" s="8"/>
      <c r="D184" s="9"/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11" t="s">
        <v>2090</v>
      </c>
    </row>
    <row r="185" spans="1:46" ht="15.1" customHeight="1">
      <c r="A185" s="8"/>
      <c r="B185" s="9"/>
      <c r="C185" s="8"/>
      <c r="D185" s="9"/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11" t="s">
        <v>2090</v>
      </c>
    </row>
    <row r="186" spans="1:46" ht="15.1" customHeight="1">
      <c r="A186" s="8">
        <v>61</v>
      </c>
      <c r="B186" s="9" t="s">
        <v>2208</v>
      </c>
      <c r="C186" s="8" t="s">
        <v>2209</v>
      </c>
      <c r="D186" s="9" t="s">
        <v>451</v>
      </c>
      <c r="E186" s="8" t="s">
        <v>54</v>
      </c>
      <c r="F186" s="8" t="s">
        <v>54</v>
      </c>
      <c r="G186" s="10" t="s">
        <v>67</v>
      </c>
      <c r="H186" s="8" t="s">
        <v>54</v>
      </c>
      <c r="I186" s="8" t="s">
        <v>54</v>
      </c>
      <c r="J186" s="8" t="s">
        <v>54</v>
      </c>
      <c r="K186" s="8" t="s">
        <v>54</v>
      </c>
      <c r="L186" s="8" t="s">
        <v>54</v>
      </c>
      <c r="M186" s="8" t="s">
        <v>54</v>
      </c>
      <c r="N186" s="10" t="s">
        <v>67</v>
      </c>
      <c r="O186" s="8" t="s">
        <v>54</v>
      </c>
      <c r="P186" s="8" t="s">
        <v>54</v>
      </c>
      <c r="Q186" s="8" t="s">
        <v>54</v>
      </c>
      <c r="R186" s="8" t="s">
        <v>54</v>
      </c>
      <c r="S186" s="8" t="s">
        <v>54</v>
      </c>
      <c r="T186" s="8" t="s">
        <v>54</v>
      </c>
      <c r="U186" s="10" t="s">
        <v>67</v>
      </c>
      <c r="V186" s="8" t="s">
        <v>54</v>
      </c>
      <c r="W186" s="8" t="s">
        <v>54</v>
      </c>
      <c r="X186" s="8" t="s">
        <v>54</v>
      </c>
      <c r="Y186" s="8" t="s">
        <v>54</v>
      </c>
      <c r="Z186" s="8" t="s">
        <v>54</v>
      </c>
      <c r="AA186" s="8" t="s">
        <v>54</v>
      </c>
      <c r="AB186" s="10" t="s">
        <v>67</v>
      </c>
      <c r="AC186" s="8" t="s">
        <v>54</v>
      </c>
      <c r="AD186" s="8" t="s">
        <v>54</v>
      </c>
      <c r="AE186" s="8" t="s">
        <v>54</v>
      </c>
      <c r="AF186" s="8" t="s">
        <v>54</v>
      </c>
      <c r="AG186" s="8" t="s">
        <v>54</v>
      </c>
      <c r="AH186" s="8" t="s">
        <v>54</v>
      </c>
      <c r="AI186" s="10" t="s">
        <v>67</v>
      </c>
      <c r="AJ186" s="8">
        <f>COUNTIF($E$186:$AI$186,"P")</f>
        <v>26</v>
      </c>
      <c r="AK186" s="8">
        <f>COUNTIF($E$186:$AI$186,"A")</f>
        <v>0</v>
      </c>
      <c r="AL186" s="8">
        <f>SUM($E$187:$AI$187)</f>
        <v>0</v>
      </c>
      <c r="AM186" s="8">
        <f>SUM($E$188:$AI$188)</f>
        <v>0</v>
      </c>
      <c r="AN186" s="8">
        <f>AL186+AM186</f>
        <v>0</v>
      </c>
      <c r="AO186" s="8">
        <f>COUNTIF($E$186:$AI$186,"CL")</f>
        <v>0</v>
      </c>
      <c r="AP186" s="8">
        <f>COUNTIF($E$186:$AI$186,"SL")</f>
        <v>0</v>
      </c>
      <c r="AQ186" s="8">
        <f>COUNTIF($E$186:$AI$186,"EL")</f>
        <v>0</v>
      </c>
      <c r="AR186" s="8">
        <f>COUNTIF($E$186:$AI$186,"H")</f>
        <v>0</v>
      </c>
      <c r="AS186" s="8"/>
      <c r="AT186" s="11" t="s">
        <v>2090</v>
      </c>
    </row>
    <row r="187" spans="1:46" ht="15.1" customHeight="1">
      <c r="A187" s="8"/>
      <c r="B187" s="9"/>
      <c r="C187" s="8"/>
      <c r="D187" s="9"/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11" t="s">
        <v>2090</v>
      </c>
    </row>
    <row r="188" spans="1:46" ht="15.1" customHeight="1">
      <c r="A188" s="8"/>
      <c r="B188" s="9"/>
      <c r="C188" s="8"/>
      <c r="D188" s="9"/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11" t="s">
        <v>2090</v>
      </c>
    </row>
    <row r="189" spans="1:46" ht="15.1" customHeight="1">
      <c r="A189" s="8">
        <v>62</v>
      </c>
      <c r="B189" s="9" t="s">
        <v>839</v>
      </c>
      <c r="C189" s="8" t="s">
        <v>2210</v>
      </c>
      <c r="D189" s="9" t="s">
        <v>451</v>
      </c>
      <c r="E189" s="8" t="s">
        <v>54</v>
      </c>
      <c r="F189" s="8" t="s">
        <v>54</v>
      </c>
      <c r="G189" s="10" t="s">
        <v>67</v>
      </c>
      <c r="H189" s="8" t="s">
        <v>54</v>
      </c>
      <c r="I189" s="8" t="s">
        <v>54</v>
      </c>
      <c r="J189" s="8" t="s">
        <v>54</v>
      </c>
      <c r="K189" s="8" t="s">
        <v>54</v>
      </c>
      <c r="L189" s="8" t="s">
        <v>54</v>
      </c>
      <c r="M189" s="8" t="s">
        <v>54</v>
      </c>
      <c r="N189" s="10" t="s">
        <v>67</v>
      </c>
      <c r="O189" s="8" t="s">
        <v>54</v>
      </c>
      <c r="P189" s="8" t="s">
        <v>54</v>
      </c>
      <c r="Q189" s="8" t="s">
        <v>54</v>
      </c>
      <c r="R189" s="8" t="s">
        <v>54</v>
      </c>
      <c r="S189" s="8" t="s">
        <v>54</v>
      </c>
      <c r="T189" s="8" t="s">
        <v>54</v>
      </c>
      <c r="U189" s="10" t="s">
        <v>67</v>
      </c>
      <c r="V189" s="8" t="s">
        <v>54</v>
      </c>
      <c r="W189" s="8" t="s">
        <v>54</v>
      </c>
      <c r="X189" s="8" t="s">
        <v>54</v>
      </c>
      <c r="Y189" s="8" t="s">
        <v>54</v>
      </c>
      <c r="Z189" s="8" t="s">
        <v>54</v>
      </c>
      <c r="AA189" s="8" t="s">
        <v>54</v>
      </c>
      <c r="AB189" s="10" t="s">
        <v>67</v>
      </c>
      <c r="AC189" s="8" t="s">
        <v>54</v>
      </c>
      <c r="AD189" s="8" t="s">
        <v>54</v>
      </c>
      <c r="AE189" s="8" t="s">
        <v>54</v>
      </c>
      <c r="AF189" s="8" t="s">
        <v>54</v>
      </c>
      <c r="AG189" s="8" t="s">
        <v>54</v>
      </c>
      <c r="AH189" s="8" t="s">
        <v>54</v>
      </c>
      <c r="AI189" s="10" t="s">
        <v>67</v>
      </c>
      <c r="AJ189" s="8">
        <f>COUNTIF($E$189:$AI$189,"P")</f>
        <v>26</v>
      </c>
      <c r="AK189" s="8">
        <f>COUNTIF($E$189:$AI$189,"A")</f>
        <v>0</v>
      </c>
      <c r="AL189" s="8">
        <f>SUM($E$190:$AI$190)</f>
        <v>0</v>
      </c>
      <c r="AM189" s="8">
        <f>SUM($E$191:$AI$191)</f>
        <v>0</v>
      </c>
      <c r="AN189" s="8">
        <f>AL189+AM189</f>
        <v>0</v>
      </c>
      <c r="AO189" s="8">
        <f>COUNTIF($E$189:$AI$189,"CL")</f>
        <v>0</v>
      </c>
      <c r="AP189" s="8">
        <f>COUNTIF($E$189:$AI$189,"SL")</f>
        <v>0</v>
      </c>
      <c r="AQ189" s="8">
        <f>COUNTIF($E$189:$AI$189,"EL")</f>
        <v>0</v>
      </c>
      <c r="AR189" s="8">
        <f>COUNTIF($E$189:$AI$189,"H")</f>
        <v>0</v>
      </c>
      <c r="AS189" s="8"/>
      <c r="AT189" s="11" t="s">
        <v>2090</v>
      </c>
    </row>
    <row r="190" spans="1:46" ht="15.1" customHeight="1">
      <c r="A190" s="8"/>
      <c r="B190" s="9"/>
      <c r="C190" s="8"/>
      <c r="D190" s="9"/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11" t="s">
        <v>2090</v>
      </c>
    </row>
    <row r="191" spans="1:46" ht="15.1" customHeight="1">
      <c r="A191" s="8"/>
      <c r="B191" s="9"/>
      <c r="C191" s="8"/>
      <c r="D191" s="9"/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11" t="s">
        <v>2090</v>
      </c>
    </row>
    <row r="192" spans="1:46" ht="15.1" customHeight="1">
      <c r="A192" s="8">
        <v>63</v>
      </c>
      <c r="B192" s="9" t="s">
        <v>2211</v>
      </c>
      <c r="C192" s="8" t="s">
        <v>2212</v>
      </c>
      <c r="D192" s="9" t="s">
        <v>451</v>
      </c>
      <c r="E192" s="8" t="s">
        <v>54</v>
      </c>
      <c r="F192" s="8" t="s">
        <v>54</v>
      </c>
      <c r="G192" s="10" t="s">
        <v>67</v>
      </c>
      <c r="H192" s="8" t="s">
        <v>54</v>
      </c>
      <c r="I192" s="8" t="s">
        <v>54</v>
      </c>
      <c r="J192" s="8" t="s">
        <v>54</v>
      </c>
      <c r="K192" s="8" t="s">
        <v>54</v>
      </c>
      <c r="L192" s="8" t="s">
        <v>54</v>
      </c>
      <c r="M192" s="8" t="s">
        <v>54</v>
      </c>
      <c r="N192" s="10" t="s">
        <v>67</v>
      </c>
      <c r="O192" s="8" t="s">
        <v>54</v>
      </c>
      <c r="P192" s="8" t="s">
        <v>54</v>
      </c>
      <c r="Q192" s="8" t="s">
        <v>54</v>
      </c>
      <c r="R192" s="8" t="s">
        <v>54</v>
      </c>
      <c r="S192" s="8" t="s">
        <v>54</v>
      </c>
      <c r="T192" s="8" t="s">
        <v>54</v>
      </c>
      <c r="U192" s="10" t="s">
        <v>67</v>
      </c>
      <c r="V192" s="8" t="s">
        <v>54</v>
      </c>
      <c r="W192" s="8" t="s">
        <v>54</v>
      </c>
      <c r="X192" s="8" t="s">
        <v>54</v>
      </c>
      <c r="Y192" s="8" t="s">
        <v>54</v>
      </c>
      <c r="Z192" s="8" t="s">
        <v>54</v>
      </c>
      <c r="AA192" s="8" t="s">
        <v>54</v>
      </c>
      <c r="AB192" s="10" t="s">
        <v>67</v>
      </c>
      <c r="AC192" s="8" t="s">
        <v>54</v>
      </c>
      <c r="AD192" s="8" t="s">
        <v>54</v>
      </c>
      <c r="AE192" s="8" t="s">
        <v>54</v>
      </c>
      <c r="AF192" s="8" t="s">
        <v>54</v>
      </c>
      <c r="AG192" s="8" t="s">
        <v>54</v>
      </c>
      <c r="AH192" s="8" t="s">
        <v>54</v>
      </c>
      <c r="AI192" s="10" t="s">
        <v>67</v>
      </c>
      <c r="AJ192" s="8">
        <f>COUNTIF($E$192:$AI$192,"P")</f>
        <v>26</v>
      </c>
      <c r="AK192" s="8">
        <f>COUNTIF($E$192:$AI$192,"A")</f>
        <v>0</v>
      </c>
      <c r="AL192" s="8">
        <f>SUM($E$193:$AI$193)</f>
        <v>0</v>
      </c>
      <c r="AM192" s="8">
        <f>SUM($E$194:$AI$194)</f>
        <v>0</v>
      </c>
      <c r="AN192" s="8">
        <f>AL192+AM192</f>
        <v>0</v>
      </c>
      <c r="AO192" s="8">
        <f>COUNTIF($E$192:$AI$192,"CL")</f>
        <v>0</v>
      </c>
      <c r="AP192" s="8">
        <f>COUNTIF($E$192:$AI$192,"SL")</f>
        <v>0</v>
      </c>
      <c r="AQ192" s="8">
        <f>COUNTIF($E$192:$AI$192,"EL")</f>
        <v>0</v>
      </c>
      <c r="AR192" s="8">
        <f>COUNTIF($E$192:$AI$192,"H")</f>
        <v>0</v>
      </c>
      <c r="AS192" s="8"/>
      <c r="AT192" s="11" t="s">
        <v>2090</v>
      </c>
    </row>
    <row r="193" spans="1:46" ht="15.1" customHeight="1">
      <c r="A193" s="8"/>
      <c r="B193" s="9"/>
      <c r="C193" s="8"/>
      <c r="D193" s="9"/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11" t="s">
        <v>2090</v>
      </c>
    </row>
    <row r="194" spans="1:46" ht="15.1" customHeight="1">
      <c r="A194" s="8"/>
      <c r="B194" s="9"/>
      <c r="C194" s="8"/>
      <c r="D194" s="9"/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11" t="s">
        <v>2090</v>
      </c>
    </row>
    <row r="195" spans="1:46" ht="15.1" customHeight="1">
      <c r="A195" s="8">
        <v>64</v>
      </c>
      <c r="B195" s="9" t="s">
        <v>2213</v>
      </c>
      <c r="C195" s="8" t="s">
        <v>2214</v>
      </c>
      <c r="D195" s="9" t="s">
        <v>451</v>
      </c>
      <c r="E195" s="8" t="s">
        <v>54</v>
      </c>
      <c r="F195" s="8" t="s">
        <v>54</v>
      </c>
      <c r="G195" s="10" t="s">
        <v>67</v>
      </c>
      <c r="H195" s="8" t="s">
        <v>54</v>
      </c>
      <c r="I195" s="8" t="s">
        <v>54</v>
      </c>
      <c r="J195" s="8" t="s">
        <v>54</v>
      </c>
      <c r="K195" s="8" t="s">
        <v>54</v>
      </c>
      <c r="L195" s="8" t="s">
        <v>54</v>
      </c>
      <c r="M195" s="8" t="s">
        <v>54</v>
      </c>
      <c r="N195" s="10" t="s">
        <v>67</v>
      </c>
      <c r="O195" s="8" t="s">
        <v>54</v>
      </c>
      <c r="P195" s="8" t="s">
        <v>54</v>
      </c>
      <c r="Q195" s="8" t="s">
        <v>54</v>
      </c>
      <c r="R195" s="8" t="s">
        <v>54</v>
      </c>
      <c r="S195" s="8" t="s">
        <v>54</v>
      </c>
      <c r="T195" s="8" t="s">
        <v>54</v>
      </c>
      <c r="U195" s="10" t="s">
        <v>67</v>
      </c>
      <c r="V195" s="8" t="s">
        <v>54</v>
      </c>
      <c r="W195" s="8" t="s">
        <v>54</v>
      </c>
      <c r="X195" s="8" t="s">
        <v>54</v>
      </c>
      <c r="Y195" s="8" t="s">
        <v>54</v>
      </c>
      <c r="Z195" s="8" t="s">
        <v>54</v>
      </c>
      <c r="AA195" s="8" t="s">
        <v>54</v>
      </c>
      <c r="AB195" s="10" t="s">
        <v>67</v>
      </c>
      <c r="AC195" s="8" t="s">
        <v>54</v>
      </c>
      <c r="AD195" s="8" t="s">
        <v>54</v>
      </c>
      <c r="AE195" s="8" t="s">
        <v>54</v>
      </c>
      <c r="AF195" s="8" t="s">
        <v>54</v>
      </c>
      <c r="AG195" s="8" t="s">
        <v>54</v>
      </c>
      <c r="AH195" s="8" t="s">
        <v>54</v>
      </c>
      <c r="AI195" s="10" t="s">
        <v>67</v>
      </c>
      <c r="AJ195" s="8">
        <f>COUNTIF($E$195:$AI$195,"P")</f>
        <v>26</v>
      </c>
      <c r="AK195" s="8">
        <f>COUNTIF($E$195:$AI$195,"A")</f>
        <v>0</v>
      </c>
      <c r="AL195" s="8">
        <f>SUM($E$196:$AI$196)</f>
        <v>0</v>
      </c>
      <c r="AM195" s="8">
        <f>SUM($E$197:$AI$197)</f>
        <v>0</v>
      </c>
      <c r="AN195" s="8">
        <f>AL195+AM195</f>
        <v>0</v>
      </c>
      <c r="AO195" s="8">
        <f>COUNTIF($E$195:$AI$195,"CL")</f>
        <v>0</v>
      </c>
      <c r="AP195" s="8">
        <f>COUNTIF($E$195:$AI$195,"SL")</f>
        <v>0</v>
      </c>
      <c r="AQ195" s="8">
        <f>COUNTIF($E$195:$AI$195,"EL")</f>
        <v>0</v>
      </c>
      <c r="AR195" s="8">
        <f>COUNTIF($E$195:$AI$195,"H")</f>
        <v>0</v>
      </c>
      <c r="AS195" s="8"/>
      <c r="AT195" s="11" t="s">
        <v>2090</v>
      </c>
    </row>
    <row r="196" spans="1:46" ht="15.1" customHeight="1">
      <c r="A196" s="8"/>
      <c r="B196" s="9"/>
      <c r="C196" s="8"/>
      <c r="D196" s="9"/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11" t="s">
        <v>2090</v>
      </c>
    </row>
    <row r="197" spans="1:46" ht="15.1" customHeight="1">
      <c r="A197" s="8"/>
      <c r="B197" s="9"/>
      <c r="C197" s="8"/>
      <c r="D197" s="9"/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11" t="s">
        <v>2090</v>
      </c>
    </row>
    <row r="198" spans="1:46" ht="15.1" customHeight="1">
      <c r="A198" s="8">
        <v>65</v>
      </c>
      <c r="B198" s="9" t="s">
        <v>1191</v>
      </c>
      <c r="C198" s="8" t="s">
        <v>2215</v>
      </c>
      <c r="D198" s="9" t="s">
        <v>451</v>
      </c>
      <c r="E198" s="8" t="s">
        <v>54</v>
      </c>
      <c r="F198" s="8" t="s">
        <v>54</v>
      </c>
      <c r="G198" s="10" t="s">
        <v>67</v>
      </c>
      <c r="H198" s="8" t="s">
        <v>54</v>
      </c>
      <c r="I198" s="8" t="s">
        <v>54</v>
      </c>
      <c r="J198" s="8" t="s">
        <v>54</v>
      </c>
      <c r="K198" s="8" t="s">
        <v>54</v>
      </c>
      <c r="L198" s="8" t="s">
        <v>54</v>
      </c>
      <c r="M198" s="8" t="s">
        <v>54</v>
      </c>
      <c r="N198" s="10" t="s">
        <v>67</v>
      </c>
      <c r="O198" s="8" t="s">
        <v>54</v>
      </c>
      <c r="P198" s="8" t="s">
        <v>54</v>
      </c>
      <c r="Q198" s="8" t="s">
        <v>54</v>
      </c>
      <c r="R198" s="8" t="s">
        <v>54</v>
      </c>
      <c r="S198" s="8" t="s">
        <v>54</v>
      </c>
      <c r="T198" s="8" t="s">
        <v>54</v>
      </c>
      <c r="U198" s="10" t="s">
        <v>67</v>
      </c>
      <c r="V198" s="8" t="s">
        <v>54</v>
      </c>
      <c r="W198" s="8" t="s">
        <v>54</v>
      </c>
      <c r="X198" s="8" t="s">
        <v>54</v>
      </c>
      <c r="Y198" s="8" t="s">
        <v>54</v>
      </c>
      <c r="Z198" s="8" t="s">
        <v>54</v>
      </c>
      <c r="AA198" s="8" t="s">
        <v>54</v>
      </c>
      <c r="AB198" s="10" t="s">
        <v>67</v>
      </c>
      <c r="AC198" s="8" t="s">
        <v>54</v>
      </c>
      <c r="AD198" s="12" t="s">
        <v>55</v>
      </c>
      <c r="AE198" s="8" t="s">
        <v>54</v>
      </c>
      <c r="AF198" s="8" t="s">
        <v>54</v>
      </c>
      <c r="AG198" s="8" t="s">
        <v>54</v>
      </c>
      <c r="AH198" s="8" t="s">
        <v>54</v>
      </c>
      <c r="AI198" s="10" t="s">
        <v>67</v>
      </c>
      <c r="AJ198" s="8">
        <f>COUNTIF($E$198:$AI$198,"P")</f>
        <v>25</v>
      </c>
      <c r="AK198" s="8">
        <f>COUNTIF($E$198:$AI$198,"A")</f>
        <v>1</v>
      </c>
      <c r="AL198" s="8">
        <f>SUM($E$199:$AI$199)</f>
        <v>0</v>
      </c>
      <c r="AM198" s="8">
        <f>SUM($E$200:$AI$200)</f>
        <v>0</v>
      </c>
      <c r="AN198" s="8">
        <f>AL198+AM198</f>
        <v>0</v>
      </c>
      <c r="AO198" s="8">
        <f>COUNTIF($E$198:$AI$198,"CL")</f>
        <v>0</v>
      </c>
      <c r="AP198" s="8">
        <f>COUNTIF($E$198:$AI$198,"SL")</f>
        <v>0</v>
      </c>
      <c r="AQ198" s="8">
        <f>COUNTIF($E$198:$AI$198,"EL")</f>
        <v>0</v>
      </c>
      <c r="AR198" s="8">
        <f>COUNTIF($E$198:$AI$198,"H")</f>
        <v>0</v>
      </c>
      <c r="AS198" s="8"/>
      <c r="AT198" s="11" t="s">
        <v>2090</v>
      </c>
    </row>
    <row r="199" spans="1:46" ht="15.1" customHeight="1">
      <c r="A199" s="8"/>
      <c r="B199" s="9"/>
      <c r="C199" s="8"/>
      <c r="D199" s="9"/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11" t="s">
        <v>2090</v>
      </c>
    </row>
    <row r="200" spans="1:46" ht="15.1" customHeight="1">
      <c r="A200" s="8"/>
      <c r="B200" s="9"/>
      <c r="C200" s="8"/>
      <c r="D200" s="9"/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11" t="s">
        <v>2090</v>
      </c>
    </row>
    <row r="201" spans="1:46" ht="15.1" customHeight="1">
      <c r="A201" s="8">
        <v>66</v>
      </c>
      <c r="B201" s="9" t="s">
        <v>2216</v>
      </c>
      <c r="C201" s="8" t="s">
        <v>2217</v>
      </c>
      <c r="D201" s="9" t="s">
        <v>451</v>
      </c>
      <c r="E201" s="8" t="s">
        <v>54</v>
      </c>
      <c r="F201" s="8" t="s">
        <v>54</v>
      </c>
      <c r="G201" s="10" t="s">
        <v>67</v>
      </c>
      <c r="H201" s="8" t="s">
        <v>54</v>
      </c>
      <c r="I201" s="8" t="s">
        <v>54</v>
      </c>
      <c r="J201" s="8" t="s">
        <v>54</v>
      </c>
      <c r="K201" s="8" t="s">
        <v>54</v>
      </c>
      <c r="L201" s="8" t="s">
        <v>54</v>
      </c>
      <c r="M201" s="8" t="s">
        <v>54</v>
      </c>
      <c r="N201" s="10" t="s">
        <v>67</v>
      </c>
      <c r="O201" s="8" t="s">
        <v>54</v>
      </c>
      <c r="P201" s="8" t="s">
        <v>54</v>
      </c>
      <c r="Q201" s="8" t="s">
        <v>54</v>
      </c>
      <c r="R201" s="8" t="s">
        <v>54</v>
      </c>
      <c r="S201" s="8" t="s">
        <v>54</v>
      </c>
      <c r="T201" s="8" t="s">
        <v>54</v>
      </c>
      <c r="U201" s="10" t="s">
        <v>67</v>
      </c>
      <c r="V201" s="8" t="s">
        <v>54</v>
      </c>
      <c r="W201" s="8" t="s">
        <v>54</v>
      </c>
      <c r="X201" s="12" t="s">
        <v>55</v>
      </c>
      <c r="Y201" s="8" t="s">
        <v>54</v>
      </c>
      <c r="Z201" s="8" t="s">
        <v>54</v>
      </c>
      <c r="AA201" s="8" t="s">
        <v>54</v>
      </c>
      <c r="AB201" s="10" t="s">
        <v>67</v>
      </c>
      <c r="AC201" s="8" t="s">
        <v>54</v>
      </c>
      <c r="AD201" s="12" t="s">
        <v>55</v>
      </c>
      <c r="AE201" s="12" t="s">
        <v>55</v>
      </c>
      <c r="AF201" s="12" t="s">
        <v>55</v>
      </c>
      <c r="AG201" s="8" t="s">
        <v>54</v>
      </c>
      <c r="AH201" s="8" t="s">
        <v>54</v>
      </c>
      <c r="AI201" s="10" t="s">
        <v>67</v>
      </c>
      <c r="AJ201" s="8">
        <f>COUNTIF($E$201:$AI$201,"P")</f>
        <v>22</v>
      </c>
      <c r="AK201" s="8">
        <f>COUNTIF($E$201:$AI$201,"A")</f>
        <v>4</v>
      </c>
      <c r="AL201" s="8">
        <f>SUM($E$202:$AI$202)</f>
        <v>0</v>
      </c>
      <c r="AM201" s="8">
        <f>SUM($E$203:$AI$203)</f>
        <v>0</v>
      </c>
      <c r="AN201" s="8">
        <f>AL201+AM201</f>
        <v>0</v>
      </c>
      <c r="AO201" s="8">
        <f>COUNTIF($E$201:$AI$201,"CL")</f>
        <v>0</v>
      </c>
      <c r="AP201" s="8">
        <f>COUNTIF($E$201:$AI$201,"SL")</f>
        <v>0</v>
      </c>
      <c r="AQ201" s="8">
        <f>COUNTIF($E$201:$AI$201,"EL")</f>
        <v>0</v>
      </c>
      <c r="AR201" s="8">
        <f>COUNTIF($E$201:$AI$201,"H")</f>
        <v>0</v>
      </c>
      <c r="AS201" s="8"/>
      <c r="AT201" s="11" t="s">
        <v>2090</v>
      </c>
    </row>
    <row r="202" spans="1:46" ht="15.1" customHeight="1">
      <c r="A202" s="8"/>
      <c r="B202" s="9"/>
      <c r="C202" s="8"/>
      <c r="D202" s="9"/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11" t="s">
        <v>2090</v>
      </c>
    </row>
    <row r="203" spans="1:46" ht="15.1" customHeight="1">
      <c r="A203" s="8"/>
      <c r="B203" s="9"/>
      <c r="C203" s="8"/>
      <c r="D203" s="9"/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11" t="s">
        <v>2090</v>
      </c>
    </row>
    <row r="204" spans="1:46" ht="15.1" customHeight="1">
      <c r="A204" s="8">
        <v>67</v>
      </c>
      <c r="B204" s="9" t="s">
        <v>2218</v>
      </c>
      <c r="C204" s="8" t="s">
        <v>2219</v>
      </c>
      <c r="D204" s="9" t="s">
        <v>451</v>
      </c>
      <c r="E204" s="8" t="s">
        <v>54</v>
      </c>
      <c r="F204" s="8" t="s">
        <v>54</v>
      </c>
      <c r="G204" s="10" t="s">
        <v>67</v>
      </c>
      <c r="H204" s="8" t="s">
        <v>54</v>
      </c>
      <c r="I204" s="8" t="s">
        <v>54</v>
      </c>
      <c r="J204" s="8" t="s">
        <v>54</v>
      </c>
      <c r="K204" s="8" t="s">
        <v>54</v>
      </c>
      <c r="L204" s="8" t="s">
        <v>54</v>
      </c>
      <c r="M204" s="8" t="s">
        <v>54</v>
      </c>
      <c r="N204" s="10" t="s">
        <v>67</v>
      </c>
      <c r="O204" s="8" t="s">
        <v>54</v>
      </c>
      <c r="P204" s="8" t="s">
        <v>54</v>
      </c>
      <c r="Q204" s="8" t="s">
        <v>54</v>
      </c>
      <c r="R204" s="8" t="s">
        <v>54</v>
      </c>
      <c r="S204" s="8" t="s">
        <v>54</v>
      </c>
      <c r="T204" s="8" t="s">
        <v>54</v>
      </c>
      <c r="U204" s="10" t="s">
        <v>67</v>
      </c>
      <c r="V204" s="8" t="s">
        <v>54</v>
      </c>
      <c r="W204" s="8" t="s">
        <v>54</v>
      </c>
      <c r="X204" s="8" t="s">
        <v>54</v>
      </c>
      <c r="Y204" s="8" t="s">
        <v>54</v>
      </c>
      <c r="Z204" s="8" t="s">
        <v>54</v>
      </c>
      <c r="AA204" s="8" t="s">
        <v>54</v>
      </c>
      <c r="AB204" s="10" t="s">
        <v>67</v>
      </c>
      <c r="AC204" s="8" t="s">
        <v>54</v>
      </c>
      <c r="AD204" s="8" t="s">
        <v>54</v>
      </c>
      <c r="AE204" s="8" t="s">
        <v>54</v>
      </c>
      <c r="AF204" s="8" t="s">
        <v>54</v>
      </c>
      <c r="AG204" s="8" t="s">
        <v>54</v>
      </c>
      <c r="AH204" s="8" t="s">
        <v>54</v>
      </c>
      <c r="AI204" s="10" t="s">
        <v>67</v>
      </c>
      <c r="AJ204" s="8">
        <f>COUNTIF($E$204:$AI$204,"P")</f>
        <v>26</v>
      </c>
      <c r="AK204" s="8">
        <f>COUNTIF($E$204:$AI$204,"A")</f>
        <v>0</v>
      </c>
      <c r="AL204" s="8">
        <f>SUM($E$205:$AI$205)</f>
        <v>0</v>
      </c>
      <c r="AM204" s="8">
        <f>SUM($E$206:$AI$206)</f>
        <v>0</v>
      </c>
      <c r="AN204" s="8">
        <f>AL204+AM204</f>
        <v>0</v>
      </c>
      <c r="AO204" s="8">
        <f>COUNTIF($E$204:$AI$204,"CL")</f>
        <v>0</v>
      </c>
      <c r="AP204" s="8">
        <f>COUNTIF($E$204:$AI$204,"SL")</f>
        <v>0</v>
      </c>
      <c r="AQ204" s="8">
        <f>COUNTIF($E$204:$AI$204,"EL")</f>
        <v>0</v>
      </c>
      <c r="AR204" s="8">
        <f>COUNTIF($E$204:$AI$204,"H")</f>
        <v>0</v>
      </c>
      <c r="AS204" s="8"/>
      <c r="AT204" s="11" t="s">
        <v>2090</v>
      </c>
    </row>
    <row r="205" spans="1:46" ht="15.1" customHeight="1">
      <c r="A205" s="8"/>
      <c r="B205" s="9"/>
      <c r="C205" s="8"/>
      <c r="D205" s="9"/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11" t="s">
        <v>2090</v>
      </c>
    </row>
    <row r="206" spans="1:46" ht="15.1" customHeight="1">
      <c r="A206" s="8"/>
      <c r="B206" s="9"/>
      <c r="C206" s="8"/>
      <c r="D206" s="9"/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11" t="s">
        <v>2090</v>
      </c>
    </row>
    <row r="207" spans="1:46" ht="15.1" customHeight="1">
      <c r="A207" s="8">
        <v>68</v>
      </c>
      <c r="B207" s="9" t="s">
        <v>2220</v>
      </c>
      <c r="C207" s="8" t="s">
        <v>2221</v>
      </c>
      <c r="D207" s="9" t="s">
        <v>451</v>
      </c>
      <c r="E207" s="12" t="s">
        <v>55</v>
      </c>
      <c r="F207" s="12" t="s">
        <v>55</v>
      </c>
      <c r="G207" s="10" t="s">
        <v>67</v>
      </c>
      <c r="H207" s="12" t="s">
        <v>55</v>
      </c>
      <c r="I207" s="12" t="s">
        <v>55</v>
      </c>
      <c r="J207" s="8" t="s">
        <v>54</v>
      </c>
      <c r="K207" s="8" t="s">
        <v>54</v>
      </c>
      <c r="L207" s="8" t="s">
        <v>54</v>
      </c>
      <c r="M207" s="12" t="s">
        <v>55</v>
      </c>
      <c r="N207" s="10" t="s">
        <v>67</v>
      </c>
      <c r="O207" s="8" t="s">
        <v>54</v>
      </c>
      <c r="P207" s="8" t="s">
        <v>54</v>
      </c>
      <c r="Q207" s="8" t="s">
        <v>54</v>
      </c>
      <c r="R207" s="8" t="s">
        <v>54</v>
      </c>
      <c r="S207" s="8" t="s">
        <v>54</v>
      </c>
      <c r="T207" s="8" t="s">
        <v>54</v>
      </c>
      <c r="U207" s="10" t="s">
        <v>67</v>
      </c>
      <c r="V207" s="12" t="s">
        <v>55</v>
      </c>
      <c r="W207" s="12" t="s">
        <v>55</v>
      </c>
      <c r="X207" s="12" t="s">
        <v>55</v>
      </c>
      <c r="Y207" s="12" t="s">
        <v>55</v>
      </c>
      <c r="Z207" s="12" t="s">
        <v>55</v>
      </c>
      <c r="AA207" s="12" t="s">
        <v>55</v>
      </c>
      <c r="AB207" s="10" t="s">
        <v>67</v>
      </c>
      <c r="AC207" s="8" t="s">
        <v>54</v>
      </c>
      <c r="AD207" s="12" t="s">
        <v>55</v>
      </c>
      <c r="AE207" s="8" t="s">
        <v>54</v>
      </c>
      <c r="AF207" s="8" t="s">
        <v>54</v>
      </c>
      <c r="AG207" s="12" t="s">
        <v>55</v>
      </c>
      <c r="AH207" s="12" t="s">
        <v>55</v>
      </c>
      <c r="AI207" s="10" t="s">
        <v>67</v>
      </c>
      <c r="AJ207" s="8">
        <f>COUNTIF($E$207:$AI$207,"P")</f>
        <v>12</v>
      </c>
      <c r="AK207" s="8">
        <f>COUNTIF($E$207:$AI$207,"A")</f>
        <v>14</v>
      </c>
      <c r="AL207" s="8">
        <f>SUM($E$208:$AI$208)</f>
        <v>0</v>
      </c>
      <c r="AM207" s="8">
        <f>SUM($E$209:$AI$209)</f>
        <v>0</v>
      </c>
      <c r="AN207" s="8">
        <f>AL207+AM207</f>
        <v>0</v>
      </c>
      <c r="AO207" s="8">
        <f>COUNTIF($E$207:$AI$207,"CL")</f>
        <v>0</v>
      </c>
      <c r="AP207" s="8">
        <f>COUNTIF($E$207:$AI$207,"SL")</f>
        <v>0</v>
      </c>
      <c r="AQ207" s="8">
        <f>COUNTIF($E$207:$AI$207,"EL")</f>
        <v>0</v>
      </c>
      <c r="AR207" s="8">
        <f>COUNTIF($E$207:$AI$207,"H")</f>
        <v>0</v>
      </c>
      <c r="AS207" s="8"/>
      <c r="AT207" s="11" t="s">
        <v>2090</v>
      </c>
    </row>
    <row r="208" spans="1:46" ht="15.1" customHeight="1">
      <c r="A208" s="8"/>
      <c r="B208" s="9"/>
      <c r="C208" s="8"/>
      <c r="D208" s="9"/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11" t="s">
        <v>2090</v>
      </c>
    </row>
    <row r="209" spans="1:46" ht="15.1" customHeight="1">
      <c r="A209" s="8"/>
      <c r="B209" s="9"/>
      <c r="C209" s="8"/>
      <c r="D209" s="9"/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11" t="s">
        <v>2090</v>
      </c>
    </row>
    <row r="210" spans="1:46" ht="15.1" customHeight="1">
      <c r="A210" s="8">
        <v>69</v>
      </c>
      <c r="B210" s="9" t="s">
        <v>2222</v>
      </c>
      <c r="C210" s="8" t="s">
        <v>2223</v>
      </c>
      <c r="D210" s="9" t="s">
        <v>451</v>
      </c>
      <c r="E210" s="8" t="s">
        <v>54</v>
      </c>
      <c r="F210" s="8" t="s">
        <v>54</v>
      </c>
      <c r="G210" s="10" t="s">
        <v>67</v>
      </c>
      <c r="H210" s="8" t="s">
        <v>54</v>
      </c>
      <c r="I210" s="8" t="s">
        <v>54</v>
      </c>
      <c r="J210" s="8" t="s">
        <v>54</v>
      </c>
      <c r="K210" s="8" t="s">
        <v>54</v>
      </c>
      <c r="L210" s="8" t="s">
        <v>54</v>
      </c>
      <c r="M210" s="8" t="s">
        <v>54</v>
      </c>
      <c r="N210" s="10" t="s">
        <v>67</v>
      </c>
      <c r="O210" s="8" t="s">
        <v>54</v>
      </c>
      <c r="P210" s="8" t="s">
        <v>54</v>
      </c>
      <c r="Q210" s="8" t="s">
        <v>54</v>
      </c>
      <c r="R210" s="8" t="s">
        <v>54</v>
      </c>
      <c r="S210" s="8" t="s">
        <v>54</v>
      </c>
      <c r="T210" s="8" t="s">
        <v>54</v>
      </c>
      <c r="U210" s="10" t="s">
        <v>67</v>
      </c>
      <c r="V210" s="8" t="s">
        <v>54</v>
      </c>
      <c r="W210" s="8" t="s">
        <v>54</v>
      </c>
      <c r="X210" s="8" t="s">
        <v>54</v>
      </c>
      <c r="Y210" s="8" t="s">
        <v>54</v>
      </c>
      <c r="Z210" s="8" t="s">
        <v>54</v>
      </c>
      <c r="AA210" s="8" t="s">
        <v>54</v>
      </c>
      <c r="AB210" s="10" t="s">
        <v>67</v>
      </c>
      <c r="AC210" s="8" t="s">
        <v>54</v>
      </c>
      <c r="AD210" s="8" t="s">
        <v>54</v>
      </c>
      <c r="AE210" s="8" t="s">
        <v>54</v>
      </c>
      <c r="AF210" s="8" t="s">
        <v>54</v>
      </c>
      <c r="AG210" s="8" t="s">
        <v>54</v>
      </c>
      <c r="AH210" s="8" t="s">
        <v>54</v>
      </c>
      <c r="AI210" s="10" t="s">
        <v>67</v>
      </c>
      <c r="AJ210" s="8">
        <f>COUNTIF($E$210:$AI$210,"P")</f>
        <v>26</v>
      </c>
      <c r="AK210" s="8">
        <f>COUNTIF($E$210:$AI$210,"A")</f>
        <v>0</v>
      </c>
      <c r="AL210" s="8">
        <f>SUM($E$211:$AI$211)</f>
        <v>0</v>
      </c>
      <c r="AM210" s="8">
        <f>SUM($E$212:$AI$212)</f>
        <v>0</v>
      </c>
      <c r="AN210" s="8">
        <f>AL210+AM210</f>
        <v>0</v>
      </c>
      <c r="AO210" s="8">
        <f>COUNTIF($E$210:$AI$210,"CL")</f>
        <v>0</v>
      </c>
      <c r="AP210" s="8">
        <f>COUNTIF($E$210:$AI$210,"SL")</f>
        <v>0</v>
      </c>
      <c r="AQ210" s="8">
        <f>COUNTIF($E$210:$AI$210,"EL")</f>
        <v>0</v>
      </c>
      <c r="AR210" s="8">
        <f>COUNTIF($E$210:$AI$210,"H")</f>
        <v>0</v>
      </c>
      <c r="AS210" s="8"/>
      <c r="AT210" s="11" t="s">
        <v>2090</v>
      </c>
    </row>
    <row r="211" spans="1:46" ht="15.1" customHeight="1">
      <c r="A211" s="8"/>
      <c r="B211" s="9"/>
      <c r="C211" s="8"/>
      <c r="D211" s="9"/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11" t="s">
        <v>2090</v>
      </c>
    </row>
    <row r="212" spans="1:46" ht="15.1" customHeight="1">
      <c r="A212" s="8"/>
      <c r="B212" s="9"/>
      <c r="C212" s="8"/>
      <c r="D212" s="9"/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11" t="s">
        <v>2090</v>
      </c>
    </row>
    <row r="213" spans="1:46" ht="15.1" customHeight="1">
      <c r="A213" s="8">
        <v>70</v>
      </c>
      <c r="B213" s="9" t="s">
        <v>2224</v>
      </c>
      <c r="C213" s="8" t="s">
        <v>2225</v>
      </c>
      <c r="D213" s="9" t="s">
        <v>451</v>
      </c>
      <c r="E213" s="12" t="s">
        <v>55</v>
      </c>
      <c r="F213" s="8" t="s">
        <v>54</v>
      </c>
      <c r="G213" s="10" t="s">
        <v>67</v>
      </c>
      <c r="H213" s="8" t="s">
        <v>54</v>
      </c>
      <c r="I213" s="8" t="s">
        <v>54</v>
      </c>
      <c r="J213" s="8" t="s">
        <v>54</v>
      </c>
      <c r="K213" s="8" t="s">
        <v>54</v>
      </c>
      <c r="L213" s="8" t="s">
        <v>54</v>
      </c>
      <c r="M213" s="8" t="s">
        <v>54</v>
      </c>
      <c r="N213" s="10" t="s">
        <v>67</v>
      </c>
      <c r="O213" s="8" t="s">
        <v>54</v>
      </c>
      <c r="P213" s="8" t="s">
        <v>54</v>
      </c>
      <c r="Q213" s="8" t="s">
        <v>54</v>
      </c>
      <c r="R213" s="8" t="s">
        <v>54</v>
      </c>
      <c r="S213" s="12" t="s">
        <v>55</v>
      </c>
      <c r="T213" s="8" t="s">
        <v>54</v>
      </c>
      <c r="U213" s="10" t="s">
        <v>67</v>
      </c>
      <c r="V213" s="8" t="s">
        <v>54</v>
      </c>
      <c r="W213" s="8" t="s">
        <v>54</v>
      </c>
      <c r="X213" s="12" t="s">
        <v>55</v>
      </c>
      <c r="Y213" s="12" t="s">
        <v>55</v>
      </c>
      <c r="Z213" s="12" t="s">
        <v>55</v>
      </c>
      <c r="AA213" s="12" t="s">
        <v>55</v>
      </c>
      <c r="AB213" s="10" t="s">
        <v>67</v>
      </c>
      <c r="AC213" s="12" t="s">
        <v>55</v>
      </c>
      <c r="AD213" s="12" t="s">
        <v>55</v>
      </c>
      <c r="AE213" s="8" t="s">
        <v>54</v>
      </c>
      <c r="AF213" s="8" t="s">
        <v>54</v>
      </c>
      <c r="AG213" s="8" t="s">
        <v>54</v>
      </c>
      <c r="AH213" s="8" t="s">
        <v>54</v>
      </c>
      <c r="AI213" s="10" t="s">
        <v>67</v>
      </c>
      <c r="AJ213" s="8">
        <f>COUNTIF($E$213:$AI$213,"P")</f>
        <v>18</v>
      </c>
      <c r="AK213" s="8">
        <f>COUNTIF($E$213:$AI$213,"A")</f>
        <v>8</v>
      </c>
      <c r="AL213" s="8">
        <f>SUM($E$214:$AI$214)</f>
        <v>0</v>
      </c>
      <c r="AM213" s="8">
        <f>SUM($E$215:$AI$215)</f>
        <v>0</v>
      </c>
      <c r="AN213" s="8">
        <f>AL213+AM213</f>
        <v>0</v>
      </c>
      <c r="AO213" s="8">
        <f>COUNTIF($E$213:$AI$213,"CL")</f>
        <v>0</v>
      </c>
      <c r="AP213" s="8">
        <f>COUNTIF($E$213:$AI$213,"SL")</f>
        <v>0</v>
      </c>
      <c r="AQ213" s="8">
        <f>COUNTIF($E$213:$AI$213,"EL")</f>
        <v>0</v>
      </c>
      <c r="AR213" s="8">
        <f>COUNTIF($E$213:$AI$213,"H")</f>
        <v>0</v>
      </c>
      <c r="AS213" s="8"/>
      <c r="AT213" s="11" t="s">
        <v>2090</v>
      </c>
    </row>
    <row r="214" spans="1:46" ht="15.1" customHeight="1">
      <c r="A214" s="8"/>
      <c r="B214" s="9"/>
      <c r="C214" s="8"/>
      <c r="D214" s="9"/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11" t="s">
        <v>2090</v>
      </c>
    </row>
    <row r="215" spans="1:46" ht="15.1" customHeight="1">
      <c r="A215" s="8"/>
      <c r="B215" s="9"/>
      <c r="C215" s="8"/>
      <c r="D215" s="9"/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11" t="s">
        <v>2090</v>
      </c>
    </row>
    <row r="216" spans="1:46" ht="15.1" customHeight="1">
      <c r="A216" s="8">
        <v>71</v>
      </c>
      <c r="B216" s="9" t="s">
        <v>2226</v>
      </c>
      <c r="C216" s="8" t="s">
        <v>2227</v>
      </c>
      <c r="D216" s="9" t="s">
        <v>451</v>
      </c>
      <c r="E216" s="8" t="s">
        <v>54</v>
      </c>
      <c r="F216" s="8" t="s">
        <v>54</v>
      </c>
      <c r="G216" s="10" t="s">
        <v>67</v>
      </c>
      <c r="H216" s="8" t="s">
        <v>54</v>
      </c>
      <c r="I216" s="8" t="s">
        <v>54</v>
      </c>
      <c r="J216" s="8" t="s">
        <v>54</v>
      </c>
      <c r="K216" s="8" t="s">
        <v>54</v>
      </c>
      <c r="L216" s="8" t="s">
        <v>54</v>
      </c>
      <c r="M216" s="8" t="s">
        <v>54</v>
      </c>
      <c r="N216" s="10" t="s">
        <v>67</v>
      </c>
      <c r="O216" s="8" t="s">
        <v>54</v>
      </c>
      <c r="P216" s="8" t="s">
        <v>54</v>
      </c>
      <c r="Q216" s="8" t="s">
        <v>54</v>
      </c>
      <c r="R216" s="8" t="s">
        <v>54</v>
      </c>
      <c r="S216" s="8" t="s">
        <v>54</v>
      </c>
      <c r="T216" s="8" t="s">
        <v>54</v>
      </c>
      <c r="U216" s="10" t="s">
        <v>67</v>
      </c>
      <c r="V216" s="8" t="s">
        <v>54</v>
      </c>
      <c r="W216" s="8" t="s">
        <v>54</v>
      </c>
      <c r="X216" s="8" t="s">
        <v>54</v>
      </c>
      <c r="Y216" s="8" t="s">
        <v>54</v>
      </c>
      <c r="Z216" s="8" t="s">
        <v>54</v>
      </c>
      <c r="AA216" s="8" t="s">
        <v>54</v>
      </c>
      <c r="AB216" s="10" t="s">
        <v>67</v>
      </c>
      <c r="AC216" s="8" t="s">
        <v>54</v>
      </c>
      <c r="AD216" s="8" t="s">
        <v>54</v>
      </c>
      <c r="AE216" s="8" t="s">
        <v>54</v>
      </c>
      <c r="AF216" s="8" t="s">
        <v>54</v>
      </c>
      <c r="AG216" s="8" t="s">
        <v>54</v>
      </c>
      <c r="AH216" s="8" t="s">
        <v>54</v>
      </c>
      <c r="AI216" s="10" t="s">
        <v>67</v>
      </c>
      <c r="AJ216" s="8">
        <f>COUNTIF($E$216:$AI$216,"P")</f>
        <v>26</v>
      </c>
      <c r="AK216" s="8">
        <f>COUNTIF($E$216:$AI$216,"A")</f>
        <v>0</v>
      </c>
      <c r="AL216" s="8">
        <f>SUM($E$217:$AI$217)</f>
        <v>0</v>
      </c>
      <c r="AM216" s="8">
        <f>SUM($E$218:$AI$218)</f>
        <v>0</v>
      </c>
      <c r="AN216" s="8">
        <f>AL216+AM216</f>
        <v>0</v>
      </c>
      <c r="AO216" s="8">
        <f>COUNTIF($E$216:$AI$216,"CL")</f>
        <v>0</v>
      </c>
      <c r="AP216" s="8">
        <f>COUNTIF($E$216:$AI$216,"SL")</f>
        <v>0</v>
      </c>
      <c r="AQ216" s="8">
        <f>COUNTIF($E$216:$AI$216,"EL")</f>
        <v>0</v>
      </c>
      <c r="AR216" s="8">
        <f>COUNTIF($E$216:$AI$216,"H")</f>
        <v>0</v>
      </c>
      <c r="AS216" s="8"/>
      <c r="AT216" s="11" t="s">
        <v>2090</v>
      </c>
    </row>
    <row r="217" spans="1:46" ht="15.1" customHeight="1">
      <c r="A217" s="8"/>
      <c r="B217" s="9"/>
      <c r="C217" s="8"/>
      <c r="D217" s="9"/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11" t="s">
        <v>2090</v>
      </c>
    </row>
    <row r="218" spans="1:46" ht="15.1" customHeight="1">
      <c r="A218" s="8"/>
      <c r="B218" s="9"/>
      <c r="C218" s="8"/>
      <c r="D218" s="9"/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11" t="s">
        <v>2090</v>
      </c>
    </row>
    <row r="219" spans="1:46" ht="15.1" customHeight="1">
      <c r="A219" s="8">
        <v>72</v>
      </c>
      <c r="B219" s="9" t="s">
        <v>2228</v>
      </c>
      <c r="C219" s="8" t="s">
        <v>2229</v>
      </c>
      <c r="D219" s="9" t="s">
        <v>451</v>
      </c>
      <c r="E219" s="12" t="s">
        <v>55</v>
      </c>
      <c r="F219" s="12" t="s">
        <v>55</v>
      </c>
      <c r="G219" s="10" t="s">
        <v>67</v>
      </c>
      <c r="H219" s="8" t="s">
        <v>54</v>
      </c>
      <c r="I219" s="8" t="s">
        <v>54</v>
      </c>
      <c r="J219" s="8" t="s">
        <v>54</v>
      </c>
      <c r="K219" s="8" t="s">
        <v>54</v>
      </c>
      <c r="L219" s="8" t="s">
        <v>54</v>
      </c>
      <c r="M219" s="8" t="s">
        <v>54</v>
      </c>
      <c r="N219" s="10" t="s">
        <v>67</v>
      </c>
      <c r="O219" s="8" t="s">
        <v>54</v>
      </c>
      <c r="P219" s="8" t="s">
        <v>54</v>
      </c>
      <c r="Q219" s="8" t="s">
        <v>54</v>
      </c>
      <c r="R219" s="8" t="s">
        <v>54</v>
      </c>
      <c r="S219" s="8" t="s">
        <v>54</v>
      </c>
      <c r="T219" s="8" t="s">
        <v>54</v>
      </c>
      <c r="U219" s="10" t="s">
        <v>67</v>
      </c>
      <c r="V219" s="8" t="s">
        <v>54</v>
      </c>
      <c r="W219" s="8" t="s">
        <v>54</v>
      </c>
      <c r="X219" s="12" t="s">
        <v>55</v>
      </c>
      <c r="Y219" s="8" t="s">
        <v>54</v>
      </c>
      <c r="Z219" s="8" t="s">
        <v>54</v>
      </c>
      <c r="AA219" s="8" t="s">
        <v>54</v>
      </c>
      <c r="AB219" s="10" t="s">
        <v>67</v>
      </c>
      <c r="AC219" s="8" t="s">
        <v>54</v>
      </c>
      <c r="AD219" s="8" t="s">
        <v>54</v>
      </c>
      <c r="AE219" s="8" t="s">
        <v>54</v>
      </c>
      <c r="AF219" s="8" t="s">
        <v>54</v>
      </c>
      <c r="AG219" s="8" t="s">
        <v>54</v>
      </c>
      <c r="AH219" s="8" t="s">
        <v>54</v>
      </c>
      <c r="AI219" s="10" t="s">
        <v>67</v>
      </c>
      <c r="AJ219" s="8">
        <f>COUNTIF($E$219:$AI$219,"P")</f>
        <v>23</v>
      </c>
      <c r="AK219" s="8">
        <f>COUNTIF($E$219:$AI$219,"A")</f>
        <v>3</v>
      </c>
      <c r="AL219" s="8">
        <f>SUM($E$220:$AI$220)</f>
        <v>0</v>
      </c>
      <c r="AM219" s="8">
        <f>SUM($E$221:$AI$221)</f>
        <v>0</v>
      </c>
      <c r="AN219" s="8">
        <f>AL219+AM219</f>
        <v>0</v>
      </c>
      <c r="AO219" s="8">
        <f>COUNTIF($E$219:$AI$219,"CL")</f>
        <v>0</v>
      </c>
      <c r="AP219" s="8">
        <f>COUNTIF($E$219:$AI$219,"SL")</f>
        <v>0</v>
      </c>
      <c r="AQ219" s="8">
        <f>COUNTIF($E$219:$AI$219,"EL")</f>
        <v>0</v>
      </c>
      <c r="AR219" s="8">
        <f>COUNTIF($E$219:$AI$219,"H")</f>
        <v>0</v>
      </c>
      <c r="AS219" s="8"/>
      <c r="AT219" s="11" t="s">
        <v>2090</v>
      </c>
    </row>
    <row r="220" spans="1:46" ht="15.1" customHeight="1">
      <c r="A220" s="8"/>
      <c r="B220" s="9"/>
      <c r="C220" s="8"/>
      <c r="D220" s="9"/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11" t="s">
        <v>2090</v>
      </c>
    </row>
    <row r="221" spans="1:46" ht="15.1" customHeight="1">
      <c r="A221" s="8"/>
      <c r="B221" s="9"/>
      <c r="C221" s="8"/>
      <c r="D221" s="9"/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11" t="s">
        <v>2090</v>
      </c>
    </row>
    <row r="222" spans="1:46" ht="15.1" customHeight="1">
      <c r="A222" s="8">
        <v>73</v>
      </c>
      <c r="B222" s="9" t="s">
        <v>2230</v>
      </c>
      <c r="C222" s="8" t="s">
        <v>2231</v>
      </c>
      <c r="D222" s="9" t="s">
        <v>451</v>
      </c>
      <c r="E222" s="8" t="s">
        <v>54</v>
      </c>
      <c r="F222" s="8" t="s">
        <v>54</v>
      </c>
      <c r="G222" s="10" t="s">
        <v>67</v>
      </c>
      <c r="H222" s="8" t="s">
        <v>54</v>
      </c>
      <c r="I222" s="8" t="s">
        <v>54</v>
      </c>
      <c r="J222" s="8" t="s">
        <v>54</v>
      </c>
      <c r="K222" s="8" t="s">
        <v>54</v>
      </c>
      <c r="L222" s="8" t="s">
        <v>54</v>
      </c>
      <c r="M222" s="8" t="s">
        <v>54</v>
      </c>
      <c r="N222" s="10" t="s">
        <v>67</v>
      </c>
      <c r="O222" s="8" t="s">
        <v>54</v>
      </c>
      <c r="P222" s="8" t="s">
        <v>54</v>
      </c>
      <c r="Q222" s="8" t="s">
        <v>54</v>
      </c>
      <c r="R222" s="8" t="s">
        <v>54</v>
      </c>
      <c r="S222" s="8" t="s">
        <v>54</v>
      </c>
      <c r="T222" s="8" t="s">
        <v>54</v>
      </c>
      <c r="U222" s="10" t="s">
        <v>67</v>
      </c>
      <c r="V222" s="8" t="s">
        <v>54</v>
      </c>
      <c r="W222" s="8" t="s">
        <v>54</v>
      </c>
      <c r="X222" s="8" t="s">
        <v>54</v>
      </c>
      <c r="Y222" s="8" t="s">
        <v>54</v>
      </c>
      <c r="Z222" s="8" t="s">
        <v>54</v>
      </c>
      <c r="AA222" s="8" t="s">
        <v>54</v>
      </c>
      <c r="AB222" s="10" t="s">
        <v>67</v>
      </c>
      <c r="AC222" s="8" t="s">
        <v>54</v>
      </c>
      <c r="AD222" s="8" t="s">
        <v>54</v>
      </c>
      <c r="AE222" s="8" t="s">
        <v>54</v>
      </c>
      <c r="AF222" s="8" t="s">
        <v>54</v>
      </c>
      <c r="AG222" s="8" t="s">
        <v>54</v>
      </c>
      <c r="AH222" s="8" t="s">
        <v>54</v>
      </c>
      <c r="AI222" s="10" t="s">
        <v>67</v>
      </c>
      <c r="AJ222" s="8">
        <f>COUNTIF($E$222:$AI$222,"P")</f>
        <v>26</v>
      </c>
      <c r="AK222" s="8">
        <f>COUNTIF($E$222:$AI$222,"A")</f>
        <v>0</v>
      </c>
      <c r="AL222" s="8">
        <f>SUM($E$223:$AI$223)</f>
        <v>0</v>
      </c>
      <c r="AM222" s="8">
        <f>SUM($E$224:$AI$224)</f>
        <v>0</v>
      </c>
      <c r="AN222" s="8">
        <f>AL222+AM222</f>
        <v>0</v>
      </c>
      <c r="AO222" s="8">
        <f>COUNTIF($E$222:$AI$222,"CL")</f>
        <v>0</v>
      </c>
      <c r="AP222" s="8">
        <f>COUNTIF($E$222:$AI$222,"SL")</f>
        <v>0</v>
      </c>
      <c r="AQ222" s="8">
        <f>COUNTIF($E$222:$AI$222,"EL")</f>
        <v>0</v>
      </c>
      <c r="AR222" s="8">
        <f>COUNTIF($E$222:$AI$222,"H")</f>
        <v>0</v>
      </c>
      <c r="AS222" s="8"/>
      <c r="AT222" s="11" t="s">
        <v>2090</v>
      </c>
    </row>
    <row r="223" spans="1:46" ht="15.1" customHeight="1">
      <c r="A223" s="8"/>
      <c r="B223" s="9"/>
      <c r="C223" s="8"/>
      <c r="D223" s="9"/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11" t="s">
        <v>2090</v>
      </c>
    </row>
    <row r="224" spans="1:46" ht="15.1" customHeight="1">
      <c r="A224" s="8"/>
      <c r="B224" s="9"/>
      <c r="C224" s="8"/>
      <c r="D224" s="9"/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11" t="s">
        <v>2090</v>
      </c>
    </row>
    <row r="225" spans="1:46" ht="15.1" customHeight="1">
      <c r="A225" s="8">
        <v>74</v>
      </c>
      <c r="B225" s="9" t="s">
        <v>2232</v>
      </c>
      <c r="C225" s="8" t="s">
        <v>2233</v>
      </c>
      <c r="D225" s="9" t="s">
        <v>451</v>
      </c>
      <c r="E225" s="8" t="s">
        <v>54</v>
      </c>
      <c r="F225" s="8" t="s">
        <v>54</v>
      </c>
      <c r="G225" s="10" t="s">
        <v>67</v>
      </c>
      <c r="H225" s="8" t="s">
        <v>54</v>
      </c>
      <c r="I225" s="8" t="s">
        <v>54</v>
      </c>
      <c r="J225" s="8" t="s">
        <v>54</v>
      </c>
      <c r="K225" s="8" t="s">
        <v>54</v>
      </c>
      <c r="L225" s="8" t="s">
        <v>54</v>
      </c>
      <c r="M225" s="8" t="s">
        <v>54</v>
      </c>
      <c r="N225" s="10" t="s">
        <v>67</v>
      </c>
      <c r="O225" s="8" t="s">
        <v>54</v>
      </c>
      <c r="P225" s="8" t="s">
        <v>54</v>
      </c>
      <c r="Q225" s="8" t="s">
        <v>54</v>
      </c>
      <c r="R225" s="8" t="s">
        <v>54</v>
      </c>
      <c r="S225" s="8" t="s">
        <v>54</v>
      </c>
      <c r="T225" s="8" t="s">
        <v>54</v>
      </c>
      <c r="U225" s="10" t="s">
        <v>67</v>
      </c>
      <c r="V225" s="8" t="s">
        <v>54</v>
      </c>
      <c r="W225" s="12" t="s">
        <v>55</v>
      </c>
      <c r="X225" s="12" t="s">
        <v>55</v>
      </c>
      <c r="Y225" s="12" t="s">
        <v>55</v>
      </c>
      <c r="Z225" s="8" t="s">
        <v>54</v>
      </c>
      <c r="AA225" s="12" t="s">
        <v>55</v>
      </c>
      <c r="AB225" s="10" t="s">
        <v>67</v>
      </c>
      <c r="AC225" s="8" t="s">
        <v>54</v>
      </c>
      <c r="AD225" s="8" t="s">
        <v>54</v>
      </c>
      <c r="AE225" s="8" t="s">
        <v>54</v>
      </c>
      <c r="AF225" s="8" t="s">
        <v>54</v>
      </c>
      <c r="AG225" s="8" t="s">
        <v>54</v>
      </c>
      <c r="AH225" s="8" t="s">
        <v>54</v>
      </c>
      <c r="AI225" s="10" t="s">
        <v>67</v>
      </c>
      <c r="AJ225" s="8">
        <f>COUNTIF($E$225:$AI$225,"P")</f>
        <v>22</v>
      </c>
      <c r="AK225" s="8">
        <f>COUNTIF($E$225:$AI$225,"A")</f>
        <v>4</v>
      </c>
      <c r="AL225" s="8">
        <f>SUM($E$226:$AI$226)</f>
        <v>0</v>
      </c>
      <c r="AM225" s="8">
        <f>SUM($E$227:$AI$227)</f>
        <v>0</v>
      </c>
      <c r="AN225" s="8">
        <f>AL225+AM225</f>
        <v>0</v>
      </c>
      <c r="AO225" s="8">
        <f>COUNTIF($E$225:$AI$225,"CL")</f>
        <v>0</v>
      </c>
      <c r="AP225" s="8">
        <f>COUNTIF($E$225:$AI$225,"SL")</f>
        <v>0</v>
      </c>
      <c r="AQ225" s="8">
        <f>COUNTIF($E$225:$AI$225,"EL")</f>
        <v>0</v>
      </c>
      <c r="AR225" s="8">
        <f>COUNTIF($E$225:$AI$225,"H")</f>
        <v>0</v>
      </c>
      <c r="AS225" s="8"/>
      <c r="AT225" s="11" t="s">
        <v>2090</v>
      </c>
    </row>
    <row r="226" spans="1:46" ht="15.1" customHeight="1">
      <c r="A226" s="8"/>
      <c r="B226" s="9"/>
      <c r="C226" s="8"/>
      <c r="D226" s="9"/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11" t="s">
        <v>2090</v>
      </c>
    </row>
    <row r="227" spans="1:46" ht="15.1" customHeight="1">
      <c r="A227" s="8"/>
      <c r="B227" s="9"/>
      <c r="C227" s="8"/>
      <c r="D227" s="9"/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11" t="s">
        <v>2090</v>
      </c>
    </row>
    <row r="228" spans="1:46" ht="15.1" customHeight="1">
      <c r="A228" s="8">
        <v>75</v>
      </c>
      <c r="B228" s="9" t="s">
        <v>2234</v>
      </c>
      <c r="C228" s="8" t="s">
        <v>2235</v>
      </c>
      <c r="D228" s="9" t="s">
        <v>451</v>
      </c>
      <c r="E228" s="12" t="s">
        <v>55</v>
      </c>
      <c r="F228" s="8" t="s">
        <v>54</v>
      </c>
      <c r="G228" s="10" t="s">
        <v>67</v>
      </c>
      <c r="H228" s="8" t="s">
        <v>54</v>
      </c>
      <c r="I228" s="8" t="s">
        <v>54</v>
      </c>
      <c r="J228" s="8" t="s">
        <v>54</v>
      </c>
      <c r="K228" s="8" t="s">
        <v>54</v>
      </c>
      <c r="L228" s="8" t="s">
        <v>54</v>
      </c>
      <c r="M228" s="8" t="s">
        <v>54</v>
      </c>
      <c r="N228" s="10" t="s">
        <v>67</v>
      </c>
      <c r="O228" s="8" t="s">
        <v>54</v>
      </c>
      <c r="P228" s="8" t="s">
        <v>54</v>
      </c>
      <c r="Q228" s="8" t="s">
        <v>54</v>
      </c>
      <c r="R228" s="8" t="s">
        <v>54</v>
      </c>
      <c r="S228" s="8" t="s">
        <v>54</v>
      </c>
      <c r="T228" s="8" t="s">
        <v>54</v>
      </c>
      <c r="U228" s="10" t="s">
        <v>67</v>
      </c>
      <c r="V228" s="8" t="s">
        <v>54</v>
      </c>
      <c r="W228" s="8" t="s">
        <v>54</v>
      </c>
      <c r="X228" s="12" t="s">
        <v>55</v>
      </c>
      <c r="Y228" s="8" t="s">
        <v>54</v>
      </c>
      <c r="Z228" s="8" t="s">
        <v>54</v>
      </c>
      <c r="AA228" s="8" t="s">
        <v>54</v>
      </c>
      <c r="AB228" s="10" t="s">
        <v>67</v>
      </c>
      <c r="AC228" s="8" t="s">
        <v>54</v>
      </c>
      <c r="AD228" s="8" t="s">
        <v>54</v>
      </c>
      <c r="AE228" s="8" t="s">
        <v>54</v>
      </c>
      <c r="AF228" s="8" t="s">
        <v>54</v>
      </c>
      <c r="AG228" s="8" t="s">
        <v>54</v>
      </c>
      <c r="AH228" s="8" t="s">
        <v>54</v>
      </c>
      <c r="AI228" s="10" t="s">
        <v>67</v>
      </c>
      <c r="AJ228" s="8">
        <f>COUNTIF($E$228:$AI$228,"P")</f>
        <v>24</v>
      </c>
      <c r="AK228" s="8">
        <f>COUNTIF($E$228:$AI$228,"A")</f>
        <v>2</v>
      </c>
      <c r="AL228" s="8">
        <f>SUM($E$229:$AI$229)</f>
        <v>0</v>
      </c>
      <c r="AM228" s="8">
        <f>SUM($E$230:$AI$230)</f>
        <v>0</v>
      </c>
      <c r="AN228" s="8">
        <f>AL228+AM228</f>
        <v>0</v>
      </c>
      <c r="AO228" s="8">
        <f>COUNTIF($E$228:$AI$228,"CL")</f>
        <v>0</v>
      </c>
      <c r="AP228" s="8">
        <f>COUNTIF($E$228:$AI$228,"SL")</f>
        <v>0</v>
      </c>
      <c r="AQ228" s="8">
        <f>COUNTIF($E$228:$AI$228,"EL")</f>
        <v>0</v>
      </c>
      <c r="AR228" s="8">
        <f>COUNTIF($E$228:$AI$228,"H")</f>
        <v>0</v>
      </c>
      <c r="AS228" s="8"/>
      <c r="AT228" s="11" t="s">
        <v>2090</v>
      </c>
    </row>
    <row r="229" spans="1:46" ht="15.1" customHeight="1">
      <c r="A229" s="8"/>
      <c r="B229" s="9"/>
      <c r="C229" s="8"/>
      <c r="D229" s="9"/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11" t="s">
        <v>2090</v>
      </c>
    </row>
    <row r="230" spans="1:46" ht="15.1" customHeight="1">
      <c r="A230" s="8"/>
      <c r="B230" s="9"/>
      <c r="C230" s="8"/>
      <c r="D230" s="9"/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11" t="s">
        <v>2090</v>
      </c>
    </row>
    <row r="231" spans="1:46" ht="15.1" customHeight="1">
      <c r="A231" s="8">
        <v>76</v>
      </c>
      <c r="B231" s="9" t="s">
        <v>2236</v>
      </c>
      <c r="C231" s="8" t="s">
        <v>2237</v>
      </c>
      <c r="D231" s="9" t="s">
        <v>451</v>
      </c>
      <c r="E231" s="8" t="s">
        <v>54</v>
      </c>
      <c r="F231" s="8" t="s">
        <v>54</v>
      </c>
      <c r="G231" s="10" t="s">
        <v>67</v>
      </c>
      <c r="H231" s="8" t="s">
        <v>54</v>
      </c>
      <c r="I231" s="8" t="s">
        <v>54</v>
      </c>
      <c r="J231" s="8" t="s">
        <v>54</v>
      </c>
      <c r="K231" s="8" t="s">
        <v>54</v>
      </c>
      <c r="L231" s="8" t="s">
        <v>54</v>
      </c>
      <c r="M231" s="8" t="s">
        <v>54</v>
      </c>
      <c r="N231" s="10" t="s">
        <v>67</v>
      </c>
      <c r="O231" s="8" t="s">
        <v>54</v>
      </c>
      <c r="P231" s="8" t="s">
        <v>54</v>
      </c>
      <c r="Q231" s="8" t="s">
        <v>54</v>
      </c>
      <c r="R231" s="8" t="s">
        <v>54</v>
      </c>
      <c r="S231" s="8" t="s">
        <v>54</v>
      </c>
      <c r="T231" s="8" t="s">
        <v>54</v>
      </c>
      <c r="U231" s="10" t="s">
        <v>67</v>
      </c>
      <c r="V231" s="8" t="s">
        <v>54</v>
      </c>
      <c r="W231" s="8" t="s">
        <v>54</v>
      </c>
      <c r="X231" s="8" t="s">
        <v>54</v>
      </c>
      <c r="Y231" s="8" t="s">
        <v>54</v>
      </c>
      <c r="Z231" s="8" t="s">
        <v>54</v>
      </c>
      <c r="AA231" s="8" t="s">
        <v>54</v>
      </c>
      <c r="AB231" s="10" t="s">
        <v>67</v>
      </c>
      <c r="AC231" s="8" t="s">
        <v>54</v>
      </c>
      <c r="AD231" s="8" t="s">
        <v>54</v>
      </c>
      <c r="AE231" s="8" t="s">
        <v>54</v>
      </c>
      <c r="AF231" s="8" t="s">
        <v>54</v>
      </c>
      <c r="AG231" s="8" t="s">
        <v>54</v>
      </c>
      <c r="AH231" s="8" t="s">
        <v>54</v>
      </c>
      <c r="AI231" s="10" t="s">
        <v>67</v>
      </c>
      <c r="AJ231" s="8">
        <f>COUNTIF($E$231:$AI$231,"P")</f>
        <v>26</v>
      </c>
      <c r="AK231" s="8">
        <f>COUNTIF($E$231:$AI$231,"A")</f>
        <v>0</v>
      </c>
      <c r="AL231" s="8">
        <f>SUM($E$232:$AI$232)</f>
        <v>0</v>
      </c>
      <c r="AM231" s="8">
        <f>SUM($E$233:$AI$233)</f>
        <v>0</v>
      </c>
      <c r="AN231" s="8">
        <f>AL231+AM231</f>
        <v>0</v>
      </c>
      <c r="AO231" s="8">
        <f>COUNTIF($E$231:$AI$231,"CL")</f>
        <v>0</v>
      </c>
      <c r="AP231" s="8">
        <f>COUNTIF($E$231:$AI$231,"SL")</f>
        <v>0</v>
      </c>
      <c r="AQ231" s="8">
        <f>COUNTIF($E$231:$AI$231,"EL")</f>
        <v>0</v>
      </c>
      <c r="AR231" s="8">
        <f>COUNTIF($E$231:$AI$231,"H")</f>
        <v>0</v>
      </c>
      <c r="AS231" s="8"/>
      <c r="AT231" s="11" t="s">
        <v>2090</v>
      </c>
    </row>
    <row r="232" spans="1:46" ht="15.1" customHeight="1">
      <c r="A232" s="8"/>
      <c r="B232" s="9"/>
      <c r="C232" s="8"/>
      <c r="D232" s="9"/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11" t="s">
        <v>2090</v>
      </c>
    </row>
    <row r="233" spans="1:46" ht="15.1" customHeight="1">
      <c r="A233" s="8"/>
      <c r="B233" s="9"/>
      <c r="C233" s="8"/>
      <c r="D233" s="9"/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11" t="s">
        <v>2090</v>
      </c>
    </row>
    <row r="234" spans="1:46" ht="15.1" customHeight="1">
      <c r="A234" s="8">
        <v>77</v>
      </c>
      <c r="B234" s="9" t="s">
        <v>2238</v>
      </c>
      <c r="C234" s="8" t="s">
        <v>2239</v>
      </c>
      <c r="D234" s="9" t="s">
        <v>451</v>
      </c>
      <c r="E234" s="8" t="s">
        <v>54</v>
      </c>
      <c r="F234" s="8" t="s">
        <v>54</v>
      </c>
      <c r="G234" s="10" t="s">
        <v>67</v>
      </c>
      <c r="H234" s="8" t="s">
        <v>54</v>
      </c>
      <c r="I234" s="8" t="s">
        <v>54</v>
      </c>
      <c r="J234" s="8" t="s">
        <v>54</v>
      </c>
      <c r="K234" s="8" t="s">
        <v>54</v>
      </c>
      <c r="L234" s="8" t="s">
        <v>54</v>
      </c>
      <c r="M234" s="8" t="s">
        <v>54</v>
      </c>
      <c r="N234" s="10" t="s">
        <v>67</v>
      </c>
      <c r="O234" s="8" t="s">
        <v>54</v>
      </c>
      <c r="P234" s="8" t="s">
        <v>54</v>
      </c>
      <c r="Q234" s="8" t="s">
        <v>54</v>
      </c>
      <c r="R234" s="8" t="s">
        <v>54</v>
      </c>
      <c r="S234" s="8" t="s">
        <v>54</v>
      </c>
      <c r="T234" s="8" t="s">
        <v>54</v>
      </c>
      <c r="U234" s="10" t="s">
        <v>67</v>
      </c>
      <c r="V234" s="8" t="s">
        <v>54</v>
      </c>
      <c r="W234" s="8" t="s">
        <v>54</v>
      </c>
      <c r="X234" s="8" t="s">
        <v>54</v>
      </c>
      <c r="Y234" s="8" t="s">
        <v>54</v>
      </c>
      <c r="Z234" s="8" t="s">
        <v>54</v>
      </c>
      <c r="AA234" s="8" t="s">
        <v>54</v>
      </c>
      <c r="AB234" s="10" t="s">
        <v>67</v>
      </c>
      <c r="AC234" s="8" t="s">
        <v>54</v>
      </c>
      <c r="AD234" s="8" t="s">
        <v>54</v>
      </c>
      <c r="AE234" s="8" t="s">
        <v>54</v>
      </c>
      <c r="AF234" s="8" t="s">
        <v>54</v>
      </c>
      <c r="AG234" s="8" t="s">
        <v>54</v>
      </c>
      <c r="AH234" s="8" t="s">
        <v>54</v>
      </c>
      <c r="AI234" s="10" t="s">
        <v>67</v>
      </c>
      <c r="AJ234" s="8">
        <f>COUNTIF($E$234:$AI$234,"P")</f>
        <v>26</v>
      </c>
      <c r="AK234" s="8">
        <f>COUNTIF($E$234:$AI$234,"A")</f>
        <v>0</v>
      </c>
      <c r="AL234" s="8">
        <f>SUM($E$235:$AI$235)</f>
        <v>0</v>
      </c>
      <c r="AM234" s="8">
        <f>SUM($E$236:$AI$236)</f>
        <v>0</v>
      </c>
      <c r="AN234" s="8">
        <f>AL234+AM234</f>
        <v>0</v>
      </c>
      <c r="AO234" s="8">
        <f>COUNTIF($E$234:$AI$234,"CL")</f>
        <v>0</v>
      </c>
      <c r="AP234" s="8">
        <f>COUNTIF($E$234:$AI$234,"SL")</f>
        <v>0</v>
      </c>
      <c r="AQ234" s="8">
        <f>COUNTIF($E$234:$AI$234,"EL")</f>
        <v>0</v>
      </c>
      <c r="AR234" s="8">
        <f>COUNTIF($E$234:$AI$234,"H")</f>
        <v>0</v>
      </c>
      <c r="AS234" s="8"/>
      <c r="AT234" s="11" t="s">
        <v>2090</v>
      </c>
    </row>
    <row r="235" spans="1:46" ht="15.1" customHeight="1">
      <c r="A235" s="8"/>
      <c r="B235" s="9"/>
      <c r="C235" s="8"/>
      <c r="D235" s="9"/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11" t="s">
        <v>2090</v>
      </c>
    </row>
    <row r="236" spans="1:46" ht="15.1" customHeight="1">
      <c r="A236" s="8"/>
      <c r="B236" s="9"/>
      <c r="C236" s="8"/>
      <c r="D236" s="9"/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11" t="s">
        <v>2090</v>
      </c>
    </row>
    <row r="237" spans="1:46" ht="15.1" customHeight="1">
      <c r="A237" s="8">
        <v>78</v>
      </c>
      <c r="B237" s="9" t="s">
        <v>2240</v>
      </c>
      <c r="C237" s="8" t="s">
        <v>2241</v>
      </c>
      <c r="D237" s="9" t="s">
        <v>451</v>
      </c>
      <c r="E237" s="8" t="s">
        <v>54</v>
      </c>
      <c r="F237" s="8" t="s">
        <v>54</v>
      </c>
      <c r="G237" s="10" t="s">
        <v>67</v>
      </c>
      <c r="H237" s="8" t="s">
        <v>54</v>
      </c>
      <c r="I237" s="8" t="s">
        <v>54</v>
      </c>
      <c r="J237" s="8" t="s">
        <v>54</v>
      </c>
      <c r="K237" s="8" t="s">
        <v>54</v>
      </c>
      <c r="L237" s="12" t="s">
        <v>55</v>
      </c>
      <c r="M237" s="8" t="s">
        <v>54</v>
      </c>
      <c r="N237" s="10" t="s">
        <v>67</v>
      </c>
      <c r="O237" s="8" t="s">
        <v>54</v>
      </c>
      <c r="P237" s="8" t="s">
        <v>54</v>
      </c>
      <c r="Q237" s="8" t="s">
        <v>54</v>
      </c>
      <c r="R237" s="8" t="s">
        <v>54</v>
      </c>
      <c r="S237" s="8" t="s">
        <v>54</v>
      </c>
      <c r="T237" s="8" t="s">
        <v>54</v>
      </c>
      <c r="U237" s="10" t="s">
        <v>67</v>
      </c>
      <c r="V237" s="8" t="s">
        <v>54</v>
      </c>
      <c r="W237" s="8" t="s">
        <v>54</v>
      </c>
      <c r="X237" s="12" t="s">
        <v>55</v>
      </c>
      <c r="Y237" s="8" t="s">
        <v>54</v>
      </c>
      <c r="Z237" s="8" t="s">
        <v>54</v>
      </c>
      <c r="AA237" s="8" t="s">
        <v>54</v>
      </c>
      <c r="AB237" s="10" t="s">
        <v>67</v>
      </c>
      <c r="AC237" s="12" t="s">
        <v>55</v>
      </c>
      <c r="AD237" s="12" t="s">
        <v>55</v>
      </c>
      <c r="AE237" s="8" t="s">
        <v>54</v>
      </c>
      <c r="AF237" s="8" t="s">
        <v>54</v>
      </c>
      <c r="AG237" s="8" t="s">
        <v>54</v>
      </c>
      <c r="AH237" s="8" t="s">
        <v>54</v>
      </c>
      <c r="AI237" s="10" t="s">
        <v>67</v>
      </c>
      <c r="AJ237" s="8">
        <f>COUNTIF($E$237:$AI$237,"P")</f>
        <v>22</v>
      </c>
      <c r="AK237" s="8">
        <f>COUNTIF($E$237:$AI$237,"A")</f>
        <v>4</v>
      </c>
      <c r="AL237" s="8">
        <f>SUM($E$238:$AI$238)</f>
        <v>0</v>
      </c>
      <c r="AM237" s="8">
        <f>SUM($E$239:$AI$239)</f>
        <v>0</v>
      </c>
      <c r="AN237" s="8">
        <f>AL237+AM237</f>
        <v>0</v>
      </c>
      <c r="AO237" s="8">
        <f>COUNTIF($E$237:$AI$237,"CL")</f>
        <v>0</v>
      </c>
      <c r="AP237" s="8">
        <f>COUNTIF($E$237:$AI$237,"SL")</f>
        <v>0</v>
      </c>
      <c r="AQ237" s="8">
        <f>COUNTIF($E$237:$AI$237,"EL")</f>
        <v>0</v>
      </c>
      <c r="AR237" s="8">
        <f>COUNTIF($E$237:$AI$237,"H")</f>
        <v>0</v>
      </c>
      <c r="AS237" s="8"/>
      <c r="AT237" s="11" t="s">
        <v>2090</v>
      </c>
    </row>
    <row r="238" spans="1:46" ht="15.1" customHeight="1">
      <c r="A238" s="8"/>
      <c r="B238" s="9"/>
      <c r="C238" s="8"/>
      <c r="D238" s="9"/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11" t="s">
        <v>2090</v>
      </c>
    </row>
    <row r="239" spans="1:46" ht="15.1" customHeight="1">
      <c r="A239" s="8"/>
      <c r="B239" s="9"/>
      <c r="C239" s="8"/>
      <c r="D239" s="9"/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11" t="s">
        <v>2090</v>
      </c>
    </row>
    <row r="240" spans="1:46" ht="15.1" customHeight="1">
      <c r="A240" s="8">
        <v>79</v>
      </c>
      <c r="B240" s="9" t="s">
        <v>2242</v>
      </c>
      <c r="C240" s="8" t="s">
        <v>2243</v>
      </c>
      <c r="D240" s="9" t="s">
        <v>451</v>
      </c>
      <c r="E240" s="8" t="s">
        <v>784</v>
      </c>
      <c r="F240" s="8" t="s">
        <v>784</v>
      </c>
      <c r="G240" s="10" t="s">
        <v>784</v>
      </c>
      <c r="H240" s="8" t="s">
        <v>784</v>
      </c>
      <c r="I240" s="8" t="s">
        <v>784</v>
      </c>
      <c r="J240" s="8" t="s">
        <v>784</v>
      </c>
      <c r="K240" s="8" t="s">
        <v>784</v>
      </c>
      <c r="L240" s="8" t="s">
        <v>784</v>
      </c>
      <c r="M240" s="8" t="s">
        <v>784</v>
      </c>
      <c r="N240" s="10" t="s">
        <v>67</v>
      </c>
      <c r="O240" s="12" t="s">
        <v>55</v>
      </c>
      <c r="P240" s="12" t="s">
        <v>55</v>
      </c>
      <c r="Q240" s="12" t="s">
        <v>55</v>
      </c>
      <c r="R240" s="12" t="s">
        <v>55</v>
      </c>
      <c r="S240" s="12" t="s">
        <v>55</v>
      </c>
      <c r="T240" s="12" t="s">
        <v>55</v>
      </c>
      <c r="U240" s="10" t="s">
        <v>67</v>
      </c>
      <c r="V240" s="12" t="s">
        <v>55</v>
      </c>
      <c r="W240" s="12" t="s">
        <v>55</v>
      </c>
      <c r="X240" s="8"/>
      <c r="Y240" s="8"/>
      <c r="Z240" s="8"/>
      <c r="AA240" s="8"/>
      <c r="AB240" s="10"/>
      <c r="AC240" s="8"/>
      <c r="AD240" s="8"/>
      <c r="AE240" s="8"/>
      <c r="AF240" s="8"/>
      <c r="AG240" s="8"/>
      <c r="AH240" s="8"/>
      <c r="AI240" s="10"/>
      <c r="AJ240" s="8">
        <f>COUNTIF($E$240:$AI$240,"P")</f>
        <v>0</v>
      </c>
      <c r="AK240" s="8">
        <f>COUNTIF($E$240:$AI$240,"A")</f>
        <v>8</v>
      </c>
      <c r="AL240" s="8">
        <f>SUM($E$241:$AI$241)</f>
        <v>0</v>
      </c>
      <c r="AM240" s="8">
        <f>SUM($E$242:$AI$242)</f>
        <v>0</v>
      </c>
      <c r="AN240" s="8">
        <f>AL240+AM240</f>
        <v>0</v>
      </c>
      <c r="AO240" s="8">
        <f>COUNTIF($E$240:$AI$240,"CL")</f>
        <v>0</v>
      </c>
      <c r="AP240" s="8">
        <f>COUNTIF($E$240:$AI$240,"SL")</f>
        <v>0</v>
      </c>
      <c r="AQ240" s="8">
        <f>COUNTIF($E$240:$AI$240,"EL")</f>
        <v>0</v>
      </c>
      <c r="AR240" s="8">
        <f>COUNTIF($E$240:$AI$240,"H")</f>
        <v>0</v>
      </c>
      <c r="AS240" s="8"/>
      <c r="AT240" s="11" t="s">
        <v>2090</v>
      </c>
    </row>
    <row r="241" spans="1:46" ht="15.1" customHeight="1">
      <c r="A241" s="8"/>
      <c r="B241" s="9"/>
      <c r="C241" s="8"/>
      <c r="D241" s="9"/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11" t="s">
        <v>2090</v>
      </c>
    </row>
    <row r="242" spans="1:46" ht="15.1" customHeight="1">
      <c r="A242" s="8"/>
      <c r="B242" s="9"/>
      <c r="C242" s="8"/>
      <c r="D242" s="9"/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11" t="s">
        <v>2090</v>
      </c>
    </row>
    <row r="243" spans="1:46" ht="15.1" customHeight="1">
      <c r="A243" s="8">
        <v>80</v>
      </c>
      <c r="B243" s="9" t="s">
        <v>2244</v>
      </c>
      <c r="C243" s="8" t="s">
        <v>2245</v>
      </c>
      <c r="D243" s="9" t="s">
        <v>451</v>
      </c>
      <c r="E243" s="8" t="s">
        <v>54</v>
      </c>
      <c r="F243" s="8" t="s">
        <v>54</v>
      </c>
      <c r="G243" s="10" t="s">
        <v>67</v>
      </c>
      <c r="H243" s="8" t="s">
        <v>54</v>
      </c>
      <c r="I243" s="8" t="s">
        <v>54</v>
      </c>
      <c r="J243" s="12" t="s">
        <v>55</v>
      </c>
      <c r="K243" s="12" t="s">
        <v>55</v>
      </c>
      <c r="L243" s="12" t="s">
        <v>55</v>
      </c>
      <c r="M243" s="8" t="s">
        <v>54</v>
      </c>
      <c r="N243" s="10" t="s">
        <v>67</v>
      </c>
      <c r="O243" s="8" t="s">
        <v>54</v>
      </c>
      <c r="P243" s="8" t="s">
        <v>54</v>
      </c>
      <c r="Q243" s="8" t="s">
        <v>54</v>
      </c>
      <c r="R243" s="8" t="s">
        <v>54</v>
      </c>
      <c r="S243" s="8" t="s">
        <v>54</v>
      </c>
      <c r="T243" s="8" t="s">
        <v>54</v>
      </c>
      <c r="U243" s="10" t="s">
        <v>67</v>
      </c>
      <c r="V243" s="8" t="s">
        <v>54</v>
      </c>
      <c r="W243" s="12" t="s">
        <v>55</v>
      </c>
      <c r="X243" s="12" t="s">
        <v>55</v>
      </c>
      <c r="Y243" s="8" t="s">
        <v>54</v>
      </c>
      <c r="Z243" s="8" t="s">
        <v>54</v>
      </c>
      <c r="AA243" s="8" t="s">
        <v>54</v>
      </c>
      <c r="AB243" s="10" t="s">
        <v>67</v>
      </c>
      <c r="AC243" s="8" t="s">
        <v>54</v>
      </c>
      <c r="AD243" s="8" t="s">
        <v>54</v>
      </c>
      <c r="AE243" s="8" t="s">
        <v>54</v>
      </c>
      <c r="AF243" s="8" t="s">
        <v>54</v>
      </c>
      <c r="AG243" s="8" t="s">
        <v>54</v>
      </c>
      <c r="AH243" s="8" t="s">
        <v>54</v>
      </c>
      <c r="AI243" s="10" t="s">
        <v>67</v>
      </c>
      <c r="AJ243" s="8">
        <f>COUNTIF($E$243:$AI$243,"P")</f>
        <v>21</v>
      </c>
      <c r="AK243" s="8">
        <f>COUNTIF($E$243:$AI$243,"A")</f>
        <v>5</v>
      </c>
      <c r="AL243" s="8">
        <f>SUM($E$244:$AI$244)</f>
        <v>0</v>
      </c>
      <c r="AM243" s="8">
        <f>SUM($E$245:$AI$245)</f>
        <v>0</v>
      </c>
      <c r="AN243" s="8">
        <f>AL243+AM243</f>
        <v>0</v>
      </c>
      <c r="AO243" s="8">
        <f>COUNTIF($E$243:$AI$243,"CL")</f>
        <v>0</v>
      </c>
      <c r="AP243" s="8">
        <f>COUNTIF($E$243:$AI$243,"SL")</f>
        <v>0</v>
      </c>
      <c r="AQ243" s="8">
        <f>COUNTIF($E$243:$AI$243,"EL")</f>
        <v>0</v>
      </c>
      <c r="AR243" s="8">
        <f>COUNTIF($E$243:$AI$243,"H")</f>
        <v>0</v>
      </c>
      <c r="AS243" s="8"/>
      <c r="AT243" s="11" t="s">
        <v>2090</v>
      </c>
    </row>
    <row r="244" spans="1:46" ht="15.1" customHeight="1">
      <c r="A244" s="8"/>
      <c r="B244" s="9"/>
      <c r="C244" s="8"/>
      <c r="D244" s="9"/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11" t="s">
        <v>2090</v>
      </c>
    </row>
    <row r="245" spans="1:46" ht="15.1" customHeight="1">
      <c r="A245" s="8"/>
      <c r="B245" s="9"/>
      <c r="C245" s="8"/>
      <c r="D245" s="9"/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11" t="s">
        <v>2090</v>
      </c>
    </row>
    <row r="246" spans="1:46" ht="15.1" customHeight="1">
      <c r="A246" s="8">
        <v>81</v>
      </c>
      <c r="B246" s="9" t="s">
        <v>2246</v>
      </c>
      <c r="C246" s="8" t="s">
        <v>2247</v>
      </c>
      <c r="D246" s="9" t="s">
        <v>451</v>
      </c>
      <c r="E246" s="8" t="s">
        <v>54</v>
      </c>
      <c r="F246" s="8" t="s">
        <v>54</v>
      </c>
      <c r="G246" s="10" t="s">
        <v>67</v>
      </c>
      <c r="H246" s="8" t="s">
        <v>54</v>
      </c>
      <c r="I246" s="8" t="s">
        <v>54</v>
      </c>
      <c r="J246" s="8" t="s">
        <v>54</v>
      </c>
      <c r="K246" s="8" t="s">
        <v>54</v>
      </c>
      <c r="L246" s="12" t="s">
        <v>55</v>
      </c>
      <c r="M246" s="12" t="s">
        <v>55</v>
      </c>
      <c r="N246" s="10" t="s">
        <v>67</v>
      </c>
      <c r="O246" s="8" t="s">
        <v>54</v>
      </c>
      <c r="P246" s="8" t="s">
        <v>54</v>
      </c>
      <c r="Q246" s="12" t="s">
        <v>55</v>
      </c>
      <c r="R246" s="12" t="s">
        <v>55</v>
      </c>
      <c r="S246" s="12" t="s">
        <v>55</v>
      </c>
      <c r="T246" s="8" t="s">
        <v>54</v>
      </c>
      <c r="U246" s="10" t="s">
        <v>67</v>
      </c>
      <c r="V246" s="12" t="s">
        <v>55</v>
      </c>
      <c r="W246" s="8" t="s">
        <v>54</v>
      </c>
      <c r="X246" s="12" t="s">
        <v>55</v>
      </c>
      <c r="Y246" s="8" t="s">
        <v>54</v>
      </c>
      <c r="Z246" s="8" t="s">
        <v>54</v>
      </c>
      <c r="AA246" s="8" t="s">
        <v>54</v>
      </c>
      <c r="AB246" s="10" t="s">
        <v>67</v>
      </c>
      <c r="AC246" s="12" t="s">
        <v>55</v>
      </c>
      <c r="AD246" s="8" t="s">
        <v>54</v>
      </c>
      <c r="AE246" s="12" t="s">
        <v>55</v>
      </c>
      <c r="AF246" s="12" t="s">
        <v>55</v>
      </c>
      <c r="AG246" s="8" t="s">
        <v>54</v>
      </c>
      <c r="AH246" s="8" t="s">
        <v>54</v>
      </c>
      <c r="AI246" s="10" t="s">
        <v>67</v>
      </c>
      <c r="AJ246" s="8">
        <f>COUNTIF($E$246:$AI$246,"P")</f>
        <v>16</v>
      </c>
      <c r="AK246" s="8">
        <f>COUNTIF($E$246:$AI$246,"A")</f>
        <v>10</v>
      </c>
      <c r="AL246" s="8">
        <f>SUM($E$247:$AI$247)</f>
        <v>0</v>
      </c>
      <c r="AM246" s="8">
        <f>SUM($E$248:$AI$248)</f>
        <v>0</v>
      </c>
      <c r="AN246" s="8">
        <f>AL246+AM246</f>
        <v>0</v>
      </c>
      <c r="AO246" s="8">
        <f>COUNTIF($E$246:$AI$246,"CL")</f>
        <v>0</v>
      </c>
      <c r="AP246" s="8">
        <f>COUNTIF($E$246:$AI$246,"SL")</f>
        <v>0</v>
      </c>
      <c r="AQ246" s="8">
        <f>COUNTIF($E$246:$AI$246,"EL")</f>
        <v>0</v>
      </c>
      <c r="AR246" s="8">
        <f>COUNTIF($E$246:$AI$246,"H")</f>
        <v>0</v>
      </c>
      <c r="AS246" s="8"/>
      <c r="AT246" s="11" t="s">
        <v>2090</v>
      </c>
    </row>
    <row r="247" spans="1:46" ht="15.1" customHeight="1">
      <c r="A247" s="8"/>
      <c r="B247" s="9"/>
      <c r="C247" s="8"/>
      <c r="D247" s="9"/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11" t="s">
        <v>2090</v>
      </c>
    </row>
    <row r="248" spans="1:46" ht="15.1" customHeight="1">
      <c r="A248" s="8"/>
      <c r="B248" s="9"/>
      <c r="C248" s="8"/>
      <c r="D248" s="9"/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11" t="s">
        <v>2090</v>
      </c>
    </row>
    <row r="249" spans="1:46" ht="15.1" customHeight="1">
      <c r="A249" s="8">
        <v>82</v>
      </c>
      <c r="B249" s="9" t="s">
        <v>2248</v>
      </c>
      <c r="C249" s="8" t="s">
        <v>2249</v>
      </c>
      <c r="D249" s="9" t="s">
        <v>451</v>
      </c>
      <c r="E249" s="8" t="s">
        <v>54</v>
      </c>
      <c r="F249" s="8" t="s">
        <v>54</v>
      </c>
      <c r="G249" s="10" t="s">
        <v>67</v>
      </c>
      <c r="H249" s="8" t="s">
        <v>54</v>
      </c>
      <c r="I249" s="8" t="s">
        <v>54</v>
      </c>
      <c r="J249" s="8" t="s">
        <v>54</v>
      </c>
      <c r="K249" s="8" t="s">
        <v>54</v>
      </c>
      <c r="L249" s="8" t="s">
        <v>54</v>
      </c>
      <c r="M249" s="8" t="s">
        <v>54</v>
      </c>
      <c r="N249" s="10" t="s">
        <v>67</v>
      </c>
      <c r="O249" s="8" t="s">
        <v>54</v>
      </c>
      <c r="P249" s="8" t="s">
        <v>54</v>
      </c>
      <c r="Q249" s="8" t="s">
        <v>54</v>
      </c>
      <c r="R249" s="8" t="s">
        <v>54</v>
      </c>
      <c r="S249" s="8" t="s">
        <v>54</v>
      </c>
      <c r="T249" s="8" t="s">
        <v>54</v>
      </c>
      <c r="U249" s="10" t="s">
        <v>67</v>
      </c>
      <c r="V249" s="8" t="s">
        <v>54</v>
      </c>
      <c r="W249" s="8" t="s">
        <v>54</v>
      </c>
      <c r="X249" s="8" t="s">
        <v>54</v>
      </c>
      <c r="Y249" s="8" t="s">
        <v>54</v>
      </c>
      <c r="Z249" s="8" t="s">
        <v>54</v>
      </c>
      <c r="AA249" s="8" t="s">
        <v>54</v>
      </c>
      <c r="AB249" s="10" t="s">
        <v>67</v>
      </c>
      <c r="AC249" s="8" t="s">
        <v>54</v>
      </c>
      <c r="AD249" s="8" t="s">
        <v>54</v>
      </c>
      <c r="AE249" s="8" t="s">
        <v>54</v>
      </c>
      <c r="AF249" s="8" t="s">
        <v>54</v>
      </c>
      <c r="AG249" s="8" t="s">
        <v>54</v>
      </c>
      <c r="AH249" s="8" t="s">
        <v>54</v>
      </c>
      <c r="AI249" s="10" t="s">
        <v>67</v>
      </c>
      <c r="AJ249" s="8">
        <f>COUNTIF($E$249:$AI$249,"P")</f>
        <v>26</v>
      </c>
      <c r="AK249" s="8">
        <f>COUNTIF($E$249:$AI$249,"A")</f>
        <v>0</v>
      </c>
      <c r="AL249" s="8">
        <f>SUM($E$250:$AI$250)</f>
        <v>0</v>
      </c>
      <c r="AM249" s="8">
        <f>SUM($E$251:$AI$251)</f>
        <v>0</v>
      </c>
      <c r="AN249" s="8">
        <f>AL249+AM249</f>
        <v>0</v>
      </c>
      <c r="AO249" s="8">
        <f>COUNTIF($E$249:$AI$249,"CL")</f>
        <v>0</v>
      </c>
      <c r="AP249" s="8">
        <f>COUNTIF($E$249:$AI$249,"SL")</f>
        <v>0</v>
      </c>
      <c r="AQ249" s="8">
        <f>COUNTIF($E$249:$AI$249,"EL")</f>
        <v>0</v>
      </c>
      <c r="AR249" s="8">
        <f>COUNTIF($E$249:$AI$249,"H")</f>
        <v>0</v>
      </c>
      <c r="AS249" s="8"/>
      <c r="AT249" s="11" t="s">
        <v>2090</v>
      </c>
    </row>
    <row r="250" spans="1:46" ht="15.1" customHeight="1">
      <c r="A250" s="8"/>
      <c r="B250" s="9"/>
      <c r="C250" s="8"/>
      <c r="D250" s="9"/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11" t="s">
        <v>2090</v>
      </c>
    </row>
    <row r="251" spans="1:46" ht="15.1" customHeight="1">
      <c r="A251" s="8"/>
      <c r="B251" s="9"/>
      <c r="C251" s="8"/>
      <c r="D251" s="9"/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11" t="s">
        <v>2090</v>
      </c>
    </row>
    <row r="252" spans="1:46" ht="15.1" customHeight="1">
      <c r="A252" s="8">
        <v>83</v>
      </c>
      <c r="B252" s="9" t="s">
        <v>2250</v>
      </c>
      <c r="C252" s="8" t="s">
        <v>2251</v>
      </c>
      <c r="D252" s="9" t="s">
        <v>451</v>
      </c>
      <c r="E252" s="8" t="s">
        <v>54</v>
      </c>
      <c r="F252" s="12" t="s">
        <v>55</v>
      </c>
      <c r="G252" s="10" t="s">
        <v>67</v>
      </c>
      <c r="H252" s="12" t="s">
        <v>55</v>
      </c>
      <c r="I252" s="8" t="s">
        <v>54</v>
      </c>
      <c r="J252" s="8" t="s">
        <v>54</v>
      </c>
      <c r="K252" s="8" t="s">
        <v>54</v>
      </c>
      <c r="L252" s="8" t="s">
        <v>54</v>
      </c>
      <c r="M252" s="8" t="s">
        <v>54</v>
      </c>
      <c r="N252" s="10" t="s">
        <v>67</v>
      </c>
      <c r="O252" s="8" t="s">
        <v>54</v>
      </c>
      <c r="P252" s="8" t="s">
        <v>54</v>
      </c>
      <c r="Q252" s="8" t="s">
        <v>54</v>
      </c>
      <c r="R252" s="8" t="s">
        <v>54</v>
      </c>
      <c r="S252" s="12" t="s">
        <v>55</v>
      </c>
      <c r="T252" s="8" t="s">
        <v>54</v>
      </c>
      <c r="U252" s="10" t="s">
        <v>67</v>
      </c>
      <c r="V252" s="8" t="s">
        <v>54</v>
      </c>
      <c r="W252" s="8" t="s">
        <v>54</v>
      </c>
      <c r="X252" s="12" t="s">
        <v>55</v>
      </c>
      <c r="Y252" s="8" t="s">
        <v>54</v>
      </c>
      <c r="Z252" s="8" t="s">
        <v>54</v>
      </c>
      <c r="AA252" s="8" t="s">
        <v>54</v>
      </c>
      <c r="AB252" s="10" t="s">
        <v>67</v>
      </c>
      <c r="AC252" s="8" t="s">
        <v>54</v>
      </c>
      <c r="AD252" s="8" t="s">
        <v>54</v>
      </c>
      <c r="AE252" s="12" t="s">
        <v>55</v>
      </c>
      <c r="AF252" s="12" t="s">
        <v>55</v>
      </c>
      <c r="AG252" s="8" t="s">
        <v>54</v>
      </c>
      <c r="AH252" s="8" t="s">
        <v>54</v>
      </c>
      <c r="AI252" s="10" t="s">
        <v>67</v>
      </c>
      <c r="AJ252" s="8">
        <f>COUNTIF($E$252:$AI$252,"P")</f>
        <v>20</v>
      </c>
      <c r="AK252" s="8">
        <f>COUNTIF($E$252:$AI$252,"A")</f>
        <v>6</v>
      </c>
      <c r="AL252" s="8">
        <f>SUM($E$253:$AI$253)</f>
        <v>0</v>
      </c>
      <c r="AM252" s="8">
        <f>SUM($E$254:$AI$254)</f>
        <v>0</v>
      </c>
      <c r="AN252" s="8">
        <f>AL252+AM252</f>
        <v>0</v>
      </c>
      <c r="AO252" s="8">
        <f>COUNTIF($E$252:$AI$252,"CL")</f>
        <v>0</v>
      </c>
      <c r="AP252" s="8">
        <f>COUNTIF($E$252:$AI$252,"SL")</f>
        <v>0</v>
      </c>
      <c r="AQ252" s="8">
        <f>COUNTIF($E$252:$AI$252,"EL")</f>
        <v>0</v>
      </c>
      <c r="AR252" s="8">
        <f>COUNTIF($E$252:$AI$252,"H")</f>
        <v>0</v>
      </c>
      <c r="AS252" s="8"/>
      <c r="AT252" s="11" t="s">
        <v>2090</v>
      </c>
    </row>
    <row r="253" spans="1:46" ht="15.1" customHeight="1">
      <c r="A253" s="8"/>
      <c r="B253" s="9"/>
      <c r="C253" s="8"/>
      <c r="D253" s="9"/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11" t="s">
        <v>2090</v>
      </c>
    </row>
    <row r="254" spans="1:46" ht="15.1" customHeight="1">
      <c r="A254" s="8"/>
      <c r="B254" s="9"/>
      <c r="C254" s="8"/>
      <c r="D254" s="9"/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11" t="s">
        <v>2090</v>
      </c>
    </row>
    <row r="255" spans="1:46" ht="15.1" customHeight="1">
      <c r="A255" s="8">
        <v>84</v>
      </c>
      <c r="B255" s="9" t="s">
        <v>2252</v>
      </c>
      <c r="C255" s="8" t="s">
        <v>2253</v>
      </c>
      <c r="D255" s="9" t="s">
        <v>451</v>
      </c>
      <c r="E255" s="8" t="s">
        <v>54</v>
      </c>
      <c r="F255" s="8" t="s">
        <v>54</v>
      </c>
      <c r="G255" s="10" t="s">
        <v>67</v>
      </c>
      <c r="H255" s="8" t="s">
        <v>54</v>
      </c>
      <c r="I255" s="8" t="s">
        <v>54</v>
      </c>
      <c r="J255" s="8" t="s">
        <v>54</v>
      </c>
      <c r="K255" s="12" t="s">
        <v>55</v>
      </c>
      <c r="L255" s="12" t="s">
        <v>55</v>
      </c>
      <c r="M255" s="8" t="s">
        <v>54</v>
      </c>
      <c r="N255" s="10" t="s">
        <v>67</v>
      </c>
      <c r="O255" s="8" t="s">
        <v>54</v>
      </c>
      <c r="P255" s="8" t="s">
        <v>54</v>
      </c>
      <c r="Q255" s="8" t="s">
        <v>54</v>
      </c>
      <c r="R255" s="8" t="s">
        <v>54</v>
      </c>
      <c r="S255" s="8" t="s">
        <v>54</v>
      </c>
      <c r="T255" s="8" t="s">
        <v>54</v>
      </c>
      <c r="U255" s="10" t="s">
        <v>67</v>
      </c>
      <c r="V255" s="12" t="s">
        <v>55</v>
      </c>
      <c r="W255" s="8" t="s">
        <v>54</v>
      </c>
      <c r="X255" s="12" t="s">
        <v>55</v>
      </c>
      <c r="Y255" s="12" t="s">
        <v>55</v>
      </c>
      <c r="Z255" s="8" t="s">
        <v>54</v>
      </c>
      <c r="AA255" s="8" t="s">
        <v>54</v>
      </c>
      <c r="AB255" s="10" t="s">
        <v>67</v>
      </c>
      <c r="AC255" s="8" t="s">
        <v>54</v>
      </c>
      <c r="AD255" s="8" t="s">
        <v>54</v>
      </c>
      <c r="AE255" s="8" t="s">
        <v>54</v>
      </c>
      <c r="AF255" s="12" t="s">
        <v>55</v>
      </c>
      <c r="AG255" s="12" t="s">
        <v>55</v>
      </c>
      <c r="AH255" s="12" t="s">
        <v>55</v>
      </c>
      <c r="AI255" s="10" t="s">
        <v>67</v>
      </c>
      <c r="AJ255" s="8">
        <f>COUNTIF($E$255:$AI$255,"P")</f>
        <v>18</v>
      </c>
      <c r="AK255" s="8">
        <f>COUNTIF($E$255:$AI$255,"A")</f>
        <v>8</v>
      </c>
      <c r="AL255" s="8">
        <f>SUM($E$256:$AI$256)</f>
        <v>0</v>
      </c>
      <c r="AM255" s="8">
        <f>SUM($E$257:$AI$257)</f>
        <v>0</v>
      </c>
      <c r="AN255" s="8">
        <f>AL255+AM255</f>
        <v>0</v>
      </c>
      <c r="AO255" s="8">
        <f>COUNTIF($E$255:$AI$255,"CL")</f>
        <v>0</v>
      </c>
      <c r="AP255" s="8">
        <f>COUNTIF($E$255:$AI$255,"SL")</f>
        <v>0</v>
      </c>
      <c r="AQ255" s="8">
        <f>COUNTIF($E$255:$AI$255,"EL")</f>
        <v>0</v>
      </c>
      <c r="AR255" s="8">
        <f>COUNTIF($E$255:$AI$255,"H")</f>
        <v>0</v>
      </c>
      <c r="AS255" s="8"/>
      <c r="AT255" s="11" t="s">
        <v>2090</v>
      </c>
    </row>
    <row r="256" spans="1:46" ht="15.1" customHeight="1">
      <c r="A256" s="8"/>
      <c r="B256" s="9"/>
      <c r="C256" s="8"/>
      <c r="D256" s="9"/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11" t="s">
        <v>2090</v>
      </c>
    </row>
    <row r="257" spans="1:46" ht="15.1" customHeight="1">
      <c r="A257" s="8"/>
      <c r="B257" s="9"/>
      <c r="C257" s="8"/>
      <c r="D257" s="9"/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11" t="s">
        <v>2090</v>
      </c>
    </row>
    <row r="258" spans="1:46" ht="15.1" customHeight="1">
      <c r="A258" s="8">
        <v>85</v>
      </c>
      <c r="B258" s="9" t="s">
        <v>2254</v>
      </c>
      <c r="C258" s="8" t="s">
        <v>2255</v>
      </c>
      <c r="D258" s="9" t="s">
        <v>451</v>
      </c>
      <c r="E258" s="8" t="s">
        <v>54</v>
      </c>
      <c r="F258" s="8" t="s">
        <v>54</v>
      </c>
      <c r="G258" s="10" t="s">
        <v>67</v>
      </c>
      <c r="H258" s="8" t="s">
        <v>54</v>
      </c>
      <c r="I258" s="8" t="s">
        <v>54</v>
      </c>
      <c r="J258" s="8" t="s">
        <v>54</v>
      </c>
      <c r="K258" s="8" t="s">
        <v>54</v>
      </c>
      <c r="L258" s="8" t="s">
        <v>54</v>
      </c>
      <c r="M258" s="8" t="s">
        <v>54</v>
      </c>
      <c r="N258" s="10" t="s">
        <v>67</v>
      </c>
      <c r="O258" s="8" t="s">
        <v>54</v>
      </c>
      <c r="P258" s="8" t="s">
        <v>54</v>
      </c>
      <c r="Q258" s="8" t="s">
        <v>54</v>
      </c>
      <c r="R258" s="8" t="s">
        <v>54</v>
      </c>
      <c r="S258" s="8" t="s">
        <v>54</v>
      </c>
      <c r="T258" s="8" t="s">
        <v>54</v>
      </c>
      <c r="U258" s="10" t="s">
        <v>67</v>
      </c>
      <c r="V258" s="8" t="s">
        <v>54</v>
      </c>
      <c r="W258" s="8" t="s">
        <v>54</v>
      </c>
      <c r="X258" s="8" t="s">
        <v>54</v>
      </c>
      <c r="Y258" s="8" t="s">
        <v>54</v>
      </c>
      <c r="Z258" s="8" t="s">
        <v>54</v>
      </c>
      <c r="AA258" s="8" t="s">
        <v>54</v>
      </c>
      <c r="AB258" s="10" t="s">
        <v>67</v>
      </c>
      <c r="AC258" s="8" t="s">
        <v>54</v>
      </c>
      <c r="AD258" s="8" t="s">
        <v>54</v>
      </c>
      <c r="AE258" s="8" t="s">
        <v>54</v>
      </c>
      <c r="AF258" s="8" t="s">
        <v>54</v>
      </c>
      <c r="AG258" s="8" t="s">
        <v>54</v>
      </c>
      <c r="AH258" s="8" t="s">
        <v>54</v>
      </c>
      <c r="AI258" s="10" t="s">
        <v>67</v>
      </c>
      <c r="AJ258" s="8">
        <f>COUNTIF($E$258:$AI$258,"P")</f>
        <v>26</v>
      </c>
      <c r="AK258" s="8">
        <f>COUNTIF($E$258:$AI$258,"A")</f>
        <v>0</v>
      </c>
      <c r="AL258" s="8">
        <f>SUM($E$259:$AI$259)</f>
        <v>0</v>
      </c>
      <c r="AM258" s="8">
        <f>SUM($E$260:$AI$260)</f>
        <v>0</v>
      </c>
      <c r="AN258" s="8">
        <f>AL258+AM258</f>
        <v>0</v>
      </c>
      <c r="AO258" s="8">
        <f>COUNTIF($E$258:$AI$258,"CL")</f>
        <v>0</v>
      </c>
      <c r="AP258" s="8">
        <f>COUNTIF($E$258:$AI$258,"SL")</f>
        <v>0</v>
      </c>
      <c r="AQ258" s="8">
        <f>COUNTIF($E$258:$AI$258,"EL")</f>
        <v>0</v>
      </c>
      <c r="AR258" s="8">
        <f>COUNTIF($E$258:$AI$258,"H")</f>
        <v>0</v>
      </c>
      <c r="AS258" s="8"/>
      <c r="AT258" s="11" t="s">
        <v>2090</v>
      </c>
    </row>
    <row r="259" spans="1:46" ht="15.1" customHeight="1">
      <c r="A259" s="8"/>
      <c r="B259" s="9"/>
      <c r="C259" s="8"/>
      <c r="D259" s="9"/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11" t="s">
        <v>2090</v>
      </c>
    </row>
    <row r="260" spans="1:46" ht="15.1" customHeight="1">
      <c r="A260" s="8"/>
      <c r="B260" s="9"/>
      <c r="C260" s="8"/>
      <c r="D260" s="9"/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11" t="s">
        <v>2090</v>
      </c>
    </row>
    <row r="261" spans="1:46" ht="15.1" customHeight="1">
      <c r="A261" s="8">
        <v>86</v>
      </c>
      <c r="B261" s="9" t="s">
        <v>2256</v>
      </c>
      <c r="C261" s="8" t="s">
        <v>2257</v>
      </c>
      <c r="D261" s="9" t="s">
        <v>451</v>
      </c>
      <c r="E261" s="8" t="s">
        <v>54</v>
      </c>
      <c r="F261" s="8" t="s">
        <v>54</v>
      </c>
      <c r="G261" s="10" t="s">
        <v>67</v>
      </c>
      <c r="H261" s="8" t="s">
        <v>54</v>
      </c>
      <c r="I261" s="8" t="s">
        <v>54</v>
      </c>
      <c r="J261" s="8" t="s">
        <v>54</v>
      </c>
      <c r="K261" s="8" t="s">
        <v>54</v>
      </c>
      <c r="L261" s="8" t="s">
        <v>54</v>
      </c>
      <c r="M261" s="8" t="s">
        <v>54</v>
      </c>
      <c r="N261" s="10" t="s">
        <v>67</v>
      </c>
      <c r="O261" s="8" t="s">
        <v>54</v>
      </c>
      <c r="P261" s="8" t="s">
        <v>54</v>
      </c>
      <c r="Q261" s="8" t="s">
        <v>54</v>
      </c>
      <c r="R261" s="8" t="s">
        <v>54</v>
      </c>
      <c r="S261" s="8" t="s">
        <v>54</v>
      </c>
      <c r="T261" s="8" t="s">
        <v>54</v>
      </c>
      <c r="U261" s="10" t="s">
        <v>67</v>
      </c>
      <c r="V261" s="8" t="s">
        <v>54</v>
      </c>
      <c r="W261" s="8" t="s">
        <v>54</v>
      </c>
      <c r="X261" s="8" t="s">
        <v>54</v>
      </c>
      <c r="Y261" s="8" t="s">
        <v>54</v>
      </c>
      <c r="Z261" s="8" t="s">
        <v>54</v>
      </c>
      <c r="AA261" s="8" t="s">
        <v>54</v>
      </c>
      <c r="AB261" s="10" t="s">
        <v>67</v>
      </c>
      <c r="AC261" s="8" t="s">
        <v>54</v>
      </c>
      <c r="AD261" s="8" t="s">
        <v>54</v>
      </c>
      <c r="AE261" s="8" t="s">
        <v>54</v>
      </c>
      <c r="AF261" s="8" t="s">
        <v>54</v>
      </c>
      <c r="AG261" s="8" t="s">
        <v>54</v>
      </c>
      <c r="AH261" s="8" t="s">
        <v>54</v>
      </c>
      <c r="AI261" s="10" t="s">
        <v>67</v>
      </c>
      <c r="AJ261" s="8">
        <f>COUNTIF($E$261:$AI$261,"P")</f>
        <v>26</v>
      </c>
      <c r="AK261" s="8">
        <f>COUNTIF($E$261:$AI$261,"A")</f>
        <v>0</v>
      </c>
      <c r="AL261" s="8">
        <f>SUM($E$262:$AI$262)</f>
        <v>0</v>
      </c>
      <c r="AM261" s="8">
        <f>SUM($E$263:$AI$263)</f>
        <v>0</v>
      </c>
      <c r="AN261" s="8">
        <f>AL261+AM261</f>
        <v>0</v>
      </c>
      <c r="AO261" s="8">
        <f>COUNTIF($E$261:$AI$261,"CL")</f>
        <v>0</v>
      </c>
      <c r="AP261" s="8">
        <f>COUNTIF($E$261:$AI$261,"SL")</f>
        <v>0</v>
      </c>
      <c r="AQ261" s="8">
        <f>COUNTIF($E$261:$AI$261,"EL")</f>
        <v>0</v>
      </c>
      <c r="AR261" s="8">
        <f>COUNTIF($E$261:$AI$261,"H")</f>
        <v>0</v>
      </c>
      <c r="AS261" s="8"/>
      <c r="AT261" s="11" t="s">
        <v>2090</v>
      </c>
    </row>
    <row r="262" spans="1:46" ht="15.1" customHeight="1">
      <c r="A262" s="8"/>
      <c r="B262" s="9"/>
      <c r="C262" s="8"/>
      <c r="D262" s="9"/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11" t="s">
        <v>2090</v>
      </c>
    </row>
    <row r="263" spans="1:46" ht="15.1" customHeight="1">
      <c r="A263" s="8"/>
      <c r="B263" s="9"/>
      <c r="C263" s="8"/>
      <c r="D263" s="9"/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11" t="s">
        <v>2090</v>
      </c>
    </row>
    <row r="264" spans="1:46" ht="15.1" customHeight="1">
      <c r="A264" s="8">
        <v>87</v>
      </c>
      <c r="B264" s="9" t="s">
        <v>1461</v>
      </c>
      <c r="C264" s="8" t="s">
        <v>2258</v>
      </c>
      <c r="D264" s="9" t="s">
        <v>451</v>
      </c>
      <c r="E264" s="8" t="s">
        <v>54</v>
      </c>
      <c r="F264" s="8" t="s">
        <v>54</v>
      </c>
      <c r="G264" s="10" t="s">
        <v>67</v>
      </c>
      <c r="H264" s="8" t="s">
        <v>54</v>
      </c>
      <c r="I264" s="8" t="s">
        <v>54</v>
      </c>
      <c r="J264" s="8" t="s">
        <v>54</v>
      </c>
      <c r="K264" s="8" t="s">
        <v>54</v>
      </c>
      <c r="L264" s="8" t="s">
        <v>54</v>
      </c>
      <c r="M264" s="8" t="s">
        <v>54</v>
      </c>
      <c r="N264" s="10" t="s">
        <v>67</v>
      </c>
      <c r="O264" s="8" t="s">
        <v>54</v>
      </c>
      <c r="P264" s="8" t="s">
        <v>54</v>
      </c>
      <c r="Q264" s="8" t="s">
        <v>54</v>
      </c>
      <c r="R264" s="8" t="s">
        <v>54</v>
      </c>
      <c r="S264" s="8" t="s">
        <v>54</v>
      </c>
      <c r="T264" s="8" t="s">
        <v>54</v>
      </c>
      <c r="U264" s="10" t="s">
        <v>67</v>
      </c>
      <c r="V264" s="12" t="s">
        <v>55</v>
      </c>
      <c r="W264" s="12" t="s">
        <v>55</v>
      </c>
      <c r="X264" s="12" t="s">
        <v>55</v>
      </c>
      <c r="Y264" s="8" t="s">
        <v>54</v>
      </c>
      <c r="Z264" s="8" t="s">
        <v>54</v>
      </c>
      <c r="AA264" s="8" t="s">
        <v>54</v>
      </c>
      <c r="AB264" s="10" t="s">
        <v>67</v>
      </c>
      <c r="AC264" s="8" t="s">
        <v>54</v>
      </c>
      <c r="AD264" s="8" t="s">
        <v>54</v>
      </c>
      <c r="AE264" s="8" t="s">
        <v>54</v>
      </c>
      <c r="AF264" s="8" t="s">
        <v>54</v>
      </c>
      <c r="AG264" s="8" t="s">
        <v>54</v>
      </c>
      <c r="AH264" s="8" t="s">
        <v>54</v>
      </c>
      <c r="AI264" s="10" t="s">
        <v>67</v>
      </c>
      <c r="AJ264" s="8">
        <f>COUNTIF($E$264:$AI$264,"P")</f>
        <v>23</v>
      </c>
      <c r="AK264" s="8">
        <f>COUNTIF($E$264:$AI$264,"A")</f>
        <v>3</v>
      </c>
      <c r="AL264" s="8">
        <f>SUM($E$265:$AI$265)</f>
        <v>0</v>
      </c>
      <c r="AM264" s="8">
        <f>SUM($E$266:$AI$266)</f>
        <v>0</v>
      </c>
      <c r="AN264" s="8">
        <f>AL264+AM264</f>
        <v>0</v>
      </c>
      <c r="AO264" s="8">
        <f>COUNTIF($E$264:$AI$264,"CL")</f>
        <v>0</v>
      </c>
      <c r="AP264" s="8">
        <f>COUNTIF($E$264:$AI$264,"SL")</f>
        <v>0</v>
      </c>
      <c r="AQ264" s="8">
        <f>COUNTIF($E$264:$AI$264,"EL")</f>
        <v>0</v>
      </c>
      <c r="AR264" s="8">
        <f>COUNTIF($E$264:$AI$264,"H")</f>
        <v>0</v>
      </c>
      <c r="AS264" s="8"/>
      <c r="AT264" s="11" t="s">
        <v>2090</v>
      </c>
    </row>
    <row r="265" spans="1:46" ht="15.1" customHeight="1">
      <c r="A265" s="8"/>
      <c r="B265" s="9"/>
      <c r="C265" s="8"/>
      <c r="D265" s="9"/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11" t="s">
        <v>2090</v>
      </c>
    </row>
    <row r="266" spans="1:46" ht="15.1" customHeight="1">
      <c r="A266" s="8"/>
      <c r="B266" s="9"/>
      <c r="C266" s="8"/>
      <c r="D266" s="9"/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11" t="s">
        <v>2090</v>
      </c>
    </row>
    <row r="267" spans="1:46" ht="15.1" customHeight="1">
      <c r="A267" s="8">
        <v>88</v>
      </c>
      <c r="B267" s="9" t="s">
        <v>1689</v>
      </c>
      <c r="C267" s="8" t="s">
        <v>2259</v>
      </c>
      <c r="D267" s="9" t="s">
        <v>451</v>
      </c>
      <c r="E267" s="8" t="s">
        <v>54</v>
      </c>
      <c r="F267" s="8" t="s">
        <v>54</v>
      </c>
      <c r="G267" s="10" t="s">
        <v>67</v>
      </c>
      <c r="H267" s="12" t="s">
        <v>55</v>
      </c>
      <c r="I267" s="8" t="s">
        <v>54</v>
      </c>
      <c r="J267" s="8" t="s">
        <v>54</v>
      </c>
      <c r="K267" s="8" t="s">
        <v>54</v>
      </c>
      <c r="L267" s="8" t="s">
        <v>54</v>
      </c>
      <c r="M267" s="8" t="s">
        <v>54</v>
      </c>
      <c r="N267" s="10" t="s">
        <v>67</v>
      </c>
      <c r="O267" s="8" t="s">
        <v>54</v>
      </c>
      <c r="P267" s="8" t="s">
        <v>54</v>
      </c>
      <c r="Q267" s="8" t="s">
        <v>54</v>
      </c>
      <c r="R267" s="8" t="s">
        <v>54</v>
      </c>
      <c r="S267" s="8" t="s">
        <v>54</v>
      </c>
      <c r="T267" s="8" t="s">
        <v>54</v>
      </c>
      <c r="U267" s="10" t="s">
        <v>67</v>
      </c>
      <c r="V267" s="8" t="s">
        <v>54</v>
      </c>
      <c r="W267" s="8" t="s">
        <v>54</v>
      </c>
      <c r="X267" s="12" t="s">
        <v>55</v>
      </c>
      <c r="Y267" s="8" t="s">
        <v>54</v>
      </c>
      <c r="Z267" s="8" t="s">
        <v>54</v>
      </c>
      <c r="AA267" s="8" t="s">
        <v>54</v>
      </c>
      <c r="AB267" s="10" t="s">
        <v>67</v>
      </c>
      <c r="AC267" s="8" t="s">
        <v>54</v>
      </c>
      <c r="AD267" s="8" t="s">
        <v>54</v>
      </c>
      <c r="AE267" s="8" t="s">
        <v>54</v>
      </c>
      <c r="AF267" s="8" t="s">
        <v>54</v>
      </c>
      <c r="AG267" s="8" t="s">
        <v>54</v>
      </c>
      <c r="AH267" s="8" t="s">
        <v>54</v>
      </c>
      <c r="AI267" s="10" t="s">
        <v>67</v>
      </c>
      <c r="AJ267" s="8">
        <f>COUNTIF($E$267:$AI$267,"P")</f>
        <v>24</v>
      </c>
      <c r="AK267" s="8">
        <f>COUNTIF($E$267:$AI$267,"A")</f>
        <v>2</v>
      </c>
      <c r="AL267" s="8">
        <f>SUM($E$268:$AI$268)</f>
        <v>0</v>
      </c>
      <c r="AM267" s="8">
        <f>SUM($E$269:$AI$269)</f>
        <v>0</v>
      </c>
      <c r="AN267" s="8">
        <f>AL267+AM267</f>
        <v>0</v>
      </c>
      <c r="AO267" s="8">
        <f>COUNTIF($E$267:$AI$267,"CL")</f>
        <v>0</v>
      </c>
      <c r="AP267" s="8">
        <f>COUNTIF($E$267:$AI$267,"SL")</f>
        <v>0</v>
      </c>
      <c r="AQ267" s="8">
        <f>COUNTIF($E$267:$AI$267,"EL")</f>
        <v>0</v>
      </c>
      <c r="AR267" s="8">
        <f>COUNTIF($E$267:$AI$267,"H")</f>
        <v>0</v>
      </c>
      <c r="AS267" s="8"/>
      <c r="AT267" s="11" t="s">
        <v>2090</v>
      </c>
    </row>
    <row r="268" spans="1:46" ht="15.1" customHeight="1">
      <c r="A268" s="8"/>
      <c r="B268" s="9"/>
      <c r="C268" s="8"/>
      <c r="D268" s="9"/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11" t="s">
        <v>2090</v>
      </c>
    </row>
    <row r="269" spans="1:46" ht="15.1" customHeight="1">
      <c r="A269" s="8"/>
      <c r="B269" s="9"/>
      <c r="C269" s="8"/>
      <c r="D269" s="9"/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11" t="s">
        <v>2090</v>
      </c>
    </row>
    <row r="270" spans="1:46" ht="15.1" customHeight="1">
      <c r="A270" s="8">
        <v>89</v>
      </c>
      <c r="B270" s="9" t="s">
        <v>2260</v>
      </c>
      <c r="C270" s="8" t="s">
        <v>2261</v>
      </c>
      <c r="D270" s="9" t="s">
        <v>451</v>
      </c>
      <c r="E270" s="8" t="s">
        <v>54</v>
      </c>
      <c r="F270" s="8" t="s">
        <v>54</v>
      </c>
      <c r="G270" s="10" t="s">
        <v>67</v>
      </c>
      <c r="H270" s="8" t="s">
        <v>54</v>
      </c>
      <c r="I270" s="8" t="s">
        <v>54</v>
      </c>
      <c r="J270" s="8" t="s">
        <v>54</v>
      </c>
      <c r="K270" s="8" t="s">
        <v>54</v>
      </c>
      <c r="L270" s="8" t="s">
        <v>54</v>
      </c>
      <c r="M270" s="8" t="s">
        <v>54</v>
      </c>
      <c r="N270" s="10" t="s">
        <v>67</v>
      </c>
      <c r="O270" s="8" t="s">
        <v>54</v>
      </c>
      <c r="P270" s="8" t="s">
        <v>54</v>
      </c>
      <c r="Q270" s="8" t="s">
        <v>54</v>
      </c>
      <c r="R270" s="8" t="s">
        <v>54</v>
      </c>
      <c r="S270" s="8" t="s">
        <v>54</v>
      </c>
      <c r="T270" s="8" t="s">
        <v>54</v>
      </c>
      <c r="U270" s="10" t="s">
        <v>67</v>
      </c>
      <c r="V270" s="8" t="s">
        <v>54</v>
      </c>
      <c r="W270" s="8" t="s">
        <v>54</v>
      </c>
      <c r="X270" s="8" t="s">
        <v>54</v>
      </c>
      <c r="Y270" s="8" t="s">
        <v>54</v>
      </c>
      <c r="Z270" s="8" t="s">
        <v>54</v>
      </c>
      <c r="AA270" s="8" t="s">
        <v>54</v>
      </c>
      <c r="AB270" s="10" t="s">
        <v>67</v>
      </c>
      <c r="AC270" s="8" t="s">
        <v>54</v>
      </c>
      <c r="AD270" s="8" t="s">
        <v>54</v>
      </c>
      <c r="AE270" s="8" t="s">
        <v>54</v>
      </c>
      <c r="AF270" s="8" t="s">
        <v>54</v>
      </c>
      <c r="AG270" s="8" t="s">
        <v>54</v>
      </c>
      <c r="AH270" s="8" t="s">
        <v>54</v>
      </c>
      <c r="AI270" s="10" t="s">
        <v>67</v>
      </c>
      <c r="AJ270" s="8">
        <f>COUNTIF($E$270:$AI$270,"P")</f>
        <v>26</v>
      </c>
      <c r="AK270" s="8">
        <f>COUNTIF($E$270:$AI$270,"A")</f>
        <v>0</v>
      </c>
      <c r="AL270" s="8">
        <f>SUM($E$271:$AI$271)</f>
        <v>0</v>
      </c>
      <c r="AM270" s="8">
        <f>SUM($E$272:$AI$272)</f>
        <v>0</v>
      </c>
      <c r="AN270" s="8">
        <f>AL270+AM270</f>
        <v>0</v>
      </c>
      <c r="AO270" s="8">
        <f>COUNTIF($E$270:$AI$270,"CL")</f>
        <v>0</v>
      </c>
      <c r="AP270" s="8">
        <f>COUNTIF($E$270:$AI$270,"SL")</f>
        <v>0</v>
      </c>
      <c r="AQ270" s="8">
        <f>COUNTIF($E$270:$AI$270,"EL")</f>
        <v>0</v>
      </c>
      <c r="AR270" s="8">
        <f>COUNTIF($E$270:$AI$270,"H")</f>
        <v>0</v>
      </c>
      <c r="AS270" s="8"/>
      <c r="AT270" s="11" t="s">
        <v>2090</v>
      </c>
    </row>
    <row r="271" spans="1:46" ht="15.1" customHeight="1">
      <c r="A271" s="8"/>
      <c r="B271" s="9"/>
      <c r="C271" s="8"/>
      <c r="D271" s="9"/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11" t="s">
        <v>2090</v>
      </c>
    </row>
    <row r="272" spans="1:46" ht="15.1" customHeight="1">
      <c r="A272" s="8"/>
      <c r="B272" s="9"/>
      <c r="C272" s="8"/>
      <c r="D272" s="9"/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11" t="s">
        <v>2090</v>
      </c>
    </row>
    <row r="273" spans="1:46" ht="15.1" customHeight="1">
      <c r="A273" s="8">
        <v>90</v>
      </c>
      <c r="B273" s="9" t="s">
        <v>2262</v>
      </c>
      <c r="C273" s="8" t="s">
        <v>2263</v>
      </c>
      <c r="D273" s="9" t="s">
        <v>451</v>
      </c>
      <c r="E273" s="12" t="s">
        <v>55</v>
      </c>
      <c r="F273" s="8" t="s">
        <v>54</v>
      </c>
      <c r="G273" s="10" t="s">
        <v>67</v>
      </c>
      <c r="H273" s="8" t="s">
        <v>54</v>
      </c>
      <c r="I273" s="8" t="s">
        <v>54</v>
      </c>
      <c r="J273" s="8" t="s">
        <v>54</v>
      </c>
      <c r="K273" s="8" t="s">
        <v>54</v>
      </c>
      <c r="L273" s="8" t="s">
        <v>54</v>
      </c>
      <c r="M273" s="8" t="s">
        <v>54</v>
      </c>
      <c r="N273" s="10" t="s">
        <v>67</v>
      </c>
      <c r="O273" s="12" t="s">
        <v>55</v>
      </c>
      <c r="P273" s="8" t="s">
        <v>54</v>
      </c>
      <c r="Q273" s="8" t="s">
        <v>54</v>
      </c>
      <c r="R273" s="8" t="s">
        <v>54</v>
      </c>
      <c r="S273" s="8" t="s">
        <v>54</v>
      </c>
      <c r="T273" s="8" t="s">
        <v>54</v>
      </c>
      <c r="U273" s="10" t="s">
        <v>67</v>
      </c>
      <c r="V273" s="8" t="s">
        <v>54</v>
      </c>
      <c r="W273" s="8" t="s">
        <v>54</v>
      </c>
      <c r="X273" s="12" t="s">
        <v>55</v>
      </c>
      <c r="Y273" s="12" t="s">
        <v>55</v>
      </c>
      <c r="Z273" s="12" t="s">
        <v>55</v>
      </c>
      <c r="AA273" s="8" t="s">
        <v>54</v>
      </c>
      <c r="AB273" s="10" t="s">
        <v>67</v>
      </c>
      <c r="AC273" s="8" t="s">
        <v>54</v>
      </c>
      <c r="AD273" s="8" t="s">
        <v>54</v>
      </c>
      <c r="AE273" s="8" t="s">
        <v>54</v>
      </c>
      <c r="AF273" s="8" t="s">
        <v>54</v>
      </c>
      <c r="AG273" s="8" t="s">
        <v>54</v>
      </c>
      <c r="AH273" s="8" t="s">
        <v>54</v>
      </c>
      <c r="AI273" s="10" t="s">
        <v>67</v>
      </c>
      <c r="AJ273" s="8">
        <f>COUNTIF($E$273:$AI$273,"P")</f>
        <v>21</v>
      </c>
      <c r="AK273" s="8">
        <f>COUNTIF($E$273:$AI$273,"A")</f>
        <v>5</v>
      </c>
      <c r="AL273" s="8">
        <f>SUM($E$274:$AI$274)</f>
        <v>0</v>
      </c>
      <c r="AM273" s="8">
        <f>SUM($E$275:$AI$275)</f>
        <v>0</v>
      </c>
      <c r="AN273" s="8">
        <f>AL273+AM273</f>
        <v>0</v>
      </c>
      <c r="AO273" s="8">
        <f>COUNTIF($E$273:$AI$273,"CL")</f>
        <v>0</v>
      </c>
      <c r="AP273" s="8">
        <f>COUNTIF($E$273:$AI$273,"SL")</f>
        <v>0</v>
      </c>
      <c r="AQ273" s="8">
        <f>COUNTIF($E$273:$AI$273,"EL")</f>
        <v>0</v>
      </c>
      <c r="AR273" s="8">
        <f>COUNTIF($E$273:$AI$273,"H")</f>
        <v>0</v>
      </c>
      <c r="AS273" s="8"/>
      <c r="AT273" s="11" t="s">
        <v>2090</v>
      </c>
    </row>
    <row r="274" spans="1:46" ht="15.1" customHeight="1">
      <c r="A274" s="8"/>
      <c r="B274" s="9"/>
      <c r="C274" s="8"/>
      <c r="D274" s="9"/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11" t="s">
        <v>2090</v>
      </c>
    </row>
    <row r="275" spans="1:46" ht="15.1" customHeight="1">
      <c r="A275" s="8"/>
      <c r="B275" s="9"/>
      <c r="C275" s="8"/>
      <c r="D275" s="9"/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11" t="s">
        <v>2090</v>
      </c>
    </row>
    <row r="276" spans="1:46" ht="15.1" customHeight="1">
      <c r="A276" s="8">
        <v>91</v>
      </c>
      <c r="B276" s="9" t="s">
        <v>2264</v>
      </c>
      <c r="C276" s="8" t="s">
        <v>2265</v>
      </c>
      <c r="D276" s="9" t="s">
        <v>451</v>
      </c>
      <c r="E276" s="8" t="s">
        <v>54</v>
      </c>
      <c r="F276" s="8" t="s">
        <v>54</v>
      </c>
      <c r="G276" s="10" t="s">
        <v>67</v>
      </c>
      <c r="H276" s="8" t="s">
        <v>54</v>
      </c>
      <c r="I276" s="12" t="s">
        <v>55</v>
      </c>
      <c r="J276" s="12" t="s">
        <v>55</v>
      </c>
      <c r="K276" s="12" t="s">
        <v>55</v>
      </c>
      <c r="L276" s="12" t="s">
        <v>55</v>
      </c>
      <c r="M276" s="12" t="s">
        <v>55</v>
      </c>
      <c r="N276" s="10" t="s">
        <v>67</v>
      </c>
      <c r="O276" s="12" t="s">
        <v>55</v>
      </c>
      <c r="P276" s="12" t="s">
        <v>55</v>
      </c>
      <c r="Q276" s="8" t="s">
        <v>54</v>
      </c>
      <c r="R276" s="8" t="s">
        <v>54</v>
      </c>
      <c r="S276" s="8" t="s">
        <v>54</v>
      </c>
      <c r="T276" s="8" t="s">
        <v>54</v>
      </c>
      <c r="U276" s="10" t="s">
        <v>67</v>
      </c>
      <c r="V276" s="8" t="s">
        <v>54</v>
      </c>
      <c r="W276" s="8" t="s">
        <v>54</v>
      </c>
      <c r="X276" s="12" t="s">
        <v>55</v>
      </c>
      <c r="Y276" s="12" t="s">
        <v>55</v>
      </c>
      <c r="Z276" s="12" t="s">
        <v>55</v>
      </c>
      <c r="AA276" s="12" t="s">
        <v>55</v>
      </c>
      <c r="AB276" s="10" t="s">
        <v>67</v>
      </c>
      <c r="AC276" s="8" t="s">
        <v>54</v>
      </c>
      <c r="AD276" s="8" t="s">
        <v>54</v>
      </c>
      <c r="AE276" s="8" t="s">
        <v>54</v>
      </c>
      <c r="AF276" s="8" t="s">
        <v>54</v>
      </c>
      <c r="AG276" s="8" t="s">
        <v>54</v>
      </c>
      <c r="AH276" s="8" t="s">
        <v>54</v>
      </c>
      <c r="AI276" s="10" t="s">
        <v>67</v>
      </c>
      <c r="AJ276" s="8">
        <f>COUNTIF($E$276:$AI$276,"P")</f>
        <v>15</v>
      </c>
      <c r="AK276" s="8">
        <f>COUNTIF($E$276:$AI$276,"A")</f>
        <v>11</v>
      </c>
      <c r="AL276" s="8">
        <f>SUM($E$277:$AI$277)</f>
        <v>0</v>
      </c>
      <c r="AM276" s="8">
        <f>SUM($E$278:$AI$278)</f>
        <v>0</v>
      </c>
      <c r="AN276" s="8">
        <f>AL276+AM276</f>
        <v>0</v>
      </c>
      <c r="AO276" s="8">
        <f>COUNTIF($E$276:$AI$276,"CL")</f>
        <v>0</v>
      </c>
      <c r="AP276" s="8">
        <f>COUNTIF($E$276:$AI$276,"SL")</f>
        <v>0</v>
      </c>
      <c r="AQ276" s="8">
        <f>COUNTIF($E$276:$AI$276,"EL")</f>
        <v>0</v>
      </c>
      <c r="AR276" s="8">
        <f>COUNTIF($E$276:$AI$276,"H")</f>
        <v>0</v>
      </c>
      <c r="AS276" s="8"/>
      <c r="AT276" s="11" t="s">
        <v>2090</v>
      </c>
    </row>
    <row r="277" spans="1:46" ht="15.1" customHeight="1">
      <c r="A277" s="8"/>
      <c r="B277" s="9"/>
      <c r="C277" s="8"/>
      <c r="D277" s="9"/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11" t="s">
        <v>2090</v>
      </c>
    </row>
    <row r="278" spans="1:46" ht="15.1" customHeight="1">
      <c r="A278" s="8"/>
      <c r="B278" s="9"/>
      <c r="C278" s="8"/>
      <c r="D278" s="9"/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11" t="s">
        <v>2090</v>
      </c>
    </row>
    <row r="279" spans="1:46" ht="15.1" customHeight="1">
      <c r="A279" s="8">
        <v>92</v>
      </c>
      <c r="B279" s="9" t="s">
        <v>2266</v>
      </c>
      <c r="C279" s="8" t="s">
        <v>2267</v>
      </c>
      <c r="D279" s="9" t="s">
        <v>451</v>
      </c>
      <c r="E279" s="12" t="s">
        <v>55</v>
      </c>
      <c r="F279" s="8" t="s">
        <v>54</v>
      </c>
      <c r="G279" s="10" t="s">
        <v>67</v>
      </c>
      <c r="H279" s="8" t="s">
        <v>54</v>
      </c>
      <c r="I279" s="8" t="s">
        <v>54</v>
      </c>
      <c r="J279" s="8" t="s">
        <v>54</v>
      </c>
      <c r="K279" s="8" t="s">
        <v>54</v>
      </c>
      <c r="L279" s="8" t="s">
        <v>54</v>
      </c>
      <c r="M279" s="8" t="s">
        <v>54</v>
      </c>
      <c r="N279" s="10" t="s">
        <v>67</v>
      </c>
      <c r="O279" s="8" t="s">
        <v>54</v>
      </c>
      <c r="P279" s="8" t="s">
        <v>54</v>
      </c>
      <c r="Q279" s="8" t="s">
        <v>54</v>
      </c>
      <c r="R279" s="8" t="s">
        <v>54</v>
      </c>
      <c r="S279" s="12" t="s">
        <v>55</v>
      </c>
      <c r="T279" s="8" t="s">
        <v>54</v>
      </c>
      <c r="U279" s="10" t="s">
        <v>67</v>
      </c>
      <c r="V279" s="12" t="s">
        <v>55</v>
      </c>
      <c r="W279" s="12" t="s">
        <v>55</v>
      </c>
      <c r="X279" s="12" t="s">
        <v>55</v>
      </c>
      <c r="Y279" s="12" t="s">
        <v>55</v>
      </c>
      <c r="Z279" s="8" t="s">
        <v>54</v>
      </c>
      <c r="AA279" s="8" t="s">
        <v>54</v>
      </c>
      <c r="AB279" s="10" t="s">
        <v>67</v>
      </c>
      <c r="AC279" s="8" t="s">
        <v>54</v>
      </c>
      <c r="AD279" s="8" t="s">
        <v>54</v>
      </c>
      <c r="AE279" s="8" t="s">
        <v>54</v>
      </c>
      <c r="AF279" s="8" t="s">
        <v>54</v>
      </c>
      <c r="AG279" s="8" t="s">
        <v>54</v>
      </c>
      <c r="AH279" s="8" t="s">
        <v>54</v>
      </c>
      <c r="AI279" s="10" t="s">
        <v>67</v>
      </c>
      <c r="AJ279" s="8">
        <f>COUNTIF($E$279:$AI$279,"P")</f>
        <v>20</v>
      </c>
      <c r="AK279" s="8">
        <f>COUNTIF($E$279:$AI$279,"A")</f>
        <v>6</v>
      </c>
      <c r="AL279" s="8">
        <f>SUM($E$280:$AI$280)</f>
        <v>0</v>
      </c>
      <c r="AM279" s="8">
        <f>SUM($E$281:$AI$281)</f>
        <v>0</v>
      </c>
      <c r="AN279" s="8">
        <f>AL279+AM279</f>
        <v>0</v>
      </c>
      <c r="AO279" s="8">
        <f>COUNTIF($E$279:$AI$279,"CL")</f>
        <v>0</v>
      </c>
      <c r="AP279" s="8">
        <f>COUNTIF($E$279:$AI$279,"SL")</f>
        <v>0</v>
      </c>
      <c r="AQ279" s="8">
        <f>COUNTIF($E$279:$AI$279,"EL")</f>
        <v>0</v>
      </c>
      <c r="AR279" s="8">
        <f>COUNTIF($E$279:$AI$279,"H")</f>
        <v>0</v>
      </c>
      <c r="AS279" s="8"/>
      <c r="AT279" s="11" t="s">
        <v>2090</v>
      </c>
    </row>
    <row r="280" spans="1:46" ht="15.1" customHeight="1">
      <c r="A280" s="8"/>
      <c r="B280" s="9"/>
      <c r="C280" s="8"/>
      <c r="D280" s="9"/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11" t="s">
        <v>2090</v>
      </c>
    </row>
    <row r="281" spans="1:46" ht="15.1" customHeight="1">
      <c r="A281" s="8"/>
      <c r="B281" s="9"/>
      <c r="C281" s="8"/>
      <c r="D281" s="9"/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11" t="s">
        <v>2090</v>
      </c>
    </row>
    <row r="282" spans="1:46" ht="15.1" customHeight="1">
      <c r="A282" s="8">
        <v>93</v>
      </c>
      <c r="B282" s="9" t="s">
        <v>2268</v>
      </c>
      <c r="C282" s="8" t="s">
        <v>2269</v>
      </c>
      <c r="D282" s="9" t="s">
        <v>451</v>
      </c>
      <c r="E282" s="8" t="s">
        <v>54</v>
      </c>
      <c r="F282" s="8" t="s">
        <v>54</v>
      </c>
      <c r="G282" s="10" t="s">
        <v>67</v>
      </c>
      <c r="H282" s="8" t="s">
        <v>54</v>
      </c>
      <c r="I282" s="12" t="s">
        <v>55</v>
      </c>
      <c r="J282" s="12" t="s">
        <v>55</v>
      </c>
      <c r="K282" s="12" t="s">
        <v>55</v>
      </c>
      <c r="L282" s="12" t="s">
        <v>55</v>
      </c>
      <c r="M282" s="12" t="s">
        <v>55</v>
      </c>
      <c r="N282" s="10" t="s">
        <v>67</v>
      </c>
      <c r="O282" s="12" t="s">
        <v>55</v>
      </c>
      <c r="P282" s="12" t="s">
        <v>55</v>
      </c>
      <c r="Q282" s="8" t="s">
        <v>54</v>
      </c>
      <c r="R282" s="8" t="s">
        <v>54</v>
      </c>
      <c r="S282" s="8" t="s">
        <v>54</v>
      </c>
      <c r="T282" s="8"/>
      <c r="U282" s="10"/>
      <c r="V282" s="8"/>
      <c r="W282" s="8"/>
      <c r="X282" s="8"/>
      <c r="Y282" s="8"/>
      <c r="Z282" s="8"/>
      <c r="AA282" s="8"/>
      <c r="AB282" s="10"/>
      <c r="AC282" s="8"/>
      <c r="AD282" s="8"/>
      <c r="AE282" s="8"/>
      <c r="AF282" s="8"/>
      <c r="AG282" s="8"/>
      <c r="AH282" s="8"/>
      <c r="AI282" s="10"/>
      <c r="AJ282" s="8">
        <f>COUNTIF($E$282:$AI$282,"P")</f>
        <v>6</v>
      </c>
      <c r="AK282" s="8">
        <f>COUNTIF($E$282:$AI$282,"A")</f>
        <v>7</v>
      </c>
      <c r="AL282" s="8">
        <f>SUM($E$283:$AI$283)</f>
        <v>0</v>
      </c>
      <c r="AM282" s="8">
        <f>SUM($E$284:$AI$284)</f>
        <v>0</v>
      </c>
      <c r="AN282" s="8">
        <f>AL282+AM282</f>
        <v>0</v>
      </c>
      <c r="AO282" s="8">
        <f>COUNTIF($E$282:$AI$282,"CL")</f>
        <v>0</v>
      </c>
      <c r="AP282" s="8">
        <f>COUNTIF($E$282:$AI$282,"SL")</f>
        <v>0</v>
      </c>
      <c r="AQ282" s="8">
        <f>COUNTIF($E$282:$AI$282,"EL")</f>
        <v>0</v>
      </c>
      <c r="AR282" s="8">
        <f>COUNTIF($E$282:$AI$282,"H")</f>
        <v>0</v>
      </c>
      <c r="AS282" s="8"/>
      <c r="AT282" s="11" t="s">
        <v>2090</v>
      </c>
    </row>
    <row r="283" spans="1:46" ht="15.1" customHeight="1">
      <c r="A283" s="8"/>
      <c r="B283" s="9"/>
      <c r="C283" s="8"/>
      <c r="D283" s="9"/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11" t="s">
        <v>2090</v>
      </c>
    </row>
    <row r="284" spans="1:46" ht="15.1" customHeight="1">
      <c r="A284" s="8"/>
      <c r="B284" s="9"/>
      <c r="C284" s="8"/>
      <c r="D284" s="9"/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11" t="s">
        <v>2090</v>
      </c>
    </row>
    <row r="285" spans="1:46" ht="15.1" customHeight="1">
      <c r="A285" s="8">
        <v>94</v>
      </c>
      <c r="B285" s="9" t="s">
        <v>2109</v>
      </c>
      <c r="C285" s="8" t="s">
        <v>2270</v>
      </c>
      <c r="D285" s="9" t="s">
        <v>451</v>
      </c>
      <c r="E285" s="12" t="s">
        <v>55</v>
      </c>
      <c r="F285" s="12" t="s">
        <v>55</v>
      </c>
      <c r="G285" s="10" t="s">
        <v>67</v>
      </c>
      <c r="H285" s="8" t="s">
        <v>54</v>
      </c>
      <c r="I285" s="8" t="s">
        <v>54</v>
      </c>
      <c r="J285" s="8" t="s">
        <v>54</v>
      </c>
      <c r="K285" s="8" t="s">
        <v>54</v>
      </c>
      <c r="L285" s="8" t="s">
        <v>54</v>
      </c>
      <c r="M285" s="8" t="s">
        <v>54</v>
      </c>
      <c r="N285" s="10" t="s">
        <v>67</v>
      </c>
      <c r="O285" s="12" t="s">
        <v>55</v>
      </c>
      <c r="P285" s="8" t="s">
        <v>54</v>
      </c>
      <c r="Q285" s="8" t="s">
        <v>54</v>
      </c>
      <c r="R285" s="8" t="s">
        <v>54</v>
      </c>
      <c r="S285" s="8" t="s">
        <v>54</v>
      </c>
      <c r="T285" s="8" t="s">
        <v>54</v>
      </c>
      <c r="U285" s="10" t="s">
        <v>67</v>
      </c>
      <c r="V285" s="8" t="s">
        <v>54</v>
      </c>
      <c r="W285" s="8" t="s">
        <v>54</v>
      </c>
      <c r="X285" s="12" t="s">
        <v>55</v>
      </c>
      <c r="Y285" s="12" t="s">
        <v>55</v>
      </c>
      <c r="Z285" s="8" t="s">
        <v>54</v>
      </c>
      <c r="AA285" s="8" t="s">
        <v>54</v>
      </c>
      <c r="AB285" s="10" t="s">
        <v>67</v>
      </c>
      <c r="AC285" s="8" t="s">
        <v>54</v>
      </c>
      <c r="AD285" s="12" t="s">
        <v>55</v>
      </c>
      <c r="AE285" s="8" t="s">
        <v>54</v>
      </c>
      <c r="AF285" s="12" t="s">
        <v>55</v>
      </c>
      <c r="AG285" s="8" t="s">
        <v>54</v>
      </c>
      <c r="AH285" s="8" t="s">
        <v>54</v>
      </c>
      <c r="AI285" s="10" t="s">
        <v>67</v>
      </c>
      <c r="AJ285" s="8">
        <f>COUNTIF($E$285:$AI$285,"P")</f>
        <v>19</v>
      </c>
      <c r="AK285" s="8">
        <f>COUNTIF($E$285:$AI$285,"A")</f>
        <v>7</v>
      </c>
      <c r="AL285" s="8">
        <f>SUM($E$286:$AI$286)</f>
        <v>0</v>
      </c>
      <c r="AM285" s="8">
        <f>SUM($E$287:$AI$287)</f>
        <v>0</v>
      </c>
      <c r="AN285" s="8">
        <f>AL285+AM285</f>
        <v>0</v>
      </c>
      <c r="AO285" s="8">
        <f>COUNTIF($E$285:$AI$285,"CL")</f>
        <v>0</v>
      </c>
      <c r="AP285" s="8">
        <f>COUNTIF($E$285:$AI$285,"SL")</f>
        <v>0</v>
      </c>
      <c r="AQ285" s="8">
        <f>COUNTIF($E$285:$AI$285,"EL")</f>
        <v>0</v>
      </c>
      <c r="AR285" s="8">
        <f>COUNTIF($E$285:$AI$285,"H")</f>
        <v>0</v>
      </c>
      <c r="AS285" s="8"/>
      <c r="AT285" s="11" t="s">
        <v>2090</v>
      </c>
    </row>
    <row r="286" spans="1:46" ht="15.1" customHeight="1">
      <c r="A286" s="8"/>
      <c r="B286" s="9"/>
      <c r="C286" s="8"/>
      <c r="D286" s="9"/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11" t="s">
        <v>2090</v>
      </c>
    </row>
    <row r="287" spans="1:46" ht="15.1" customHeight="1">
      <c r="A287" s="8"/>
      <c r="B287" s="9"/>
      <c r="C287" s="8"/>
      <c r="D287" s="9"/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11" t="s">
        <v>2090</v>
      </c>
    </row>
    <row r="288" spans="1:46" ht="15.1" customHeight="1">
      <c r="A288" s="8">
        <v>95</v>
      </c>
      <c r="B288" s="9" t="s">
        <v>2271</v>
      </c>
      <c r="C288" s="8" t="s">
        <v>2272</v>
      </c>
      <c r="D288" s="9" t="s">
        <v>451</v>
      </c>
      <c r="E288" s="8" t="s">
        <v>54</v>
      </c>
      <c r="F288" s="8" t="s">
        <v>54</v>
      </c>
      <c r="G288" s="10" t="s">
        <v>67</v>
      </c>
      <c r="H288" s="8" t="s">
        <v>54</v>
      </c>
      <c r="I288" s="8" t="s">
        <v>54</v>
      </c>
      <c r="J288" s="8" t="s">
        <v>54</v>
      </c>
      <c r="K288" s="8" t="s">
        <v>54</v>
      </c>
      <c r="L288" s="8" t="s">
        <v>54</v>
      </c>
      <c r="M288" s="8" t="s">
        <v>54</v>
      </c>
      <c r="N288" s="10" t="s">
        <v>67</v>
      </c>
      <c r="O288" s="8" t="s">
        <v>54</v>
      </c>
      <c r="P288" s="8" t="s">
        <v>54</v>
      </c>
      <c r="Q288" s="8" t="s">
        <v>54</v>
      </c>
      <c r="R288" s="8" t="s">
        <v>54</v>
      </c>
      <c r="S288" s="8" t="s">
        <v>54</v>
      </c>
      <c r="T288" s="8" t="s">
        <v>54</v>
      </c>
      <c r="U288" s="10" t="s">
        <v>67</v>
      </c>
      <c r="V288" s="8" t="s">
        <v>54</v>
      </c>
      <c r="W288" s="8" t="s">
        <v>54</v>
      </c>
      <c r="X288" s="8" t="s">
        <v>54</v>
      </c>
      <c r="Y288" s="8" t="s">
        <v>54</v>
      </c>
      <c r="Z288" s="8" t="s">
        <v>54</v>
      </c>
      <c r="AA288" s="8" t="s">
        <v>54</v>
      </c>
      <c r="AB288" s="10" t="s">
        <v>67</v>
      </c>
      <c r="AC288" s="8" t="s">
        <v>54</v>
      </c>
      <c r="AD288" s="8" t="s">
        <v>54</v>
      </c>
      <c r="AE288" s="8" t="s">
        <v>54</v>
      </c>
      <c r="AF288" s="8" t="s">
        <v>54</v>
      </c>
      <c r="AG288" s="8" t="s">
        <v>54</v>
      </c>
      <c r="AH288" s="8" t="s">
        <v>54</v>
      </c>
      <c r="AI288" s="10" t="s">
        <v>67</v>
      </c>
      <c r="AJ288" s="8">
        <f>COUNTIF($E$288:$AI$288,"P")</f>
        <v>26</v>
      </c>
      <c r="AK288" s="8">
        <f>COUNTIF($E$288:$AI$288,"A")</f>
        <v>0</v>
      </c>
      <c r="AL288" s="8">
        <f>SUM($E$289:$AI$289)</f>
        <v>0</v>
      </c>
      <c r="AM288" s="8">
        <f>SUM($E$290:$AI$290)</f>
        <v>0</v>
      </c>
      <c r="AN288" s="8">
        <f>AL288+AM288</f>
        <v>0</v>
      </c>
      <c r="AO288" s="8">
        <f>COUNTIF($E$288:$AI$288,"CL")</f>
        <v>0</v>
      </c>
      <c r="AP288" s="8">
        <f>COUNTIF($E$288:$AI$288,"SL")</f>
        <v>0</v>
      </c>
      <c r="AQ288" s="8">
        <f>COUNTIF($E$288:$AI$288,"EL")</f>
        <v>0</v>
      </c>
      <c r="AR288" s="8">
        <f>COUNTIF($E$288:$AI$288,"H")</f>
        <v>0</v>
      </c>
      <c r="AS288" s="8"/>
      <c r="AT288" s="11" t="s">
        <v>2090</v>
      </c>
    </row>
    <row r="289" spans="1:46" ht="15.1" customHeight="1">
      <c r="A289" s="8"/>
      <c r="B289" s="9"/>
      <c r="C289" s="8"/>
      <c r="D289" s="9"/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11" t="s">
        <v>2090</v>
      </c>
    </row>
    <row r="290" spans="1:46" ht="15.1" customHeight="1">
      <c r="A290" s="8"/>
      <c r="B290" s="9"/>
      <c r="C290" s="8"/>
      <c r="D290" s="9"/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11" t="s">
        <v>2090</v>
      </c>
    </row>
    <row r="291" spans="1:46" ht="15.1" customHeight="1">
      <c r="A291" s="8">
        <v>96</v>
      </c>
      <c r="B291" s="9" t="s">
        <v>2273</v>
      </c>
      <c r="C291" s="8" t="s">
        <v>2274</v>
      </c>
      <c r="D291" s="9" t="s">
        <v>451</v>
      </c>
      <c r="E291" s="8" t="s">
        <v>54</v>
      </c>
      <c r="F291" s="8" t="s">
        <v>54</v>
      </c>
      <c r="G291" s="10" t="s">
        <v>67</v>
      </c>
      <c r="H291" s="8" t="s">
        <v>54</v>
      </c>
      <c r="I291" s="8" t="s">
        <v>54</v>
      </c>
      <c r="J291" s="8" t="s">
        <v>54</v>
      </c>
      <c r="K291" s="8" t="s">
        <v>54</v>
      </c>
      <c r="L291" s="8" t="s">
        <v>54</v>
      </c>
      <c r="M291" s="8" t="s">
        <v>54</v>
      </c>
      <c r="N291" s="10" t="s">
        <v>67</v>
      </c>
      <c r="O291" s="8" t="s">
        <v>54</v>
      </c>
      <c r="P291" s="8" t="s">
        <v>54</v>
      </c>
      <c r="Q291" s="8" t="s">
        <v>54</v>
      </c>
      <c r="R291" s="8" t="s">
        <v>54</v>
      </c>
      <c r="S291" s="8" t="s">
        <v>54</v>
      </c>
      <c r="T291" s="8" t="s">
        <v>54</v>
      </c>
      <c r="U291" s="10" t="s">
        <v>67</v>
      </c>
      <c r="V291" s="12" t="s">
        <v>55</v>
      </c>
      <c r="W291" s="8" t="s">
        <v>54</v>
      </c>
      <c r="X291" s="12" t="s">
        <v>55</v>
      </c>
      <c r="Y291" s="12" t="s">
        <v>55</v>
      </c>
      <c r="Z291" s="12" t="s">
        <v>55</v>
      </c>
      <c r="AA291" s="8" t="s">
        <v>54</v>
      </c>
      <c r="AB291" s="10" t="s">
        <v>67</v>
      </c>
      <c r="AC291" s="8" t="s">
        <v>54</v>
      </c>
      <c r="AD291" s="8" t="s">
        <v>54</v>
      </c>
      <c r="AE291" s="8" t="s">
        <v>54</v>
      </c>
      <c r="AF291" s="8" t="s">
        <v>54</v>
      </c>
      <c r="AG291" s="8" t="s">
        <v>54</v>
      </c>
      <c r="AH291" s="8" t="s">
        <v>54</v>
      </c>
      <c r="AI291" s="10" t="s">
        <v>67</v>
      </c>
      <c r="AJ291" s="8">
        <f>COUNTIF($E$291:$AI$291,"P")</f>
        <v>22</v>
      </c>
      <c r="AK291" s="8">
        <f>COUNTIF($E$291:$AI$291,"A")</f>
        <v>4</v>
      </c>
      <c r="AL291" s="8">
        <f>SUM($E$292:$AI$292)</f>
        <v>0</v>
      </c>
      <c r="AM291" s="8">
        <f>SUM($E$293:$AI$293)</f>
        <v>0</v>
      </c>
      <c r="AN291" s="8">
        <f>AL291+AM291</f>
        <v>0</v>
      </c>
      <c r="AO291" s="8">
        <f>COUNTIF($E$291:$AI$291,"CL")</f>
        <v>0</v>
      </c>
      <c r="AP291" s="8">
        <f>COUNTIF($E$291:$AI$291,"SL")</f>
        <v>0</v>
      </c>
      <c r="AQ291" s="8">
        <f>COUNTIF($E$291:$AI$291,"EL")</f>
        <v>0</v>
      </c>
      <c r="AR291" s="8">
        <f>COUNTIF($E$291:$AI$291,"H")</f>
        <v>0</v>
      </c>
      <c r="AS291" s="8"/>
      <c r="AT291" s="11" t="s">
        <v>2090</v>
      </c>
    </row>
    <row r="292" spans="1:46" ht="15.1" customHeight="1">
      <c r="A292" s="8"/>
      <c r="B292" s="9"/>
      <c r="C292" s="8"/>
      <c r="D292" s="9"/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11" t="s">
        <v>2090</v>
      </c>
    </row>
    <row r="293" spans="1:46" ht="15.1" customHeight="1">
      <c r="A293" s="8"/>
      <c r="B293" s="9"/>
      <c r="C293" s="8"/>
      <c r="D293" s="9"/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11" t="s">
        <v>2090</v>
      </c>
    </row>
    <row r="294" spans="1:46" ht="15.1" customHeight="1">
      <c r="A294" s="8">
        <v>97</v>
      </c>
      <c r="B294" s="9" t="s">
        <v>2275</v>
      </c>
      <c r="C294" s="8" t="s">
        <v>2276</v>
      </c>
      <c r="D294" s="9" t="s">
        <v>451</v>
      </c>
      <c r="E294" s="8" t="s">
        <v>54</v>
      </c>
      <c r="F294" s="8" t="s">
        <v>54</v>
      </c>
      <c r="G294" s="10" t="s">
        <v>67</v>
      </c>
      <c r="H294" s="8" t="s">
        <v>54</v>
      </c>
      <c r="I294" s="8" t="s">
        <v>54</v>
      </c>
      <c r="J294" s="8" t="s">
        <v>54</v>
      </c>
      <c r="K294" s="8" t="s">
        <v>54</v>
      </c>
      <c r="L294" s="8" t="s">
        <v>54</v>
      </c>
      <c r="M294" s="8" t="s">
        <v>54</v>
      </c>
      <c r="N294" s="10" t="s">
        <v>67</v>
      </c>
      <c r="O294" s="8" t="s">
        <v>54</v>
      </c>
      <c r="P294" s="8" t="s">
        <v>54</v>
      </c>
      <c r="Q294" s="8" t="s">
        <v>54</v>
      </c>
      <c r="R294" s="8" t="s">
        <v>54</v>
      </c>
      <c r="S294" s="8" t="s">
        <v>54</v>
      </c>
      <c r="T294" s="8" t="s">
        <v>54</v>
      </c>
      <c r="U294" s="10" t="s">
        <v>67</v>
      </c>
      <c r="V294" s="8" t="s">
        <v>54</v>
      </c>
      <c r="W294" s="8" t="s">
        <v>54</v>
      </c>
      <c r="X294" s="12" t="s">
        <v>55</v>
      </c>
      <c r="Y294" s="8" t="s">
        <v>54</v>
      </c>
      <c r="Z294" s="8" t="s">
        <v>54</v>
      </c>
      <c r="AA294" s="12" t="s">
        <v>55</v>
      </c>
      <c r="AB294" s="10" t="s">
        <v>67</v>
      </c>
      <c r="AC294" s="12" t="s">
        <v>55</v>
      </c>
      <c r="AD294" s="12" t="s">
        <v>55</v>
      </c>
      <c r="AE294" s="12" t="s">
        <v>55</v>
      </c>
      <c r="AF294" s="12" t="s">
        <v>55</v>
      </c>
      <c r="AG294" s="8" t="s">
        <v>54</v>
      </c>
      <c r="AH294" s="8" t="s">
        <v>54</v>
      </c>
      <c r="AI294" s="10" t="s">
        <v>67</v>
      </c>
      <c r="AJ294" s="8">
        <f>COUNTIF($E$294:$AI$294,"P")</f>
        <v>20</v>
      </c>
      <c r="AK294" s="8">
        <f>COUNTIF($E$294:$AI$294,"A")</f>
        <v>6</v>
      </c>
      <c r="AL294" s="8">
        <f>SUM($E$295:$AI$295)</f>
        <v>0</v>
      </c>
      <c r="AM294" s="8">
        <f>SUM($E$296:$AI$296)</f>
        <v>0</v>
      </c>
      <c r="AN294" s="8">
        <f>AL294+AM294</f>
        <v>0</v>
      </c>
      <c r="AO294" s="8">
        <f>COUNTIF($E$294:$AI$294,"CL")</f>
        <v>0</v>
      </c>
      <c r="AP294" s="8">
        <f>COUNTIF($E$294:$AI$294,"SL")</f>
        <v>0</v>
      </c>
      <c r="AQ294" s="8">
        <f>COUNTIF($E$294:$AI$294,"EL")</f>
        <v>0</v>
      </c>
      <c r="AR294" s="8">
        <f>COUNTIF($E$294:$AI$294,"H")</f>
        <v>0</v>
      </c>
      <c r="AS294" s="8"/>
      <c r="AT294" s="11" t="s">
        <v>2090</v>
      </c>
    </row>
    <row r="295" spans="1:46" ht="15.1" customHeight="1">
      <c r="A295" s="8"/>
      <c r="B295" s="9"/>
      <c r="C295" s="8"/>
      <c r="D295" s="9"/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11" t="s">
        <v>2090</v>
      </c>
    </row>
    <row r="296" spans="1:46" ht="15.1" customHeight="1">
      <c r="A296" s="8"/>
      <c r="B296" s="9"/>
      <c r="C296" s="8"/>
      <c r="D296" s="9"/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11" t="s">
        <v>2090</v>
      </c>
    </row>
    <row r="297" spans="1:46" ht="15.1" customHeight="1">
      <c r="A297" s="8">
        <v>98</v>
      </c>
      <c r="B297" s="9" t="s">
        <v>2277</v>
      </c>
      <c r="C297" s="8" t="s">
        <v>2278</v>
      </c>
      <c r="D297" s="9" t="s">
        <v>451</v>
      </c>
      <c r="E297" s="8" t="s">
        <v>54</v>
      </c>
      <c r="F297" s="8" t="s">
        <v>54</v>
      </c>
      <c r="G297" s="10" t="s">
        <v>67</v>
      </c>
      <c r="H297" s="8" t="s">
        <v>54</v>
      </c>
      <c r="I297" s="8" t="s">
        <v>54</v>
      </c>
      <c r="J297" s="8" t="s">
        <v>54</v>
      </c>
      <c r="K297" s="8" t="s">
        <v>54</v>
      </c>
      <c r="L297" s="8" t="s">
        <v>54</v>
      </c>
      <c r="M297" s="8" t="s">
        <v>54</v>
      </c>
      <c r="N297" s="10" t="s">
        <v>67</v>
      </c>
      <c r="O297" s="8" t="s">
        <v>54</v>
      </c>
      <c r="P297" s="8" t="s">
        <v>54</v>
      </c>
      <c r="Q297" s="8" t="s">
        <v>54</v>
      </c>
      <c r="R297" s="8" t="s">
        <v>54</v>
      </c>
      <c r="S297" s="8" t="s">
        <v>54</v>
      </c>
      <c r="T297" s="8" t="s">
        <v>54</v>
      </c>
      <c r="U297" s="10" t="s">
        <v>67</v>
      </c>
      <c r="V297" s="8" t="s">
        <v>54</v>
      </c>
      <c r="W297" s="8" t="s">
        <v>54</v>
      </c>
      <c r="X297" s="8" t="s">
        <v>54</v>
      </c>
      <c r="Y297" s="8" t="s">
        <v>54</v>
      </c>
      <c r="Z297" s="8" t="s">
        <v>54</v>
      </c>
      <c r="AA297" s="8" t="s">
        <v>54</v>
      </c>
      <c r="AB297" s="10" t="s">
        <v>67</v>
      </c>
      <c r="AC297" s="8" t="s">
        <v>54</v>
      </c>
      <c r="AD297" s="8" t="s">
        <v>54</v>
      </c>
      <c r="AE297" s="8" t="s">
        <v>54</v>
      </c>
      <c r="AF297" s="8" t="s">
        <v>54</v>
      </c>
      <c r="AG297" s="8" t="s">
        <v>54</v>
      </c>
      <c r="AH297" s="8" t="s">
        <v>54</v>
      </c>
      <c r="AI297" s="10" t="s">
        <v>67</v>
      </c>
      <c r="AJ297" s="8">
        <f>COUNTIF($E$297:$AI$297,"P")</f>
        <v>26</v>
      </c>
      <c r="AK297" s="8">
        <f>COUNTIF($E$297:$AI$297,"A")</f>
        <v>0</v>
      </c>
      <c r="AL297" s="8">
        <f>SUM($E$298:$AI$298)</f>
        <v>0</v>
      </c>
      <c r="AM297" s="8">
        <f>SUM($E$299:$AI$299)</f>
        <v>0</v>
      </c>
      <c r="AN297" s="8">
        <f>AL297+AM297</f>
        <v>0</v>
      </c>
      <c r="AO297" s="8">
        <f>COUNTIF($E$297:$AI$297,"CL")</f>
        <v>0</v>
      </c>
      <c r="AP297" s="8">
        <f>COUNTIF($E$297:$AI$297,"SL")</f>
        <v>0</v>
      </c>
      <c r="AQ297" s="8">
        <f>COUNTIF($E$297:$AI$297,"EL")</f>
        <v>0</v>
      </c>
      <c r="AR297" s="8">
        <f>COUNTIF($E$297:$AI$297,"H")</f>
        <v>0</v>
      </c>
      <c r="AS297" s="8"/>
      <c r="AT297" s="11" t="s">
        <v>2090</v>
      </c>
    </row>
    <row r="298" spans="1:46" ht="15.1" customHeight="1">
      <c r="A298" s="8"/>
      <c r="B298" s="9"/>
      <c r="C298" s="8"/>
      <c r="D298" s="9"/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11" t="s">
        <v>2090</v>
      </c>
    </row>
    <row r="299" spans="1:46" ht="15.1" customHeight="1">
      <c r="A299" s="8"/>
      <c r="B299" s="9"/>
      <c r="C299" s="8"/>
      <c r="D299" s="9"/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11" t="s">
        <v>2090</v>
      </c>
    </row>
    <row r="300" spans="1:46" ht="15.1" customHeight="1">
      <c r="A300" s="8">
        <v>99</v>
      </c>
      <c r="B300" s="9" t="s">
        <v>2279</v>
      </c>
      <c r="C300" s="8" t="s">
        <v>2280</v>
      </c>
      <c r="D300" s="9" t="s">
        <v>451</v>
      </c>
      <c r="E300" s="8" t="s">
        <v>54</v>
      </c>
      <c r="F300" s="8" t="s">
        <v>54</v>
      </c>
      <c r="G300" s="10" t="s">
        <v>67</v>
      </c>
      <c r="H300" s="8" t="s">
        <v>54</v>
      </c>
      <c r="I300" s="8" t="s">
        <v>54</v>
      </c>
      <c r="J300" s="8" t="s">
        <v>54</v>
      </c>
      <c r="K300" s="8" t="s">
        <v>54</v>
      </c>
      <c r="L300" s="8" t="s">
        <v>54</v>
      </c>
      <c r="M300" s="8" t="s">
        <v>54</v>
      </c>
      <c r="N300" s="10" t="s">
        <v>67</v>
      </c>
      <c r="O300" s="8" t="s">
        <v>54</v>
      </c>
      <c r="P300" s="8" t="s">
        <v>54</v>
      </c>
      <c r="Q300" s="8" t="s">
        <v>54</v>
      </c>
      <c r="R300" s="8" t="s">
        <v>54</v>
      </c>
      <c r="S300" s="8" t="s">
        <v>54</v>
      </c>
      <c r="T300" s="8" t="s">
        <v>54</v>
      </c>
      <c r="U300" s="10" t="s">
        <v>67</v>
      </c>
      <c r="V300" s="8" t="s">
        <v>54</v>
      </c>
      <c r="W300" s="8" t="s">
        <v>54</v>
      </c>
      <c r="X300" s="8" t="s">
        <v>54</v>
      </c>
      <c r="Y300" s="8" t="s">
        <v>54</v>
      </c>
      <c r="Z300" s="8" t="s">
        <v>54</v>
      </c>
      <c r="AA300" s="8" t="s">
        <v>54</v>
      </c>
      <c r="AB300" s="10" t="s">
        <v>67</v>
      </c>
      <c r="AC300" s="8" t="s">
        <v>54</v>
      </c>
      <c r="AD300" s="8" t="s">
        <v>54</v>
      </c>
      <c r="AE300" s="8" t="s">
        <v>54</v>
      </c>
      <c r="AF300" s="8" t="s">
        <v>54</v>
      </c>
      <c r="AG300" s="8" t="s">
        <v>54</v>
      </c>
      <c r="AH300" s="8" t="s">
        <v>54</v>
      </c>
      <c r="AI300" s="10" t="s">
        <v>67</v>
      </c>
      <c r="AJ300" s="8">
        <f>COUNTIF($E$300:$AI$300,"P")</f>
        <v>26</v>
      </c>
      <c r="AK300" s="8">
        <f>COUNTIF($E$300:$AI$300,"A")</f>
        <v>0</v>
      </c>
      <c r="AL300" s="8">
        <f>SUM($E$301:$AI$301)</f>
        <v>0</v>
      </c>
      <c r="AM300" s="8">
        <f>SUM($E$302:$AI$302)</f>
        <v>0</v>
      </c>
      <c r="AN300" s="8">
        <f>AL300+AM300</f>
        <v>0</v>
      </c>
      <c r="AO300" s="8">
        <f>COUNTIF($E$300:$AI$300,"CL")</f>
        <v>0</v>
      </c>
      <c r="AP300" s="8">
        <f>COUNTIF($E$300:$AI$300,"SL")</f>
        <v>0</v>
      </c>
      <c r="AQ300" s="8">
        <f>COUNTIF($E$300:$AI$300,"EL")</f>
        <v>0</v>
      </c>
      <c r="AR300" s="8">
        <f>COUNTIF($E$300:$AI$300,"H")</f>
        <v>0</v>
      </c>
      <c r="AS300" s="8"/>
      <c r="AT300" s="11" t="s">
        <v>2090</v>
      </c>
    </row>
    <row r="301" spans="1:46" ht="15.1" customHeight="1">
      <c r="A301" s="8"/>
      <c r="B301" s="9"/>
      <c r="C301" s="8"/>
      <c r="D301" s="9"/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11" t="s">
        <v>2090</v>
      </c>
    </row>
    <row r="302" spans="1:46" ht="15.1" customHeight="1">
      <c r="A302" s="8"/>
      <c r="B302" s="9"/>
      <c r="C302" s="8"/>
      <c r="D302" s="9"/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11" t="s">
        <v>2090</v>
      </c>
    </row>
    <row r="303" spans="1:46" ht="15.1" customHeight="1">
      <c r="A303" s="8">
        <v>100</v>
      </c>
      <c r="B303" s="9" t="s">
        <v>2281</v>
      </c>
      <c r="C303" s="8" t="s">
        <v>2282</v>
      </c>
      <c r="D303" s="9" t="s">
        <v>451</v>
      </c>
      <c r="E303" s="12" t="s">
        <v>55</v>
      </c>
      <c r="F303" s="8" t="s">
        <v>54</v>
      </c>
      <c r="G303" s="10" t="s">
        <v>67</v>
      </c>
      <c r="H303" s="8" t="s">
        <v>54</v>
      </c>
      <c r="I303" s="8" t="s">
        <v>54</v>
      </c>
      <c r="J303" s="8" t="s">
        <v>54</v>
      </c>
      <c r="K303" s="8" t="s">
        <v>54</v>
      </c>
      <c r="L303" s="8" t="s">
        <v>54</v>
      </c>
      <c r="M303" s="8" t="s">
        <v>54</v>
      </c>
      <c r="N303" s="10" t="s">
        <v>67</v>
      </c>
      <c r="O303" s="8" t="s">
        <v>54</v>
      </c>
      <c r="P303" s="8" t="s">
        <v>54</v>
      </c>
      <c r="Q303" s="8" t="s">
        <v>54</v>
      </c>
      <c r="R303" s="8" t="s">
        <v>54</v>
      </c>
      <c r="S303" s="8" t="s">
        <v>54</v>
      </c>
      <c r="T303" s="8" t="s">
        <v>54</v>
      </c>
      <c r="U303" s="10" t="s">
        <v>67</v>
      </c>
      <c r="V303" s="8" t="s">
        <v>54</v>
      </c>
      <c r="W303" s="8" t="s">
        <v>54</v>
      </c>
      <c r="X303" s="12" t="s">
        <v>55</v>
      </c>
      <c r="Y303" s="8" t="s">
        <v>54</v>
      </c>
      <c r="Z303" s="8" t="s">
        <v>54</v>
      </c>
      <c r="AA303" s="8" t="s">
        <v>54</v>
      </c>
      <c r="AB303" s="10" t="s">
        <v>67</v>
      </c>
      <c r="AC303" s="8" t="s">
        <v>54</v>
      </c>
      <c r="AD303" s="8" t="s">
        <v>54</v>
      </c>
      <c r="AE303" s="8" t="s">
        <v>54</v>
      </c>
      <c r="AF303" s="8" t="s">
        <v>54</v>
      </c>
      <c r="AG303" s="8" t="s">
        <v>54</v>
      </c>
      <c r="AH303" s="8" t="s">
        <v>54</v>
      </c>
      <c r="AI303" s="10" t="s">
        <v>67</v>
      </c>
      <c r="AJ303" s="8">
        <f>COUNTIF($E$303:$AI$303,"P")</f>
        <v>24</v>
      </c>
      <c r="AK303" s="8">
        <f>COUNTIF($E$303:$AI$303,"A")</f>
        <v>2</v>
      </c>
      <c r="AL303" s="8">
        <f>SUM($E$304:$AI$304)</f>
        <v>0</v>
      </c>
      <c r="AM303" s="8">
        <f>SUM($E$305:$AI$305)</f>
        <v>0</v>
      </c>
      <c r="AN303" s="8">
        <f>AL303+AM303</f>
        <v>0</v>
      </c>
      <c r="AO303" s="8">
        <f>COUNTIF($E$303:$AI$303,"CL")</f>
        <v>0</v>
      </c>
      <c r="AP303" s="8">
        <f>COUNTIF($E$303:$AI$303,"SL")</f>
        <v>0</v>
      </c>
      <c r="AQ303" s="8">
        <f>COUNTIF($E$303:$AI$303,"EL")</f>
        <v>0</v>
      </c>
      <c r="AR303" s="8">
        <f>COUNTIF($E$303:$AI$303,"H")</f>
        <v>0</v>
      </c>
      <c r="AS303" s="8"/>
      <c r="AT303" s="11" t="s">
        <v>2090</v>
      </c>
    </row>
    <row r="304" spans="1:46" ht="15.1" customHeight="1">
      <c r="A304" s="8"/>
      <c r="B304" s="9"/>
      <c r="C304" s="8"/>
      <c r="D304" s="9"/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11" t="s">
        <v>2090</v>
      </c>
    </row>
    <row r="305" spans="1:46" ht="15.1" customHeight="1">
      <c r="A305" s="8"/>
      <c r="B305" s="9"/>
      <c r="C305" s="8"/>
      <c r="D305" s="9"/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11" t="s">
        <v>2090</v>
      </c>
    </row>
    <row r="306" spans="1:46" ht="15.1" customHeight="1">
      <c r="A306" s="8">
        <v>101</v>
      </c>
      <c r="B306" s="9" t="s">
        <v>2283</v>
      </c>
      <c r="C306" s="8" t="s">
        <v>2284</v>
      </c>
      <c r="D306" s="9" t="s">
        <v>451</v>
      </c>
      <c r="E306" s="8" t="s">
        <v>54</v>
      </c>
      <c r="F306" s="8" t="s">
        <v>54</v>
      </c>
      <c r="G306" s="10" t="s">
        <v>67</v>
      </c>
      <c r="H306" s="8" t="s">
        <v>54</v>
      </c>
      <c r="I306" s="8" t="s">
        <v>54</v>
      </c>
      <c r="J306" s="8" t="s">
        <v>54</v>
      </c>
      <c r="K306" s="8" t="s">
        <v>54</v>
      </c>
      <c r="L306" s="8" t="s">
        <v>54</v>
      </c>
      <c r="M306" s="8" t="s">
        <v>54</v>
      </c>
      <c r="N306" s="10" t="s">
        <v>67</v>
      </c>
      <c r="O306" s="8" t="s">
        <v>54</v>
      </c>
      <c r="P306" s="8" t="s">
        <v>54</v>
      </c>
      <c r="Q306" s="12" t="s">
        <v>55</v>
      </c>
      <c r="R306" s="12" t="s">
        <v>55</v>
      </c>
      <c r="S306" s="8" t="s">
        <v>54</v>
      </c>
      <c r="T306" s="8" t="s">
        <v>54</v>
      </c>
      <c r="U306" s="10" t="s">
        <v>67</v>
      </c>
      <c r="V306" s="8" t="s">
        <v>54</v>
      </c>
      <c r="W306" s="8" t="s">
        <v>54</v>
      </c>
      <c r="X306" s="12" t="s">
        <v>55</v>
      </c>
      <c r="Y306" s="8" t="s">
        <v>54</v>
      </c>
      <c r="Z306" s="8" t="s">
        <v>54</v>
      </c>
      <c r="AA306" s="8" t="s">
        <v>54</v>
      </c>
      <c r="AB306" s="10" t="s">
        <v>67</v>
      </c>
      <c r="AC306" s="12" t="s">
        <v>55</v>
      </c>
      <c r="AD306" s="8" t="s">
        <v>54</v>
      </c>
      <c r="AE306" s="8" t="s">
        <v>54</v>
      </c>
      <c r="AF306" s="8" t="s">
        <v>54</v>
      </c>
      <c r="AG306" s="8" t="s">
        <v>54</v>
      </c>
      <c r="AH306" s="8" t="s">
        <v>54</v>
      </c>
      <c r="AI306" s="10" t="s">
        <v>67</v>
      </c>
      <c r="AJ306" s="8">
        <f>COUNTIF($E$306:$AI$306,"P")</f>
        <v>22</v>
      </c>
      <c r="AK306" s="8">
        <f>COUNTIF($E$306:$AI$306,"A")</f>
        <v>4</v>
      </c>
      <c r="AL306" s="8">
        <f>SUM($E$307:$AI$307)</f>
        <v>0</v>
      </c>
      <c r="AM306" s="8">
        <f>SUM($E$308:$AI$308)</f>
        <v>0</v>
      </c>
      <c r="AN306" s="8">
        <f>AL306+AM306</f>
        <v>0</v>
      </c>
      <c r="AO306" s="8">
        <f>COUNTIF($E$306:$AI$306,"CL")</f>
        <v>0</v>
      </c>
      <c r="AP306" s="8">
        <f>COUNTIF($E$306:$AI$306,"SL")</f>
        <v>0</v>
      </c>
      <c r="AQ306" s="8">
        <f>COUNTIF($E$306:$AI$306,"EL")</f>
        <v>0</v>
      </c>
      <c r="AR306" s="8">
        <f>COUNTIF($E$306:$AI$306,"H")</f>
        <v>0</v>
      </c>
      <c r="AS306" s="8"/>
      <c r="AT306" s="11" t="s">
        <v>2090</v>
      </c>
    </row>
    <row r="307" spans="1:46" ht="15.1" customHeight="1">
      <c r="A307" s="8"/>
      <c r="B307" s="9"/>
      <c r="C307" s="8"/>
      <c r="D307" s="9"/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11" t="s">
        <v>2090</v>
      </c>
    </row>
    <row r="308" spans="1:46" ht="15.1" customHeight="1">
      <c r="A308" s="8"/>
      <c r="B308" s="9"/>
      <c r="C308" s="8"/>
      <c r="D308" s="9"/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11" t="s">
        <v>2090</v>
      </c>
    </row>
    <row r="309" spans="1:46" ht="15.1" customHeight="1">
      <c r="A309" s="8">
        <v>102</v>
      </c>
      <c r="B309" s="9" t="s">
        <v>2285</v>
      </c>
      <c r="C309" s="8" t="s">
        <v>2286</v>
      </c>
      <c r="D309" s="9" t="s">
        <v>451</v>
      </c>
      <c r="E309" s="8" t="s">
        <v>54</v>
      </c>
      <c r="F309" s="8" t="s">
        <v>54</v>
      </c>
      <c r="G309" s="10" t="s">
        <v>67</v>
      </c>
      <c r="H309" s="8" t="s">
        <v>54</v>
      </c>
      <c r="I309" s="12" t="s">
        <v>55</v>
      </c>
      <c r="J309" s="8" t="s">
        <v>54</v>
      </c>
      <c r="K309" s="8" t="s">
        <v>54</v>
      </c>
      <c r="L309" s="8" t="s">
        <v>54</v>
      </c>
      <c r="M309" s="8" t="s">
        <v>54</v>
      </c>
      <c r="N309" s="10" t="s">
        <v>67</v>
      </c>
      <c r="O309" s="8" t="s">
        <v>54</v>
      </c>
      <c r="P309" s="8" t="s">
        <v>54</v>
      </c>
      <c r="Q309" s="8" t="s">
        <v>54</v>
      </c>
      <c r="R309" s="8" t="s">
        <v>54</v>
      </c>
      <c r="S309" s="8" t="s">
        <v>54</v>
      </c>
      <c r="T309" s="8" t="s">
        <v>54</v>
      </c>
      <c r="U309" s="10" t="s">
        <v>67</v>
      </c>
      <c r="V309" s="8" t="s">
        <v>54</v>
      </c>
      <c r="W309" s="8" t="s">
        <v>54</v>
      </c>
      <c r="X309" s="12" t="s">
        <v>55</v>
      </c>
      <c r="Y309" s="8" t="s">
        <v>54</v>
      </c>
      <c r="Z309" s="8" t="s">
        <v>54</v>
      </c>
      <c r="AA309" s="8" t="s">
        <v>54</v>
      </c>
      <c r="AB309" s="10" t="s">
        <v>67</v>
      </c>
      <c r="AC309" s="8" t="s">
        <v>54</v>
      </c>
      <c r="AD309" s="8" t="s">
        <v>54</v>
      </c>
      <c r="AE309" s="8" t="s">
        <v>54</v>
      </c>
      <c r="AF309" s="8" t="s">
        <v>54</v>
      </c>
      <c r="AG309" s="8" t="s">
        <v>54</v>
      </c>
      <c r="AH309" s="8" t="s">
        <v>54</v>
      </c>
      <c r="AI309" s="10" t="s">
        <v>67</v>
      </c>
      <c r="AJ309" s="8">
        <f>COUNTIF($E$309:$AI$309,"P")</f>
        <v>24</v>
      </c>
      <c r="AK309" s="8">
        <f>COUNTIF($E$309:$AI$309,"A")</f>
        <v>2</v>
      </c>
      <c r="AL309" s="8">
        <f>SUM($E$310:$AI$310)</f>
        <v>0</v>
      </c>
      <c r="AM309" s="8">
        <f>SUM($E$311:$AI$311)</f>
        <v>0</v>
      </c>
      <c r="AN309" s="8">
        <f>AL309+AM309</f>
        <v>0</v>
      </c>
      <c r="AO309" s="8">
        <f>COUNTIF($E$309:$AI$309,"CL")</f>
        <v>0</v>
      </c>
      <c r="AP309" s="8">
        <f>COUNTIF($E$309:$AI$309,"SL")</f>
        <v>0</v>
      </c>
      <c r="AQ309" s="8">
        <f>COUNTIF($E$309:$AI$309,"EL")</f>
        <v>0</v>
      </c>
      <c r="AR309" s="8">
        <f>COUNTIF($E$309:$AI$309,"H")</f>
        <v>0</v>
      </c>
      <c r="AS309" s="8"/>
      <c r="AT309" s="11" t="s">
        <v>2090</v>
      </c>
    </row>
    <row r="310" spans="1:46" ht="15.1" customHeight="1">
      <c r="A310" s="8"/>
      <c r="B310" s="9"/>
      <c r="C310" s="8"/>
      <c r="D310" s="9"/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11" t="s">
        <v>2090</v>
      </c>
    </row>
    <row r="311" spans="1:46" ht="15.1" customHeight="1">
      <c r="A311" s="8"/>
      <c r="B311" s="9"/>
      <c r="C311" s="8"/>
      <c r="D311" s="9"/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11" t="s">
        <v>2090</v>
      </c>
    </row>
    <row r="312" spans="1:46" ht="15.1" customHeight="1">
      <c r="A312" s="8">
        <v>103</v>
      </c>
      <c r="B312" s="9" t="s">
        <v>2287</v>
      </c>
      <c r="C312" s="8" t="s">
        <v>2288</v>
      </c>
      <c r="D312" s="9" t="s">
        <v>451</v>
      </c>
      <c r="E312" s="12" t="s">
        <v>55</v>
      </c>
      <c r="F312" s="8" t="s">
        <v>54</v>
      </c>
      <c r="G312" s="10" t="s">
        <v>67</v>
      </c>
      <c r="H312" s="8" t="s">
        <v>54</v>
      </c>
      <c r="I312" s="12" t="s">
        <v>55</v>
      </c>
      <c r="J312" s="12" t="s">
        <v>55</v>
      </c>
      <c r="K312" s="12" t="s">
        <v>55</v>
      </c>
      <c r="L312" s="12" t="s">
        <v>55</v>
      </c>
      <c r="M312" s="12" t="s">
        <v>55</v>
      </c>
      <c r="N312" s="10" t="s">
        <v>67</v>
      </c>
      <c r="O312" s="12" t="s">
        <v>55</v>
      </c>
      <c r="P312" s="12" t="s">
        <v>55</v>
      </c>
      <c r="Q312" s="8" t="s">
        <v>54</v>
      </c>
      <c r="R312" s="8" t="s">
        <v>54</v>
      </c>
      <c r="S312" s="8" t="s">
        <v>54</v>
      </c>
      <c r="T312" s="8" t="s">
        <v>54</v>
      </c>
      <c r="U312" s="10" t="s">
        <v>67</v>
      </c>
      <c r="V312" s="8" t="s">
        <v>54</v>
      </c>
      <c r="W312" s="8" t="s">
        <v>54</v>
      </c>
      <c r="X312" s="12" t="s">
        <v>55</v>
      </c>
      <c r="Y312" s="12" t="s">
        <v>55</v>
      </c>
      <c r="Z312" s="12" t="s">
        <v>55</v>
      </c>
      <c r="AA312" s="12" t="s">
        <v>55</v>
      </c>
      <c r="AB312" s="10" t="s">
        <v>67</v>
      </c>
      <c r="AC312" s="12" t="s">
        <v>55</v>
      </c>
      <c r="AD312" s="12" t="s">
        <v>55</v>
      </c>
      <c r="AE312" s="12" t="s">
        <v>55</v>
      </c>
      <c r="AF312" s="12" t="s">
        <v>55</v>
      </c>
      <c r="AG312" s="12" t="s">
        <v>55</v>
      </c>
      <c r="AH312" s="8"/>
      <c r="AI312" s="10"/>
      <c r="AJ312" s="8">
        <f>COUNTIF($E$312:$AI$312,"P")</f>
        <v>8</v>
      </c>
      <c r="AK312" s="8">
        <f>COUNTIF($E$312:$AI$312,"A")</f>
        <v>17</v>
      </c>
      <c r="AL312" s="8">
        <f>SUM($E$313:$AI$313)</f>
        <v>0</v>
      </c>
      <c r="AM312" s="8">
        <f>SUM($E$314:$AI$314)</f>
        <v>0</v>
      </c>
      <c r="AN312" s="8">
        <f>AL312+AM312</f>
        <v>0</v>
      </c>
      <c r="AO312" s="8">
        <f>COUNTIF($E$312:$AI$312,"CL")</f>
        <v>0</v>
      </c>
      <c r="AP312" s="8">
        <f>COUNTIF($E$312:$AI$312,"SL")</f>
        <v>0</v>
      </c>
      <c r="AQ312" s="8">
        <f>COUNTIF($E$312:$AI$312,"EL")</f>
        <v>0</v>
      </c>
      <c r="AR312" s="8">
        <f>COUNTIF($E$312:$AI$312,"H")</f>
        <v>0</v>
      </c>
      <c r="AS312" s="8"/>
      <c r="AT312" s="11" t="s">
        <v>2090</v>
      </c>
    </row>
    <row r="313" spans="1:46" ht="15.1" customHeight="1">
      <c r="A313" s="8"/>
      <c r="B313" s="9"/>
      <c r="C313" s="8"/>
      <c r="D313" s="9"/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11" t="s">
        <v>2090</v>
      </c>
    </row>
    <row r="314" spans="1:46" ht="15.1" customHeight="1">
      <c r="A314" s="8"/>
      <c r="B314" s="9"/>
      <c r="C314" s="8"/>
      <c r="D314" s="9"/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11" t="s">
        <v>2090</v>
      </c>
    </row>
    <row r="315" spans="1:46" ht="15.1" customHeight="1">
      <c r="A315" s="8">
        <v>104</v>
      </c>
      <c r="B315" s="9" t="s">
        <v>2289</v>
      </c>
      <c r="C315" s="8" t="s">
        <v>2290</v>
      </c>
      <c r="D315" s="9" t="s">
        <v>451</v>
      </c>
      <c r="E315" s="12" t="s">
        <v>55</v>
      </c>
      <c r="F315" s="12" t="s">
        <v>55</v>
      </c>
      <c r="G315" s="10" t="s">
        <v>67</v>
      </c>
      <c r="H315" s="12" t="s">
        <v>55</v>
      </c>
      <c r="I315" s="12" t="s">
        <v>55</v>
      </c>
      <c r="J315" s="8" t="s">
        <v>54</v>
      </c>
      <c r="K315" s="8" t="s">
        <v>54</v>
      </c>
      <c r="L315" s="8" t="s">
        <v>54</v>
      </c>
      <c r="M315" s="8" t="s">
        <v>54</v>
      </c>
      <c r="N315" s="10" t="s">
        <v>67</v>
      </c>
      <c r="O315" s="8" t="s">
        <v>54</v>
      </c>
      <c r="P315" s="8" t="s">
        <v>54</v>
      </c>
      <c r="Q315" s="8" t="s">
        <v>54</v>
      </c>
      <c r="R315" s="8" t="s">
        <v>54</v>
      </c>
      <c r="S315" s="8" t="s">
        <v>54</v>
      </c>
      <c r="T315" s="8" t="s">
        <v>54</v>
      </c>
      <c r="U315" s="10" t="s">
        <v>67</v>
      </c>
      <c r="V315" s="8" t="s">
        <v>54</v>
      </c>
      <c r="W315" s="8" t="s">
        <v>54</v>
      </c>
      <c r="X315" s="12" t="s">
        <v>55</v>
      </c>
      <c r="Y315" s="8" t="s">
        <v>54</v>
      </c>
      <c r="Z315" s="8" t="s">
        <v>54</v>
      </c>
      <c r="AA315" s="8" t="s">
        <v>54</v>
      </c>
      <c r="AB315" s="10" t="s">
        <v>67</v>
      </c>
      <c r="AC315" s="8" t="s">
        <v>54</v>
      </c>
      <c r="AD315" s="8" t="s">
        <v>54</v>
      </c>
      <c r="AE315" s="8" t="s">
        <v>54</v>
      </c>
      <c r="AF315" s="8" t="s">
        <v>54</v>
      </c>
      <c r="AG315" s="8" t="s">
        <v>54</v>
      </c>
      <c r="AH315" s="8" t="s">
        <v>54</v>
      </c>
      <c r="AI315" s="10" t="s">
        <v>67</v>
      </c>
      <c r="AJ315" s="8">
        <f>COUNTIF($E$315:$AI$315,"P")</f>
        <v>21</v>
      </c>
      <c r="AK315" s="8">
        <f>COUNTIF($E$315:$AI$315,"A")</f>
        <v>5</v>
      </c>
      <c r="AL315" s="8">
        <f>SUM($E$316:$AI$316)</f>
        <v>0</v>
      </c>
      <c r="AM315" s="8">
        <f>SUM($E$317:$AI$317)</f>
        <v>0</v>
      </c>
      <c r="AN315" s="8">
        <f>AL315+AM315</f>
        <v>0</v>
      </c>
      <c r="AO315" s="8">
        <f>COUNTIF($E$315:$AI$315,"CL")</f>
        <v>0</v>
      </c>
      <c r="AP315" s="8">
        <f>COUNTIF($E$315:$AI$315,"SL")</f>
        <v>0</v>
      </c>
      <c r="AQ315" s="8">
        <f>COUNTIF($E$315:$AI$315,"EL")</f>
        <v>0</v>
      </c>
      <c r="AR315" s="8">
        <f>COUNTIF($E$315:$AI$315,"H")</f>
        <v>0</v>
      </c>
      <c r="AS315" s="8"/>
      <c r="AT315" s="11" t="s">
        <v>2090</v>
      </c>
    </row>
    <row r="316" spans="1:46" ht="15.1" customHeight="1">
      <c r="A316" s="8"/>
      <c r="B316" s="9"/>
      <c r="C316" s="8"/>
      <c r="D316" s="9"/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11" t="s">
        <v>2090</v>
      </c>
    </row>
    <row r="317" spans="1:46" ht="15.1" customHeight="1">
      <c r="A317" s="8"/>
      <c r="B317" s="9"/>
      <c r="C317" s="8"/>
      <c r="D317" s="9"/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11" t="s">
        <v>2090</v>
      </c>
    </row>
    <row r="318" spans="1:46" ht="15.1" customHeight="1">
      <c r="A318" s="8">
        <v>105</v>
      </c>
      <c r="B318" s="9" t="s">
        <v>2291</v>
      </c>
      <c r="C318" s="8" t="s">
        <v>2292</v>
      </c>
      <c r="D318" s="9" t="s">
        <v>451</v>
      </c>
      <c r="E318" s="8" t="s">
        <v>54</v>
      </c>
      <c r="F318" s="8" t="s">
        <v>54</v>
      </c>
      <c r="G318" s="10" t="s">
        <v>67</v>
      </c>
      <c r="H318" s="8" t="s">
        <v>54</v>
      </c>
      <c r="I318" s="8" t="s">
        <v>54</v>
      </c>
      <c r="J318" s="8" t="s">
        <v>54</v>
      </c>
      <c r="K318" s="8" t="s">
        <v>54</v>
      </c>
      <c r="L318" s="8" t="s">
        <v>54</v>
      </c>
      <c r="M318" s="8" t="s">
        <v>54</v>
      </c>
      <c r="N318" s="10" t="s">
        <v>67</v>
      </c>
      <c r="O318" s="8" t="s">
        <v>54</v>
      </c>
      <c r="P318" s="8" t="s">
        <v>54</v>
      </c>
      <c r="Q318" s="8" t="s">
        <v>54</v>
      </c>
      <c r="R318" s="8" t="s">
        <v>54</v>
      </c>
      <c r="S318" s="8" t="s">
        <v>54</v>
      </c>
      <c r="T318" s="8" t="s">
        <v>54</v>
      </c>
      <c r="U318" s="10" t="s">
        <v>67</v>
      </c>
      <c r="V318" s="8" t="s">
        <v>54</v>
      </c>
      <c r="W318" s="8" t="s">
        <v>54</v>
      </c>
      <c r="X318" s="8" t="s">
        <v>54</v>
      </c>
      <c r="Y318" s="8" t="s">
        <v>54</v>
      </c>
      <c r="Z318" s="8" t="s">
        <v>54</v>
      </c>
      <c r="AA318" s="8" t="s">
        <v>54</v>
      </c>
      <c r="AB318" s="10" t="s">
        <v>67</v>
      </c>
      <c r="AC318" s="8" t="s">
        <v>54</v>
      </c>
      <c r="AD318" s="8" t="s">
        <v>54</v>
      </c>
      <c r="AE318" s="8" t="s">
        <v>54</v>
      </c>
      <c r="AF318" s="8" t="s">
        <v>54</v>
      </c>
      <c r="AG318" s="8" t="s">
        <v>54</v>
      </c>
      <c r="AH318" s="8" t="s">
        <v>54</v>
      </c>
      <c r="AI318" s="10" t="s">
        <v>67</v>
      </c>
      <c r="AJ318" s="8">
        <f>COUNTIF($E$318:$AI$318,"P")</f>
        <v>26</v>
      </c>
      <c r="AK318" s="8">
        <f>COUNTIF($E$318:$AI$318,"A")</f>
        <v>0</v>
      </c>
      <c r="AL318" s="8">
        <f>SUM($E$319:$AI$319)</f>
        <v>0</v>
      </c>
      <c r="AM318" s="8">
        <f>SUM($E$320:$AI$320)</f>
        <v>0</v>
      </c>
      <c r="AN318" s="8">
        <f>AL318+AM318</f>
        <v>0</v>
      </c>
      <c r="AO318" s="8">
        <f>COUNTIF($E$318:$AI$318,"CL")</f>
        <v>0</v>
      </c>
      <c r="AP318" s="8">
        <f>COUNTIF($E$318:$AI$318,"SL")</f>
        <v>0</v>
      </c>
      <c r="AQ318" s="8">
        <f>COUNTIF($E$318:$AI$318,"EL")</f>
        <v>0</v>
      </c>
      <c r="AR318" s="8">
        <f>COUNTIF($E$318:$AI$318,"H")</f>
        <v>0</v>
      </c>
      <c r="AS318" s="8"/>
      <c r="AT318" s="11" t="s">
        <v>2090</v>
      </c>
    </row>
    <row r="319" spans="1:46" ht="15.1" customHeight="1">
      <c r="A319" s="8"/>
      <c r="B319" s="9"/>
      <c r="C319" s="8"/>
      <c r="D319" s="9"/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11" t="s">
        <v>2090</v>
      </c>
    </row>
    <row r="320" spans="1:46" ht="15.1" customHeight="1">
      <c r="A320" s="8"/>
      <c r="B320" s="9"/>
      <c r="C320" s="8"/>
      <c r="D320" s="9"/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11" t="s">
        <v>2090</v>
      </c>
    </row>
    <row r="321" spans="1:46" ht="15.1" customHeight="1">
      <c r="A321" s="8">
        <v>106</v>
      </c>
      <c r="B321" s="9" t="s">
        <v>2293</v>
      </c>
      <c r="C321" s="8" t="s">
        <v>2294</v>
      </c>
      <c r="D321" s="9" t="s">
        <v>451</v>
      </c>
      <c r="E321" s="8" t="s">
        <v>54</v>
      </c>
      <c r="F321" s="8" t="s">
        <v>54</v>
      </c>
      <c r="G321" s="10" t="s">
        <v>67</v>
      </c>
      <c r="H321" s="8" t="s">
        <v>54</v>
      </c>
      <c r="I321" s="8" t="s">
        <v>54</v>
      </c>
      <c r="J321" s="8" t="s">
        <v>54</v>
      </c>
      <c r="K321" s="8" t="s">
        <v>54</v>
      </c>
      <c r="L321" s="8" t="s">
        <v>54</v>
      </c>
      <c r="M321" s="12" t="s">
        <v>55</v>
      </c>
      <c r="N321" s="10" t="s">
        <v>67</v>
      </c>
      <c r="O321" s="8" t="s">
        <v>54</v>
      </c>
      <c r="P321" s="12" t="s">
        <v>55</v>
      </c>
      <c r="Q321" s="12" t="s">
        <v>55</v>
      </c>
      <c r="R321" s="12" t="s">
        <v>55</v>
      </c>
      <c r="S321" s="12" t="s">
        <v>55</v>
      </c>
      <c r="T321" s="12" t="s">
        <v>55</v>
      </c>
      <c r="U321" s="10" t="s">
        <v>67</v>
      </c>
      <c r="V321" s="8" t="s">
        <v>54</v>
      </c>
      <c r="W321" s="8" t="s">
        <v>54</v>
      </c>
      <c r="X321" s="12" t="s">
        <v>55</v>
      </c>
      <c r="Y321" s="8" t="s">
        <v>54</v>
      </c>
      <c r="Z321" s="8" t="s">
        <v>54</v>
      </c>
      <c r="AA321" s="8" t="s">
        <v>54</v>
      </c>
      <c r="AB321" s="10" t="s">
        <v>67</v>
      </c>
      <c r="AC321" s="12" t="s">
        <v>55</v>
      </c>
      <c r="AD321" s="12" t="s">
        <v>55</v>
      </c>
      <c r="AE321" s="8" t="s">
        <v>54</v>
      </c>
      <c r="AF321" s="8" t="s">
        <v>54</v>
      </c>
      <c r="AG321" s="8" t="s">
        <v>54</v>
      </c>
      <c r="AH321" s="8" t="s">
        <v>54</v>
      </c>
      <c r="AI321" s="10" t="s">
        <v>67</v>
      </c>
      <c r="AJ321" s="8">
        <f>COUNTIF($E$321:$AI$321,"P")</f>
        <v>17</v>
      </c>
      <c r="AK321" s="8">
        <f>COUNTIF($E$321:$AI$321,"A")</f>
        <v>9</v>
      </c>
      <c r="AL321" s="8">
        <f>SUM($E$322:$AI$322)</f>
        <v>0</v>
      </c>
      <c r="AM321" s="8">
        <f>SUM($E$323:$AI$323)</f>
        <v>0</v>
      </c>
      <c r="AN321" s="8">
        <f>AL321+AM321</f>
        <v>0</v>
      </c>
      <c r="AO321" s="8">
        <f>COUNTIF($E$321:$AI$321,"CL")</f>
        <v>0</v>
      </c>
      <c r="AP321" s="8">
        <f>COUNTIF($E$321:$AI$321,"SL")</f>
        <v>0</v>
      </c>
      <c r="AQ321" s="8">
        <f>COUNTIF($E$321:$AI$321,"EL")</f>
        <v>0</v>
      </c>
      <c r="AR321" s="8">
        <f>COUNTIF($E$321:$AI$321,"H")</f>
        <v>0</v>
      </c>
      <c r="AS321" s="8"/>
      <c r="AT321" s="11" t="s">
        <v>2090</v>
      </c>
    </row>
    <row r="322" spans="1:46" ht="15.1" customHeight="1">
      <c r="A322" s="8"/>
      <c r="B322" s="9"/>
      <c r="C322" s="8"/>
      <c r="D322" s="9"/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11" t="s">
        <v>2090</v>
      </c>
    </row>
    <row r="323" spans="1:46" ht="15.1" customHeight="1">
      <c r="A323" s="8"/>
      <c r="B323" s="9"/>
      <c r="C323" s="8"/>
      <c r="D323" s="9"/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11" t="s">
        <v>2090</v>
      </c>
    </row>
    <row r="324" spans="1:46" ht="15.1" customHeight="1">
      <c r="A324" s="8">
        <v>107</v>
      </c>
      <c r="B324" s="9" t="s">
        <v>2295</v>
      </c>
      <c r="C324" s="8" t="s">
        <v>2296</v>
      </c>
      <c r="D324" s="9" t="s">
        <v>451</v>
      </c>
      <c r="E324" s="8" t="s">
        <v>54</v>
      </c>
      <c r="F324" s="8" t="s">
        <v>54</v>
      </c>
      <c r="G324" s="10" t="s">
        <v>67</v>
      </c>
      <c r="H324" s="8" t="s">
        <v>54</v>
      </c>
      <c r="I324" s="12" t="s">
        <v>55</v>
      </c>
      <c r="J324" s="12" t="s">
        <v>55</v>
      </c>
      <c r="K324" s="12" t="s">
        <v>55</v>
      </c>
      <c r="L324" s="8" t="s">
        <v>54</v>
      </c>
      <c r="M324" s="8" t="s">
        <v>54</v>
      </c>
      <c r="N324" s="10" t="s">
        <v>67</v>
      </c>
      <c r="O324" s="8" t="s">
        <v>54</v>
      </c>
      <c r="P324" s="8" t="s">
        <v>54</v>
      </c>
      <c r="Q324" s="8" t="s">
        <v>54</v>
      </c>
      <c r="R324" s="8" t="s">
        <v>54</v>
      </c>
      <c r="S324" s="8" t="s">
        <v>54</v>
      </c>
      <c r="T324" s="8" t="s">
        <v>54</v>
      </c>
      <c r="U324" s="10" t="s">
        <v>67</v>
      </c>
      <c r="V324" s="8" t="s">
        <v>54</v>
      </c>
      <c r="W324" s="12" t="s">
        <v>55</v>
      </c>
      <c r="X324" s="12" t="s">
        <v>55</v>
      </c>
      <c r="Y324" s="8" t="s">
        <v>54</v>
      </c>
      <c r="Z324" s="8" t="s">
        <v>54</v>
      </c>
      <c r="AA324" s="8" t="s">
        <v>54</v>
      </c>
      <c r="AB324" s="10" t="s">
        <v>67</v>
      </c>
      <c r="AC324" s="8" t="s">
        <v>54</v>
      </c>
      <c r="AD324" s="8" t="s">
        <v>54</v>
      </c>
      <c r="AE324" s="8" t="s">
        <v>54</v>
      </c>
      <c r="AF324" s="8" t="s">
        <v>54</v>
      </c>
      <c r="AG324" s="8" t="s">
        <v>54</v>
      </c>
      <c r="AH324" s="8" t="s">
        <v>54</v>
      </c>
      <c r="AI324" s="10" t="s">
        <v>67</v>
      </c>
      <c r="AJ324" s="8">
        <f>COUNTIF($E$324:$AI$324,"P")</f>
        <v>21</v>
      </c>
      <c r="AK324" s="8">
        <f>COUNTIF($E$324:$AI$324,"A")</f>
        <v>5</v>
      </c>
      <c r="AL324" s="8">
        <f>SUM($E$325:$AI$325)</f>
        <v>0</v>
      </c>
      <c r="AM324" s="8">
        <f>SUM($E$326:$AI$326)</f>
        <v>0</v>
      </c>
      <c r="AN324" s="8">
        <f>AL324+AM324</f>
        <v>0</v>
      </c>
      <c r="AO324" s="8">
        <f>COUNTIF($E$324:$AI$324,"CL")</f>
        <v>0</v>
      </c>
      <c r="AP324" s="8">
        <f>COUNTIF($E$324:$AI$324,"SL")</f>
        <v>0</v>
      </c>
      <c r="AQ324" s="8">
        <f>COUNTIF($E$324:$AI$324,"EL")</f>
        <v>0</v>
      </c>
      <c r="AR324" s="8">
        <f>COUNTIF($E$324:$AI$324,"H")</f>
        <v>0</v>
      </c>
      <c r="AS324" s="8"/>
      <c r="AT324" s="11" t="s">
        <v>2090</v>
      </c>
    </row>
    <row r="325" spans="1:46" ht="15.1" customHeight="1">
      <c r="A325" s="8"/>
      <c r="B325" s="9"/>
      <c r="C325" s="8"/>
      <c r="D325" s="9"/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11" t="s">
        <v>2090</v>
      </c>
    </row>
    <row r="326" spans="1:46" ht="15.1" customHeight="1">
      <c r="A326" s="8"/>
      <c r="B326" s="9"/>
      <c r="C326" s="8"/>
      <c r="D326" s="9"/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11" t="s">
        <v>2090</v>
      </c>
    </row>
    <row r="327" spans="1:46" ht="15.1" customHeight="1">
      <c r="A327" s="8">
        <v>108</v>
      </c>
      <c r="B327" s="9" t="s">
        <v>2297</v>
      </c>
      <c r="C327" s="8" t="s">
        <v>2298</v>
      </c>
      <c r="D327" s="9" t="s">
        <v>451</v>
      </c>
      <c r="E327" s="8" t="s">
        <v>54</v>
      </c>
      <c r="F327" s="8" t="s">
        <v>54</v>
      </c>
      <c r="G327" s="10" t="s">
        <v>67</v>
      </c>
      <c r="H327" s="8" t="s">
        <v>54</v>
      </c>
      <c r="I327" s="8" t="s">
        <v>54</v>
      </c>
      <c r="J327" s="8" t="s">
        <v>54</v>
      </c>
      <c r="K327" s="8" t="s">
        <v>54</v>
      </c>
      <c r="L327" s="8" t="s">
        <v>54</v>
      </c>
      <c r="M327" s="8" t="s">
        <v>54</v>
      </c>
      <c r="N327" s="10" t="s">
        <v>67</v>
      </c>
      <c r="O327" s="8" t="s">
        <v>54</v>
      </c>
      <c r="P327" s="8" t="s">
        <v>54</v>
      </c>
      <c r="Q327" s="8" t="s">
        <v>54</v>
      </c>
      <c r="R327" s="8" t="s">
        <v>54</v>
      </c>
      <c r="S327" s="8" t="s">
        <v>54</v>
      </c>
      <c r="T327" s="8" t="s">
        <v>54</v>
      </c>
      <c r="U327" s="10" t="s">
        <v>67</v>
      </c>
      <c r="V327" s="8" t="s">
        <v>54</v>
      </c>
      <c r="W327" s="8" t="s">
        <v>54</v>
      </c>
      <c r="X327" s="8" t="s">
        <v>54</v>
      </c>
      <c r="Y327" s="8" t="s">
        <v>54</v>
      </c>
      <c r="Z327" s="8" t="s">
        <v>54</v>
      </c>
      <c r="AA327" s="8" t="s">
        <v>54</v>
      </c>
      <c r="AB327" s="10" t="s">
        <v>67</v>
      </c>
      <c r="AC327" s="8" t="s">
        <v>54</v>
      </c>
      <c r="AD327" s="8" t="s">
        <v>54</v>
      </c>
      <c r="AE327" s="8" t="s">
        <v>54</v>
      </c>
      <c r="AF327" s="8" t="s">
        <v>54</v>
      </c>
      <c r="AG327" s="8" t="s">
        <v>54</v>
      </c>
      <c r="AH327" s="8" t="s">
        <v>54</v>
      </c>
      <c r="AI327" s="10" t="s">
        <v>67</v>
      </c>
      <c r="AJ327" s="8">
        <f>COUNTIF($E$327:$AI$327,"P")</f>
        <v>26</v>
      </c>
      <c r="AK327" s="8">
        <f>COUNTIF($E$327:$AI$327,"A")</f>
        <v>0</v>
      </c>
      <c r="AL327" s="8">
        <f>SUM($E$328:$AI$328)</f>
        <v>0</v>
      </c>
      <c r="AM327" s="8">
        <f>SUM($E$329:$AI$329)</f>
        <v>0</v>
      </c>
      <c r="AN327" s="8">
        <f>AL327+AM327</f>
        <v>0</v>
      </c>
      <c r="AO327" s="8">
        <f>COUNTIF($E$327:$AI$327,"CL")</f>
        <v>0</v>
      </c>
      <c r="AP327" s="8">
        <f>COUNTIF($E$327:$AI$327,"SL")</f>
        <v>0</v>
      </c>
      <c r="AQ327" s="8">
        <f>COUNTIF($E$327:$AI$327,"EL")</f>
        <v>0</v>
      </c>
      <c r="AR327" s="8">
        <f>COUNTIF($E$327:$AI$327,"H")</f>
        <v>0</v>
      </c>
      <c r="AS327" s="8"/>
      <c r="AT327" s="11" t="s">
        <v>2090</v>
      </c>
    </row>
    <row r="328" spans="1:46" ht="15.1" customHeight="1">
      <c r="A328" s="8"/>
      <c r="B328" s="9"/>
      <c r="C328" s="8"/>
      <c r="D328" s="9"/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11" t="s">
        <v>2090</v>
      </c>
    </row>
    <row r="329" spans="1:46" ht="15.1" customHeight="1">
      <c r="A329" s="8"/>
      <c r="B329" s="9"/>
      <c r="C329" s="8"/>
      <c r="D329" s="9"/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11" t="s">
        <v>2090</v>
      </c>
    </row>
    <row r="330" spans="1:46" ht="15.1" customHeight="1">
      <c r="A330" s="8">
        <v>109</v>
      </c>
      <c r="B330" s="9" t="s">
        <v>2299</v>
      </c>
      <c r="C330" s="8" t="s">
        <v>2300</v>
      </c>
      <c r="D330" s="9" t="s">
        <v>451</v>
      </c>
      <c r="E330" s="8" t="s">
        <v>54</v>
      </c>
      <c r="F330" s="8" t="s">
        <v>54</v>
      </c>
      <c r="G330" s="10" t="s">
        <v>67</v>
      </c>
      <c r="H330" s="8" t="s">
        <v>54</v>
      </c>
      <c r="I330" s="8" t="s">
        <v>54</v>
      </c>
      <c r="J330" s="8" t="s">
        <v>54</v>
      </c>
      <c r="K330" s="8" t="s">
        <v>54</v>
      </c>
      <c r="L330" s="8" t="s">
        <v>54</v>
      </c>
      <c r="M330" s="8" t="s">
        <v>54</v>
      </c>
      <c r="N330" s="10" t="s">
        <v>67</v>
      </c>
      <c r="O330" s="8" t="s">
        <v>54</v>
      </c>
      <c r="P330" s="8" t="s">
        <v>54</v>
      </c>
      <c r="Q330" s="8" t="s">
        <v>54</v>
      </c>
      <c r="R330" s="8" t="s">
        <v>54</v>
      </c>
      <c r="S330" s="8" t="s">
        <v>54</v>
      </c>
      <c r="T330" s="8" t="s">
        <v>54</v>
      </c>
      <c r="U330" s="10" t="s">
        <v>67</v>
      </c>
      <c r="V330" s="8" t="s">
        <v>54</v>
      </c>
      <c r="W330" s="8" t="s">
        <v>54</v>
      </c>
      <c r="X330" s="8" t="s">
        <v>54</v>
      </c>
      <c r="Y330" s="8" t="s">
        <v>54</v>
      </c>
      <c r="Z330" s="8" t="s">
        <v>54</v>
      </c>
      <c r="AA330" s="8" t="s">
        <v>54</v>
      </c>
      <c r="AB330" s="10" t="s">
        <v>67</v>
      </c>
      <c r="AC330" s="8" t="s">
        <v>54</v>
      </c>
      <c r="AD330" s="8" t="s">
        <v>54</v>
      </c>
      <c r="AE330" s="8" t="s">
        <v>54</v>
      </c>
      <c r="AF330" s="8" t="s">
        <v>54</v>
      </c>
      <c r="AG330" s="8" t="s">
        <v>54</v>
      </c>
      <c r="AH330" s="8" t="s">
        <v>54</v>
      </c>
      <c r="AI330" s="10" t="s">
        <v>67</v>
      </c>
      <c r="AJ330" s="8">
        <f>COUNTIF($E$330:$AI$330,"P")</f>
        <v>26</v>
      </c>
      <c r="AK330" s="8">
        <f>COUNTIF($E$330:$AI$330,"A")</f>
        <v>0</v>
      </c>
      <c r="AL330" s="8">
        <f>SUM($E$331:$AI$331)</f>
        <v>0</v>
      </c>
      <c r="AM330" s="8">
        <f>SUM($E$332:$AI$332)</f>
        <v>0</v>
      </c>
      <c r="AN330" s="8">
        <f>AL330+AM330</f>
        <v>0</v>
      </c>
      <c r="AO330" s="8">
        <f>COUNTIF($E$330:$AI$330,"CL")</f>
        <v>0</v>
      </c>
      <c r="AP330" s="8">
        <f>COUNTIF($E$330:$AI$330,"SL")</f>
        <v>0</v>
      </c>
      <c r="AQ330" s="8">
        <f>COUNTIF($E$330:$AI$330,"EL")</f>
        <v>0</v>
      </c>
      <c r="AR330" s="8">
        <f>COUNTIF($E$330:$AI$330,"H")</f>
        <v>0</v>
      </c>
      <c r="AS330" s="8"/>
      <c r="AT330" s="11" t="s">
        <v>2090</v>
      </c>
    </row>
    <row r="331" spans="1:46" ht="15.1" customHeight="1">
      <c r="A331" s="8"/>
      <c r="B331" s="9"/>
      <c r="C331" s="8"/>
      <c r="D331" s="9"/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11" t="s">
        <v>2090</v>
      </c>
    </row>
    <row r="332" spans="1:46" ht="15.1" customHeight="1">
      <c r="A332" s="8"/>
      <c r="B332" s="9"/>
      <c r="C332" s="8"/>
      <c r="D332" s="9"/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11" t="s">
        <v>2090</v>
      </c>
    </row>
    <row r="333" spans="1:46" ht="15.1" customHeight="1">
      <c r="A333" s="8">
        <v>110</v>
      </c>
      <c r="B333" s="9" t="s">
        <v>2301</v>
      </c>
      <c r="C333" s="8" t="s">
        <v>2302</v>
      </c>
      <c r="D333" s="9" t="s">
        <v>451</v>
      </c>
      <c r="E333" s="12" t="s">
        <v>55</v>
      </c>
      <c r="F333" s="12" t="s">
        <v>55</v>
      </c>
      <c r="G333" s="10" t="s">
        <v>67</v>
      </c>
      <c r="H333" s="12" t="s">
        <v>55</v>
      </c>
      <c r="I333" s="12" t="s">
        <v>55</v>
      </c>
      <c r="J333" s="12" t="s">
        <v>55</v>
      </c>
      <c r="K333" s="12" t="s">
        <v>55</v>
      </c>
      <c r="L333" s="12" t="s">
        <v>55</v>
      </c>
      <c r="M333" s="12" t="s">
        <v>55</v>
      </c>
      <c r="N333" s="10" t="s">
        <v>67</v>
      </c>
      <c r="O333" s="12" t="s">
        <v>55</v>
      </c>
      <c r="P333" s="12" t="s">
        <v>55</v>
      </c>
      <c r="Q333" s="12" t="s">
        <v>55</v>
      </c>
      <c r="R333" s="12" t="s">
        <v>55</v>
      </c>
      <c r="S333" s="12" t="s">
        <v>55</v>
      </c>
      <c r="T333" s="12" t="s">
        <v>55</v>
      </c>
      <c r="U333" s="10" t="s">
        <v>67</v>
      </c>
      <c r="V333" s="12" t="s">
        <v>55</v>
      </c>
      <c r="W333" s="8" t="s">
        <v>54</v>
      </c>
      <c r="X333" s="12" t="s">
        <v>55</v>
      </c>
      <c r="Y333" s="8" t="s">
        <v>54</v>
      </c>
      <c r="Z333" s="12" t="s">
        <v>55</v>
      </c>
      <c r="AA333" s="8" t="s">
        <v>54</v>
      </c>
      <c r="AB333" s="10" t="s">
        <v>67</v>
      </c>
      <c r="AC333" s="12" t="s">
        <v>55</v>
      </c>
      <c r="AD333" s="12" t="s">
        <v>55</v>
      </c>
      <c r="AE333" s="12" t="s">
        <v>55</v>
      </c>
      <c r="AF333" s="12" t="s">
        <v>55</v>
      </c>
      <c r="AG333" s="12" t="s">
        <v>55</v>
      </c>
      <c r="AH333" s="12" t="s">
        <v>55</v>
      </c>
      <c r="AI333" s="10" t="s">
        <v>67</v>
      </c>
      <c r="AJ333" s="8">
        <f>COUNTIF($E$333:$AI$333,"P")</f>
        <v>3</v>
      </c>
      <c r="AK333" s="8">
        <f>COUNTIF($E$333:$AI$333,"A")</f>
        <v>23</v>
      </c>
      <c r="AL333" s="8">
        <f>SUM($E$334:$AI$334)</f>
        <v>0</v>
      </c>
      <c r="AM333" s="8">
        <f>SUM($E$335:$AI$335)</f>
        <v>0</v>
      </c>
      <c r="AN333" s="8">
        <f>AL333+AM333</f>
        <v>0</v>
      </c>
      <c r="AO333" s="8">
        <f>COUNTIF($E$333:$AI$333,"CL")</f>
        <v>0</v>
      </c>
      <c r="AP333" s="8">
        <f>COUNTIF($E$333:$AI$333,"SL")</f>
        <v>0</v>
      </c>
      <c r="AQ333" s="8">
        <f>COUNTIF($E$333:$AI$333,"EL")</f>
        <v>0</v>
      </c>
      <c r="AR333" s="8">
        <f>COUNTIF($E$333:$AI$333,"H")</f>
        <v>0</v>
      </c>
      <c r="AS333" s="8"/>
      <c r="AT333" s="11" t="s">
        <v>2090</v>
      </c>
    </row>
    <row r="334" spans="1:46" ht="15.1" customHeight="1">
      <c r="A334" s="8"/>
      <c r="B334" s="9"/>
      <c r="C334" s="8"/>
      <c r="D334" s="9"/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11" t="s">
        <v>2090</v>
      </c>
    </row>
    <row r="335" spans="1:46" ht="15.1" customHeight="1">
      <c r="A335" s="8"/>
      <c r="B335" s="9"/>
      <c r="C335" s="8"/>
      <c r="D335" s="9"/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11" t="s">
        <v>2090</v>
      </c>
    </row>
    <row r="336" spans="1:46" ht="15.1" customHeight="1">
      <c r="A336" s="8">
        <v>111</v>
      </c>
      <c r="B336" s="9" t="s">
        <v>2303</v>
      </c>
      <c r="C336" s="8" t="s">
        <v>2304</v>
      </c>
      <c r="D336" s="9" t="s">
        <v>451</v>
      </c>
      <c r="E336" s="8" t="s">
        <v>54</v>
      </c>
      <c r="F336" s="8" t="s">
        <v>54</v>
      </c>
      <c r="G336" s="10" t="s">
        <v>67</v>
      </c>
      <c r="H336" s="8" t="s">
        <v>54</v>
      </c>
      <c r="I336" s="8" t="s">
        <v>54</v>
      </c>
      <c r="J336" s="8" t="s">
        <v>54</v>
      </c>
      <c r="K336" s="8" t="s">
        <v>54</v>
      </c>
      <c r="L336" s="8" t="s">
        <v>54</v>
      </c>
      <c r="M336" s="8" t="s">
        <v>54</v>
      </c>
      <c r="N336" s="10" t="s">
        <v>67</v>
      </c>
      <c r="O336" s="8" t="s">
        <v>54</v>
      </c>
      <c r="P336" s="8" t="s">
        <v>54</v>
      </c>
      <c r="Q336" s="8" t="s">
        <v>54</v>
      </c>
      <c r="R336" s="8" t="s">
        <v>54</v>
      </c>
      <c r="S336" s="8" t="s">
        <v>54</v>
      </c>
      <c r="T336" s="8" t="s">
        <v>54</v>
      </c>
      <c r="U336" s="10" t="s">
        <v>67</v>
      </c>
      <c r="V336" s="8" t="s">
        <v>54</v>
      </c>
      <c r="W336" s="8" t="s">
        <v>54</v>
      </c>
      <c r="X336" s="8" t="s">
        <v>54</v>
      </c>
      <c r="Y336" s="8" t="s">
        <v>54</v>
      </c>
      <c r="Z336" s="8" t="s">
        <v>54</v>
      </c>
      <c r="AA336" s="8" t="s">
        <v>54</v>
      </c>
      <c r="AB336" s="10" t="s">
        <v>67</v>
      </c>
      <c r="AC336" s="8" t="s">
        <v>54</v>
      </c>
      <c r="AD336" s="8" t="s">
        <v>54</v>
      </c>
      <c r="AE336" s="8" t="s">
        <v>54</v>
      </c>
      <c r="AF336" s="8" t="s">
        <v>54</v>
      </c>
      <c r="AG336" s="8" t="s">
        <v>54</v>
      </c>
      <c r="AH336" s="8" t="s">
        <v>54</v>
      </c>
      <c r="AI336" s="10" t="s">
        <v>67</v>
      </c>
      <c r="AJ336" s="8">
        <f>COUNTIF($E$336:$AI$336,"P")</f>
        <v>26</v>
      </c>
      <c r="AK336" s="8">
        <f>COUNTIF($E$336:$AI$336,"A")</f>
        <v>0</v>
      </c>
      <c r="AL336" s="8">
        <f>SUM($E$337:$AI$337)</f>
        <v>0</v>
      </c>
      <c r="AM336" s="8">
        <f>SUM($E$338:$AI$338)</f>
        <v>0</v>
      </c>
      <c r="AN336" s="8">
        <f>AL336+AM336</f>
        <v>0</v>
      </c>
      <c r="AO336" s="8">
        <f>COUNTIF($E$336:$AI$336,"CL")</f>
        <v>0</v>
      </c>
      <c r="AP336" s="8">
        <f>COUNTIF($E$336:$AI$336,"SL")</f>
        <v>0</v>
      </c>
      <c r="AQ336" s="8">
        <f>COUNTIF($E$336:$AI$336,"EL")</f>
        <v>0</v>
      </c>
      <c r="AR336" s="8">
        <f>COUNTIF($E$336:$AI$336,"H")</f>
        <v>0</v>
      </c>
      <c r="AS336" s="8"/>
      <c r="AT336" s="11" t="s">
        <v>2090</v>
      </c>
    </row>
    <row r="337" spans="1:46" ht="15.1" customHeight="1">
      <c r="A337" s="8"/>
      <c r="B337" s="9"/>
      <c r="C337" s="8"/>
      <c r="D337" s="9"/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11" t="s">
        <v>2090</v>
      </c>
    </row>
    <row r="338" spans="1:46" ht="15.1" customHeight="1">
      <c r="A338" s="8"/>
      <c r="B338" s="9"/>
      <c r="C338" s="8"/>
      <c r="D338" s="9"/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11" t="s">
        <v>2090</v>
      </c>
    </row>
    <row r="339" spans="1:46" ht="15.1" customHeight="1">
      <c r="A339" s="8">
        <v>112</v>
      </c>
      <c r="B339" s="9" t="s">
        <v>162</v>
      </c>
      <c r="C339" s="8" t="s">
        <v>2305</v>
      </c>
      <c r="D339" s="9" t="s">
        <v>451</v>
      </c>
      <c r="E339" s="8" t="s">
        <v>54</v>
      </c>
      <c r="F339" s="8" t="s">
        <v>54</v>
      </c>
      <c r="G339" s="10" t="s">
        <v>67</v>
      </c>
      <c r="H339" s="8" t="s">
        <v>54</v>
      </c>
      <c r="I339" s="8" t="s">
        <v>54</v>
      </c>
      <c r="J339" s="8" t="s">
        <v>54</v>
      </c>
      <c r="K339" s="8" t="s">
        <v>54</v>
      </c>
      <c r="L339" s="8" t="s">
        <v>54</v>
      </c>
      <c r="M339" s="8" t="s">
        <v>54</v>
      </c>
      <c r="N339" s="10" t="s">
        <v>67</v>
      </c>
      <c r="O339" s="8" t="s">
        <v>54</v>
      </c>
      <c r="P339" s="8" t="s">
        <v>54</v>
      </c>
      <c r="Q339" s="8" t="s">
        <v>54</v>
      </c>
      <c r="R339" s="8" t="s">
        <v>54</v>
      </c>
      <c r="S339" s="8" t="s">
        <v>54</v>
      </c>
      <c r="T339" s="8" t="s">
        <v>54</v>
      </c>
      <c r="U339" s="10" t="s">
        <v>67</v>
      </c>
      <c r="V339" s="8" t="s">
        <v>54</v>
      </c>
      <c r="W339" s="8" t="s">
        <v>54</v>
      </c>
      <c r="X339" s="12" t="s">
        <v>55</v>
      </c>
      <c r="Y339" s="12" t="s">
        <v>55</v>
      </c>
      <c r="Z339" s="12" t="s">
        <v>55</v>
      </c>
      <c r="AA339" s="12" t="s">
        <v>55</v>
      </c>
      <c r="AB339" s="10" t="s">
        <v>67</v>
      </c>
      <c r="AC339" s="12" t="s">
        <v>55</v>
      </c>
      <c r="AD339" s="8" t="s">
        <v>54</v>
      </c>
      <c r="AE339" s="12" t="s">
        <v>55</v>
      </c>
      <c r="AF339" s="8" t="s">
        <v>54</v>
      </c>
      <c r="AG339" s="8" t="s">
        <v>54</v>
      </c>
      <c r="AH339" s="8" t="s">
        <v>54</v>
      </c>
      <c r="AI339" s="10" t="s">
        <v>67</v>
      </c>
      <c r="AJ339" s="8">
        <f>COUNTIF($E$339:$AI$339,"P")</f>
        <v>20</v>
      </c>
      <c r="AK339" s="8">
        <f>COUNTIF($E$339:$AI$339,"A")</f>
        <v>6</v>
      </c>
      <c r="AL339" s="8">
        <f>SUM($E$340:$AI$340)</f>
        <v>0</v>
      </c>
      <c r="AM339" s="8">
        <f>SUM($E$341:$AI$341)</f>
        <v>0</v>
      </c>
      <c r="AN339" s="8">
        <f>AL339+AM339</f>
        <v>0</v>
      </c>
      <c r="AO339" s="8">
        <f>COUNTIF($E$339:$AI$339,"CL")</f>
        <v>0</v>
      </c>
      <c r="AP339" s="8">
        <f>COUNTIF($E$339:$AI$339,"SL")</f>
        <v>0</v>
      </c>
      <c r="AQ339" s="8">
        <f>COUNTIF($E$339:$AI$339,"EL")</f>
        <v>0</v>
      </c>
      <c r="AR339" s="8">
        <f>COUNTIF($E$339:$AI$339,"H")</f>
        <v>0</v>
      </c>
      <c r="AS339" s="8"/>
      <c r="AT339" s="11" t="s">
        <v>2090</v>
      </c>
    </row>
    <row r="340" spans="1:46" ht="15.1" customHeight="1">
      <c r="A340" s="8"/>
      <c r="B340" s="9"/>
      <c r="C340" s="8"/>
      <c r="D340" s="9"/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11" t="s">
        <v>2090</v>
      </c>
    </row>
    <row r="341" spans="1:46" ht="15.1" customHeight="1">
      <c r="A341" s="8"/>
      <c r="B341" s="9"/>
      <c r="C341" s="8"/>
      <c r="D341" s="9"/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11" t="s">
        <v>2090</v>
      </c>
    </row>
    <row r="342" spans="1:46" ht="15.1" customHeight="1">
      <c r="A342" s="8">
        <v>113</v>
      </c>
      <c r="B342" s="9" t="s">
        <v>2306</v>
      </c>
      <c r="C342" s="8" t="s">
        <v>2307</v>
      </c>
      <c r="D342" s="9" t="s">
        <v>451</v>
      </c>
      <c r="E342" s="8" t="s">
        <v>54</v>
      </c>
      <c r="F342" s="8" t="s">
        <v>54</v>
      </c>
      <c r="G342" s="10" t="s">
        <v>67</v>
      </c>
      <c r="H342" s="8" t="s">
        <v>54</v>
      </c>
      <c r="I342" s="8" t="s">
        <v>54</v>
      </c>
      <c r="J342" s="8" t="s">
        <v>54</v>
      </c>
      <c r="K342" s="8" t="s">
        <v>54</v>
      </c>
      <c r="L342" s="8" t="s">
        <v>54</v>
      </c>
      <c r="M342" s="8" t="s">
        <v>54</v>
      </c>
      <c r="N342" s="10" t="s">
        <v>67</v>
      </c>
      <c r="O342" s="8" t="s">
        <v>54</v>
      </c>
      <c r="P342" s="8" t="s">
        <v>54</v>
      </c>
      <c r="Q342" s="8" t="s">
        <v>54</v>
      </c>
      <c r="R342" s="8" t="s">
        <v>54</v>
      </c>
      <c r="S342" s="8" t="s">
        <v>54</v>
      </c>
      <c r="T342" s="8" t="s">
        <v>54</v>
      </c>
      <c r="U342" s="10" t="s">
        <v>67</v>
      </c>
      <c r="V342" s="8" t="s">
        <v>54</v>
      </c>
      <c r="W342" s="8" t="s">
        <v>54</v>
      </c>
      <c r="X342" s="12" t="s">
        <v>55</v>
      </c>
      <c r="Y342" s="12" t="s">
        <v>55</v>
      </c>
      <c r="Z342" s="12" t="s">
        <v>55</v>
      </c>
      <c r="AA342" s="12" t="s">
        <v>55</v>
      </c>
      <c r="AB342" s="10" t="s">
        <v>67</v>
      </c>
      <c r="AC342" s="12" t="s">
        <v>55</v>
      </c>
      <c r="AD342" s="8" t="s">
        <v>54</v>
      </c>
      <c r="AE342" s="12" t="s">
        <v>55</v>
      </c>
      <c r="AF342" s="12" t="s">
        <v>55</v>
      </c>
      <c r="AG342" s="12" t="s">
        <v>55</v>
      </c>
      <c r="AH342" s="8" t="s">
        <v>54</v>
      </c>
      <c r="AI342" s="10" t="s">
        <v>67</v>
      </c>
      <c r="AJ342" s="8">
        <f>COUNTIF($E$342:$AI$342,"P")</f>
        <v>18</v>
      </c>
      <c r="AK342" s="8">
        <f>COUNTIF($E$342:$AI$342,"A")</f>
        <v>8</v>
      </c>
      <c r="AL342" s="8">
        <f>SUM($E$343:$AI$343)</f>
        <v>0</v>
      </c>
      <c r="AM342" s="8">
        <f>SUM($E$344:$AI$344)</f>
        <v>0</v>
      </c>
      <c r="AN342" s="8">
        <f>AL342+AM342</f>
        <v>0</v>
      </c>
      <c r="AO342" s="8">
        <f>COUNTIF($E$342:$AI$342,"CL")</f>
        <v>0</v>
      </c>
      <c r="AP342" s="8">
        <f>COUNTIF($E$342:$AI$342,"SL")</f>
        <v>0</v>
      </c>
      <c r="AQ342" s="8">
        <f>COUNTIF($E$342:$AI$342,"EL")</f>
        <v>0</v>
      </c>
      <c r="AR342" s="8">
        <f>COUNTIF($E$342:$AI$342,"H")</f>
        <v>0</v>
      </c>
      <c r="AS342" s="8"/>
      <c r="AT342" s="11" t="s">
        <v>2090</v>
      </c>
    </row>
    <row r="343" spans="1:46" ht="15.1" customHeight="1">
      <c r="A343" s="8"/>
      <c r="B343" s="9"/>
      <c r="C343" s="8"/>
      <c r="D343" s="9"/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11" t="s">
        <v>2090</v>
      </c>
    </row>
    <row r="344" spans="1:46" ht="15.1" customHeight="1">
      <c r="A344" s="8"/>
      <c r="B344" s="9"/>
      <c r="C344" s="8"/>
      <c r="D344" s="9"/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11" t="s">
        <v>2090</v>
      </c>
    </row>
    <row r="345" spans="1:46" ht="15.1" customHeight="1">
      <c r="A345" s="8">
        <v>114</v>
      </c>
      <c r="B345" s="9" t="s">
        <v>2308</v>
      </c>
      <c r="C345" s="8" t="s">
        <v>2309</v>
      </c>
      <c r="D345" s="9" t="s">
        <v>451</v>
      </c>
      <c r="E345" s="8" t="s">
        <v>54</v>
      </c>
      <c r="F345" s="8" t="s">
        <v>54</v>
      </c>
      <c r="G345" s="10" t="s">
        <v>67</v>
      </c>
      <c r="H345" s="8" t="s">
        <v>54</v>
      </c>
      <c r="I345" s="8" t="s">
        <v>54</v>
      </c>
      <c r="J345" s="8" t="s">
        <v>54</v>
      </c>
      <c r="K345" s="12" t="s">
        <v>55</v>
      </c>
      <c r="L345" s="8" t="s">
        <v>54</v>
      </c>
      <c r="M345" s="8" t="s">
        <v>54</v>
      </c>
      <c r="N345" s="10" t="s">
        <v>67</v>
      </c>
      <c r="O345" s="8" t="s">
        <v>54</v>
      </c>
      <c r="P345" s="8" t="s">
        <v>54</v>
      </c>
      <c r="Q345" s="8" t="s">
        <v>54</v>
      </c>
      <c r="R345" s="8" t="s">
        <v>54</v>
      </c>
      <c r="S345" s="12" t="s">
        <v>55</v>
      </c>
      <c r="T345" s="8" t="s">
        <v>54</v>
      </c>
      <c r="U345" s="10" t="s">
        <v>67</v>
      </c>
      <c r="V345" s="8" t="s">
        <v>54</v>
      </c>
      <c r="W345" s="8" t="s">
        <v>54</v>
      </c>
      <c r="X345" s="12" t="s">
        <v>55</v>
      </c>
      <c r="Y345" s="8" t="s">
        <v>54</v>
      </c>
      <c r="Z345" s="12" t="s">
        <v>55</v>
      </c>
      <c r="AA345" s="12" t="s">
        <v>55</v>
      </c>
      <c r="AB345" s="10" t="s">
        <v>67</v>
      </c>
      <c r="AC345" s="12" t="s">
        <v>55</v>
      </c>
      <c r="AD345" s="8" t="s">
        <v>54</v>
      </c>
      <c r="AE345" s="8" t="s">
        <v>54</v>
      </c>
      <c r="AF345" s="8" t="s">
        <v>54</v>
      </c>
      <c r="AG345" s="8" t="s">
        <v>54</v>
      </c>
      <c r="AH345" s="8" t="s">
        <v>54</v>
      </c>
      <c r="AI345" s="10" t="s">
        <v>67</v>
      </c>
      <c r="AJ345" s="8">
        <f>COUNTIF($E$345:$AI$345,"P")</f>
        <v>20</v>
      </c>
      <c r="AK345" s="8">
        <f>COUNTIF($E$345:$AI$345,"A")</f>
        <v>6</v>
      </c>
      <c r="AL345" s="8">
        <f>SUM($E$346:$AI$346)</f>
        <v>0</v>
      </c>
      <c r="AM345" s="8">
        <f>SUM($E$347:$AI$347)</f>
        <v>0</v>
      </c>
      <c r="AN345" s="8">
        <f>AL345+AM345</f>
        <v>0</v>
      </c>
      <c r="AO345" s="8">
        <f>COUNTIF($E$345:$AI$345,"CL")</f>
        <v>0</v>
      </c>
      <c r="AP345" s="8">
        <f>COUNTIF($E$345:$AI$345,"SL")</f>
        <v>0</v>
      </c>
      <c r="AQ345" s="8">
        <f>COUNTIF($E$345:$AI$345,"EL")</f>
        <v>0</v>
      </c>
      <c r="AR345" s="8">
        <f>COUNTIF($E$345:$AI$345,"H")</f>
        <v>0</v>
      </c>
      <c r="AS345" s="8"/>
      <c r="AT345" s="11" t="s">
        <v>2090</v>
      </c>
    </row>
    <row r="346" spans="1:46" ht="15.1" customHeight="1">
      <c r="A346" s="8"/>
      <c r="B346" s="9"/>
      <c r="C346" s="8"/>
      <c r="D346" s="9"/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11" t="s">
        <v>2090</v>
      </c>
    </row>
    <row r="347" spans="1:46" ht="15.1" customHeight="1">
      <c r="A347" s="8"/>
      <c r="B347" s="9"/>
      <c r="C347" s="8"/>
      <c r="D347" s="9"/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11" t="s">
        <v>2090</v>
      </c>
    </row>
    <row r="348" spans="1:46" ht="15.1" customHeight="1">
      <c r="A348" s="8">
        <v>115</v>
      </c>
      <c r="B348" s="9" t="s">
        <v>2310</v>
      </c>
      <c r="C348" s="8" t="s">
        <v>2311</v>
      </c>
      <c r="D348" s="9" t="s">
        <v>451</v>
      </c>
      <c r="E348" s="8" t="s">
        <v>54</v>
      </c>
      <c r="F348" s="8" t="s">
        <v>54</v>
      </c>
      <c r="G348" s="10" t="s">
        <v>67</v>
      </c>
      <c r="H348" s="8" t="s">
        <v>54</v>
      </c>
      <c r="I348" s="8" t="s">
        <v>54</v>
      </c>
      <c r="J348" s="8" t="s">
        <v>54</v>
      </c>
      <c r="K348" s="8" t="s">
        <v>54</v>
      </c>
      <c r="L348" s="8" t="s">
        <v>54</v>
      </c>
      <c r="M348" s="8" t="s">
        <v>54</v>
      </c>
      <c r="N348" s="10" t="s">
        <v>67</v>
      </c>
      <c r="O348" s="8" t="s">
        <v>54</v>
      </c>
      <c r="P348" s="8" t="s">
        <v>54</v>
      </c>
      <c r="Q348" s="8" t="s">
        <v>54</v>
      </c>
      <c r="R348" s="8" t="s">
        <v>54</v>
      </c>
      <c r="S348" s="8" t="s">
        <v>54</v>
      </c>
      <c r="T348" s="8" t="s">
        <v>54</v>
      </c>
      <c r="U348" s="10" t="s">
        <v>67</v>
      </c>
      <c r="V348" s="8" t="s">
        <v>54</v>
      </c>
      <c r="W348" s="8" t="s">
        <v>54</v>
      </c>
      <c r="X348" s="8" t="s">
        <v>54</v>
      </c>
      <c r="Y348" s="8" t="s">
        <v>54</v>
      </c>
      <c r="Z348" s="8" t="s">
        <v>54</v>
      </c>
      <c r="AA348" s="8" t="s">
        <v>54</v>
      </c>
      <c r="AB348" s="10" t="s">
        <v>67</v>
      </c>
      <c r="AC348" s="12" t="s">
        <v>55</v>
      </c>
      <c r="AD348" s="8" t="s">
        <v>54</v>
      </c>
      <c r="AE348" s="8" t="s">
        <v>54</v>
      </c>
      <c r="AF348" s="8" t="s">
        <v>54</v>
      </c>
      <c r="AG348" s="8" t="s">
        <v>54</v>
      </c>
      <c r="AH348" s="8" t="s">
        <v>54</v>
      </c>
      <c r="AI348" s="10" t="s">
        <v>67</v>
      </c>
      <c r="AJ348" s="8">
        <f>COUNTIF($E$348:$AI$348,"P")</f>
        <v>25</v>
      </c>
      <c r="AK348" s="8">
        <f>COUNTIF($E$348:$AI$348,"A")</f>
        <v>1</v>
      </c>
      <c r="AL348" s="8">
        <f>SUM($E$349:$AI$349)</f>
        <v>0</v>
      </c>
      <c r="AM348" s="8">
        <f>SUM($E$350:$AI$350)</f>
        <v>0</v>
      </c>
      <c r="AN348" s="8">
        <f>AL348+AM348</f>
        <v>0</v>
      </c>
      <c r="AO348" s="8">
        <f>COUNTIF($E$348:$AI$348,"CL")</f>
        <v>0</v>
      </c>
      <c r="AP348" s="8">
        <f>COUNTIF($E$348:$AI$348,"SL")</f>
        <v>0</v>
      </c>
      <c r="AQ348" s="8">
        <f>COUNTIF($E$348:$AI$348,"EL")</f>
        <v>0</v>
      </c>
      <c r="AR348" s="8">
        <f>COUNTIF($E$348:$AI$348,"H")</f>
        <v>0</v>
      </c>
      <c r="AS348" s="8"/>
      <c r="AT348" s="11" t="s">
        <v>2090</v>
      </c>
    </row>
    <row r="349" spans="1:46" ht="15.1" customHeight="1">
      <c r="A349" s="8"/>
      <c r="B349" s="9"/>
      <c r="C349" s="8"/>
      <c r="D349" s="9"/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11" t="s">
        <v>2090</v>
      </c>
    </row>
    <row r="350" spans="1:46" ht="15.1" customHeight="1">
      <c r="A350" s="8"/>
      <c r="B350" s="9"/>
      <c r="C350" s="8"/>
      <c r="D350" s="9"/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11" t="s">
        <v>2090</v>
      </c>
    </row>
    <row r="351" spans="1:46" ht="15.1" customHeight="1">
      <c r="A351" s="8">
        <v>116</v>
      </c>
      <c r="B351" s="9" t="s">
        <v>2312</v>
      </c>
      <c r="C351" s="8" t="s">
        <v>2313</v>
      </c>
      <c r="D351" s="9" t="s">
        <v>451</v>
      </c>
      <c r="E351" s="12" t="s">
        <v>55</v>
      </c>
      <c r="F351" s="8" t="s">
        <v>54</v>
      </c>
      <c r="G351" s="10" t="s">
        <v>67</v>
      </c>
      <c r="H351" s="8" t="s">
        <v>54</v>
      </c>
      <c r="I351" s="12" t="s">
        <v>55</v>
      </c>
      <c r="J351" s="12" t="s">
        <v>55</v>
      </c>
      <c r="K351" s="12" t="s">
        <v>55</v>
      </c>
      <c r="L351" s="12" t="s">
        <v>55</v>
      </c>
      <c r="M351" s="8" t="s">
        <v>54</v>
      </c>
      <c r="N351" s="10" t="s">
        <v>67</v>
      </c>
      <c r="O351" s="8" t="s">
        <v>54</v>
      </c>
      <c r="P351" s="8" t="s">
        <v>54</v>
      </c>
      <c r="Q351" s="8" t="s">
        <v>54</v>
      </c>
      <c r="R351" s="8" t="s">
        <v>54</v>
      </c>
      <c r="S351" s="8" t="s">
        <v>54</v>
      </c>
      <c r="T351" s="8" t="s">
        <v>54</v>
      </c>
      <c r="U351" s="10" t="s">
        <v>67</v>
      </c>
      <c r="V351" s="8" t="s">
        <v>54</v>
      </c>
      <c r="W351" s="8" t="s">
        <v>54</v>
      </c>
      <c r="X351" s="12" t="s">
        <v>55</v>
      </c>
      <c r="Y351" s="8" t="s">
        <v>54</v>
      </c>
      <c r="Z351" s="8" t="s">
        <v>54</v>
      </c>
      <c r="AA351" s="8" t="s">
        <v>54</v>
      </c>
      <c r="AB351" s="10" t="s">
        <v>67</v>
      </c>
      <c r="AC351" s="8" t="s">
        <v>54</v>
      </c>
      <c r="AD351" s="8" t="s">
        <v>54</v>
      </c>
      <c r="AE351" s="8" t="s">
        <v>54</v>
      </c>
      <c r="AF351" s="8" t="s">
        <v>54</v>
      </c>
      <c r="AG351" s="8" t="s">
        <v>54</v>
      </c>
      <c r="AH351" s="8" t="s">
        <v>54</v>
      </c>
      <c r="AI351" s="10" t="s">
        <v>67</v>
      </c>
      <c r="AJ351" s="8">
        <f>COUNTIF($E$351:$AI$351,"P")</f>
        <v>20</v>
      </c>
      <c r="AK351" s="8">
        <f>COUNTIF($E$351:$AI$351,"A")</f>
        <v>6</v>
      </c>
      <c r="AL351" s="8">
        <f>SUM($E$352:$AI$352)</f>
        <v>0</v>
      </c>
      <c r="AM351" s="8">
        <f>SUM($E$353:$AI$353)</f>
        <v>0</v>
      </c>
      <c r="AN351" s="8">
        <f>AL351+AM351</f>
        <v>0</v>
      </c>
      <c r="AO351" s="8">
        <f>COUNTIF($E$351:$AI$351,"CL")</f>
        <v>0</v>
      </c>
      <c r="AP351" s="8">
        <f>COUNTIF($E$351:$AI$351,"SL")</f>
        <v>0</v>
      </c>
      <c r="AQ351" s="8">
        <f>COUNTIF($E$351:$AI$351,"EL")</f>
        <v>0</v>
      </c>
      <c r="AR351" s="8">
        <f>COUNTIF($E$351:$AI$351,"H")</f>
        <v>0</v>
      </c>
      <c r="AS351" s="8"/>
      <c r="AT351" s="11" t="s">
        <v>2090</v>
      </c>
    </row>
    <row r="352" spans="1:46" ht="15.1" customHeight="1">
      <c r="A352" s="8"/>
      <c r="B352" s="9"/>
      <c r="C352" s="8"/>
      <c r="D352" s="9"/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11" t="s">
        <v>2090</v>
      </c>
    </row>
    <row r="353" spans="1:46" ht="15.1" customHeight="1">
      <c r="A353" s="8"/>
      <c r="B353" s="9"/>
      <c r="C353" s="8"/>
      <c r="D353" s="9"/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11" t="s">
        <v>2090</v>
      </c>
    </row>
    <row r="354" spans="1:46" ht="15.1" customHeight="1">
      <c r="A354" s="8">
        <v>117</v>
      </c>
      <c r="B354" s="9" t="s">
        <v>2314</v>
      </c>
      <c r="C354" s="8" t="s">
        <v>2315</v>
      </c>
      <c r="D354" s="9" t="s">
        <v>451</v>
      </c>
      <c r="E354" s="8" t="s">
        <v>54</v>
      </c>
      <c r="F354" s="8" t="s">
        <v>54</v>
      </c>
      <c r="G354" s="10" t="s">
        <v>67</v>
      </c>
      <c r="H354" s="8" t="s">
        <v>54</v>
      </c>
      <c r="I354" s="8" t="s">
        <v>54</v>
      </c>
      <c r="J354" s="8" t="s">
        <v>54</v>
      </c>
      <c r="K354" s="8" t="s">
        <v>54</v>
      </c>
      <c r="L354" s="8" t="s">
        <v>54</v>
      </c>
      <c r="M354" s="8" t="s">
        <v>54</v>
      </c>
      <c r="N354" s="10" t="s">
        <v>67</v>
      </c>
      <c r="O354" s="8" t="s">
        <v>54</v>
      </c>
      <c r="P354" s="8" t="s">
        <v>54</v>
      </c>
      <c r="Q354" s="8" t="s">
        <v>54</v>
      </c>
      <c r="R354" s="8" t="s">
        <v>54</v>
      </c>
      <c r="S354" s="8" t="s">
        <v>54</v>
      </c>
      <c r="T354" s="8" t="s">
        <v>54</v>
      </c>
      <c r="U354" s="10" t="s">
        <v>67</v>
      </c>
      <c r="V354" s="8" t="s">
        <v>54</v>
      </c>
      <c r="W354" s="8" t="s">
        <v>54</v>
      </c>
      <c r="X354" s="8" t="s">
        <v>54</v>
      </c>
      <c r="Y354" s="8" t="s">
        <v>54</v>
      </c>
      <c r="Z354" s="8" t="s">
        <v>54</v>
      </c>
      <c r="AA354" s="8" t="s">
        <v>54</v>
      </c>
      <c r="AB354" s="10" t="s">
        <v>67</v>
      </c>
      <c r="AC354" s="8" t="s">
        <v>54</v>
      </c>
      <c r="AD354" s="8" t="s">
        <v>54</v>
      </c>
      <c r="AE354" s="8" t="s">
        <v>54</v>
      </c>
      <c r="AF354" s="8" t="s">
        <v>54</v>
      </c>
      <c r="AG354" s="8" t="s">
        <v>54</v>
      </c>
      <c r="AH354" s="8" t="s">
        <v>54</v>
      </c>
      <c r="AI354" s="10" t="s">
        <v>67</v>
      </c>
      <c r="AJ354" s="8">
        <f>COUNTIF($E$354:$AI$354,"P")</f>
        <v>26</v>
      </c>
      <c r="AK354" s="8">
        <f>COUNTIF($E$354:$AI$354,"A")</f>
        <v>0</v>
      </c>
      <c r="AL354" s="8">
        <f>SUM($E$355:$AI$355)</f>
        <v>0</v>
      </c>
      <c r="AM354" s="8">
        <f>SUM($E$356:$AI$356)</f>
        <v>0</v>
      </c>
      <c r="AN354" s="8">
        <f>AL354+AM354</f>
        <v>0</v>
      </c>
      <c r="AO354" s="8">
        <f>COUNTIF($E$354:$AI$354,"CL")</f>
        <v>0</v>
      </c>
      <c r="AP354" s="8">
        <f>COUNTIF($E$354:$AI$354,"SL")</f>
        <v>0</v>
      </c>
      <c r="AQ354" s="8">
        <f>COUNTIF($E$354:$AI$354,"EL")</f>
        <v>0</v>
      </c>
      <c r="AR354" s="8">
        <f>COUNTIF($E$354:$AI$354,"H")</f>
        <v>0</v>
      </c>
      <c r="AS354" s="8"/>
      <c r="AT354" s="11" t="s">
        <v>2090</v>
      </c>
    </row>
    <row r="355" spans="1:46" ht="15.1" customHeight="1">
      <c r="A355" s="8"/>
      <c r="B355" s="9"/>
      <c r="C355" s="8"/>
      <c r="D355" s="9"/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11" t="s">
        <v>2090</v>
      </c>
    </row>
    <row r="356" spans="1:46" ht="15.1" customHeight="1">
      <c r="A356" s="8"/>
      <c r="B356" s="9"/>
      <c r="C356" s="8"/>
      <c r="D356" s="9"/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11" t="s">
        <v>2090</v>
      </c>
    </row>
    <row r="357" spans="1:46" ht="15.1" customHeight="1">
      <c r="A357" s="8">
        <v>118</v>
      </c>
      <c r="B357" s="9" t="s">
        <v>2316</v>
      </c>
      <c r="C357" s="8" t="s">
        <v>2317</v>
      </c>
      <c r="D357" s="9" t="s">
        <v>451</v>
      </c>
      <c r="E357" s="8" t="s">
        <v>54</v>
      </c>
      <c r="F357" s="8" t="s">
        <v>54</v>
      </c>
      <c r="G357" s="10" t="s">
        <v>67</v>
      </c>
      <c r="H357" s="8" t="s">
        <v>54</v>
      </c>
      <c r="I357" s="8" t="s">
        <v>54</v>
      </c>
      <c r="J357" s="12" t="s">
        <v>55</v>
      </c>
      <c r="K357" s="12" t="s">
        <v>55</v>
      </c>
      <c r="L357" s="12" t="s">
        <v>55</v>
      </c>
      <c r="M357" s="12" t="s">
        <v>55</v>
      </c>
      <c r="N357" s="10" t="s">
        <v>67</v>
      </c>
      <c r="O357" s="8" t="s">
        <v>54</v>
      </c>
      <c r="P357" s="8" t="s">
        <v>54</v>
      </c>
      <c r="Q357" s="8" t="s">
        <v>54</v>
      </c>
      <c r="R357" s="8" t="s">
        <v>54</v>
      </c>
      <c r="S357" s="8" t="s">
        <v>54</v>
      </c>
      <c r="T357" s="8" t="s">
        <v>54</v>
      </c>
      <c r="U357" s="10" t="s">
        <v>67</v>
      </c>
      <c r="V357" s="8" t="s">
        <v>54</v>
      </c>
      <c r="W357" s="8" t="s">
        <v>54</v>
      </c>
      <c r="X357" s="12" t="s">
        <v>55</v>
      </c>
      <c r="Y357" s="8" t="s">
        <v>54</v>
      </c>
      <c r="Z357" s="8" t="s">
        <v>54</v>
      </c>
      <c r="AA357" s="8" t="s">
        <v>54</v>
      </c>
      <c r="AB357" s="10" t="s">
        <v>67</v>
      </c>
      <c r="AC357" s="8" t="s">
        <v>54</v>
      </c>
      <c r="AD357" s="8" t="s">
        <v>54</v>
      </c>
      <c r="AE357" s="8" t="s">
        <v>54</v>
      </c>
      <c r="AF357" s="8" t="s">
        <v>54</v>
      </c>
      <c r="AG357" s="8" t="s">
        <v>54</v>
      </c>
      <c r="AH357" s="8" t="s">
        <v>54</v>
      </c>
      <c r="AI357" s="10" t="s">
        <v>67</v>
      </c>
      <c r="AJ357" s="8">
        <f>COUNTIF($E$357:$AI$357,"P")</f>
        <v>21</v>
      </c>
      <c r="AK357" s="8">
        <f>COUNTIF($E$357:$AI$357,"A")</f>
        <v>5</v>
      </c>
      <c r="AL357" s="8">
        <f>SUM($E$358:$AI$358)</f>
        <v>0</v>
      </c>
      <c r="AM357" s="8">
        <f>SUM($E$359:$AI$359)</f>
        <v>0</v>
      </c>
      <c r="AN357" s="8">
        <f>AL357+AM357</f>
        <v>0</v>
      </c>
      <c r="AO357" s="8">
        <f>COUNTIF($E$357:$AI$357,"CL")</f>
        <v>0</v>
      </c>
      <c r="AP357" s="8">
        <f>COUNTIF($E$357:$AI$357,"SL")</f>
        <v>0</v>
      </c>
      <c r="AQ357" s="8">
        <f>COUNTIF($E$357:$AI$357,"EL")</f>
        <v>0</v>
      </c>
      <c r="AR357" s="8">
        <f>COUNTIF($E$357:$AI$357,"H")</f>
        <v>0</v>
      </c>
      <c r="AS357" s="8"/>
      <c r="AT357" s="11" t="s">
        <v>2090</v>
      </c>
    </row>
    <row r="358" spans="1:46" ht="15.1" customHeight="1">
      <c r="A358" s="8"/>
      <c r="B358" s="9"/>
      <c r="C358" s="8"/>
      <c r="D358" s="9"/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11" t="s">
        <v>2090</v>
      </c>
    </row>
    <row r="359" spans="1:46" ht="15.1" customHeight="1">
      <c r="A359" s="8"/>
      <c r="B359" s="9"/>
      <c r="C359" s="8"/>
      <c r="D359" s="9"/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11" t="s">
        <v>2090</v>
      </c>
    </row>
    <row r="360" spans="1:46" ht="15.1" customHeight="1">
      <c r="A360" s="8">
        <v>119</v>
      </c>
      <c r="B360" s="9" t="s">
        <v>2318</v>
      </c>
      <c r="C360" s="8" t="s">
        <v>2319</v>
      </c>
      <c r="D360" s="9" t="s">
        <v>451</v>
      </c>
      <c r="E360" s="8" t="s">
        <v>54</v>
      </c>
      <c r="F360" s="8" t="s">
        <v>54</v>
      </c>
      <c r="G360" s="10" t="s">
        <v>67</v>
      </c>
      <c r="H360" s="8" t="s">
        <v>54</v>
      </c>
      <c r="I360" s="8" t="s">
        <v>54</v>
      </c>
      <c r="J360" s="8" t="s">
        <v>54</v>
      </c>
      <c r="K360" s="8" t="s">
        <v>54</v>
      </c>
      <c r="L360" s="8" t="s">
        <v>54</v>
      </c>
      <c r="M360" s="8" t="s">
        <v>54</v>
      </c>
      <c r="N360" s="10" t="s">
        <v>67</v>
      </c>
      <c r="O360" s="8" t="s">
        <v>54</v>
      </c>
      <c r="P360" s="8" t="s">
        <v>54</v>
      </c>
      <c r="Q360" s="8" t="s">
        <v>54</v>
      </c>
      <c r="R360" s="8" t="s">
        <v>54</v>
      </c>
      <c r="S360" s="8" t="s">
        <v>54</v>
      </c>
      <c r="T360" s="8" t="s">
        <v>54</v>
      </c>
      <c r="U360" s="10" t="s">
        <v>67</v>
      </c>
      <c r="V360" s="8" t="s">
        <v>54</v>
      </c>
      <c r="W360" s="8" t="s">
        <v>54</v>
      </c>
      <c r="X360" s="8" t="s">
        <v>54</v>
      </c>
      <c r="Y360" s="8" t="s">
        <v>54</v>
      </c>
      <c r="Z360" s="8" t="s">
        <v>54</v>
      </c>
      <c r="AA360" s="8" t="s">
        <v>54</v>
      </c>
      <c r="AB360" s="10" t="s">
        <v>67</v>
      </c>
      <c r="AC360" s="8" t="s">
        <v>54</v>
      </c>
      <c r="AD360" s="8" t="s">
        <v>54</v>
      </c>
      <c r="AE360" s="8" t="s">
        <v>54</v>
      </c>
      <c r="AF360" s="8" t="s">
        <v>54</v>
      </c>
      <c r="AG360" s="8" t="s">
        <v>54</v>
      </c>
      <c r="AH360" s="8" t="s">
        <v>54</v>
      </c>
      <c r="AI360" s="10" t="s">
        <v>67</v>
      </c>
      <c r="AJ360" s="8">
        <f>COUNTIF($E$360:$AI$360,"P")</f>
        <v>26</v>
      </c>
      <c r="AK360" s="8">
        <f>COUNTIF($E$360:$AI$360,"A")</f>
        <v>0</v>
      </c>
      <c r="AL360" s="8">
        <f>SUM($E$361:$AI$361)</f>
        <v>0</v>
      </c>
      <c r="AM360" s="8">
        <f>SUM($E$362:$AI$362)</f>
        <v>0</v>
      </c>
      <c r="AN360" s="8">
        <f>AL360+AM360</f>
        <v>0</v>
      </c>
      <c r="AO360" s="8">
        <f>COUNTIF($E$360:$AI$360,"CL")</f>
        <v>0</v>
      </c>
      <c r="AP360" s="8">
        <f>COUNTIF($E$360:$AI$360,"SL")</f>
        <v>0</v>
      </c>
      <c r="AQ360" s="8">
        <f>COUNTIF($E$360:$AI$360,"EL")</f>
        <v>0</v>
      </c>
      <c r="AR360" s="8">
        <f>COUNTIF($E$360:$AI$360,"H")</f>
        <v>0</v>
      </c>
      <c r="AS360" s="8"/>
      <c r="AT360" s="11" t="s">
        <v>2090</v>
      </c>
    </row>
    <row r="361" spans="1:46" ht="15.1" customHeight="1">
      <c r="A361" s="8"/>
      <c r="B361" s="9"/>
      <c r="C361" s="8"/>
      <c r="D361" s="9"/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11" t="s">
        <v>2090</v>
      </c>
    </row>
    <row r="362" spans="1:46" ht="15.1" customHeight="1">
      <c r="A362" s="8"/>
      <c r="B362" s="9"/>
      <c r="C362" s="8"/>
      <c r="D362" s="9"/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11" t="s">
        <v>2090</v>
      </c>
    </row>
    <row r="363" spans="1:46" ht="15.1" customHeight="1">
      <c r="A363" s="8">
        <v>120</v>
      </c>
      <c r="B363" s="9" t="s">
        <v>2320</v>
      </c>
      <c r="C363" s="8" t="s">
        <v>2321</v>
      </c>
      <c r="D363" s="9" t="s">
        <v>451</v>
      </c>
      <c r="E363" s="8" t="s">
        <v>54</v>
      </c>
      <c r="F363" s="8" t="s">
        <v>54</v>
      </c>
      <c r="G363" s="10" t="s">
        <v>67</v>
      </c>
      <c r="H363" s="8" t="s">
        <v>54</v>
      </c>
      <c r="I363" s="8" t="s">
        <v>54</v>
      </c>
      <c r="J363" s="8" t="s">
        <v>54</v>
      </c>
      <c r="K363" s="8" t="s">
        <v>54</v>
      </c>
      <c r="L363" s="8" t="s">
        <v>54</v>
      </c>
      <c r="M363" s="8" t="s">
        <v>54</v>
      </c>
      <c r="N363" s="10" t="s">
        <v>67</v>
      </c>
      <c r="O363" s="8" t="s">
        <v>54</v>
      </c>
      <c r="P363" s="8" t="s">
        <v>54</v>
      </c>
      <c r="Q363" s="8" t="s">
        <v>54</v>
      </c>
      <c r="R363" s="8" t="s">
        <v>54</v>
      </c>
      <c r="S363" s="8" t="s">
        <v>54</v>
      </c>
      <c r="T363" s="8" t="s">
        <v>54</v>
      </c>
      <c r="U363" s="10" t="s">
        <v>67</v>
      </c>
      <c r="V363" s="8" t="s">
        <v>54</v>
      </c>
      <c r="W363" s="8" t="s">
        <v>54</v>
      </c>
      <c r="X363" s="8" t="s">
        <v>54</v>
      </c>
      <c r="Y363" s="8" t="s">
        <v>54</v>
      </c>
      <c r="Z363" s="8" t="s">
        <v>54</v>
      </c>
      <c r="AA363" s="8" t="s">
        <v>54</v>
      </c>
      <c r="AB363" s="10" t="s">
        <v>67</v>
      </c>
      <c r="AC363" s="8" t="s">
        <v>54</v>
      </c>
      <c r="AD363" s="8" t="s">
        <v>54</v>
      </c>
      <c r="AE363" s="8" t="s">
        <v>54</v>
      </c>
      <c r="AF363" s="8" t="s">
        <v>54</v>
      </c>
      <c r="AG363" s="8" t="s">
        <v>54</v>
      </c>
      <c r="AH363" s="8" t="s">
        <v>54</v>
      </c>
      <c r="AI363" s="10" t="s">
        <v>67</v>
      </c>
      <c r="AJ363" s="8">
        <f>COUNTIF($E$363:$AI$363,"P")</f>
        <v>26</v>
      </c>
      <c r="AK363" s="8">
        <f>COUNTIF($E$363:$AI$363,"A")</f>
        <v>0</v>
      </c>
      <c r="AL363" s="8">
        <f>SUM($E$364:$AI$364)</f>
        <v>0</v>
      </c>
      <c r="AM363" s="8">
        <f>SUM($E$365:$AI$365)</f>
        <v>0</v>
      </c>
      <c r="AN363" s="8">
        <f>AL363+AM363</f>
        <v>0</v>
      </c>
      <c r="AO363" s="8">
        <f>COUNTIF($E$363:$AI$363,"CL")</f>
        <v>0</v>
      </c>
      <c r="AP363" s="8">
        <f>COUNTIF($E$363:$AI$363,"SL")</f>
        <v>0</v>
      </c>
      <c r="AQ363" s="8">
        <f>COUNTIF($E$363:$AI$363,"EL")</f>
        <v>0</v>
      </c>
      <c r="AR363" s="8">
        <f>COUNTIF($E$363:$AI$363,"H")</f>
        <v>0</v>
      </c>
      <c r="AS363" s="8"/>
      <c r="AT363" s="11" t="s">
        <v>2090</v>
      </c>
    </row>
    <row r="364" spans="1:46" ht="15.1" customHeight="1">
      <c r="A364" s="8"/>
      <c r="B364" s="9"/>
      <c r="C364" s="8"/>
      <c r="D364" s="9"/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11" t="s">
        <v>2090</v>
      </c>
    </row>
    <row r="365" spans="1:46" ht="15.1" customHeight="1">
      <c r="A365" s="8"/>
      <c r="B365" s="9"/>
      <c r="C365" s="8"/>
      <c r="D365" s="9"/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11" t="s">
        <v>2090</v>
      </c>
    </row>
    <row r="366" spans="1:46" ht="15.1" customHeight="1">
      <c r="A366" s="8">
        <v>121</v>
      </c>
      <c r="B366" s="9" t="s">
        <v>2322</v>
      </c>
      <c r="C366" s="8" t="s">
        <v>2323</v>
      </c>
      <c r="D366" s="9" t="s">
        <v>451</v>
      </c>
      <c r="E366" s="8" t="s">
        <v>54</v>
      </c>
      <c r="F366" s="8" t="s">
        <v>54</v>
      </c>
      <c r="G366" s="10" t="s">
        <v>67</v>
      </c>
      <c r="H366" s="12" t="s">
        <v>55</v>
      </c>
      <c r="I366" s="8" t="s">
        <v>54</v>
      </c>
      <c r="J366" s="8" t="s">
        <v>54</v>
      </c>
      <c r="K366" s="8" t="s">
        <v>54</v>
      </c>
      <c r="L366" s="8" t="s">
        <v>54</v>
      </c>
      <c r="M366" s="8" t="s">
        <v>54</v>
      </c>
      <c r="N366" s="10" t="s">
        <v>67</v>
      </c>
      <c r="O366" s="8" t="s">
        <v>54</v>
      </c>
      <c r="P366" s="8" t="s">
        <v>54</v>
      </c>
      <c r="Q366" s="8" t="s">
        <v>54</v>
      </c>
      <c r="R366" s="8" t="s">
        <v>54</v>
      </c>
      <c r="S366" s="8" t="s">
        <v>54</v>
      </c>
      <c r="T366" s="8" t="s">
        <v>54</v>
      </c>
      <c r="U366" s="10" t="s">
        <v>67</v>
      </c>
      <c r="V366" s="8" t="s">
        <v>54</v>
      </c>
      <c r="W366" s="8" t="s">
        <v>54</v>
      </c>
      <c r="X366" s="12" t="s">
        <v>55</v>
      </c>
      <c r="Y366" s="8" t="s">
        <v>54</v>
      </c>
      <c r="Z366" s="8" t="s">
        <v>54</v>
      </c>
      <c r="AA366" s="8" t="s">
        <v>54</v>
      </c>
      <c r="AB366" s="10" t="s">
        <v>67</v>
      </c>
      <c r="AC366" s="8" t="s">
        <v>54</v>
      </c>
      <c r="AD366" s="8" t="s">
        <v>54</v>
      </c>
      <c r="AE366" s="8" t="s">
        <v>54</v>
      </c>
      <c r="AF366" s="8" t="s">
        <v>54</v>
      </c>
      <c r="AG366" s="8" t="s">
        <v>54</v>
      </c>
      <c r="AH366" s="12" t="s">
        <v>55</v>
      </c>
      <c r="AI366" s="10" t="s">
        <v>67</v>
      </c>
      <c r="AJ366" s="8">
        <f>COUNTIF($E$366:$AI$366,"P")</f>
        <v>23</v>
      </c>
      <c r="AK366" s="8">
        <f>COUNTIF($E$366:$AI$366,"A")</f>
        <v>3</v>
      </c>
      <c r="AL366" s="8">
        <f>SUM($E$367:$AI$367)</f>
        <v>0</v>
      </c>
      <c r="AM366" s="8">
        <f>SUM($E$368:$AI$368)</f>
        <v>0</v>
      </c>
      <c r="AN366" s="8">
        <f>AL366+AM366</f>
        <v>0</v>
      </c>
      <c r="AO366" s="8">
        <f>COUNTIF($E$366:$AI$366,"CL")</f>
        <v>0</v>
      </c>
      <c r="AP366" s="8">
        <f>COUNTIF($E$366:$AI$366,"SL")</f>
        <v>0</v>
      </c>
      <c r="AQ366" s="8">
        <f>COUNTIF($E$366:$AI$366,"EL")</f>
        <v>0</v>
      </c>
      <c r="AR366" s="8">
        <f>COUNTIF($E$366:$AI$366,"H")</f>
        <v>0</v>
      </c>
      <c r="AS366" s="8"/>
      <c r="AT366" s="11" t="s">
        <v>2090</v>
      </c>
    </row>
    <row r="367" spans="1:46" ht="15.1" customHeight="1">
      <c r="A367" s="8"/>
      <c r="B367" s="9"/>
      <c r="C367" s="8"/>
      <c r="D367" s="9"/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11" t="s">
        <v>2090</v>
      </c>
    </row>
    <row r="368" spans="1:46" ht="15.1" customHeight="1">
      <c r="A368" s="8"/>
      <c r="B368" s="9"/>
      <c r="C368" s="8"/>
      <c r="D368" s="9"/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11" t="s">
        <v>2090</v>
      </c>
    </row>
    <row r="369" spans="1:46" ht="15.1" customHeight="1">
      <c r="A369" s="8">
        <v>122</v>
      </c>
      <c r="B369" s="9" t="s">
        <v>1373</v>
      </c>
      <c r="C369" s="8" t="s">
        <v>2324</v>
      </c>
      <c r="D369" s="9" t="s">
        <v>451</v>
      </c>
      <c r="E369" s="8" t="s">
        <v>54</v>
      </c>
      <c r="F369" s="8" t="s">
        <v>54</v>
      </c>
      <c r="G369" s="10" t="s">
        <v>67</v>
      </c>
      <c r="H369" s="8" t="s">
        <v>54</v>
      </c>
      <c r="I369" s="12" t="s">
        <v>55</v>
      </c>
      <c r="J369" s="12" t="s">
        <v>55</v>
      </c>
      <c r="K369" s="12" t="s">
        <v>55</v>
      </c>
      <c r="L369" s="8" t="s">
        <v>54</v>
      </c>
      <c r="M369" s="8" t="s">
        <v>54</v>
      </c>
      <c r="N369" s="10" t="s">
        <v>67</v>
      </c>
      <c r="O369" s="8" t="s">
        <v>54</v>
      </c>
      <c r="P369" s="8" t="s">
        <v>54</v>
      </c>
      <c r="Q369" s="8" t="s">
        <v>54</v>
      </c>
      <c r="R369" s="8" t="s">
        <v>54</v>
      </c>
      <c r="S369" s="8" t="s">
        <v>54</v>
      </c>
      <c r="T369" s="8" t="s">
        <v>54</v>
      </c>
      <c r="U369" s="10" t="s">
        <v>67</v>
      </c>
      <c r="V369" s="8" t="s">
        <v>54</v>
      </c>
      <c r="W369" s="8" t="s">
        <v>54</v>
      </c>
      <c r="X369" s="12" t="s">
        <v>55</v>
      </c>
      <c r="Y369" s="8" t="s">
        <v>54</v>
      </c>
      <c r="Z369" s="8" t="s">
        <v>54</v>
      </c>
      <c r="AA369" s="8" t="s">
        <v>54</v>
      </c>
      <c r="AB369" s="10" t="s">
        <v>67</v>
      </c>
      <c r="AC369" s="8" t="s">
        <v>54</v>
      </c>
      <c r="AD369" s="8" t="s">
        <v>54</v>
      </c>
      <c r="AE369" s="8" t="s">
        <v>54</v>
      </c>
      <c r="AF369" s="8" t="s">
        <v>54</v>
      </c>
      <c r="AG369" s="8" t="s">
        <v>54</v>
      </c>
      <c r="AH369" s="8" t="s">
        <v>54</v>
      </c>
      <c r="AI369" s="10" t="s">
        <v>67</v>
      </c>
      <c r="AJ369" s="8">
        <f>COUNTIF($E$369:$AI$369,"P")</f>
        <v>22</v>
      </c>
      <c r="AK369" s="8">
        <f>COUNTIF($E$369:$AI$369,"A")</f>
        <v>4</v>
      </c>
      <c r="AL369" s="8">
        <f>SUM($E$370:$AI$370)</f>
        <v>0</v>
      </c>
      <c r="AM369" s="8">
        <f>SUM($E$371:$AI$371)</f>
        <v>0</v>
      </c>
      <c r="AN369" s="8">
        <f>AL369+AM369</f>
        <v>0</v>
      </c>
      <c r="AO369" s="8">
        <f>COUNTIF($E$369:$AI$369,"CL")</f>
        <v>0</v>
      </c>
      <c r="AP369" s="8">
        <f>COUNTIF($E$369:$AI$369,"SL")</f>
        <v>0</v>
      </c>
      <c r="AQ369" s="8">
        <f>COUNTIF($E$369:$AI$369,"EL")</f>
        <v>0</v>
      </c>
      <c r="AR369" s="8">
        <f>COUNTIF($E$369:$AI$369,"H")</f>
        <v>0</v>
      </c>
      <c r="AS369" s="8"/>
      <c r="AT369" s="11" t="s">
        <v>2090</v>
      </c>
    </row>
    <row r="370" spans="1:46" ht="15.1" customHeight="1">
      <c r="A370" s="8"/>
      <c r="B370" s="9"/>
      <c r="C370" s="8"/>
      <c r="D370" s="9"/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11" t="s">
        <v>2090</v>
      </c>
    </row>
    <row r="371" spans="1:46" ht="15.1" customHeight="1">
      <c r="A371" s="8"/>
      <c r="B371" s="9"/>
      <c r="C371" s="8"/>
      <c r="D371" s="9"/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11" t="s">
        <v>2090</v>
      </c>
    </row>
    <row r="372" spans="1:46" ht="15.1" customHeight="1">
      <c r="A372" s="8">
        <v>123</v>
      </c>
      <c r="B372" s="9" t="s">
        <v>2325</v>
      </c>
      <c r="C372" s="8" t="s">
        <v>2326</v>
      </c>
      <c r="D372" s="9" t="s">
        <v>451</v>
      </c>
      <c r="E372" s="8" t="s">
        <v>54</v>
      </c>
      <c r="F372" s="8" t="s">
        <v>54</v>
      </c>
      <c r="G372" s="10" t="s">
        <v>67</v>
      </c>
      <c r="H372" s="8" t="s">
        <v>54</v>
      </c>
      <c r="I372" s="8" t="s">
        <v>54</v>
      </c>
      <c r="J372" s="8" t="s">
        <v>54</v>
      </c>
      <c r="K372" s="8" t="s">
        <v>54</v>
      </c>
      <c r="L372" s="8" t="s">
        <v>54</v>
      </c>
      <c r="M372" s="8" t="s">
        <v>54</v>
      </c>
      <c r="N372" s="10" t="s">
        <v>67</v>
      </c>
      <c r="O372" s="8" t="s">
        <v>54</v>
      </c>
      <c r="P372" s="8" t="s">
        <v>54</v>
      </c>
      <c r="Q372" s="8" t="s">
        <v>54</v>
      </c>
      <c r="R372" s="8" t="s">
        <v>54</v>
      </c>
      <c r="S372" s="8" t="s">
        <v>54</v>
      </c>
      <c r="T372" s="8" t="s">
        <v>54</v>
      </c>
      <c r="U372" s="10" t="s">
        <v>67</v>
      </c>
      <c r="V372" s="12" t="s">
        <v>55</v>
      </c>
      <c r="W372" s="12" t="s">
        <v>55</v>
      </c>
      <c r="X372" s="12" t="s">
        <v>55</v>
      </c>
      <c r="Y372" s="12" t="s">
        <v>55</v>
      </c>
      <c r="Z372" s="8" t="s">
        <v>54</v>
      </c>
      <c r="AA372" s="8" t="s">
        <v>54</v>
      </c>
      <c r="AB372" s="10" t="s">
        <v>67</v>
      </c>
      <c r="AC372" s="8" t="s">
        <v>54</v>
      </c>
      <c r="AD372" s="12" t="s">
        <v>55</v>
      </c>
      <c r="AE372" s="8" t="s">
        <v>54</v>
      </c>
      <c r="AF372" s="8" t="s">
        <v>54</v>
      </c>
      <c r="AG372" s="8" t="s">
        <v>54</v>
      </c>
      <c r="AH372" s="8" t="s">
        <v>54</v>
      </c>
      <c r="AI372" s="10" t="s">
        <v>67</v>
      </c>
      <c r="AJ372" s="8">
        <f>COUNTIF($E$372:$AI$372,"P")</f>
        <v>21</v>
      </c>
      <c r="AK372" s="8">
        <f>COUNTIF($E$372:$AI$372,"A")</f>
        <v>5</v>
      </c>
      <c r="AL372" s="8">
        <f>SUM($E$373:$AI$373)</f>
        <v>0</v>
      </c>
      <c r="AM372" s="8">
        <f>SUM($E$374:$AI$374)</f>
        <v>0</v>
      </c>
      <c r="AN372" s="8">
        <f>AL372+AM372</f>
        <v>0</v>
      </c>
      <c r="AO372" s="8">
        <f>COUNTIF($E$372:$AI$372,"CL")</f>
        <v>0</v>
      </c>
      <c r="AP372" s="8">
        <f>COUNTIF($E$372:$AI$372,"SL")</f>
        <v>0</v>
      </c>
      <c r="AQ372" s="8">
        <f>COUNTIF($E$372:$AI$372,"EL")</f>
        <v>0</v>
      </c>
      <c r="AR372" s="8">
        <f>COUNTIF($E$372:$AI$372,"H")</f>
        <v>0</v>
      </c>
      <c r="AS372" s="8"/>
      <c r="AT372" s="11" t="s">
        <v>2090</v>
      </c>
    </row>
    <row r="373" spans="1:46" ht="15.1" customHeight="1">
      <c r="A373" s="8"/>
      <c r="B373" s="9"/>
      <c r="C373" s="8"/>
      <c r="D373" s="9"/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11" t="s">
        <v>2090</v>
      </c>
    </row>
    <row r="374" spans="1:46" ht="15.1" customHeight="1">
      <c r="A374" s="8"/>
      <c r="B374" s="9"/>
      <c r="C374" s="8"/>
      <c r="D374" s="9"/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11" t="s">
        <v>2090</v>
      </c>
    </row>
    <row r="375" spans="1:46" ht="15.1" customHeight="1">
      <c r="A375" s="8">
        <v>124</v>
      </c>
      <c r="B375" s="9" t="s">
        <v>2327</v>
      </c>
      <c r="C375" s="8" t="s">
        <v>2328</v>
      </c>
      <c r="D375" s="9" t="s">
        <v>451</v>
      </c>
      <c r="E375" s="8" t="s">
        <v>54</v>
      </c>
      <c r="F375" s="8" t="s">
        <v>54</v>
      </c>
      <c r="G375" s="10" t="s">
        <v>67</v>
      </c>
      <c r="H375" s="12" t="s">
        <v>55</v>
      </c>
      <c r="I375" s="12" t="s">
        <v>55</v>
      </c>
      <c r="J375" s="12" t="s">
        <v>55</v>
      </c>
      <c r="K375" s="8" t="s">
        <v>54</v>
      </c>
      <c r="L375" s="8" t="s">
        <v>54</v>
      </c>
      <c r="M375" s="8" t="s">
        <v>54</v>
      </c>
      <c r="N375" s="10" t="s">
        <v>67</v>
      </c>
      <c r="O375" s="8" t="s">
        <v>54</v>
      </c>
      <c r="P375" s="8" t="s">
        <v>54</v>
      </c>
      <c r="Q375" s="8" t="s">
        <v>54</v>
      </c>
      <c r="R375" s="8" t="s">
        <v>54</v>
      </c>
      <c r="S375" s="8" t="s">
        <v>54</v>
      </c>
      <c r="T375" s="8" t="s">
        <v>54</v>
      </c>
      <c r="U375" s="10" t="s">
        <v>67</v>
      </c>
      <c r="V375" s="8" t="s">
        <v>54</v>
      </c>
      <c r="W375" s="8" t="s">
        <v>54</v>
      </c>
      <c r="X375" s="12" t="s">
        <v>55</v>
      </c>
      <c r="Y375" s="8" t="s">
        <v>54</v>
      </c>
      <c r="Z375" s="8" t="s">
        <v>54</v>
      </c>
      <c r="AA375" s="8" t="s">
        <v>54</v>
      </c>
      <c r="AB375" s="10" t="s">
        <v>67</v>
      </c>
      <c r="AC375" s="8" t="s">
        <v>54</v>
      </c>
      <c r="AD375" s="8" t="s">
        <v>54</v>
      </c>
      <c r="AE375" s="8" t="s">
        <v>54</v>
      </c>
      <c r="AF375" s="8" t="s">
        <v>54</v>
      </c>
      <c r="AG375" s="8" t="s">
        <v>54</v>
      </c>
      <c r="AH375" s="8" t="s">
        <v>54</v>
      </c>
      <c r="AI375" s="10" t="s">
        <v>67</v>
      </c>
      <c r="AJ375" s="8">
        <f>COUNTIF($E$375:$AI$375,"P")</f>
        <v>22</v>
      </c>
      <c r="AK375" s="8">
        <f>COUNTIF($E$375:$AI$375,"A")</f>
        <v>4</v>
      </c>
      <c r="AL375" s="8">
        <f>SUM($E$376:$AI$376)</f>
        <v>0</v>
      </c>
      <c r="AM375" s="8">
        <f>SUM($E$377:$AI$377)</f>
        <v>0</v>
      </c>
      <c r="AN375" s="8">
        <f>AL375+AM375</f>
        <v>0</v>
      </c>
      <c r="AO375" s="8">
        <f>COUNTIF($E$375:$AI$375,"CL")</f>
        <v>0</v>
      </c>
      <c r="AP375" s="8">
        <f>COUNTIF($E$375:$AI$375,"SL")</f>
        <v>0</v>
      </c>
      <c r="AQ375" s="8">
        <f>COUNTIF($E$375:$AI$375,"EL")</f>
        <v>0</v>
      </c>
      <c r="AR375" s="8">
        <f>COUNTIF($E$375:$AI$375,"H")</f>
        <v>0</v>
      </c>
      <c r="AS375" s="8"/>
      <c r="AT375" s="11" t="s">
        <v>2090</v>
      </c>
    </row>
    <row r="376" spans="1:46" ht="15.1" customHeight="1">
      <c r="A376" s="8"/>
      <c r="B376" s="9"/>
      <c r="C376" s="8"/>
      <c r="D376" s="9"/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11" t="s">
        <v>2090</v>
      </c>
    </row>
    <row r="377" spans="1:46" ht="15.1" customHeight="1">
      <c r="A377" s="8"/>
      <c r="B377" s="9"/>
      <c r="C377" s="8"/>
      <c r="D377" s="9"/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11" t="s">
        <v>2090</v>
      </c>
    </row>
    <row r="378" spans="1:46" ht="15.1" customHeight="1">
      <c r="A378" s="8">
        <v>125</v>
      </c>
      <c r="B378" s="9" t="s">
        <v>2329</v>
      </c>
      <c r="C378" s="8" t="s">
        <v>2330</v>
      </c>
      <c r="D378" s="9" t="s">
        <v>451</v>
      </c>
      <c r="E378" s="8" t="s">
        <v>54</v>
      </c>
      <c r="F378" s="8" t="s">
        <v>54</v>
      </c>
      <c r="G378" s="10" t="s">
        <v>67</v>
      </c>
      <c r="H378" s="8" t="s">
        <v>54</v>
      </c>
      <c r="I378" s="8" t="s">
        <v>54</v>
      </c>
      <c r="J378" s="8" t="s">
        <v>54</v>
      </c>
      <c r="K378" s="8" t="s">
        <v>54</v>
      </c>
      <c r="L378" s="8" t="s">
        <v>54</v>
      </c>
      <c r="M378" s="8" t="s">
        <v>54</v>
      </c>
      <c r="N378" s="10" t="s">
        <v>67</v>
      </c>
      <c r="O378" s="8" t="s">
        <v>54</v>
      </c>
      <c r="P378" s="8" t="s">
        <v>54</v>
      </c>
      <c r="Q378" s="8" t="s">
        <v>54</v>
      </c>
      <c r="R378" s="8" t="s">
        <v>54</v>
      </c>
      <c r="S378" s="8" t="s">
        <v>54</v>
      </c>
      <c r="T378" s="8" t="s">
        <v>54</v>
      </c>
      <c r="U378" s="10" t="s">
        <v>67</v>
      </c>
      <c r="V378" s="8" t="s">
        <v>54</v>
      </c>
      <c r="W378" s="12" t="s">
        <v>55</v>
      </c>
      <c r="X378" s="12" t="s">
        <v>55</v>
      </c>
      <c r="Y378" s="12" t="s">
        <v>55</v>
      </c>
      <c r="Z378" s="12" t="s">
        <v>55</v>
      </c>
      <c r="AA378" s="12" t="s">
        <v>55</v>
      </c>
      <c r="AB378" s="10" t="s">
        <v>67</v>
      </c>
      <c r="AC378" s="12" t="s">
        <v>55</v>
      </c>
      <c r="AD378" s="12" t="s">
        <v>55</v>
      </c>
      <c r="AE378" s="12" t="s">
        <v>55</v>
      </c>
      <c r="AF378" s="12" t="s">
        <v>55</v>
      </c>
      <c r="AG378" s="8"/>
      <c r="AH378" s="8"/>
      <c r="AI378" s="10"/>
      <c r="AJ378" s="8">
        <f>COUNTIF($E$378:$AI$378,"P")</f>
        <v>15</v>
      </c>
      <c r="AK378" s="8">
        <f>COUNTIF($E$378:$AI$378,"A")</f>
        <v>9</v>
      </c>
      <c r="AL378" s="8">
        <f>SUM($E$379:$AI$379)</f>
        <v>0</v>
      </c>
      <c r="AM378" s="8">
        <f>SUM($E$380:$AI$380)</f>
        <v>0</v>
      </c>
      <c r="AN378" s="8">
        <f>AL378+AM378</f>
        <v>0</v>
      </c>
      <c r="AO378" s="8">
        <f>COUNTIF($E$378:$AI$378,"CL")</f>
        <v>0</v>
      </c>
      <c r="AP378" s="8">
        <f>COUNTIF($E$378:$AI$378,"SL")</f>
        <v>0</v>
      </c>
      <c r="AQ378" s="8">
        <f>COUNTIF($E$378:$AI$378,"EL")</f>
        <v>0</v>
      </c>
      <c r="AR378" s="8">
        <f>COUNTIF($E$378:$AI$378,"H")</f>
        <v>0</v>
      </c>
      <c r="AS378" s="8"/>
      <c r="AT378" s="11" t="s">
        <v>2090</v>
      </c>
    </row>
    <row r="379" spans="1:46" ht="15.1" customHeight="1">
      <c r="A379" s="8"/>
      <c r="B379" s="9"/>
      <c r="C379" s="8"/>
      <c r="D379" s="9"/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11" t="s">
        <v>2090</v>
      </c>
    </row>
    <row r="380" spans="1:46" ht="15.1" customHeight="1">
      <c r="A380" s="8"/>
      <c r="B380" s="9"/>
      <c r="C380" s="8"/>
      <c r="D380" s="9"/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11" t="s">
        <v>2090</v>
      </c>
    </row>
    <row r="381" spans="1:46" ht="15.1" customHeight="1">
      <c r="A381" s="8">
        <v>126</v>
      </c>
      <c r="B381" s="9" t="s">
        <v>2331</v>
      </c>
      <c r="C381" s="8" t="s">
        <v>2332</v>
      </c>
      <c r="D381" s="9" t="s">
        <v>451</v>
      </c>
      <c r="E381" s="8" t="s">
        <v>54</v>
      </c>
      <c r="F381" s="8" t="s">
        <v>54</v>
      </c>
      <c r="G381" s="10" t="s">
        <v>67</v>
      </c>
      <c r="H381" s="8" t="s">
        <v>54</v>
      </c>
      <c r="I381" s="8" t="s">
        <v>54</v>
      </c>
      <c r="J381" s="8" t="s">
        <v>54</v>
      </c>
      <c r="K381" s="8" t="s">
        <v>54</v>
      </c>
      <c r="L381" s="8" t="s">
        <v>54</v>
      </c>
      <c r="M381" s="8" t="s">
        <v>54</v>
      </c>
      <c r="N381" s="10" t="s">
        <v>67</v>
      </c>
      <c r="O381" s="8" t="s">
        <v>54</v>
      </c>
      <c r="P381" s="8" t="s">
        <v>54</v>
      </c>
      <c r="Q381" s="8" t="s">
        <v>54</v>
      </c>
      <c r="R381" s="8" t="s">
        <v>54</v>
      </c>
      <c r="S381" s="8" t="s">
        <v>54</v>
      </c>
      <c r="T381" s="8" t="s">
        <v>54</v>
      </c>
      <c r="U381" s="10" t="s">
        <v>67</v>
      </c>
      <c r="V381" s="8" t="s">
        <v>54</v>
      </c>
      <c r="W381" s="12" t="s">
        <v>55</v>
      </c>
      <c r="X381" s="12" t="s">
        <v>55</v>
      </c>
      <c r="Y381" s="12" t="s">
        <v>55</v>
      </c>
      <c r="Z381" s="12" t="s">
        <v>55</v>
      </c>
      <c r="AA381" s="12" t="s">
        <v>55</v>
      </c>
      <c r="AB381" s="10" t="s">
        <v>67</v>
      </c>
      <c r="AC381" s="12" t="s">
        <v>55</v>
      </c>
      <c r="AD381" s="12" t="s">
        <v>55</v>
      </c>
      <c r="AE381" s="12" t="s">
        <v>55</v>
      </c>
      <c r="AF381" s="12" t="s">
        <v>55</v>
      </c>
      <c r="AG381" s="8"/>
      <c r="AH381" s="8"/>
      <c r="AI381" s="10"/>
      <c r="AJ381" s="8">
        <f>COUNTIF($E$381:$AI$381,"P")</f>
        <v>15</v>
      </c>
      <c r="AK381" s="8">
        <f>COUNTIF($E$381:$AI$381,"A")</f>
        <v>9</v>
      </c>
      <c r="AL381" s="8">
        <f>SUM($E$382:$AI$382)</f>
        <v>0</v>
      </c>
      <c r="AM381" s="8">
        <f>SUM($E$383:$AI$383)</f>
        <v>0</v>
      </c>
      <c r="AN381" s="8">
        <f>AL381+AM381</f>
        <v>0</v>
      </c>
      <c r="AO381" s="8">
        <f>COUNTIF($E$381:$AI$381,"CL")</f>
        <v>0</v>
      </c>
      <c r="AP381" s="8">
        <f>COUNTIF($E$381:$AI$381,"SL")</f>
        <v>0</v>
      </c>
      <c r="AQ381" s="8">
        <f>COUNTIF($E$381:$AI$381,"EL")</f>
        <v>0</v>
      </c>
      <c r="AR381" s="8">
        <f>COUNTIF($E$381:$AI$381,"H")</f>
        <v>0</v>
      </c>
      <c r="AS381" s="8"/>
      <c r="AT381" s="11" t="s">
        <v>2090</v>
      </c>
    </row>
    <row r="382" spans="1:46" ht="15.1" customHeight="1">
      <c r="A382" s="8"/>
      <c r="B382" s="9"/>
      <c r="C382" s="8"/>
      <c r="D382" s="9"/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11" t="s">
        <v>2090</v>
      </c>
    </row>
    <row r="383" spans="1:46" ht="15.1" customHeight="1">
      <c r="A383" s="8"/>
      <c r="B383" s="9"/>
      <c r="C383" s="8"/>
      <c r="D383" s="9"/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11" t="s">
        <v>2090</v>
      </c>
    </row>
    <row r="384" spans="1:46" ht="15.1" customHeight="1">
      <c r="A384" s="8">
        <v>127</v>
      </c>
      <c r="B384" s="9" t="s">
        <v>2333</v>
      </c>
      <c r="C384" s="8" t="s">
        <v>2334</v>
      </c>
      <c r="D384" s="9" t="s">
        <v>451</v>
      </c>
      <c r="E384" s="12" t="s">
        <v>55</v>
      </c>
      <c r="F384" s="12" t="s">
        <v>55</v>
      </c>
      <c r="G384" s="10" t="s">
        <v>67</v>
      </c>
      <c r="H384" s="8" t="s">
        <v>54</v>
      </c>
      <c r="I384" s="8" t="s">
        <v>54</v>
      </c>
      <c r="J384" s="8" t="s">
        <v>54</v>
      </c>
      <c r="K384" s="8" t="s">
        <v>54</v>
      </c>
      <c r="L384" s="8" t="s">
        <v>54</v>
      </c>
      <c r="M384" s="8" t="s">
        <v>54</v>
      </c>
      <c r="N384" s="10" t="s">
        <v>67</v>
      </c>
      <c r="O384" s="8" t="s">
        <v>54</v>
      </c>
      <c r="P384" s="8" t="s">
        <v>54</v>
      </c>
      <c r="Q384" s="8" t="s">
        <v>54</v>
      </c>
      <c r="R384" s="8" t="s">
        <v>54</v>
      </c>
      <c r="S384" s="8" t="s">
        <v>54</v>
      </c>
      <c r="T384" s="8" t="s">
        <v>54</v>
      </c>
      <c r="U384" s="10" t="s">
        <v>67</v>
      </c>
      <c r="V384" s="8" t="s">
        <v>54</v>
      </c>
      <c r="W384" s="8" t="s">
        <v>54</v>
      </c>
      <c r="X384" s="12" t="s">
        <v>55</v>
      </c>
      <c r="Y384" s="8" t="s">
        <v>54</v>
      </c>
      <c r="Z384" s="12" t="s">
        <v>55</v>
      </c>
      <c r="AA384" s="8" t="s">
        <v>54</v>
      </c>
      <c r="AB384" s="10" t="s">
        <v>67</v>
      </c>
      <c r="AC384" s="8" t="s">
        <v>54</v>
      </c>
      <c r="AD384" s="8" t="s">
        <v>54</v>
      </c>
      <c r="AE384" s="12" t="s">
        <v>55</v>
      </c>
      <c r="AF384" s="12" t="s">
        <v>55</v>
      </c>
      <c r="AG384" s="12" t="s">
        <v>55</v>
      </c>
      <c r="AH384" s="12" t="s">
        <v>55</v>
      </c>
      <c r="AI384" s="10" t="s">
        <v>67</v>
      </c>
      <c r="AJ384" s="8">
        <f>COUNTIF($E$384:$AI$384,"P")</f>
        <v>18</v>
      </c>
      <c r="AK384" s="8">
        <f>COUNTIF($E$384:$AI$384,"A")</f>
        <v>8</v>
      </c>
      <c r="AL384" s="8">
        <f>SUM($E$385:$AI$385)</f>
        <v>0</v>
      </c>
      <c r="AM384" s="8">
        <f>SUM($E$386:$AI$386)</f>
        <v>0</v>
      </c>
      <c r="AN384" s="8">
        <f>AL384+AM384</f>
        <v>0</v>
      </c>
      <c r="AO384" s="8">
        <f>COUNTIF($E$384:$AI$384,"CL")</f>
        <v>0</v>
      </c>
      <c r="AP384" s="8">
        <f>COUNTIF($E$384:$AI$384,"SL")</f>
        <v>0</v>
      </c>
      <c r="AQ384" s="8">
        <f>COUNTIF($E$384:$AI$384,"EL")</f>
        <v>0</v>
      </c>
      <c r="AR384" s="8">
        <f>COUNTIF($E$384:$AI$384,"H")</f>
        <v>0</v>
      </c>
      <c r="AS384" s="8"/>
      <c r="AT384" s="11" t="s">
        <v>2090</v>
      </c>
    </row>
    <row r="385" spans="1:46" ht="15.1" customHeight="1">
      <c r="A385" s="8"/>
      <c r="B385" s="9"/>
      <c r="C385" s="8"/>
      <c r="D385" s="9"/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11" t="s">
        <v>2090</v>
      </c>
    </row>
    <row r="386" spans="1:46" ht="15.1" customHeight="1">
      <c r="A386" s="8"/>
      <c r="B386" s="9"/>
      <c r="C386" s="8"/>
      <c r="D386" s="9"/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11" t="s">
        <v>2090</v>
      </c>
    </row>
    <row r="387" spans="1:46" ht="15.1" customHeight="1">
      <c r="A387" s="8">
        <v>128</v>
      </c>
      <c r="B387" s="9" t="s">
        <v>2335</v>
      </c>
      <c r="C387" s="8" t="s">
        <v>2336</v>
      </c>
      <c r="D387" s="9" t="s">
        <v>451</v>
      </c>
      <c r="E387" s="8" t="s">
        <v>54</v>
      </c>
      <c r="F387" s="8" t="s">
        <v>54</v>
      </c>
      <c r="G387" s="10" t="s">
        <v>67</v>
      </c>
      <c r="H387" s="8" t="s">
        <v>54</v>
      </c>
      <c r="I387" s="12" t="s">
        <v>55</v>
      </c>
      <c r="J387" s="8" t="s">
        <v>54</v>
      </c>
      <c r="K387" s="8" t="s">
        <v>54</v>
      </c>
      <c r="L387" s="8" t="s">
        <v>54</v>
      </c>
      <c r="M387" s="8" t="s">
        <v>54</v>
      </c>
      <c r="N387" s="10" t="s">
        <v>67</v>
      </c>
      <c r="O387" s="8" t="s">
        <v>54</v>
      </c>
      <c r="P387" s="8" t="s">
        <v>54</v>
      </c>
      <c r="Q387" s="8" t="s">
        <v>54</v>
      </c>
      <c r="R387" s="8" t="s">
        <v>54</v>
      </c>
      <c r="S387" s="8" t="s">
        <v>54</v>
      </c>
      <c r="T387" s="8" t="s">
        <v>54</v>
      </c>
      <c r="U387" s="10" t="s">
        <v>67</v>
      </c>
      <c r="V387" s="8" t="s">
        <v>54</v>
      </c>
      <c r="W387" s="8" t="s">
        <v>54</v>
      </c>
      <c r="X387" s="12" t="s">
        <v>55</v>
      </c>
      <c r="Y387" s="8" t="s">
        <v>54</v>
      </c>
      <c r="Z387" s="8" t="s">
        <v>54</v>
      </c>
      <c r="AA387" s="8" t="s">
        <v>54</v>
      </c>
      <c r="AB387" s="10" t="s">
        <v>67</v>
      </c>
      <c r="AC387" s="8" t="s">
        <v>54</v>
      </c>
      <c r="AD387" s="8" t="s">
        <v>54</v>
      </c>
      <c r="AE387" s="8" t="s">
        <v>54</v>
      </c>
      <c r="AF387" s="8" t="s">
        <v>54</v>
      </c>
      <c r="AG387" s="8" t="s">
        <v>54</v>
      </c>
      <c r="AH387" s="8" t="s">
        <v>54</v>
      </c>
      <c r="AI387" s="10" t="s">
        <v>67</v>
      </c>
      <c r="AJ387" s="8">
        <f>COUNTIF($E$387:$AI$387,"P")</f>
        <v>24</v>
      </c>
      <c r="AK387" s="8">
        <f>COUNTIF($E$387:$AI$387,"A")</f>
        <v>2</v>
      </c>
      <c r="AL387" s="8">
        <f>SUM($E$388:$AI$388)</f>
        <v>0</v>
      </c>
      <c r="AM387" s="8">
        <f>SUM($E$389:$AI$389)</f>
        <v>0</v>
      </c>
      <c r="AN387" s="8">
        <f>AL387+AM387</f>
        <v>0</v>
      </c>
      <c r="AO387" s="8">
        <f>COUNTIF($E$387:$AI$387,"CL")</f>
        <v>0</v>
      </c>
      <c r="AP387" s="8">
        <f>COUNTIF($E$387:$AI$387,"SL")</f>
        <v>0</v>
      </c>
      <c r="AQ387" s="8">
        <f>COUNTIF($E$387:$AI$387,"EL")</f>
        <v>0</v>
      </c>
      <c r="AR387" s="8">
        <f>COUNTIF($E$387:$AI$387,"H")</f>
        <v>0</v>
      </c>
      <c r="AS387" s="8"/>
      <c r="AT387" s="11" t="s">
        <v>2090</v>
      </c>
    </row>
    <row r="388" spans="1:46" ht="15.1" customHeight="1">
      <c r="A388" s="8"/>
      <c r="B388" s="9"/>
      <c r="C388" s="8"/>
      <c r="D388" s="9"/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11" t="s">
        <v>2090</v>
      </c>
    </row>
    <row r="389" spans="1:46" ht="15.1" customHeight="1">
      <c r="A389" s="8"/>
      <c r="B389" s="9"/>
      <c r="C389" s="8"/>
      <c r="D389" s="9"/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11" t="s">
        <v>2090</v>
      </c>
    </row>
    <row r="390" spans="1:46" ht="15.1" customHeight="1">
      <c r="A390" s="8">
        <v>129</v>
      </c>
      <c r="B390" s="9" t="s">
        <v>2337</v>
      </c>
      <c r="C390" s="8" t="s">
        <v>2338</v>
      </c>
      <c r="D390" s="9" t="s">
        <v>451</v>
      </c>
      <c r="E390" s="12" t="s">
        <v>55</v>
      </c>
      <c r="F390" s="12" t="s">
        <v>55</v>
      </c>
      <c r="G390" s="10" t="s">
        <v>67</v>
      </c>
      <c r="H390" s="8" t="s">
        <v>54</v>
      </c>
      <c r="I390" s="12" t="s">
        <v>55</v>
      </c>
      <c r="J390" s="8" t="s">
        <v>54</v>
      </c>
      <c r="K390" s="8" t="s">
        <v>54</v>
      </c>
      <c r="L390" s="8" t="s">
        <v>54</v>
      </c>
      <c r="M390" s="8" t="s">
        <v>54</v>
      </c>
      <c r="N390" s="10" t="s">
        <v>67</v>
      </c>
      <c r="O390" s="8" t="s">
        <v>54</v>
      </c>
      <c r="P390" s="12" t="s">
        <v>55</v>
      </c>
      <c r="Q390" s="12" t="s">
        <v>55</v>
      </c>
      <c r="R390" s="12" t="s">
        <v>55</v>
      </c>
      <c r="S390" s="12" t="s">
        <v>55</v>
      </c>
      <c r="T390" s="8" t="s">
        <v>54</v>
      </c>
      <c r="U390" s="10" t="s">
        <v>67</v>
      </c>
      <c r="V390" s="8" t="s">
        <v>54</v>
      </c>
      <c r="W390" s="8" t="s">
        <v>54</v>
      </c>
      <c r="X390" s="12" t="s">
        <v>55</v>
      </c>
      <c r="Y390" s="8" t="s">
        <v>54</v>
      </c>
      <c r="Z390" s="8" t="s">
        <v>54</v>
      </c>
      <c r="AA390" s="8" t="s">
        <v>54</v>
      </c>
      <c r="AB390" s="10" t="s">
        <v>67</v>
      </c>
      <c r="AC390" s="8" t="s">
        <v>54</v>
      </c>
      <c r="AD390" s="8" t="s">
        <v>54</v>
      </c>
      <c r="AE390" s="8" t="s">
        <v>54</v>
      </c>
      <c r="AF390" s="8" t="s">
        <v>54</v>
      </c>
      <c r="AG390" s="8" t="s">
        <v>54</v>
      </c>
      <c r="AH390" s="8" t="s">
        <v>54</v>
      </c>
      <c r="AI390" s="10" t="s">
        <v>67</v>
      </c>
      <c r="AJ390" s="8">
        <f>COUNTIF($E$390:$AI$390,"P")</f>
        <v>18</v>
      </c>
      <c r="AK390" s="8">
        <f>COUNTIF($E$390:$AI$390,"A")</f>
        <v>8</v>
      </c>
      <c r="AL390" s="8">
        <f>SUM($E$391:$AI$391)</f>
        <v>0</v>
      </c>
      <c r="AM390" s="8">
        <f>SUM($E$392:$AI$392)</f>
        <v>0</v>
      </c>
      <c r="AN390" s="8">
        <f>AL390+AM390</f>
        <v>0</v>
      </c>
      <c r="AO390" s="8">
        <f>COUNTIF($E$390:$AI$390,"CL")</f>
        <v>0</v>
      </c>
      <c r="AP390" s="8">
        <f>COUNTIF($E$390:$AI$390,"SL")</f>
        <v>0</v>
      </c>
      <c r="AQ390" s="8">
        <f>COUNTIF($E$390:$AI$390,"EL")</f>
        <v>0</v>
      </c>
      <c r="AR390" s="8">
        <f>COUNTIF($E$390:$AI$390,"H")</f>
        <v>0</v>
      </c>
      <c r="AS390" s="8"/>
      <c r="AT390" s="11" t="s">
        <v>2090</v>
      </c>
    </row>
    <row r="391" spans="1:46" ht="15.1" customHeight="1">
      <c r="A391" s="8"/>
      <c r="B391" s="9"/>
      <c r="C391" s="8"/>
      <c r="D391" s="9"/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11" t="s">
        <v>2090</v>
      </c>
    </row>
    <row r="392" spans="1:46" ht="15.1" customHeight="1">
      <c r="A392" s="8"/>
      <c r="B392" s="9"/>
      <c r="C392" s="8"/>
      <c r="D392" s="9"/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11" t="s">
        <v>2090</v>
      </c>
    </row>
    <row r="393" spans="1:46" ht="15.1" customHeight="1">
      <c r="A393" s="8">
        <v>130</v>
      </c>
      <c r="B393" s="9" t="s">
        <v>2339</v>
      </c>
      <c r="C393" s="8" t="s">
        <v>2340</v>
      </c>
      <c r="D393" s="9" t="s">
        <v>451</v>
      </c>
      <c r="E393" s="8" t="s">
        <v>54</v>
      </c>
      <c r="F393" s="8" t="s">
        <v>54</v>
      </c>
      <c r="G393" s="10" t="s">
        <v>67</v>
      </c>
      <c r="H393" s="8" t="s">
        <v>54</v>
      </c>
      <c r="I393" s="8" t="s">
        <v>54</v>
      </c>
      <c r="J393" s="8" t="s">
        <v>54</v>
      </c>
      <c r="K393" s="8" t="s">
        <v>54</v>
      </c>
      <c r="L393" s="8" t="s">
        <v>54</v>
      </c>
      <c r="M393" s="8" t="s">
        <v>54</v>
      </c>
      <c r="N393" s="10" t="s">
        <v>67</v>
      </c>
      <c r="O393" s="8" t="s">
        <v>54</v>
      </c>
      <c r="P393" s="8" t="s">
        <v>54</v>
      </c>
      <c r="Q393" s="8" t="s">
        <v>54</v>
      </c>
      <c r="R393" s="8" t="s">
        <v>54</v>
      </c>
      <c r="S393" s="8" t="s">
        <v>54</v>
      </c>
      <c r="T393" s="8" t="s">
        <v>54</v>
      </c>
      <c r="U393" s="10" t="s">
        <v>67</v>
      </c>
      <c r="V393" s="12" t="s">
        <v>55</v>
      </c>
      <c r="W393" s="12" t="s">
        <v>55</v>
      </c>
      <c r="X393" s="12" t="s">
        <v>55</v>
      </c>
      <c r="Y393" s="8" t="s">
        <v>54</v>
      </c>
      <c r="Z393" s="8" t="s">
        <v>54</v>
      </c>
      <c r="AA393" s="12" t="s">
        <v>55</v>
      </c>
      <c r="AB393" s="10" t="s">
        <v>67</v>
      </c>
      <c r="AC393" s="8" t="s">
        <v>54</v>
      </c>
      <c r="AD393" s="8" t="s">
        <v>54</v>
      </c>
      <c r="AE393" s="8" t="s">
        <v>54</v>
      </c>
      <c r="AF393" s="8" t="s">
        <v>54</v>
      </c>
      <c r="AG393" s="8" t="s">
        <v>54</v>
      </c>
      <c r="AH393" s="8" t="s">
        <v>54</v>
      </c>
      <c r="AI393" s="10" t="s">
        <v>67</v>
      </c>
      <c r="AJ393" s="8">
        <f>COUNTIF($E$393:$AI$393,"P")</f>
        <v>22</v>
      </c>
      <c r="AK393" s="8">
        <f>COUNTIF($E$393:$AI$393,"A")</f>
        <v>4</v>
      </c>
      <c r="AL393" s="8">
        <f>SUM($E$394:$AI$394)</f>
        <v>0</v>
      </c>
      <c r="AM393" s="8">
        <f>SUM($E$395:$AI$395)</f>
        <v>0</v>
      </c>
      <c r="AN393" s="8">
        <f>AL393+AM393</f>
        <v>0</v>
      </c>
      <c r="AO393" s="8">
        <f>COUNTIF($E$393:$AI$393,"CL")</f>
        <v>0</v>
      </c>
      <c r="AP393" s="8">
        <f>COUNTIF($E$393:$AI$393,"SL")</f>
        <v>0</v>
      </c>
      <c r="AQ393" s="8">
        <f>COUNTIF($E$393:$AI$393,"EL")</f>
        <v>0</v>
      </c>
      <c r="AR393" s="8">
        <f>COUNTIF($E$393:$AI$393,"H")</f>
        <v>0</v>
      </c>
      <c r="AS393" s="8"/>
      <c r="AT393" s="11" t="s">
        <v>2090</v>
      </c>
    </row>
    <row r="394" spans="1:46" ht="15.1" customHeight="1">
      <c r="A394" s="8"/>
      <c r="B394" s="9"/>
      <c r="C394" s="8"/>
      <c r="D394" s="9"/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11" t="s">
        <v>2090</v>
      </c>
    </row>
    <row r="395" spans="1:46" ht="15.1" customHeight="1">
      <c r="A395" s="8"/>
      <c r="B395" s="9"/>
      <c r="C395" s="8"/>
      <c r="D395" s="9"/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11" t="s">
        <v>2090</v>
      </c>
    </row>
    <row r="396" spans="1:46" ht="15.1" customHeight="1">
      <c r="A396" s="8">
        <v>131</v>
      </c>
      <c r="B396" s="9" t="s">
        <v>2341</v>
      </c>
      <c r="C396" s="8" t="s">
        <v>2342</v>
      </c>
      <c r="D396" s="9" t="s">
        <v>451</v>
      </c>
      <c r="E396" s="8" t="s">
        <v>54</v>
      </c>
      <c r="F396" s="8" t="s">
        <v>54</v>
      </c>
      <c r="G396" s="10" t="s">
        <v>67</v>
      </c>
      <c r="H396" s="8" t="s">
        <v>54</v>
      </c>
      <c r="I396" s="8" t="s">
        <v>54</v>
      </c>
      <c r="J396" s="8" t="s">
        <v>54</v>
      </c>
      <c r="K396" s="8" t="s">
        <v>54</v>
      </c>
      <c r="L396" s="8" t="s">
        <v>54</v>
      </c>
      <c r="M396" s="8" t="s">
        <v>54</v>
      </c>
      <c r="N396" s="10" t="s">
        <v>67</v>
      </c>
      <c r="O396" s="8" t="s">
        <v>54</v>
      </c>
      <c r="P396" s="8" t="s">
        <v>54</v>
      </c>
      <c r="Q396" s="8" t="s">
        <v>54</v>
      </c>
      <c r="R396" s="8" t="s">
        <v>54</v>
      </c>
      <c r="S396" s="8" t="s">
        <v>54</v>
      </c>
      <c r="T396" s="8" t="s">
        <v>54</v>
      </c>
      <c r="U396" s="10" t="s">
        <v>67</v>
      </c>
      <c r="V396" s="8" t="s">
        <v>54</v>
      </c>
      <c r="W396" s="8" t="s">
        <v>54</v>
      </c>
      <c r="X396" s="12" t="s">
        <v>55</v>
      </c>
      <c r="Y396" s="8" t="s">
        <v>54</v>
      </c>
      <c r="Z396" s="8" t="s">
        <v>54</v>
      </c>
      <c r="AA396" s="8" t="s">
        <v>54</v>
      </c>
      <c r="AB396" s="10" t="s">
        <v>67</v>
      </c>
      <c r="AC396" s="12" t="s">
        <v>55</v>
      </c>
      <c r="AD396" s="12" t="s">
        <v>55</v>
      </c>
      <c r="AE396" s="12" t="s">
        <v>55</v>
      </c>
      <c r="AF396" s="12" t="s">
        <v>55</v>
      </c>
      <c r="AG396" s="12" t="s">
        <v>55</v>
      </c>
      <c r="AH396" s="12" t="s">
        <v>55</v>
      </c>
      <c r="AI396" s="10" t="s">
        <v>67</v>
      </c>
      <c r="AJ396" s="8">
        <f>COUNTIF($E$396:$AI$396,"P")</f>
        <v>19</v>
      </c>
      <c r="AK396" s="8">
        <f>COUNTIF($E$396:$AI$396,"A")</f>
        <v>7</v>
      </c>
      <c r="AL396" s="8">
        <f>SUM($E$397:$AI$397)</f>
        <v>0</v>
      </c>
      <c r="AM396" s="8">
        <f>SUM($E$398:$AI$398)</f>
        <v>0</v>
      </c>
      <c r="AN396" s="8">
        <f>AL396+AM396</f>
        <v>0</v>
      </c>
      <c r="AO396" s="8">
        <f>COUNTIF($E$396:$AI$396,"CL")</f>
        <v>0</v>
      </c>
      <c r="AP396" s="8">
        <f>COUNTIF($E$396:$AI$396,"SL")</f>
        <v>0</v>
      </c>
      <c r="AQ396" s="8">
        <f>COUNTIF($E$396:$AI$396,"EL")</f>
        <v>0</v>
      </c>
      <c r="AR396" s="8">
        <f>COUNTIF($E$396:$AI$396,"H")</f>
        <v>0</v>
      </c>
      <c r="AS396" s="8"/>
      <c r="AT396" s="11" t="s">
        <v>2090</v>
      </c>
    </row>
    <row r="397" spans="1:46" ht="15.1" customHeight="1">
      <c r="A397" s="8"/>
      <c r="B397" s="9"/>
      <c r="C397" s="8"/>
      <c r="D397" s="9"/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11" t="s">
        <v>2090</v>
      </c>
    </row>
    <row r="398" spans="1:46" ht="15.1" customHeight="1">
      <c r="A398" s="8"/>
      <c r="B398" s="9"/>
      <c r="C398" s="8"/>
      <c r="D398" s="9"/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11" t="s">
        <v>2090</v>
      </c>
    </row>
    <row r="399" spans="1:46" ht="15.1" customHeight="1">
      <c r="A399" s="8">
        <v>132</v>
      </c>
      <c r="B399" s="9" t="s">
        <v>2343</v>
      </c>
      <c r="C399" s="8" t="s">
        <v>2344</v>
      </c>
      <c r="D399" s="9" t="s">
        <v>451</v>
      </c>
      <c r="E399" s="8" t="s">
        <v>54</v>
      </c>
      <c r="F399" s="8" t="s">
        <v>54</v>
      </c>
      <c r="G399" s="10" t="s">
        <v>67</v>
      </c>
      <c r="H399" s="12" t="s">
        <v>55</v>
      </c>
      <c r="I399" s="8" t="s">
        <v>54</v>
      </c>
      <c r="J399" s="8" t="s">
        <v>54</v>
      </c>
      <c r="K399" s="8" t="s">
        <v>54</v>
      </c>
      <c r="L399" s="8" t="s">
        <v>54</v>
      </c>
      <c r="M399" s="8" t="s">
        <v>54</v>
      </c>
      <c r="N399" s="10" t="s">
        <v>67</v>
      </c>
      <c r="O399" s="8" t="s">
        <v>54</v>
      </c>
      <c r="P399" s="8" t="s">
        <v>54</v>
      </c>
      <c r="Q399" s="8" t="s">
        <v>54</v>
      </c>
      <c r="R399" s="8" t="s">
        <v>54</v>
      </c>
      <c r="S399" s="8" t="s">
        <v>54</v>
      </c>
      <c r="T399" s="8" t="s">
        <v>54</v>
      </c>
      <c r="U399" s="10" t="s">
        <v>67</v>
      </c>
      <c r="V399" s="12" t="s">
        <v>55</v>
      </c>
      <c r="W399" s="8" t="s">
        <v>54</v>
      </c>
      <c r="X399" s="12" t="s">
        <v>55</v>
      </c>
      <c r="Y399" s="8" t="s">
        <v>54</v>
      </c>
      <c r="Z399" s="8" t="s">
        <v>54</v>
      </c>
      <c r="AA399" s="8" t="s">
        <v>54</v>
      </c>
      <c r="AB399" s="10" t="s">
        <v>67</v>
      </c>
      <c r="AC399" s="8" t="s">
        <v>54</v>
      </c>
      <c r="AD399" s="8" t="s">
        <v>54</v>
      </c>
      <c r="AE399" s="8" t="s">
        <v>54</v>
      </c>
      <c r="AF399" s="8" t="s">
        <v>54</v>
      </c>
      <c r="AG399" s="8" t="s">
        <v>54</v>
      </c>
      <c r="AH399" s="8" t="s">
        <v>54</v>
      </c>
      <c r="AI399" s="10" t="s">
        <v>67</v>
      </c>
      <c r="AJ399" s="8">
        <f>COUNTIF($E$399:$AI$399,"P")</f>
        <v>23</v>
      </c>
      <c r="AK399" s="8">
        <f>COUNTIF($E$399:$AI$399,"A")</f>
        <v>3</v>
      </c>
      <c r="AL399" s="8">
        <f>SUM($E$400:$AI$400)</f>
        <v>0</v>
      </c>
      <c r="AM399" s="8">
        <f>SUM($E$401:$AI$401)</f>
        <v>0</v>
      </c>
      <c r="AN399" s="8">
        <f>AL399+AM399</f>
        <v>0</v>
      </c>
      <c r="AO399" s="8">
        <f>COUNTIF($E$399:$AI$399,"CL")</f>
        <v>0</v>
      </c>
      <c r="AP399" s="8">
        <f>COUNTIF($E$399:$AI$399,"SL")</f>
        <v>0</v>
      </c>
      <c r="AQ399" s="8">
        <f>COUNTIF($E$399:$AI$399,"EL")</f>
        <v>0</v>
      </c>
      <c r="AR399" s="8">
        <f>COUNTIF($E$399:$AI$399,"H")</f>
        <v>0</v>
      </c>
      <c r="AS399" s="8"/>
      <c r="AT399" s="11" t="s">
        <v>2090</v>
      </c>
    </row>
    <row r="400" spans="1:46" ht="15.1" customHeight="1">
      <c r="A400" s="8"/>
      <c r="B400" s="9"/>
      <c r="C400" s="8"/>
      <c r="D400" s="9"/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11" t="s">
        <v>2090</v>
      </c>
    </row>
    <row r="401" spans="1:46" ht="15.1" customHeight="1">
      <c r="A401" s="8"/>
      <c r="B401" s="9"/>
      <c r="C401" s="8"/>
      <c r="D401" s="9"/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11" t="s">
        <v>2090</v>
      </c>
    </row>
    <row r="402" spans="1:46" ht="15.1" customHeight="1">
      <c r="A402" s="8">
        <v>133</v>
      </c>
      <c r="B402" s="9" t="s">
        <v>2345</v>
      </c>
      <c r="C402" s="8" t="s">
        <v>2346</v>
      </c>
      <c r="D402" s="9" t="s">
        <v>451</v>
      </c>
      <c r="E402" s="8" t="s">
        <v>54</v>
      </c>
      <c r="F402" s="8" t="s">
        <v>54</v>
      </c>
      <c r="G402" s="10" t="s">
        <v>67</v>
      </c>
      <c r="H402" s="8" t="s">
        <v>54</v>
      </c>
      <c r="I402" s="8" t="s">
        <v>54</v>
      </c>
      <c r="J402" s="8" t="s">
        <v>54</v>
      </c>
      <c r="K402" s="8" t="s">
        <v>54</v>
      </c>
      <c r="L402" s="8" t="s">
        <v>54</v>
      </c>
      <c r="M402" s="8" t="s">
        <v>54</v>
      </c>
      <c r="N402" s="10" t="s">
        <v>67</v>
      </c>
      <c r="O402" s="8" t="s">
        <v>54</v>
      </c>
      <c r="P402" s="8" t="s">
        <v>54</v>
      </c>
      <c r="Q402" s="8" t="s">
        <v>54</v>
      </c>
      <c r="R402" s="12" t="s">
        <v>55</v>
      </c>
      <c r="S402" s="8" t="s">
        <v>54</v>
      </c>
      <c r="T402" s="8" t="s">
        <v>54</v>
      </c>
      <c r="U402" s="10" t="s">
        <v>67</v>
      </c>
      <c r="V402" s="12" t="s">
        <v>55</v>
      </c>
      <c r="W402" s="8" t="s">
        <v>54</v>
      </c>
      <c r="X402" s="12" t="s">
        <v>55</v>
      </c>
      <c r="Y402" s="8" t="s">
        <v>54</v>
      </c>
      <c r="Z402" s="8" t="s">
        <v>54</v>
      </c>
      <c r="AA402" s="8" t="s">
        <v>54</v>
      </c>
      <c r="AB402" s="10" t="s">
        <v>67</v>
      </c>
      <c r="AC402" s="8" t="s">
        <v>54</v>
      </c>
      <c r="AD402" s="8" t="s">
        <v>54</v>
      </c>
      <c r="AE402" s="8" t="s">
        <v>54</v>
      </c>
      <c r="AF402" s="8" t="s">
        <v>54</v>
      </c>
      <c r="AG402" s="8" t="s">
        <v>54</v>
      </c>
      <c r="AH402" s="8" t="s">
        <v>54</v>
      </c>
      <c r="AI402" s="10" t="s">
        <v>67</v>
      </c>
      <c r="AJ402" s="8">
        <f>COUNTIF($E$402:$AI$402,"P")</f>
        <v>23</v>
      </c>
      <c r="AK402" s="8">
        <f>COUNTIF($E$402:$AI$402,"A")</f>
        <v>3</v>
      </c>
      <c r="AL402" s="8">
        <f>SUM($E$403:$AI$403)</f>
        <v>0</v>
      </c>
      <c r="AM402" s="8">
        <f>SUM($E$404:$AI$404)</f>
        <v>0</v>
      </c>
      <c r="AN402" s="8">
        <f>AL402+AM402</f>
        <v>0</v>
      </c>
      <c r="AO402" s="8">
        <f>COUNTIF($E$402:$AI$402,"CL")</f>
        <v>0</v>
      </c>
      <c r="AP402" s="8">
        <f>COUNTIF($E$402:$AI$402,"SL")</f>
        <v>0</v>
      </c>
      <c r="AQ402" s="8">
        <f>COUNTIF($E$402:$AI$402,"EL")</f>
        <v>0</v>
      </c>
      <c r="AR402" s="8">
        <f>COUNTIF($E$402:$AI$402,"H")</f>
        <v>0</v>
      </c>
      <c r="AS402" s="8"/>
      <c r="AT402" s="11" t="s">
        <v>2090</v>
      </c>
    </row>
    <row r="403" spans="1:46" ht="15.1" customHeight="1">
      <c r="A403" s="8"/>
      <c r="B403" s="9"/>
      <c r="C403" s="8"/>
      <c r="D403" s="9"/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11" t="s">
        <v>2090</v>
      </c>
    </row>
    <row r="404" spans="1:46" ht="15.1" customHeight="1">
      <c r="A404" s="8"/>
      <c r="B404" s="9"/>
      <c r="C404" s="8"/>
      <c r="D404" s="9"/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11" t="s">
        <v>2090</v>
      </c>
    </row>
    <row r="405" spans="1:46" ht="15.1" customHeight="1">
      <c r="A405" s="8">
        <v>134</v>
      </c>
      <c r="B405" s="9" t="s">
        <v>991</v>
      </c>
      <c r="C405" s="8" t="s">
        <v>2347</v>
      </c>
      <c r="D405" s="9" t="s">
        <v>451</v>
      </c>
      <c r="E405" s="8" t="s">
        <v>54</v>
      </c>
      <c r="F405" s="8" t="s">
        <v>54</v>
      </c>
      <c r="G405" s="10" t="s">
        <v>67</v>
      </c>
      <c r="H405" s="8" t="s">
        <v>54</v>
      </c>
      <c r="I405" s="12" t="s">
        <v>55</v>
      </c>
      <c r="J405" s="12" t="s">
        <v>55</v>
      </c>
      <c r="K405" s="8" t="s">
        <v>54</v>
      </c>
      <c r="L405" s="8" t="s">
        <v>54</v>
      </c>
      <c r="M405" s="8" t="s">
        <v>54</v>
      </c>
      <c r="N405" s="10" t="s">
        <v>67</v>
      </c>
      <c r="O405" s="8" t="s">
        <v>54</v>
      </c>
      <c r="P405" s="8" t="s">
        <v>54</v>
      </c>
      <c r="Q405" s="8" t="s">
        <v>54</v>
      </c>
      <c r="R405" s="12" t="s">
        <v>55</v>
      </c>
      <c r="S405" s="12" t="s">
        <v>55</v>
      </c>
      <c r="T405" s="8" t="s">
        <v>54</v>
      </c>
      <c r="U405" s="10" t="s">
        <v>67</v>
      </c>
      <c r="V405" s="8" t="s">
        <v>54</v>
      </c>
      <c r="W405" s="8" t="s">
        <v>54</v>
      </c>
      <c r="X405" s="12" t="s">
        <v>55</v>
      </c>
      <c r="Y405" s="8" t="s">
        <v>54</v>
      </c>
      <c r="Z405" s="8" t="s">
        <v>54</v>
      </c>
      <c r="AA405" s="12" t="s">
        <v>55</v>
      </c>
      <c r="AB405" s="10" t="s">
        <v>67</v>
      </c>
      <c r="AC405" s="8" t="s">
        <v>54</v>
      </c>
      <c r="AD405" s="8" t="s">
        <v>54</v>
      </c>
      <c r="AE405" s="8" t="s">
        <v>54</v>
      </c>
      <c r="AF405" s="8" t="s">
        <v>54</v>
      </c>
      <c r="AG405" s="8" t="s">
        <v>54</v>
      </c>
      <c r="AH405" s="12" t="s">
        <v>55</v>
      </c>
      <c r="AI405" s="10" t="s">
        <v>67</v>
      </c>
      <c r="AJ405" s="8">
        <f>COUNTIF($E$405:$AI$405,"P")</f>
        <v>19</v>
      </c>
      <c r="AK405" s="8">
        <f>COUNTIF($E$405:$AI$405,"A")</f>
        <v>7</v>
      </c>
      <c r="AL405" s="8">
        <f>SUM($E$406:$AI$406)</f>
        <v>0</v>
      </c>
      <c r="AM405" s="8">
        <f>SUM($E$407:$AI$407)</f>
        <v>0</v>
      </c>
      <c r="AN405" s="8">
        <f>AL405+AM405</f>
        <v>0</v>
      </c>
      <c r="AO405" s="8">
        <f>COUNTIF($E$405:$AI$405,"CL")</f>
        <v>0</v>
      </c>
      <c r="AP405" s="8">
        <f>COUNTIF($E$405:$AI$405,"SL")</f>
        <v>0</v>
      </c>
      <c r="AQ405" s="8">
        <f>COUNTIF($E$405:$AI$405,"EL")</f>
        <v>0</v>
      </c>
      <c r="AR405" s="8">
        <f>COUNTIF($E$405:$AI$405,"H")</f>
        <v>0</v>
      </c>
      <c r="AS405" s="8"/>
      <c r="AT405" s="11" t="s">
        <v>2090</v>
      </c>
    </row>
    <row r="406" spans="1:46" ht="15.1" customHeight="1">
      <c r="A406" s="8"/>
      <c r="B406" s="9"/>
      <c r="C406" s="8"/>
      <c r="D406" s="9"/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11" t="s">
        <v>2090</v>
      </c>
    </row>
    <row r="407" spans="1:46" ht="15.1" customHeight="1">
      <c r="A407" s="8"/>
      <c r="B407" s="9"/>
      <c r="C407" s="8"/>
      <c r="D407" s="9"/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11" t="s">
        <v>2090</v>
      </c>
    </row>
    <row r="408" spans="1:46" ht="15.1" customHeight="1">
      <c r="A408" s="8">
        <v>135</v>
      </c>
      <c r="B408" s="9" t="s">
        <v>2348</v>
      </c>
      <c r="C408" s="8" t="s">
        <v>2349</v>
      </c>
      <c r="D408" s="9" t="s">
        <v>451</v>
      </c>
      <c r="E408" s="8" t="s">
        <v>54</v>
      </c>
      <c r="F408" s="8" t="s">
        <v>54</v>
      </c>
      <c r="G408" s="10" t="s">
        <v>67</v>
      </c>
      <c r="H408" s="8" t="s">
        <v>54</v>
      </c>
      <c r="I408" s="8" t="s">
        <v>54</v>
      </c>
      <c r="J408" s="8" t="s">
        <v>54</v>
      </c>
      <c r="K408" s="8" t="s">
        <v>54</v>
      </c>
      <c r="L408" s="8" t="s">
        <v>54</v>
      </c>
      <c r="M408" s="8" t="s">
        <v>54</v>
      </c>
      <c r="N408" s="10" t="s">
        <v>67</v>
      </c>
      <c r="O408" s="8" t="s">
        <v>54</v>
      </c>
      <c r="P408" s="8" t="s">
        <v>54</v>
      </c>
      <c r="Q408" s="8" t="s">
        <v>54</v>
      </c>
      <c r="R408" s="8" t="s">
        <v>54</v>
      </c>
      <c r="S408" s="8" t="s">
        <v>54</v>
      </c>
      <c r="T408" s="8" t="s">
        <v>54</v>
      </c>
      <c r="U408" s="10" t="s">
        <v>67</v>
      </c>
      <c r="V408" s="8" t="s">
        <v>54</v>
      </c>
      <c r="W408" s="8" t="s">
        <v>54</v>
      </c>
      <c r="X408" s="12" t="s">
        <v>55</v>
      </c>
      <c r="Y408" s="8" t="s">
        <v>54</v>
      </c>
      <c r="Z408" s="8" t="s">
        <v>54</v>
      </c>
      <c r="AA408" s="8" t="s">
        <v>54</v>
      </c>
      <c r="AB408" s="10" t="s">
        <v>67</v>
      </c>
      <c r="AC408" s="8" t="s">
        <v>54</v>
      </c>
      <c r="AD408" s="8" t="s">
        <v>54</v>
      </c>
      <c r="AE408" s="8" t="s">
        <v>54</v>
      </c>
      <c r="AF408" s="8" t="s">
        <v>54</v>
      </c>
      <c r="AG408" s="8" t="s">
        <v>54</v>
      </c>
      <c r="AH408" s="12" t="s">
        <v>55</v>
      </c>
      <c r="AI408" s="10" t="s">
        <v>67</v>
      </c>
      <c r="AJ408" s="8">
        <f>COUNTIF($E$408:$AI$408,"P")</f>
        <v>24</v>
      </c>
      <c r="AK408" s="8">
        <f>COUNTIF($E$408:$AI$408,"A")</f>
        <v>2</v>
      </c>
      <c r="AL408" s="8">
        <f>SUM($E$409:$AI$409)</f>
        <v>0</v>
      </c>
      <c r="AM408" s="8">
        <f>SUM($E$410:$AI$410)</f>
        <v>0</v>
      </c>
      <c r="AN408" s="8">
        <f>AL408+AM408</f>
        <v>0</v>
      </c>
      <c r="AO408" s="8">
        <f>COUNTIF($E$408:$AI$408,"CL")</f>
        <v>0</v>
      </c>
      <c r="AP408" s="8">
        <f>COUNTIF($E$408:$AI$408,"SL")</f>
        <v>0</v>
      </c>
      <c r="AQ408" s="8">
        <f>COUNTIF($E$408:$AI$408,"EL")</f>
        <v>0</v>
      </c>
      <c r="AR408" s="8">
        <f>COUNTIF($E$408:$AI$408,"H")</f>
        <v>0</v>
      </c>
      <c r="AS408" s="8"/>
      <c r="AT408" s="11" t="s">
        <v>2090</v>
      </c>
    </row>
    <row r="409" spans="1:46" ht="15.1" customHeight="1">
      <c r="A409" s="8"/>
      <c r="B409" s="9"/>
      <c r="C409" s="8"/>
      <c r="D409" s="9"/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11" t="s">
        <v>2090</v>
      </c>
    </row>
    <row r="410" spans="1:46" ht="15.1" customHeight="1">
      <c r="A410" s="8"/>
      <c r="B410" s="9"/>
      <c r="C410" s="8"/>
      <c r="D410" s="9"/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11" t="s">
        <v>2090</v>
      </c>
    </row>
    <row r="411" spans="1:46" ht="15.1" customHeight="1">
      <c r="A411" s="8">
        <v>136</v>
      </c>
      <c r="B411" s="9" t="s">
        <v>2350</v>
      </c>
      <c r="C411" s="8" t="s">
        <v>2351</v>
      </c>
      <c r="D411" s="9" t="s">
        <v>451</v>
      </c>
      <c r="E411" s="8" t="s">
        <v>54</v>
      </c>
      <c r="F411" s="12" t="s">
        <v>55</v>
      </c>
      <c r="G411" s="10" t="s">
        <v>67</v>
      </c>
      <c r="H411" s="8" t="s">
        <v>54</v>
      </c>
      <c r="I411" s="8" t="s">
        <v>54</v>
      </c>
      <c r="J411" s="8" t="s">
        <v>54</v>
      </c>
      <c r="K411" s="8" t="s">
        <v>54</v>
      </c>
      <c r="L411" s="8" t="s">
        <v>54</v>
      </c>
      <c r="M411" s="8" t="s">
        <v>54</v>
      </c>
      <c r="N411" s="10" t="s">
        <v>67</v>
      </c>
      <c r="O411" s="12" t="s">
        <v>55</v>
      </c>
      <c r="P411" s="12" t="s">
        <v>55</v>
      </c>
      <c r="Q411" s="12" t="s">
        <v>55</v>
      </c>
      <c r="R411" s="8" t="s">
        <v>54</v>
      </c>
      <c r="S411" s="8" t="s">
        <v>54</v>
      </c>
      <c r="T411" s="8" t="s">
        <v>54</v>
      </c>
      <c r="U411" s="10" t="s">
        <v>67</v>
      </c>
      <c r="V411" s="8" t="s">
        <v>54</v>
      </c>
      <c r="W411" s="12" t="s">
        <v>55</v>
      </c>
      <c r="X411" s="12" t="s">
        <v>55</v>
      </c>
      <c r="Y411" s="8" t="s">
        <v>54</v>
      </c>
      <c r="Z411" s="12" t="s">
        <v>55</v>
      </c>
      <c r="AA411" s="8" t="s">
        <v>54</v>
      </c>
      <c r="AB411" s="10" t="s">
        <v>67</v>
      </c>
      <c r="AC411" s="8" t="s">
        <v>54</v>
      </c>
      <c r="AD411" s="8" t="s">
        <v>54</v>
      </c>
      <c r="AE411" s="8" t="s">
        <v>54</v>
      </c>
      <c r="AF411" s="8" t="s">
        <v>54</v>
      </c>
      <c r="AG411" s="8" t="s">
        <v>54</v>
      </c>
      <c r="AH411" s="8" t="s">
        <v>54</v>
      </c>
      <c r="AI411" s="10" t="s">
        <v>67</v>
      </c>
      <c r="AJ411" s="8">
        <f>COUNTIF($E$411:$AI$411,"P")</f>
        <v>19</v>
      </c>
      <c r="AK411" s="8">
        <f>COUNTIF($E$411:$AI$411,"A")</f>
        <v>7</v>
      </c>
      <c r="AL411" s="8">
        <f>SUM($E$412:$AI$412)</f>
        <v>0</v>
      </c>
      <c r="AM411" s="8">
        <f>SUM($E$413:$AI$413)</f>
        <v>0</v>
      </c>
      <c r="AN411" s="8">
        <f>AL411+AM411</f>
        <v>0</v>
      </c>
      <c r="AO411" s="8">
        <f>COUNTIF($E$411:$AI$411,"CL")</f>
        <v>0</v>
      </c>
      <c r="AP411" s="8">
        <f>COUNTIF($E$411:$AI$411,"SL")</f>
        <v>0</v>
      </c>
      <c r="AQ411" s="8">
        <f>COUNTIF($E$411:$AI$411,"EL")</f>
        <v>0</v>
      </c>
      <c r="AR411" s="8">
        <f>COUNTIF($E$411:$AI$411,"H")</f>
        <v>0</v>
      </c>
      <c r="AS411" s="8"/>
      <c r="AT411" s="11" t="s">
        <v>2090</v>
      </c>
    </row>
    <row r="412" spans="1:46" ht="15.1" customHeight="1">
      <c r="A412" s="8"/>
      <c r="B412" s="9"/>
      <c r="C412" s="8"/>
      <c r="D412" s="9"/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11" t="s">
        <v>2090</v>
      </c>
    </row>
    <row r="413" spans="1:46" ht="15.1" customHeight="1">
      <c r="A413" s="8"/>
      <c r="B413" s="9"/>
      <c r="C413" s="8"/>
      <c r="D413" s="9"/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11" t="s">
        <v>2090</v>
      </c>
    </row>
    <row r="414" spans="1:46" ht="15.1" customHeight="1">
      <c r="A414" s="8">
        <v>137</v>
      </c>
      <c r="B414" s="9" t="s">
        <v>2352</v>
      </c>
      <c r="C414" s="8" t="s">
        <v>2353</v>
      </c>
      <c r="D414" s="9" t="s">
        <v>451</v>
      </c>
      <c r="E414" s="12" t="s">
        <v>55</v>
      </c>
      <c r="F414" s="12" t="s">
        <v>55</v>
      </c>
      <c r="G414" s="10" t="s">
        <v>67</v>
      </c>
      <c r="H414" s="8" t="s">
        <v>54</v>
      </c>
      <c r="I414" s="8" t="s">
        <v>54</v>
      </c>
      <c r="J414" s="8" t="s">
        <v>54</v>
      </c>
      <c r="K414" s="8" t="s">
        <v>54</v>
      </c>
      <c r="L414" s="8" t="s">
        <v>54</v>
      </c>
      <c r="M414" s="8" t="s">
        <v>54</v>
      </c>
      <c r="N414" s="10" t="s">
        <v>67</v>
      </c>
      <c r="O414" s="12" t="s">
        <v>55</v>
      </c>
      <c r="P414" s="12" t="s">
        <v>55</v>
      </c>
      <c r="Q414" s="12" t="s">
        <v>55</v>
      </c>
      <c r="R414" s="8" t="s">
        <v>54</v>
      </c>
      <c r="S414" s="8" t="s">
        <v>54</v>
      </c>
      <c r="T414" s="8" t="s">
        <v>54</v>
      </c>
      <c r="U414" s="10" t="s">
        <v>67</v>
      </c>
      <c r="V414" s="8" t="s">
        <v>54</v>
      </c>
      <c r="W414" s="12" t="s">
        <v>55</v>
      </c>
      <c r="X414" s="12" t="s">
        <v>55</v>
      </c>
      <c r="Y414" s="8" t="s">
        <v>54</v>
      </c>
      <c r="Z414" s="12" t="s">
        <v>55</v>
      </c>
      <c r="AA414" s="8" t="s">
        <v>54</v>
      </c>
      <c r="AB414" s="10" t="s">
        <v>67</v>
      </c>
      <c r="AC414" s="8" t="s">
        <v>54</v>
      </c>
      <c r="AD414" s="8" t="s">
        <v>54</v>
      </c>
      <c r="AE414" s="8" t="s">
        <v>54</v>
      </c>
      <c r="AF414" s="8" t="s">
        <v>54</v>
      </c>
      <c r="AG414" s="8" t="s">
        <v>54</v>
      </c>
      <c r="AH414" s="8" t="s">
        <v>54</v>
      </c>
      <c r="AI414" s="10" t="s">
        <v>67</v>
      </c>
      <c r="AJ414" s="8">
        <f>COUNTIF($E$414:$AI$414,"P")</f>
        <v>18</v>
      </c>
      <c r="AK414" s="8">
        <f>COUNTIF($E$414:$AI$414,"A")</f>
        <v>8</v>
      </c>
      <c r="AL414" s="8">
        <f>SUM($E$415:$AI$415)</f>
        <v>0</v>
      </c>
      <c r="AM414" s="8">
        <f>SUM($E$416:$AI$416)</f>
        <v>0</v>
      </c>
      <c r="AN414" s="8">
        <f>AL414+AM414</f>
        <v>0</v>
      </c>
      <c r="AO414" s="8">
        <f>COUNTIF($E$414:$AI$414,"CL")</f>
        <v>0</v>
      </c>
      <c r="AP414" s="8">
        <f>COUNTIF($E$414:$AI$414,"SL")</f>
        <v>0</v>
      </c>
      <c r="AQ414" s="8">
        <f>COUNTIF($E$414:$AI$414,"EL")</f>
        <v>0</v>
      </c>
      <c r="AR414" s="8">
        <f>COUNTIF($E$414:$AI$414,"H")</f>
        <v>0</v>
      </c>
      <c r="AS414" s="8"/>
      <c r="AT414" s="11" t="s">
        <v>2090</v>
      </c>
    </row>
    <row r="415" spans="1:46" ht="15.1" customHeight="1">
      <c r="A415" s="8"/>
      <c r="B415" s="9"/>
      <c r="C415" s="8"/>
      <c r="D415" s="9"/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11" t="s">
        <v>2090</v>
      </c>
    </row>
    <row r="416" spans="1:46" ht="15.1" customHeight="1">
      <c r="A416" s="8"/>
      <c r="B416" s="9"/>
      <c r="C416" s="8"/>
      <c r="D416" s="9"/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11" t="s">
        <v>2090</v>
      </c>
    </row>
    <row r="417" spans="1:46" ht="15.1" customHeight="1">
      <c r="A417" s="8">
        <v>138</v>
      </c>
      <c r="B417" s="9" t="s">
        <v>2354</v>
      </c>
      <c r="C417" s="8" t="s">
        <v>2355</v>
      </c>
      <c r="D417" s="9" t="s">
        <v>451</v>
      </c>
      <c r="E417" s="8" t="s">
        <v>54</v>
      </c>
      <c r="F417" s="8" t="s">
        <v>54</v>
      </c>
      <c r="G417" s="10" t="s">
        <v>67</v>
      </c>
      <c r="H417" s="8" t="s">
        <v>54</v>
      </c>
      <c r="I417" s="8" t="s">
        <v>54</v>
      </c>
      <c r="J417" s="8" t="s">
        <v>54</v>
      </c>
      <c r="K417" s="8" t="s">
        <v>54</v>
      </c>
      <c r="L417" s="8" t="s">
        <v>54</v>
      </c>
      <c r="M417" s="8" t="s">
        <v>54</v>
      </c>
      <c r="N417" s="10" t="s">
        <v>67</v>
      </c>
      <c r="O417" s="8" t="s">
        <v>54</v>
      </c>
      <c r="P417" s="8" t="s">
        <v>54</v>
      </c>
      <c r="Q417" s="8" t="s">
        <v>54</v>
      </c>
      <c r="R417" s="8" t="s">
        <v>54</v>
      </c>
      <c r="S417" s="8" t="s">
        <v>54</v>
      </c>
      <c r="T417" s="8" t="s">
        <v>54</v>
      </c>
      <c r="U417" s="10" t="s">
        <v>67</v>
      </c>
      <c r="V417" s="12" t="s">
        <v>55</v>
      </c>
      <c r="W417" s="8" t="s">
        <v>54</v>
      </c>
      <c r="X417" s="12" t="s">
        <v>55</v>
      </c>
      <c r="Y417" s="8" t="s">
        <v>54</v>
      </c>
      <c r="Z417" s="8" t="s">
        <v>54</v>
      </c>
      <c r="AA417" s="8" t="s">
        <v>54</v>
      </c>
      <c r="AB417" s="10" t="s">
        <v>67</v>
      </c>
      <c r="AC417" s="8" t="s">
        <v>54</v>
      </c>
      <c r="AD417" s="8" t="s">
        <v>54</v>
      </c>
      <c r="AE417" s="8" t="s">
        <v>54</v>
      </c>
      <c r="AF417" s="8" t="s">
        <v>54</v>
      </c>
      <c r="AG417" s="8" t="s">
        <v>54</v>
      </c>
      <c r="AH417" s="8" t="s">
        <v>54</v>
      </c>
      <c r="AI417" s="10" t="s">
        <v>67</v>
      </c>
      <c r="AJ417" s="8">
        <f>COUNTIF($E$417:$AI$417,"P")</f>
        <v>24</v>
      </c>
      <c r="AK417" s="8">
        <f>COUNTIF($E$417:$AI$417,"A")</f>
        <v>2</v>
      </c>
      <c r="AL417" s="8">
        <f>SUM($E$418:$AI$418)</f>
        <v>0</v>
      </c>
      <c r="AM417" s="8">
        <f>SUM($E$419:$AI$419)</f>
        <v>0</v>
      </c>
      <c r="AN417" s="8">
        <f>AL417+AM417</f>
        <v>0</v>
      </c>
      <c r="AO417" s="8">
        <f>COUNTIF($E$417:$AI$417,"CL")</f>
        <v>0</v>
      </c>
      <c r="AP417" s="8">
        <f>COUNTIF($E$417:$AI$417,"SL")</f>
        <v>0</v>
      </c>
      <c r="AQ417" s="8">
        <f>COUNTIF($E$417:$AI$417,"EL")</f>
        <v>0</v>
      </c>
      <c r="AR417" s="8">
        <f>COUNTIF($E$417:$AI$417,"H")</f>
        <v>0</v>
      </c>
      <c r="AS417" s="8"/>
      <c r="AT417" s="11" t="s">
        <v>2090</v>
      </c>
    </row>
    <row r="418" spans="1:46" ht="15.1" customHeight="1">
      <c r="A418" s="8"/>
      <c r="B418" s="9"/>
      <c r="C418" s="8"/>
      <c r="D418" s="9"/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11" t="s">
        <v>2090</v>
      </c>
    </row>
    <row r="419" spans="1:46" ht="15.1" customHeight="1">
      <c r="A419" s="8"/>
      <c r="B419" s="9"/>
      <c r="C419" s="8"/>
      <c r="D419" s="9"/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11" t="s">
        <v>2090</v>
      </c>
    </row>
    <row r="420" spans="1:46" ht="15.1" customHeight="1">
      <c r="A420" s="8">
        <v>139</v>
      </c>
      <c r="B420" s="9" t="s">
        <v>2052</v>
      </c>
      <c r="C420" s="8" t="s">
        <v>2356</v>
      </c>
      <c r="D420" s="9" t="s">
        <v>451</v>
      </c>
      <c r="E420" s="8" t="s">
        <v>54</v>
      </c>
      <c r="F420" s="8" t="s">
        <v>54</v>
      </c>
      <c r="G420" s="10" t="s">
        <v>67</v>
      </c>
      <c r="H420" s="8" t="s">
        <v>54</v>
      </c>
      <c r="I420" s="12" t="s">
        <v>55</v>
      </c>
      <c r="J420" s="8" t="s">
        <v>54</v>
      </c>
      <c r="K420" s="8" t="s">
        <v>54</v>
      </c>
      <c r="L420" s="8" t="s">
        <v>54</v>
      </c>
      <c r="M420" s="8" t="s">
        <v>54</v>
      </c>
      <c r="N420" s="10" t="s">
        <v>67</v>
      </c>
      <c r="O420" s="12" t="s">
        <v>55</v>
      </c>
      <c r="P420" s="8" t="s">
        <v>54</v>
      </c>
      <c r="Q420" s="8" t="s">
        <v>54</v>
      </c>
      <c r="R420" s="8" t="s">
        <v>54</v>
      </c>
      <c r="S420" s="8" t="s">
        <v>54</v>
      </c>
      <c r="T420" s="8" t="s">
        <v>54</v>
      </c>
      <c r="U420" s="10" t="s">
        <v>67</v>
      </c>
      <c r="V420" s="12" t="s">
        <v>55</v>
      </c>
      <c r="W420" s="8" t="s">
        <v>54</v>
      </c>
      <c r="X420" s="12" t="s">
        <v>55</v>
      </c>
      <c r="Y420" s="8" t="s">
        <v>54</v>
      </c>
      <c r="Z420" s="8" t="s">
        <v>54</v>
      </c>
      <c r="AA420" s="8" t="s">
        <v>54</v>
      </c>
      <c r="AB420" s="10" t="s">
        <v>67</v>
      </c>
      <c r="AC420" s="8" t="s">
        <v>54</v>
      </c>
      <c r="AD420" s="8" t="s">
        <v>54</v>
      </c>
      <c r="AE420" s="8" t="s">
        <v>54</v>
      </c>
      <c r="AF420" s="8" t="s">
        <v>54</v>
      </c>
      <c r="AG420" s="12" t="s">
        <v>55</v>
      </c>
      <c r="AH420" s="12" t="s">
        <v>55</v>
      </c>
      <c r="AI420" s="10" t="s">
        <v>67</v>
      </c>
      <c r="AJ420" s="8">
        <f>COUNTIF($E$420:$AI$420,"P")</f>
        <v>20</v>
      </c>
      <c r="AK420" s="8">
        <f>COUNTIF($E$420:$AI$420,"A")</f>
        <v>6</v>
      </c>
      <c r="AL420" s="8">
        <f>SUM($E$421:$AI$421)</f>
        <v>0</v>
      </c>
      <c r="AM420" s="8">
        <f>SUM($E$422:$AI$422)</f>
        <v>0</v>
      </c>
      <c r="AN420" s="8">
        <f>AL420+AM420</f>
        <v>0</v>
      </c>
      <c r="AO420" s="8">
        <f>COUNTIF($E$420:$AI$420,"CL")</f>
        <v>0</v>
      </c>
      <c r="AP420" s="8">
        <f>COUNTIF($E$420:$AI$420,"SL")</f>
        <v>0</v>
      </c>
      <c r="AQ420" s="8">
        <f>COUNTIF($E$420:$AI$420,"EL")</f>
        <v>0</v>
      </c>
      <c r="AR420" s="8">
        <f>COUNTIF($E$420:$AI$420,"H")</f>
        <v>0</v>
      </c>
      <c r="AS420" s="8"/>
      <c r="AT420" s="11" t="s">
        <v>2090</v>
      </c>
    </row>
    <row r="421" spans="1:46" ht="15.1" customHeight="1">
      <c r="A421" s="8"/>
      <c r="B421" s="9"/>
      <c r="C421" s="8"/>
      <c r="D421" s="9"/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11" t="s">
        <v>2090</v>
      </c>
    </row>
    <row r="422" spans="1:46" ht="15.1" customHeight="1">
      <c r="A422" s="8"/>
      <c r="B422" s="9"/>
      <c r="C422" s="8"/>
      <c r="D422" s="9"/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11" t="s">
        <v>2090</v>
      </c>
    </row>
    <row r="423" spans="1:46" ht="15.1" customHeight="1">
      <c r="A423" s="8">
        <v>140</v>
      </c>
      <c r="B423" s="9" t="s">
        <v>2357</v>
      </c>
      <c r="C423" s="8" t="s">
        <v>2358</v>
      </c>
      <c r="D423" s="9" t="s">
        <v>451</v>
      </c>
      <c r="E423" s="8" t="s">
        <v>54</v>
      </c>
      <c r="F423" s="8" t="s">
        <v>54</v>
      </c>
      <c r="G423" s="10" t="s">
        <v>67</v>
      </c>
      <c r="H423" s="12" t="s">
        <v>55</v>
      </c>
      <c r="I423" s="12" t="s">
        <v>55</v>
      </c>
      <c r="J423" s="12" t="s">
        <v>55</v>
      </c>
      <c r="K423" s="12" t="s">
        <v>55</v>
      </c>
      <c r="L423" s="12" t="s">
        <v>55</v>
      </c>
      <c r="M423" s="8" t="s">
        <v>54</v>
      </c>
      <c r="N423" s="10" t="s">
        <v>67</v>
      </c>
      <c r="O423" s="8" t="s">
        <v>54</v>
      </c>
      <c r="P423" s="8" t="s">
        <v>54</v>
      </c>
      <c r="Q423" s="12" t="s">
        <v>55</v>
      </c>
      <c r="R423" s="8" t="s">
        <v>54</v>
      </c>
      <c r="S423" s="8" t="s">
        <v>54</v>
      </c>
      <c r="T423" s="8" t="s">
        <v>54</v>
      </c>
      <c r="U423" s="10" t="s">
        <v>67</v>
      </c>
      <c r="V423" s="8" t="s">
        <v>54</v>
      </c>
      <c r="W423" s="8" t="s">
        <v>54</v>
      </c>
      <c r="X423" s="12" t="s">
        <v>55</v>
      </c>
      <c r="Y423" s="8" t="s">
        <v>54</v>
      </c>
      <c r="Z423" s="8" t="s">
        <v>54</v>
      </c>
      <c r="AA423" s="12" t="s">
        <v>55</v>
      </c>
      <c r="AB423" s="10" t="s">
        <v>67</v>
      </c>
      <c r="AC423" s="12" t="s">
        <v>55</v>
      </c>
      <c r="AD423" s="12" t="s">
        <v>55</v>
      </c>
      <c r="AE423" s="8" t="s">
        <v>54</v>
      </c>
      <c r="AF423" s="8" t="s">
        <v>54</v>
      </c>
      <c r="AG423" s="8" t="s">
        <v>54</v>
      </c>
      <c r="AH423" s="8" t="s">
        <v>54</v>
      </c>
      <c r="AI423" s="10" t="s">
        <v>67</v>
      </c>
      <c r="AJ423" s="8">
        <f>COUNTIF($E$423:$AI$423,"P")</f>
        <v>16</v>
      </c>
      <c r="AK423" s="8">
        <f>COUNTIF($E$423:$AI$423,"A")</f>
        <v>10</v>
      </c>
      <c r="AL423" s="8">
        <f>SUM($E$424:$AI$424)</f>
        <v>0</v>
      </c>
      <c r="AM423" s="8">
        <f>SUM($E$425:$AI$425)</f>
        <v>0</v>
      </c>
      <c r="AN423" s="8">
        <f>AL423+AM423</f>
        <v>0</v>
      </c>
      <c r="AO423" s="8">
        <f>COUNTIF($E$423:$AI$423,"CL")</f>
        <v>0</v>
      </c>
      <c r="AP423" s="8">
        <f>COUNTIF($E$423:$AI$423,"SL")</f>
        <v>0</v>
      </c>
      <c r="AQ423" s="8">
        <f>COUNTIF($E$423:$AI$423,"EL")</f>
        <v>0</v>
      </c>
      <c r="AR423" s="8">
        <f>COUNTIF($E$423:$AI$423,"H")</f>
        <v>0</v>
      </c>
      <c r="AS423" s="8"/>
      <c r="AT423" s="11" t="s">
        <v>2090</v>
      </c>
    </row>
    <row r="424" spans="1:46" ht="15.1" customHeight="1">
      <c r="A424" s="8"/>
      <c r="B424" s="9"/>
      <c r="C424" s="8"/>
      <c r="D424" s="9"/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11" t="s">
        <v>2090</v>
      </c>
    </row>
    <row r="425" spans="1:46" ht="15.1" customHeight="1">
      <c r="A425" s="8"/>
      <c r="B425" s="9"/>
      <c r="C425" s="8"/>
      <c r="D425" s="9"/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11" t="s">
        <v>2090</v>
      </c>
    </row>
    <row r="426" spans="1:46" ht="15.1" customHeight="1">
      <c r="A426" s="8">
        <v>141</v>
      </c>
      <c r="B426" s="9" t="s">
        <v>2359</v>
      </c>
      <c r="C426" s="8" t="s">
        <v>2360</v>
      </c>
      <c r="D426" s="9" t="s">
        <v>451</v>
      </c>
      <c r="E426" s="8" t="s">
        <v>54</v>
      </c>
      <c r="F426" s="8" t="s">
        <v>54</v>
      </c>
      <c r="G426" s="10" t="s">
        <v>67</v>
      </c>
      <c r="H426" s="8" t="s">
        <v>54</v>
      </c>
      <c r="I426" s="8" t="s">
        <v>54</v>
      </c>
      <c r="J426" s="8" t="s">
        <v>54</v>
      </c>
      <c r="K426" s="8" t="s">
        <v>54</v>
      </c>
      <c r="L426" s="8" t="s">
        <v>54</v>
      </c>
      <c r="M426" s="8" t="s">
        <v>54</v>
      </c>
      <c r="N426" s="10" t="s">
        <v>67</v>
      </c>
      <c r="O426" s="8" t="s">
        <v>54</v>
      </c>
      <c r="P426" s="8" t="s">
        <v>54</v>
      </c>
      <c r="Q426" s="8" t="s">
        <v>54</v>
      </c>
      <c r="R426" s="8" t="s">
        <v>54</v>
      </c>
      <c r="S426" s="8" t="s">
        <v>54</v>
      </c>
      <c r="T426" s="8" t="s">
        <v>54</v>
      </c>
      <c r="U426" s="10" t="s">
        <v>67</v>
      </c>
      <c r="V426" s="8" t="s">
        <v>54</v>
      </c>
      <c r="W426" s="8" t="s">
        <v>54</v>
      </c>
      <c r="X426" s="12" t="s">
        <v>55</v>
      </c>
      <c r="Y426" s="8" t="s">
        <v>54</v>
      </c>
      <c r="Z426" s="8" t="s">
        <v>54</v>
      </c>
      <c r="AA426" s="8" t="s">
        <v>54</v>
      </c>
      <c r="AB426" s="10" t="s">
        <v>67</v>
      </c>
      <c r="AC426" s="8" t="s">
        <v>54</v>
      </c>
      <c r="AD426" s="8" t="s">
        <v>54</v>
      </c>
      <c r="AE426" s="12" t="s">
        <v>55</v>
      </c>
      <c r="AF426" s="12" t="s">
        <v>55</v>
      </c>
      <c r="AG426" s="12" t="s">
        <v>55</v>
      </c>
      <c r="AH426" s="12" t="s">
        <v>55</v>
      </c>
      <c r="AI426" s="10" t="s">
        <v>67</v>
      </c>
      <c r="AJ426" s="8">
        <f>COUNTIF($E$426:$AI$426,"P")</f>
        <v>21</v>
      </c>
      <c r="AK426" s="8">
        <f>COUNTIF($E$426:$AI$426,"A")</f>
        <v>5</v>
      </c>
      <c r="AL426" s="8">
        <f>SUM($E$427:$AI$427)</f>
        <v>0</v>
      </c>
      <c r="AM426" s="8">
        <f>SUM($E$428:$AI$428)</f>
        <v>0</v>
      </c>
      <c r="AN426" s="8">
        <f>AL426+AM426</f>
        <v>0</v>
      </c>
      <c r="AO426" s="8">
        <f>COUNTIF($E$426:$AI$426,"CL")</f>
        <v>0</v>
      </c>
      <c r="AP426" s="8">
        <f>COUNTIF($E$426:$AI$426,"SL")</f>
        <v>0</v>
      </c>
      <c r="AQ426" s="8">
        <f>COUNTIF($E$426:$AI$426,"EL")</f>
        <v>0</v>
      </c>
      <c r="AR426" s="8">
        <f>COUNTIF($E$426:$AI$426,"H")</f>
        <v>0</v>
      </c>
      <c r="AS426" s="8"/>
      <c r="AT426" s="11" t="s">
        <v>2090</v>
      </c>
    </row>
    <row r="427" spans="1:46" ht="15.1" customHeight="1">
      <c r="A427" s="8"/>
      <c r="B427" s="9"/>
      <c r="C427" s="8"/>
      <c r="D427" s="9"/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11" t="s">
        <v>2090</v>
      </c>
    </row>
    <row r="428" spans="1:46" ht="15.1" customHeight="1">
      <c r="A428" s="8"/>
      <c r="B428" s="9"/>
      <c r="C428" s="8"/>
      <c r="D428" s="9"/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11" t="s">
        <v>2090</v>
      </c>
    </row>
    <row r="429" spans="1:46" ht="15.1" customHeight="1">
      <c r="A429" s="8">
        <v>142</v>
      </c>
      <c r="B429" s="9" t="s">
        <v>2361</v>
      </c>
      <c r="C429" s="8" t="s">
        <v>2362</v>
      </c>
      <c r="D429" s="9" t="s">
        <v>451</v>
      </c>
      <c r="E429" s="8" t="s">
        <v>54</v>
      </c>
      <c r="F429" s="8" t="s">
        <v>54</v>
      </c>
      <c r="G429" s="10" t="s">
        <v>67</v>
      </c>
      <c r="H429" s="8" t="s">
        <v>54</v>
      </c>
      <c r="I429" s="8" t="s">
        <v>54</v>
      </c>
      <c r="J429" s="8" t="s">
        <v>54</v>
      </c>
      <c r="K429" s="8" t="s">
        <v>54</v>
      </c>
      <c r="L429" s="8" t="s">
        <v>54</v>
      </c>
      <c r="M429" s="8" t="s">
        <v>54</v>
      </c>
      <c r="N429" s="10" t="s">
        <v>67</v>
      </c>
      <c r="O429" s="8" t="s">
        <v>54</v>
      </c>
      <c r="P429" s="8" t="s">
        <v>54</v>
      </c>
      <c r="Q429" s="8" t="s">
        <v>54</v>
      </c>
      <c r="R429" s="8" t="s">
        <v>54</v>
      </c>
      <c r="S429" s="8" t="s">
        <v>54</v>
      </c>
      <c r="T429" s="8" t="s">
        <v>54</v>
      </c>
      <c r="U429" s="10" t="s">
        <v>67</v>
      </c>
      <c r="V429" s="8" t="s">
        <v>54</v>
      </c>
      <c r="W429" s="8" t="s">
        <v>54</v>
      </c>
      <c r="X429" s="8" t="s">
        <v>54</v>
      </c>
      <c r="Y429" s="8" t="s">
        <v>54</v>
      </c>
      <c r="Z429" s="8" t="s">
        <v>54</v>
      </c>
      <c r="AA429" s="8" t="s">
        <v>54</v>
      </c>
      <c r="AB429" s="10" t="s">
        <v>67</v>
      </c>
      <c r="AC429" s="8" t="s">
        <v>54</v>
      </c>
      <c r="AD429" s="8" t="s">
        <v>54</v>
      </c>
      <c r="AE429" s="8" t="s">
        <v>54</v>
      </c>
      <c r="AF429" s="8" t="s">
        <v>54</v>
      </c>
      <c r="AG429" s="8" t="s">
        <v>54</v>
      </c>
      <c r="AH429" s="8" t="s">
        <v>54</v>
      </c>
      <c r="AI429" s="10" t="s">
        <v>67</v>
      </c>
      <c r="AJ429" s="8">
        <f>COUNTIF($E$429:$AI$429,"P")</f>
        <v>26</v>
      </c>
      <c r="AK429" s="8">
        <f>COUNTIF($E$429:$AI$429,"A")</f>
        <v>0</v>
      </c>
      <c r="AL429" s="8">
        <f>SUM($E$430:$AI$430)</f>
        <v>0</v>
      </c>
      <c r="AM429" s="8">
        <f>SUM($E$431:$AI$431)</f>
        <v>0</v>
      </c>
      <c r="AN429" s="8">
        <f>AL429+AM429</f>
        <v>0</v>
      </c>
      <c r="AO429" s="8">
        <f>COUNTIF($E$429:$AI$429,"CL")</f>
        <v>0</v>
      </c>
      <c r="AP429" s="8">
        <f>COUNTIF($E$429:$AI$429,"SL")</f>
        <v>0</v>
      </c>
      <c r="AQ429" s="8">
        <f>COUNTIF($E$429:$AI$429,"EL")</f>
        <v>0</v>
      </c>
      <c r="AR429" s="8">
        <f>COUNTIF($E$429:$AI$429,"H")</f>
        <v>0</v>
      </c>
      <c r="AS429" s="8"/>
      <c r="AT429" s="11" t="s">
        <v>2090</v>
      </c>
    </row>
    <row r="430" spans="1:46" ht="15.1" customHeight="1">
      <c r="A430" s="8"/>
      <c r="B430" s="9"/>
      <c r="C430" s="8"/>
      <c r="D430" s="9"/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11" t="s">
        <v>2090</v>
      </c>
    </row>
    <row r="431" spans="1:46" ht="15.1" customHeight="1">
      <c r="A431" s="8"/>
      <c r="B431" s="9"/>
      <c r="C431" s="8"/>
      <c r="D431" s="9"/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11" t="s">
        <v>2090</v>
      </c>
    </row>
    <row r="432" spans="1:46" ht="15.1" customHeight="1">
      <c r="A432" s="8">
        <v>143</v>
      </c>
      <c r="B432" s="9" t="s">
        <v>2244</v>
      </c>
      <c r="C432" s="8" t="s">
        <v>2363</v>
      </c>
      <c r="D432" s="9" t="s">
        <v>451</v>
      </c>
      <c r="E432" s="8" t="s">
        <v>54</v>
      </c>
      <c r="F432" s="8" t="s">
        <v>54</v>
      </c>
      <c r="G432" s="10" t="s">
        <v>67</v>
      </c>
      <c r="H432" s="8" t="s">
        <v>54</v>
      </c>
      <c r="I432" s="8" t="s">
        <v>54</v>
      </c>
      <c r="J432" s="12" t="s">
        <v>55</v>
      </c>
      <c r="K432" s="12" t="s">
        <v>55</v>
      </c>
      <c r="L432" s="12" t="s">
        <v>55</v>
      </c>
      <c r="M432" s="12" t="s">
        <v>55</v>
      </c>
      <c r="N432" s="10" t="s">
        <v>67</v>
      </c>
      <c r="O432" s="8" t="s">
        <v>54</v>
      </c>
      <c r="P432" s="8" t="s">
        <v>54</v>
      </c>
      <c r="Q432" s="8" t="s">
        <v>54</v>
      </c>
      <c r="R432" s="8" t="s">
        <v>54</v>
      </c>
      <c r="S432" s="8" t="s">
        <v>54</v>
      </c>
      <c r="T432" s="8" t="s">
        <v>54</v>
      </c>
      <c r="U432" s="10" t="s">
        <v>67</v>
      </c>
      <c r="V432" s="12" t="s">
        <v>55</v>
      </c>
      <c r="W432" s="8" t="s">
        <v>54</v>
      </c>
      <c r="X432" s="12" t="s">
        <v>55</v>
      </c>
      <c r="Y432" s="8" t="s">
        <v>54</v>
      </c>
      <c r="Z432" s="8" t="s">
        <v>54</v>
      </c>
      <c r="AA432" s="8" t="s">
        <v>54</v>
      </c>
      <c r="AB432" s="10" t="s">
        <v>67</v>
      </c>
      <c r="AC432" s="8" t="s">
        <v>54</v>
      </c>
      <c r="AD432" s="12" t="s">
        <v>55</v>
      </c>
      <c r="AE432" s="8" t="s">
        <v>54</v>
      </c>
      <c r="AF432" s="8" t="s">
        <v>54</v>
      </c>
      <c r="AG432" s="8" t="s">
        <v>54</v>
      </c>
      <c r="AH432" s="8" t="s">
        <v>54</v>
      </c>
      <c r="AI432" s="10" t="s">
        <v>67</v>
      </c>
      <c r="AJ432" s="8">
        <f>COUNTIF($E$432:$AI$432,"P")</f>
        <v>19</v>
      </c>
      <c r="AK432" s="8">
        <f>COUNTIF($E$432:$AI$432,"A")</f>
        <v>7</v>
      </c>
      <c r="AL432" s="8">
        <f>SUM($E$433:$AI$433)</f>
        <v>0</v>
      </c>
      <c r="AM432" s="8">
        <f>SUM($E$434:$AI$434)</f>
        <v>0</v>
      </c>
      <c r="AN432" s="8">
        <f>AL432+AM432</f>
        <v>0</v>
      </c>
      <c r="AO432" s="8">
        <f>COUNTIF($E$432:$AI$432,"CL")</f>
        <v>0</v>
      </c>
      <c r="AP432" s="8">
        <f>COUNTIF($E$432:$AI$432,"SL")</f>
        <v>0</v>
      </c>
      <c r="AQ432" s="8">
        <f>COUNTIF($E$432:$AI$432,"EL")</f>
        <v>0</v>
      </c>
      <c r="AR432" s="8">
        <f>COUNTIF($E$432:$AI$432,"H")</f>
        <v>0</v>
      </c>
      <c r="AS432" s="8"/>
      <c r="AT432" s="11" t="s">
        <v>2090</v>
      </c>
    </row>
    <row r="433" spans="1:46" ht="15.1" customHeight="1">
      <c r="A433" s="8"/>
      <c r="B433" s="9"/>
      <c r="C433" s="8"/>
      <c r="D433" s="9"/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11" t="s">
        <v>2090</v>
      </c>
    </row>
    <row r="434" spans="1:46" ht="15.1" customHeight="1">
      <c r="A434" s="8"/>
      <c r="B434" s="9"/>
      <c r="C434" s="8"/>
      <c r="D434" s="9"/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11" t="s">
        <v>2090</v>
      </c>
    </row>
    <row r="435" spans="1:46" ht="15.1" customHeight="1">
      <c r="A435" s="8">
        <v>144</v>
      </c>
      <c r="B435" s="9" t="s">
        <v>2364</v>
      </c>
      <c r="C435" s="8" t="s">
        <v>2365</v>
      </c>
      <c r="D435" s="9" t="s">
        <v>451</v>
      </c>
      <c r="E435" s="8" t="s">
        <v>54</v>
      </c>
      <c r="F435" s="8" t="s">
        <v>54</v>
      </c>
      <c r="G435" s="10" t="s">
        <v>67</v>
      </c>
      <c r="H435" s="8" t="s">
        <v>54</v>
      </c>
      <c r="I435" s="8" t="s">
        <v>54</v>
      </c>
      <c r="J435" s="8" t="s">
        <v>54</v>
      </c>
      <c r="K435" s="8" t="s">
        <v>54</v>
      </c>
      <c r="L435" s="8" t="s">
        <v>54</v>
      </c>
      <c r="M435" s="8" t="s">
        <v>54</v>
      </c>
      <c r="N435" s="10" t="s">
        <v>67</v>
      </c>
      <c r="O435" s="8" t="s">
        <v>54</v>
      </c>
      <c r="P435" s="8" t="s">
        <v>54</v>
      </c>
      <c r="Q435" s="8" t="s">
        <v>54</v>
      </c>
      <c r="R435" s="8" t="s">
        <v>54</v>
      </c>
      <c r="S435" s="8" t="s">
        <v>54</v>
      </c>
      <c r="T435" s="8" t="s">
        <v>54</v>
      </c>
      <c r="U435" s="10" t="s">
        <v>67</v>
      </c>
      <c r="V435" s="12" t="s">
        <v>55</v>
      </c>
      <c r="W435" s="12" t="s">
        <v>55</v>
      </c>
      <c r="X435" s="12" t="s">
        <v>55</v>
      </c>
      <c r="Y435" s="8" t="s">
        <v>54</v>
      </c>
      <c r="Z435" s="8" t="s">
        <v>54</v>
      </c>
      <c r="AA435" s="8" t="s">
        <v>54</v>
      </c>
      <c r="AB435" s="10" t="s">
        <v>67</v>
      </c>
      <c r="AC435" s="8" t="s">
        <v>54</v>
      </c>
      <c r="AD435" s="8" t="s">
        <v>54</v>
      </c>
      <c r="AE435" s="12" t="s">
        <v>55</v>
      </c>
      <c r="AF435" s="12" t="s">
        <v>55</v>
      </c>
      <c r="AG435" s="12" t="s">
        <v>55</v>
      </c>
      <c r="AH435" s="12" t="s">
        <v>55</v>
      </c>
      <c r="AI435" s="10" t="s">
        <v>67</v>
      </c>
      <c r="AJ435" s="8">
        <f>COUNTIF($E$435:$AI$435,"P")</f>
        <v>19</v>
      </c>
      <c r="AK435" s="8">
        <f>COUNTIF($E$435:$AI$435,"A")</f>
        <v>7</v>
      </c>
      <c r="AL435" s="8">
        <f>SUM($E$436:$AI$436)</f>
        <v>0</v>
      </c>
      <c r="AM435" s="8">
        <f>SUM($E$437:$AI$437)</f>
        <v>0</v>
      </c>
      <c r="AN435" s="8">
        <f>AL435+AM435</f>
        <v>0</v>
      </c>
      <c r="AO435" s="8">
        <f>COUNTIF($E$435:$AI$435,"CL")</f>
        <v>0</v>
      </c>
      <c r="AP435" s="8">
        <f>COUNTIF($E$435:$AI$435,"SL")</f>
        <v>0</v>
      </c>
      <c r="AQ435" s="8">
        <f>COUNTIF($E$435:$AI$435,"EL")</f>
        <v>0</v>
      </c>
      <c r="AR435" s="8">
        <f>COUNTIF($E$435:$AI$435,"H")</f>
        <v>0</v>
      </c>
      <c r="AS435" s="8"/>
      <c r="AT435" s="11" t="s">
        <v>2090</v>
      </c>
    </row>
    <row r="436" spans="1:46" ht="15.1" customHeight="1">
      <c r="A436" s="8"/>
      <c r="B436" s="9"/>
      <c r="C436" s="8"/>
      <c r="D436" s="9"/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11" t="s">
        <v>2090</v>
      </c>
    </row>
    <row r="437" spans="1:46" ht="15.1" customHeight="1">
      <c r="A437" s="8"/>
      <c r="B437" s="9"/>
      <c r="C437" s="8"/>
      <c r="D437" s="9"/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11" t="s">
        <v>2090</v>
      </c>
    </row>
    <row r="438" spans="1:46" ht="15.1" customHeight="1">
      <c r="A438" s="8">
        <v>145</v>
      </c>
      <c r="B438" s="9" t="s">
        <v>2366</v>
      </c>
      <c r="C438" s="8" t="s">
        <v>2367</v>
      </c>
      <c r="D438" s="9" t="s">
        <v>451</v>
      </c>
      <c r="E438" s="8" t="s">
        <v>54</v>
      </c>
      <c r="F438" s="8" t="s">
        <v>54</v>
      </c>
      <c r="G438" s="10" t="s">
        <v>67</v>
      </c>
      <c r="H438" s="8" t="s">
        <v>54</v>
      </c>
      <c r="I438" s="8" t="s">
        <v>54</v>
      </c>
      <c r="J438" s="8" t="s">
        <v>54</v>
      </c>
      <c r="K438" s="8" t="s">
        <v>54</v>
      </c>
      <c r="L438" s="8" t="s">
        <v>54</v>
      </c>
      <c r="M438" s="8" t="s">
        <v>54</v>
      </c>
      <c r="N438" s="10" t="s">
        <v>67</v>
      </c>
      <c r="O438" s="8" t="s">
        <v>54</v>
      </c>
      <c r="P438" s="8" t="s">
        <v>54</v>
      </c>
      <c r="Q438" s="8" t="s">
        <v>54</v>
      </c>
      <c r="R438" s="8" t="s">
        <v>54</v>
      </c>
      <c r="S438" s="8" t="s">
        <v>54</v>
      </c>
      <c r="T438" s="8" t="s">
        <v>54</v>
      </c>
      <c r="U438" s="10" t="s">
        <v>67</v>
      </c>
      <c r="V438" s="12" t="s">
        <v>55</v>
      </c>
      <c r="W438" s="8" t="s">
        <v>54</v>
      </c>
      <c r="X438" s="12" t="s">
        <v>55</v>
      </c>
      <c r="Y438" s="8" t="s">
        <v>54</v>
      </c>
      <c r="Z438" s="8" t="s">
        <v>54</v>
      </c>
      <c r="AA438" s="8" t="s">
        <v>54</v>
      </c>
      <c r="AB438" s="10" t="s">
        <v>67</v>
      </c>
      <c r="AC438" s="8" t="s">
        <v>54</v>
      </c>
      <c r="AD438" s="8" t="s">
        <v>54</v>
      </c>
      <c r="AE438" s="8" t="s">
        <v>54</v>
      </c>
      <c r="AF438" s="8" t="s">
        <v>54</v>
      </c>
      <c r="AG438" s="8" t="s">
        <v>54</v>
      </c>
      <c r="AH438" s="8" t="s">
        <v>54</v>
      </c>
      <c r="AI438" s="10" t="s">
        <v>67</v>
      </c>
      <c r="AJ438" s="8">
        <f>COUNTIF($E$438:$AI$438,"P")</f>
        <v>24</v>
      </c>
      <c r="AK438" s="8">
        <f>COUNTIF($E$438:$AI$438,"A")</f>
        <v>2</v>
      </c>
      <c r="AL438" s="8">
        <f>SUM($E$439:$AI$439)</f>
        <v>0</v>
      </c>
      <c r="AM438" s="8">
        <f>SUM($E$440:$AI$440)</f>
        <v>0</v>
      </c>
      <c r="AN438" s="8">
        <f>AL438+AM438</f>
        <v>0</v>
      </c>
      <c r="AO438" s="8">
        <f>COUNTIF($E$438:$AI$438,"CL")</f>
        <v>0</v>
      </c>
      <c r="AP438" s="8">
        <f>COUNTIF($E$438:$AI$438,"SL")</f>
        <v>0</v>
      </c>
      <c r="AQ438" s="8">
        <f>COUNTIF($E$438:$AI$438,"EL")</f>
        <v>0</v>
      </c>
      <c r="AR438" s="8">
        <f>COUNTIF($E$438:$AI$438,"H")</f>
        <v>0</v>
      </c>
      <c r="AS438" s="8"/>
      <c r="AT438" s="11" t="s">
        <v>2090</v>
      </c>
    </row>
    <row r="439" spans="1:46" ht="15.1" customHeight="1">
      <c r="A439" s="8"/>
      <c r="B439" s="9"/>
      <c r="C439" s="8"/>
      <c r="D439" s="9"/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11" t="s">
        <v>2090</v>
      </c>
    </row>
    <row r="440" spans="1:46" ht="15.1" customHeight="1">
      <c r="A440" s="8"/>
      <c r="B440" s="9"/>
      <c r="C440" s="8"/>
      <c r="D440" s="9"/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11" t="s">
        <v>2090</v>
      </c>
    </row>
    <row r="441" spans="1:46" ht="15.1" customHeight="1">
      <c r="A441" s="8">
        <v>146</v>
      </c>
      <c r="B441" s="9" t="s">
        <v>2368</v>
      </c>
      <c r="C441" s="8" t="s">
        <v>2369</v>
      </c>
      <c r="D441" s="9" t="s">
        <v>451</v>
      </c>
      <c r="E441" s="8" t="s">
        <v>54</v>
      </c>
      <c r="F441" s="8" t="s">
        <v>54</v>
      </c>
      <c r="G441" s="10" t="s">
        <v>67</v>
      </c>
      <c r="H441" s="8" t="s">
        <v>54</v>
      </c>
      <c r="I441" s="8" t="s">
        <v>54</v>
      </c>
      <c r="J441" s="8" t="s">
        <v>54</v>
      </c>
      <c r="K441" s="8" t="s">
        <v>54</v>
      </c>
      <c r="L441" s="8" t="s">
        <v>54</v>
      </c>
      <c r="M441" s="8" t="s">
        <v>54</v>
      </c>
      <c r="N441" s="10" t="s">
        <v>67</v>
      </c>
      <c r="O441" s="8" t="s">
        <v>54</v>
      </c>
      <c r="P441" s="8" t="s">
        <v>54</v>
      </c>
      <c r="Q441" s="8" t="s">
        <v>54</v>
      </c>
      <c r="R441" s="8" t="s">
        <v>54</v>
      </c>
      <c r="S441" s="8" t="s">
        <v>54</v>
      </c>
      <c r="T441" s="8" t="s">
        <v>54</v>
      </c>
      <c r="U441" s="10" t="s">
        <v>67</v>
      </c>
      <c r="V441" s="12" t="s">
        <v>55</v>
      </c>
      <c r="W441" s="8" t="s">
        <v>54</v>
      </c>
      <c r="X441" s="12" t="s">
        <v>55</v>
      </c>
      <c r="Y441" s="8" t="s">
        <v>54</v>
      </c>
      <c r="Z441" s="8" t="s">
        <v>54</v>
      </c>
      <c r="AA441" s="8" t="s">
        <v>54</v>
      </c>
      <c r="AB441" s="10" t="s">
        <v>67</v>
      </c>
      <c r="AC441" s="8" t="s">
        <v>54</v>
      </c>
      <c r="AD441" s="8" t="s">
        <v>54</v>
      </c>
      <c r="AE441" s="8" t="s">
        <v>54</v>
      </c>
      <c r="AF441" s="8" t="s">
        <v>54</v>
      </c>
      <c r="AG441" s="8" t="s">
        <v>54</v>
      </c>
      <c r="AH441" s="8" t="s">
        <v>54</v>
      </c>
      <c r="AI441" s="10" t="s">
        <v>67</v>
      </c>
      <c r="AJ441" s="8">
        <f>COUNTIF($E$441:$AI$441,"P")</f>
        <v>24</v>
      </c>
      <c r="AK441" s="8">
        <f>COUNTIF($E$441:$AI$441,"A")</f>
        <v>2</v>
      </c>
      <c r="AL441" s="8">
        <f>SUM($E$442:$AI$442)</f>
        <v>0</v>
      </c>
      <c r="AM441" s="8">
        <f>SUM($E$443:$AI$443)</f>
        <v>0</v>
      </c>
      <c r="AN441" s="8">
        <f>AL441+AM441</f>
        <v>0</v>
      </c>
      <c r="AO441" s="8">
        <f>COUNTIF($E$441:$AI$441,"CL")</f>
        <v>0</v>
      </c>
      <c r="AP441" s="8">
        <f>COUNTIF($E$441:$AI$441,"SL")</f>
        <v>0</v>
      </c>
      <c r="AQ441" s="8">
        <f>COUNTIF($E$441:$AI$441,"EL")</f>
        <v>0</v>
      </c>
      <c r="AR441" s="8">
        <f>COUNTIF($E$441:$AI$441,"H")</f>
        <v>0</v>
      </c>
      <c r="AS441" s="8"/>
      <c r="AT441" s="11" t="s">
        <v>2090</v>
      </c>
    </row>
    <row r="442" spans="1:46" ht="15.1" customHeight="1">
      <c r="A442" s="8"/>
      <c r="B442" s="9"/>
      <c r="C442" s="8"/>
      <c r="D442" s="9"/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11" t="s">
        <v>2090</v>
      </c>
    </row>
    <row r="443" spans="1:46" ht="15.1" customHeight="1">
      <c r="A443" s="8"/>
      <c r="B443" s="9"/>
      <c r="C443" s="8"/>
      <c r="D443" s="9"/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11" t="s">
        <v>2090</v>
      </c>
    </row>
    <row r="444" spans="1:46" ht="15.1" customHeight="1">
      <c r="A444" s="8">
        <v>147</v>
      </c>
      <c r="B444" s="9" t="s">
        <v>2370</v>
      </c>
      <c r="C444" s="8" t="s">
        <v>2371</v>
      </c>
      <c r="D444" s="9" t="s">
        <v>451</v>
      </c>
      <c r="E444" s="8" t="s">
        <v>54</v>
      </c>
      <c r="F444" s="8" t="s">
        <v>54</v>
      </c>
      <c r="G444" s="10" t="s">
        <v>67</v>
      </c>
      <c r="H444" s="8" t="s">
        <v>54</v>
      </c>
      <c r="I444" s="8" t="s">
        <v>54</v>
      </c>
      <c r="J444" s="8" t="s">
        <v>54</v>
      </c>
      <c r="K444" s="8" t="s">
        <v>54</v>
      </c>
      <c r="L444" s="8" t="s">
        <v>54</v>
      </c>
      <c r="M444" s="8" t="s">
        <v>54</v>
      </c>
      <c r="N444" s="10" t="s">
        <v>67</v>
      </c>
      <c r="O444" s="8" t="s">
        <v>54</v>
      </c>
      <c r="P444" s="8" t="s">
        <v>54</v>
      </c>
      <c r="Q444" s="8" t="s">
        <v>54</v>
      </c>
      <c r="R444" s="8" t="s">
        <v>54</v>
      </c>
      <c r="S444" s="8" t="s">
        <v>54</v>
      </c>
      <c r="T444" s="8" t="s">
        <v>54</v>
      </c>
      <c r="U444" s="10" t="s">
        <v>67</v>
      </c>
      <c r="V444" s="8" t="s">
        <v>54</v>
      </c>
      <c r="W444" s="8" t="s">
        <v>54</v>
      </c>
      <c r="X444" s="12" t="s">
        <v>55</v>
      </c>
      <c r="Y444" s="8" t="s">
        <v>54</v>
      </c>
      <c r="Z444" s="12" t="s">
        <v>55</v>
      </c>
      <c r="AA444" s="12" t="s">
        <v>55</v>
      </c>
      <c r="AB444" s="10" t="s">
        <v>67</v>
      </c>
      <c r="AC444" s="12" t="s">
        <v>55</v>
      </c>
      <c r="AD444" s="8" t="s">
        <v>54</v>
      </c>
      <c r="AE444" s="8" t="s">
        <v>54</v>
      </c>
      <c r="AF444" s="8" t="s">
        <v>54</v>
      </c>
      <c r="AG444" s="8" t="s">
        <v>54</v>
      </c>
      <c r="AH444" s="12" t="s">
        <v>55</v>
      </c>
      <c r="AI444" s="10" t="s">
        <v>67</v>
      </c>
      <c r="AJ444" s="8">
        <f>COUNTIF($E$444:$AI$444,"P")</f>
        <v>21</v>
      </c>
      <c r="AK444" s="8">
        <f>COUNTIF($E$444:$AI$444,"A")</f>
        <v>5</v>
      </c>
      <c r="AL444" s="8">
        <f>SUM($E$445:$AI$445)</f>
        <v>0</v>
      </c>
      <c r="AM444" s="8">
        <f>SUM($E$446:$AI$446)</f>
        <v>0</v>
      </c>
      <c r="AN444" s="8">
        <f>AL444+AM444</f>
        <v>0</v>
      </c>
      <c r="AO444" s="8">
        <f>COUNTIF($E$444:$AI$444,"CL")</f>
        <v>0</v>
      </c>
      <c r="AP444" s="8">
        <f>COUNTIF($E$444:$AI$444,"SL")</f>
        <v>0</v>
      </c>
      <c r="AQ444" s="8">
        <f>COUNTIF($E$444:$AI$444,"EL")</f>
        <v>0</v>
      </c>
      <c r="AR444" s="8">
        <f>COUNTIF($E$444:$AI$444,"H")</f>
        <v>0</v>
      </c>
      <c r="AS444" s="8"/>
      <c r="AT444" s="11" t="s">
        <v>2090</v>
      </c>
    </row>
    <row r="445" spans="1:46" ht="15.1" customHeight="1">
      <c r="A445" s="8"/>
      <c r="B445" s="9"/>
      <c r="C445" s="8"/>
      <c r="D445" s="9"/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11" t="s">
        <v>2090</v>
      </c>
    </row>
    <row r="446" spans="1:46" ht="15.1" customHeight="1">
      <c r="A446" s="8"/>
      <c r="B446" s="9"/>
      <c r="C446" s="8"/>
      <c r="D446" s="9"/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11" t="s">
        <v>2090</v>
      </c>
    </row>
    <row r="447" spans="1:46" ht="15.1" customHeight="1">
      <c r="A447" s="8">
        <v>148</v>
      </c>
      <c r="B447" s="9" t="s">
        <v>2372</v>
      </c>
      <c r="C447" s="8" t="s">
        <v>2373</v>
      </c>
      <c r="D447" s="9" t="s">
        <v>451</v>
      </c>
      <c r="E447" s="8" t="s">
        <v>54</v>
      </c>
      <c r="F447" s="8" t="s">
        <v>54</v>
      </c>
      <c r="G447" s="10" t="s">
        <v>67</v>
      </c>
      <c r="H447" s="8" t="s">
        <v>54</v>
      </c>
      <c r="I447" s="8" t="s">
        <v>54</v>
      </c>
      <c r="J447" s="8" t="s">
        <v>54</v>
      </c>
      <c r="K447" s="8" t="s">
        <v>54</v>
      </c>
      <c r="L447" s="8" t="s">
        <v>54</v>
      </c>
      <c r="M447" s="8" t="s">
        <v>54</v>
      </c>
      <c r="N447" s="10" t="s">
        <v>67</v>
      </c>
      <c r="O447" s="8" t="s">
        <v>54</v>
      </c>
      <c r="P447" s="8" t="s">
        <v>54</v>
      </c>
      <c r="Q447" s="8" t="s">
        <v>54</v>
      </c>
      <c r="R447" s="12" t="s">
        <v>55</v>
      </c>
      <c r="S447" s="12" t="s">
        <v>55</v>
      </c>
      <c r="T447" s="8" t="s">
        <v>54</v>
      </c>
      <c r="U447" s="10" t="s">
        <v>67</v>
      </c>
      <c r="V447" s="8" t="s">
        <v>54</v>
      </c>
      <c r="W447" s="8" t="s">
        <v>54</v>
      </c>
      <c r="X447" s="12" t="s">
        <v>55</v>
      </c>
      <c r="Y447" s="8" t="s">
        <v>54</v>
      </c>
      <c r="Z447" s="8" t="s">
        <v>54</v>
      </c>
      <c r="AA447" s="8" t="s">
        <v>54</v>
      </c>
      <c r="AB447" s="10" t="s">
        <v>67</v>
      </c>
      <c r="AC447" s="12" t="s">
        <v>55</v>
      </c>
      <c r="AD447" s="8" t="s">
        <v>54</v>
      </c>
      <c r="AE447" s="8" t="s">
        <v>54</v>
      </c>
      <c r="AF447" s="8" t="s">
        <v>54</v>
      </c>
      <c r="AG447" s="8" t="s">
        <v>54</v>
      </c>
      <c r="AH447" s="8" t="s">
        <v>54</v>
      </c>
      <c r="AI447" s="10" t="s">
        <v>67</v>
      </c>
      <c r="AJ447" s="8">
        <f>COUNTIF($E$447:$AI$447,"P")</f>
        <v>22</v>
      </c>
      <c r="AK447" s="8">
        <f>COUNTIF($E$447:$AI$447,"A")</f>
        <v>4</v>
      </c>
      <c r="AL447" s="8">
        <f>SUM($E$448:$AI$448)</f>
        <v>0</v>
      </c>
      <c r="AM447" s="8">
        <f>SUM($E$449:$AI$449)</f>
        <v>0</v>
      </c>
      <c r="AN447" s="8">
        <f>AL447+AM447</f>
        <v>0</v>
      </c>
      <c r="AO447" s="8">
        <f>COUNTIF($E$447:$AI$447,"CL")</f>
        <v>0</v>
      </c>
      <c r="AP447" s="8">
        <f>COUNTIF($E$447:$AI$447,"SL")</f>
        <v>0</v>
      </c>
      <c r="AQ447" s="8">
        <f>COUNTIF($E$447:$AI$447,"EL")</f>
        <v>0</v>
      </c>
      <c r="AR447" s="8">
        <f>COUNTIF($E$447:$AI$447,"H")</f>
        <v>0</v>
      </c>
      <c r="AS447" s="8"/>
      <c r="AT447" s="11" t="s">
        <v>2090</v>
      </c>
    </row>
    <row r="448" spans="1:46" ht="15.1" customHeight="1">
      <c r="A448" s="8"/>
      <c r="B448" s="9"/>
      <c r="C448" s="8"/>
      <c r="D448" s="9"/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11" t="s">
        <v>2090</v>
      </c>
    </row>
    <row r="449" spans="1:46" ht="15.1" customHeight="1">
      <c r="A449" s="8"/>
      <c r="B449" s="9"/>
      <c r="C449" s="8"/>
      <c r="D449" s="9"/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11" t="s">
        <v>2090</v>
      </c>
    </row>
    <row r="450" spans="1:46" ht="15.1" customHeight="1">
      <c r="A450" s="8">
        <v>149</v>
      </c>
      <c r="B450" s="9" t="s">
        <v>2374</v>
      </c>
      <c r="C450" s="8" t="s">
        <v>2375</v>
      </c>
      <c r="D450" s="9" t="s">
        <v>451</v>
      </c>
      <c r="E450" s="8" t="s">
        <v>54</v>
      </c>
      <c r="F450" s="8" t="s">
        <v>54</v>
      </c>
      <c r="G450" s="10" t="s">
        <v>67</v>
      </c>
      <c r="H450" s="8" t="s">
        <v>54</v>
      </c>
      <c r="I450" s="8" t="s">
        <v>54</v>
      </c>
      <c r="J450" s="8" t="s">
        <v>54</v>
      </c>
      <c r="K450" s="8" t="s">
        <v>54</v>
      </c>
      <c r="L450" s="8" t="s">
        <v>54</v>
      </c>
      <c r="M450" s="8" t="s">
        <v>54</v>
      </c>
      <c r="N450" s="10" t="s">
        <v>67</v>
      </c>
      <c r="O450" s="8" t="s">
        <v>54</v>
      </c>
      <c r="P450" s="12" t="s">
        <v>55</v>
      </c>
      <c r="Q450" s="8" t="s">
        <v>54</v>
      </c>
      <c r="R450" s="8" t="s">
        <v>54</v>
      </c>
      <c r="S450" s="8" t="s">
        <v>54</v>
      </c>
      <c r="T450" s="8" t="s">
        <v>54</v>
      </c>
      <c r="U450" s="10" t="s">
        <v>67</v>
      </c>
      <c r="V450" s="8" t="s">
        <v>54</v>
      </c>
      <c r="W450" s="8" t="s">
        <v>54</v>
      </c>
      <c r="X450" s="12" t="s">
        <v>55</v>
      </c>
      <c r="Y450" s="8" t="s">
        <v>54</v>
      </c>
      <c r="Z450" s="8" t="s">
        <v>54</v>
      </c>
      <c r="AA450" s="8" t="s">
        <v>54</v>
      </c>
      <c r="AB450" s="10" t="s">
        <v>67</v>
      </c>
      <c r="AC450" s="12" t="s">
        <v>55</v>
      </c>
      <c r="AD450" s="8" t="s">
        <v>54</v>
      </c>
      <c r="AE450" s="8" t="s">
        <v>54</v>
      </c>
      <c r="AF450" s="8" t="s">
        <v>54</v>
      </c>
      <c r="AG450" s="8" t="s">
        <v>54</v>
      </c>
      <c r="AH450" s="8" t="s">
        <v>54</v>
      </c>
      <c r="AI450" s="10" t="s">
        <v>67</v>
      </c>
      <c r="AJ450" s="8">
        <f>COUNTIF($E$450:$AI$450,"P")</f>
        <v>23</v>
      </c>
      <c r="AK450" s="8">
        <f>COUNTIF($E$450:$AI$450,"A")</f>
        <v>3</v>
      </c>
      <c r="AL450" s="8">
        <f>SUM($E$451:$AI$451)</f>
        <v>0</v>
      </c>
      <c r="AM450" s="8">
        <f>SUM($E$452:$AI$452)</f>
        <v>0</v>
      </c>
      <c r="AN450" s="8">
        <f>AL450+AM450</f>
        <v>0</v>
      </c>
      <c r="AO450" s="8">
        <f>COUNTIF($E$450:$AI$450,"CL")</f>
        <v>0</v>
      </c>
      <c r="AP450" s="8">
        <f>COUNTIF($E$450:$AI$450,"SL")</f>
        <v>0</v>
      </c>
      <c r="AQ450" s="8">
        <f>COUNTIF($E$450:$AI$450,"EL")</f>
        <v>0</v>
      </c>
      <c r="AR450" s="8">
        <f>COUNTIF($E$450:$AI$450,"H")</f>
        <v>0</v>
      </c>
      <c r="AS450" s="8"/>
      <c r="AT450" s="11" t="s">
        <v>2090</v>
      </c>
    </row>
    <row r="451" spans="1:46" ht="15.1" customHeight="1">
      <c r="A451" s="8"/>
      <c r="B451" s="9"/>
      <c r="C451" s="8"/>
      <c r="D451" s="9"/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11" t="s">
        <v>2090</v>
      </c>
    </row>
    <row r="452" spans="1:46" ht="15.1" customHeight="1">
      <c r="A452" s="8"/>
      <c r="B452" s="9"/>
      <c r="C452" s="8"/>
      <c r="D452" s="9"/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11" t="s">
        <v>2090</v>
      </c>
    </row>
    <row r="453" spans="1:46" ht="15.1" customHeight="1">
      <c r="A453" s="8">
        <v>150</v>
      </c>
      <c r="B453" s="9" t="s">
        <v>2376</v>
      </c>
      <c r="C453" s="8" t="s">
        <v>2377</v>
      </c>
      <c r="D453" s="9" t="s">
        <v>451</v>
      </c>
      <c r="E453" s="8" t="s">
        <v>54</v>
      </c>
      <c r="F453" s="8" t="s">
        <v>54</v>
      </c>
      <c r="G453" s="10" t="s">
        <v>67</v>
      </c>
      <c r="H453" s="8" t="s">
        <v>54</v>
      </c>
      <c r="I453" s="8" t="s">
        <v>54</v>
      </c>
      <c r="J453" s="8" t="s">
        <v>54</v>
      </c>
      <c r="K453" s="8" t="s">
        <v>54</v>
      </c>
      <c r="L453" s="8" t="s">
        <v>54</v>
      </c>
      <c r="M453" s="8" t="s">
        <v>54</v>
      </c>
      <c r="N453" s="10" t="s">
        <v>67</v>
      </c>
      <c r="O453" s="8" t="s">
        <v>54</v>
      </c>
      <c r="P453" s="8" t="s">
        <v>54</v>
      </c>
      <c r="Q453" s="8" t="s">
        <v>54</v>
      </c>
      <c r="R453" s="8" t="s">
        <v>54</v>
      </c>
      <c r="S453" s="8" t="s">
        <v>54</v>
      </c>
      <c r="T453" s="8" t="s">
        <v>54</v>
      </c>
      <c r="U453" s="10" t="s">
        <v>67</v>
      </c>
      <c r="V453" s="8" t="s">
        <v>54</v>
      </c>
      <c r="W453" s="8" t="s">
        <v>54</v>
      </c>
      <c r="X453" s="8" t="s">
        <v>54</v>
      </c>
      <c r="Y453" s="8" t="s">
        <v>54</v>
      </c>
      <c r="Z453" s="8" t="s">
        <v>54</v>
      </c>
      <c r="AA453" s="8" t="s">
        <v>54</v>
      </c>
      <c r="AB453" s="10" t="s">
        <v>67</v>
      </c>
      <c r="AC453" s="8" t="s">
        <v>54</v>
      </c>
      <c r="AD453" s="8" t="s">
        <v>54</v>
      </c>
      <c r="AE453" s="8" t="s">
        <v>54</v>
      </c>
      <c r="AF453" s="8" t="s">
        <v>54</v>
      </c>
      <c r="AG453" s="8" t="s">
        <v>54</v>
      </c>
      <c r="AH453" s="8" t="s">
        <v>54</v>
      </c>
      <c r="AI453" s="10" t="s">
        <v>67</v>
      </c>
      <c r="AJ453" s="8">
        <f>COUNTIF($E$453:$AI$453,"P")</f>
        <v>26</v>
      </c>
      <c r="AK453" s="8">
        <f>COUNTIF($E$453:$AI$453,"A")</f>
        <v>0</v>
      </c>
      <c r="AL453" s="8">
        <f>SUM($E$454:$AI$454)</f>
        <v>0</v>
      </c>
      <c r="AM453" s="8">
        <f>SUM($E$455:$AI$455)</f>
        <v>0</v>
      </c>
      <c r="AN453" s="8">
        <f>AL453+AM453</f>
        <v>0</v>
      </c>
      <c r="AO453" s="8">
        <f>COUNTIF($E$453:$AI$453,"CL")</f>
        <v>0</v>
      </c>
      <c r="AP453" s="8">
        <f>COUNTIF($E$453:$AI$453,"SL")</f>
        <v>0</v>
      </c>
      <c r="AQ453" s="8">
        <f>COUNTIF($E$453:$AI$453,"EL")</f>
        <v>0</v>
      </c>
      <c r="AR453" s="8">
        <f>COUNTIF($E$453:$AI$453,"H")</f>
        <v>0</v>
      </c>
      <c r="AS453" s="8"/>
      <c r="AT453" s="11" t="s">
        <v>2090</v>
      </c>
    </row>
    <row r="454" spans="1:46" ht="15.1" customHeight="1">
      <c r="A454" s="8"/>
      <c r="B454" s="9"/>
      <c r="C454" s="8"/>
      <c r="D454" s="9"/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11" t="s">
        <v>2090</v>
      </c>
    </row>
    <row r="455" spans="1:46" ht="15.1" customHeight="1">
      <c r="A455" s="8"/>
      <c r="B455" s="9"/>
      <c r="C455" s="8"/>
      <c r="D455" s="9"/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11" t="s">
        <v>2090</v>
      </c>
    </row>
    <row r="456" spans="1:46" ht="15.1" customHeight="1">
      <c r="A456" s="8">
        <v>151</v>
      </c>
      <c r="B456" s="9" t="s">
        <v>436</v>
      </c>
      <c r="C456" s="8" t="s">
        <v>2378</v>
      </c>
      <c r="D456" s="9" t="s">
        <v>451</v>
      </c>
      <c r="E456" s="8" t="s">
        <v>54</v>
      </c>
      <c r="F456" s="8" t="s">
        <v>54</v>
      </c>
      <c r="G456" s="10" t="s">
        <v>67</v>
      </c>
      <c r="H456" s="8" t="s">
        <v>54</v>
      </c>
      <c r="I456" s="8" t="s">
        <v>54</v>
      </c>
      <c r="J456" s="8" t="s">
        <v>54</v>
      </c>
      <c r="K456" s="8" t="s">
        <v>54</v>
      </c>
      <c r="L456" s="8" t="s">
        <v>54</v>
      </c>
      <c r="M456" s="8" t="s">
        <v>54</v>
      </c>
      <c r="N456" s="10" t="s">
        <v>67</v>
      </c>
      <c r="O456" s="8" t="s">
        <v>54</v>
      </c>
      <c r="P456" s="8" t="s">
        <v>54</v>
      </c>
      <c r="Q456" s="8" t="s">
        <v>54</v>
      </c>
      <c r="R456" s="8" t="s">
        <v>54</v>
      </c>
      <c r="S456" s="8" t="s">
        <v>54</v>
      </c>
      <c r="T456" s="12" t="s">
        <v>55</v>
      </c>
      <c r="U456" s="10" t="s">
        <v>67</v>
      </c>
      <c r="V456" s="8" t="s">
        <v>54</v>
      </c>
      <c r="W456" s="8" t="s">
        <v>54</v>
      </c>
      <c r="X456" s="12" t="s">
        <v>55</v>
      </c>
      <c r="Y456" s="8" t="s">
        <v>54</v>
      </c>
      <c r="Z456" s="8" t="s">
        <v>54</v>
      </c>
      <c r="AA456" s="8" t="s">
        <v>54</v>
      </c>
      <c r="AB456" s="10" t="s">
        <v>67</v>
      </c>
      <c r="AC456" s="8" t="s">
        <v>54</v>
      </c>
      <c r="AD456" s="8" t="s">
        <v>54</v>
      </c>
      <c r="AE456" s="8" t="s">
        <v>54</v>
      </c>
      <c r="AF456" s="8" t="s">
        <v>54</v>
      </c>
      <c r="AG456" s="8" t="s">
        <v>54</v>
      </c>
      <c r="AH456" s="8" t="s">
        <v>54</v>
      </c>
      <c r="AI456" s="10" t="s">
        <v>67</v>
      </c>
      <c r="AJ456" s="8">
        <f>COUNTIF($E$456:$AI$456,"P")</f>
        <v>24</v>
      </c>
      <c r="AK456" s="8">
        <f>COUNTIF($E$456:$AI$456,"A")</f>
        <v>2</v>
      </c>
      <c r="AL456" s="8">
        <f>SUM($E$457:$AI$457)</f>
        <v>0</v>
      </c>
      <c r="AM456" s="8">
        <f>SUM($E$458:$AI$458)</f>
        <v>0</v>
      </c>
      <c r="AN456" s="8">
        <f>AL456+AM456</f>
        <v>0</v>
      </c>
      <c r="AO456" s="8">
        <f>COUNTIF($E$456:$AI$456,"CL")</f>
        <v>0</v>
      </c>
      <c r="AP456" s="8">
        <f>COUNTIF($E$456:$AI$456,"SL")</f>
        <v>0</v>
      </c>
      <c r="AQ456" s="8">
        <f>COUNTIF($E$456:$AI$456,"EL")</f>
        <v>0</v>
      </c>
      <c r="AR456" s="8">
        <f>COUNTIF($E$456:$AI$456,"H")</f>
        <v>0</v>
      </c>
      <c r="AS456" s="8"/>
      <c r="AT456" s="11" t="s">
        <v>2090</v>
      </c>
    </row>
    <row r="457" spans="1:46" ht="15.1" customHeight="1">
      <c r="A457" s="8"/>
      <c r="B457" s="9"/>
      <c r="C457" s="8"/>
      <c r="D457" s="9"/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11" t="s">
        <v>2090</v>
      </c>
    </row>
    <row r="458" spans="1:46" ht="15.1" customHeight="1">
      <c r="A458" s="8"/>
      <c r="B458" s="9"/>
      <c r="C458" s="8"/>
      <c r="D458" s="9"/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11" t="s">
        <v>2090</v>
      </c>
    </row>
    <row r="459" spans="1:46" ht="15.1" customHeight="1">
      <c r="A459" s="8">
        <v>152</v>
      </c>
      <c r="B459" s="9" t="s">
        <v>2379</v>
      </c>
      <c r="C459" s="8" t="s">
        <v>2380</v>
      </c>
      <c r="D459" s="9" t="s">
        <v>451</v>
      </c>
      <c r="E459" s="8" t="s">
        <v>54</v>
      </c>
      <c r="F459" s="8" t="s">
        <v>54</v>
      </c>
      <c r="G459" s="10" t="s">
        <v>67</v>
      </c>
      <c r="H459" s="8" t="s">
        <v>54</v>
      </c>
      <c r="I459" s="8" t="s">
        <v>54</v>
      </c>
      <c r="J459" s="8" t="s">
        <v>54</v>
      </c>
      <c r="K459" s="8" t="s">
        <v>54</v>
      </c>
      <c r="L459" s="8" t="s">
        <v>54</v>
      </c>
      <c r="M459" s="8" t="s">
        <v>54</v>
      </c>
      <c r="N459" s="10" t="s">
        <v>67</v>
      </c>
      <c r="O459" s="8" t="s">
        <v>54</v>
      </c>
      <c r="P459" s="8" t="s">
        <v>54</v>
      </c>
      <c r="Q459" s="8" t="s">
        <v>54</v>
      </c>
      <c r="R459" s="8" t="s">
        <v>54</v>
      </c>
      <c r="S459" s="8" t="s">
        <v>54</v>
      </c>
      <c r="T459" s="8" t="s">
        <v>54</v>
      </c>
      <c r="U459" s="10" t="s">
        <v>67</v>
      </c>
      <c r="V459" s="8" t="s">
        <v>54</v>
      </c>
      <c r="W459" s="8" t="s">
        <v>54</v>
      </c>
      <c r="X459" s="12" t="s">
        <v>55</v>
      </c>
      <c r="Y459" s="8" t="s">
        <v>54</v>
      </c>
      <c r="Z459" s="8" t="s">
        <v>54</v>
      </c>
      <c r="AA459" s="8" t="s">
        <v>54</v>
      </c>
      <c r="AB459" s="10" t="s">
        <v>67</v>
      </c>
      <c r="AC459" s="8" t="s">
        <v>54</v>
      </c>
      <c r="AD459" s="8" t="s">
        <v>54</v>
      </c>
      <c r="AE459" s="8" t="s">
        <v>54</v>
      </c>
      <c r="AF459" s="8" t="s">
        <v>54</v>
      </c>
      <c r="AG459" s="8" t="s">
        <v>54</v>
      </c>
      <c r="AH459" s="8" t="s">
        <v>54</v>
      </c>
      <c r="AI459" s="10" t="s">
        <v>67</v>
      </c>
      <c r="AJ459" s="8">
        <f>COUNTIF($E$459:$AI$459,"P")</f>
        <v>25</v>
      </c>
      <c r="AK459" s="8">
        <f>COUNTIF($E$459:$AI$459,"A")</f>
        <v>1</v>
      </c>
      <c r="AL459" s="8">
        <f>SUM($E$460:$AI$460)</f>
        <v>0</v>
      </c>
      <c r="AM459" s="8">
        <f>SUM($E$461:$AI$461)</f>
        <v>0</v>
      </c>
      <c r="AN459" s="8">
        <f>AL459+AM459</f>
        <v>0</v>
      </c>
      <c r="AO459" s="8">
        <f>COUNTIF($E$459:$AI$459,"CL")</f>
        <v>0</v>
      </c>
      <c r="AP459" s="8">
        <f>COUNTIF($E$459:$AI$459,"SL")</f>
        <v>0</v>
      </c>
      <c r="AQ459" s="8">
        <f>COUNTIF($E$459:$AI$459,"EL")</f>
        <v>0</v>
      </c>
      <c r="AR459" s="8">
        <f>COUNTIF($E$459:$AI$459,"H")</f>
        <v>0</v>
      </c>
      <c r="AS459" s="8"/>
      <c r="AT459" s="11" t="s">
        <v>2090</v>
      </c>
    </row>
    <row r="460" spans="1:46" ht="15.1" customHeight="1">
      <c r="A460" s="8"/>
      <c r="B460" s="9"/>
      <c r="C460" s="8"/>
      <c r="D460" s="9"/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11" t="s">
        <v>2090</v>
      </c>
    </row>
    <row r="461" spans="1:46" ht="15.1" customHeight="1">
      <c r="A461" s="8"/>
      <c r="B461" s="9"/>
      <c r="C461" s="8"/>
      <c r="D461" s="9"/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11" t="s">
        <v>2090</v>
      </c>
    </row>
    <row r="462" spans="1:46" ht="15.1" customHeight="1">
      <c r="A462" s="8">
        <v>153</v>
      </c>
      <c r="B462" s="9" t="s">
        <v>2381</v>
      </c>
      <c r="C462" s="8" t="s">
        <v>2382</v>
      </c>
      <c r="D462" s="9" t="s">
        <v>451</v>
      </c>
      <c r="E462" s="8" t="s">
        <v>54</v>
      </c>
      <c r="F462" s="8" t="s">
        <v>54</v>
      </c>
      <c r="G462" s="10" t="s">
        <v>67</v>
      </c>
      <c r="H462" s="8" t="s">
        <v>54</v>
      </c>
      <c r="I462" s="8" t="s">
        <v>54</v>
      </c>
      <c r="J462" s="8" t="s">
        <v>54</v>
      </c>
      <c r="K462" s="8" t="s">
        <v>54</v>
      </c>
      <c r="L462" s="8" t="s">
        <v>54</v>
      </c>
      <c r="M462" s="8" t="s">
        <v>54</v>
      </c>
      <c r="N462" s="10" t="s">
        <v>67</v>
      </c>
      <c r="O462" s="8" t="s">
        <v>54</v>
      </c>
      <c r="P462" s="8" t="s">
        <v>54</v>
      </c>
      <c r="Q462" s="8" t="s">
        <v>54</v>
      </c>
      <c r="R462" s="12" t="s">
        <v>55</v>
      </c>
      <c r="S462" s="12" t="s">
        <v>55</v>
      </c>
      <c r="T462" s="12" t="s">
        <v>55</v>
      </c>
      <c r="U462" s="10" t="s">
        <v>67</v>
      </c>
      <c r="V462" s="8" t="s">
        <v>54</v>
      </c>
      <c r="W462" s="8" t="s">
        <v>54</v>
      </c>
      <c r="X462" s="12" t="s">
        <v>55</v>
      </c>
      <c r="Y462" s="8" t="s">
        <v>54</v>
      </c>
      <c r="Z462" s="8" t="s">
        <v>54</v>
      </c>
      <c r="AA462" s="8" t="s">
        <v>54</v>
      </c>
      <c r="AB462" s="10" t="s">
        <v>67</v>
      </c>
      <c r="AC462" s="8" t="s">
        <v>54</v>
      </c>
      <c r="AD462" s="8" t="s">
        <v>54</v>
      </c>
      <c r="AE462" s="8" t="s">
        <v>54</v>
      </c>
      <c r="AF462" s="8" t="s">
        <v>54</v>
      </c>
      <c r="AG462" s="8" t="s">
        <v>54</v>
      </c>
      <c r="AH462" s="8" t="s">
        <v>54</v>
      </c>
      <c r="AI462" s="10" t="s">
        <v>67</v>
      </c>
      <c r="AJ462" s="8">
        <f>COUNTIF($E$462:$AI$462,"P")</f>
        <v>22</v>
      </c>
      <c r="AK462" s="8">
        <f>COUNTIF($E$462:$AI$462,"A")</f>
        <v>4</v>
      </c>
      <c r="AL462" s="8">
        <f>SUM($E$463:$AI$463)</f>
        <v>0</v>
      </c>
      <c r="AM462" s="8">
        <f>SUM($E$464:$AI$464)</f>
        <v>0</v>
      </c>
      <c r="AN462" s="8">
        <f>AL462+AM462</f>
        <v>0</v>
      </c>
      <c r="AO462" s="8">
        <f>COUNTIF($E$462:$AI$462,"CL")</f>
        <v>0</v>
      </c>
      <c r="AP462" s="8">
        <f>COUNTIF($E$462:$AI$462,"SL")</f>
        <v>0</v>
      </c>
      <c r="AQ462" s="8">
        <f>COUNTIF($E$462:$AI$462,"EL")</f>
        <v>0</v>
      </c>
      <c r="AR462" s="8">
        <f>COUNTIF($E$462:$AI$462,"H")</f>
        <v>0</v>
      </c>
      <c r="AS462" s="8"/>
      <c r="AT462" s="11" t="s">
        <v>2090</v>
      </c>
    </row>
    <row r="463" spans="1:46" ht="15.1" customHeight="1">
      <c r="A463" s="8"/>
      <c r="B463" s="9"/>
      <c r="C463" s="8"/>
      <c r="D463" s="9"/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11" t="s">
        <v>2090</v>
      </c>
    </row>
    <row r="464" spans="1:46" ht="15.1" customHeight="1">
      <c r="A464" s="8"/>
      <c r="B464" s="9"/>
      <c r="C464" s="8"/>
      <c r="D464" s="9"/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11" t="s">
        <v>2090</v>
      </c>
    </row>
    <row r="465" spans="1:46" ht="15.1" customHeight="1">
      <c r="A465" s="8">
        <v>154</v>
      </c>
      <c r="B465" s="9" t="s">
        <v>2383</v>
      </c>
      <c r="C465" s="8" t="s">
        <v>2384</v>
      </c>
      <c r="D465" s="9" t="s">
        <v>451</v>
      </c>
      <c r="E465" s="8" t="s">
        <v>54</v>
      </c>
      <c r="F465" s="8" t="s">
        <v>54</v>
      </c>
      <c r="G465" s="10" t="s">
        <v>67</v>
      </c>
      <c r="H465" s="8" t="s">
        <v>54</v>
      </c>
      <c r="I465" s="8" t="s">
        <v>54</v>
      </c>
      <c r="J465" s="8" t="s">
        <v>54</v>
      </c>
      <c r="K465" s="8" t="s">
        <v>54</v>
      </c>
      <c r="L465" s="8" t="s">
        <v>54</v>
      </c>
      <c r="M465" s="8" t="s">
        <v>54</v>
      </c>
      <c r="N465" s="10" t="s">
        <v>67</v>
      </c>
      <c r="O465" s="8" t="s">
        <v>54</v>
      </c>
      <c r="P465" s="8" t="s">
        <v>54</v>
      </c>
      <c r="Q465" s="8" t="s">
        <v>54</v>
      </c>
      <c r="R465" s="8" t="s">
        <v>54</v>
      </c>
      <c r="S465" s="8" t="s">
        <v>54</v>
      </c>
      <c r="T465" s="8" t="s">
        <v>54</v>
      </c>
      <c r="U465" s="10" t="s">
        <v>67</v>
      </c>
      <c r="V465" s="8" t="s">
        <v>54</v>
      </c>
      <c r="W465" s="8" t="s">
        <v>54</v>
      </c>
      <c r="X465" s="12" t="s">
        <v>55</v>
      </c>
      <c r="Y465" s="8" t="s">
        <v>54</v>
      </c>
      <c r="Z465" s="8" t="s">
        <v>54</v>
      </c>
      <c r="AA465" s="8" t="s">
        <v>54</v>
      </c>
      <c r="AB465" s="10" t="s">
        <v>67</v>
      </c>
      <c r="AC465" s="8" t="s">
        <v>54</v>
      </c>
      <c r="AD465" s="8" t="s">
        <v>54</v>
      </c>
      <c r="AE465" s="8" t="s">
        <v>54</v>
      </c>
      <c r="AF465" s="8" t="s">
        <v>54</v>
      </c>
      <c r="AG465" s="8" t="s">
        <v>54</v>
      </c>
      <c r="AH465" s="8" t="s">
        <v>54</v>
      </c>
      <c r="AI465" s="10" t="s">
        <v>67</v>
      </c>
      <c r="AJ465" s="8">
        <f>COUNTIF($E$465:$AI$465,"P")</f>
        <v>25</v>
      </c>
      <c r="AK465" s="8">
        <f>COUNTIF($E$465:$AI$465,"A")</f>
        <v>1</v>
      </c>
      <c r="AL465" s="8">
        <f>SUM($E$466:$AI$466)</f>
        <v>0</v>
      </c>
      <c r="AM465" s="8">
        <f>SUM($E$467:$AI$467)</f>
        <v>0</v>
      </c>
      <c r="AN465" s="8">
        <f>AL465+AM465</f>
        <v>0</v>
      </c>
      <c r="AO465" s="8">
        <f>COUNTIF($E$465:$AI$465,"CL")</f>
        <v>0</v>
      </c>
      <c r="AP465" s="8">
        <f>COUNTIF($E$465:$AI$465,"SL")</f>
        <v>0</v>
      </c>
      <c r="AQ465" s="8">
        <f>COUNTIF($E$465:$AI$465,"EL")</f>
        <v>0</v>
      </c>
      <c r="AR465" s="8">
        <f>COUNTIF($E$465:$AI$465,"H")</f>
        <v>0</v>
      </c>
      <c r="AS465" s="8"/>
      <c r="AT465" s="11" t="s">
        <v>2090</v>
      </c>
    </row>
    <row r="466" spans="1:46" ht="15.1" customHeight="1">
      <c r="A466" s="8"/>
      <c r="B466" s="9"/>
      <c r="C466" s="8"/>
      <c r="D466" s="9"/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11" t="s">
        <v>2090</v>
      </c>
    </row>
    <row r="467" spans="1:46" ht="15.1" customHeight="1">
      <c r="A467" s="8"/>
      <c r="B467" s="9"/>
      <c r="C467" s="8"/>
      <c r="D467" s="9"/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11" t="s">
        <v>2090</v>
      </c>
    </row>
    <row r="468" spans="1:46" ht="15.1" customHeight="1">
      <c r="A468" s="8">
        <v>155</v>
      </c>
      <c r="B468" s="9" t="s">
        <v>2385</v>
      </c>
      <c r="C468" s="8" t="s">
        <v>2386</v>
      </c>
      <c r="D468" s="9" t="s">
        <v>451</v>
      </c>
      <c r="E468" s="8" t="s">
        <v>54</v>
      </c>
      <c r="F468" s="8" t="s">
        <v>54</v>
      </c>
      <c r="G468" s="10" t="s">
        <v>67</v>
      </c>
      <c r="H468" s="12" t="s">
        <v>55</v>
      </c>
      <c r="I468" s="8" t="s">
        <v>54</v>
      </c>
      <c r="J468" s="8" t="s">
        <v>54</v>
      </c>
      <c r="K468" s="8" t="s">
        <v>54</v>
      </c>
      <c r="L468" s="8" t="s">
        <v>54</v>
      </c>
      <c r="M468" s="8" t="s">
        <v>54</v>
      </c>
      <c r="N468" s="10" t="s">
        <v>67</v>
      </c>
      <c r="O468" s="8" t="s">
        <v>54</v>
      </c>
      <c r="P468" s="8" t="s">
        <v>54</v>
      </c>
      <c r="Q468" s="8" t="s">
        <v>54</v>
      </c>
      <c r="R468" s="8" t="s">
        <v>54</v>
      </c>
      <c r="S468" s="8" t="s">
        <v>54</v>
      </c>
      <c r="T468" s="8" t="s">
        <v>54</v>
      </c>
      <c r="U468" s="10" t="s">
        <v>67</v>
      </c>
      <c r="V468" s="12" t="s">
        <v>55</v>
      </c>
      <c r="W468" s="8" t="s">
        <v>54</v>
      </c>
      <c r="X468" s="12" t="s">
        <v>55</v>
      </c>
      <c r="Y468" s="12" t="s">
        <v>55</v>
      </c>
      <c r="Z468" s="12" t="s">
        <v>55</v>
      </c>
      <c r="AA468" s="8" t="s">
        <v>54</v>
      </c>
      <c r="AB468" s="10" t="s">
        <v>67</v>
      </c>
      <c r="AC468" s="8" t="s">
        <v>54</v>
      </c>
      <c r="AD468" s="8" t="s">
        <v>54</v>
      </c>
      <c r="AE468" s="8" t="s">
        <v>54</v>
      </c>
      <c r="AF468" s="12" t="s">
        <v>55</v>
      </c>
      <c r="AG468" s="8" t="s">
        <v>54</v>
      </c>
      <c r="AH468" s="8" t="s">
        <v>54</v>
      </c>
      <c r="AI468" s="10" t="s">
        <v>67</v>
      </c>
      <c r="AJ468" s="8">
        <f>COUNTIF($E$468:$AI$468,"P")</f>
        <v>20</v>
      </c>
      <c r="AK468" s="8">
        <f>COUNTIF($E$468:$AI$468,"A")</f>
        <v>6</v>
      </c>
      <c r="AL468" s="8">
        <f>SUM($E$469:$AI$469)</f>
        <v>0</v>
      </c>
      <c r="AM468" s="8">
        <f>SUM($E$470:$AI$470)</f>
        <v>0</v>
      </c>
      <c r="AN468" s="8">
        <f>AL468+AM468</f>
        <v>0</v>
      </c>
      <c r="AO468" s="8">
        <f>COUNTIF($E$468:$AI$468,"CL")</f>
        <v>0</v>
      </c>
      <c r="AP468" s="8">
        <f>COUNTIF($E$468:$AI$468,"SL")</f>
        <v>0</v>
      </c>
      <c r="AQ468" s="8">
        <f>COUNTIF($E$468:$AI$468,"EL")</f>
        <v>0</v>
      </c>
      <c r="AR468" s="8">
        <f>COUNTIF($E$468:$AI$468,"H")</f>
        <v>0</v>
      </c>
      <c r="AS468" s="8"/>
      <c r="AT468" s="11" t="s">
        <v>2090</v>
      </c>
    </row>
    <row r="469" spans="1:46" ht="15.1" customHeight="1">
      <c r="A469" s="8"/>
      <c r="B469" s="9"/>
      <c r="C469" s="8"/>
      <c r="D469" s="9"/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11" t="s">
        <v>2090</v>
      </c>
    </row>
    <row r="470" spans="1:46" ht="15.1" customHeight="1">
      <c r="A470" s="8"/>
      <c r="B470" s="9"/>
      <c r="C470" s="8"/>
      <c r="D470" s="9"/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11" t="s">
        <v>2090</v>
      </c>
    </row>
    <row r="471" spans="1:46" ht="15.1" customHeight="1">
      <c r="A471" s="8">
        <v>156</v>
      </c>
      <c r="B471" s="9" t="s">
        <v>2387</v>
      </c>
      <c r="C471" s="8" t="s">
        <v>2388</v>
      </c>
      <c r="D471" s="9" t="s">
        <v>451</v>
      </c>
      <c r="E471" s="12" t="s">
        <v>55</v>
      </c>
      <c r="F471" s="12" t="s">
        <v>55</v>
      </c>
      <c r="G471" s="10" t="s">
        <v>67</v>
      </c>
      <c r="H471" s="8" t="s">
        <v>54</v>
      </c>
      <c r="I471" s="8" t="s">
        <v>54</v>
      </c>
      <c r="J471" s="8" t="s">
        <v>54</v>
      </c>
      <c r="K471" s="12" t="s">
        <v>55</v>
      </c>
      <c r="L471" s="12" t="s">
        <v>55</v>
      </c>
      <c r="M471" s="12" t="s">
        <v>55</v>
      </c>
      <c r="N471" s="10" t="s">
        <v>67</v>
      </c>
      <c r="O471" s="8" t="s">
        <v>54</v>
      </c>
      <c r="P471" s="8" t="s">
        <v>54</v>
      </c>
      <c r="Q471" s="8" t="s">
        <v>54</v>
      </c>
      <c r="R471" s="8" t="s">
        <v>54</v>
      </c>
      <c r="S471" s="8" t="s">
        <v>54</v>
      </c>
      <c r="T471" s="8" t="s">
        <v>54</v>
      </c>
      <c r="U471" s="10" t="s">
        <v>67</v>
      </c>
      <c r="V471" s="8" t="s">
        <v>54</v>
      </c>
      <c r="W471" s="8" t="s">
        <v>54</v>
      </c>
      <c r="X471" s="12" t="s">
        <v>55</v>
      </c>
      <c r="Y471" s="8" t="s">
        <v>54</v>
      </c>
      <c r="Z471" s="8" t="s">
        <v>54</v>
      </c>
      <c r="AA471" s="8" t="s">
        <v>54</v>
      </c>
      <c r="AB471" s="10" t="s">
        <v>67</v>
      </c>
      <c r="AC471" s="12" t="s">
        <v>55</v>
      </c>
      <c r="AD471" s="12" t="s">
        <v>55</v>
      </c>
      <c r="AE471" s="8" t="s">
        <v>54</v>
      </c>
      <c r="AF471" s="8" t="s">
        <v>54</v>
      </c>
      <c r="AG471" s="8" t="s">
        <v>54</v>
      </c>
      <c r="AH471" s="12" t="s">
        <v>55</v>
      </c>
      <c r="AI471" s="10" t="s">
        <v>67</v>
      </c>
      <c r="AJ471" s="8">
        <f>COUNTIF($E$471:$AI$471,"P")</f>
        <v>17</v>
      </c>
      <c r="AK471" s="8">
        <f>COUNTIF($E$471:$AI$471,"A")</f>
        <v>9</v>
      </c>
      <c r="AL471" s="8">
        <f>SUM($E$472:$AI$472)</f>
        <v>0</v>
      </c>
      <c r="AM471" s="8">
        <f>SUM($E$473:$AI$473)</f>
        <v>0</v>
      </c>
      <c r="AN471" s="8">
        <f>AL471+AM471</f>
        <v>0</v>
      </c>
      <c r="AO471" s="8">
        <f>COUNTIF($E$471:$AI$471,"CL")</f>
        <v>0</v>
      </c>
      <c r="AP471" s="8">
        <f>COUNTIF($E$471:$AI$471,"SL")</f>
        <v>0</v>
      </c>
      <c r="AQ471" s="8">
        <f>COUNTIF($E$471:$AI$471,"EL")</f>
        <v>0</v>
      </c>
      <c r="AR471" s="8">
        <f>COUNTIF($E$471:$AI$471,"H")</f>
        <v>0</v>
      </c>
      <c r="AS471" s="8"/>
      <c r="AT471" s="11" t="s">
        <v>2090</v>
      </c>
    </row>
    <row r="472" spans="1:46" ht="15.1" customHeight="1">
      <c r="A472" s="8"/>
      <c r="B472" s="9"/>
      <c r="C472" s="8"/>
      <c r="D472" s="9"/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11" t="s">
        <v>2090</v>
      </c>
    </row>
    <row r="473" spans="1:46" ht="15.1" customHeight="1">
      <c r="A473" s="8"/>
      <c r="B473" s="9"/>
      <c r="C473" s="8"/>
      <c r="D473" s="9"/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11" t="s">
        <v>2090</v>
      </c>
    </row>
    <row r="474" spans="1:46" ht="15.1" customHeight="1">
      <c r="A474" s="8">
        <v>157</v>
      </c>
      <c r="B474" s="9" t="s">
        <v>2389</v>
      </c>
      <c r="C474" s="8" t="s">
        <v>2390</v>
      </c>
      <c r="D474" s="9" t="s">
        <v>451</v>
      </c>
      <c r="E474" s="8" t="s">
        <v>54</v>
      </c>
      <c r="F474" s="8" t="s">
        <v>54</v>
      </c>
      <c r="G474" s="10" t="s">
        <v>67</v>
      </c>
      <c r="H474" s="8" t="s">
        <v>54</v>
      </c>
      <c r="I474" s="8" t="s">
        <v>54</v>
      </c>
      <c r="J474" s="8" t="s">
        <v>54</v>
      </c>
      <c r="K474" s="8" t="s">
        <v>54</v>
      </c>
      <c r="L474" s="8" t="s">
        <v>54</v>
      </c>
      <c r="M474" s="8" t="s">
        <v>54</v>
      </c>
      <c r="N474" s="10" t="s">
        <v>67</v>
      </c>
      <c r="O474" s="8" t="s">
        <v>54</v>
      </c>
      <c r="P474" s="8" t="s">
        <v>54</v>
      </c>
      <c r="Q474" s="8" t="s">
        <v>54</v>
      </c>
      <c r="R474" s="8" t="s">
        <v>54</v>
      </c>
      <c r="S474" s="8" t="s">
        <v>54</v>
      </c>
      <c r="T474" s="8" t="s">
        <v>54</v>
      </c>
      <c r="U474" s="10" t="s">
        <v>67</v>
      </c>
      <c r="V474" s="8" t="s">
        <v>54</v>
      </c>
      <c r="W474" s="8" t="s">
        <v>54</v>
      </c>
      <c r="X474" s="8" t="s">
        <v>54</v>
      </c>
      <c r="Y474" s="8" t="s">
        <v>54</v>
      </c>
      <c r="Z474" s="8" t="s">
        <v>54</v>
      </c>
      <c r="AA474" s="8" t="s">
        <v>54</v>
      </c>
      <c r="AB474" s="10" t="s">
        <v>67</v>
      </c>
      <c r="AC474" s="8" t="s">
        <v>54</v>
      </c>
      <c r="AD474" s="8" t="s">
        <v>54</v>
      </c>
      <c r="AE474" s="8" t="s">
        <v>54</v>
      </c>
      <c r="AF474" s="8" t="s">
        <v>54</v>
      </c>
      <c r="AG474" s="8" t="s">
        <v>54</v>
      </c>
      <c r="AH474" s="8" t="s">
        <v>54</v>
      </c>
      <c r="AI474" s="10" t="s">
        <v>67</v>
      </c>
      <c r="AJ474" s="8">
        <f>COUNTIF($E$474:$AI$474,"P")</f>
        <v>26</v>
      </c>
      <c r="AK474" s="8">
        <f>COUNTIF($E$474:$AI$474,"A")</f>
        <v>0</v>
      </c>
      <c r="AL474" s="8">
        <f>SUM($E$475:$AI$475)</f>
        <v>0</v>
      </c>
      <c r="AM474" s="8">
        <f>SUM($E$476:$AI$476)</f>
        <v>0</v>
      </c>
      <c r="AN474" s="8">
        <f>AL474+AM474</f>
        <v>0</v>
      </c>
      <c r="AO474" s="8">
        <f>COUNTIF($E$474:$AI$474,"CL")</f>
        <v>0</v>
      </c>
      <c r="AP474" s="8">
        <f>COUNTIF($E$474:$AI$474,"SL")</f>
        <v>0</v>
      </c>
      <c r="AQ474" s="8">
        <f>COUNTIF($E$474:$AI$474,"EL")</f>
        <v>0</v>
      </c>
      <c r="AR474" s="8">
        <f>COUNTIF($E$474:$AI$474,"H")</f>
        <v>0</v>
      </c>
      <c r="AS474" s="8"/>
      <c r="AT474" s="11" t="s">
        <v>2090</v>
      </c>
    </row>
    <row r="475" spans="1:46" ht="15.1" customHeight="1">
      <c r="A475" s="8"/>
      <c r="B475" s="9"/>
      <c r="C475" s="8"/>
      <c r="D475" s="9"/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11" t="s">
        <v>2090</v>
      </c>
    </row>
    <row r="476" spans="1:46" ht="15.1" customHeight="1">
      <c r="A476" s="8"/>
      <c r="B476" s="9"/>
      <c r="C476" s="8"/>
      <c r="D476" s="9"/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11" t="s">
        <v>2090</v>
      </c>
    </row>
    <row r="477" spans="1:46" ht="15.1" customHeight="1">
      <c r="A477" s="8">
        <v>158</v>
      </c>
      <c r="B477" s="9" t="s">
        <v>2391</v>
      </c>
      <c r="C477" s="8" t="s">
        <v>2392</v>
      </c>
      <c r="D477" s="9" t="s">
        <v>451</v>
      </c>
      <c r="E477" s="8" t="s">
        <v>54</v>
      </c>
      <c r="F477" s="8" t="s">
        <v>54</v>
      </c>
      <c r="G477" s="10" t="s">
        <v>67</v>
      </c>
      <c r="H477" s="12" t="s">
        <v>55</v>
      </c>
      <c r="I477" s="8" t="s">
        <v>54</v>
      </c>
      <c r="J477" s="12" t="s">
        <v>55</v>
      </c>
      <c r="K477" s="8" t="s">
        <v>54</v>
      </c>
      <c r="L477" s="8" t="s">
        <v>54</v>
      </c>
      <c r="M477" s="8" t="s">
        <v>54</v>
      </c>
      <c r="N477" s="10" t="s">
        <v>67</v>
      </c>
      <c r="O477" s="12" t="s">
        <v>55</v>
      </c>
      <c r="P477" s="8" t="s">
        <v>54</v>
      </c>
      <c r="Q477" s="8" t="s">
        <v>54</v>
      </c>
      <c r="R477" s="8" t="s">
        <v>54</v>
      </c>
      <c r="S477" s="8" t="s">
        <v>54</v>
      </c>
      <c r="T477" s="8" t="s">
        <v>54</v>
      </c>
      <c r="U477" s="10" t="s">
        <v>67</v>
      </c>
      <c r="V477" s="8" t="s">
        <v>54</v>
      </c>
      <c r="W477" s="8" t="s">
        <v>54</v>
      </c>
      <c r="X477" s="12" t="s">
        <v>55</v>
      </c>
      <c r="Y477" s="8" t="s">
        <v>54</v>
      </c>
      <c r="Z477" s="12" t="s">
        <v>55</v>
      </c>
      <c r="AA477" s="8" t="s">
        <v>54</v>
      </c>
      <c r="AB477" s="10" t="s">
        <v>67</v>
      </c>
      <c r="AC477" s="8" t="s">
        <v>54</v>
      </c>
      <c r="AD477" s="12" t="s">
        <v>55</v>
      </c>
      <c r="AE477" s="8" t="s">
        <v>54</v>
      </c>
      <c r="AF477" s="8" t="s">
        <v>54</v>
      </c>
      <c r="AG477" s="8" t="s">
        <v>54</v>
      </c>
      <c r="AH477" s="8" t="s">
        <v>54</v>
      </c>
      <c r="AI477" s="10" t="s">
        <v>67</v>
      </c>
      <c r="AJ477" s="8">
        <f>COUNTIF($E$477:$AI$477,"P")</f>
        <v>20</v>
      </c>
      <c r="AK477" s="8">
        <f>COUNTIF($E$477:$AI$477,"A")</f>
        <v>6</v>
      </c>
      <c r="AL477" s="8">
        <f>SUM($E$478:$AI$478)</f>
        <v>0</v>
      </c>
      <c r="AM477" s="8">
        <f>SUM($E$479:$AI$479)</f>
        <v>0</v>
      </c>
      <c r="AN477" s="8">
        <f>AL477+AM477</f>
        <v>0</v>
      </c>
      <c r="AO477" s="8">
        <f>COUNTIF($E$477:$AI$477,"CL")</f>
        <v>0</v>
      </c>
      <c r="AP477" s="8">
        <f>COUNTIF($E$477:$AI$477,"SL")</f>
        <v>0</v>
      </c>
      <c r="AQ477" s="8">
        <f>COUNTIF($E$477:$AI$477,"EL")</f>
        <v>0</v>
      </c>
      <c r="AR477" s="8">
        <f>COUNTIF($E$477:$AI$477,"H")</f>
        <v>0</v>
      </c>
      <c r="AS477" s="8"/>
      <c r="AT477" s="11" t="s">
        <v>2090</v>
      </c>
    </row>
    <row r="478" spans="1:46" ht="15.1" customHeight="1">
      <c r="A478" s="8"/>
      <c r="B478" s="9"/>
      <c r="C478" s="8"/>
      <c r="D478" s="9"/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11" t="s">
        <v>2090</v>
      </c>
    </row>
    <row r="479" spans="1:46" ht="15.1" customHeight="1">
      <c r="A479" s="8"/>
      <c r="B479" s="9"/>
      <c r="C479" s="8"/>
      <c r="D479" s="9"/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11" t="s">
        <v>2090</v>
      </c>
    </row>
    <row r="480" spans="1:46" ht="15.1" customHeight="1">
      <c r="A480" s="8">
        <v>159</v>
      </c>
      <c r="B480" s="9" t="s">
        <v>2393</v>
      </c>
      <c r="C480" s="8" t="s">
        <v>2394</v>
      </c>
      <c r="D480" s="9" t="s">
        <v>451</v>
      </c>
      <c r="E480" s="12" t="s">
        <v>55</v>
      </c>
      <c r="F480" s="8" t="s">
        <v>54</v>
      </c>
      <c r="G480" s="10" t="s">
        <v>67</v>
      </c>
      <c r="H480" s="8" t="s">
        <v>54</v>
      </c>
      <c r="I480" s="8" t="s">
        <v>54</v>
      </c>
      <c r="J480" s="8" t="s">
        <v>54</v>
      </c>
      <c r="K480" s="12" t="s">
        <v>55</v>
      </c>
      <c r="L480" s="8" t="s">
        <v>54</v>
      </c>
      <c r="M480" s="8" t="s">
        <v>54</v>
      </c>
      <c r="N480" s="10" t="s">
        <v>67</v>
      </c>
      <c r="O480" s="8" t="s">
        <v>54</v>
      </c>
      <c r="P480" s="8" t="s">
        <v>54</v>
      </c>
      <c r="Q480" s="8" t="s">
        <v>54</v>
      </c>
      <c r="R480" s="8" t="s">
        <v>54</v>
      </c>
      <c r="S480" s="8" t="s">
        <v>54</v>
      </c>
      <c r="T480" s="8" t="s">
        <v>54</v>
      </c>
      <c r="U480" s="10" t="s">
        <v>67</v>
      </c>
      <c r="V480" s="8" t="s">
        <v>54</v>
      </c>
      <c r="W480" s="8" t="s">
        <v>54</v>
      </c>
      <c r="X480" s="12" t="s">
        <v>55</v>
      </c>
      <c r="Y480" s="12" t="s">
        <v>55</v>
      </c>
      <c r="Z480" s="8" t="s">
        <v>54</v>
      </c>
      <c r="AA480" s="8" t="s">
        <v>54</v>
      </c>
      <c r="AB480" s="10" t="s">
        <v>67</v>
      </c>
      <c r="AC480" s="8" t="s">
        <v>54</v>
      </c>
      <c r="AD480" s="8" t="s">
        <v>54</v>
      </c>
      <c r="AE480" s="8" t="s">
        <v>54</v>
      </c>
      <c r="AF480" s="12" t="s">
        <v>55</v>
      </c>
      <c r="AG480" s="8" t="s">
        <v>54</v>
      </c>
      <c r="AH480" s="8" t="s">
        <v>54</v>
      </c>
      <c r="AI480" s="10" t="s">
        <v>67</v>
      </c>
      <c r="AJ480" s="8">
        <f>COUNTIF($E$480:$AI$480,"P")</f>
        <v>21</v>
      </c>
      <c r="AK480" s="8">
        <f>COUNTIF($E$480:$AI$480,"A")</f>
        <v>5</v>
      </c>
      <c r="AL480" s="8">
        <f>SUM($E$481:$AI$481)</f>
        <v>0</v>
      </c>
      <c r="AM480" s="8">
        <f>SUM($E$482:$AI$482)</f>
        <v>0</v>
      </c>
      <c r="AN480" s="8">
        <f>AL480+AM480</f>
        <v>0</v>
      </c>
      <c r="AO480" s="8">
        <f>COUNTIF($E$480:$AI$480,"CL")</f>
        <v>0</v>
      </c>
      <c r="AP480" s="8">
        <f>COUNTIF($E$480:$AI$480,"SL")</f>
        <v>0</v>
      </c>
      <c r="AQ480" s="8">
        <f>COUNTIF($E$480:$AI$480,"EL")</f>
        <v>0</v>
      </c>
      <c r="AR480" s="8">
        <f>COUNTIF($E$480:$AI$480,"H")</f>
        <v>0</v>
      </c>
      <c r="AS480" s="8"/>
      <c r="AT480" s="11" t="s">
        <v>2090</v>
      </c>
    </row>
    <row r="481" spans="1:46" ht="15.1" customHeight="1">
      <c r="A481" s="8"/>
      <c r="B481" s="9"/>
      <c r="C481" s="8"/>
      <c r="D481" s="9"/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11" t="s">
        <v>2090</v>
      </c>
    </row>
    <row r="482" spans="1:46" ht="15.1" customHeight="1">
      <c r="A482" s="8"/>
      <c r="B482" s="9"/>
      <c r="C482" s="8"/>
      <c r="D482" s="9"/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11" t="s">
        <v>2090</v>
      </c>
    </row>
    <row r="483" spans="1:46" ht="15.1" customHeight="1">
      <c r="A483" s="8">
        <v>160</v>
      </c>
      <c r="B483" s="9" t="s">
        <v>2395</v>
      </c>
      <c r="C483" s="8" t="s">
        <v>2396</v>
      </c>
      <c r="D483" s="9" t="s">
        <v>451</v>
      </c>
      <c r="E483" s="8" t="s">
        <v>54</v>
      </c>
      <c r="F483" s="8" t="s">
        <v>54</v>
      </c>
      <c r="G483" s="10" t="s">
        <v>67</v>
      </c>
      <c r="H483" s="8" t="s">
        <v>54</v>
      </c>
      <c r="I483" s="8" t="s">
        <v>54</v>
      </c>
      <c r="J483" s="8" t="s">
        <v>54</v>
      </c>
      <c r="K483" s="8" t="s">
        <v>54</v>
      </c>
      <c r="L483" s="8" t="s">
        <v>54</v>
      </c>
      <c r="M483" s="8" t="s">
        <v>54</v>
      </c>
      <c r="N483" s="10" t="s">
        <v>67</v>
      </c>
      <c r="O483" s="8" t="s">
        <v>54</v>
      </c>
      <c r="P483" s="8" t="s">
        <v>54</v>
      </c>
      <c r="Q483" s="8" t="s">
        <v>54</v>
      </c>
      <c r="R483" s="8" t="s">
        <v>54</v>
      </c>
      <c r="S483" s="8" t="s">
        <v>54</v>
      </c>
      <c r="T483" s="8" t="s">
        <v>54</v>
      </c>
      <c r="U483" s="10" t="s">
        <v>67</v>
      </c>
      <c r="V483" s="8" t="s">
        <v>54</v>
      </c>
      <c r="W483" s="8" t="s">
        <v>54</v>
      </c>
      <c r="X483" s="8" t="s">
        <v>54</v>
      </c>
      <c r="Y483" s="8" t="s">
        <v>54</v>
      </c>
      <c r="Z483" s="8" t="s">
        <v>54</v>
      </c>
      <c r="AA483" s="8" t="s">
        <v>54</v>
      </c>
      <c r="AB483" s="10" t="s">
        <v>67</v>
      </c>
      <c r="AC483" s="8" t="s">
        <v>54</v>
      </c>
      <c r="AD483" s="8" t="s">
        <v>54</v>
      </c>
      <c r="AE483" s="8" t="s">
        <v>54</v>
      </c>
      <c r="AF483" s="8" t="s">
        <v>54</v>
      </c>
      <c r="AG483" s="8" t="s">
        <v>54</v>
      </c>
      <c r="AH483" s="8" t="s">
        <v>54</v>
      </c>
      <c r="AI483" s="10" t="s">
        <v>67</v>
      </c>
      <c r="AJ483" s="8">
        <f>COUNTIF($E$483:$AI$483,"P")</f>
        <v>26</v>
      </c>
      <c r="AK483" s="8">
        <f>COUNTIF($E$483:$AI$483,"A")</f>
        <v>0</v>
      </c>
      <c r="AL483" s="8">
        <f>SUM($E$484:$AI$484)</f>
        <v>0</v>
      </c>
      <c r="AM483" s="8">
        <f>SUM($E$485:$AI$485)</f>
        <v>0</v>
      </c>
      <c r="AN483" s="8">
        <f>AL483+AM483</f>
        <v>0</v>
      </c>
      <c r="AO483" s="8">
        <f>COUNTIF($E$483:$AI$483,"CL")</f>
        <v>0</v>
      </c>
      <c r="AP483" s="8">
        <f>COUNTIF($E$483:$AI$483,"SL")</f>
        <v>0</v>
      </c>
      <c r="AQ483" s="8">
        <f>COUNTIF($E$483:$AI$483,"EL")</f>
        <v>0</v>
      </c>
      <c r="AR483" s="8">
        <f>COUNTIF($E$483:$AI$483,"H")</f>
        <v>0</v>
      </c>
      <c r="AS483" s="8"/>
      <c r="AT483" s="11" t="s">
        <v>2090</v>
      </c>
    </row>
    <row r="484" spans="1:46" ht="15.1" customHeight="1">
      <c r="A484" s="8"/>
      <c r="B484" s="9"/>
      <c r="C484" s="8"/>
      <c r="D484" s="9"/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11" t="s">
        <v>2090</v>
      </c>
    </row>
    <row r="485" spans="1:46" ht="15.1" customHeight="1">
      <c r="A485" s="8"/>
      <c r="B485" s="9"/>
      <c r="C485" s="8"/>
      <c r="D485" s="9"/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11" t="s">
        <v>2090</v>
      </c>
    </row>
    <row r="486" spans="1:46" ht="15.1" customHeight="1">
      <c r="A486" s="8">
        <v>161</v>
      </c>
      <c r="B486" s="9" t="s">
        <v>2397</v>
      </c>
      <c r="C486" s="8" t="s">
        <v>2398</v>
      </c>
      <c r="D486" s="9" t="s">
        <v>451</v>
      </c>
      <c r="E486" s="8" t="s">
        <v>54</v>
      </c>
      <c r="F486" s="8" t="s">
        <v>54</v>
      </c>
      <c r="G486" s="10" t="s">
        <v>67</v>
      </c>
      <c r="H486" s="12" t="s">
        <v>55</v>
      </c>
      <c r="I486" s="12" t="s">
        <v>55</v>
      </c>
      <c r="J486" s="12" t="s">
        <v>55</v>
      </c>
      <c r="K486" s="12" t="s">
        <v>55</v>
      </c>
      <c r="L486" s="8" t="s">
        <v>54</v>
      </c>
      <c r="M486" s="8" t="s">
        <v>54</v>
      </c>
      <c r="N486" s="10" t="s">
        <v>67</v>
      </c>
      <c r="O486" s="8" t="s">
        <v>54</v>
      </c>
      <c r="P486" s="8" t="s">
        <v>54</v>
      </c>
      <c r="Q486" s="8" t="s">
        <v>54</v>
      </c>
      <c r="R486" s="8" t="s">
        <v>54</v>
      </c>
      <c r="S486" s="8" t="s">
        <v>54</v>
      </c>
      <c r="T486" s="8" t="s">
        <v>54</v>
      </c>
      <c r="U486" s="10" t="s">
        <v>67</v>
      </c>
      <c r="V486" s="8" t="s">
        <v>54</v>
      </c>
      <c r="W486" s="8" t="s">
        <v>54</v>
      </c>
      <c r="X486" s="12" t="s">
        <v>55</v>
      </c>
      <c r="Y486" s="8" t="s">
        <v>54</v>
      </c>
      <c r="Z486" s="8" t="s">
        <v>54</v>
      </c>
      <c r="AA486" s="8" t="s">
        <v>54</v>
      </c>
      <c r="AB486" s="10" t="s">
        <v>67</v>
      </c>
      <c r="AC486" s="8" t="s">
        <v>54</v>
      </c>
      <c r="AD486" s="8" t="s">
        <v>54</v>
      </c>
      <c r="AE486" s="8" t="s">
        <v>54</v>
      </c>
      <c r="AF486" s="8" t="s">
        <v>54</v>
      </c>
      <c r="AG486" s="8" t="s">
        <v>54</v>
      </c>
      <c r="AH486" s="8" t="s">
        <v>54</v>
      </c>
      <c r="AI486" s="10" t="s">
        <v>67</v>
      </c>
      <c r="AJ486" s="8">
        <f>COUNTIF($E$486:$AI$486,"P")</f>
        <v>21</v>
      </c>
      <c r="AK486" s="8">
        <f>COUNTIF($E$486:$AI$486,"A")</f>
        <v>5</v>
      </c>
      <c r="AL486" s="8">
        <f>SUM($E$487:$AI$487)</f>
        <v>0</v>
      </c>
      <c r="AM486" s="8">
        <f>SUM($E$488:$AI$488)</f>
        <v>0</v>
      </c>
      <c r="AN486" s="8">
        <f>AL486+AM486</f>
        <v>0</v>
      </c>
      <c r="AO486" s="8">
        <f>COUNTIF($E$486:$AI$486,"CL")</f>
        <v>0</v>
      </c>
      <c r="AP486" s="8">
        <f>COUNTIF($E$486:$AI$486,"SL")</f>
        <v>0</v>
      </c>
      <c r="AQ486" s="8">
        <f>COUNTIF($E$486:$AI$486,"EL")</f>
        <v>0</v>
      </c>
      <c r="AR486" s="8">
        <f>COUNTIF($E$486:$AI$486,"H")</f>
        <v>0</v>
      </c>
      <c r="AS486" s="8"/>
      <c r="AT486" s="11" t="s">
        <v>2090</v>
      </c>
    </row>
    <row r="487" spans="1:46" ht="15.1" customHeight="1">
      <c r="A487" s="8"/>
      <c r="B487" s="9"/>
      <c r="C487" s="8"/>
      <c r="D487" s="9"/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11" t="s">
        <v>2090</v>
      </c>
    </row>
    <row r="488" spans="1:46" ht="15.1" customHeight="1">
      <c r="A488" s="8"/>
      <c r="B488" s="9"/>
      <c r="C488" s="8"/>
      <c r="D488" s="9"/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11" t="s">
        <v>2090</v>
      </c>
    </row>
    <row r="489" spans="1:46" ht="15.1" customHeight="1">
      <c r="A489" s="8">
        <v>162</v>
      </c>
      <c r="B489" s="9" t="s">
        <v>2399</v>
      </c>
      <c r="C489" s="8" t="s">
        <v>2400</v>
      </c>
      <c r="D489" s="9" t="s">
        <v>451</v>
      </c>
      <c r="E489" s="8" t="s">
        <v>54</v>
      </c>
      <c r="F489" s="8" t="s">
        <v>54</v>
      </c>
      <c r="G489" s="10" t="s">
        <v>67</v>
      </c>
      <c r="H489" s="8" t="s">
        <v>54</v>
      </c>
      <c r="I489" s="8" t="s">
        <v>54</v>
      </c>
      <c r="J489" s="8" t="s">
        <v>54</v>
      </c>
      <c r="K489" s="8" t="s">
        <v>54</v>
      </c>
      <c r="L489" s="8" t="s">
        <v>54</v>
      </c>
      <c r="M489" s="8" t="s">
        <v>54</v>
      </c>
      <c r="N489" s="10" t="s">
        <v>67</v>
      </c>
      <c r="O489" s="8" t="s">
        <v>54</v>
      </c>
      <c r="P489" s="8" t="s">
        <v>54</v>
      </c>
      <c r="Q489" s="8" t="s">
        <v>54</v>
      </c>
      <c r="R489" s="8" t="s">
        <v>54</v>
      </c>
      <c r="S489" s="8" t="s">
        <v>54</v>
      </c>
      <c r="T489" s="8" t="s">
        <v>54</v>
      </c>
      <c r="U489" s="10" t="s">
        <v>67</v>
      </c>
      <c r="V489" s="8" t="s">
        <v>54</v>
      </c>
      <c r="W489" s="8" t="s">
        <v>54</v>
      </c>
      <c r="X489" s="8" t="s">
        <v>54</v>
      </c>
      <c r="Y489" s="8" t="s">
        <v>54</v>
      </c>
      <c r="Z489" s="8" t="s">
        <v>54</v>
      </c>
      <c r="AA489" s="8" t="s">
        <v>54</v>
      </c>
      <c r="AB489" s="10" t="s">
        <v>67</v>
      </c>
      <c r="AC489" s="12" t="s">
        <v>55</v>
      </c>
      <c r="AD489" s="12" t="s">
        <v>55</v>
      </c>
      <c r="AE489" s="8" t="s">
        <v>54</v>
      </c>
      <c r="AF489" s="8" t="s">
        <v>54</v>
      </c>
      <c r="AG489" s="8" t="s">
        <v>54</v>
      </c>
      <c r="AH489" s="8" t="s">
        <v>54</v>
      </c>
      <c r="AI489" s="10" t="s">
        <v>67</v>
      </c>
      <c r="AJ489" s="8">
        <f>COUNTIF($E$489:$AI$489,"P")</f>
        <v>24</v>
      </c>
      <c r="AK489" s="8">
        <f>COUNTIF($E$489:$AI$489,"A")</f>
        <v>2</v>
      </c>
      <c r="AL489" s="8">
        <f>SUM($E$490:$AI$490)</f>
        <v>0</v>
      </c>
      <c r="AM489" s="8">
        <f>SUM($E$491:$AI$491)</f>
        <v>0</v>
      </c>
      <c r="AN489" s="8">
        <f>AL489+AM489</f>
        <v>0</v>
      </c>
      <c r="AO489" s="8">
        <f>COUNTIF($E$489:$AI$489,"CL")</f>
        <v>0</v>
      </c>
      <c r="AP489" s="8">
        <f>COUNTIF($E$489:$AI$489,"SL")</f>
        <v>0</v>
      </c>
      <c r="AQ489" s="8">
        <f>COUNTIF($E$489:$AI$489,"EL")</f>
        <v>0</v>
      </c>
      <c r="AR489" s="8">
        <f>COUNTIF($E$489:$AI$489,"H")</f>
        <v>0</v>
      </c>
      <c r="AS489" s="8"/>
      <c r="AT489" s="11" t="s">
        <v>2090</v>
      </c>
    </row>
    <row r="490" spans="1:46" ht="15.1" customHeight="1">
      <c r="A490" s="8"/>
      <c r="B490" s="9"/>
      <c r="C490" s="8"/>
      <c r="D490" s="9"/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11" t="s">
        <v>2090</v>
      </c>
    </row>
    <row r="491" spans="1:46" ht="15.1" customHeight="1">
      <c r="A491" s="8"/>
      <c r="B491" s="9"/>
      <c r="C491" s="8"/>
      <c r="D491" s="9"/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11" t="s">
        <v>2090</v>
      </c>
    </row>
    <row r="492" spans="1:46" ht="15.1" customHeight="1">
      <c r="A492" s="8">
        <v>163</v>
      </c>
      <c r="B492" s="9" t="s">
        <v>2401</v>
      </c>
      <c r="C492" s="8" t="s">
        <v>2402</v>
      </c>
      <c r="D492" s="9" t="s">
        <v>451</v>
      </c>
      <c r="E492" s="8" t="s">
        <v>54</v>
      </c>
      <c r="F492" s="8" t="s">
        <v>54</v>
      </c>
      <c r="G492" s="10" t="s">
        <v>67</v>
      </c>
      <c r="H492" s="8" t="s">
        <v>54</v>
      </c>
      <c r="I492" s="8" t="s">
        <v>54</v>
      </c>
      <c r="J492" s="8" t="s">
        <v>54</v>
      </c>
      <c r="K492" s="8" t="s">
        <v>54</v>
      </c>
      <c r="L492" s="8" t="s">
        <v>54</v>
      </c>
      <c r="M492" s="8" t="s">
        <v>54</v>
      </c>
      <c r="N492" s="10" t="s">
        <v>67</v>
      </c>
      <c r="O492" s="8" t="s">
        <v>54</v>
      </c>
      <c r="P492" s="8" t="s">
        <v>54</v>
      </c>
      <c r="Q492" s="8" t="s">
        <v>54</v>
      </c>
      <c r="R492" s="8" t="s">
        <v>54</v>
      </c>
      <c r="S492" s="8" t="s">
        <v>54</v>
      </c>
      <c r="T492" s="8" t="s">
        <v>54</v>
      </c>
      <c r="U492" s="10" t="s">
        <v>67</v>
      </c>
      <c r="V492" s="12" t="s">
        <v>55</v>
      </c>
      <c r="W492" s="12" t="s">
        <v>55</v>
      </c>
      <c r="X492" s="12" t="s">
        <v>55</v>
      </c>
      <c r="Y492" s="12" t="s">
        <v>55</v>
      </c>
      <c r="Z492" s="12" t="s">
        <v>55</v>
      </c>
      <c r="AA492" s="12" t="s">
        <v>55</v>
      </c>
      <c r="AB492" s="10" t="s">
        <v>67</v>
      </c>
      <c r="AC492" s="12" t="s">
        <v>55</v>
      </c>
      <c r="AD492" s="12" t="s">
        <v>55</v>
      </c>
      <c r="AE492" s="12" t="s">
        <v>55</v>
      </c>
      <c r="AF492" s="12" t="s">
        <v>55</v>
      </c>
      <c r="AG492" s="8" t="s">
        <v>54</v>
      </c>
      <c r="AH492" s="8" t="s">
        <v>54</v>
      </c>
      <c r="AI492" s="10" t="s">
        <v>67</v>
      </c>
      <c r="AJ492" s="8">
        <f>COUNTIF($E$492:$AI$492,"P")</f>
        <v>16</v>
      </c>
      <c r="AK492" s="8">
        <f>COUNTIF($E$492:$AI$492,"A")</f>
        <v>10</v>
      </c>
      <c r="AL492" s="8">
        <f>SUM($E$493:$AI$493)</f>
        <v>0</v>
      </c>
      <c r="AM492" s="8">
        <f>SUM($E$494:$AI$494)</f>
        <v>0</v>
      </c>
      <c r="AN492" s="8">
        <f>AL492+AM492</f>
        <v>0</v>
      </c>
      <c r="AO492" s="8">
        <f>COUNTIF($E$492:$AI$492,"CL")</f>
        <v>0</v>
      </c>
      <c r="AP492" s="8">
        <f>COUNTIF($E$492:$AI$492,"SL")</f>
        <v>0</v>
      </c>
      <c r="AQ492" s="8">
        <f>COUNTIF($E$492:$AI$492,"EL")</f>
        <v>0</v>
      </c>
      <c r="AR492" s="8">
        <f>COUNTIF($E$492:$AI$492,"H")</f>
        <v>0</v>
      </c>
      <c r="AS492" s="8"/>
      <c r="AT492" s="11" t="s">
        <v>2090</v>
      </c>
    </row>
    <row r="493" spans="1:46" ht="15.1" customHeight="1">
      <c r="A493" s="8"/>
      <c r="B493" s="9"/>
      <c r="C493" s="8"/>
      <c r="D493" s="9"/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11" t="s">
        <v>2090</v>
      </c>
    </row>
    <row r="494" spans="1:46" ht="15.1" customHeight="1">
      <c r="A494" s="8"/>
      <c r="B494" s="9"/>
      <c r="C494" s="8"/>
      <c r="D494" s="9"/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11" t="s">
        <v>2090</v>
      </c>
    </row>
    <row r="495" spans="1:46" ht="15.1" customHeight="1">
      <c r="A495" s="8">
        <v>164</v>
      </c>
      <c r="B495" s="9" t="s">
        <v>2403</v>
      </c>
      <c r="C495" s="8" t="s">
        <v>2404</v>
      </c>
      <c r="D495" s="9" t="s">
        <v>451</v>
      </c>
      <c r="E495" s="8" t="s">
        <v>54</v>
      </c>
      <c r="F495" s="8" t="s">
        <v>54</v>
      </c>
      <c r="G495" s="10" t="s">
        <v>67</v>
      </c>
      <c r="H495" s="8" t="s">
        <v>54</v>
      </c>
      <c r="I495" s="8" t="s">
        <v>54</v>
      </c>
      <c r="J495" s="8" t="s">
        <v>54</v>
      </c>
      <c r="K495" s="8" t="s">
        <v>54</v>
      </c>
      <c r="L495" s="8" t="s">
        <v>54</v>
      </c>
      <c r="M495" s="8" t="s">
        <v>54</v>
      </c>
      <c r="N495" s="10" t="s">
        <v>67</v>
      </c>
      <c r="O495" s="8" t="s">
        <v>54</v>
      </c>
      <c r="P495" s="8" t="s">
        <v>54</v>
      </c>
      <c r="Q495" s="8" t="s">
        <v>54</v>
      </c>
      <c r="R495" s="8" t="s">
        <v>54</v>
      </c>
      <c r="S495" s="8" t="s">
        <v>54</v>
      </c>
      <c r="T495" s="8" t="s">
        <v>54</v>
      </c>
      <c r="U495" s="10" t="s">
        <v>67</v>
      </c>
      <c r="V495" s="8" t="s">
        <v>54</v>
      </c>
      <c r="W495" s="8" t="s">
        <v>54</v>
      </c>
      <c r="X495" s="8" t="s">
        <v>54</v>
      </c>
      <c r="Y495" s="8" t="s">
        <v>54</v>
      </c>
      <c r="Z495" s="8" t="s">
        <v>54</v>
      </c>
      <c r="AA495" s="8" t="s">
        <v>54</v>
      </c>
      <c r="AB495" s="10" t="s">
        <v>67</v>
      </c>
      <c r="AC495" s="8" t="s">
        <v>54</v>
      </c>
      <c r="AD495" s="8" t="s">
        <v>54</v>
      </c>
      <c r="AE495" s="8" t="s">
        <v>54</v>
      </c>
      <c r="AF495" s="8" t="s">
        <v>54</v>
      </c>
      <c r="AG495" s="8" t="s">
        <v>54</v>
      </c>
      <c r="AH495" s="8" t="s">
        <v>54</v>
      </c>
      <c r="AI495" s="10" t="s">
        <v>67</v>
      </c>
      <c r="AJ495" s="8">
        <f>COUNTIF($E$495:$AI$495,"P")</f>
        <v>26</v>
      </c>
      <c r="AK495" s="8">
        <f>COUNTIF($E$495:$AI$495,"A")</f>
        <v>0</v>
      </c>
      <c r="AL495" s="8">
        <f>SUM($E$496:$AI$496)</f>
        <v>0</v>
      </c>
      <c r="AM495" s="8">
        <f>SUM($E$497:$AI$497)</f>
        <v>0</v>
      </c>
      <c r="AN495" s="8">
        <f>AL495+AM495</f>
        <v>0</v>
      </c>
      <c r="AO495" s="8">
        <f>COUNTIF($E$495:$AI$495,"CL")</f>
        <v>0</v>
      </c>
      <c r="AP495" s="8">
        <f>COUNTIF($E$495:$AI$495,"SL")</f>
        <v>0</v>
      </c>
      <c r="AQ495" s="8">
        <f>COUNTIF($E$495:$AI$495,"EL")</f>
        <v>0</v>
      </c>
      <c r="AR495" s="8">
        <f>COUNTIF($E$495:$AI$495,"H")</f>
        <v>0</v>
      </c>
      <c r="AS495" s="8"/>
      <c r="AT495" s="11" t="s">
        <v>2090</v>
      </c>
    </row>
    <row r="496" spans="1:46" ht="15.1" customHeight="1">
      <c r="A496" s="8"/>
      <c r="B496" s="9"/>
      <c r="C496" s="8"/>
      <c r="D496" s="9"/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11" t="s">
        <v>2090</v>
      </c>
    </row>
    <row r="497" spans="1:46" ht="15.1" customHeight="1">
      <c r="A497" s="8"/>
      <c r="B497" s="9"/>
      <c r="C497" s="8"/>
      <c r="D497" s="9"/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11" t="s">
        <v>2090</v>
      </c>
    </row>
    <row r="498" spans="1:46" ht="15.1" customHeight="1">
      <c r="A498" s="8">
        <v>165</v>
      </c>
      <c r="B498" s="9" t="s">
        <v>2405</v>
      </c>
      <c r="C498" s="8" t="s">
        <v>2406</v>
      </c>
      <c r="D498" s="9" t="s">
        <v>451</v>
      </c>
      <c r="E498" s="8" t="s">
        <v>54</v>
      </c>
      <c r="F498" s="8" t="s">
        <v>54</v>
      </c>
      <c r="G498" s="10" t="s">
        <v>67</v>
      </c>
      <c r="H498" s="8" t="s">
        <v>54</v>
      </c>
      <c r="I498" s="8" t="s">
        <v>54</v>
      </c>
      <c r="J498" s="8" t="s">
        <v>54</v>
      </c>
      <c r="K498" s="12" t="s">
        <v>55</v>
      </c>
      <c r="L498" s="8" t="s">
        <v>54</v>
      </c>
      <c r="M498" s="8" t="s">
        <v>54</v>
      </c>
      <c r="N498" s="10" t="s">
        <v>67</v>
      </c>
      <c r="O498" s="8" t="s">
        <v>54</v>
      </c>
      <c r="P498" s="8" t="s">
        <v>54</v>
      </c>
      <c r="Q498" s="8" t="s">
        <v>54</v>
      </c>
      <c r="R498" s="8" t="s">
        <v>54</v>
      </c>
      <c r="S498" s="8" t="s">
        <v>54</v>
      </c>
      <c r="T498" s="8" t="s">
        <v>54</v>
      </c>
      <c r="U498" s="10" t="s">
        <v>67</v>
      </c>
      <c r="V498" s="8" t="s">
        <v>54</v>
      </c>
      <c r="W498" s="8" t="s">
        <v>54</v>
      </c>
      <c r="X498" s="12" t="s">
        <v>55</v>
      </c>
      <c r="Y498" s="8" t="s">
        <v>54</v>
      </c>
      <c r="Z498" s="8" t="s">
        <v>54</v>
      </c>
      <c r="AA498" s="8" t="s">
        <v>54</v>
      </c>
      <c r="AB498" s="10" t="s">
        <v>67</v>
      </c>
      <c r="AC498" s="12" t="s">
        <v>55</v>
      </c>
      <c r="AD498" s="8" t="s">
        <v>54</v>
      </c>
      <c r="AE498" s="8" t="s">
        <v>54</v>
      </c>
      <c r="AF498" s="8" t="s">
        <v>54</v>
      </c>
      <c r="AG498" s="8" t="s">
        <v>54</v>
      </c>
      <c r="AH498" s="8" t="s">
        <v>54</v>
      </c>
      <c r="AI498" s="10" t="s">
        <v>67</v>
      </c>
      <c r="AJ498" s="8">
        <f>COUNTIF($E$498:$AI$498,"P")</f>
        <v>23</v>
      </c>
      <c r="AK498" s="8">
        <f>COUNTIF($E$498:$AI$498,"A")</f>
        <v>3</v>
      </c>
      <c r="AL498" s="8">
        <f>SUM($E$499:$AI$499)</f>
        <v>0</v>
      </c>
      <c r="AM498" s="8">
        <f>SUM($E$500:$AI$500)</f>
        <v>0</v>
      </c>
      <c r="AN498" s="8">
        <f>AL498+AM498</f>
        <v>0</v>
      </c>
      <c r="AO498" s="8">
        <f>COUNTIF($E$498:$AI$498,"CL")</f>
        <v>0</v>
      </c>
      <c r="AP498" s="8">
        <f>COUNTIF($E$498:$AI$498,"SL")</f>
        <v>0</v>
      </c>
      <c r="AQ498" s="8">
        <f>COUNTIF($E$498:$AI$498,"EL")</f>
        <v>0</v>
      </c>
      <c r="AR498" s="8">
        <f>COUNTIF($E$498:$AI$498,"H")</f>
        <v>0</v>
      </c>
      <c r="AS498" s="8"/>
      <c r="AT498" s="11" t="s">
        <v>2090</v>
      </c>
    </row>
    <row r="499" spans="1:46" ht="15.1" customHeight="1">
      <c r="A499" s="8"/>
      <c r="B499" s="9"/>
      <c r="C499" s="8"/>
      <c r="D499" s="9"/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11" t="s">
        <v>2090</v>
      </c>
    </row>
    <row r="500" spans="1:46" ht="15.1" customHeight="1">
      <c r="A500" s="8"/>
      <c r="B500" s="9"/>
      <c r="C500" s="8"/>
      <c r="D500" s="9"/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11" t="s">
        <v>2090</v>
      </c>
    </row>
    <row r="501" spans="1:46" ht="15.1" customHeight="1">
      <c r="A501" s="8">
        <v>166</v>
      </c>
      <c r="B501" s="9" t="s">
        <v>2407</v>
      </c>
      <c r="C501" s="8" t="s">
        <v>2408</v>
      </c>
      <c r="D501" s="9" t="s">
        <v>451</v>
      </c>
      <c r="E501" s="12" t="s">
        <v>55</v>
      </c>
      <c r="F501" s="8" t="s">
        <v>54</v>
      </c>
      <c r="G501" s="10" t="s">
        <v>67</v>
      </c>
      <c r="H501" s="12" t="s">
        <v>55</v>
      </c>
      <c r="I501" s="8" t="s">
        <v>54</v>
      </c>
      <c r="J501" s="8" t="s">
        <v>54</v>
      </c>
      <c r="K501" s="8" t="s">
        <v>54</v>
      </c>
      <c r="L501" s="8" t="s">
        <v>54</v>
      </c>
      <c r="M501" s="8" t="s">
        <v>54</v>
      </c>
      <c r="N501" s="10" t="s">
        <v>67</v>
      </c>
      <c r="O501" s="12" t="s">
        <v>55</v>
      </c>
      <c r="P501" s="12" t="s">
        <v>55</v>
      </c>
      <c r="Q501" s="8" t="s">
        <v>54</v>
      </c>
      <c r="R501" s="8" t="s">
        <v>54</v>
      </c>
      <c r="S501" s="8" t="s">
        <v>54</v>
      </c>
      <c r="T501" s="8" t="s">
        <v>54</v>
      </c>
      <c r="U501" s="10" t="s">
        <v>67</v>
      </c>
      <c r="V501" s="8" t="s">
        <v>54</v>
      </c>
      <c r="W501" s="8" t="s">
        <v>54</v>
      </c>
      <c r="X501" s="12" t="s">
        <v>55</v>
      </c>
      <c r="Y501" s="8" t="s">
        <v>54</v>
      </c>
      <c r="Z501" s="8" t="s">
        <v>54</v>
      </c>
      <c r="AA501" s="8" t="s">
        <v>54</v>
      </c>
      <c r="AB501" s="10" t="s">
        <v>67</v>
      </c>
      <c r="AC501" s="8" t="s">
        <v>54</v>
      </c>
      <c r="AD501" s="8" t="s">
        <v>54</v>
      </c>
      <c r="AE501" s="8" t="s">
        <v>54</v>
      </c>
      <c r="AF501" s="8" t="s">
        <v>54</v>
      </c>
      <c r="AG501" s="8" t="s">
        <v>54</v>
      </c>
      <c r="AH501" s="8" t="s">
        <v>54</v>
      </c>
      <c r="AI501" s="10" t="s">
        <v>67</v>
      </c>
      <c r="AJ501" s="8">
        <f>COUNTIF($E$501:$AI$501,"P")</f>
        <v>21</v>
      </c>
      <c r="AK501" s="8">
        <f>COUNTIF($E$501:$AI$501,"A")</f>
        <v>5</v>
      </c>
      <c r="AL501" s="8">
        <f>SUM($E$502:$AI$502)</f>
        <v>0</v>
      </c>
      <c r="AM501" s="8">
        <f>SUM($E$503:$AI$503)</f>
        <v>0</v>
      </c>
      <c r="AN501" s="8">
        <f>AL501+AM501</f>
        <v>0</v>
      </c>
      <c r="AO501" s="8">
        <f>COUNTIF($E$501:$AI$501,"CL")</f>
        <v>0</v>
      </c>
      <c r="AP501" s="8">
        <f>COUNTIF($E$501:$AI$501,"SL")</f>
        <v>0</v>
      </c>
      <c r="AQ501" s="8">
        <f>COUNTIF($E$501:$AI$501,"EL")</f>
        <v>0</v>
      </c>
      <c r="AR501" s="8">
        <f>COUNTIF($E$501:$AI$501,"H")</f>
        <v>0</v>
      </c>
      <c r="AS501" s="8"/>
      <c r="AT501" s="11" t="s">
        <v>2090</v>
      </c>
    </row>
    <row r="502" spans="1:46" ht="15.1" customHeight="1">
      <c r="A502" s="8"/>
      <c r="B502" s="9"/>
      <c r="C502" s="8"/>
      <c r="D502" s="9"/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11" t="s">
        <v>2090</v>
      </c>
    </row>
    <row r="503" spans="1:46" ht="15.1" customHeight="1">
      <c r="A503" s="8"/>
      <c r="B503" s="9"/>
      <c r="C503" s="8"/>
      <c r="D503" s="9"/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11" t="s">
        <v>2090</v>
      </c>
    </row>
    <row r="504" spans="1:46" ht="15.1" customHeight="1">
      <c r="A504" s="8">
        <v>167</v>
      </c>
      <c r="B504" s="9" t="s">
        <v>2409</v>
      </c>
      <c r="C504" s="8" t="s">
        <v>2410</v>
      </c>
      <c r="D504" s="9" t="s">
        <v>451</v>
      </c>
      <c r="E504" s="8" t="s">
        <v>54</v>
      </c>
      <c r="F504" s="8" t="s">
        <v>54</v>
      </c>
      <c r="G504" s="10" t="s">
        <v>67</v>
      </c>
      <c r="H504" s="8" t="s">
        <v>54</v>
      </c>
      <c r="I504" s="8" t="s">
        <v>54</v>
      </c>
      <c r="J504" s="8" t="s">
        <v>54</v>
      </c>
      <c r="K504" s="8" t="s">
        <v>54</v>
      </c>
      <c r="L504" s="8" t="s">
        <v>54</v>
      </c>
      <c r="M504" s="8" t="s">
        <v>54</v>
      </c>
      <c r="N504" s="10" t="s">
        <v>67</v>
      </c>
      <c r="O504" s="8" t="s">
        <v>54</v>
      </c>
      <c r="P504" s="8" t="s">
        <v>54</v>
      </c>
      <c r="Q504" s="8" t="s">
        <v>54</v>
      </c>
      <c r="R504" s="8" t="s">
        <v>54</v>
      </c>
      <c r="S504" s="8" t="s">
        <v>54</v>
      </c>
      <c r="T504" s="12" t="s">
        <v>55</v>
      </c>
      <c r="U504" s="10" t="s">
        <v>67</v>
      </c>
      <c r="V504" s="8" t="s">
        <v>54</v>
      </c>
      <c r="W504" s="8" t="s">
        <v>54</v>
      </c>
      <c r="X504" s="12" t="s">
        <v>55</v>
      </c>
      <c r="Y504" s="8" t="s">
        <v>54</v>
      </c>
      <c r="Z504" s="8" t="s">
        <v>54</v>
      </c>
      <c r="AA504" s="8" t="s">
        <v>54</v>
      </c>
      <c r="AB504" s="10" t="s">
        <v>67</v>
      </c>
      <c r="AC504" s="8" t="s">
        <v>54</v>
      </c>
      <c r="AD504" s="12" t="s">
        <v>55</v>
      </c>
      <c r="AE504" s="8" t="s">
        <v>54</v>
      </c>
      <c r="AF504" s="8" t="s">
        <v>54</v>
      </c>
      <c r="AG504" s="8" t="s">
        <v>54</v>
      </c>
      <c r="AH504" s="8" t="s">
        <v>54</v>
      </c>
      <c r="AI504" s="10" t="s">
        <v>67</v>
      </c>
      <c r="AJ504" s="8">
        <f>COUNTIF($E$504:$AI$504,"P")</f>
        <v>23</v>
      </c>
      <c r="AK504" s="8">
        <f>COUNTIF($E$504:$AI$504,"A")</f>
        <v>3</v>
      </c>
      <c r="AL504" s="8">
        <f>SUM($E$505:$AI$505)</f>
        <v>0</v>
      </c>
      <c r="AM504" s="8">
        <f>SUM($E$506:$AI$506)</f>
        <v>0</v>
      </c>
      <c r="AN504" s="8">
        <f>AL504+AM504</f>
        <v>0</v>
      </c>
      <c r="AO504" s="8">
        <f>COUNTIF($E$504:$AI$504,"CL")</f>
        <v>0</v>
      </c>
      <c r="AP504" s="8">
        <f>COUNTIF($E$504:$AI$504,"SL")</f>
        <v>0</v>
      </c>
      <c r="AQ504" s="8">
        <f>COUNTIF($E$504:$AI$504,"EL")</f>
        <v>0</v>
      </c>
      <c r="AR504" s="8">
        <f>COUNTIF($E$504:$AI$504,"H")</f>
        <v>0</v>
      </c>
      <c r="AS504" s="8"/>
      <c r="AT504" s="11" t="s">
        <v>2090</v>
      </c>
    </row>
    <row r="505" spans="1:46" ht="15.1" customHeight="1">
      <c r="A505" s="8"/>
      <c r="B505" s="9"/>
      <c r="C505" s="8"/>
      <c r="D505" s="9"/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11" t="s">
        <v>2090</v>
      </c>
    </row>
    <row r="506" spans="1:46" ht="15.1" customHeight="1">
      <c r="A506" s="8"/>
      <c r="B506" s="9"/>
      <c r="C506" s="8"/>
      <c r="D506" s="9"/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11" t="s">
        <v>2090</v>
      </c>
    </row>
    <row r="507" spans="1:46" ht="15.1" customHeight="1">
      <c r="A507" s="8">
        <v>168</v>
      </c>
      <c r="B507" s="9" t="s">
        <v>2411</v>
      </c>
      <c r="C507" s="8" t="s">
        <v>2412</v>
      </c>
      <c r="D507" s="9" t="s">
        <v>451</v>
      </c>
      <c r="E507" s="8" t="s">
        <v>54</v>
      </c>
      <c r="F507" s="8" t="s">
        <v>54</v>
      </c>
      <c r="G507" s="10" t="s">
        <v>67</v>
      </c>
      <c r="H507" s="8" t="s">
        <v>54</v>
      </c>
      <c r="I507" s="8" t="s">
        <v>54</v>
      </c>
      <c r="J507" s="8" t="s">
        <v>54</v>
      </c>
      <c r="K507" s="8" t="s">
        <v>54</v>
      </c>
      <c r="L507" s="8" t="s">
        <v>54</v>
      </c>
      <c r="M507" s="8" t="s">
        <v>54</v>
      </c>
      <c r="N507" s="10" t="s">
        <v>67</v>
      </c>
      <c r="O507" s="12" t="s">
        <v>55</v>
      </c>
      <c r="P507" s="12" t="s">
        <v>55</v>
      </c>
      <c r="Q507" s="8" t="s">
        <v>54</v>
      </c>
      <c r="R507" s="8" t="s">
        <v>54</v>
      </c>
      <c r="S507" s="8" t="s">
        <v>54</v>
      </c>
      <c r="T507" s="8" t="s">
        <v>54</v>
      </c>
      <c r="U507" s="10" t="s">
        <v>67</v>
      </c>
      <c r="V507" s="8" t="s">
        <v>54</v>
      </c>
      <c r="W507" s="8" t="s">
        <v>54</v>
      </c>
      <c r="X507" s="12" t="s">
        <v>55</v>
      </c>
      <c r="Y507" s="8" t="s">
        <v>54</v>
      </c>
      <c r="Z507" s="8" t="s">
        <v>54</v>
      </c>
      <c r="AA507" s="8" t="s">
        <v>54</v>
      </c>
      <c r="AB507" s="10" t="s">
        <v>67</v>
      </c>
      <c r="AC507" s="8" t="s">
        <v>54</v>
      </c>
      <c r="AD507" s="8" t="s">
        <v>54</v>
      </c>
      <c r="AE507" s="8" t="s">
        <v>54</v>
      </c>
      <c r="AF507" s="8" t="s">
        <v>54</v>
      </c>
      <c r="AG507" s="8" t="s">
        <v>54</v>
      </c>
      <c r="AH507" s="8" t="s">
        <v>54</v>
      </c>
      <c r="AI507" s="10" t="s">
        <v>67</v>
      </c>
      <c r="AJ507" s="8">
        <f>COUNTIF($E$507:$AI$507,"P")</f>
        <v>23</v>
      </c>
      <c r="AK507" s="8">
        <f>COUNTIF($E$507:$AI$507,"A")</f>
        <v>3</v>
      </c>
      <c r="AL507" s="8">
        <f>SUM($E$508:$AI$508)</f>
        <v>0</v>
      </c>
      <c r="AM507" s="8">
        <f>SUM($E$509:$AI$509)</f>
        <v>0</v>
      </c>
      <c r="AN507" s="8">
        <f>AL507+AM507</f>
        <v>0</v>
      </c>
      <c r="AO507" s="8">
        <f>COUNTIF($E$507:$AI$507,"CL")</f>
        <v>0</v>
      </c>
      <c r="AP507" s="8">
        <f>COUNTIF($E$507:$AI$507,"SL")</f>
        <v>0</v>
      </c>
      <c r="AQ507" s="8">
        <f>COUNTIF($E$507:$AI$507,"EL")</f>
        <v>0</v>
      </c>
      <c r="AR507" s="8">
        <f>COUNTIF($E$507:$AI$507,"H")</f>
        <v>0</v>
      </c>
      <c r="AS507" s="8"/>
      <c r="AT507" s="11" t="s">
        <v>2090</v>
      </c>
    </row>
    <row r="508" spans="1:46" ht="15.1" customHeight="1">
      <c r="A508" s="8"/>
      <c r="B508" s="9"/>
      <c r="C508" s="8"/>
      <c r="D508" s="9"/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11" t="s">
        <v>2090</v>
      </c>
    </row>
    <row r="509" spans="1:46" ht="15.1" customHeight="1">
      <c r="A509" s="8"/>
      <c r="B509" s="9"/>
      <c r="C509" s="8"/>
      <c r="D509" s="9"/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11" t="s">
        <v>2090</v>
      </c>
    </row>
    <row r="510" spans="1:46" ht="15.1" customHeight="1">
      <c r="A510" s="8">
        <v>169</v>
      </c>
      <c r="B510" s="9" t="s">
        <v>2413</v>
      </c>
      <c r="C510" s="8" t="s">
        <v>2414</v>
      </c>
      <c r="D510" s="9" t="s">
        <v>451</v>
      </c>
      <c r="E510" s="8" t="s">
        <v>54</v>
      </c>
      <c r="F510" s="8" t="s">
        <v>54</v>
      </c>
      <c r="G510" s="10" t="s">
        <v>67</v>
      </c>
      <c r="H510" s="8" t="s">
        <v>54</v>
      </c>
      <c r="I510" s="8" t="s">
        <v>54</v>
      </c>
      <c r="J510" s="8" t="s">
        <v>54</v>
      </c>
      <c r="K510" s="8" t="s">
        <v>54</v>
      </c>
      <c r="L510" s="8" t="s">
        <v>54</v>
      </c>
      <c r="M510" s="8" t="s">
        <v>54</v>
      </c>
      <c r="N510" s="10" t="s">
        <v>67</v>
      </c>
      <c r="O510" s="12" t="s">
        <v>55</v>
      </c>
      <c r="P510" s="12" t="s">
        <v>55</v>
      </c>
      <c r="Q510" s="8" t="s">
        <v>54</v>
      </c>
      <c r="R510" s="8" t="s">
        <v>54</v>
      </c>
      <c r="S510" s="8" t="s">
        <v>54</v>
      </c>
      <c r="T510" s="8" t="s">
        <v>54</v>
      </c>
      <c r="U510" s="10" t="s">
        <v>67</v>
      </c>
      <c r="V510" s="8" t="s">
        <v>54</v>
      </c>
      <c r="W510" s="8" t="s">
        <v>54</v>
      </c>
      <c r="X510" s="12" t="s">
        <v>55</v>
      </c>
      <c r="Y510" s="8" t="s">
        <v>54</v>
      </c>
      <c r="Z510" s="12" t="s">
        <v>55</v>
      </c>
      <c r="AA510" s="12" t="s">
        <v>55</v>
      </c>
      <c r="AB510" s="10" t="s">
        <v>67</v>
      </c>
      <c r="AC510" s="8" t="s">
        <v>54</v>
      </c>
      <c r="AD510" s="8" t="s">
        <v>54</v>
      </c>
      <c r="AE510" s="8" t="s">
        <v>54</v>
      </c>
      <c r="AF510" s="8" t="s">
        <v>54</v>
      </c>
      <c r="AG510" s="8" t="s">
        <v>54</v>
      </c>
      <c r="AH510" s="8" t="s">
        <v>54</v>
      </c>
      <c r="AI510" s="10" t="s">
        <v>67</v>
      </c>
      <c r="AJ510" s="8">
        <f>COUNTIF($E$510:$AI$510,"P")</f>
        <v>21</v>
      </c>
      <c r="AK510" s="8">
        <f>COUNTIF($E$510:$AI$510,"A")</f>
        <v>5</v>
      </c>
      <c r="AL510" s="8">
        <f>SUM($E$511:$AI$511)</f>
        <v>0</v>
      </c>
      <c r="AM510" s="8">
        <f>SUM($E$512:$AI$512)</f>
        <v>0</v>
      </c>
      <c r="AN510" s="8">
        <f>AL510+AM510</f>
        <v>0</v>
      </c>
      <c r="AO510" s="8">
        <f>COUNTIF($E$510:$AI$510,"CL")</f>
        <v>0</v>
      </c>
      <c r="AP510" s="8">
        <f>COUNTIF($E$510:$AI$510,"SL")</f>
        <v>0</v>
      </c>
      <c r="AQ510" s="8">
        <f>COUNTIF($E$510:$AI$510,"EL")</f>
        <v>0</v>
      </c>
      <c r="AR510" s="8">
        <f>COUNTIF($E$510:$AI$510,"H")</f>
        <v>0</v>
      </c>
      <c r="AS510" s="8"/>
      <c r="AT510" s="11" t="s">
        <v>2090</v>
      </c>
    </row>
    <row r="511" spans="1:46" ht="15.1" customHeight="1">
      <c r="A511" s="8"/>
      <c r="B511" s="9"/>
      <c r="C511" s="8"/>
      <c r="D511" s="9"/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11" t="s">
        <v>2090</v>
      </c>
    </row>
    <row r="512" spans="1:46" ht="15.1" customHeight="1">
      <c r="A512" s="8"/>
      <c r="B512" s="9"/>
      <c r="C512" s="8"/>
      <c r="D512" s="9"/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11" t="s">
        <v>2090</v>
      </c>
    </row>
    <row r="513" spans="1:46" ht="15.1" customHeight="1">
      <c r="A513" s="8">
        <v>170</v>
      </c>
      <c r="B513" s="9" t="s">
        <v>2415</v>
      </c>
      <c r="C513" s="8" t="s">
        <v>2416</v>
      </c>
      <c r="D513" s="9" t="s">
        <v>451</v>
      </c>
      <c r="E513" s="8" t="s">
        <v>54</v>
      </c>
      <c r="F513" s="8" t="s">
        <v>54</v>
      </c>
      <c r="G513" s="10" t="s">
        <v>67</v>
      </c>
      <c r="H513" s="8" t="s">
        <v>54</v>
      </c>
      <c r="I513" s="8" t="s">
        <v>54</v>
      </c>
      <c r="J513" s="8" t="s">
        <v>54</v>
      </c>
      <c r="K513" s="8" t="s">
        <v>54</v>
      </c>
      <c r="L513" s="8" t="s">
        <v>54</v>
      </c>
      <c r="M513" s="8" t="s">
        <v>54</v>
      </c>
      <c r="N513" s="10" t="s">
        <v>67</v>
      </c>
      <c r="O513" s="8" t="s">
        <v>54</v>
      </c>
      <c r="P513" s="8" t="s">
        <v>54</v>
      </c>
      <c r="Q513" s="8" t="s">
        <v>54</v>
      </c>
      <c r="R513" s="8" t="s">
        <v>54</v>
      </c>
      <c r="S513" s="8" t="s">
        <v>54</v>
      </c>
      <c r="T513" s="8" t="s">
        <v>54</v>
      </c>
      <c r="U513" s="10" t="s">
        <v>67</v>
      </c>
      <c r="V513" s="8" t="s">
        <v>54</v>
      </c>
      <c r="W513" s="8" t="s">
        <v>54</v>
      </c>
      <c r="X513" s="8" t="s">
        <v>54</v>
      </c>
      <c r="Y513" s="8" t="s">
        <v>54</v>
      </c>
      <c r="Z513" s="8" t="s">
        <v>54</v>
      </c>
      <c r="AA513" s="8" t="s">
        <v>54</v>
      </c>
      <c r="AB513" s="10" t="s">
        <v>67</v>
      </c>
      <c r="AC513" s="8" t="s">
        <v>54</v>
      </c>
      <c r="AD513" s="8" t="s">
        <v>54</v>
      </c>
      <c r="AE513" s="8" t="s">
        <v>54</v>
      </c>
      <c r="AF513" s="8" t="s">
        <v>54</v>
      </c>
      <c r="AG513" s="8" t="s">
        <v>54</v>
      </c>
      <c r="AH513" s="8" t="s">
        <v>54</v>
      </c>
      <c r="AI513" s="10" t="s">
        <v>67</v>
      </c>
      <c r="AJ513" s="8">
        <f>COUNTIF($E$513:$AI$513,"P")</f>
        <v>26</v>
      </c>
      <c r="AK513" s="8">
        <f>COUNTIF($E$513:$AI$513,"A")</f>
        <v>0</v>
      </c>
      <c r="AL513" s="8">
        <f>SUM($E$514:$AI$514)</f>
        <v>0</v>
      </c>
      <c r="AM513" s="8">
        <f>SUM($E$515:$AI$515)</f>
        <v>0</v>
      </c>
      <c r="AN513" s="8">
        <f>AL513+AM513</f>
        <v>0</v>
      </c>
      <c r="AO513" s="8">
        <f>COUNTIF($E$513:$AI$513,"CL")</f>
        <v>0</v>
      </c>
      <c r="AP513" s="8">
        <f>COUNTIF($E$513:$AI$513,"SL")</f>
        <v>0</v>
      </c>
      <c r="AQ513" s="8">
        <f>COUNTIF($E$513:$AI$513,"EL")</f>
        <v>0</v>
      </c>
      <c r="AR513" s="8">
        <f>COUNTIF($E$513:$AI$513,"H")</f>
        <v>0</v>
      </c>
      <c r="AS513" s="8"/>
      <c r="AT513" s="11" t="s">
        <v>2090</v>
      </c>
    </row>
    <row r="514" spans="1:46" ht="15.1" customHeight="1">
      <c r="A514" s="8"/>
      <c r="B514" s="9"/>
      <c r="C514" s="8"/>
      <c r="D514" s="9"/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11" t="s">
        <v>2090</v>
      </c>
    </row>
    <row r="515" spans="1:46" ht="15.1" customHeight="1">
      <c r="A515" s="8"/>
      <c r="B515" s="9"/>
      <c r="C515" s="8"/>
      <c r="D515" s="9"/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11" t="s">
        <v>2090</v>
      </c>
    </row>
    <row r="516" spans="1:46" ht="15.1" customHeight="1">
      <c r="A516" s="8">
        <v>171</v>
      </c>
      <c r="B516" s="9" t="s">
        <v>2417</v>
      </c>
      <c r="C516" s="8" t="s">
        <v>2418</v>
      </c>
      <c r="D516" s="9" t="s">
        <v>451</v>
      </c>
      <c r="E516" s="8" t="s">
        <v>54</v>
      </c>
      <c r="F516" s="8" t="s">
        <v>54</v>
      </c>
      <c r="G516" s="10" t="s">
        <v>67</v>
      </c>
      <c r="H516" s="8" t="s">
        <v>54</v>
      </c>
      <c r="I516" s="8" t="s">
        <v>54</v>
      </c>
      <c r="J516" s="8" t="s">
        <v>54</v>
      </c>
      <c r="K516" s="8" t="s">
        <v>54</v>
      </c>
      <c r="L516" s="8" t="s">
        <v>54</v>
      </c>
      <c r="M516" s="8" t="s">
        <v>54</v>
      </c>
      <c r="N516" s="10" t="s">
        <v>67</v>
      </c>
      <c r="O516" s="8" t="s">
        <v>54</v>
      </c>
      <c r="P516" s="8" t="s">
        <v>54</v>
      </c>
      <c r="Q516" s="8" t="s">
        <v>54</v>
      </c>
      <c r="R516" s="8" t="s">
        <v>54</v>
      </c>
      <c r="S516" s="8" t="s">
        <v>54</v>
      </c>
      <c r="T516" s="8" t="s">
        <v>54</v>
      </c>
      <c r="U516" s="10" t="s">
        <v>67</v>
      </c>
      <c r="V516" s="8" t="s">
        <v>54</v>
      </c>
      <c r="W516" s="8" t="s">
        <v>54</v>
      </c>
      <c r="X516" s="12" t="s">
        <v>55</v>
      </c>
      <c r="Y516" s="8" t="s">
        <v>54</v>
      </c>
      <c r="Z516" s="8" t="s">
        <v>54</v>
      </c>
      <c r="AA516" s="8" t="s">
        <v>54</v>
      </c>
      <c r="AB516" s="10" t="s">
        <v>67</v>
      </c>
      <c r="AC516" s="12" t="s">
        <v>55</v>
      </c>
      <c r="AD516" s="12" t="s">
        <v>55</v>
      </c>
      <c r="AE516" s="12" t="s">
        <v>55</v>
      </c>
      <c r="AF516" s="8" t="s">
        <v>54</v>
      </c>
      <c r="AG516" s="8" t="s">
        <v>54</v>
      </c>
      <c r="AH516" s="8" t="s">
        <v>54</v>
      </c>
      <c r="AI516" s="10" t="s">
        <v>67</v>
      </c>
      <c r="AJ516" s="8">
        <f>COUNTIF($E$516:$AI$516,"P")</f>
        <v>22</v>
      </c>
      <c r="AK516" s="8">
        <f>COUNTIF($E$516:$AI$516,"A")</f>
        <v>4</v>
      </c>
      <c r="AL516" s="8">
        <f>SUM($E$517:$AI$517)</f>
        <v>0</v>
      </c>
      <c r="AM516" s="8">
        <f>SUM($E$518:$AI$518)</f>
        <v>0</v>
      </c>
      <c r="AN516" s="8">
        <f>AL516+AM516</f>
        <v>0</v>
      </c>
      <c r="AO516" s="8">
        <f>COUNTIF($E$516:$AI$516,"CL")</f>
        <v>0</v>
      </c>
      <c r="AP516" s="8">
        <f>COUNTIF($E$516:$AI$516,"SL")</f>
        <v>0</v>
      </c>
      <c r="AQ516" s="8">
        <f>COUNTIF($E$516:$AI$516,"EL")</f>
        <v>0</v>
      </c>
      <c r="AR516" s="8">
        <f>COUNTIF($E$516:$AI$516,"H")</f>
        <v>0</v>
      </c>
      <c r="AS516" s="8"/>
      <c r="AT516" s="11" t="s">
        <v>2090</v>
      </c>
    </row>
    <row r="517" spans="1:46" ht="15.1" customHeight="1">
      <c r="A517" s="8"/>
      <c r="B517" s="9"/>
      <c r="C517" s="8"/>
      <c r="D517" s="9"/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11" t="s">
        <v>2090</v>
      </c>
    </row>
    <row r="518" spans="1:46" ht="15.1" customHeight="1">
      <c r="A518" s="8"/>
      <c r="B518" s="9"/>
      <c r="C518" s="8"/>
      <c r="D518" s="9"/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11" t="s">
        <v>2090</v>
      </c>
    </row>
    <row r="519" spans="1:46" ht="15.1" customHeight="1">
      <c r="A519" s="8">
        <v>172</v>
      </c>
      <c r="B519" s="9" t="s">
        <v>2419</v>
      </c>
      <c r="C519" s="8" t="s">
        <v>2420</v>
      </c>
      <c r="D519" s="9" t="s">
        <v>451</v>
      </c>
      <c r="E519" s="8" t="s">
        <v>54</v>
      </c>
      <c r="F519" s="8" t="s">
        <v>54</v>
      </c>
      <c r="G519" s="10" t="s">
        <v>67</v>
      </c>
      <c r="H519" s="8" t="s">
        <v>54</v>
      </c>
      <c r="I519" s="8" t="s">
        <v>54</v>
      </c>
      <c r="J519" s="8" t="s">
        <v>54</v>
      </c>
      <c r="K519" s="8" t="s">
        <v>54</v>
      </c>
      <c r="L519" s="8" t="s">
        <v>54</v>
      </c>
      <c r="M519" s="8" t="s">
        <v>54</v>
      </c>
      <c r="N519" s="10" t="s">
        <v>67</v>
      </c>
      <c r="O519" s="8" t="s">
        <v>54</v>
      </c>
      <c r="P519" s="8" t="s">
        <v>54</v>
      </c>
      <c r="Q519" s="8" t="s">
        <v>54</v>
      </c>
      <c r="R519" s="8" t="s">
        <v>54</v>
      </c>
      <c r="S519" s="8" t="s">
        <v>54</v>
      </c>
      <c r="T519" s="8" t="s">
        <v>54</v>
      </c>
      <c r="U519" s="10" t="s">
        <v>67</v>
      </c>
      <c r="V519" s="8" t="s">
        <v>54</v>
      </c>
      <c r="W519" s="8" t="s">
        <v>54</v>
      </c>
      <c r="X519" s="8" t="s">
        <v>54</v>
      </c>
      <c r="Y519" s="8" t="s">
        <v>54</v>
      </c>
      <c r="Z519" s="8" t="s">
        <v>54</v>
      </c>
      <c r="AA519" s="8" t="s">
        <v>54</v>
      </c>
      <c r="AB519" s="10" t="s">
        <v>67</v>
      </c>
      <c r="AC519" s="8" t="s">
        <v>54</v>
      </c>
      <c r="AD519" s="8" t="s">
        <v>54</v>
      </c>
      <c r="AE519" s="8" t="s">
        <v>54</v>
      </c>
      <c r="AF519" s="8" t="s">
        <v>54</v>
      </c>
      <c r="AG519" s="8" t="s">
        <v>54</v>
      </c>
      <c r="AH519" s="8" t="s">
        <v>54</v>
      </c>
      <c r="AI519" s="10" t="s">
        <v>67</v>
      </c>
      <c r="AJ519" s="8">
        <f>COUNTIF($E$519:$AI$519,"P")</f>
        <v>26</v>
      </c>
      <c r="AK519" s="8">
        <f>COUNTIF($E$519:$AI$519,"A")</f>
        <v>0</v>
      </c>
      <c r="AL519" s="8">
        <f>SUM($E$520:$AI$520)</f>
        <v>0</v>
      </c>
      <c r="AM519" s="8">
        <f>SUM($E$521:$AI$521)</f>
        <v>0</v>
      </c>
      <c r="AN519" s="8">
        <f>AL519+AM519</f>
        <v>0</v>
      </c>
      <c r="AO519" s="8">
        <f>COUNTIF($E$519:$AI$519,"CL")</f>
        <v>0</v>
      </c>
      <c r="AP519" s="8">
        <f>COUNTIF($E$519:$AI$519,"SL")</f>
        <v>0</v>
      </c>
      <c r="AQ519" s="8">
        <f>COUNTIF($E$519:$AI$519,"EL")</f>
        <v>0</v>
      </c>
      <c r="AR519" s="8">
        <f>COUNTIF($E$519:$AI$519,"H")</f>
        <v>0</v>
      </c>
      <c r="AS519" s="8"/>
      <c r="AT519" s="11" t="s">
        <v>2090</v>
      </c>
    </row>
    <row r="520" spans="1:46" ht="15.1" customHeight="1">
      <c r="A520" s="8"/>
      <c r="B520" s="9"/>
      <c r="C520" s="8"/>
      <c r="D520" s="9"/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11" t="s">
        <v>2090</v>
      </c>
    </row>
    <row r="521" spans="1:46" ht="15.1" customHeight="1">
      <c r="A521" s="8"/>
      <c r="B521" s="9"/>
      <c r="C521" s="8"/>
      <c r="D521" s="9"/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11" t="s">
        <v>2090</v>
      </c>
    </row>
    <row r="522" spans="1:46" ht="15.1" customHeight="1">
      <c r="A522" s="8">
        <v>173</v>
      </c>
      <c r="B522" s="9" t="s">
        <v>2421</v>
      </c>
      <c r="C522" s="8" t="s">
        <v>2422</v>
      </c>
      <c r="D522" s="9" t="s">
        <v>451</v>
      </c>
      <c r="E522" s="8" t="s">
        <v>54</v>
      </c>
      <c r="F522" s="8" t="s">
        <v>54</v>
      </c>
      <c r="G522" s="10" t="s">
        <v>67</v>
      </c>
      <c r="H522" s="8" t="s">
        <v>54</v>
      </c>
      <c r="I522" s="8" t="s">
        <v>54</v>
      </c>
      <c r="J522" s="8" t="s">
        <v>54</v>
      </c>
      <c r="K522" s="8" t="s">
        <v>54</v>
      </c>
      <c r="L522" s="8" t="s">
        <v>54</v>
      </c>
      <c r="M522" s="8" t="s">
        <v>54</v>
      </c>
      <c r="N522" s="10" t="s">
        <v>67</v>
      </c>
      <c r="O522" s="8" t="s">
        <v>54</v>
      </c>
      <c r="P522" s="8" t="s">
        <v>54</v>
      </c>
      <c r="Q522" s="8" t="s">
        <v>54</v>
      </c>
      <c r="R522" s="8" t="s">
        <v>54</v>
      </c>
      <c r="S522" s="8" t="s">
        <v>54</v>
      </c>
      <c r="T522" s="8" t="s">
        <v>54</v>
      </c>
      <c r="U522" s="10" t="s">
        <v>67</v>
      </c>
      <c r="V522" s="8" t="s">
        <v>54</v>
      </c>
      <c r="W522" s="8" t="s">
        <v>54</v>
      </c>
      <c r="X522" s="8" t="s">
        <v>54</v>
      </c>
      <c r="Y522" s="8" t="s">
        <v>54</v>
      </c>
      <c r="Z522" s="8" t="s">
        <v>54</v>
      </c>
      <c r="AA522" s="8" t="s">
        <v>54</v>
      </c>
      <c r="AB522" s="10" t="s">
        <v>67</v>
      </c>
      <c r="AC522" s="8" t="s">
        <v>54</v>
      </c>
      <c r="AD522" s="8" t="s">
        <v>54</v>
      </c>
      <c r="AE522" s="8" t="s">
        <v>54</v>
      </c>
      <c r="AF522" s="8" t="s">
        <v>54</v>
      </c>
      <c r="AG522" s="8" t="s">
        <v>54</v>
      </c>
      <c r="AH522" s="8" t="s">
        <v>54</v>
      </c>
      <c r="AI522" s="10" t="s">
        <v>67</v>
      </c>
      <c r="AJ522" s="8">
        <f>COUNTIF($E$522:$AI$522,"P")</f>
        <v>26</v>
      </c>
      <c r="AK522" s="8">
        <f>COUNTIF($E$522:$AI$522,"A")</f>
        <v>0</v>
      </c>
      <c r="AL522" s="8">
        <f>SUM($E$523:$AI$523)</f>
        <v>0</v>
      </c>
      <c r="AM522" s="8">
        <f>SUM($E$524:$AI$524)</f>
        <v>0</v>
      </c>
      <c r="AN522" s="8">
        <f>AL522+AM522</f>
        <v>0</v>
      </c>
      <c r="AO522" s="8">
        <f>COUNTIF($E$522:$AI$522,"CL")</f>
        <v>0</v>
      </c>
      <c r="AP522" s="8">
        <f>COUNTIF($E$522:$AI$522,"SL")</f>
        <v>0</v>
      </c>
      <c r="AQ522" s="8">
        <f>COUNTIF($E$522:$AI$522,"EL")</f>
        <v>0</v>
      </c>
      <c r="AR522" s="8">
        <f>COUNTIF($E$522:$AI$522,"H")</f>
        <v>0</v>
      </c>
      <c r="AS522" s="8"/>
      <c r="AT522" s="11" t="s">
        <v>2090</v>
      </c>
    </row>
    <row r="523" spans="1:46" ht="15.1" customHeight="1">
      <c r="A523" s="8"/>
      <c r="B523" s="9"/>
      <c r="C523" s="8"/>
      <c r="D523" s="9"/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11" t="s">
        <v>2090</v>
      </c>
    </row>
    <row r="524" spans="1:46" ht="15.1" customHeight="1">
      <c r="A524" s="8"/>
      <c r="B524" s="9"/>
      <c r="C524" s="8"/>
      <c r="D524" s="9"/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11" t="s">
        <v>2090</v>
      </c>
    </row>
    <row r="525" spans="1:46" ht="15.1" customHeight="1">
      <c r="A525" s="8">
        <v>174</v>
      </c>
      <c r="B525" s="9" t="s">
        <v>2423</v>
      </c>
      <c r="C525" s="8" t="s">
        <v>2424</v>
      </c>
      <c r="D525" s="9" t="s">
        <v>451</v>
      </c>
      <c r="E525" s="8" t="s">
        <v>54</v>
      </c>
      <c r="F525" s="8" t="s">
        <v>54</v>
      </c>
      <c r="G525" s="10" t="s">
        <v>67</v>
      </c>
      <c r="H525" s="8" t="s">
        <v>54</v>
      </c>
      <c r="I525" s="8" t="s">
        <v>54</v>
      </c>
      <c r="J525" s="8" t="s">
        <v>54</v>
      </c>
      <c r="K525" s="8" t="s">
        <v>54</v>
      </c>
      <c r="L525" s="8" t="s">
        <v>54</v>
      </c>
      <c r="M525" s="8" t="s">
        <v>54</v>
      </c>
      <c r="N525" s="10" t="s">
        <v>67</v>
      </c>
      <c r="O525" s="8" t="s">
        <v>54</v>
      </c>
      <c r="P525" s="8" t="s">
        <v>54</v>
      </c>
      <c r="Q525" s="8" t="s">
        <v>54</v>
      </c>
      <c r="R525" s="8" t="s">
        <v>54</v>
      </c>
      <c r="S525" s="8" t="s">
        <v>54</v>
      </c>
      <c r="T525" s="8" t="s">
        <v>54</v>
      </c>
      <c r="U525" s="10" t="s">
        <v>67</v>
      </c>
      <c r="V525" s="8" t="s">
        <v>54</v>
      </c>
      <c r="W525" s="8" t="s">
        <v>54</v>
      </c>
      <c r="X525" s="8" t="s">
        <v>54</v>
      </c>
      <c r="Y525" s="8" t="s">
        <v>54</v>
      </c>
      <c r="Z525" s="8" t="s">
        <v>54</v>
      </c>
      <c r="AA525" s="8" t="s">
        <v>54</v>
      </c>
      <c r="AB525" s="10" t="s">
        <v>67</v>
      </c>
      <c r="AC525" s="8" t="s">
        <v>54</v>
      </c>
      <c r="AD525" s="8" t="s">
        <v>54</v>
      </c>
      <c r="AE525" s="8" t="s">
        <v>54</v>
      </c>
      <c r="AF525" s="8" t="s">
        <v>54</v>
      </c>
      <c r="AG525" s="8" t="s">
        <v>54</v>
      </c>
      <c r="AH525" s="8" t="s">
        <v>54</v>
      </c>
      <c r="AI525" s="10" t="s">
        <v>67</v>
      </c>
      <c r="AJ525" s="8">
        <f>COUNTIF($E$525:$AI$525,"P")</f>
        <v>26</v>
      </c>
      <c r="AK525" s="8">
        <f>COUNTIF($E$525:$AI$525,"A")</f>
        <v>0</v>
      </c>
      <c r="AL525" s="8">
        <f>SUM($E$526:$AI$526)</f>
        <v>0</v>
      </c>
      <c r="AM525" s="8">
        <f>SUM($E$527:$AI$527)</f>
        <v>0</v>
      </c>
      <c r="AN525" s="8">
        <f>AL525+AM525</f>
        <v>0</v>
      </c>
      <c r="AO525" s="8">
        <f>COUNTIF($E$525:$AI$525,"CL")</f>
        <v>0</v>
      </c>
      <c r="AP525" s="8">
        <f>COUNTIF($E$525:$AI$525,"SL")</f>
        <v>0</v>
      </c>
      <c r="AQ525" s="8">
        <f>COUNTIF($E$525:$AI$525,"EL")</f>
        <v>0</v>
      </c>
      <c r="AR525" s="8">
        <f>COUNTIF($E$525:$AI$525,"H")</f>
        <v>0</v>
      </c>
      <c r="AS525" s="8"/>
      <c r="AT525" s="11" t="s">
        <v>2090</v>
      </c>
    </row>
    <row r="526" spans="1:46" ht="15.1" customHeight="1">
      <c r="A526" s="8"/>
      <c r="B526" s="9"/>
      <c r="C526" s="8"/>
      <c r="D526" s="9"/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11" t="s">
        <v>2090</v>
      </c>
    </row>
    <row r="527" spans="1:46" ht="15.1" customHeight="1">
      <c r="A527" s="8"/>
      <c r="B527" s="9"/>
      <c r="C527" s="8"/>
      <c r="D527" s="9"/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11" t="s">
        <v>2090</v>
      </c>
    </row>
    <row r="528" spans="1:46" ht="15.1" customHeight="1">
      <c r="A528" s="8">
        <v>175</v>
      </c>
      <c r="B528" s="9" t="s">
        <v>2425</v>
      </c>
      <c r="C528" s="8" t="s">
        <v>2426</v>
      </c>
      <c r="D528" s="9" t="s">
        <v>451</v>
      </c>
      <c r="E528" s="8" t="s">
        <v>54</v>
      </c>
      <c r="F528" s="8" t="s">
        <v>54</v>
      </c>
      <c r="G528" s="10" t="s">
        <v>67</v>
      </c>
      <c r="H528" s="8" t="s">
        <v>54</v>
      </c>
      <c r="I528" s="8" t="s">
        <v>54</v>
      </c>
      <c r="J528" s="8" t="s">
        <v>54</v>
      </c>
      <c r="K528" s="8" t="s">
        <v>54</v>
      </c>
      <c r="L528" s="8" t="s">
        <v>54</v>
      </c>
      <c r="M528" s="8" t="s">
        <v>54</v>
      </c>
      <c r="N528" s="10" t="s">
        <v>67</v>
      </c>
      <c r="O528" s="8" t="s">
        <v>54</v>
      </c>
      <c r="P528" s="8" t="s">
        <v>54</v>
      </c>
      <c r="Q528" s="8" t="s">
        <v>54</v>
      </c>
      <c r="R528" s="8" t="s">
        <v>54</v>
      </c>
      <c r="S528" s="8" t="s">
        <v>54</v>
      </c>
      <c r="T528" s="8" t="s">
        <v>54</v>
      </c>
      <c r="U528" s="10" t="s">
        <v>67</v>
      </c>
      <c r="V528" s="8" t="s">
        <v>54</v>
      </c>
      <c r="W528" s="8" t="s">
        <v>54</v>
      </c>
      <c r="X528" s="8" t="s">
        <v>54</v>
      </c>
      <c r="Y528" s="8" t="s">
        <v>54</v>
      </c>
      <c r="Z528" s="8" t="s">
        <v>54</v>
      </c>
      <c r="AA528" s="8" t="s">
        <v>54</v>
      </c>
      <c r="AB528" s="10" t="s">
        <v>67</v>
      </c>
      <c r="AC528" s="8" t="s">
        <v>54</v>
      </c>
      <c r="AD528" s="8" t="s">
        <v>54</v>
      </c>
      <c r="AE528" s="8" t="s">
        <v>54</v>
      </c>
      <c r="AF528" s="8" t="s">
        <v>54</v>
      </c>
      <c r="AG528" s="8" t="s">
        <v>54</v>
      </c>
      <c r="AH528" s="8" t="s">
        <v>54</v>
      </c>
      <c r="AI528" s="10" t="s">
        <v>67</v>
      </c>
      <c r="AJ528" s="8">
        <f>COUNTIF($E$528:$AI$528,"P")</f>
        <v>26</v>
      </c>
      <c r="AK528" s="8">
        <f>COUNTIF($E$528:$AI$528,"A")</f>
        <v>0</v>
      </c>
      <c r="AL528" s="8">
        <f>SUM($E$529:$AI$529)</f>
        <v>0</v>
      </c>
      <c r="AM528" s="8">
        <f>SUM($E$530:$AI$530)</f>
        <v>0</v>
      </c>
      <c r="AN528" s="8">
        <f>AL528+AM528</f>
        <v>0</v>
      </c>
      <c r="AO528" s="8">
        <f>COUNTIF($E$528:$AI$528,"CL")</f>
        <v>0</v>
      </c>
      <c r="AP528" s="8">
        <f>COUNTIF($E$528:$AI$528,"SL")</f>
        <v>0</v>
      </c>
      <c r="AQ528" s="8">
        <f>COUNTIF($E$528:$AI$528,"EL")</f>
        <v>0</v>
      </c>
      <c r="AR528" s="8">
        <f>COUNTIF($E$528:$AI$528,"H")</f>
        <v>0</v>
      </c>
      <c r="AS528" s="8"/>
      <c r="AT528" s="11" t="s">
        <v>2090</v>
      </c>
    </row>
    <row r="529" spans="1:46" ht="15.1" customHeight="1">
      <c r="A529" s="8"/>
      <c r="B529" s="9"/>
      <c r="C529" s="8"/>
      <c r="D529" s="9"/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11" t="s">
        <v>2090</v>
      </c>
    </row>
    <row r="530" spans="1:46" ht="15.1" customHeight="1">
      <c r="A530" s="8"/>
      <c r="B530" s="9"/>
      <c r="C530" s="8"/>
      <c r="D530" s="9"/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11" t="s">
        <v>2090</v>
      </c>
    </row>
    <row r="531" spans="1:46" ht="15.1" customHeight="1">
      <c r="A531" s="8">
        <v>176</v>
      </c>
      <c r="B531" s="9" t="s">
        <v>2427</v>
      </c>
      <c r="C531" s="8" t="s">
        <v>2428</v>
      </c>
      <c r="D531" s="9" t="s">
        <v>451</v>
      </c>
      <c r="E531" s="8" t="s">
        <v>54</v>
      </c>
      <c r="F531" s="8" t="s">
        <v>54</v>
      </c>
      <c r="G531" s="10" t="s">
        <v>67</v>
      </c>
      <c r="H531" s="8" t="s">
        <v>54</v>
      </c>
      <c r="I531" s="8" t="s">
        <v>54</v>
      </c>
      <c r="J531" s="8" t="s">
        <v>54</v>
      </c>
      <c r="K531" s="8" t="s">
        <v>54</v>
      </c>
      <c r="L531" s="8" t="s">
        <v>54</v>
      </c>
      <c r="M531" s="8" t="s">
        <v>54</v>
      </c>
      <c r="N531" s="10" t="s">
        <v>67</v>
      </c>
      <c r="O531" s="8" t="s">
        <v>54</v>
      </c>
      <c r="P531" s="8" t="s">
        <v>54</v>
      </c>
      <c r="Q531" s="8" t="s">
        <v>54</v>
      </c>
      <c r="R531" s="8" t="s">
        <v>54</v>
      </c>
      <c r="S531" s="8" t="s">
        <v>54</v>
      </c>
      <c r="T531" s="8" t="s">
        <v>54</v>
      </c>
      <c r="U531" s="10" t="s">
        <v>67</v>
      </c>
      <c r="V531" s="12" t="s">
        <v>55</v>
      </c>
      <c r="W531" s="12" t="s">
        <v>55</v>
      </c>
      <c r="X531" s="12" t="s">
        <v>55</v>
      </c>
      <c r="Y531" s="12" t="s">
        <v>55</v>
      </c>
      <c r="Z531" s="8" t="s">
        <v>54</v>
      </c>
      <c r="AA531" s="8" t="s">
        <v>54</v>
      </c>
      <c r="AB531" s="10" t="s">
        <v>67</v>
      </c>
      <c r="AC531" s="8" t="s">
        <v>54</v>
      </c>
      <c r="AD531" s="8" t="s">
        <v>54</v>
      </c>
      <c r="AE531" s="8" t="s">
        <v>54</v>
      </c>
      <c r="AF531" s="8" t="s">
        <v>54</v>
      </c>
      <c r="AG531" s="8" t="s">
        <v>54</v>
      </c>
      <c r="AH531" s="8" t="s">
        <v>54</v>
      </c>
      <c r="AI531" s="10" t="s">
        <v>67</v>
      </c>
      <c r="AJ531" s="8">
        <f>COUNTIF($E$531:$AI$531,"P")</f>
        <v>22</v>
      </c>
      <c r="AK531" s="8">
        <f>COUNTIF($E$531:$AI$531,"A")</f>
        <v>4</v>
      </c>
      <c r="AL531" s="8">
        <f>SUM($E$532:$AI$532)</f>
        <v>0</v>
      </c>
      <c r="AM531" s="8">
        <f>SUM($E$533:$AI$533)</f>
        <v>0</v>
      </c>
      <c r="AN531" s="8">
        <f>AL531+AM531</f>
        <v>0</v>
      </c>
      <c r="AO531" s="8">
        <f>COUNTIF($E$531:$AI$531,"CL")</f>
        <v>0</v>
      </c>
      <c r="AP531" s="8">
        <f>COUNTIF($E$531:$AI$531,"SL")</f>
        <v>0</v>
      </c>
      <c r="AQ531" s="8">
        <f>COUNTIF($E$531:$AI$531,"EL")</f>
        <v>0</v>
      </c>
      <c r="AR531" s="8">
        <f>COUNTIF($E$531:$AI$531,"H")</f>
        <v>0</v>
      </c>
      <c r="AS531" s="8"/>
      <c r="AT531" s="11" t="s">
        <v>2090</v>
      </c>
    </row>
    <row r="532" spans="1:46" ht="15.1" customHeight="1">
      <c r="A532" s="8"/>
      <c r="B532" s="9"/>
      <c r="C532" s="8"/>
      <c r="D532" s="9"/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11" t="s">
        <v>2090</v>
      </c>
    </row>
    <row r="533" spans="1:46" ht="15.1" customHeight="1">
      <c r="A533" s="8"/>
      <c r="B533" s="9"/>
      <c r="C533" s="8"/>
      <c r="D533" s="9"/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11" t="s">
        <v>2090</v>
      </c>
    </row>
    <row r="534" spans="1:46" ht="15.1" customHeight="1">
      <c r="A534" s="8">
        <v>177</v>
      </c>
      <c r="B534" s="9" t="s">
        <v>2429</v>
      </c>
      <c r="C534" s="8" t="s">
        <v>2430</v>
      </c>
      <c r="D534" s="9" t="s">
        <v>451</v>
      </c>
      <c r="E534" s="8" t="s">
        <v>54</v>
      </c>
      <c r="F534" s="8" t="s">
        <v>54</v>
      </c>
      <c r="G534" s="10" t="s">
        <v>67</v>
      </c>
      <c r="H534" s="8" t="s">
        <v>54</v>
      </c>
      <c r="I534" s="8" t="s">
        <v>54</v>
      </c>
      <c r="J534" s="8" t="s">
        <v>54</v>
      </c>
      <c r="K534" s="8" t="s">
        <v>54</v>
      </c>
      <c r="L534" s="8" t="s">
        <v>54</v>
      </c>
      <c r="M534" s="8" t="s">
        <v>54</v>
      </c>
      <c r="N534" s="10" t="s">
        <v>67</v>
      </c>
      <c r="O534" s="8" t="s">
        <v>54</v>
      </c>
      <c r="P534" s="8" t="s">
        <v>54</v>
      </c>
      <c r="Q534" s="8" t="s">
        <v>54</v>
      </c>
      <c r="R534" s="8" t="s">
        <v>54</v>
      </c>
      <c r="S534" s="8" t="s">
        <v>54</v>
      </c>
      <c r="T534" s="8" t="s">
        <v>54</v>
      </c>
      <c r="U534" s="10" t="s">
        <v>67</v>
      </c>
      <c r="V534" s="8" t="s">
        <v>54</v>
      </c>
      <c r="W534" s="8" t="s">
        <v>54</v>
      </c>
      <c r="X534" s="8" t="s">
        <v>54</v>
      </c>
      <c r="Y534" s="8" t="s">
        <v>54</v>
      </c>
      <c r="Z534" s="8" t="s">
        <v>54</v>
      </c>
      <c r="AA534" s="8" t="s">
        <v>54</v>
      </c>
      <c r="AB534" s="10" t="s">
        <v>67</v>
      </c>
      <c r="AC534" s="8" t="s">
        <v>54</v>
      </c>
      <c r="AD534" s="8" t="s">
        <v>54</v>
      </c>
      <c r="AE534" s="8" t="s">
        <v>54</v>
      </c>
      <c r="AF534" s="8" t="s">
        <v>54</v>
      </c>
      <c r="AG534" s="8" t="s">
        <v>54</v>
      </c>
      <c r="AH534" s="8" t="s">
        <v>54</v>
      </c>
      <c r="AI534" s="10" t="s">
        <v>67</v>
      </c>
      <c r="AJ534" s="8">
        <f>COUNTIF($E$534:$AI$534,"P")</f>
        <v>26</v>
      </c>
      <c r="AK534" s="8">
        <f>COUNTIF($E$534:$AI$534,"A")</f>
        <v>0</v>
      </c>
      <c r="AL534" s="8">
        <f>SUM($E$535:$AI$535)</f>
        <v>0</v>
      </c>
      <c r="AM534" s="8">
        <f>SUM($E$536:$AI$536)</f>
        <v>0</v>
      </c>
      <c r="AN534" s="8">
        <f>AL534+AM534</f>
        <v>0</v>
      </c>
      <c r="AO534" s="8">
        <f>COUNTIF($E$534:$AI$534,"CL")</f>
        <v>0</v>
      </c>
      <c r="AP534" s="8">
        <f>COUNTIF($E$534:$AI$534,"SL")</f>
        <v>0</v>
      </c>
      <c r="AQ534" s="8">
        <f>COUNTIF($E$534:$AI$534,"EL")</f>
        <v>0</v>
      </c>
      <c r="AR534" s="8">
        <f>COUNTIF($E$534:$AI$534,"H")</f>
        <v>0</v>
      </c>
      <c r="AS534" s="8"/>
      <c r="AT534" s="11" t="s">
        <v>2090</v>
      </c>
    </row>
    <row r="535" spans="1:46" ht="15.1" customHeight="1">
      <c r="A535" s="8"/>
      <c r="B535" s="9"/>
      <c r="C535" s="8"/>
      <c r="D535" s="9"/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11" t="s">
        <v>2090</v>
      </c>
    </row>
    <row r="536" spans="1:46" ht="15.1" customHeight="1">
      <c r="A536" s="8"/>
      <c r="B536" s="9"/>
      <c r="C536" s="8"/>
      <c r="D536" s="9"/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11" t="s">
        <v>2090</v>
      </c>
    </row>
    <row r="537" spans="1:46" ht="15.1" customHeight="1">
      <c r="A537" s="8">
        <v>178</v>
      </c>
      <c r="B537" s="9" t="s">
        <v>2431</v>
      </c>
      <c r="C537" s="8" t="s">
        <v>2432</v>
      </c>
      <c r="D537" s="9" t="s">
        <v>451</v>
      </c>
      <c r="E537" s="12" t="s">
        <v>55</v>
      </c>
      <c r="F537" s="12" t="s">
        <v>55</v>
      </c>
      <c r="G537" s="10" t="s">
        <v>67</v>
      </c>
      <c r="H537" s="8" t="s">
        <v>54</v>
      </c>
      <c r="I537" s="8" t="s">
        <v>54</v>
      </c>
      <c r="J537" s="8" t="s">
        <v>54</v>
      </c>
      <c r="K537" s="8" t="s">
        <v>54</v>
      </c>
      <c r="L537" s="8" t="s">
        <v>54</v>
      </c>
      <c r="M537" s="8" t="s">
        <v>54</v>
      </c>
      <c r="N537" s="10" t="s">
        <v>67</v>
      </c>
      <c r="O537" s="8" t="s">
        <v>54</v>
      </c>
      <c r="P537" s="8" t="s">
        <v>54</v>
      </c>
      <c r="Q537" s="8" t="s">
        <v>54</v>
      </c>
      <c r="R537" s="8" t="s">
        <v>54</v>
      </c>
      <c r="S537" s="8" t="s">
        <v>54</v>
      </c>
      <c r="T537" s="8" t="s">
        <v>54</v>
      </c>
      <c r="U537" s="10" t="s">
        <v>67</v>
      </c>
      <c r="V537" s="8" t="s">
        <v>54</v>
      </c>
      <c r="W537" s="8" t="s">
        <v>54</v>
      </c>
      <c r="X537" s="12" t="s">
        <v>55</v>
      </c>
      <c r="Y537" s="12" t="s">
        <v>55</v>
      </c>
      <c r="Z537" s="12" t="s">
        <v>55</v>
      </c>
      <c r="AA537" s="12" t="s">
        <v>55</v>
      </c>
      <c r="AB537" s="10" t="s">
        <v>67</v>
      </c>
      <c r="AC537" s="8" t="s">
        <v>54</v>
      </c>
      <c r="AD537" s="12" t="s">
        <v>55</v>
      </c>
      <c r="AE537" s="8" t="s">
        <v>54</v>
      </c>
      <c r="AF537" s="8" t="s">
        <v>54</v>
      </c>
      <c r="AG537" s="8" t="s">
        <v>54</v>
      </c>
      <c r="AH537" s="8" t="s">
        <v>54</v>
      </c>
      <c r="AI537" s="10" t="s">
        <v>67</v>
      </c>
      <c r="AJ537" s="8">
        <f>COUNTIF($E$537:$AI$537,"P")</f>
        <v>19</v>
      </c>
      <c r="AK537" s="8">
        <f>COUNTIF($E$537:$AI$537,"A")</f>
        <v>7</v>
      </c>
      <c r="AL537" s="8">
        <f>SUM($E$538:$AI$538)</f>
        <v>0</v>
      </c>
      <c r="AM537" s="8">
        <f>SUM($E$539:$AI$539)</f>
        <v>0</v>
      </c>
      <c r="AN537" s="8">
        <f>AL537+AM537</f>
        <v>0</v>
      </c>
      <c r="AO537" s="8">
        <f>COUNTIF($E$537:$AI$537,"CL")</f>
        <v>0</v>
      </c>
      <c r="AP537" s="8">
        <f>COUNTIF($E$537:$AI$537,"SL")</f>
        <v>0</v>
      </c>
      <c r="AQ537" s="8">
        <f>COUNTIF($E$537:$AI$537,"EL")</f>
        <v>0</v>
      </c>
      <c r="AR537" s="8">
        <f>COUNTIF($E$537:$AI$537,"H")</f>
        <v>0</v>
      </c>
      <c r="AS537" s="8"/>
      <c r="AT537" s="11" t="s">
        <v>2090</v>
      </c>
    </row>
    <row r="538" spans="1:46" ht="15.1" customHeight="1">
      <c r="A538" s="8"/>
      <c r="B538" s="9"/>
      <c r="C538" s="8"/>
      <c r="D538" s="9"/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11" t="s">
        <v>2090</v>
      </c>
    </row>
    <row r="539" spans="1:46" ht="15.1" customHeight="1">
      <c r="A539" s="8"/>
      <c r="B539" s="9"/>
      <c r="C539" s="8"/>
      <c r="D539" s="9"/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11" t="s">
        <v>2090</v>
      </c>
    </row>
    <row r="540" spans="1:46" ht="15.1" customHeight="1">
      <c r="A540" s="8">
        <v>179</v>
      </c>
      <c r="B540" s="9" t="s">
        <v>2433</v>
      </c>
      <c r="C540" s="8" t="s">
        <v>2434</v>
      </c>
      <c r="D540" s="9" t="s">
        <v>451</v>
      </c>
      <c r="E540" s="8" t="s">
        <v>54</v>
      </c>
      <c r="F540" s="8" t="s">
        <v>54</v>
      </c>
      <c r="G540" s="10" t="s">
        <v>67</v>
      </c>
      <c r="H540" s="8" t="s">
        <v>54</v>
      </c>
      <c r="I540" s="8" t="s">
        <v>54</v>
      </c>
      <c r="J540" s="8" t="s">
        <v>54</v>
      </c>
      <c r="K540" s="8" t="s">
        <v>54</v>
      </c>
      <c r="L540" s="8" t="s">
        <v>54</v>
      </c>
      <c r="M540" s="8" t="s">
        <v>54</v>
      </c>
      <c r="N540" s="10" t="s">
        <v>67</v>
      </c>
      <c r="O540" s="8" t="s">
        <v>54</v>
      </c>
      <c r="P540" s="8" t="s">
        <v>54</v>
      </c>
      <c r="Q540" s="8" t="s">
        <v>54</v>
      </c>
      <c r="R540" s="8" t="s">
        <v>54</v>
      </c>
      <c r="S540" s="8" t="s">
        <v>54</v>
      </c>
      <c r="T540" s="8" t="s">
        <v>54</v>
      </c>
      <c r="U540" s="10" t="s">
        <v>67</v>
      </c>
      <c r="V540" s="12" t="s">
        <v>55</v>
      </c>
      <c r="W540" s="12" t="s">
        <v>55</v>
      </c>
      <c r="X540" s="12" t="s">
        <v>55</v>
      </c>
      <c r="Y540" s="8" t="s">
        <v>54</v>
      </c>
      <c r="Z540" s="8" t="s">
        <v>54</v>
      </c>
      <c r="AA540" s="8" t="s">
        <v>54</v>
      </c>
      <c r="AB540" s="10" t="s">
        <v>67</v>
      </c>
      <c r="AC540" s="8" t="s">
        <v>54</v>
      </c>
      <c r="AD540" s="8" t="s">
        <v>54</v>
      </c>
      <c r="AE540" s="8" t="s">
        <v>54</v>
      </c>
      <c r="AF540" s="8" t="s">
        <v>54</v>
      </c>
      <c r="AG540" s="8" t="s">
        <v>54</v>
      </c>
      <c r="AH540" s="8" t="s">
        <v>54</v>
      </c>
      <c r="AI540" s="10" t="s">
        <v>67</v>
      </c>
      <c r="AJ540" s="8">
        <f>COUNTIF($E$540:$AI$540,"P")</f>
        <v>23</v>
      </c>
      <c r="AK540" s="8">
        <f>COUNTIF($E$540:$AI$540,"A")</f>
        <v>3</v>
      </c>
      <c r="AL540" s="8">
        <f>SUM($E$541:$AI$541)</f>
        <v>0</v>
      </c>
      <c r="AM540" s="8">
        <f>SUM($E$542:$AI$542)</f>
        <v>0</v>
      </c>
      <c r="AN540" s="8">
        <f>AL540+AM540</f>
        <v>0</v>
      </c>
      <c r="AO540" s="8">
        <f>COUNTIF($E$540:$AI$540,"CL")</f>
        <v>0</v>
      </c>
      <c r="AP540" s="8">
        <f>COUNTIF($E$540:$AI$540,"SL")</f>
        <v>0</v>
      </c>
      <c r="AQ540" s="8">
        <f>COUNTIF($E$540:$AI$540,"EL")</f>
        <v>0</v>
      </c>
      <c r="AR540" s="8">
        <f>COUNTIF($E$540:$AI$540,"H")</f>
        <v>0</v>
      </c>
      <c r="AS540" s="8"/>
      <c r="AT540" s="11" t="s">
        <v>2090</v>
      </c>
    </row>
    <row r="541" spans="1:46" ht="15.1" customHeight="1">
      <c r="A541" s="8"/>
      <c r="B541" s="9"/>
      <c r="C541" s="8"/>
      <c r="D541" s="9"/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11" t="s">
        <v>2090</v>
      </c>
    </row>
    <row r="542" spans="1:46" ht="15.1" customHeight="1">
      <c r="A542" s="8"/>
      <c r="B542" s="9"/>
      <c r="C542" s="8"/>
      <c r="D542" s="9"/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11" t="s">
        <v>2090</v>
      </c>
    </row>
    <row r="543" spans="1:46" ht="15.1" customHeight="1">
      <c r="A543" s="8">
        <v>180</v>
      </c>
      <c r="B543" s="9" t="s">
        <v>2435</v>
      </c>
      <c r="C543" s="8" t="s">
        <v>2436</v>
      </c>
      <c r="D543" s="9" t="s">
        <v>451</v>
      </c>
      <c r="E543" s="8" t="s">
        <v>54</v>
      </c>
      <c r="F543" s="8" t="s">
        <v>54</v>
      </c>
      <c r="G543" s="10" t="s">
        <v>67</v>
      </c>
      <c r="H543" s="8" t="s">
        <v>54</v>
      </c>
      <c r="I543" s="8" t="s">
        <v>54</v>
      </c>
      <c r="J543" s="8" t="s">
        <v>54</v>
      </c>
      <c r="K543" s="8" t="s">
        <v>54</v>
      </c>
      <c r="L543" s="8" t="s">
        <v>54</v>
      </c>
      <c r="M543" s="8" t="s">
        <v>54</v>
      </c>
      <c r="N543" s="10" t="s">
        <v>67</v>
      </c>
      <c r="O543" s="8" t="s">
        <v>54</v>
      </c>
      <c r="P543" s="8" t="s">
        <v>54</v>
      </c>
      <c r="Q543" s="8" t="s">
        <v>54</v>
      </c>
      <c r="R543" s="8" t="s">
        <v>54</v>
      </c>
      <c r="S543" s="8" t="s">
        <v>54</v>
      </c>
      <c r="T543" s="8" t="s">
        <v>54</v>
      </c>
      <c r="U543" s="10" t="s">
        <v>67</v>
      </c>
      <c r="V543" s="8" t="s">
        <v>54</v>
      </c>
      <c r="W543" s="8" t="s">
        <v>54</v>
      </c>
      <c r="X543" s="8" t="s">
        <v>54</v>
      </c>
      <c r="Y543" s="8" t="s">
        <v>54</v>
      </c>
      <c r="Z543" s="8" t="s">
        <v>54</v>
      </c>
      <c r="AA543" s="8" t="s">
        <v>54</v>
      </c>
      <c r="AB543" s="10" t="s">
        <v>67</v>
      </c>
      <c r="AC543" s="8" t="s">
        <v>54</v>
      </c>
      <c r="AD543" s="8" t="s">
        <v>54</v>
      </c>
      <c r="AE543" s="8" t="s">
        <v>54</v>
      </c>
      <c r="AF543" s="8" t="s">
        <v>54</v>
      </c>
      <c r="AG543" s="8" t="s">
        <v>54</v>
      </c>
      <c r="AH543" s="8" t="s">
        <v>54</v>
      </c>
      <c r="AI543" s="10" t="s">
        <v>67</v>
      </c>
      <c r="AJ543" s="8">
        <f>COUNTIF($E$543:$AI$543,"P")</f>
        <v>26</v>
      </c>
      <c r="AK543" s="8">
        <f>COUNTIF($E$543:$AI$543,"A")</f>
        <v>0</v>
      </c>
      <c r="AL543" s="8">
        <f>SUM($E$544:$AI$544)</f>
        <v>0</v>
      </c>
      <c r="AM543" s="8">
        <f>SUM($E$545:$AI$545)</f>
        <v>0</v>
      </c>
      <c r="AN543" s="8">
        <f>AL543+AM543</f>
        <v>0</v>
      </c>
      <c r="AO543" s="8">
        <f>COUNTIF($E$543:$AI$543,"CL")</f>
        <v>0</v>
      </c>
      <c r="AP543" s="8">
        <f>COUNTIF($E$543:$AI$543,"SL")</f>
        <v>0</v>
      </c>
      <c r="AQ543" s="8">
        <f>COUNTIF($E$543:$AI$543,"EL")</f>
        <v>0</v>
      </c>
      <c r="AR543" s="8">
        <f>COUNTIF($E$543:$AI$543,"H")</f>
        <v>0</v>
      </c>
      <c r="AS543" s="8"/>
      <c r="AT543" s="11" t="s">
        <v>2090</v>
      </c>
    </row>
    <row r="544" spans="1:46" ht="15.1" customHeight="1">
      <c r="A544" s="8"/>
      <c r="B544" s="9"/>
      <c r="C544" s="8"/>
      <c r="D544" s="9"/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11" t="s">
        <v>2090</v>
      </c>
    </row>
    <row r="545" spans="1:46" ht="15.1" customHeight="1">
      <c r="A545" s="8"/>
      <c r="B545" s="9"/>
      <c r="C545" s="8"/>
      <c r="D545" s="9"/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11" t="s">
        <v>2090</v>
      </c>
    </row>
    <row r="546" spans="1:46" ht="15.1" customHeight="1">
      <c r="A546" s="8">
        <v>181</v>
      </c>
      <c r="B546" s="9" t="s">
        <v>2437</v>
      </c>
      <c r="C546" s="8" t="s">
        <v>2438</v>
      </c>
      <c r="D546" s="9" t="s">
        <v>451</v>
      </c>
      <c r="E546" s="12" t="s">
        <v>55</v>
      </c>
      <c r="F546" s="12" t="s">
        <v>55</v>
      </c>
      <c r="G546" s="10" t="s">
        <v>67</v>
      </c>
      <c r="H546" s="12" t="s">
        <v>55</v>
      </c>
      <c r="I546" s="8" t="s">
        <v>54</v>
      </c>
      <c r="J546" s="12" t="s">
        <v>55</v>
      </c>
      <c r="K546" s="12" t="s">
        <v>55</v>
      </c>
      <c r="L546" s="12" t="s">
        <v>55</v>
      </c>
      <c r="M546" s="8" t="s">
        <v>54</v>
      </c>
      <c r="N546" s="10" t="s">
        <v>67</v>
      </c>
      <c r="O546" s="8" t="s">
        <v>54</v>
      </c>
      <c r="P546" s="8" t="s">
        <v>54</v>
      </c>
      <c r="Q546" s="12" t="s">
        <v>55</v>
      </c>
      <c r="R546" s="8" t="s">
        <v>54</v>
      </c>
      <c r="S546" s="8" t="s">
        <v>54</v>
      </c>
      <c r="T546" s="8" t="s">
        <v>54</v>
      </c>
      <c r="U546" s="10" t="s">
        <v>67</v>
      </c>
      <c r="V546" s="12" t="s">
        <v>55</v>
      </c>
      <c r="W546" s="8" t="s">
        <v>54</v>
      </c>
      <c r="X546" s="12" t="s">
        <v>55</v>
      </c>
      <c r="Y546" s="12" t="s">
        <v>55</v>
      </c>
      <c r="Z546" s="12" t="s">
        <v>55</v>
      </c>
      <c r="AA546" s="8" t="s">
        <v>54</v>
      </c>
      <c r="AB546" s="10" t="s">
        <v>67</v>
      </c>
      <c r="AC546" s="8" t="s">
        <v>54</v>
      </c>
      <c r="AD546" s="8" t="s">
        <v>54</v>
      </c>
      <c r="AE546" s="8" t="s">
        <v>54</v>
      </c>
      <c r="AF546" s="12" t="s">
        <v>55</v>
      </c>
      <c r="AG546" s="12" t="s">
        <v>55</v>
      </c>
      <c r="AH546" s="12" t="s">
        <v>55</v>
      </c>
      <c r="AI546" s="10" t="s">
        <v>67</v>
      </c>
      <c r="AJ546" s="8">
        <f>COUNTIF($E$546:$AI$546,"P")</f>
        <v>12</v>
      </c>
      <c r="AK546" s="8">
        <f>COUNTIF($E$546:$AI$546,"A")</f>
        <v>14</v>
      </c>
      <c r="AL546" s="8">
        <f>SUM($E$547:$AI$547)</f>
        <v>0</v>
      </c>
      <c r="AM546" s="8">
        <f>SUM($E$548:$AI$548)</f>
        <v>0</v>
      </c>
      <c r="AN546" s="8">
        <f>AL546+AM546</f>
        <v>0</v>
      </c>
      <c r="AO546" s="8">
        <f>COUNTIF($E$546:$AI$546,"CL")</f>
        <v>0</v>
      </c>
      <c r="AP546" s="8">
        <f>COUNTIF($E$546:$AI$546,"SL")</f>
        <v>0</v>
      </c>
      <c r="AQ546" s="8">
        <f>COUNTIF($E$546:$AI$546,"EL")</f>
        <v>0</v>
      </c>
      <c r="AR546" s="8">
        <f>COUNTIF($E$546:$AI$546,"H")</f>
        <v>0</v>
      </c>
      <c r="AS546" s="8"/>
      <c r="AT546" s="11" t="s">
        <v>2090</v>
      </c>
    </row>
    <row r="547" spans="1:46" ht="15.1" customHeight="1">
      <c r="A547" s="8"/>
      <c r="B547" s="9"/>
      <c r="C547" s="8"/>
      <c r="D547" s="9"/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11" t="s">
        <v>2090</v>
      </c>
    </row>
    <row r="548" spans="1:46" ht="15.1" customHeight="1">
      <c r="A548" s="8"/>
      <c r="B548" s="9"/>
      <c r="C548" s="8"/>
      <c r="D548" s="9"/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11" t="s">
        <v>2090</v>
      </c>
    </row>
    <row r="549" spans="1:46" ht="15.1" customHeight="1">
      <c r="A549" s="8">
        <v>182</v>
      </c>
      <c r="B549" s="9" t="s">
        <v>2439</v>
      </c>
      <c r="C549" s="8" t="s">
        <v>2440</v>
      </c>
      <c r="D549" s="9" t="s">
        <v>451</v>
      </c>
      <c r="E549" s="12" t="s">
        <v>55</v>
      </c>
      <c r="F549" s="8" t="s">
        <v>54</v>
      </c>
      <c r="G549" s="10" t="s">
        <v>67</v>
      </c>
      <c r="H549" s="8" t="s">
        <v>54</v>
      </c>
      <c r="I549" s="12" t="s">
        <v>55</v>
      </c>
      <c r="J549" s="8" t="s">
        <v>54</v>
      </c>
      <c r="K549" s="8" t="s">
        <v>54</v>
      </c>
      <c r="L549" s="8" t="s">
        <v>54</v>
      </c>
      <c r="M549" s="8" t="s">
        <v>54</v>
      </c>
      <c r="N549" s="10" t="s">
        <v>67</v>
      </c>
      <c r="O549" s="8" t="s">
        <v>54</v>
      </c>
      <c r="P549" s="8" t="s">
        <v>54</v>
      </c>
      <c r="Q549" s="8" t="s">
        <v>54</v>
      </c>
      <c r="R549" s="8" t="s">
        <v>54</v>
      </c>
      <c r="S549" s="8" t="s">
        <v>54</v>
      </c>
      <c r="T549" s="8" t="s">
        <v>54</v>
      </c>
      <c r="U549" s="10" t="s">
        <v>67</v>
      </c>
      <c r="V549" s="8" t="s">
        <v>54</v>
      </c>
      <c r="W549" s="8" t="s">
        <v>54</v>
      </c>
      <c r="X549" s="12" t="s">
        <v>55</v>
      </c>
      <c r="Y549" s="8" t="s">
        <v>54</v>
      </c>
      <c r="Z549" s="8" t="s">
        <v>54</v>
      </c>
      <c r="AA549" s="8" t="s">
        <v>54</v>
      </c>
      <c r="AB549" s="10" t="s">
        <v>67</v>
      </c>
      <c r="AC549" s="12" t="s">
        <v>55</v>
      </c>
      <c r="AD549" s="8" t="s">
        <v>54</v>
      </c>
      <c r="AE549" s="8" t="s">
        <v>54</v>
      </c>
      <c r="AF549" s="8" t="s">
        <v>54</v>
      </c>
      <c r="AG549" s="8" t="s">
        <v>54</v>
      </c>
      <c r="AH549" s="8" t="s">
        <v>54</v>
      </c>
      <c r="AI549" s="10" t="s">
        <v>67</v>
      </c>
      <c r="AJ549" s="8">
        <f>COUNTIF($E$549:$AI$549,"P")</f>
        <v>22</v>
      </c>
      <c r="AK549" s="8">
        <f>COUNTIF($E$549:$AI$549,"A")</f>
        <v>4</v>
      </c>
      <c r="AL549" s="8">
        <f>SUM($E$550:$AI$550)</f>
        <v>0</v>
      </c>
      <c r="AM549" s="8">
        <f>SUM($E$551:$AI$551)</f>
        <v>0</v>
      </c>
      <c r="AN549" s="8">
        <f>AL549+AM549</f>
        <v>0</v>
      </c>
      <c r="AO549" s="8">
        <f>COUNTIF($E$549:$AI$549,"CL")</f>
        <v>0</v>
      </c>
      <c r="AP549" s="8">
        <f>COUNTIF($E$549:$AI$549,"SL")</f>
        <v>0</v>
      </c>
      <c r="AQ549" s="8">
        <f>COUNTIF($E$549:$AI$549,"EL")</f>
        <v>0</v>
      </c>
      <c r="AR549" s="8">
        <f>COUNTIF($E$549:$AI$549,"H")</f>
        <v>0</v>
      </c>
      <c r="AS549" s="8"/>
      <c r="AT549" s="11" t="s">
        <v>2090</v>
      </c>
    </row>
    <row r="550" spans="1:46" ht="15.1" customHeight="1">
      <c r="A550" s="8"/>
      <c r="B550" s="9"/>
      <c r="C550" s="8"/>
      <c r="D550" s="9"/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11" t="s">
        <v>2090</v>
      </c>
    </row>
    <row r="551" spans="1:46" ht="15.1" customHeight="1">
      <c r="A551" s="8"/>
      <c r="B551" s="9"/>
      <c r="C551" s="8"/>
      <c r="D551" s="9"/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11" t="s">
        <v>2090</v>
      </c>
    </row>
    <row r="552" spans="1:46" ht="15.1" customHeight="1">
      <c r="A552" s="8">
        <v>183</v>
      </c>
      <c r="B552" s="9" t="s">
        <v>2441</v>
      </c>
      <c r="C552" s="8" t="s">
        <v>2442</v>
      </c>
      <c r="D552" s="9" t="s">
        <v>451</v>
      </c>
      <c r="E552" s="8" t="s">
        <v>54</v>
      </c>
      <c r="F552" s="12" t="s">
        <v>55</v>
      </c>
      <c r="G552" s="10" t="s">
        <v>67</v>
      </c>
      <c r="H552" s="12" t="s">
        <v>55</v>
      </c>
      <c r="I552" s="12" t="s">
        <v>55</v>
      </c>
      <c r="J552" s="8" t="s">
        <v>54</v>
      </c>
      <c r="K552" s="8" t="s">
        <v>54</v>
      </c>
      <c r="L552" s="8" t="s">
        <v>54</v>
      </c>
      <c r="M552" s="8" t="s">
        <v>54</v>
      </c>
      <c r="N552" s="10" t="s">
        <v>67</v>
      </c>
      <c r="O552" s="8" t="s">
        <v>54</v>
      </c>
      <c r="P552" s="8" t="s">
        <v>54</v>
      </c>
      <c r="Q552" s="8" t="s">
        <v>54</v>
      </c>
      <c r="R552" s="8" t="s">
        <v>54</v>
      </c>
      <c r="S552" s="8" t="s">
        <v>54</v>
      </c>
      <c r="T552" s="8" t="s">
        <v>54</v>
      </c>
      <c r="U552" s="10" t="s">
        <v>67</v>
      </c>
      <c r="V552" s="8" t="s">
        <v>54</v>
      </c>
      <c r="W552" s="8" t="s">
        <v>54</v>
      </c>
      <c r="X552" s="12" t="s">
        <v>55</v>
      </c>
      <c r="Y552" s="8" t="s">
        <v>54</v>
      </c>
      <c r="Z552" s="8" t="s">
        <v>54</v>
      </c>
      <c r="AA552" s="8" t="s">
        <v>54</v>
      </c>
      <c r="AB552" s="10" t="s">
        <v>67</v>
      </c>
      <c r="AC552" s="8" t="s">
        <v>54</v>
      </c>
      <c r="AD552" s="8" t="s">
        <v>54</v>
      </c>
      <c r="AE552" s="8" t="s">
        <v>54</v>
      </c>
      <c r="AF552" s="8" t="s">
        <v>54</v>
      </c>
      <c r="AG552" s="8" t="s">
        <v>54</v>
      </c>
      <c r="AH552" s="8" t="s">
        <v>54</v>
      </c>
      <c r="AI552" s="10" t="s">
        <v>67</v>
      </c>
      <c r="AJ552" s="8">
        <f>COUNTIF($E$552:$AI$552,"P")</f>
        <v>22</v>
      </c>
      <c r="AK552" s="8">
        <f>COUNTIF($E$552:$AI$552,"A")</f>
        <v>4</v>
      </c>
      <c r="AL552" s="8">
        <f>SUM($E$553:$AI$553)</f>
        <v>0</v>
      </c>
      <c r="AM552" s="8">
        <f>SUM($E$554:$AI$554)</f>
        <v>0</v>
      </c>
      <c r="AN552" s="8">
        <f>AL552+AM552</f>
        <v>0</v>
      </c>
      <c r="AO552" s="8">
        <f>COUNTIF($E$552:$AI$552,"CL")</f>
        <v>0</v>
      </c>
      <c r="AP552" s="8">
        <f>COUNTIF($E$552:$AI$552,"SL")</f>
        <v>0</v>
      </c>
      <c r="AQ552" s="8">
        <f>COUNTIF($E$552:$AI$552,"EL")</f>
        <v>0</v>
      </c>
      <c r="AR552" s="8">
        <f>COUNTIF($E$552:$AI$552,"H")</f>
        <v>0</v>
      </c>
      <c r="AS552" s="8"/>
      <c r="AT552" s="11" t="s">
        <v>2090</v>
      </c>
    </row>
    <row r="553" spans="1:46" ht="15.1" customHeight="1">
      <c r="A553" s="8"/>
      <c r="B553" s="9"/>
      <c r="C553" s="8"/>
      <c r="D553" s="9"/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11" t="s">
        <v>2090</v>
      </c>
    </row>
    <row r="554" spans="1:46" ht="15.1" customHeight="1">
      <c r="A554" s="8"/>
      <c r="B554" s="9"/>
      <c r="C554" s="8"/>
      <c r="D554" s="9"/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11" t="s">
        <v>2090</v>
      </c>
    </row>
    <row r="555" spans="1:46" ht="15.1" customHeight="1">
      <c r="A555" s="8">
        <v>184</v>
      </c>
      <c r="B555" s="9" t="s">
        <v>2443</v>
      </c>
      <c r="C555" s="8" t="s">
        <v>2444</v>
      </c>
      <c r="D555" s="9" t="s">
        <v>451</v>
      </c>
      <c r="E555" s="8" t="s">
        <v>54</v>
      </c>
      <c r="F555" s="8" t="s">
        <v>54</v>
      </c>
      <c r="G555" s="10" t="s">
        <v>67</v>
      </c>
      <c r="H555" s="8" t="s">
        <v>54</v>
      </c>
      <c r="I555" s="8" t="s">
        <v>54</v>
      </c>
      <c r="J555" s="8" t="s">
        <v>54</v>
      </c>
      <c r="K555" s="8" t="s">
        <v>54</v>
      </c>
      <c r="L555" s="12" t="s">
        <v>55</v>
      </c>
      <c r="M555" s="12" t="s">
        <v>55</v>
      </c>
      <c r="N555" s="10" t="s">
        <v>67</v>
      </c>
      <c r="O555" s="8" t="s">
        <v>54</v>
      </c>
      <c r="P555" s="8" t="s">
        <v>54</v>
      </c>
      <c r="Q555" s="8" t="s">
        <v>54</v>
      </c>
      <c r="R555" s="8" t="s">
        <v>54</v>
      </c>
      <c r="S555" s="8" t="s">
        <v>54</v>
      </c>
      <c r="T555" s="8" t="s">
        <v>54</v>
      </c>
      <c r="U555" s="10" t="s">
        <v>67</v>
      </c>
      <c r="V555" s="8" t="s">
        <v>54</v>
      </c>
      <c r="W555" s="12" t="s">
        <v>55</v>
      </c>
      <c r="X555" s="12" t="s">
        <v>55</v>
      </c>
      <c r="Y555" s="8" t="s">
        <v>54</v>
      </c>
      <c r="Z555" s="8" t="s">
        <v>54</v>
      </c>
      <c r="AA555" s="8" t="s">
        <v>54</v>
      </c>
      <c r="AB555" s="10" t="s">
        <v>67</v>
      </c>
      <c r="AC555" s="8" t="s">
        <v>54</v>
      </c>
      <c r="AD555" s="8" t="s">
        <v>54</v>
      </c>
      <c r="AE555" s="8" t="s">
        <v>54</v>
      </c>
      <c r="AF555" s="8" t="s">
        <v>54</v>
      </c>
      <c r="AG555" s="8" t="s">
        <v>54</v>
      </c>
      <c r="AH555" s="8" t="s">
        <v>54</v>
      </c>
      <c r="AI555" s="10" t="s">
        <v>67</v>
      </c>
      <c r="AJ555" s="8">
        <f>COUNTIF($E$555:$AI$555,"P")</f>
        <v>22</v>
      </c>
      <c r="AK555" s="8">
        <f>COUNTIF($E$555:$AI$555,"A")</f>
        <v>4</v>
      </c>
      <c r="AL555" s="8">
        <f>SUM($E$556:$AI$556)</f>
        <v>0</v>
      </c>
      <c r="AM555" s="8">
        <f>SUM($E$557:$AI$557)</f>
        <v>0</v>
      </c>
      <c r="AN555" s="8">
        <f>AL555+AM555</f>
        <v>0</v>
      </c>
      <c r="AO555" s="8">
        <f>COUNTIF($E$555:$AI$555,"CL")</f>
        <v>0</v>
      </c>
      <c r="AP555" s="8">
        <f>COUNTIF($E$555:$AI$555,"SL")</f>
        <v>0</v>
      </c>
      <c r="AQ555" s="8">
        <f>COUNTIF($E$555:$AI$555,"EL")</f>
        <v>0</v>
      </c>
      <c r="AR555" s="8">
        <f>COUNTIF($E$555:$AI$555,"H")</f>
        <v>0</v>
      </c>
      <c r="AS555" s="8"/>
      <c r="AT555" s="11" t="s">
        <v>2090</v>
      </c>
    </row>
    <row r="556" spans="1:46" ht="15.1" customHeight="1">
      <c r="A556" s="8"/>
      <c r="B556" s="9"/>
      <c r="C556" s="8"/>
      <c r="D556" s="9"/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11" t="s">
        <v>2090</v>
      </c>
    </row>
    <row r="557" spans="1:46" ht="15.1" customHeight="1">
      <c r="A557" s="8"/>
      <c r="B557" s="9"/>
      <c r="C557" s="8"/>
      <c r="D557" s="9"/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11" t="s">
        <v>2090</v>
      </c>
    </row>
    <row r="558" spans="1:46" ht="15.1" customHeight="1">
      <c r="A558" s="8">
        <v>185</v>
      </c>
      <c r="B558" s="9" t="s">
        <v>1641</v>
      </c>
      <c r="C558" s="8" t="s">
        <v>2445</v>
      </c>
      <c r="D558" s="9" t="s">
        <v>451</v>
      </c>
      <c r="E558" s="8" t="s">
        <v>54</v>
      </c>
      <c r="F558" s="8" t="s">
        <v>54</v>
      </c>
      <c r="G558" s="10" t="s">
        <v>67</v>
      </c>
      <c r="H558" s="8" t="s">
        <v>54</v>
      </c>
      <c r="I558" s="8" t="s">
        <v>54</v>
      </c>
      <c r="J558" s="8" t="s">
        <v>54</v>
      </c>
      <c r="K558" s="8" t="s">
        <v>54</v>
      </c>
      <c r="L558" s="8" t="s">
        <v>54</v>
      </c>
      <c r="M558" s="8" t="s">
        <v>54</v>
      </c>
      <c r="N558" s="10" t="s">
        <v>67</v>
      </c>
      <c r="O558" s="8" t="s">
        <v>54</v>
      </c>
      <c r="P558" s="8" t="s">
        <v>54</v>
      </c>
      <c r="Q558" s="8" t="s">
        <v>54</v>
      </c>
      <c r="R558" s="12" t="s">
        <v>55</v>
      </c>
      <c r="S558" s="12" t="s">
        <v>55</v>
      </c>
      <c r="T558" s="12" t="s">
        <v>55</v>
      </c>
      <c r="U558" s="10" t="s">
        <v>67</v>
      </c>
      <c r="V558" s="8" t="s">
        <v>54</v>
      </c>
      <c r="W558" s="8" t="s">
        <v>54</v>
      </c>
      <c r="X558" s="12" t="s">
        <v>55</v>
      </c>
      <c r="Y558" s="8" t="s">
        <v>54</v>
      </c>
      <c r="Z558" s="8" t="s">
        <v>54</v>
      </c>
      <c r="AA558" s="8" t="s">
        <v>54</v>
      </c>
      <c r="AB558" s="10" t="s">
        <v>67</v>
      </c>
      <c r="AC558" s="8" t="s">
        <v>54</v>
      </c>
      <c r="AD558" s="8" t="s">
        <v>54</v>
      </c>
      <c r="AE558" s="8" t="s">
        <v>54</v>
      </c>
      <c r="AF558" s="8" t="s">
        <v>54</v>
      </c>
      <c r="AG558" s="8" t="s">
        <v>54</v>
      </c>
      <c r="AH558" s="8" t="s">
        <v>54</v>
      </c>
      <c r="AI558" s="10" t="s">
        <v>67</v>
      </c>
      <c r="AJ558" s="8">
        <f>COUNTIF($E$558:$AI$558,"P")</f>
        <v>22</v>
      </c>
      <c r="AK558" s="8">
        <f>COUNTIF($E$558:$AI$558,"A")</f>
        <v>4</v>
      </c>
      <c r="AL558" s="8">
        <f>SUM($E$559:$AI$559)</f>
        <v>0</v>
      </c>
      <c r="AM558" s="8">
        <f>SUM($E$560:$AI$560)</f>
        <v>0</v>
      </c>
      <c r="AN558" s="8">
        <f>AL558+AM558</f>
        <v>0</v>
      </c>
      <c r="AO558" s="8">
        <f>COUNTIF($E$558:$AI$558,"CL")</f>
        <v>0</v>
      </c>
      <c r="AP558" s="8">
        <f>COUNTIF($E$558:$AI$558,"SL")</f>
        <v>0</v>
      </c>
      <c r="AQ558" s="8">
        <f>COUNTIF($E$558:$AI$558,"EL")</f>
        <v>0</v>
      </c>
      <c r="AR558" s="8">
        <f>COUNTIF($E$558:$AI$558,"H")</f>
        <v>0</v>
      </c>
      <c r="AS558" s="8"/>
      <c r="AT558" s="11" t="s">
        <v>2090</v>
      </c>
    </row>
    <row r="559" spans="1:46" ht="15.1" customHeight="1">
      <c r="A559" s="8"/>
      <c r="B559" s="9"/>
      <c r="C559" s="8"/>
      <c r="D559" s="9"/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11" t="s">
        <v>2090</v>
      </c>
    </row>
    <row r="560" spans="1:46" ht="15.1" customHeight="1">
      <c r="A560" s="8"/>
      <c r="B560" s="9"/>
      <c r="C560" s="8"/>
      <c r="D560" s="9"/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11" t="s">
        <v>2090</v>
      </c>
    </row>
    <row r="561" spans="1:46" ht="15.1" customHeight="1">
      <c r="A561" s="8">
        <v>186</v>
      </c>
      <c r="B561" s="9" t="s">
        <v>2446</v>
      </c>
      <c r="C561" s="8" t="s">
        <v>2447</v>
      </c>
      <c r="D561" s="9" t="s">
        <v>451</v>
      </c>
      <c r="E561" s="8" t="s">
        <v>54</v>
      </c>
      <c r="F561" s="8" t="s">
        <v>54</v>
      </c>
      <c r="G561" s="10" t="s">
        <v>67</v>
      </c>
      <c r="H561" s="8" t="s">
        <v>54</v>
      </c>
      <c r="I561" s="8" t="s">
        <v>54</v>
      </c>
      <c r="J561" s="8" t="s">
        <v>54</v>
      </c>
      <c r="K561" s="8" t="s">
        <v>54</v>
      </c>
      <c r="L561" s="8" t="s">
        <v>54</v>
      </c>
      <c r="M561" s="8" t="s">
        <v>54</v>
      </c>
      <c r="N561" s="10" t="s">
        <v>67</v>
      </c>
      <c r="O561" s="8" t="s">
        <v>54</v>
      </c>
      <c r="P561" s="12" t="s">
        <v>55</v>
      </c>
      <c r="Q561" s="12" t="s">
        <v>55</v>
      </c>
      <c r="R561" s="8" t="s">
        <v>54</v>
      </c>
      <c r="S561" s="8" t="s">
        <v>54</v>
      </c>
      <c r="T561" s="8" t="s">
        <v>54</v>
      </c>
      <c r="U561" s="10" t="s">
        <v>67</v>
      </c>
      <c r="V561" s="8" t="s">
        <v>54</v>
      </c>
      <c r="W561" s="8" t="s">
        <v>54</v>
      </c>
      <c r="X561" s="12" t="s">
        <v>55</v>
      </c>
      <c r="Y561" s="8" t="s">
        <v>54</v>
      </c>
      <c r="Z561" s="8" t="s">
        <v>54</v>
      </c>
      <c r="AA561" s="8" t="s">
        <v>54</v>
      </c>
      <c r="AB561" s="10" t="s">
        <v>67</v>
      </c>
      <c r="AC561" s="8" t="s">
        <v>54</v>
      </c>
      <c r="AD561" s="12" t="s">
        <v>55</v>
      </c>
      <c r="AE561" s="12" t="s">
        <v>55</v>
      </c>
      <c r="AF561" s="12" t="s">
        <v>55</v>
      </c>
      <c r="AG561" s="8" t="s">
        <v>54</v>
      </c>
      <c r="AH561" s="8" t="s">
        <v>54</v>
      </c>
      <c r="AI561" s="10" t="s">
        <v>67</v>
      </c>
      <c r="AJ561" s="8">
        <f>COUNTIF($E$561:$AI$561,"P")</f>
        <v>20</v>
      </c>
      <c r="AK561" s="8">
        <f>COUNTIF($E$561:$AI$561,"A")</f>
        <v>6</v>
      </c>
      <c r="AL561" s="8">
        <f>SUM($E$562:$AI$562)</f>
        <v>0</v>
      </c>
      <c r="AM561" s="8">
        <f>SUM($E$563:$AI$563)</f>
        <v>0</v>
      </c>
      <c r="AN561" s="8">
        <f>AL561+AM561</f>
        <v>0</v>
      </c>
      <c r="AO561" s="8">
        <f>COUNTIF($E$561:$AI$561,"CL")</f>
        <v>0</v>
      </c>
      <c r="AP561" s="8">
        <f>COUNTIF($E$561:$AI$561,"SL")</f>
        <v>0</v>
      </c>
      <c r="AQ561" s="8">
        <f>COUNTIF($E$561:$AI$561,"EL")</f>
        <v>0</v>
      </c>
      <c r="AR561" s="8">
        <f>COUNTIF($E$561:$AI$561,"H")</f>
        <v>0</v>
      </c>
      <c r="AS561" s="8"/>
      <c r="AT561" s="11" t="s">
        <v>2090</v>
      </c>
    </row>
    <row r="562" spans="1:46" ht="15.1" customHeight="1">
      <c r="A562" s="8"/>
      <c r="B562" s="9"/>
      <c r="C562" s="8"/>
      <c r="D562" s="9"/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11" t="s">
        <v>2090</v>
      </c>
    </row>
    <row r="563" spans="1:46" ht="15.1" customHeight="1">
      <c r="A563" s="8"/>
      <c r="B563" s="9"/>
      <c r="C563" s="8"/>
      <c r="D563" s="9"/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11" t="s">
        <v>2090</v>
      </c>
    </row>
    <row r="564" spans="1:46" ht="15.1" customHeight="1">
      <c r="A564" s="8">
        <v>187</v>
      </c>
      <c r="B564" s="9" t="s">
        <v>2448</v>
      </c>
      <c r="C564" s="8" t="s">
        <v>2449</v>
      </c>
      <c r="D564" s="9" t="s">
        <v>451</v>
      </c>
      <c r="E564" s="8" t="s">
        <v>54</v>
      </c>
      <c r="F564" s="8" t="s">
        <v>54</v>
      </c>
      <c r="G564" s="10" t="s">
        <v>67</v>
      </c>
      <c r="H564" s="8" t="s">
        <v>54</v>
      </c>
      <c r="I564" s="8" t="s">
        <v>54</v>
      </c>
      <c r="J564" s="8" t="s">
        <v>54</v>
      </c>
      <c r="K564" s="8" t="s">
        <v>54</v>
      </c>
      <c r="L564" s="8" t="s">
        <v>54</v>
      </c>
      <c r="M564" s="8" t="s">
        <v>54</v>
      </c>
      <c r="N564" s="10" t="s">
        <v>67</v>
      </c>
      <c r="O564" s="12" t="s">
        <v>55</v>
      </c>
      <c r="P564" s="12" t="s">
        <v>55</v>
      </c>
      <c r="Q564" s="12" t="s">
        <v>55</v>
      </c>
      <c r="R564" s="8" t="s">
        <v>54</v>
      </c>
      <c r="S564" s="8" t="s">
        <v>54</v>
      </c>
      <c r="T564" s="8" t="s">
        <v>54</v>
      </c>
      <c r="U564" s="10" t="s">
        <v>67</v>
      </c>
      <c r="V564" s="8" t="s">
        <v>54</v>
      </c>
      <c r="W564" s="8" t="s">
        <v>54</v>
      </c>
      <c r="X564" s="12" t="s">
        <v>55</v>
      </c>
      <c r="Y564" s="8" t="s">
        <v>54</v>
      </c>
      <c r="Z564" s="8" t="s">
        <v>54</v>
      </c>
      <c r="AA564" s="8" t="s">
        <v>54</v>
      </c>
      <c r="AB564" s="10" t="s">
        <v>67</v>
      </c>
      <c r="AC564" s="12" t="s">
        <v>55</v>
      </c>
      <c r="AD564" s="12" t="s">
        <v>55</v>
      </c>
      <c r="AE564" s="12" t="s">
        <v>55</v>
      </c>
      <c r="AF564" s="12" t="s">
        <v>55</v>
      </c>
      <c r="AG564" s="8" t="s">
        <v>54</v>
      </c>
      <c r="AH564" s="8" t="s">
        <v>54</v>
      </c>
      <c r="AI564" s="10" t="s">
        <v>67</v>
      </c>
      <c r="AJ564" s="8">
        <f>COUNTIF($E$564:$AI$564,"P")</f>
        <v>18</v>
      </c>
      <c r="AK564" s="8">
        <f>COUNTIF($E$564:$AI$564,"A")</f>
        <v>8</v>
      </c>
      <c r="AL564" s="8">
        <f>SUM($E$565:$AI$565)</f>
        <v>0</v>
      </c>
      <c r="AM564" s="8">
        <f>SUM($E$566:$AI$566)</f>
        <v>0</v>
      </c>
      <c r="AN564" s="8">
        <f>AL564+AM564</f>
        <v>0</v>
      </c>
      <c r="AO564" s="8">
        <f>COUNTIF($E$564:$AI$564,"CL")</f>
        <v>0</v>
      </c>
      <c r="AP564" s="8">
        <f>COUNTIF($E$564:$AI$564,"SL")</f>
        <v>0</v>
      </c>
      <c r="AQ564" s="8">
        <f>COUNTIF($E$564:$AI$564,"EL")</f>
        <v>0</v>
      </c>
      <c r="AR564" s="8">
        <f>COUNTIF($E$564:$AI$564,"H")</f>
        <v>0</v>
      </c>
      <c r="AS564" s="8"/>
      <c r="AT564" s="11" t="s">
        <v>2090</v>
      </c>
    </row>
    <row r="565" spans="1:46" ht="15.1" customHeight="1">
      <c r="A565" s="8"/>
      <c r="B565" s="9"/>
      <c r="C565" s="8"/>
      <c r="D565" s="9"/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11" t="s">
        <v>2090</v>
      </c>
    </row>
    <row r="566" spans="1:46" ht="15.1" customHeight="1">
      <c r="A566" s="8"/>
      <c r="B566" s="9"/>
      <c r="C566" s="8"/>
      <c r="D566" s="9"/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11" t="s">
        <v>2090</v>
      </c>
    </row>
    <row r="567" spans="1:46" ht="15.1" customHeight="1">
      <c r="A567" s="8">
        <v>188</v>
      </c>
      <c r="B567" s="9" t="s">
        <v>2450</v>
      </c>
      <c r="C567" s="8" t="s">
        <v>2451</v>
      </c>
      <c r="D567" s="9" t="s">
        <v>451</v>
      </c>
      <c r="E567" s="8" t="s">
        <v>54</v>
      </c>
      <c r="F567" s="8" t="s">
        <v>54</v>
      </c>
      <c r="G567" s="10" t="s">
        <v>67</v>
      </c>
      <c r="H567" s="8" t="s">
        <v>54</v>
      </c>
      <c r="I567" s="8" t="s">
        <v>54</v>
      </c>
      <c r="J567" s="8" t="s">
        <v>54</v>
      </c>
      <c r="K567" s="8" t="s">
        <v>54</v>
      </c>
      <c r="L567" s="8" t="s">
        <v>54</v>
      </c>
      <c r="M567" s="8" t="s">
        <v>54</v>
      </c>
      <c r="N567" s="10" t="s">
        <v>67</v>
      </c>
      <c r="O567" s="8" t="s">
        <v>54</v>
      </c>
      <c r="P567" s="8" t="s">
        <v>54</v>
      </c>
      <c r="Q567" s="8" t="s">
        <v>54</v>
      </c>
      <c r="R567" s="8" t="s">
        <v>54</v>
      </c>
      <c r="S567" s="8" t="s">
        <v>54</v>
      </c>
      <c r="T567" s="8" t="s">
        <v>54</v>
      </c>
      <c r="U567" s="10" t="s">
        <v>67</v>
      </c>
      <c r="V567" s="8" t="s">
        <v>54</v>
      </c>
      <c r="W567" s="8" t="s">
        <v>54</v>
      </c>
      <c r="X567" s="12" t="s">
        <v>55</v>
      </c>
      <c r="Y567" s="8" t="s">
        <v>54</v>
      </c>
      <c r="Z567" s="8" t="s">
        <v>54</v>
      </c>
      <c r="AA567" s="8" t="s">
        <v>54</v>
      </c>
      <c r="AB567" s="10" t="s">
        <v>67</v>
      </c>
      <c r="AC567" s="12" t="s">
        <v>55</v>
      </c>
      <c r="AD567" s="8" t="s">
        <v>54</v>
      </c>
      <c r="AE567" s="8" t="s">
        <v>54</v>
      </c>
      <c r="AF567" s="8" t="s">
        <v>54</v>
      </c>
      <c r="AG567" s="8" t="s">
        <v>54</v>
      </c>
      <c r="AH567" s="8" t="s">
        <v>54</v>
      </c>
      <c r="AI567" s="10" t="s">
        <v>67</v>
      </c>
      <c r="AJ567" s="8">
        <f>COUNTIF($E$567:$AI$567,"P")</f>
        <v>24</v>
      </c>
      <c r="AK567" s="8">
        <f>COUNTIF($E$567:$AI$567,"A")</f>
        <v>2</v>
      </c>
      <c r="AL567" s="8">
        <f>SUM($E$568:$AI$568)</f>
        <v>0</v>
      </c>
      <c r="AM567" s="8">
        <f>SUM($E$569:$AI$569)</f>
        <v>0</v>
      </c>
      <c r="AN567" s="8">
        <f>AL567+AM567</f>
        <v>0</v>
      </c>
      <c r="AO567" s="8">
        <f>COUNTIF($E$567:$AI$567,"CL")</f>
        <v>0</v>
      </c>
      <c r="AP567" s="8">
        <f>COUNTIF($E$567:$AI$567,"SL")</f>
        <v>0</v>
      </c>
      <c r="AQ567" s="8">
        <f>COUNTIF($E$567:$AI$567,"EL")</f>
        <v>0</v>
      </c>
      <c r="AR567" s="8">
        <f>COUNTIF($E$567:$AI$567,"H")</f>
        <v>0</v>
      </c>
      <c r="AS567" s="8"/>
      <c r="AT567" s="11" t="s">
        <v>2090</v>
      </c>
    </row>
    <row r="568" spans="1:46" ht="15.1" customHeight="1">
      <c r="A568" s="8"/>
      <c r="B568" s="9"/>
      <c r="C568" s="8"/>
      <c r="D568" s="9"/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11" t="s">
        <v>2090</v>
      </c>
    </row>
    <row r="569" spans="1:46" ht="15.1" customHeight="1">
      <c r="A569" s="8"/>
      <c r="B569" s="9"/>
      <c r="C569" s="8"/>
      <c r="D569" s="9"/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11" t="s">
        <v>2090</v>
      </c>
    </row>
    <row r="570" spans="1:46" ht="15.1" customHeight="1">
      <c r="A570" s="8">
        <v>189</v>
      </c>
      <c r="B570" s="9" t="s">
        <v>2452</v>
      </c>
      <c r="C570" s="8" t="s">
        <v>2453</v>
      </c>
      <c r="D570" s="9" t="s">
        <v>451</v>
      </c>
      <c r="E570" s="8" t="s">
        <v>54</v>
      </c>
      <c r="F570" s="8" t="s">
        <v>54</v>
      </c>
      <c r="G570" s="10" t="s">
        <v>67</v>
      </c>
      <c r="H570" s="8" t="s">
        <v>54</v>
      </c>
      <c r="I570" s="12" t="s">
        <v>55</v>
      </c>
      <c r="J570" s="8" t="s">
        <v>54</v>
      </c>
      <c r="K570" s="8" t="s">
        <v>54</v>
      </c>
      <c r="L570" s="8" t="s">
        <v>54</v>
      </c>
      <c r="M570" s="12" t="s">
        <v>55</v>
      </c>
      <c r="N570" s="10" t="s">
        <v>67</v>
      </c>
      <c r="O570" s="8" t="s">
        <v>54</v>
      </c>
      <c r="P570" s="8" t="s">
        <v>54</v>
      </c>
      <c r="Q570" s="12" t="s">
        <v>55</v>
      </c>
      <c r="R570" s="12" t="s">
        <v>55</v>
      </c>
      <c r="S570" s="8" t="s">
        <v>54</v>
      </c>
      <c r="T570" s="8" t="s">
        <v>54</v>
      </c>
      <c r="U570" s="10" t="s">
        <v>67</v>
      </c>
      <c r="V570" s="8" t="s">
        <v>54</v>
      </c>
      <c r="W570" s="12" t="s">
        <v>55</v>
      </c>
      <c r="X570" s="12" t="s">
        <v>55</v>
      </c>
      <c r="Y570" s="12" t="s">
        <v>55</v>
      </c>
      <c r="Z570" s="12" t="s">
        <v>55</v>
      </c>
      <c r="AA570" s="8" t="s">
        <v>54</v>
      </c>
      <c r="AB570" s="10" t="s">
        <v>67</v>
      </c>
      <c r="AC570" s="8" t="s">
        <v>54</v>
      </c>
      <c r="AD570" s="8" t="s">
        <v>54</v>
      </c>
      <c r="AE570" s="8" t="s">
        <v>54</v>
      </c>
      <c r="AF570" s="12" t="s">
        <v>55</v>
      </c>
      <c r="AG570" s="12" t="s">
        <v>55</v>
      </c>
      <c r="AH570" s="12" t="s">
        <v>55</v>
      </c>
      <c r="AI570" s="10" t="s">
        <v>67</v>
      </c>
      <c r="AJ570" s="8">
        <f>COUNTIF($E$570:$AI$570,"P")</f>
        <v>15</v>
      </c>
      <c r="AK570" s="8">
        <f>COUNTIF($E$570:$AI$570,"A")</f>
        <v>11</v>
      </c>
      <c r="AL570" s="8">
        <f>SUM($E$571:$AI$571)</f>
        <v>0</v>
      </c>
      <c r="AM570" s="8">
        <f>SUM($E$572:$AI$572)</f>
        <v>0</v>
      </c>
      <c r="AN570" s="8">
        <f>AL570+AM570</f>
        <v>0</v>
      </c>
      <c r="AO570" s="8">
        <f>COUNTIF($E$570:$AI$570,"CL")</f>
        <v>0</v>
      </c>
      <c r="AP570" s="8">
        <f>COUNTIF($E$570:$AI$570,"SL")</f>
        <v>0</v>
      </c>
      <c r="AQ570" s="8">
        <f>COUNTIF($E$570:$AI$570,"EL")</f>
        <v>0</v>
      </c>
      <c r="AR570" s="8">
        <f>COUNTIF($E$570:$AI$570,"H")</f>
        <v>0</v>
      </c>
      <c r="AS570" s="8"/>
      <c r="AT570" s="11" t="s">
        <v>2090</v>
      </c>
    </row>
    <row r="571" spans="1:46" ht="15.1" customHeight="1">
      <c r="A571" s="8"/>
      <c r="B571" s="9"/>
      <c r="C571" s="8"/>
      <c r="D571" s="9"/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11" t="s">
        <v>2090</v>
      </c>
    </row>
    <row r="572" spans="1:46" ht="15.1" customHeight="1">
      <c r="A572" s="8"/>
      <c r="B572" s="9"/>
      <c r="C572" s="8"/>
      <c r="D572" s="9"/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11" t="s">
        <v>2090</v>
      </c>
    </row>
    <row r="573" spans="1:46" ht="15.1" customHeight="1">
      <c r="A573" s="8">
        <v>190</v>
      </c>
      <c r="B573" s="9" t="s">
        <v>2454</v>
      </c>
      <c r="C573" s="8" t="s">
        <v>2455</v>
      </c>
      <c r="D573" s="9" t="s">
        <v>451</v>
      </c>
      <c r="E573" s="8" t="s">
        <v>54</v>
      </c>
      <c r="F573" s="8" t="s">
        <v>54</v>
      </c>
      <c r="G573" s="10" t="s">
        <v>67</v>
      </c>
      <c r="H573" s="8" t="s">
        <v>54</v>
      </c>
      <c r="I573" s="8" t="s">
        <v>54</v>
      </c>
      <c r="J573" s="12" t="s">
        <v>55</v>
      </c>
      <c r="K573" s="12" t="s">
        <v>55</v>
      </c>
      <c r="L573" s="8" t="s">
        <v>54</v>
      </c>
      <c r="M573" s="8" t="s">
        <v>54</v>
      </c>
      <c r="N573" s="10" t="s">
        <v>67</v>
      </c>
      <c r="O573" s="8" t="s">
        <v>54</v>
      </c>
      <c r="P573" s="8" t="s">
        <v>54</v>
      </c>
      <c r="Q573" s="8" t="s">
        <v>54</v>
      </c>
      <c r="R573" s="8" t="s">
        <v>54</v>
      </c>
      <c r="S573" s="8" t="s">
        <v>54</v>
      </c>
      <c r="T573" s="8" t="s">
        <v>54</v>
      </c>
      <c r="U573" s="10" t="s">
        <v>67</v>
      </c>
      <c r="V573" s="8" t="s">
        <v>54</v>
      </c>
      <c r="W573" s="8" t="s">
        <v>54</v>
      </c>
      <c r="X573" s="12" t="s">
        <v>55</v>
      </c>
      <c r="Y573" s="8" t="s">
        <v>54</v>
      </c>
      <c r="Z573" s="8" t="s">
        <v>54</v>
      </c>
      <c r="AA573" s="8" t="s">
        <v>54</v>
      </c>
      <c r="AB573" s="10" t="s">
        <v>67</v>
      </c>
      <c r="AC573" s="8" t="s">
        <v>54</v>
      </c>
      <c r="AD573" s="8" t="s">
        <v>54</v>
      </c>
      <c r="AE573" s="8" t="s">
        <v>54</v>
      </c>
      <c r="AF573" s="8" t="s">
        <v>54</v>
      </c>
      <c r="AG573" s="8" t="s">
        <v>54</v>
      </c>
      <c r="AH573" s="8" t="s">
        <v>54</v>
      </c>
      <c r="AI573" s="10" t="s">
        <v>67</v>
      </c>
      <c r="AJ573" s="8">
        <f>COUNTIF($E$573:$AI$573,"P")</f>
        <v>23</v>
      </c>
      <c r="AK573" s="8">
        <f>COUNTIF($E$573:$AI$573,"A")</f>
        <v>3</v>
      </c>
      <c r="AL573" s="8">
        <f>SUM($E$574:$AI$574)</f>
        <v>0</v>
      </c>
      <c r="AM573" s="8">
        <f>SUM($E$575:$AI$575)</f>
        <v>0</v>
      </c>
      <c r="AN573" s="8">
        <f>AL573+AM573</f>
        <v>0</v>
      </c>
      <c r="AO573" s="8">
        <f>COUNTIF($E$573:$AI$573,"CL")</f>
        <v>0</v>
      </c>
      <c r="AP573" s="8">
        <f>COUNTIF($E$573:$AI$573,"SL")</f>
        <v>0</v>
      </c>
      <c r="AQ573" s="8">
        <f>COUNTIF($E$573:$AI$573,"EL")</f>
        <v>0</v>
      </c>
      <c r="AR573" s="8">
        <f>COUNTIF($E$573:$AI$573,"H")</f>
        <v>0</v>
      </c>
      <c r="AS573" s="8"/>
      <c r="AT573" s="11" t="s">
        <v>2090</v>
      </c>
    </row>
    <row r="574" spans="1:46" ht="15.1" customHeight="1">
      <c r="A574" s="8"/>
      <c r="B574" s="9"/>
      <c r="C574" s="8"/>
      <c r="D574" s="9"/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11" t="s">
        <v>2090</v>
      </c>
    </row>
    <row r="575" spans="1:46" ht="15.1" customHeight="1">
      <c r="A575" s="8"/>
      <c r="B575" s="9"/>
      <c r="C575" s="8"/>
      <c r="D575" s="9"/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11" t="s">
        <v>2090</v>
      </c>
    </row>
    <row r="576" spans="1:46" ht="15.1" customHeight="1">
      <c r="A576" s="8">
        <v>191</v>
      </c>
      <c r="B576" s="9" t="s">
        <v>2456</v>
      </c>
      <c r="C576" s="8" t="s">
        <v>2457</v>
      </c>
      <c r="D576" s="9" t="s">
        <v>451</v>
      </c>
      <c r="E576" s="8" t="s">
        <v>54</v>
      </c>
      <c r="F576" s="8" t="s">
        <v>54</v>
      </c>
      <c r="G576" s="10" t="s">
        <v>67</v>
      </c>
      <c r="H576" s="8" t="s">
        <v>54</v>
      </c>
      <c r="I576" s="8" t="s">
        <v>54</v>
      </c>
      <c r="J576" s="8" t="s">
        <v>54</v>
      </c>
      <c r="K576" s="8" t="s">
        <v>54</v>
      </c>
      <c r="L576" s="8" t="s">
        <v>54</v>
      </c>
      <c r="M576" s="8" t="s">
        <v>54</v>
      </c>
      <c r="N576" s="10" t="s">
        <v>67</v>
      </c>
      <c r="O576" s="12" t="s">
        <v>55</v>
      </c>
      <c r="P576" s="8" t="s">
        <v>54</v>
      </c>
      <c r="Q576" s="8" t="s">
        <v>54</v>
      </c>
      <c r="R576" s="8" t="s">
        <v>54</v>
      </c>
      <c r="S576" s="12" t="s">
        <v>55</v>
      </c>
      <c r="T576" s="8" t="s">
        <v>54</v>
      </c>
      <c r="U576" s="10" t="s">
        <v>67</v>
      </c>
      <c r="V576" s="8" t="s">
        <v>54</v>
      </c>
      <c r="W576" s="8" t="s">
        <v>54</v>
      </c>
      <c r="X576" s="12" t="s">
        <v>55</v>
      </c>
      <c r="Y576" s="12" t="s">
        <v>55</v>
      </c>
      <c r="Z576" s="12" t="s">
        <v>55</v>
      </c>
      <c r="AA576" s="12" t="s">
        <v>55</v>
      </c>
      <c r="AB576" s="10" t="s">
        <v>67</v>
      </c>
      <c r="AC576" s="12" t="s">
        <v>55</v>
      </c>
      <c r="AD576" s="12" t="s">
        <v>55</v>
      </c>
      <c r="AE576" s="8" t="s">
        <v>54</v>
      </c>
      <c r="AF576" s="12" t="s">
        <v>55</v>
      </c>
      <c r="AG576" s="8" t="s">
        <v>54</v>
      </c>
      <c r="AH576" s="8" t="s">
        <v>54</v>
      </c>
      <c r="AI576" s="10" t="s">
        <v>67</v>
      </c>
      <c r="AJ576" s="8">
        <f>COUNTIF($E$576:$AI$576,"P")</f>
        <v>17</v>
      </c>
      <c r="AK576" s="8">
        <f>COUNTIF($E$576:$AI$576,"A")</f>
        <v>9</v>
      </c>
      <c r="AL576" s="8">
        <f>SUM($E$577:$AI$577)</f>
        <v>0</v>
      </c>
      <c r="AM576" s="8">
        <f>SUM($E$578:$AI$578)</f>
        <v>0</v>
      </c>
      <c r="AN576" s="8">
        <f>AL576+AM576</f>
        <v>0</v>
      </c>
      <c r="AO576" s="8">
        <f>COUNTIF($E$576:$AI$576,"CL")</f>
        <v>0</v>
      </c>
      <c r="AP576" s="8">
        <f>COUNTIF($E$576:$AI$576,"SL")</f>
        <v>0</v>
      </c>
      <c r="AQ576" s="8">
        <f>COUNTIF($E$576:$AI$576,"EL")</f>
        <v>0</v>
      </c>
      <c r="AR576" s="8">
        <f>COUNTIF($E$576:$AI$576,"H")</f>
        <v>0</v>
      </c>
      <c r="AS576" s="8"/>
      <c r="AT576" s="11" t="s">
        <v>2090</v>
      </c>
    </row>
    <row r="577" spans="1:46" ht="15.1" customHeight="1">
      <c r="A577" s="8"/>
      <c r="B577" s="9"/>
      <c r="C577" s="8"/>
      <c r="D577" s="9"/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11" t="s">
        <v>2090</v>
      </c>
    </row>
    <row r="578" spans="1:46" ht="15.1" customHeight="1">
      <c r="A578" s="8"/>
      <c r="B578" s="9"/>
      <c r="C578" s="8"/>
      <c r="D578" s="9"/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11" t="s">
        <v>2090</v>
      </c>
    </row>
    <row r="579" spans="1:46" ht="15.1" customHeight="1">
      <c r="A579" s="8">
        <v>192</v>
      </c>
      <c r="B579" s="9" t="s">
        <v>2458</v>
      </c>
      <c r="C579" s="8" t="s">
        <v>2459</v>
      </c>
      <c r="D579" s="9" t="s">
        <v>451</v>
      </c>
      <c r="E579" s="8" t="s">
        <v>54</v>
      </c>
      <c r="F579" s="8" t="s">
        <v>54</v>
      </c>
      <c r="G579" s="10" t="s">
        <v>67</v>
      </c>
      <c r="H579" s="8" t="s">
        <v>54</v>
      </c>
      <c r="I579" s="8" t="s">
        <v>54</v>
      </c>
      <c r="J579" s="8" t="s">
        <v>54</v>
      </c>
      <c r="K579" s="8" t="s">
        <v>54</v>
      </c>
      <c r="L579" s="8" t="s">
        <v>54</v>
      </c>
      <c r="M579" s="8" t="s">
        <v>54</v>
      </c>
      <c r="N579" s="10" t="s">
        <v>67</v>
      </c>
      <c r="O579" s="8" t="s">
        <v>54</v>
      </c>
      <c r="P579" s="8" t="s">
        <v>54</v>
      </c>
      <c r="Q579" s="8" t="s">
        <v>54</v>
      </c>
      <c r="R579" s="8" t="s">
        <v>54</v>
      </c>
      <c r="S579" s="8" t="s">
        <v>54</v>
      </c>
      <c r="T579" s="8" t="s">
        <v>54</v>
      </c>
      <c r="U579" s="10" t="s">
        <v>67</v>
      </c>
      <c r="V579" s="8" t="s">
        <v>54</v>
      </c>
      <c r="W579" s="8" t="s">
        <v>54</v>
      </c>
      <c r="X579" s="12" t="s">
        <v>55</v>
      </c>
      <c r="Y579" s="12" t="s">
        <v>55</v>
      </c>
      <c r="Z579" s="12" t="s">
        <v>55</v>
      </c>
      <c r="AA579" s="8" t="s">
        <v>54</v>
      </c>
      <c r="AB579" s="10" t="s">
        <v>67</v>
      </c>
      <c r="AC579" s="12" t="s">
        <v>55</v>
      </c>
      <c r="AD579" s="12" t="s">
        <v>55</v>
      </c>
      <c r="AE579" s="12" t="s">
        <v>55</v>
      </c>
      <c r="AF579" s="8" t="s">
        <v>54</v>
      </c>
      <c r="AG579" s="8" t="s">
        <v>54</v>
      </c>
      <c r="AH579" s="8" t="s">
        <v>54</v>
      </c>
      <c r="AI579" s="10" t="s">
        <v>67</v>
      </c>
      <c r="AJ579" s="8">
        <f>COUNTIF($E$579:$AI$579,"P")</f>
        <v>20</v>
      </c>
      <c r="AK579" s="8">
        <f>COUNTIF($E$579:$AI$579,"A")</f>
        <v>6</v>
      </c>
      <c r="AL579" s="8">
        <f>SUM($E$580:$AI$580)</f>
        <v>0</v>
      </c>
      <c r="AM579" s="8">
        <f>SUM($E$581:$AI$581)</f>
        <v>0</v>
      </c>
      <c r="AN579" s="8">
        <f>AL579+AM579</f>
        <v>0</v>
      </c>
      <c r="AO579" s="8">
        <f>COUNTIF($E$579:$AI$579,"CL")</f>
        <v>0</v>
      </c>
      <c r="AP579" s="8">
        <f>COUNTIF($E$579:$AI$579,"SL")</f>
        <v>0</v>
      </c>
      <c r="AQ579" s="8">
        <f>COUNTIF($E$579:$AI$579,"EL")</f>
        <v>0</v>
      </c>
      <c r="AR579" s="8">
        <f>COUNTIF($E$579:$AI$579,"H")</f>
        <v>0</v>
      </c>
      <c r="AS579" s="8"/>
      <c r="AT579" s="11" t="s">
        <v>2090</v>
      </c>
    </row>
    <row r="580" spans="1:46" ht="15.1" customHeight="1">
      <c r="A580" s="8"/>
      <c r="B580" s="9"/>
      <c r="C580" s="8"/>
      <c r="D580" s="9"/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11" t="s">
        <v>2090</v>
      </c>
    </row>
    <row r="581" spans="1:46" ht="15.1" customHeight="1">
      <c r="A581" s="8"/>
      <c r="B581" s="9"/>
      <c r="C581" s="8"/>
      <c r="D581" s="9"/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11" t="s">
        <v>2090</v>
      </c>
    </row>
    <row r="582" spans="1:46" ht="15.1" customHeight="1">
      <c r="A582" s="8">
        <v>193</v>
      </c>
      <c r="B582" s="9" t="s">
        <v>2460</v>
      </c>
      <c r="C582" s="8" t="s">
        <v>2461</v>
      </c>
      <c r="D582" s="9" t="s">
        <v>451</v>
      </c>
      <c r="E582" s="8" t="s">
        <v>54</v>
      </c>
      <c r="F582" s="8" t="s">
        <v>54</v>
      </c>
      <c r="G582" s="10" t="s">
        <v>67</v>
      </c>
      <c r="H582" s="8" t="s">
        <v>54</v>
      </c>
      <c r="I582" s="8" t="s">
        <v>54</v>
      </c>
      <c r="J582" s="8" t="s">
        <v>54</v>
      </c>
      <c r="K582" s="8" t="s">
        <v>54</v>
      </c>
      <c r="L582" s="8" t="s">
        <v>54</v>
      </c>
      <c r="M582" s="8" t="s">
        <v>54</v>
      </c>
      <c r="N582" s="10" t="s">
        <v>67</v>
      </c>
      <c r="O582" s="8" t="s">
        <v>54</v>
      </c>
      <c r="P582" s="8" t="s">
        <v>54</v>
      </c>
      <c r="Q582" s="8" t="s">
        <v>54</v>
      </c>
      <c r="R582" s="8" t="s">
        <v>54</v>
      </c>
      <c r="S582" s="8" t="s">
        <v>54</v>
      </c>
      <c r="T582" s="8" t="s">
        <v>54</v>
      </c>
      <c r="U582" s="10" t="s">
        <v>67</v>
      </c>
      <c r="V582" s="8" t="s">
        <v>54</v>
      </c>
      <c r="W582" s="8" t="s">
        <v>54</v>
      </c>
      <c r="X582" s="8" t="s">
        <v>54</v>
      </c>
      <c r="Y582" s="8" t="s">
        <v>54</v>
      </c>
      <c r="Z582" s="8" t="s">
        <v>54</v>
      </c>
      <c r="AA582" s="8" t="s">
        <v>54</v>
      </c>
      <c r="AB582" s="10" t="s">
        <v>67</v>
      </c>
      <c r="AC582" s="8" t="s">
        <v>54</v>
      </c>
      <c r="AD582" s="8" t="s">
        <v>54</v>
      </c>
      <c r="AE582" s="8" t="s">
        <v>54</v>
      </c>
      <c r="AF582" s="8" t="s">
        <v>54</v>
      </c>
      <c r="AG582" s="8" t="s">
        <v>54</v>
      </c>
      <c r="AH582" s="8" t="s">
        <v>54</v>
      </c>
      <c r="AI582" s="10" t="s">
        <v>67</v>
      </c>
      <c r="AJ582" s="8">
        <f>COUNTIF($E$582:$AI$582,"P")</f>
        <v>26</v>
      </c>
      <c r="AK582" s="8">
        <f>COUNTIF($E$582:$AI$582,"A")</f>
        <v>0</v>
      </c>
      <c r="AL582" s="8">
        <f>SUM($E$583:$AI$583)</f>
        <v>0</v>
      </c>
      <c r="AM582" s="8">
        <f>SUM($E$584:$AI$584)</f>
        <v>0</v>
      </c>
      <c r="AN582" s="8">
        <f>AL582+AM582</f>
        <v>0</v>
      </c>
      <c r="AO582" s="8">
        <f>COUNTIF($E$582:$AI$582,"CL")</f>
        <v>0</v>
      </c>
      <c r="AP582" s="8">
        <f>COUNTIF($E$582:$AI$582,"SL")</f>
        <v>0</v>
      </c>
      <c r="AQ582" s="8">
        <f>COUNTIF($E$582:$AI$582,"EL")</f>
        <v>0</v>
      </c>
      <c r="AR582" s="8">
        <f>COUNTIF($E$582:$AI$582,"H")</f>
        <v>0</v>
      </c>
      <c r="AS582" s="8"/>
      <c r="AT582" s="11" t="s">
        <v>2090</v>
      </c>
    </row>
    <row r="583" spans="1:46" ht="15.1" customHeight="1">
      <c r="A583" s="8"/>
      <c r="B583" s="9"/>
      <c r="C583" s="8"/>
      <c r="D583" s="9"/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11" t="s">
        <v>2090</v>
      </c>
    </row>
    <row r="584" spans="1:46" ht="15.1" customHeight="1">
      <c r="A584" s="8"/>
      <c r="B584" s="9"/>
      <c r="C584" s="8"/>
      <c r="D584" s="9"/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11" t="s">
        <v>2090</v>
      </c>
    </row>
    <row r="585" spans="1:46" ht="15.1" customHeight="1">
      <c r="A585" s="8">
        <v>194</v>
      </c>
      <c r="B585" s="9" t="s">
        <v>2462</v>
      </c>
      <c r="C585" s="8" t="s">
        <v>2463</v>
      </c>
      <c r="D585" s="9" t="s">
        <v>451</v>
      </c>
      <c r="E585" s="8" t="s">
        <v>54</v>
      </c>
      <c r="F585" s="8" t="s">
        <v>54</v>
      </c>
      <c r="G585" s="10" t="s">
        <v>67</v>
      </c>
      <c r="H585" s="8" t="s">
        <v>54</v>
      </c>
      <c r="I585" s="8" t="s">
        <v>54</v>
      </c>
      <c r="J585" s="8" t="s">
        <v>54</v>
      </c>
      <c r="K585" s="8" t="s">
        <v>54</v>
      </c>
      <c r="L585" s="8" t="s">
        <v>54</v>
      </c>
      <c r="M585" s="8" t="s">
        <v>54</v>
      </c>
      <c r="N585" s="10" t="s">
        <v>67</v>
      </c>
      <c r="O585" s="8" t="s">
        <v>54</v>
      </c>
      <c r="P585" s="8" t="s">
        <v>54</v>
      </c>
      <c r="Q585" s="8" t="s">
        <v>54</v>
      </c>
      <c r="R585" s="8" t="s">
        <v>54</v>
      </c>
      <c r="S585" s="8" t="s">
        <v>54</v>
      </c>
      <c r="T585" s="8" t="s">
        <v>54</v>
      </c>
      <c r="U585" s="10" t="s">
        <v>67</v>
      </c>
      <c r="V585" s="8" t="s">
        <v>54</v>
      </c>
      <c r="W585" s="8" t="s">
        <v>54</v>
      </c>
      <c r="X585" s="12" t="s">
        <v>55</v>
      </c>
      <c r="Y585" s="12" t="s">
        <v>55</v>
      </c>
      <c r="Z585" s="12" t="s">
        <v>55</v>
      </c>
      <c r="AA585" s="12" t="s">
        <v>55</v>
      </c>
      <c r="AB585" s="10" t="s">
        <v>67</v>
      </c>
      <c r="AC585" s="12" t="s">
        <v>55</v>
      </c>
      <c r="AD585" s="8" t="s">
        <v>54</v>
      </c>
      <c r="AE585" s="8" t="s">
        <v>54</v>
      </c>
      <c r="AF585" s="8" t="s">
        <v>54</v>
      </c>
      <c r="AG585" s="8" t="s">
        <v>54</v>
      </c>
      <c r="AH585" s="8" t="s">
        <v>54</v>
      </c>
      <c r="AI585" s="10" t="s">
        <v>67</v>
      </c>
      <c r="AJ585" s="8">
        <f>COUNTIF($E$585:$AI$585,"P")</f>
        <v>21</v>
      </c>
      <c r="AK585" s="8">
        <f>COUNTIF($E$585:$AI$585,"A")</f>
        <v>5</v>
      </c>
      <c r="AL585" s="8">
        <f>SUM($E$586:$AI$586)</f>
        <v>0</v>
      </c>
      <c r="AM585" s="8">
        <f>SUM($E$587:$AI$587)</f>
        <v>0</v>
      </c>
      <c r="AN585" s="8">
        <f>AL585+AM585</f>
        <v>0</v>
      </c>
      <c r="AO585" s="8">
        <f>COUNTIF($E$585:$AI$585,"CL")</f>
        <v>0</v>
      </c>
      <c r="AP585" s="8">
        <f>COUNTIF($E$585:$AI$585,"SL")</f>
        <v>0</v>
      </c>
      <c r="AQ585" s="8">
        <f>COUNTIF($E$585:$AI$585,"EL")</f>
        <v>0</v>
      </c>
      <c r="AR585" s="8">
        <f>COUNTIF($E$585:$AI$585,"H")</f>
        <v>0</v>
      </c>
      <c r="AS585" s="8"/>
      <c r="AT585" s="11" t="s">
        <v>2090</v>
      </c>
    </row>
    <row r="586" spans="1:46" ht="15.1" customHeight="1">
      <c r="A586" s="8"/>
      <c r="B586" s="9"/>
      <c r="C586" s="8"/>
      <c r="D586" s="9"/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11" t="s">
        <v>2090</v>
      </c>
    </row>
    <row r="587" spans="1:46" ht="15.1" customHeight="1">
      <c r="A587" s="8"/>
      <c r="B587" s="9"/>
      <c r="C587" s="8"/>
      <c r="D587" s="9"/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11" t="s">
        <v>2090</v>
      </c>
    </row>
    <row r="588" spans="1:46" ht="15.1" customHeight="1">
      <c r="A588" s="8">
        <v>195</v>
      </c>
      <c r="B588" s="9" t="s">
        <v>2464</v>
      </c>
      <c r="C588" s="8" t="s">
        <v>2465</v>
      </c>
      <c r="D588" s="9" t="s">
        <v>451</v>
      </c>
      <c r="E588" s="8" t="s">
        <v>54</v>
      </c>
      <c r="F588" s="8" t="s">
        <v>54</v>
      </c>
      <c r="G588" s="10" t="s">
        <v>67</v>
      </c>
      <c r="H588" s="8" t="s">
        <v>54</v>
      </c>
      <c r="I588" s="8" t="s">
        <v>54</v>
      </c>
      <c r="J588" s="8" t="s">
        <v>54</v>
      </c>
      <c r="K588" s="8" t="s">
        <v>54</v>
      </c>
      <c r="L588" s="8" t="s">
        <v>54</v>
      </c>
      <c r="M588" s="8" t="s">
        <v>54</v>
      </c>
      <c r="N588" s="10" t="s">
        <v>67</v>
      </c>
      <c r="O588" s="8" t="s">
        <v>54</v>
      </c>
      <c r="P588" s="12" t="s">
        <v>55</v>
      </c>
      <c r="Q588" s="8" t="s">
        <v>54</v>
      </c>
      <c r="R588" s="8" t="s">
        <v>54</v>
      </c>
      <c r="S588" s="8" t="s">
        <v>54</v>
      </c>
      <c r="T588" s="8" t="s">
        <v>54</v>
      </c>
      <c r="U588" s="10" t="s">
        <v>67</v>
      </c>
      <c r="V588" s="12" t="s">
        <v>55</v>
      </c>
      <c r="W588" s="12" t="s">
        <v>55</v>
      </c>
      <c r="X588" s="12" t="s">
        <v>55</v>
      </c>
      <c r="Y588" s="12" t="s">
        <v>55</v>
      </c>
      <c r="Z588" s="12" t="s">
        <v>55</v>
      </c>
      <c r="AA588" s="8" t="s">
        <v>54</v>
      </c>
      <c r="AB588" s="10" t="s">
        <v>67</v>
      </c>
      <c r="AC588" s="8" t="s">
        <v>54</v>
      </c>
      <c r="AD588" s="8" t="s">
        <v>54</v>
      </c>
      <c r="AE588" s="8" t="s">
        <v>54</v>
      </c>
      <c r="AF588" s="8" t="s">
        <v>54</v>
      </c>
      <c r="AG588" s="8" t="s">
        <v>54</v>
      </c>
      <c r="AH588" s="8" t="s">
        <v>54</v>
      </c>
      <c r="AI588" s="10" t="s">
        <v>67</v>
      </c>
      <c r="AJ588" s="8">
        <f>COUNTIF($E$588:$AI$588,"P")</f>
        <v>20</v>
      </c>
      <c r="AK588" s="8">
        <f>COUNTIF($E$588:$AI$588,"A")</f>
        <v>6</v>
      </c>
      <c r="AL588" s="8">
        <f>SUM($E$589:$AI$589)</f>
        <v>0</v>
      </c>
      <c r="AM588" s="8">
        <f>SUM($E$590:$AI$590)</f>
        <v>0</v>
      </c>
      <c r="AN588" s="8">
        <f>AL588+AM588</f>
        <v>0</v>
      </c>
      <c r="AO588" s="8">
        <f>COUNTIF($E$588:$AI$588,"CL")</f>
        <v>0</v>
      </c>
      <c r="AP588" s="8">
        <f>COUNTIF($E$588:$AI$588,"SL")</f>
        <v>0</v>
      </c>
      <c r="AQ588" s="8">
        <f>COUNTIF($E$588:$AI$588,"EL")</f>
        <v>0</v>
      </c>
      <c r="AR588" s="8">
        <f>COUNTIF($E$588:$AI$588,"H")</f>
        <v>0</v>
      </c>
      <c r="AS588" s="8"/>
      <c r="AT588" s="11" t="s">
        <v>2090</v>
      </c>
    </row>
    <row r="589" spans="1:46" ht="15.1" customHeight="1">
      <c r="A589" s="8"/>
      <c r="B589" s="9"/>
      <c r="C589" s="8"/>
      <c r="D589" s="9"/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11" t="s">
        <v>2090</v>
      </c>
    </row>
    <row r="590" spans="1:46" ht="15.1" customHeight="1">
      <c r="A590" s="8"/>
      <c r="B590" s="9"/>
      <c r="C590" s="8"/>
      <c r="D590" s="9"/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11" t="s">
        <v>2090</v>
      </c>
    </row>
    <row r="591" spans="1:46" ht="15.1" customHeight="1">
      <c r="A591" s="8">
        <v>196</v>
      </c>
      <c r="B591" s="9" t="s">
        <v>2466</v>
      </c>
      <c r="C591" s="8" t="s">
        <v>2467</v>
      </c>
      <c r="D591" s="9" t="s">
        <v>451</v>
      </c>
      <c r="E591" s="8" t="s">
        <v>54</v>
      </c>
      <c r="F591" s="8" t="s">
        <v>54</v>
      </c>
      <c r="G591" s="10" t="s">
        <v>67</v>
      </c>
      <c r="H591" s="8" t="s">
        <v>54</v>
      </c>
      <c r="I591" s="8" t="s">
        <v>54</v>
      </c>
      <c r="J591" s="8" t="s">
        <v>54</v>
      </c>
      <c r="K591" s="8" t="s">
        <v>54</v>
      </c>
      <c r="L591" s="8" t="s">
        <v>54</v>
      </c>
      <c r="M591" s="8" t="s">
        <v>54</v>
      </c>
      <c r="N591" s="10" t="s">
        <v>67</v>
      </c>
      <c r="O591" s="8" t="s">
        <v>54</v>
      </c>
      <c r="P591" s="8" t="s">
        <v>54</v>
      </c>
      <c r="Q591" s="8" t="s">
        <v>54</v>
      </c>
      <c r="R591" s="8" t="s">
        <v>54</v>
      </c>
      <c r="S591" s="8" t="s">
        <v>54</v>
      </c>
      <c r="T591" s="8" t="s">
        <v>54</v>
      </c>
      <c r="U591" s="10" t="s">
        <v>67</v>
      </c>
      <c r="V591" s="12" t="s">
        <v>55</v>
      </c>
      <c r="W591" s="8" t="s">
        <v>54</v>
      </c>
      <c r="X591" s="8" t="s">
        <v>54</v>
      </c>
      <c r="Y591" s="8" t="s">
        <v>54</v>
      </c>
      <c r="Z591" s="8" t="s">
        <v>54</v>
      </c>
      <c r="AA591" s="8" t="s">
        <v>54</v>
      </c>
      <c r="AB591" s="10" t="s">
        <v>67</v>
      </c>
      <c r="AC591" s="8" t="s">
        <v>54</v>
      </c>
      <c r="AD591" s="8" t="s">
        <v>54</v>
      </c>
      <c r="AE591" s="8" t="s">
        <v>54</v>
      </c>
      <c r="AF591" s="8" t="s">
        <v>54</v>
      </c>
      <c r="AG591" s="8" t="s">
        <v>54</v>
      </c>
      <c r="AH591" s="8" t="s">
        <v>54</v>
      </c>
      <c r="AI591" s="10" t="s">
        <v>67</v>
      </c>
      <c r="AJ591" s="8">
        <f>COUNTIF($E$591:$AI$591,"P")</f>
        <v>25</v>
      </c>
      <c r="AK591" s="8">
        <f>COUNTIF($E$591:$AI$591,"A")</f>
        <v>1</v>
      </c>
      <c r="AL591" s="8">
        <f>SUM($E$592:$AI$592)</f>
        <v>0</v>
      </c>
      <c r="AM591" s="8">
        <f>SUM($E$593:$AI$593)</f>
        <v>0</v>
      </c>
      <c r="AN591" s="8">
        <f>AL591+AM591</f>
        <v>0</v>
      </c>
      <c r="AO591" s="8">
        <f>COUNTIF($E$591:$AI$591,"CL")</f>
        <v>0</v>
      </c>
      <c r="AP591" s="8">
        <f>COUNTIF($E$591:$AI$591,"SL")</f>
        <v>0</v>
      </c>
      <c r="AQ591" s="8">
        <f>COUNTIF($E$591:$AI$591,"EL")</f>
        <v>0</v>
      </c>
      <c r="AR591" s="8">
        <f>COUNTIF($E$591:$AI$591,"H")</f>
        <v>0</v>
      </c>
      <c r="AS591" s="8"/>
      <c r="AT591" s="11" t="s">
        <v>2090</v>
      </c>
    </row>
    <row r="592" spans="1:46" ht="15.1" customHeight="1">
      <c r="A592" s="8"/>
      <c r="B592" s="9"/>
      <c r="C592" s="8"/>
      <c r="D592" s="9"/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11" t="s">
        <v>2090</v>
      </c>
    </row>
    <row r="593" spans="1:46" ht="15.1" customHeight="1">
      <c r="A593" s="8"/>
      <c r="B593" s="9"/>
      <c r="C593" s="8"/>
      <c r="D593" s="9"/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11" t="s">
        <v>2090</v>
      </c>
    </row>
    <row r="594" spans="1:46" ht="15.1" customHeight="1">
      <c r="A594" s="8">
        <v>197</v>
      </c>
      <c r="B594" s="9" t="s">
        <v>112</v>
      </c>
      <c r="C594" s="8" t="s">
        <v>2468</v>
      </c>
      <c r="D594" s="9" t="s">
        <v>451</v>
      </c>
      <c r="E594" s="8" t="s">
        <v>54</v>
      </c>
      <c r="F594" s="8" t="s">
        <v>54</v>
      </c>
      <c r="G594" s="10" t="s">
        <v>67</v>
      </c>
      <c r="H594" s="8" t="s">
        <v>54</v>
      </c>
      <c r="I594" s="8" t="s">
        <v>54</v>
      </c>
      <c r="J594" s="8" t="s">
        <v>54</v>
      </c>
      <c r="K594" s="8" t="s">
        <v>54</v>
      </c>
      <c r="L594" s="8" t="s">
        <v>54</v>
      </c>
      <c r="M594" s="8" t="s">
        <v>54</v>
      </c>
      <c r="N594" s="10" t="s">
        <v>67</v>
      </c>
      <c r="O594" s="8" t="s">
        <v>54</v>
      </c>
      <c r="P594" s="8" t="s">
        <v>54</v>
      </c>
      <c r="Q594" s="8" t="s">
        <v>54</v>
      </c>
      <c r="R594" s="8" t="s">
        <v>54</v>
      </c>
      <c r="S594" s="8" t="s">
        <v>54</v>
      </c>
      <c r="T594" s="8" t="s">
        <v>54</v>
      </c>
      <c r="U594" s="10" t="s">
        <v>67</v>
      </c>
      <c r="V594" s="8" t="s">
        <v>54</v>
      </c>
      <c r="W594" s="8" t="s">
        <v>54</v>
      </c>
      <c r="X594" s="8" t="s">
        <v>54</v>
      </c>
      <c r="Y594" s="8" t="s">
        <v>54</v>
      </c>
      <c r="Z594" s="8" t="s">
        <v>54</v>
      </c>
      <c r="AA594" s="8" t="s">
        <v>54</v>
      </c>
      <c r="AB594" s="10" t="s">
        <v>67</v>
      </c>
      <c r="AC594" s="8" t="s">
        <v>54</v>
      </c>
      <c r="AD594" s="8" t="s">
        <v>54</v>
      </c>
      <c r="AE594" s="8" t="s">
        <v>54</v>
      </c>
      <c r="AF594" s="8" t="s">
        <v>54</v>
      </c>
      <c r="AG594" s="8" t="s">
        <v>54</v>
      </c>
      <c r="AH594" s="8" t="s">
        <v>54</v>
      </c>
      <c r="AI594" s="10" t="s">
        <v>67</v>
      </c>
      <c r="AJ594" s="8">
        <f>COUNTIF($E$594:$AI$594,"P")</f>
        <v>26</v>
      </c>
      <c r="AK594" s="8">
        <f>COUNTIF($E$594:$AI$594,"A")</f>
        <v>0</v>
      </c>
      <c r="AL594" s="8">
        <f>SUM($E$595:$AI$595)</f>
        <v>0</v>
      </c>
      <c r="AM594" s="8">
        <f>SUM($E$596:$AI$596)</f>
        <v>0</v>
      </c>
      <c r="AN594" s="8">
        <f>AL594+AM594</f>
        <v>0</v>
      </c>
      <c r="AO594" s="8">
        <f>COUNTIF($E$594:$AI$594,"CL")</f>
        <v>0</v>
      </c>
      <c r="AP594" s="8">
        <f>COUNTIF($E$594:$AI$594,"SL")</f>
        <v>0</v>
      </c>
      <c r="AQ594" s="8">
        <f>COUNTIF($E$594:$AI$594,"EL")</f>
        <v>0</v>
      </c>
      <c r="AR594" s="8">
        <f>COUNTIF($E$594:$AI$594,"H")</f>
        <v>0</v>
      </c>
      <c r="AS594" s="8"/>
      <c r="AT594" s="11" t="s">
        <v>2090</v>
      </c>
    </row>
    <row r="595" spans="1:46" ht="15.1" customHeight="1">
      <c r="A595" s="8"/>
      <c r="B595" s="9"/>
      <c r="C595" s="8"/>
      <c r="D595" s="9"/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11" t="s">
        <v>2090</v>
      </c>
    </row>
    <row r="596" spans="1:46" ht="15.1" customHeight="1">
      <c r="A596" s="8"/>
      <c r="B596" s="9"/>
      <c r="C596" s="8"/>
      <c r="D596" s="9"/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11" t="s">
        <v>2090</v>
      </c>
    </row>
    <row r="597" spans="1:46" ht="15.1" customHeight="1">
      <c r="A597" s="8">
        <v>198</v>
      </c>
      <c r="B597" s="9" t="s">
        <v>2469</v>
      </c>
      <c r="C597" s="8" t="s">
        <v>2470</v>
      </c>
      <c r="D597" s="9" t="s">
        <v>451</v>
      </c>
      <c r="E597" s="8" t="s">
        <v>54</v>
      </c>
      <c r="F597" s="8" t="s">
        <v>54</v>
      </c>
      <c r="G597" s="10" t="s">
        <v>67</v>
      </c>
      <c r="H597" s="8" t="s">
        <v>54</v>
      </c>
      <c r="I597" s="8" t="s">
        <v>54</v>
      </c>
      <c r="J597" s="8" t="s">
        <v>54</v>
      </c>
      <c r="K597" s="8" t="s">
        <v>54</v>
      </c>
      <c r="L597" s="8" t="s">
        <v>54</v>
      </c>
      <c r="M597" s="8" t="s">
        <v>54</v>
      </c>
      <c r="N597" s="10" t="s">
        <v>67</v>
      </c>
      <c r="O597" s="8" t="s">
        <v>54</v>
      </c>
      <c r="P597" s="8" t="s">
        <v>54</v>
      </c>
      <c r="Q597" s="8" t="s">
        <v>54</v>
      </c>
      <c r="R597" s="8" t="s">
        <v>54</v>
      </c>
      <c r="S597" s="8" t="s">
        <v>54</v>
      </c>
      <c r="T597" s="8" t="s">
        <v>54</v>
      </c>
      <c r="U597" s="10" t="s">
        <v>67</v>
      </c>
      <c r="V597" s="8" t="s">
        <v>54</v>
      </c>
      <c r="W597" s="8" t="s">
        <v>54</v>
      </c>
      <c r="X597" s="8" t="s">
        <v>54</v>
      </c>
      <c r="Y597" s="8" t="s">
        <v>54</v>
      </c>
      <c r="Z597" s="8" t="s">
        <v>54</v>
      </c>
      <c r="AA597" s="8" t="s">
        <v>54</v>
      </c>
      <c r="AB597" s="10" t="s">
        <v>67</v>
      </c>
      <c r="AC597" s="8" t="s">
        <v>54</v>
      </c>
      <c r="AD597" s="8" t="s">
        <v>54</v>
      </c>
      <c r="AE597" s="8" t="s">
        <v>54</v>
      </c>
      <c r="AF597" s="8" t="s">
        <v>54</v>
      </c>
      <c r="AG597" s="8" t="s">
        <v>54</v>
      </c>
      <c r="AH597" s="8" t="s">
        <v>54</v>
      </c>
      <c r="AI597" s="10" t="s">
        <v>67</v>
      </c>
      <c r="AJ597" s="8">
        <f>COUNTIF($E$597:$AI$597,"P")</f>
        <v>26</v>
      </c>
      <c r="AK597" s="8">
        <f>COUNTIF($E$597:$AI$597,"A")</f>
        <v>0</v>
      </c>
      <c r="AL597" s="8">
        <f>SUM($E$598:$AI$598)</f>
        <v>0</v>
      </c>
      <c r="AM597" s="8">
        <f>SUM($E$599:$AI$599)</f>
        <v>0</v>
      </c>
      <c r="AN597" s="8">
        <f>AL597+AM597</f>
        <v>0</v>
      </c>
      <c r="AO597" s="8">
        <f>COUNTIF($E$597:$AI$597,"CL")</f>
        <v>0</v>
      </c>
      <c r="AP597" s="8">
        <f>COUNTIF($E$597:$AI$597,"SL")</f>
        <v>0</v>
      </c>
      <c r="AQ597" s="8">
        <f>COUNTIF($E$597:$AI$597,"EL")</f>
        <v>0</v>
      </c>
      <c r="AR597" s="8">
        <f>COUNTIF($E$597:$AI$597,"H")</f>
        <v>0</v>
      </c>
      <c r="AS597" s="8"/>
      <c r="AT597" s="11" t="s">
        <v>2090</v>
      </c>
    </row>
    <row r="598" spans="1:46" ht="15.1" customHeight="1">
      <c r="A598" s="8"/>
      <c r="B598" s="9"/>
      <c r="C598" s="8"/>
      <c r="D598" s="9"/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11" t="s">
        <v>2090</v>
      </c>
    </row>
    <row r="599" spans="1:46" ht="15.1" customHeight="1">
      <c r="A599" s="8"/>
      <c r="B599" s="9"/>
      <c r="C599" s="8"/>
      <c r="D599" s="9"/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11" t="s">
        <v>2090</v>
      </c>
    </row>
    <row r="600" spans="1:46" ht="15.1" customHeight="1">
      <c r="A600" s="8">
        <v>199</v>
      </c>
      <c r="B600" s="9" t="s">
        <v>2471</v>
      </c>
      <c r="C600" s="8" t="s">
        <v>2472</v>
      </c>
      <c r="D600" s="9" t="s">
        <v>451</v>
      </c>
      <c r="E600" s="8" t="s">
        <v>54</v>
      </c>
      <c r="F600" s="8" t="s">
        <v>54</v>
      </c>
      <c r="G600" s="10" t="s">
        <v>67</v>
      </c>
      <c r="H600" s="8" t="s">
        <v>54</v>
      </c>
      <c r="I600" s="8" t="s">
        <v>54</v>
      </c>
      <c r="J600" s="8" t="s">
        <v>54</v>
      </c>
      <c r="K600" s="8" t="s">
        <v>54</v>
      </c>
      <c r="L600" s="8" t="s">
        <v>54</v>
      </c>
      <c r="M600" s="8" t="s">
        <v>54</v>
      </c>
      <c r="N600" s="10" t="s">
        <v>67</v>
      </c>
      <c r="O600" s="8" t="s">
        <v>54</v>
      </c>
      <c r="P600" s="8" t="s">
        <v>54</v>
      </c>
      <c r="Q600" s="8" t="s">
        <v>54</v>
      </c>
      <c r="R600" s="8" t="s">
        <v>54</v>
      </c>
      <c r="S600" s="8" t="s">
        <v>54</v>
      </c>
      <c r="T600" s="8" t="s">
        <v>54</v>
      </c>
      <c r="U600" s="10" t="s">
        <v>67</v>
      </c>
      <c r="V600" s="8" t="s">
        <v>54</v>
      </c>
      <c r="W600" s="8" t="s">
        <v>54</v>
      </c>
      <c r="X600" s="12" t="s">
        <v>55</v>
      </c>
      <c r="Y600" s="8" t="s">
        <v>54</v>
      </c>
      <c r="Z600" s="8" t="s">
        <v>54</v>
      </c>
      <c r="AA600" s="8" t="s">
        <v>54</v>
      </c>
      <c r="AB600" s="10" t="s">
        <v>67</v>
      </c>
      <c r="AC600" s="12" t="s">
        <v>55</v>
      </c>
      <c r="AD600" s="8" t="s">
        <v>54</v>
      </c>
      <c r="AE600" s="8" t="s">
        <v>54</v>
      </c>
      <c r="AF600" s="8" t="s">
        <v>54</v>
      </c>
      <c r="AG600" s="12" t="s">
        <v>55</v>
      </c>
      <c r="AH600" s="8" t="s">
        <v>54</v>
      </c>
      <c r="AI600" s="10" t="s">
        <v>67</v>
      </c>
      <c r="AJ600" s="8">
        <f>COUNTIF($E$600:$AI$600,"P")</f>
        <v>23</v>
      </c>
      <c r="AK600" s="8">
        <f>COUNTIF($E$600:$AI$600,"A")</f>
        <v>3</v>
      </c>
      <c r="AL600" s="8">
        <f>SUM($E$601:$AI$601)</f>
        <v>0</v>
      </c>
      <c r="AM600" s="8">
        <f>SUM($E$602:$AI$602)</f>
        <v>0</v>
      </c>
      <c r="AN600" s="8">
        <f>AL600+AM600</f>
        <v>0</v>
      </c>
      <c r="AO600" s="8">
        <f>COUNTIF($E$600:$AI$600,"CL")</f>
        <v>0</v>
      </c>
      <c r="AP600" s="8">
        <f>COUNTIF($E$600:$AI$600,"SL")</f>
        <v>0</v>
      </c>
      <c r="AQ600" s="8">
        <f>COUNTIF($E$600:$AI$600,"EL")</f>
        <v>0</v>
      </c>
      <c r="AR600" s="8">
        <f>COUNTIF($E$600:$AI$600,"H")</f>
        <v>0</v>
      </c>
      <c r="AS600" s="8"/>
      <c r="AT600" s="11" t="s">
        <v>2090</v>
      </c>
    </row>
    <row r="601" spans="1:46" ht="15.1" customHeight="1">
      <c r="A601" s="8"/>
      <c r="B601" s="9"/>
      <c r="C601" s="8"/>
      <c r="D601" s="9"/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11" t="s">
        <v>2090</v>
      </c>
    </row>
    <row r="602" spans="1:46" ht="15.1" customHeight="1">
      <c r="A602" s="8"/>
      <c r="B602" s="9"/>
      <c r="C602" s="8"/>
      <c r="D602" s="9"/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11" t="s">
        <v>2090</v>
      </c>
    </row>
    <row r="603" spans="1:46" ht="15.1" customHeight="1">
      <c r="A603" s="8">
        <v>200</v>
      </c>
      <c r="B603" s="9" t="s">
        <v>2238</v>
      </c>
      <c r="C603" s="8" t="s">
        <v>2473</v>
      </c>
      <c r="D603" s="9" t="s">
        <v>451</v>
      </c>
      <c r="E603" s="8" t="s">
        <v>54</v>
      </c>
      <c r="F603" s="8" t="s">
        <v>54</v>
      </c>
      <c r="G603" s="10" t="s">
        <v>67</v>
      </c>
      <c r="H603" s="8" t="s">
        <v>54</v>
      </c>
      <c r="I603" s="8" t="s">
        <v>54</v>
      </c>
      <c r="J603" s="8" t="s">
        <v>54</v>
      </c>
      <c r="K603" s="8" t="s">
        <v>54</v>
      </c>
      <c r="L603" s="8" t="s">
        <v>54</v>
      </c>
      <c r="M603" s="8" t="s">
        <v>54</v>
      </c>
      <c r="N603" s="10" t="s">
        <v>67</v>
      </c>
      <c r="O603" s="8" t="s">
        <v>54</v>
      </c>
      <c r="P603" s="8" t="s">
        <v>54</v>
      </c>
      <c r="Q603" s="8" t="s">
        <v>54</v>
      </c>
      <c r="R603" s="8" t="s">
        <v>54</v>
      </c>
      <c r="S603" s="8" t="s">
        <v>54</v>
      </c>
      <c r="T603" s="8" t="s">
        <v>54</v>
      </c>
      <c r="U603" s="10" t="s">
        <v>67</v>
      </c>
      <c r="V603" s="12" t="s">
        <v>55</v>
      </c>
      <c r="W603" s="12" t="s">
        <v>55</v>
      </c>
      <c r="X603" s="12" t="s">
        <v>55</v>
      </c>
      <c r="Y603" s="12" t="s">
        <v>55</v>
      </c>
      <c r="Z603" s="12" t="s">
        <v>55</v>
      </c>
      <c r="AA603" s="8" t="s">
        <v>54</v>
      </c>
      <c r="AB603" s="10" t="s">
        <v>67</v>
      </c>
      <c r="AC603" s="8" t="s">
        <v>54</v>
      </c>
      <c r="AD603" s="8" t="s">
        <v>54</v>
      </c>
      <c r="AE603" s="8" t="s">
        <v>54</v>
      </c>
      <c r="AF603" s="8" t="s">
        <v>54</v>
      </c>
      <c r="AG603" s="12" t="s">
        <v>55</v>
      </c>
      <c r="AH603" s="8" t="s">
        <v>54</v>
      </c>
      <c r="AI603" s="10" t="s">
        <v>67</v>
      </c>
      <c r="AJ603" s="8">
        <f>COUNTIF($E$603:$AI$603,"P")</f>
        <v>20</v>
      </c>
      <c r="AK603" s="8">
        <f>COUNTIF($E$603:$AI$603,"A")</f>
        <v>6</v>
      </c>
      <c r="AL603" s="8">
        <f>SUM($E$604:$AI$604)</f>
        <v>0</v>
      </c>
      <c r="AM603" s="8">
        <f>SUM($E$605:$AI$605)</f>
        <v>0</v>
      </c>
      <c r="AN603" s="8">
        <f>AL603+AM603</f>
        <v>0</v>
      </c>
      <c r="AO603" s="8">
        <f>COUNTIF($E$603:$AI$603,"CL")</f>
        <v>0</v>
      </c>
      <c r="AP603" s="8">
        <f>COUNTIF($E$603:$AI$603,"SL")</f>
        <v>0</v>
      </c>
      <c r="AQ603" s="8">
        <f>COUNTIF($E$603:$AI$603,"EL")</f>
        <v>0</v>
      </c>
      <c r="AR603" s="8">
        <f>COUNTIF($E$603:$AI$603,"H")</f>
        <v>0</v>
      </c>
      <c r="AS603" s="8"/>
      <c r="AT603" s="11" t="s">
        <v>2090</v>
      </c>
    </row>
    <row r="604" spans="1:46" ht="15.1" customHeight="1">
      <c r="A604" s="8"/>
      <c r="B604" s="9"/>
      <c r="C604" s="8"/>
      <c r="D604" s="9"/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11" t="s">
        <v>2090</v>
      </c>
    </row>
    <row r="605" spans="1:46" ht="15.1" customHeight="1">
      <c r="A605" s="8"/>
      <c r="B605" s="9"/>
      <c r="C605" s="8"/>
      <c r="D605" s="9"/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11" t="s">
        <v>2090</v>
      </c>
    </row>
    <row r="606" spans="1:46" ht="15.1" customHeight="1">
      <c r="A606" s="8">
        <v>201</v>
      </c>
      <c r="B606" s="9" t="s">
        <v>2474</v>
      </c>
      <c r="C606" s="8" t="s">
        <v>2475</v>
      </c>
      <c r="D606" s="9" t="s">
        <v>451</v>
      </c>
      <c r="E606" s="8" t="s">
        <v>54</v>
      </c>
      <c r="F606" s="8" t="s">
        <v>54</v>
      </c>
      <c r="G606" s="10" t="s">
        <v>67</v>
      </c>
      <c r="H606" s="12" t="s">
        <v>55</v>
      </c>
      <c r="I606" s="12" t="s">
        <v>55</v>
      </c>
      <c r="J606" s="12" t="s">
        <v>55</v>
      </c>
      <c r="K606" s="12" t="s">
        <v>55</v>
      </c>
      <c r="L606" s="12" t="s">
        <v>55</v>
      </c>
      <c r="M606" s="12" t="s">
        <v>55</v>
      </c>
      <c r="N606" s="10" t="s">
        <v>67</v>
      </c>
      <c r="O606" s="12" t="s">
        <v>55</v>
      </c>
      <c r="P606" s="8" t="s">
        <v>54</v>
      </c>
      <c r="Q606" s="8" t="s">
        <v>54</v>
      </c>
      <c r="R606" s="12" t="s">
        <v>55</v>
      </c>
      <c r="S606" s="12" t="s">
        <v>55</v>
      </c>
      <c r="T606" s="12" t="s">
        <v>55</v>
      </c>
      <c r="U606" s="10" t="s">
        <v>67</v>
      </c>
      <c r="V606" s="12" t="s">
        <v>55</v>
      </c>
      <c r="W606" s="12" t="s">
        <v>55</v>
      </c>
      <c r="X606" s="12" t="s">
        <v>55</v>
      </c>
      <c r="Y606" s="8" t="s">
        <v>54</v>
      </c>
      <c r="Z606" s="8" t="s">
        <v>54</v>
      </c>
      <c r="AA606" s="8" t="s">
        <v>54</v>
      </c>
      <c r="AB606" s="10" t="s">
        <v>67</v>
      </c>
      <c r="AC606" s="8" t="s">
        <v>54</v>
      </c>
      <c r="AD606" s="12" t="s">
        <v>55</v>
      </c>
      <c r="AE606" s="8" t="s">
        <v>54</v>
      </c>
      <c r="AF606" s="8" t="s">
        <v>54</v>
      </c>
      <c r="AG606" s="8" t="s">
        <v>54</v>
      </c>
      <c r="AH606" s="12" t="s">
        <v>55</v>
      </c>
      <c r="AI606" s="10" t="s">
        <v>67</v>
      </c>
      <c r="AJ606" s="8">
        <f>COUNTIF($E$606:$AI$606,"P")</f>
        <v>11</v>
      </c>
      <c r="AK606" s="8">
        <f>COUNTIF($E$606:$AI$606,"A")</f>
        <v>15</v>
      </c>
      <c r="AL606" s="8">
        <f>SUM($E$607:$AI$607)</f>
        <v>0</v>
      </c>
      <c r="AM606" s="8">
        <f>SUM($E$608:$AI$608)</f>
        <v>0</v>
      </c>
      <c r="AN606" s="8">
        <f>AL606+AM606</f>
        <v>0</v>
      </c>
      <c r="AO606" s="8">
        <f>COUNTIF($E$606:$AI$606,"CL")</f>
        <v>0</v>
      </c>
      <c r="AP606" s="8">
        <f>COUNTIF($E$606:$AI$606,"SL")</f>
        <v>0</v>
      </c>
      <c r="AQ606" s="8">
        <f>COUNTIF($E$606:$AI$606,"EL")</f>
        <v>0</v>
      </c>
      <c r="AR606" s="8">
        <f>COUNTIF($E$606:$AI$606,"H")</f>
        <v>0</v>
      </c>
      <c r="AS606" s="8"/>
      <c r="AT606" s="11" t="s">
        <v>2090</v>
      </c>
    </row>
    <row r="607" spans="1:46" ht="15.1" customHeight="1">
      <c r="A607" s="8"/>
      <c r="B607" s="9"/>
      <c r="C607" s="8"/>
      <c r="D607" s="9"/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11" t="s">
        <v>2090</v>
      </c>
    </row>
    <row r="608" spans="1:46" ht="15.1" customHeight="1">
      <c r="A608" s="8"/>
      <c r="B608" s="9"/>
      <c r="C608" s="8"/>
      <c r="D608" s="9"/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11" t="s">
        <v>2090</v>
      </c>
    </row>
    <row r="609" spans="1:46" ht="15.1" customHeight="1">
      <c r="A609" s="8">
        <v>202</v>
      </c>
      <c r="B609" s="9" t="s">
        <v>2476</v>
      </c>
      <c r="C609" s="8" t="s">
        <v>2477</v>
      </c>
      <c r="D609" s="9" t="s">
        <v>451</v>
      </c>
      <c r="E609" s="8" t="s">
        <v>54</v>
      </c>
      <c r="F609" s="8" t="s">
        <v>54</v>
      </c>
      <c r="G609" s="10" t="s">
        <v>67</v>
      </c>
      <c r="H609" s="8" t="s">
        <v>54</v>
      </c>
      <c r="I609" s="8" t="s">
        <v>54</v>
      </c>
      <c r="J609" s="12" t="s">
        <v>55</v>
      </c>
      <c r="K609" s="8" t="s">
        <v>54</v>
      </c>
      <c r="L609" s="8" t="s">
        <v>54</v>
      </c>
      <c r="M609" s="8" t="s">
        <v>54</v>
      </c>
      <c r="N609" s="10" t="s">
        <v>67</v>
      </c>
      <c r="O609" s="8" t="s">
        <v>54</v>
      </c>
      <c r="P609" s="8" t="s">
        <v>54</v>
      </c>
      <c r="Q609" s="8" t="s">
        <v>54</v>
      </c>
      <c r="R609" s="8" t="s">
        <v>54</v>
      </c>
      <c r="S609" s="8" t="s">
        <v>54</v>
      </c>
      <c r="T609" s="8" t="s">
        <v>54</v>
      </c>
      <c r="U609" s="10" t="s">
        <v>67</v>
      </c>
      <c r="V609" s="12" t="s">
        <v>55</v>
      </c>
      <c r="W609" s="8" t="s">
        <v>54</v>
      </c>
      <c r="X609" s="12" t="s">
        <v>55</v>
      </c>
      <c r="Y609" s="12" t="s">
        <v>55</v>
      </c>
      <c r="Z609" s="8" t="s">
        <v>54</v>
      </c>
      <c r="AA609" s="8" t="s">
        <v>54</v>
      </c>
      <c r="AB609" s="10" t="s">
        <v>67</v>
      </c>
      <c r="AC609" s="8" t="s">
        <v>54</v>
      </c>
      <c r="AD609" s="8" t="s">
        <v>54</v>
      </c>
      <c r="AE609" s="8" t="s">
        <v>54</v>
      </c>
      <c r="AF609" s="8" t="s">
        <v>54</v>
      </c>
      <c r="AG609" s="8" t="s">
        <v>54</v>
      </c>
      <c r="AH609" s="8" t="s">
        <v>54</v>
      </c>
      <c r="AI609" s="10" t="s">
        <v>67</v>
      </c>
      <c r="AJ609" s="8">
        <f>COUNTIF($E$609:$AI$609,"P")</f>
        <v>22</v>
      </c>
      <c r="AK609" s="8">
        <f>COUNTIF($E$609:$AI$609,"A")</f>
        <v>4</v>
      </c>
      <c r="AL609" s="8">
        <f>SUM($E$610:$AI$610)</f>
        <v>0</v>
      </c>
      <c r="AM609" s="8">
        <f>SUM($E$611:$AI$611)</f>
        <v>0</v>
      </c>
      <c r="AN609" s="8">
        <f>AL609+AM609</f>
        <v>0</v>
      </c>
      <c r="AO609" s="8">
        <f>COUNTIF($E$609:$AI$609,"CL")</f>
        <v>0</v>
      </c>
      <c r="AP609" s="8">
        <f>COUNTIF($E$609:$AI$609,"SL")</f>
        <v>0</v>
      </c>
      <c r="AQ609" s="8">
        <f>COUNTIF($E$609:$AI$609,"EL")</f>
        <v>0</v>
      </c>
      <c r="AR609" s="8">
        <f>COUNTIF($E$609:$AI$609,"H")</f>
        <v>0</v>
      </c>
      <c r="AS609" s="8"/>
      <c r="AT609" s="11" t="s">
        <v>2090</v>
      </c>
    </row>
    <row r="610" spans="1:46" ht="15.1" customHeight="1">
      <c r="A610" s="8"/>
      <c r="B610" s="9"/>
      <c r="C610" s="8"/>
      <c r="D610" s="9"/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11" t="s">
        <v>2090</v>
      </c>
    </row>
    <row r="611" spans="1:46" ht="15.1" customHeight="1">
      <c r="A611" s="8"/>
      <c r="B611" s="9"/>
      <c r="C611" s="8"/>
      <c r="D611" s="9"/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11" t="s">
        <v>2090</v>
      </c>
    </row>
    <row r="612" spans="1:46" ht="15.1" customHeight="1">
      <c r="A612" s="8">
        <v>203</v>
      </c>
      <c r="B612" s="9" t="s">
        <v>2478</v>
      </c>
      <c r="C612" s="8" t="s">
        <v>2479</v>
      </c>
      <c r="D612" s="9" t="s">
        <v>451</v>
      </c>
      <c r="E612" s="8" t="s">
        <v>54</v>
      </c>
      <c r="F612" s="8" t="s">
        <v>54</v>
      </c>
      <c r="G612" s="10" t="s">
        <v>67</v>
      </c>
      <c r="H612" s="8" t="s">
        <v>54</v>
      </c>
      <c r="I612" s="8" t="s">
        <v>54</v>
      </c>
      <c r="J612" s="8" t="s">
        <v>54</v>
      </c>
      <c r="K612" s="8" t="s">
        <v>54</v>
      </c>
      <c r="L612" s="8" t="s">
        <v>54</v>
      </c>
      <c r="M612" s="8" t="s">
        <v>54</v>
      </c>
      <c r="N612" s="10" t="s">
        <v>67</v>
      </c>
      <c r="O612" s="8" t="s">
        <v>54</v>
      </c>
      <c r="P612" s="8" t="s">
        <v>54</v>
      </c>
      <c r="Q612" s="8" t="s">
        <v>54</v>
      </c>
      <c r="R612" s="8" t="s">
        <v>54</v>
      </c>
      <c r="S612" s="8" t="s">
        <v>54</v>
      </c>
      <c r="T612" s="8" t="s">
        <v>54</v>
      </c>
      <c r="U612" s="10" t="s">
        <v>67</v>
      </c>
      <c r="V612" s="8" t="s">
        <v>54</v>
      </c>
      <c r="W612" s="8" t="s">
        <v>54</v>
      </c>
      <c r="X612" s="8" t="s">
        <v>54</v>
      </c>
      <c r="Y612" s="8" t="s">
        <v>54</v>
      </c>
      <c r="Z612" s="8" t="s">
        <v>54</v>
      </c>
      <c r="AA612" s="8" t="s">
        <v>54</v>
      </c>
      <c r="AB612" s="10" t="s">
        <v>67</v>
      </c>
      <c r="AC612" s="8" t="s">
        <v>54</v>
      </c>
      <c r="AD612" s="8" t="s">
        <v>54</v>
      </c>
      <c r="AE612" s="8" t="s">
        <v>54</v>
      </c>
      <c r="AF612" s="8" t="s">
        <v>54</v>
      </c>
      <c r="AG612" s="8" t="s">
        <v>54</v>
      </c>
      <c r="AH612" s="8" t="s">
        <v>54</v>
      </c>
      <c r="AI612" s="10" t="s">
        <v>67</v>
      </c>
      <c r="AJ612" s="8">
        <f>COUNTIF($E$612:$AI$612,"P")</f>
        <v>26</v>
      </c>
      <c r="AK612" s="8">
        <f>COUNTIF($E$612:$AI$612,"A")</f>
        <v>0</v>
      </c>
      <c r="AL612" s="8">
        <f>SUM($E$613:$AI$613)</f>
        <v>0</v>
      </c>
      <c r="AM612" s="8">
        <f>SUM($E$614:$AI$614)</f>
        <v>0</v>
      </c>
      <c r="AN612" s="8">
        <f>AL612+AM612</f>
        <v>0</v>
      </c>
      <c r="AO612" s="8">
        <f>COUNTIF($E$612:$AI$612,"CL")</f>
        <v>0</v>
      </c>
      <c r="AP612" s="8">
        <f>COUNTIF($E$612:$AI$612,"SL")</f>
        <v>0</v>
      </c>
      <c r="AQ612" s="8">
        <f>COUNTIF($E$612:$AI$612,"EL")</f>
        <v>0</v>
      </c>
      <c r="AR612" s="8">
        <f>COUNTIF($E$612:$AI$612,"H")</f>
        <v>0</v>
      </c>
      <c r="AS612" s="8"/>
      <c r="AT612" s="11" t="s">
        <v>2090</v>
      </c>
    </row>
    <row r="613" spans="1:46" ht="15.1" customHeight="1">
      <c r="A613" s="8"/>
      <c r="B613" s="9"/>
      <c r="C613" s="8"/>
      <c r="D613" s="9"/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11" t="s">
        <v>2090</v>
      </c>
    </row>
    <row r="614" spans="1:46" ht="15.1" customHeight="1">
      <c r="A614" s="8"/>
      <c r="B614" s="9"/>
      <c r="C614" s="8"/>
      <c r="D614" s="9"/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11" t="s">
        <v>2090</v>
      </c>
    </row>
    <row r="615" spans="1:46" ht="15.1" customHeight="1">
      <c r="A615" s="8">
        <v>204</v>
      </c>
      <c r="B615" s="9" t="s">
        <v>2480</v>
      </c>
      <c r="C615" s="8" t="s">
        <v>2481</v>
      </c>
      <c r="D615" s="9" t="s">
        <v>451</v>
      </c>
      <c r="E615" s="8" t="s">
        <v>54</v>
      </c>
      <c r="F615" s="8" t="s">
        <v>54</v>
      </c>
      <c r="G615" s="10" t="s">
        <v>67</v>
      </c>
      <c r="H615" s="8" t="s">
        <v>54</v>
      </c>
      <c r="I615" s="12" t="s">
        <v>55</v>
      </c>
      <c r="J615" s="8" t="s">
        <v>54</v>
      </c>
      <c r="K615" s="8" t="s">
        <v>54</v>
      </c>
      <c r="L615" s="8" t="s">
        <v>54</v>
      </c>
      <c r="M615" s="12" t="s">
        <v>55</v>
      </c>
      <c r="N615" s="10" t="s">
        <v>67</v>
      </c>
      <c r="O615" s="8" t="s">
        <v>54</v>
      </c>
      <c r="P615" s="8" t="s">
        <v>54</v>
      </c>
      <c r="Q615" s="8" t="s">
        <v>54</v>
      </c>
      <c r="R615" s="8" t="s">
        <v>54</v>
      </c>
      <c r="S615" s="8" t="s">
        <v>54</v>
      </c>
      <c r="T615" s="8" t="s">
        <v>54</v>
      </c>
      <c r="U615" s="10" t="s">
        <v>67</v>
      </c>
      <c r="V615" s="8" t="s">
        <v>54</v>
      </c>
      <c r="W615" s="8" t="s">
        <v>54</v>
      </c>
      <c r="X615" s="12" t="s">
        <v>55</v>
      </c>
      <c r="Y615" s="8" t="s">
        <v>54</v>
      </c>
      <c r="Z615" s="8" t="s">
        <v>54</v>
      </c>
      <c r="AA615" s="8" t="s">
        <v>54</v>
      </c>
      <c r="AB615" s="10" t="s">
        <v>67</v>
      </c>
      <c r="AC615" s="8" t="s">
        <v>54</v>
      </c>
      <c r="AD615" s="8" t="s">
        <v>54</v>
      </c>
      <c r="AE615" s="8" t="s">
        <v>54</v>
      </c>
      <c r="AF615" s="8" t="s">
        <v>54</v>
      </c>
      <c r="AG615" s="8" t="s">
        <v>54</v>
      </c>
      <c r="AH615" s="8" t="s">
        <v>54</v>
      </c>
      <c r="AI615" s="10" t="s">
        <v>67</v>
      </c>
      <c r="AJ615" s="8">
        <f>COUNTIF($E$615:$AI$615,"P")</f>
        <v>23</v>
      </c>
      <c r="AK615" s="8">
        <f>COUNTIF($E$615:$AI$615,"A")</f>
        <v>3</v>
      </c>
      <c r="AL615" s="8">
        <f>SUM($E$616:$AI$616)</f>
        <v>0</v>
      </c>
      <c r="AM615" s="8">
        <f>SUM($E$617:$AI$617)</f>
        <v>0</v>
      </c>
      <c r="AN615" s="8">
        <f>AL615+AM615</f>
        <v>0</v>
      </c>
      <c r="AO615" s="8">
        <f>COUNTIF($E$615:$AI$615,"CL")</f>
        <v>0</v>
      </c>
      <c r="AP615" s="8">
        <f>COUNTIF($E$615:$AI$615,"SL")</f>
        <v>0</v>
      </c>
      <c r="AQ615" s="8">
        <f>COUNTIF($E$615:$AI$615,"EL")</f>
        <v>0</v>
      </c>
      <c r="AR615" s="8">
        <f>COUNTIF($E$615:$AI$615,"H")</f>
        <v>0</v>
      </c>
      <c r="AS615" s="8"/>
      <c r="AT615" s="11" t="s">
        <v>2090</v>
      </c>
    </row>
    <row r="616" spans="1:46" ht="15.1" customHeight="1">
      <c r="A616" s="8"/>
      <c r="B616" s="9"/>
      <c r="C616" s="8"/>
      <c r="D616" s="9"/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11" t="s">
        <v>2090</v>
      </c>
    </row>
    <row r="617" spans="1:46" ht="15.1" customHeight="1">
      <c r="A617" s="8"/>
      <c r="B617" s="9"/>
      <c r="C617" s="8"/>
      <c r="D617" s="9"/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11" t="s">
        <v>2090</v>
      </c>
    </row>
    <row r="618" spans="1:46" ht="15.1" customHeight="1">
      <c r="A618" s="8">
        <v>205</v>
      </c>
      <c r="B618" s="9" t="s">
        <v>2482</v>
      </c>
      <c r="C618" s="8" t="s">
        <v>2483</v>
      </c>
      <c r="D618" s="9" t="s">
        <v>451</v>
      </c>
      <c r="E618" s="8" t="s">
        <v>54</v>
      </c>
      <c r="F618" s="8" t="s">
        <v>54</v>
      </c>
      <c r="G618" s="10" t="s">
        <v>67</v>
      </c>
      <c r="H618" s="12" t="s">
        <v>55</v>
      </c>
      <c r="I618" s="8" t="s">
        <v>54</v>
      </c>
      <c r="J618" s="12" t="s">
        <v>55</v>
      </c>
      <c r="K618" s="12" t="s">
        <v>55</v>
      </c>
      <c r="L618" s="8" t="s">
        <v>54</v>
      </c>
      <c r="M618" s="8" t="s">
        <v>54</v>
      </c>
      <c r="N618" s="10" t="s">
        <v>67</v>
      </c>
      <c r="O618" s="8" t="s">
        <v>54</v>
      </c>
      <c r="P618" s="8" t="s">
        <v>54</v>
      </c>
      <c r="Q618" s="8" t="s">
        <v>54</v>
      </c>
      <c r="R618" s="8" t="s">
        <v>54</v>
      </c>
      <c r="S618" s="8" t="s">
        <v>54</v>
      </c>
      <c r="T618" s="8" t="s">
        <v>54</v>
      </c>
      <c r="U618" s="10" t="s">
        <v>67</v>
      </c>
      <c r="V618" s="12" t="s">
        <v>55</v>
      </c>
      <c r="W618" s="8" t="s">
        <v>54</v>
      </c>
      <c r="X618" s="12" t="s">
        <v>55</v>
      </c>
      <c r="Y618" s="8" t="s">
        <v>54</v>
      </c>
      <c r="Z618" s="8" t="s">
        <v>54</v>
      </c>
      <c r="AA618" s="8" t="s">
        <v>54</v>
      </c>
      <c r="AB618" s="10" t="s">
        <v>67</v>
      </c>
      <c r="AC618" s="8" t="s">
        <v>54</v>
      </c>
      <c r="AD618" s="8" t="s">
        <v>54</v>
      </c>
      <c r="AE618" s="8" t="s">
        <v>54</v>
      </c>
      <c r="AF618" s="12" t="s">
        <v>55</v>
      </c>
      <c r="AG618" s="8" t="s">
        <v>54</v>
      </c>
      <c r="AH618" s="8" t="s">
        <v>54</v>
      </c>
      <c r="AI618" s="10" t="s">
        <v>67</v>
      </c>
      <c r="AJ618" s="8">
        <f>COUNTIF($E$618:$AI$618,"P")</f>
        <v>20</v>
      </c>
      <c r="AK618" s="8">
        <f>COUNTIF($E$618:$AI$618,"A")</f>
        <v>6</v>
      </c>
      <c r="AL618" s="8">
        <f>SUM($E$619:$AI$619)</f>
        <v>0</v>
      </c>
      <c r="AM618" s="8">
        <f>SUM($E$620:$AI$620)</f>
        <v>0</v>
      </c>
      <c r="AN618" s="8">
        <f>AL618+AM618</f>
        <v>0</v>
      </c>
      <c r="AO618" s="8">
        <f>COUNTIF($E$618:$AI$618,"CL")</f>
        <v>0</v>
      </c>
      <c r="AP618" s="8">
        <f>COUNTIF($E$618:$AI$618,"SL")</f>
        <v>0</v>
      </c>
      <c r="AQ618" s="8">
        <f>COUNTIF($E$618:$AI$618,"EL")</f>
        <v>0</v>
      </c>
      <c r="AR618" s="8">
        <f>COUNTIF($E$618:$AI$618,"H")</f>
        <v>0</v>
      </c>
      <c r="AS618" s="8"/>
      <c r="AT618" s="11" t="s">
        <v>2090</v>
      </c>
    </row>
    <row r="619" spans="1:46" ht="15.1" customHeight="1">
      <c r="A619" s="8"/>
      <c r="B619" s="9"/>
      <c r="C619" s="8"/>
      <c r="D619" s="9"/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11" t="s">
        <v>2090</v>
      </c>
    </row>
    <row r="620" spans="1:46" ht="15.1" customHeight="1">
      <c r="A620" s="8"/>
      <c r="B620" s="9"/>
      <c r="C620" s="8"/>
      <c r="D620" s="9"/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11" t="s">
        <v>2090</v>
      </c>
    </row>
    <row r="621" spans="1:46" ht="15.1" customHeight="1">
      <c r="A621" s="8">
        <v>206</v>
      </c>
      <c r="B621" s="9" t="s">
        <v>2484</v>
      </c>
      <c r="C621" s="8" t="s">
        <v>2485</v>
      </c>
      <c r="D621" s="9" t="s">
        <v>451</v>
      </c>
      <c r="E621" s="8" t="s">
        <v>54</v>
      </c>
      <c r="F621" s="8" t="s">
        <v>54</v>
      </c>
      <c r="G621" s="10" t="s">
        <v>67</v>
      </c>
      <c r="H621" s="8" t="s">
        <v>54</v>
      </c>
      <c r="I621" s="8" t="s">
        <v>54</v>
      </c>
      <c r="J621" s="8" t="s">
        <v>54</v>
      </c>
      <c r="K621" s="8" t="s">
        <v>54</v>
      </c>
      <c r="L621" s="8" t="s">
        <v>54</v>
      </c>
      <c r="M621" s="8" t="s">
        <v>54</v>
      </c>
      <c r="N621" s="10" t="s">
        <v>67</v>
      </c>
      <c r="O621" s="8" t="s">
        <v>54</v>
      </c>
      <c r="P621" s="8" t="s">
        <v>54</v>
      </c>
      <c r="Q621" s="8" t="s">
        <v>54</v>
      </c>
      <c r="R621" s="8" t="s">
        <v>54</v>
      </c>
      <c r="S621" s="8" t="s">
        <v>54</v>
      </c>
      <c r="T621" s="8" t="s">
        <v>54</v>
      </c>
      <c r="U621" s="10" t="s">
        <v>67</v>
      </c>
      <c r="V621" s="8" t="s">
        <v>54</v>
      </c>
      <c r="W621" s="8" t="s">
        <v>54</v>
      </c>
      <c r="X621" s="8" t="s">
        <v>54</v>
      </c>
      <c r="Y621" s="8" t="s">
        <v>54</v>
      </c>
      <c r="Z621" s="8" t="s">
        <v>54</v>
      </c>
      <c r="AA621" s="8" t="s">
        <v>54</v>
      </c>
      <c r="AB621" s="10" t="s">
        <v>67</v>
      </c>
      <c r="AC621" s="8" t="s">
        <v>54</v>
      </c>
      <c r="AD621" s="8" t="s">
        <v>54</v>
      </c>
      <c r="AE621" s="8" t="s">
        <v>54</v>
      </c>
      <c r="AF621" s="8" t="s">
        <v>54</v>
      </c>
      <c r="AG621" s="8" t="s">
        <v>54</v>
      </c>
      <c r="AH621" s="8" t="s">
        <v>54</v>
      </c>
      <c r="AI621" s="10" t="s">
        <v>67</v>
      </c>
      <c r="AJ621" s="8">
        <f>COUNTIF($E$621:$AI$621,"P")</f>
        <v>26</v>
      </c>
      <c r="AK621" s="8">
        <f>COUNTIF($E$621:$AI$621,"A")</f>
        <v>0</v>
      </c>
      <c r="AL621" s="8">
        <f>SUM($E$622:$AI$622)</f>
        <v>0</v>
      </c>
      <c r="AM621" s="8">
        <f>SUM($E$623:$AI$623)</f>
        <v>0</v>
      </c>
      <c r="AN621" s="8">
        <f>AL621+AM621</f>
        <v>0</v>
      </c>
      <c r="AO621" s="8">
        <f>COUNTIF($E$621:$AI$621,"CL")</f>
        <v>0</v>
      </c>
      <c r="AP621" s="8">
        <f>COUNTIF($E$621:$AI$621,"SL")</f>
        <v>0</v>
      </c>
      <c r="AQ621" s="8">
        <f>COUNTIF($E$621:$AI$621,"EL")</f>
        <v>0</v>
      </c>
      <c r="AR621" s="8">
        <f>COUNTIF($E$621:$AI$621,"H")</f>
        <v>0</v>
      </c>
      <c r="AS621" s="8"/>
      <c r="AT621" s="11" t="s">
        <v>2090</v>
      </c>
    </row>
    <row r="622" spans="1:46" ht="15.1" customHeight="1">
      <c r="A622" s="8"/>
      <c r="B622" s="9"/>
      <c r="C622" s="8"/>
      <c r="D622" s="9"/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11" t="s">
        <v>2090</v>
      </c>
    </row>
    <row r="623" spans="1:46" ht="15.1" customHeight="1">
      <c r="A623" s="8"/>
      <c r="B623" s="9"/>
      <c r="C623" s="8"/>
      <c r="D623" s="9"/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11" t="s">
        <v>2090</v>
      </c>
    </row>
    <row r="624" spans="1:46" ht="15.1" customHeight="1">
      <c r="A624" s="8">
        <v>207</v>
      </c>
      <c r="B624" s="9" t="s">
        <v>2486</v>
      </c>
      <c r="C624" s="8" t="s">
        <v>2487</v>
      </c>
      <c r="D624" s="9" t="s">
        <v>451</v>
      </c>
      <c r="E624" s="8" t="s">
        <v>54</v>
      </c>
      <c r="F624" s="8" t="s">
        <v>54</v>
      </c>
      <c r="G624" s="10" t="s">
        <v>67</v>
      </c>
      <c r="H624" s="8" t="s">
        <v>54</v>
      </c>
      <c r="I624" s="8" t="s">
        <v>54</v>
      </c>
      <c r="J624" s="8" t="s">
        <v>54</v>
      </c>
      <c r="K624" s="8" t="s">
        <v>54</v>
      </c>
      <c r="L624" s="8" t="s">
        <v>54</v>
      </c>
      <c r="M624" s="8" t="s">
        <v>54</v>
      </c>
      <c r="N624" s="10" t="s">
        <v>67</v>
      </c>
      <c r="O624" s="8" t="s">
        <v>54</v>
      </c>
      <c r="P624" s="8" t="s">
        <v>54</v>
      </c>
      <c r="Q624" s="8" t="s">
        <v>54</v>
      </c>
      <c r="R624" s="8" t="s">
        <v>54</v>
      </c>
      <c r="S624" s="8" t="s">
        <v>54</v>
      </c>
      <c r="T624" s="8" t="s">
        <v>54</v>
      </c>
      <c r="U624" s="10" t="s">
        <v>67</v>
      </c>
      <c r="V624" s="8" t="s">
        <v>54</v>
      </c>
      <c r="W624" s="8" t="s">
        <v>54</v>
      </c>
      <c r="X624" s="8" t="s">
        <v>54</v>
      </c>
      <c r="Y624" s="8" t="s">
        <v>54</v>
      </c>
      <c r="Z624" s="8" t="s">
        <v>54</v>
      </c>
      <c r="AA624" s="8" t="s">
        <v>54</v>
      </c>
      <c r="AB624" s="10" t="s">
        <v>67</v>
      </c>
      <c r="AC624" s="8" t="s">
        <v>54</v>
      </c>
      <c r="AD624" s="8" t="s">
        <v>54</v>
      </c>
      <c r="AE624" s="8" t="s">
        <v>54</v>
      </c>
      <c r="AF624" s="8" t="s">
        <v>54</v>
      </c>
      <c r="AG624" s="8" t="s">
        <v>54</v>
      </c>
      <c r="AH624" s="8" t="s">
        <v>54</v>
      </c>
      <c r="AI624" s="10" t="s">
        <v>67</v>
      </c>
      <c r="AJ624" s="8">
        <f>COUNTIF($E$624:$AI$624,"P")</f>
        <v>26</v>
      </c>
      <c r="AK624" s="8">
        <f>COUNTIF($E$624:$AI$624,"A")</f>
        <v>0</v>
      </c>
      <c r="AL624" s="8">
        <f>SUM($E$625:$AI$625)</f>
        <v>0</v>
      </c>
      <c r="AM624" s="8">
        <f>SUM($E$626:$AI$626)</f>
        <v>0</v>
      </c>
      <c r="AN624" s="8">
        <f>AL624+AM624</f>
        <v>0</v>
      </c>
      <c r="AO624" s="8">
        <f>COUNTIF($E$624:$AI$624,"CL")</f>
        <v>0</v>
      </c>
      <c r="AP624" s="8">
        <f>COUNTIF($E$624:$AI$624,"SL")</f>
        <v>0</v>
      </c>
      <c r="AQ624" s="8">
        <f>COUNTIF($E$624:$AI$624,"EL")</f>
        <v>0</v>
      </c>
      <c r="AR624" s="8">
        <f>COUNTIF($E$624:$AI$624,"H")</f>
        <v>0</v>
      </c>
      <c r="AS624" s="8"/>
      <c r="AT624" s="11" t="s">
        <v>2090</v>
      </c>
    </row>
    <row r="625" spans="1:46" ht="15.1" customHeight="1">
      <c r="A625" s="8"/>
      <c r="B625" s="9"/>
      <c r="C625" s="8"/>
      <c r="D625" s="9"/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11" t="s">
        <v>2090</v>
      </c>
    </row>
    <row r="626" spans="1:46" ht="15.1" customHeight="1">
      <c r="A626" s="8"/>
      <c r="B626" s="9"/>
      <c r="C626" s="8"/>
      <c r="D626" s="9"/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11" t="s">
        <v>2090</v>
      </c>
    </row>
    <row r="627" spans="1:46" ht="15.1" customHeight="1">
      <c r="A627" s="8">
        <v>208</v>
      </c>
      <c r="B627" s="9" t="s">
        <v>2488</v>
      </c>
      <c r="C627" s="8" t="s">
        <v>2489</v>
      </c>
      <c r="D627" s="9" t="s">
        <v>451</v>
      </c>
      <c r="E627" s="8" t="s">
        <v>54</v>
      </c>
      <c r="F627" s="8" t="s">
        <v>54</v>
      </c>
      <c r="G627" s="10" t="s">
        <v>67</v>
      </c>
      <c r="H627" s="8" t="s">
        <v>54</v>
      </c>
      <c r="I627" s="8" t="s">
        <v>54</v>
      </c>
      <c r="J627" s="8" t="s">
        <v>54</v>
      </c>
      <c r="K627" s="8" t="s">
        <v>54</v>
      </c>
      <c r="L627" s="8" t="s">
        <v>54</v>
      </c>
      <c r="M627" s="8" t="s">
        <v>54</v>
      </c>
      <c r="N627" s="10" t="s">
        <v>67</v>
      </c>
      <c r="O627" s="8" t="s">
        <v>54</v>
      </c>
      <c r="P627" s="8" t="s">
        <v>54</v>
      </c>
      <c r="Q627" s="8" t="s">
        <v>54</v>
      </c>
      <c r="R627" s="8" t="s">
        <v>54</v>
      </c>
      <c r="S627" s="8" t="s">
        <v>54</v>
      </c>
      <c r="T627" s="8" t="s">
        <v>54</v>
      </c>
      <c r="U627" s="10" t="s">
        <v>67</v>
      </c>
      <c r="V627" s="8" t="s">
        <v>54</v>
      </c>
      <c r="W627" s="8" t="s">
        <v>54</v>
      </c>
      <c r="X627" s="12" t="s">
        <v>55</v>
      </c>
      <c r="Y627" s="8" t="s">
        <v>54</v>
      </c>
      <c r="Z627" s="8" t="s">
        <v>54</v>
      </c>
      <c r="AA627" s="8" t="s">
        <v>54</v>
      </c>
      <c r="AB627" s="10" t="s">
        <v>67</v>
      </c>
      <c r="AC627" s="12" t="s">
        <v>55</v>
      </c>
      <c r="AD627" s="12" t="s">
        <v>55</v>
      </c>
      <c r="AE627" s="8" t="s">
        <v>54</v>
      </c>
      <c r="AF627" s="8" t="s">
        <v>54</v>
      </c>
      <c r="AG627" s="8" t="s">
        <v>54</v>
      </c>
      <c r="AH627" s="8" t="s">
        <v>54</v>
      </c>
      <c r="AI627" s="10" t="s">
        <v>67</v>
      </c>
      <c r="AJ627" s="8">
        <f>COUNTIF($E$627:$AI$627,"P")</f>
        <v>23</v>
      </c>
      <c r="AK627" s="8">
        <f>COUNTIF($E$627:$AI$627,"A")</f>
        <v>3</v>
      </c>
      <c r="AL627" s="8">
        <f>SUM($E$628:$AI$628)</f>
        <v>0</v>
      </c>
      <c r="AM627" s="8">
        <f>SUM($E$629:$AI$629)</f>
        <v>0</v>
      </c>
      <c r="AN627" s="8">
        <f>AL627+AM627</f>
        <v>0</v>
      </c>
      <c r="AO627" s="8">
        <f>COUNTIF($E$627:$AI$627,"CL")</f>
        <v>0</v>
      </c>
      <c r="AP627" s="8">
        <f>COUNTIF($E$627:$AI$627,"SL")</f>
        <v>0</v>
      </c>
      <c r="AQ627" s="8">
        <f>COUNTIF($E$627:$AI$627,"EL")</f>
        <v>0</v>
      </c>
      <c r="AR627" s="8">
        <f>COUNTIF($E$627:$AI$627,"H")</f>
        <v>0</v>
      </c>
      <c r="AS627" s="8"/>
      <c r="AT627" s="11" t="s">
        <v>2090</v>
      </c>
    </row>
    <row r="628" spans="1:46" ht="15.1" customHeight="1">
      <c r="A628" s="8"/>
      <c r="B628" s="9"/>
      <c r="C628" s="8"/>
      <c r="D628" s="9"/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11" t="s">
        <v>2090</v>
      </c>
    </row>
    <row r="629" spans="1:46" ht="15.1" customHeight="1">
      <c r="A629" s="8"/>
      <c r="B629" s="9"/>
      <c r="C629" s="8"/>
      <c r="D629" s="9"/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11" t="s">
        <v>2090</v>
      </c>
    </row>
    <row r="630" spans="1:46" ht="15.1" customHeight="1">
      <c r="A630" s="8">
        <v>209</v>
      </c>
      <c r="B630" s="9" t="s">
        <v>2490</v>
      </c>
      <c r="C630" s="8" t="s">
        <v>2491</v>
      </c>
      <c r="D630" s="9" t="s">
        <v>451</v>
      </c>
      <c r="E630" s="8" t="s">
        <v>54</v>
      </c>
      <c r="F630" s="8" t="s">
        <v>54</v>
      </c>
      <c r="G630" s="10" t="s">
        <v>67</v>
      </c>
      <c r="H630" s="8" t="s">
        <v>54</v>
      </c>
      <c r="I630" s="8" t="s">
        <v>54</v>
      </c>
      <c r="J630" s="8" t="s">
        <v>54</v>
      </c>
      <c r="K630" s="8" t="s">
        <v>54</v>
      </c>
      <c r="L630" s="8" t="s">
        <v>54</v>
      </c>
      <c r="M630" s="8" t="s">
        <v>54</v>
      </c>
      <c r="N630" s="10" t="s">
        <v>67</v>
      </c>
      <c r="O630" s="8" t="s">
        <v>54</v>
      </c>
      <c r="P630" s="8" t="s">
        <v>54</v>
      </c>
      <c r="Q630" s="8" t="s">
        <v>54</v>
      </c>
      <c r="R630" s="8" t="s">
        <v>54</v>
      </c>
      <c r="S630" s="8" t="s">
        <v>54</v>
      </c>
      <c r="T630" s="8" t="s">
        <v>54</v>
      </c>
      <c r="U630" s="10" t="s">
        <v>67</v>
      </c>
      <c r="V630" s="8" t="s">
        <v>54</v>
      </c>
      <c r="W630" s="8" t="s">
        <v>54</v>
      </c>
      <c r="X630" s="12" t="s">
        <v>55</v>
      </c>
      <c r="Y630" s="12" t="s">
        <v>55</v>
      </c>
      <c r="Z630" s="8" t="s">
        <v>54</v>
      </c>
      <c r="AA630" s="8" t="s">
        <v>54</v>
      </c>
      <c r="AB630" s="10" t="s">
        <v>67</v>
      </c>
      <c r="AC630" s="12" t="s">
        <v>55</v>
      </c>
      <c r="AD630" s="12" t="s">
        <v>55</v>
      </c>
      <c r="AE630" s="8" t="s">
        <v>54</v>
      </c>
      <c r="AF630" s="8" t="s">
        <v>54</v>
      </c>
      <c r="AG630" s="12" t="s">
        <v>55</v>
      </c>
      <c r="AH630" s="12" t="s">
        <v>55</v>
      </c>
      <c r="AI630" s="10" t="s">
        <v>67</v>
      </c>
      <c r="AJ630" s="8">
        <f>COUNTIF($E$630:$AI$630,"P")</f>
        <v>20</v>
      </c>
      <c r="AK630" s="8">
        <f>COUNTIF($E$630:$AI$630,"A")</f>
        <v>6</v>
      </c>
      <c r="AL630" s="8">
        <f>SUM($E$631:$AI$631)</f>
        <v>0</v>
      </c>
      <c r="AM630" s="8">
        <f>SUM($E$632:$AI$632)</f>
        <v>0</v>
      </c>
      <c r="AN630" s="8">
        <f>AL630+AM630</f>
        <v>0</v>
      </c>
      <c r="AO630" s="8">
        <f>COUNTIF($E$630:$AI$630,"CL")</f>
        <v>0</v>
      </c>
      <c r="AP630" s="8">
        <f>COUNTIF($E$630:$AI$630,"SL")</f>
        <v>0</v>
      </c>
      <c r="AQ630" s="8">
        <f>COUNTIF($E$630:$AI$630,"EL")</f>
        <v>0</v>
      </c>
      <c r="AR630" s="8">
        <f>COUNTIF($E$630:$AI$630,"H")</f>
        <v>0</v>
      </c>
      <c r="AS630" s="8"/>
      <c r="AT630" s="11" t="s">
        <v>2090</v>
      </c>
    </row>
    <row r="631" spans="1:46" ht="15.1" customHeight="1">
      <c r="A631" s="8"/>
      <c r="B631" s="9"/>
      <c r="C631" s="8"/>
      <c r="D631" s="9"/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11" t="s">
        <v>2090</v>
      </c>
    </row>
    <row r="632" spans="1:46" ht="15.1" customHeight="1">
      <c r="A632" s="8"/>
      <c r="B632" s="9"/>
      <c r="C632" s="8"/>
      <c r="D632" s="9"/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11" t="s">
        <v>2090</v>
      </c>
    </row>
    <row r="633" spans="1:46" ht="15.1" customHeight="1">
      <c r="A633" s="8">
        <v>210</v>
      </c>
      <c r="B633" s="9" t="s">
        <v>2492</v>
      </c>
      <c r="C633" s="8" t="s">
        <v>2493</v>
      </c>
      <c r="D633" s="9" t="s">
        <v>451</v>
      </c>
      <c r="E633" s="8" t="s">
        <v>54</v>
      </c>
      <c r="F633" s="8" t="s">
        <v>54</v>
      </c>
      <c r="G633" s="10" t="s">
        <v>67</v>
      </c>
      <c r="H633" s="8" t="s">
        <v>54</v>
      </c>
      <c r="I633" s="8" t="s">
        <v>54</v>
      </c>
      <c r="J633" s="8" t="s">
        <v>54</v>
      </c>
      <c r="K633" s="8" t="s">
        <v>54</v>
      </c>
      <c r="L633" s="8" t="s">
        <v>54</v>
      </c>
      <c r="M633" s="8" t="s">
        <v>54</v>
      </c>
      <c r="N633" s="10" t="s">
        <v>67</v>
      </c>
      <c r="O633" s="8" t="s">
        <v>54</v>
      </c>
      <c r="P633" s="8" t="s">
        <v>54</v>
      </c>
      <c r="Q633" s="8" t="s">
        <v>54</v>
      </c>
      <c r="R633" s="12" t="s">
        <v>55</v>
      </c>
      <c r="S633" s="8" t="s">
        <v>54</v>
      </c>
      <c r="T633" s="8" t="s">
        <v>54</v>
      </c>
      <c r="U633" s="10" t="s">
        <v>67</v>
      </c>
      <c r="V633" s="8" t="s">
        <v>54</v>
      </c>
      <c r="W633" s="8" t="s">
        <v>54</v>
      </c>
      <c r="X633" s="12" t="s">
        <v>55</v>
      </c>
      <c r="Y633" s="8" t="s">
        <v>54</v>
      </c>
      <c r="Z633" s="8" t="s">
        <v>54</v>
      </c>
      <c r="AA633" s="8" t="s">
        <v>54</v>
      </c>
      <c r="AB633" s="10" t="s">
        <v>67</v>
      </c>
      <c r="AC633" s="12" t="s">
        <v>55</v>
      </c>
      <c r="AD633" s="12" t="s">
        <v>55</v>
      </c>
      <c r="AE633" s="8" t="s">
        <v>54</v>
      </c>
      <c r="AF633" s="8" t="s">
        <v>54</v>
      </c>
      <c r="AG633" s="8" t="s">
        <v>54</v>
      </c>
      <c r="AH633" s="8" t="s">
        <v>54</v>
      </c>
      <c r="AI633" s="10" t="s">
        <v>67</v>
      </c>
      <c r="AJ633" s="8">
        <f>COUNTIF($E$633:$AI$633,"P")</f>
        <v>22</v>
      </c>
      <c r="AK633" s="8">
        <f>COUNTIF($E$633:$AI$633,"A")</f>
        <v>4</v>
      </c>
      <c r="AL633" s="8">
        <f>SUM($E$634:$AI$634)</f>
        <v>0</v>
      </c>
      <c r="AM633" s="8">
        <f>SUM($E$635:$AI$635)</f>
        <v>0</v>
      </c>
      <c r="AN633" s="8">
        <f>AL633+AM633</f>
        <v>0</v>
      </c>
      <c r="AO633" s="8">
        <f>COUNTIF($E$633:$AI$633,"CL")</f>
        <v>0</v>
      </c>
      <c r="AP633" s="8">
        <f>COUNTIF($E$633:$AI$633,"SL")</f>
        <v>0</v>
      </c>
      <c r="AQ633" s="8">
        <f>COUNTIF($E$633:$AI$633,"EL")</f>
        <v>0</v>
      </c>
      <c r="AR633" s="8">
        <f>COUNTIF($E$633:$AI$633,"H")</f>
        <v>0</v>
      </c>
      <c r="AS633" s="8"/>
      <c r="AT633" s="11" t="s">
        <v>2090</v>
      </c>
    </row>
    <row r="634" spans="1:46" ht="15.1" customHeight="1">
      <c r="A634" s="8"/>
      <c r="B634" s="9"/>
      <c r="C634" s="8"/>
      <c r="D634" s="9"/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11" t="s">
        <v>2090</v>
      </c>
    </row>
    <row r="635" spans="1:46" ht="15.1" customHeight="1">
      <c r="A635" s="8"/>
      <c r="B635" s="9"/>
      <c r="C635" s="8"/>
      <c r="D635" s="9"/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11" t="s">
        <v>2090</v>
      </c>
    </row>
    <row r="636" spans="1:46" ht="15.1" customHeight="1">
      <c r="A636" s="8">
        <v>211</v>
      </c>
      <c r="B636" s="9" t="s">
        <v>2494</v>
      </c>
      <c r="C636" s="8" t="s">
        <v>2495</v>
      </c>
      <c r="D636" s="9" t="s">
        <v>451</v>
      </c>
      <c r="E636" s="8" t="s">
        <v>54</v>
      </c>
      <c r="F636" s="8" t="s">
        <v>54</v>
      </c>
      <c r="G636" s="10" t="s">
        <v>67</v>
      </c>
      <c r="H636" s="8" t="s">
        <v>54</v>
      </c>
      <c r="I636" s="8" t="s">
        <v>54</v>
      </c>
      <c r="J636" s="8" t="s">
        <v>54</v>
      </c>
      <c r="K636" s="8" t="s">
        <v>54</v>
      </c>
      <c r="L636" s="8" t="s">
        <v>54</v>
      </c>
      <c r="M636" s="12" t="s">
        <v>55</v>
      </c>
      <c r="N636" s="10" t="s">
        <v>67</v>
      </c>
      <c r="O636" s="8" t="s">
        <v>54</v>
      </c>
      <c r="P636" s="8" t="s">
        <v>54</v>
      </c>
      <c r="Q636" s="8" t="s">
        <v>54</v>
      </c>
      <c r="R636" s="8" t="s">
        <v>54</v>
      </c>
      <c r="S636" s="8" t="s">
        <v>54</v>
      </c>
      <c r="T636" s="8" t="s">
        <v>54</v>
      </c>
      <c r="U636" s="10" t="s">
        <v>67</v>
      </c>
      <c r="V636" s="12" t="s">
        <v>55</v>
      </c>
      <c r="W636" s="12" t="s">
        <v>55</v>
      </c>
      <c r="X636" s="12" t="s">
        <v>55</v>
      </c>
      <c r="Y636" s="8" t="s">
        <v>54</v>
      </c>
      <c r="Z636" s="8" t="s">
        <v>54</v>
      </c>
      <c r="AA636" s="8" t="s">
        <v>54</v>
      </c>
      <c r="AB636" s="10" t="s">
        <v>67</v>
      </c>
      <c r="AC636" s="8" t="s">
        <v>54</v>
      </c>
      <c r="AD636" s="8" t="s">
        <v>54</v>
      </c>
      <c r="AE636" s="8" t="s">
        <v>54</v>
      </c>
      <c r="AF636" s="8" t="s">
        <v>54</v>
      </c>
      <c r="AG636" s="8" t="s">
        <v>54</v>
      </c>
      <c r="AH636" s="8" t="s">
        <v>54</v>
      </c>
      <c r="AI636" s="10" t="s">
        <v>67</v>
      </c>
      <c r="AJ636" s="8">
        <f>COUNTIF($E$636:$AI$636,"P")</f>
        <v>22</v>
      </c>
      <c r="AK636" s="8">
        <f>COUNTIF($E$636:$AI$636,"A")</f>
        <v>4</v>
      </c>
      <c r="AL636" s="8">
        <f>SUM($E$637:$AI$637)</f>
        <v>0</v>
      </c>
      <c r="AM636" s="8">
        <f>SUM($E$638:$AI$638)</f>
        <v>0</v>
      </c>
      <c r="AN636" s="8">
        <f>AL636+AM636</f>
        <v>0</v>
      </c>
      <c r="AO636" s="8">
        <f>COUNTIF($E$636:$AI$636,"CL")</f>
        <v>0</v>
      </c>
      <c r="AP636" s="8">
        <f>COUNTIF($E$636:$AI$636,"SL")</f>
        <v>0</v>
      </c>
      <c r="AQ636" s="8">
        <f>COUNTIF($E$636:$AI$636,"EL")</f>
        <v>0</v>
      </c>
      <c r="AR636" s="8">
        <f>COUNTIF($E$636:$AI$636,"H")</f>
        <v>0</v>
      </c>
      <c r="AS636" s="8"/>
      <c r="AT636" s="11" t="s">
        <v>2090</v>
      </c>
    </row>
    <row r="637" spans="1:46" ht="15.1" customHeight="1">
      <c r="A637" s="8"/>
      <c r="B637" s="9"/>
      <c r="C637" s="8"/>
      <c r="D637" s="9"/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11" t="s">
        <v>2090</v>
      </c>
    </row>
    <row r="638" spans="1:46" ht="15.1" customHeight="1">
      <c r="A638" s="8"/>
      <c r="B638" s="9"/>
      <c r="C638" s="8"/>
      <c r="D638" s="9"/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11" t="s">
        <v>2090</v>
      </c>
    </row>
    <row r="639" spans="1:46" ht="15.1" customHeight="1">
      <c r="A639" s="8">
        <v>212</v>
      </c>
      <c r="B639" s="9" t="s">
        <v>2496</v>
      </c>
      <c r="C639" s="8" t="s">
        <v>2497</v>
      </c>
      <c r="D639" s="9" t="s">
        <v>451</v>
      </c>
      <c r="E639" s="12" t="s">
        <v>55</v>
      </c>
      <c r="F639" s="8" t="s">
        <v>54</v>
      </c>
      <c r="G639" s="10" t="s">
        <v>67</v>
      </c>
      <c r="H639" s="8" t="s">
        <v>54</v>
      </c>
      <c r="I639" s="8" t="s">
        <v>54</v>
      </c>
      <c r="J639" s="12" t="s">
        <v>55</v>
      </c>
      <c r="K639" s="8" t="s">
        <v>54</v>
      </c>
      <c r="L639" s="8" t="s">
        <v>54</v>
      </c>
      <c r="M639" s="8" t="s">
        <v>54</v>
      </c>
      <c r="N639" s="10" t="s">
        <v>67</v>
      </c>
      <c r="O639" s="8" t="s">
        <v>54</v>
      </c>
      <c r="P639" s="8" t="s">
        <v>54</v>
      </c>
      <c r="Q639" s="8" t="s">
        <v>54</v>
      </c>
      <c r="R639" s="8" t="s">
        <v>54</v>
      </c>
      <c r="S639" s="8" t="s">
        <v>54</v>
      </c>
      <c r="T639" s="8" t="s">
        <v>54</v>
      </c>
      <c r="U639" s="10" t="s">
        <v>67</v>
      </c>
      <c r="V639" s="8" t="s">
        <v>54</v>
      </c>
      <c r="W639" s="8" t="s">
        <v>54</v>
      </c>
      <c r="X639" s="12" t="s">
        <v>55</v>
      </c>
      <c r="Y639" s="8" t="s">
        <v>54</v>
      </c>
      <c r="Z639" s="12" t="s">
        <v>55</v>
      </c>
      <c r="AA639" s="12" t="s">
        <v>55</v>
      </c>
      <c r="AB639" s="10" t="s">
        <v>67</v>
      </c>
      <c r="AC639" s="8" t="s">
        <v>54</v>
      </c>
      <c r="AD639" s="8" t="s">
        <v>54</v>
      </c>
      <c r="AE639" s="8" t="s">
        <v>54</v>
      </c>
      <c r="AF639" s="8" t="s">
        <v>54</v>
      </c>
      <c r="AG639" s="8" t="s">
        <v>54</v>
      </c>
      <c r="AH639" s="8" t="s">
        <v>54</v>
      </c>
      <c r="AI639" s="10" t="s">
        <v>67</v>
      </c>
      <c r="AJ639" s="8">
        <f>COUNTIF($E$639:$AI$639,"P")</f>
        <v>21</v>
      </c>
      <c r="AK639" s="8">
        <f>COUNTIF($E$639:$AI$639,"A")</f>
        <v>5</v>
      </c>
      <c r="AL639" s="8">
        <f>SUM($E$640:$AI$640)</f>
        <v>0</v>
      </c>
      <c r="AM639" s="8">
        <f>SUM($E$641:$AI$641)</f>
        <v>0</v>
      </c>
      <c r="AN639" s="8">
        <f>AL639+AM639</f>
        <v>0</v>
      </c>
      <c r="AO639" s="8">
        <f>COUNTIF($E$639:$AI$639,"CL")</f>
        <v>0</v>
      </c>
      <c r="AP639" s="8">
        <f>COUNTIF($E$639:$AI$639,"SL")</f>
        <v>0</v>
      </c>
      <c r="AQ639" s="8">
        <f>COUNTIF($E$639:$AI$639,"EL")</f>
        <v>0</v>
      </c>
      <c r="AR639" s="8">
        <f>COUNTIF($E$639:$AI$639,"H")</f>
        <v>0</v>
      </c>
      <c r="AS639" s="8"/>
      <c r="AT639" s="11" t="s">
        <v>2090</v>
      </c>
    </row>
    <row r="640" spans="1:46" ht="15.1" customHeight="1">
      <c r="A640" s="8"/>
      <c r="B640" s="9"/>
      <c r="C640" s="8"/>
      <c r="D640" s="9"/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11" t="s">
        <v>2090</v>
      </c>
    </row>
    <row r="641" spans="1:46" ht="15.1" customHeight="1">
      <c r="A641" s="8"/>
      <c r="B641" s="9"/>
      <c r="C641" s="8"/>
      <c r="D641" s="9"/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11" t="s">
        <v>2090</v>
      </c>
    </row>
    <row r="642" spans="1:46" ht="15.1" customHeight="1">
      <c r="A642" s="8">
        <v>213</v>
      </c>
      <c r="B642" s="9" t="s">
        <v>2498</v>
      </c>
      <c r="C642" s="8" t="s">
        <v>2499</v>
      </c>
      <c r="D642" s="9" t="s">
        <v>451</v>
      </c>
      <c r="E642" s="8" t="s">
        <v>54</v>
      </c>
      <c r="F642" s="8" t="s">
        <v>54</v>
      </c>
      <c r="G642" s="10" t="s">
        <v>67</v>
      </c>
      <c r="H642" s="8" t="s">
        <v>54</v>
      </c>
      <c r="I642" s="8" t="s">
        <v>54</v>
      </c>
      <c r="J642" s="8" t="s">
        <v>54</v>
      </c>
      <c r="K642" s="8" t="s">
        <v>54</v>
      </c>
      <c r="L642" s="8" t="s">
        <v>54</v>
      </c>
      <c r="M642" s="8" t="s">
        <v>54</v>
      </c>
      <c r="N642" s="10" t="s">
        <v>67</v>
      </c>
      <c r="O642" s="8" t="s">
        <v>54</v>
      </c>
      <c r="P642" s="8" t="s">
        <v>54</v>
      </c>
      <c r="Q642" s="8" t="s">
        <v>54</v>
      </c>
      <c r="R642" s="8" t="s">
        <v>54</v>
      </c>
      <c r="S642" s="8" t="s">
        <v>54</v>
      </c>
      <c r="T642" s="8" t="s">
        <v>54</v>
      </c>
      <c r="U642" s="10" t="s">
        <v>67</v>
      </c>
      <c r="V642" s="8" t="s">
        <v>54</v>
      </c>
      <c r="W642" s="8" t="s">
        <v>54</v>
      </c>
      <c r="X642" s="8" t="s">
        <v>54</v>
      </c>
      <c r="Y642" s="8" t="s">
        <v>54</v>
      </c>
      <c r="Z642" s="8" t="s">
        <v>54</v>
      </c>
      <c r="AA642" s="8" t="s">
        <v>54</v>
      </c>
      <c r="AB642" s="10" t="s">
        <v>67</v>
      </c>
      <c r="AC642" s="8" t="s">
        <v>54</v>
      </c>
      <c r="AD642" s="8" t="s">
        <v>54</v>
      </c>
      <c r="AE642" s="8" t="s">
        <v>54</v>
      </c>
      <c r="AF642" s="8" t="s">
        <v>54</v>
      </c>
      <c r="AG642" s="8" t="s">
        <v>54</v>
      </c>
      <c r="AH642" s="8" t="s">
        <v>54</v>
      </c>
      <c r="AI642" s="10" t="s">
        <v>67</v>
      </c>
      <c r="AJ642" s="8">
        <f>COUNTIF($E$642:$AI$642,"P")</f>
        <v>26</v>
      </c>
      <c r="AK642" s="8">
        <f>COUNTIF($E$642:$AI$642,"A")</f>
        <v>0</v>
      </c>
      <c r="AL642" s="8">
        <f>SUM($E$643:$AI$643)</f>
        <v>0</v>
      </c>
      <c r="AM642" s="8">
        <f>SUM($E$644:$AI$644)</f>
        <v>0</v>
      </c>
      <c r="AN642" s="8">
        <f>AL642+AM642</f>
        <v>0</v>
      </c>
      <c r="AO642" s="8">
        <f>COUNTIF($E$642:$AI$642,"CL")</f>
        <v>0</v>
      </c>
      <c r="AP642" s="8">
        <f>COUNTIF($E$642:$AI$642,"SL")</f>
        <v>0</v>
      </c>
      <c r="AQ642" s="8">
        <f>COUNTIF($E$642:$AI$642,"EL")</f>
        <v>0</v>
      </c>
      <c r="AR642" s="8">
        <f>COUNTIF($E$642:$AI$642,"H")</f>
        <v>0</v>
      </c>
      <c r="AS642" s="8"/>
      <c r="AT642" s="11" t="s">
        <v>2090</v>
      </c>
    </row>
    <row r="643" spans="1:46" ht="15.1" customHeight="1">
      <c r="A643" s="8"/>
      <c r="B643" s="9"/>
      <c r="C643" s="8"/>
      <c r="D643" s="9"/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11" t="s">
        <v>2090</v>
      </c>
    </row>
    <row r="644" spans="1:46" ht="15.1" customHeight="1">
      <c r="A644" s="8"/>
      <c r="B644" s="9"/>
      <c r="C644" s="8"/>
      <c r="D644" s="9"/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11" t="s">
        <v>2090</v>
      </c>
    </row>
    <row r="645" spans="1:46" ht="15.1" customHeight="1">
      <c r="A645" s="8">
        <v>214</v>
      </c>
      <c r="B645" s="9" t="s">
        <v>2500</v>
      </c>
      <c r="C645" s="8" t="s">
        <v>2501</v>
      </c>
      <c r="D645" s="9" t="s">
        <v>451</v>
      </c>
      <c r="E645" s="8" t="s">
        <v>54</v>
      </c>
      <c r="F645" s="8" t="s">
        <v>54</v>
      </c>
      <c r="G645" s="10" t="s">
        <v>67</v>
      </c>
      <c r="H645" s="8" t="s">
        <v>54</v>
      </c>
      <c r="I645" s="8" t="s">
        <v>54</v>
      </c>
      <c r="J645" s="8" t="s">
        <v>54</v>
      </c>
      <c r="K645" s="8" t="s">
        <v>54</v>
      </c>
      <c r="L645" s="8" t="s">
        <v>54</v>
      </c>
      <c r="M645" s="8" t="s">
        <v>54</v>
      </c>
      <c r="N645" s="10" t="s">
        <v>67</v>
      </c>
      <c r="O645" s="12" t="s">
        <v>55</v>
      </c>
      <c r="P645" s="12" t="s">
        <v>55</v>
      </c>
      <c r="Q645" s="8" t="s">
        <v>54</v>
      </c>
      <c r="R645" s="8" t="s">
        <v>54</v>
      </c>
      <c r="S645" s="8" t="s">
        <v>54</v>
      </c>
      <c r="T645" s="8" t="s">
        <v>54</v>
      </c>
      <c r="U645" s="10" t="s">
        <v>67</v>
      </c>
      <c r="V645" s="8" t="s">
        <v>54</v>
      </c>
      <c r="W645" s="8" t="s">
        <v>54</v>
      </c>
      <c r="X645" s="12" t="s">
        <v>55</v>
      </c>
      <c r="Y645" s="8" t="s">
        <v>54</v>
      </c>
      <c r="Z645" s="8" t="s">
        <v>54</v>
      </c>
      <c r="AA645" s="8" t="s">
        <v>54</v>
      </c>
      <c r="AB645" s="10" t="s">
        <v>67</v>
      </c>
      <c r="AC645" s="8" t="s">
        <v>54</v>
      </c>
      <c r="AD645" s="8" t="s">
        <v>54</v>
      </c>
      <c r="AE645" s="8" t="s">
        <v>54</v>
      </c>
      <c r="AF645" s="8" t="s">
        <v>54</v>
      </c>
      <c r="AG645" s="8" t="s">
        <v>54</v>
      </c>
      <c r="AH645" s="8" t="s">
        <v>54</v>
      </c>
      <c r="AI645" s="10" t="s">
        <v>67</v>
      </c>
      <c r="AJ645" s="8">
        <f>COUNTIF($E$645:$AI$645,"P")</f>
        <v>23</v>
      </c>
      <c r="AK645" s="8">
        <f>COUNTIF($E$645:$AI$645,"A")</f>
        <v>3</v>
      </c>
      <c r="AL645" s="8">
        <f>SUM($E$646:$AI$646)</f>
        <v>0</v>
      </c>
      <c r="AM645" s="8">
        <f>SUM($E$647:$AI$647)</f>
        <v>0</v>
      </c>
      <c r="AN645" s="8">
        <f>AL645+AM645</f>
        <v>0</v>
      </c>
      <c r="AO645" s="8">
        <f>COUNTIF($E$645:$AI$645,"CL")</f>
        <v>0</v>
      </c>
      <c r="AP645" s="8">
        <f>COUNTIF($E$645:$AI$645,"SL")</f>
        <v>0</v>
      </c>
      <c r="AQ645" s="8">
        <f>COUNTIF($E$645:$AI$645,"EL")</f>
        <v>0</v>
      </c>
      <c r="AR645" s="8">
        <f>COUNTIF($E$645:$AI$645,"H")</f>
        <v>0</v>
      </c>
      <c r="AS645" s="8"/>
      <c r="AT645" s="11" t="s">
        <v>2090</v>
      </c>
    </row>
    <row r="646" spans="1:46" ht="15.1" customHeight="1">
      <c r="A646" s="8"/>
      <c r="B646" s="9"/>
      <c r="C646" s="8"/>
      <c r="D646" s="9"/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11" t="s">
        <v>2090</v>
      </c>
    </row>
    <row r="647" spans="1:46" ht="15.1" customHeight="1">
      <c r="A647" s="8"/>
      <c r="B647" s="9"/>
      <c r="C647" s="8"/>
      <c r="D647" s="9"/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11" t="s">
        <v>2090</v>
      </c>
    </row>
    <row r="648" spans="1:46" ht="15.1" customHeight="1">
      <c r="A648" s="8">
        <v>215</v>
      </c>
      <c r="B648" s="9" t="s">
        <v>2502</v>
      </c>
      <c r="C648" s="8" t="s">
        <v>2503</v>
      </c>
      <c r="D648" s="9" t="s">
        <v>451</v>
      </c>
      <c r="E648" s="8" t="s">
        <v>54</v>
      </c>
      <c r="F648" s="8" t="s">
        <v>54</v>
      </c>
      <c r="G648" s="10" t="s">
        <v>67</v>
      </c>
      <c r="H648" s="8" t="s">
        <v>54</v>
      </c>
      <c r="I648" s="8" t="s">
        <v>54</v>
      </c>
      <c r="J648" s="8" t="s">
        <v>54</v>
      </c>
      <c r="K648" s="8" t="s">
        <v>54</v>
      </c>
      <c r="L648" s="8" t="s">
        <v>54</v>
      </c>
      <c r="M648" s="8" t="s">
        <v>54</v>
      </c>
      <c r="N648" s="10" t="s">
        <v>67</v>
      </c>
      <c r="O648" s="8" t="s">
        <v>54</v>
      </c>
      <c r="P648" s="8" t="s">
        <v>54</v>
      </c>
      <c r="Q648" s="12" t="s">
        <v>55</v>
      </c>
      <c r="R648" s="12" t="s">
        <v>55</v>
      </c>
      <c r="S648" s="12" t="s">
        <v>55</v>
      </c>
      <c r="T648" s="8" t="s">
        <v>54</v>
      </c>
      <c r="U648" s="10" t="s">
        <v>67</v>
      </c>
      <c r="V648" s="8" t="s">
        <v>54</v>
      </c>
      <c r="W648" s="8" t="s">
        <v>54</v>
      </c>
      <c r="X648" s="12" t="s">
        <v>55</v>
      </c>
      <c r="Y648" s="8" t="s">
        <v>54</v>
      </c>
      <c r="Z648" s="8" t="s">
        <v>54</v>
      </c>
      <c r="AA648" s="8" t="s">
        <v>54</v>
      </c>
      <c r="AB648" s="10" t="s">
        <v>67</v>
      </c>
      <c r="AC648" s="8" t="s">
        <v>54</v>
      </c>
      <c r="AD648" s="8" t="s">
        <v>54</v>
      </c>
      <c r="AE648" s="8" t="s">
        <v>54</v>
      </c>
      <c r="AF648" s="8" t="s">
        <v>54</v>
      </c>
      <c r="AG648" s="8" t="s">
        <v>54</v>
      </c>
      <c r="AH648" s="8" t="s">
        <v>54</v>
      </c>
      <c r="AI648" s="10" t="s">
        <v>67</v>
      </c>
      <c r="AJ648" s="8">
        <f>COUNTIF($E$648:$AI$648,"P")</f>
        <v>22</v>
      </c>
      <c r="AK648" s="8">
        <f>COUNTIF($E$648:$AI$648,"A")</f>
        <v>4</v>
      </c>
      <c r="AL648" s="8">
        <f>SUM($E$649:$AI$649)</f>
        <v>0</v>
      </c>
      <c r="AM648" s="8">
        <f>SUM($E$650:$AI$650)</f>
        <v>0</v>
      </c>
      <c r="AN648" s="8">
        <f>AL648+AM648</f>
        <v>0</v>
      </c>
      <c r="AO648" s="8">
        <f>COUNTIF($E$648:$AI$648,"CL")</f>
        <v>0</v>
      </c>
      <c r="AP648" s="8">
        <f>COUNTIF($E$648:$AI$648,"SL")</f>
        <v>0</v>
      </c>
      <c r="AQ648" s="8">
        <f>COUNTIF($E$648:$AI$648,"EL")</f>
        <v>0</v>
      </c>
      <c r="AR648" s="8">
        <f>COUNTIF($E$648:$AI$648,"H")</f>
        <v>0</v>
      </c>
      <c r="AS648" s="8"/>
      <c r="AT648" s="11" t="s">
        <v>2090</v>
      </c>
    </row>
    <row r="649" spans="1:46" ht="15.1" customHeight="1">
      <c r="A649" s="8"/>
      <c r="B649" s="9"/>
      <c r="C649" s="8"/>
      <c r="D649" s="9"/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11" t="s">
        <v>2090</v>
      </c>
    </row>
    <row r="650" spans="1:46" ht="15.1" customHeight="1">
      <c r="A650" s="8"/>
      <c r="B650" s="9"/>
      <c r="C650" s="8"/>
      <c r="D650" s="9"/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11" t="s">
        <v>2090</v>
      </c>
    </row>
    <row r="651" spans="1:46" ht="15.1" customHeight="1">
      <c r="A651" s="8">
        <v>216</v>
      </c>
      <c r="B651" s="9" t="s">
        <v>2504</v>
      </c>
      <c r="C651" s="8" t="s">
        <v>2505</v>
      </c>
      <c r="D651" s="9" t="s">
        <v>451</v>
      </c>
      <c r="E651" s="8" t="s">
        <v>54</v>
      </c>
      <c r="F651" s="8" t="s">
        <v>54</v>
      </c>
      <c r="G651" s="10" t="s">
        <v>67</v>
      </c>
      <c r="H651" s="8" t="s">
        <v>54</v>
      </c>
      <c r="I651" s="8" t="s">
        <v>54</v>
      </c>
      <c r="J651" s="8" t="s">
        <v>54</v>
      </c>
      <c r="K651" s="8" t="s">
        <v>54</v>
      </c>
      <c r="L651" s="8" t="s">
        <v>54</v>
      </c>
      <c r="M651" s="8" t="s">
        <v>54</v>
      </c>
      <c r="N651" s="10" t="s">
        <v>67</v>
      </c>
      <c r="O651" s="12" t="s">
        <v>55</v>
      </c>
      <c r="P651" s="12" t="s">
        <v>55</v>
      </c>
      <c r="Q651" s="12" t="s">
        <v>55</v>
      </c>
      <c r="R651" s="12" t="s">
        <v>55</v>
      </c>
      <c r="S651" s="12" t="s">
        <v>55</v>
      </c>
      <c r="T651" s="8" t="s">
        <v>54</v>
      </c>
      <c r="U651" s="10" t="s">
        <v>67</v>
      </c>
      <c r="V651" s="8" t="s">
        <v>54</v>
      </c>
      <c r="W651" s="8" t="s">
        <v>54</v>
      </c>
      <c r="X651" s="12" t="s">
        <v>55</v>
      </c>
      <c r="Y651" s="8" t="s">
        <v>54</v>
      </c>
      <c r="Z651" s="8" t="s">
        <v>54</v>
      </c>
      <c r="AA651" s="8" t="s">
        <v>54</v>
      </c>
      <c r="AB651" s="10" t="s">
        <v>67</v>
      </c>
      <c r="AC651" s="8" t="s">
        <v>54</v>
      </c>
      <c r="AD651" s="8" t="s">
        <v>54</v>
      </c>
      <c r="AE651" s="8" t="s">
        <v>54</v>
      </c>
      <c r="AF651" s="8" t="s">
        <v>54</v>
      </c>
      <c r="AG651" s="8" t="s">
        <v>54</v>
      </c>
      <c r="AH651" s="8" t="s">
        <v>54</v>
      </c>
      <c r="AI651" s="10" t="s">
        <v>67</v>
      </c>
      <c r="AJ651" s="8">
        <f>COUNTIF($E$651:$AI$651,"P")</f>
        <v>20</v>
      </c>
      <c r="AK651" s="8">
        <f>COUNTIF($E$651:$AI$651,"A")</f>
        <v>6</v>
      </c>
      <c r="AL651" s="8">
        <f>SUM($E$652:$AI$652)</f>
        <v>0</v>
      </c>
      <c r="AM651" s="8">
        <f>SUM($E$653:$AI$653)</f>
        <v>0</v>
      </c>
      <c r="AN651" s="8">
        <f>AL651+AM651</f>
        <v>0</v>
      </c>
      <c r="AO651" s="8">
        <f>COUNTIF($E$651:$AI$651,"CL")</f>
        <v>0</v>
      </c>
      <c r="AP651" s="8">
        <f>COUNTIF($E$651:$AI$651,"SL")</f>
        <v>0</v>
      </c>
      <c r="AQ651" s="8">
        <f>COUNTIF($E$651:$AI$651,"EL")</f>
        <v>0</v>
      </c>
      <c r="AR651" s="8">
        <f>COUNTIF($E$651:$AI$651,"H")</f>
        <v>0</v>
      </c>
      <c r="AS651" s="8"/>
      <c r="AT651" s="11" t="s">
        <v>2090</v>
      </c>
    </row>
    <row r="652" spans="1:46" ht="15.1" customHeight="1">
      <c r="A652" s="8"/>
      <c r="B652" s="9"/>
      <c r="C652" s="8"/>
      <c r="D652" s="9"/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11" t="s">
        <v>2090</v>
      </c>
    </row>
    <row r="653" spans="1:46" ht="15.1" customHeight="1">
      <c r="A653" s="8"/>
      <c r="B653" s="9"/>
      <c r="C653" s="8"/>
      <c r="D653" s="9"/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11" t="s">
        <v>2090</v>
      </c>
    </row>
    <row r="654" spans="1:46" ht="15.1" customHeight="1">
      <c r="A654" s="8">
        <v>217</v>
      </c>
      <c r="B654" s="9" t="s">
        <v>2506</v>
      </c>
      <c r="C654" s="8" t="s">
        <v>2507</v>
      </c>
      <c r="D654" s="9" t="s">
        <v>451</v>
      </c>
      <c r="E654" s="12" t="s">
        <v>55</v>
      </c>
      <c r="F654" s="8" t="s">
        <v>54</v>
      </c>
      <c r="G654" s="10" t="s">
        <v>67</v>
      </c>
      <c r="H654" s="8" t="s">
        <v>54</v>
      </c>
      <c r="I654" s="8" t="s">
        <v>54</v>
      </c>
      <c r="J654" s="8" t="s">
        <v>54</v>
      </c>
      <c r="K654" s="8" t="s">
        <v>54</v>
      </c>
      <c r="L654" s="8" t="s">
        <v>54</v>
      </c>
      <c r="M654" s="8" t="s">
        <v>54</v>
      </c>
      <c r="N654" s="10" t="s">
        <v>67</v>
      </c>
      <c r="O654" s="8" t="s">
        <v>54</v>
      </c>
      <c r="P654" s="8" t="s">
        <v>54</v>
      </c>
      <c r="Q654" s="8" t="s">
        <v>54</v>
      </c>
      <c r="R654" s="8" t="s">
        <v>54</v>
      </c>
      <c r="S654" s="8" t="s">
        <v>54</v>
      </c>
      <c r="T654" s="8" t="s">
        <v>54</v>
      </c>
      <c r="U654" s="10" t="s">
        <v>67</v>
      </c>
      <c r="V654" s="8" t="s">
        <v>54</v>
      </c>
      <c r="W654" s="8" t="s">
        <v>54</v>
      </c>
      <c r="X654" s="12" t="s">
        <v>55</v>
      </c>
      <c r="Y654" s="8" t="s">
        <v>54</v>
      </c>
      <c r="Z654" s="8" t="s">
        <v>54</v>
      </c>
      <c r="AA654" s="8" t="s">
        <v>54</v>
      </c>
      <c r="AB654" s="10" t="s">
        <v>67</v>
      </c>
      <c r="AC654" s="8" t="s">
        <v>54</v>
      </c>
      <c r="AD654" s="8" t="s">
        <v>54</v>
      </c>
      <c r="AE654" s="8" t="s">
        <v>54</v>
      </c>
      <c r="AF654" s="8" t="s">
        <v>54</v>
      </c>
      <c r="AG654" s="8" t="s">
        <v>54</v>
      </c>
      <c r="AH654" s="8" t="s">
        <v>54</v>
      </c>
      <c r="AI654" s="10" t="s">
        <v>67</v>
      </c>
      <c r="AJ654" s="8">
        <f>COUNTIF($E$654:$AI$654,"P")</f>
        <v>24</v>
      </c>
      <c r="AK654" s="8">
        <f>COUNTIF($E$654:$AI$654,"A")</f>
        <v>2</v>
      </c>
      <c r="AL654" s="8">
        <f>SUM($E$655:$AI$655)</f>
        <v>0</v>
      </c>
      <c r="AM654" s="8">
        <f>SUM($E$656:$AI$656)</f>
        <v>0</v>
      </c>
      <c r="AN654" s="8">
        <f>AL654+AM654</f>
        <v>0</v>
      </c>
      <c r="AO654" s="8">
        <f>COUNTIF($E$654:$AI$654,"CL")</f>
        <v>0</v>
      </c>
      <c r="AP654" s="8">
        <f>COUNTIF($E$654:$AI$654,"SL")</f>
        <v>0</v>
      </c>
      <c r="AQ654" s="8">
        <f>COUNTIF($E$654:$AI$654,"EL")</f>
        <v>0</v>
      </c>
      <c r="AR654" s="8">
        <f>COUNTIF($E$654:$AI$654,"H")</f>
        <v>0</v>
      </c>
      <c r="AS654" s="8"/>
      <c r="AT654" s="11" t="s">
        <v>2090</v>
      </c>
    </row>
    <row r="655" spans="1:46" ht="15.1" customHeight="1">
      <c r="A655" s="8"/>
      <c r="B655" s="9"/>
      <c r="C655" s="8"/>
      <c r="D655" s="9"/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11" t="s">
        <v>2090</v>
      </c>
    </row>
    <row r="656" spans="1:46" ht="15.1" customHeight="1">
      <c r="A656" s="8"/>
      <c r="B656" s="9"/>
      <c r="C656" s="8"/>
      <c r="D656" s="9"/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11" t="s">
        <v>2090</v>
      </c>
    </row>
    <row r="657" spans="1:46" ht="15.1" customHeight="1">
      <c r="A657" s="8">
        <v>218</v>
      </c>
      <c r="B657" s="9" t="s">
        <v>2508</v>
      </c>
      <c r="C657" s="8" t="s">
        <v>2509</v>
      </c>
      <c r="D657" s="9" t="s">
        <v>451</v>
      </c>
      <c r="E657" s="12" t="s">
        <v>55</v>
      </c>
      <c r="F657" s="8" t="s">
        <v>54</v>
      </c>
      <c r="G657" s="10" t="s">
        <v>67</v>
      </c>
      <c r="H657" s="8" t="s">
        <v>54</v>
      </c>
      <c r="I657" s="8" t="s">
        <v>54</v>
      </c>
      <c r="J657" s="8" t="s">
        <v>54</v>
      </c>
      <c r="K657" s="8" t="s">
        <v>54</v>
      </c>
      <c r="L657" s="8" t="s">
        <v>54</v>
      </c>
      <c r="M657" s="8" t="s">
        <v>54</v>
      </c>
      <c r="N657" s="10" t="s">
        <v>67</v>
      </c>
      <c r="O657" s="8" t="s">
        <v>54</v>
      </c>
      <c r="P657" s="8" t="s">
        <v>54</v>
      </c>
      <c r="Q657" s="8" t="s">
        <v>54</v>
      </c>
      <c r="R657" s="8" t="s">
        <v>54</v>
      </c>
      <c r="S657" s="8" t="s">
        <v>54</v>
      </c>
      <c r="T657" s="8" t="s">
        <v>54</v>
      </c>
      <c r="U657" s="10" t="s">
        <v>67</v>
      </c>
      <c r="V657" s="8" t="s">
        <v>54</v>
      </c>
      <c r="W657" s="8" t="s">
        <v>54</v>
      </c>
      <c r="X657" s="12" t="s">
        <v>55</v>
      </c>
      <c r="Y657" s="8" t="s">
        <v>54</v>
      </c>
      <c r="Z657" s="8" t="s">
        <v>54</v>
      </c>
      <c r="AA657" s="8" t="s">
        <v>54</v>
      </c>
      <c r="AB657" s="10" t="s">
        <v>67</v>
      </c>
      <c r="AC657" s="8" t="s">
        <v>54</v>
      </c>
      <c r="AD657" s="12" t="s">
        <v>55</v>
      </c>
      <c r="AE657" s="8" t="s">
        <v>54</v>
      </c>
      <c r="AF657" s="8" t="s">
        <v>54</v>
      </c>
      <c r="AG657" s="8" t="s">
        <v>54</v>
      </c>
      <c r="AH657" s="8" t="s">
        <v>54</v>
      </c>
      <c r="AI657" s="10" t="s">
        <v>67</v>
      </c>
      <c r="AJ657" s="8">
        <f>COUNTIF($E$657:$AI$657,"P")</f>
        <v>23</v>
      </c>
      <c r="AK657" s="8">
        <f>COUNTIF($E$657:$AI$657,"A")</f>
        <v>3</v>
      </c>
      <c r="AL657" s="8">
        <f>SUM($E$658:$AI$658)</f>
        <v>0</v>
      </c>
      <c r="AM657" s="8">
        <f>SUM($E$659:$AI$659)</f>
        <v>0</v>
      </c>
      <c r="AN657" s="8">
        <f>AL657+AM657</f>
        <v>0</v>
      </c>
      <c r="AO657" s="8">
        <f>COUNTIF($E$657:$AI$657,"CL")</f>
        <v>0</v>
      </c>
      <c r="AP657" s="8">
        <f>COUNTIF($E$657:$AI$657,"SL")</f>
        <v>0</v>
      </c>
      <c r="AQ657" s="8">
        <f>COUNTIF($E$657:$AI$657,"EL")</f>
        <v>0</v>
      </c>
      <c r="AR657" s="8">
        <f>COUNTIF($E$657:$AI$657,"H")</f>
        <v>0</v>
      </c>
      <c r="AS657" s="8"/>
      <c r="AT657" s="11" t="s">
        <v>2090</v>
      </c>
    </row>
    <row r="658" spans="1:46" ht="15.1" customHeight="1">
      <c r="A658" s="8"/>
      <c r="B658" s="9"/>
      <c r="C658" s="8"/>
      <c r="D658" s="9"/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11" t="s">
        <v>2090</v>
      </c>
    </row>
    <row r="659" spans="1:46" ht="15.1" customHeight="1">
      <c r="A659" s="8"/>
      <c r="B659" s="9"/>
      <c r="C659" s="8"/>
      <c r="D659" s="9"/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11" t="s">
        <v>2090</v>
      </c>
    </row>
    <row r="660" spans="1:46" ht="15.1" customHeight="1">
      <c r="A660" s="8">
        <v>219</v>
      </c>
      <c r="B660" s="9" t="s">
        <v>2510</v>
      </c>
      <c r="C660" s="8" t="s">
        <v>2511</v>
      </c>
      <c r="D660" s="9" t="s">
        <v>451</v>
      </c>
      <c r="E660" s="12" t="s">
        <v>55</v>
      </c>
      <c r="F660" s="8" t="s">
        <v>54</v>
      </c>
      <c r="G660" s="10" t="s">
        <v>67</v>
      </c>
      <c r="H660" s="8" t="s">
        <v>54</v>
      </c>
      <c r="I660" s="8" t="s">
        <v>54</v>
      </c>
      <c r="J660" s="8" t="s">
        <v>54</v>
      </c>
      <c r="K660" s="8" t="s">
        <v>54</v>
      </c>
      <c r="L660" s="12" t="s">
        <v>55</v>
      </c>
      <c r="M660" s="8" t="s">
        <v>54</v>
      </c>
      <c r="N660" s="10" t="s">
        <v>67</v>
      </c>
      <c r="O660" s="8" t="s">
        <v>54</v>
      </c>
      <c r="P660" s="8" t="s">
        <v>54</v>
      </c>
      <c r="Q660" s="8" t="s">
        <v>54</v>
      </c>
      <c r="R660" s="8" t="s">
        <v>54</v>
      </c>
      <c r="S660" s="8" t="s">
        <v>54</v>
      </c>
      <c r="T660" s="8" t="s">
        <v>54</v>
      </c>
      <c r="U660" s="10" t="s">
        <v>67</v>
      </c>
      <c r="V660" s="8" t="s">
        <v>54</v>
      </c>
      <c r="W660" s="8" t="s">
        <v>54</v>
      </c>
      <c r="X660" s="12" t="s">
        <v>55</v>
      </c>
      <c r="Y660" s="12" t="s">
        <v>55</v>
      </c>
      <c r="Z660" s="12" t="s">
        <v>55</v>
      </c>
      <c r="AA660" s="12" t="s">
        <v>55</v>
      </c>
      <c r="AB660" s="10" t="s">
        <v>67</v>
      </c>
      <c r="AC660" s="12" t="s">
        <v>55</v>
      </c>
      <c r="AD660" s="12" t="s">
        <v>55</v>
      </c>
      <c r="AE660" s="12" t="s">
        <v>55</v>
      </c>
      <c r="AF660" s="12" t="s">
        <v>55</v>
      </c>
      <c r="AG660" s="12" t="s">
        <v>55</v>
      </c>
      <c r="AH660" s="8"/>
      <c r="AI660" s="10"/>
      <c r="AJ660" s="8">
        <f>COUNTIF($E$660:$AI$660,"P")</f>
        <v>14</v>
      </c>
      <c r="AK660" s="8">
        <f>COUNTIF($E$660:$AI$660,"A")</f>
        <v>11</v>
      </c>
      <c r="AL660" s="8">
        <f>SUM($E$661:$AI$661)</f>
        <v>0</v>
      </c>
      <c r="AM660" s="8">
        <f>SUM($E$662:$AI$662)</f>
        <v>0</v>
      </c>
      <c r="AN660" s="8">
        <f>AL660+AM660</f>
        <v>0</v>
      </c>
      <c r="AO660" s="8">
        <f>COUNTIF($E$660:$AI$660,"CL")</f>
        <v>0</v>
      </c>
      <c r="AP660" s="8">
        <f>COUNTIF($E$660:$AI$660,"SL")</f>
        <v>0</v>
      </c>
      <c r="AQ660" s="8">
        <f>COUNTIF($E$660:$AI$660,"EL")</f>
        <v>0</v>
      </c>
      <c r="AR660" s="8">
        <f>COUNTIF($E$660:$AI$660,"H")</f>
        <v>0</v>
      </c>
      <c r="AS660" s="8"/>
      <c r="AT660" s="11" t="s">
        <v>2090</v>
      </c>
    </row>
    <row r="661" spans="1:46" ht="15.1" customHeight="1">
      <c r="A661" s="8"/>
      <c r="B661" s="9"/>
      <c r="C661" s="8"/>
      <c r="D661" s="9"/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11" t="s">
        <v>2090</v>
      </c>
    </row>
    <row r="662" spans="1:46" ht="15.1" customHeight="1">
      <c r="A662" s="8"/>
      <c r="B662" s="9"/>
      <c r="C662" s="8"/>
      <c r="D662" s="9"/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11" t="s">
        <v>2090</v>
      </c>
    </row>
    <row r="663" spans="1:46" ht="15.1" customHeight="1">
      <c r="A663" s="8">
        <v>220</v>
      </c>
      <c r="B663" s="9" t="s">
        <v>1826</v>
      </c>
      <c r="C663" s="8" t="s">
        <v>2512</v>
      </c>
      <c r="D663" s="9" t="s">
        <v>451</v>
      </c>
      <c r="E663" s="12" t="s">
        <v>55</v>
      </c>
      <c r="F663" s="8" t="s">
        <v>54</v>
      </c>
      <c r="G663" s="10" t="s">
        <v>67</v>
      </c>
      <c r="H663" s="8" t="s">
        <v>54</v>
      </c>
      <c r="I663" s="8" t="s">
        <v>54</v>
      </c>
      <c r="J663" s="8" t="s">
        <v>54</v>
      </c>
      <c r="K663" s="8" t="s">
        <v>54</v>
      </c>
      <c r="L663" s="12" t="s">
        <v>55</v>
      </c>
      <c r="M663" s="12" t="s">
        <v>55</v>
      </c>
      <c r="N663" s="10" t="s">
        <v>67</v>
      </c>
      <c r="O663" s="8" t="s">
        <v>54</v>
      </c>
      <c r="P663" s="8" t="s">
        <v>54</v>
      </c>
      <c r="Q663" s="8" t="s">
        <v>54</v>
      </c>
      <c r="R663" s="8" t="s">
        <v>54</v>
      </c>
      <c r="S663" s="8" t="s">
        <v>54</v>
      </c>
      <c r="T663" s="8" t="s">
        <v>54</v>
      </c>
      <c r="U663" s="10" t="s">
        <v>67</v>
      </c>
      <c r="V663" s="8" t="s">
        <v>54</v>
      </c>
      <c r="W663" s="8" t="s">
        <v>54</v>
      </c>
      <c r="X663" s="12" t="s">
        <v>55</v>
      </c>
      <c r="Y663" s="8" t="s">
        <v>54</v>
      </c>
      <c r="Z663" s="12" t="s">
        <v>55</v>
      </c>
      <c r="AA663" s="8" t="s">
        <v>54</v>
      </c>
      <c r="AB663" s="10" t="s">
        <v>67</v>
      </c>
      <c r="AC663" s="12" t="s">
        <v>55</v>
      </c>
      <c r="AD663" s="12" t="s">
        <v>55</v>
      </c>
      <c r="AE663" s="12" t="s">
        <v>55</v>
      </c>
      <c r="AF663" s="12" t="s">
        <v>55</v>
      </c>
      <c r="AG663" s="8" t="s">
        <v>54</v>
      </c>
      <c r="AH663" s="12" t="s">
        <v>55</v>
      </c>
      <c r="AI663" s="10" t="s">
        <v>67</v>
      </c>
      <c r="AJ663" s="8">
        <f>COUNTIF($E$663:$AI$663,"P")</f>
        <v>16</v>
      </c>
      <c r="AK663" s="8">
        <f>COUNTIF($E$663:$AI$663,"A")</f>
        <v>10</v>
      </c>
      <c r="AL663" s="8">
        <f>SUM($E$664:$AI$664)</f>
        <v>0</v>
      </c>
      <c r="AM663" s="8">
        <f>SUM($E$665:$AI$665)</f>
        <v>0</v>
      </c>
      <c r="AN663" s="8">
        <f>AL663+AM663</f>
        <v>0</v>
      </c>
      <c r="AO663" s="8">
        <f>COUNTIF($E$663:$AI$663,"CL")</f>
        <v>0</v>
      </c>
      <c r="AP663" s="8">
        <f>COUNTIF($E$663:$AI$663,"SL")</f>
        <v>0</v>
      </c>
      <c r="AQ663" s="8">
        <f>COUNTIF($E$663:$AI$663,"EL")</f>
        <v>0</v>
      </c>
      <c r="AR663" s="8">
        <f>COUNTIF($E$663:$AI$663,"H")</f>
        <v>0</v>
      </c>
      <c r="AS663" s="8"/>
      <c r="AT663" s="11" t="s">
        <v>2090</v>
      </c>
    </row>
    <row r="664" spans="1:46" ht="15.1" customHeight="1">
      <c r="A664" s="8"/>
      <c r="B664" s="9"/>
      <c r="C664" s="8"/>
      <c r="D664" s="9"/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11" t="s">
        <v>2090</v>
      </c>
    </row>
    <row r="665" spans="1:46" ht="15.1" customHeight="1">
      <c r="A665" s="8"/>
      <c r="B665" s="9"/>
      <c r="C665" s="8"/>
      <c r="D665" s="9"/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11" t="s">
        <v>2090</v>
      </c>
    </row>
    <row r="666" spans="1:46" ht="15.1" customHeight="1">
      <c r="A666" s="8">
        <v>221</v>
      </c>
      <c r="B666" s="9" t="s">
        <v>2513</v>
      </c>
      <c r="C666" s="8" t="s">
        <v>2514</v>
      </c>
      <c r="D666" s="9" t="s">
        <v>451</v>
      </c>
      <c r="E666" s="12" t="s">
        <v>55</v>
      </c>
      <c r="F666" s="8" t="s">
        <v>54</v>
      </c>
      <c r="G666" s="10" t="s">
        <v>67</v>
      </c>
      <c r="H666" s="8" t="s">
        <v>54</v>
      </c>
      <c r="I666" s="8" t="s">
        <v>54</v>
      </c>
      <c r="J666" s="8" t="s">
        <v>54</v>
      </c>
      <c r="K666" s="8" t="s">
        <v>54</v>
      </c>
      <c r="L666" s="8" t="s">
        <v>54</v>
      </c>
      <c r="M666" s="8" t="s">
        <v>54</v>
      </c>
      <c r="N666" s="10" t="s">
        <v>67</v>
      </c>
      <c r="O666" s="8" t="s">
        <v>54</v>
      </c>
      <c r="P666" s="8" t="s">
        <v>54</v>
      </c>
      <c r="Q666" s="8" t="s">
        <v>54</v>
      </c>
      <c r="R666" s="8" t="s">
        <v>54</v>
      </c>
      <c r="S666" s="8" t="s">
        <v>54</v>
      </c>
      <c r="T666" s="8" t="s">
        <v>54</v>
      </c>
      <c r="U666" s="10" t="s">
        <v>67</v>
      </c>
      <c r="V666" s="8" t="s">
        <v>54</v>
      </c>
      <c r="W666" s="8" t="s">
        <v>54</v>
      </c>
      <c r="X666" s="12" t="s">
        <v>55</v>
      </c>
      <c r="Y666" s="8" t="s">
        <v>54</v>
      </c>
      <c r="Z666" s="8" t="s">
        <v>54</v>
      </c>
      <c r="AA666" s="8" t="s">
        <v>54</v>
      </c>
      <c r="AB666" s="10" t="s">
        <v>67</v>
      </c>
      <c r="AC666" s="8" t="s">
        <v>54</v>
      </c>
      <c r="AD666" s="8" t="s">
        <v>54</v>
      </c>
      <c r="AE666" s="8" t="s">
        <v>54</v>
      </c>
      <c r="AF666" s="8" t="s">
        <v>54</v>
      </c>
      <c r="AG666" s="12" t="s">
        <v>55</v>
      </c>
      <c r="AH666" s="12" t="s">
        <v>55</v>
      </c>
      <c r="AI666" s="10" t="s">
        <v>67</v>
      </c>
      <c r="AJ666" s="8">
        <f>COUNTIF($E$666:$AI$666,"P")</f>
        <v>22</v>
      </c>
      <c r="AK666" s="8">
        <f>COUNTIF($E$666:$AI$666,"A")</f>
        <v>4</v>
      </c>
      <c r="AL666" s="8">
        <f>SUM($E$667:$AI$667)</f>
        <v>0</v>
      </c>
      <c r="AM666" s="8">
        <f>SUM($E$668:$AI$668)</f>
        <v>0</v>
      </c>
      <c r="AN666" s="8">
        <f>AL666+AM666</f>
        <v>0</v>
      </c>
      <c r="AO666" s="8">
        <f>COUNTIF($E$666:$AI$666,"CL")</f>
        <v>0</v>
      </c>
      <c r="AP666" s="8">
        <f>COUNTIF($E$666:$AI$666,"SL")</f>
        <v>0</v>
      </c>
      <c r="AQ666" s="8">
        <f>COUNTIF($E$666:$AI$666,"EL")</f>
        <v>0</v>
      </c>
      <c r="AR666" s="8">
        <f>COUNTIF($E$666:$AI$666,"H")</f>
        <v>0</v>
      </c>
      <c r="AS666" s="8"/>
      <c r="AT666" s="11" t="s">
        <v>2090</v>
      </c>
    </row>
    <row r="667" spans="1:46" ht="15.1" customHeight="1">
      <c r="A667" s="8"/>
      <c r="B667" s="9"/>
      <c r="C667" s="8"/>
      <c r="D667" s="9"/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11" t="s">
        <v>2090</v>
      </c>
    </row>
    <row r="668" spans="1:46" ht="15.1" customHeight="1">
      <c r="A668" s="8"/>
      <c r="B668" s="9"/>
      <c r="C668" s="8"/>
      <c r="D668" s="9"/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11" t="s">
        <v>2090</v>
      </c>
    </row>
    <row r="669" spans="1:46" ht="15.1" customHeight="1">
      <c r="A669" s="8">
        <v>222</v>
      </c>
      <c r="B669" s="9" t="s">
        <v>2515</v>
      </c>
      <c r="C669" s="8" t="s">
        <v>2516</v>
      </c>
      <c r="D669" s="9" t="s">
        <v>451</v>
      </c>
      <c r="E669" s="8" t="s">
        <v>54</v>
      </c>
      <c r="F669" s="8" t="s">
        <v>54</v>
      </c>
      <c r="G669" s="10" t="s">
        <v>67</v>
      </c>
      <c r="H669" s="8" t="s">
        <v>54</v>
      </c>
      <c r="I669" s="8" t="s">
        <v>54</v>
      </c>
      <c r="J669" s="8" t="s">
        <v>54</v>
      </c>
      <c r="K669" s="8" t="s">
        <v>54</v>
      </c>
      <c r="L669" s="8" t="s">
        <v>54</v>
      </c>
      <c r="M669" s="8" t="s">
        <v>54</v>
      </c>
      <c r="N669" s="10" t="s">
        <v>67</v>
      </c>
      <c r="O669" s="12" t="s">
        <v>55</v>
      </c>
      <c r="P669" s="8" t="s">
        <v>54</v>
      </c>
      <c r="Q669" s="8" t="s">
        <v>54</v>
      </c>
      <c r="R669" s="8" t="s">
        <v>54</v>
      </c>
      <c r="S669" s="8" t="s">
        <v>54</v>
      </c>
      <c r="T669" s="8" t="s">
        <v>54</v>
      </c>
      <c r="U669" s="10" t="s">
        <v>67</v>
      </c>
      <c r="V669" s="12" t="s">
        <v>55</v>
      </c>
      <c r="W669" s="8" t="s">
        <v>54</v>
      </c>
      <c r="X669" s="12" t="s">
        <v>55</v>
      </c>
      <c r="Y669" s="8" t="s">
        <v>54</v>
      </c>
      <c r="Z669" s="8" t="s">
        <v>54</v>
      </c>
      <c r="AA669" s="8" t="s">
        <v>54</v>
      </c>
      <c r="AB669" s="10" t="s">
        <v>67</v>
      </c>
      <c r="AC669" s="8" t="s">
        <v>54</v>
      </c>
      <c r="AD669" s="8" t="s">
        <v>54</v>
      </c>
      <c r="AE669" s="8" t="s">
        <v>54</v>
      </c>
      <c r="AF669" s="8" t="s">
        <v>54</v>
      </c>
      <c r="AG669" s="8" t="s">
        <v>54</v>
      </c>
      <c r="AH669" s="8" t="s">
        <v>54</v>
      </c>
      <c r="AI669" s="10" t="s">
        <v>67</v>
      </c>
      <c r="AJ669" s="8">
        <f>COUNTIF($E$669:$AI$669,"P")</f>
        <v>23</v>
      </c>
      <c r="AK669" s="8">
        <f>COUNTIF($E$669:$AI$669,"A")</f>
        <v>3</v>
      </c>
      <c r="AL669" s="8">
        <f>SUM($E$670:$AI$670)</f>
        <v>0</v>
      </c>
      <c r="AM669" s="8">
        <f>SUM($E$671:$AI$671)</f>
        <v>0</v>
      </c>
      <c r="AN669" s="8">
        <f>AL669+AM669</f>
        <v>0</v>
      </c>
      <c r="AO669" s="8">
        <f>COUNTIF($E$669:$AI$669,"CL")</f>
        <v>0</v>
      </c>
      <c r="AP669" s="8">
        <f>COUNTIF($E$669:$AI$669,"SL")</f>
        <v>0</v>
      </c>
      <c r="AQ669" s="8">
        <f>COUNTIF($E$669:$AI$669,"EL")</f>
        <v>0</v>
      </c>
      <c r="AR669" s="8">
        <f>COUNTIF($E$669:$AI$669,"H")</f>
        <v>0</v>
      </c>
      <c r="AS669" s="8"/>
      <c r="AT669" s="11" t="s">
        <v>2090</v>
      </c>
    </row>
    <row r="670" spans="1:46" ht="15.1" customHeight="1">
      <c r="A670" s="8"/>
      <c r="B670" s="9"/>
      <c r="C670" s="8"/>
      <c r="D670" s="9"/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11" t="s">
        <v>2090</v>
      </c>
    </row>
    <row r="671" spans="1:46" ht="15.1" customHeight="1">
      <c r="A671" s="8"/>
      <c r="B671" s="9"/>
      <c r="C671" s="8"/>
      <c r="D671" s="9"/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11" t="s">
        <v>2090</v>
      </c>
    </row>
    <row r="672" spans="1:46" ht="15.1" customHeight="1">
      <c r="A672" s="8">
        <v>223</v>
      </c>
      <c r="B672" s="9" t="s">
        <v>2517</v>
      </c>
      <c r="C672" s="8" t="s">
        <v>2518</v>
      </c>
      <c r="D672" s="9" t="s">
        <v>451</v>
      </c>
      <c r="E672" s="12" t="s">
        <v>55</v>
      </c>
      <c r="F672" s="12" t="s">
        <v>55</v>
      </c>
      <c r="G672" s="10" t="s">
        <v>67</v>
      </c>
      <c r="H672" s="12" t="s">
        <v>55</v>
      </c>
      <c r="I672" s="8" t="s">
        <v>54</v>
      </c>
      <c r="J672" s="8" t="s">
        <v>54</v>
      </c>
      <c r="K672" s="8" t="s">
        <v>54</v>
      </c>
      <c r="L672" s="8" t="s">
        <v>54</v>
      </c>
      <c r="M672" s="8" t="s">
        <v>54</v>
      </c>
      <c r="N672" s="10" t="s">
        <v>67</v>
      </c>
      <c r="O672" s="8" t="s">
        <v>54</v>
      </c>
      <c r="P672" s="8" t="s">
        <v>54</v>
      </c>
      <c r="Q672" s="8" t="s">
        <v>54</v>
      </c>
      <c r="R672" s="8" t="s">
        <v>54</v>
      </c>
      <c r="S672" s="8" t="s">
        <v>54</v>
      </c>
      <c r="T672" s="8" t="s">
        <v>54</v>
      </c>
      <c r="U672" s="10" t="s">
        <v>67</v>
      </c>
      <c r="V672" s="8" t="s">
        <v>54</v>
      </c>
      <c r="W672" s="8" t="s">
        <v>54</v>
      </c>
      <c r="X672" s="12" t="s">
        <v>55</v>
      </c>
      <c r="Y672" s="12" t="s">
        <v>55</v>
      </c>
      <c r="Z672" s="12" t="s">
        <v>55</v>
      </c>
      <c r="AA672" s="12" t="s">
        <v>55</v>
      </c>
      <c r="AB672" s="10" t="s">
        <v>67</v>
      </c>
      <c r="AC672" s="12" t="s">
        <v>55</v>
      </c>
      <c r="AD672" s="8" t="s">
        <v>54</v>
      </c>
      <c r="AE672" s="8" t="s">
        <v>54</v>
      </c>
      <c r="AF672" s="8" t="s">
        <v>54</v>
      </c>
      <c r="AG672" s="8" t="s">
        <v>54</v>
      </c>
      <c r="AH672" s="8" t="s">
        <v>54</v>
      </c>
      <c r="AI672" s="10" t="s">
        <v>67</v>
      </c>
      <c r="AJ672" s="8">
        <f>COUNTIF($E$672:$AI$672,"P")</f>
        <v>18</v>
      </c>
      <c r="AK672" s="8">
        <f>COUNTIF($E$672:$AI$672,"A")</f>
        <v>8</v>
      </c>
      <c r="AL672" s="8">
        <f>SUM($E$673:$AI$673)</f>
        <v>0</v>
      </c>
      <c r="AM672" s="8">
        <f>SUM($E$674:$AI$674)</f>
        <v>0</v>
      </c>
      <c r="AN672" s="8">
        <f>AL672+AM672</f>
        <v>0</v>
      </c>
      <c r="AO672" s="8">
        <f>COUNTIF($E$672:$AI$672,"CL")</f>
        <v>0</v>
      </c>
      <c r="AP672" s="8">
        <f>COUNTIF($E$672:$AI$672,"SL")</f>
        <v>0</v>
      </c>
      <c r="AQ672" s="8">
        <f>COUNTIF($E$672:$AI$672,"EL")</f>
        <v>0</v>
      </c>
      <c r="AR672" s="8">
        <f>COUNTIF($E$672:$AI$672,"H")</f>
        <v>0</v>
      </c>
      <c r="AS672" s="8"/>
      <c r="AT672" s="11" t="s">
        <v>2090</v>
      </c>
    </row>
    <row r="673" spans="1:46" ht="15.1" customHeight="1">
      <c r="A673" s="8"/>
      <c r="B673" s="9"/>
      <c r="C673" s="8"/>
      <c r="D673" s="9"/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11" t="s">
        <v>2090</v>
      </c>
    </row>
    <row r="674" spans="1:46" ht="15.1" customHeight="1">
      <c r="A674" s="8"/>
      <c r="B674" s="9"/>
      <c r="C674" s="8"/>
      <c r="D674" s="9"/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11" t="s">
        <v>2090</v>
      </c>
    </row>
    <row r="675" spans="1:46" ht="15.1" customHeight="1">
      <c r="A675" s="8">
        <v>224</v>
      </c>
      <c r="B675" s="9" t="s">
        <v>300</v>
      </c>
      <c r="C675" s="8" t="s">
        <v>2519</v>
      </c>
      <c r="D675" s="9" t="s">
        <v>451</v>
      </c>
      <c r="E675" s="8" t="s">
        <v>54</v>
      </c>
      <c r="F675" s="8" t="s">
        <v>54</v>
      </c>
      <c r="G675" s="10" t="s">
        <v>67</v>
      </c>
      <c r="H675" s="8" t="s">
        <v>54</v>
      </c>
      <c r="I675" s="8" t="s">
        <v>54</v>
      </c>
      <c r="J675" s="8" t="s">
        <v>54</v>
      </c>
      <c r="K675" s="8" t="s">
        <v>54</v>
      </c>
      <c r="L675" s="8" t="s">
        <v>54</v>
      </c>
      <c r="M675" s="8" t="s">
        <v>54</v>
      </c>
      <c r="N675" s="10" t="s">
        <v>67</v>
      </c>
      <c r="O675" s="8" t="s">
        <v>54</v>
      </c>
      <c r="P675" s="8" t="s">
        <v>54</v>
      </c>
      <c r="Q675" s="8" t="s">
        <v>54</v>
      </c>
      <c r="R675" s="8" t="s">
        <v>54</v>
      </c>
      <c r="S675" s="8" t="s">
        <v>54</v>
      </c>
      <c r="T675" s="8" t="s">
        <v>54</v>
      </c>
      <c r="U675" s="10" t="s">
        <v>67</v>
      </c>
      <c r="V675" s="8" t="s">
        <v>54</v>
      </c>
      <c r="W675" s="8" t="s">
        <v>54</v>
      </c>
      <c r="X675" s="8" t="s">
        <v>54</v>
      </c>
      <c r="Y675" s="8" t="s">
        <v>54</v>
      </c>
      <c r="Z675" s="8" t="s">
        <v>54</v>
      </c>
      <c r="AA675" s="8" t="s">
        <v>54</v>
      </c>
      <c r="AB675" s="10" t="s">
        <v>67</v>
      </c>
      <c r="AC675" s="8" t="s">
        <v>54</v>
      </c>
      <c r="AD675" s="8" t="s">
        <v>54</v>
      </c>
      <c r="AE675" s="8" t="s">
        <v>54</v>
      </c>
      <c r="AF675" s="8" t="s">
        <v>54</v>
      </c>
      <c r="AG675" s="8" t="s">
        <v>54</v>
      </c>
      <c r="AH675" s="8" t="s">
        <v>54</v>
      </c>
      <c r="AI675" s="10" t="s">
        <v>67</v>
      </c>
      <c r="AJ675" s="8">
        <f>COUNTIF($E$675:$AI$675,"P")</f>
        <v>26</v>
      </c>
      <c r="AK675" s="8">
        <f>COUNTIF($E$675:$AI$675,"A")</f>
        <v>0</v>
      </c>
      <c r="AL675" s="8">
        <f>SUM($E$676:$AI$676)</f>
        <v>0</v>
      </c>
      <c r="AM675" s="8">
        <f>SUM($E$677:$AI$677)</f>
        <v>0</v>
      </c>
      <c r="AN675" s="8">
        <f>AL675+AM675</f>
        <v>0</v>
      </c>
      <c r="AO675" s="8">
        <f>COUNTIF($E$675:$AI$675,"CL")</f>
        <v>0</v>
      </c>
      <c r="AP675" s="8">
        <f>COUNTIF($E$675:$AI$675,"SL")</f>
        <v>0</v>
      </c>
      <c r="AQ675" s="8">
        <f>COUNTIF($E$675:$AI$675,"EL")</f>
        <v>0</v>
      </c>
      <c r="AR675" s="8">
        <f>COUNTIF($E$675:$AI$675,"H")</f>
        <v>0</v>
      </c>
      <c r="AS675" s="8"/>
      <c r="AT675" s="11" t="s">
        <v>2090</v>
      </c>
    </row>
    <row r="676" spans="1:46" ht="15.1" customHeight="1">
      <c r="A676" s="8"/>
      <c r="B676" s="9"/>
      <c r="C676" s="8"/>
      <c r="D676" s="9"/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11" t="s">
        <v>2090</v>
      </c>
    </row>
    <row r="677" spans="1:46" ht="15.1" customHeight="1">
      <c r="A677" s="8"/>
      <c r="B677" s="9"/>
      <c r="C677" s="8"/>
      <c r="D677" s="9"/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11" t="s">
        <v>2090</v>
      </c>
    </row>
    <row r="678" spans="1:46" ht="15.1" customHeight="1">
      <c r="A678" s="8">
        <v>225</v>
      </c>
      <c r="B678" s="9" t="s">
        <v>2520</v>
      </c>
      <c r="C678" s="8" t="s">
        <v>2521</v>
      </c>
      <c r="D678" s="9" t="s">
        <v>451</v>
      </c>
      <c r="E678" s="8" t="s">
        <v>54</v>
      </c>
      <c r="F678" s="8" t="s">
        <v>54</v>
      </c>
      <c r="G678" s="10" t="s">
        <v>67</v>
      </c>
      <c r="H678" s="8" t="s">
        <v>54</v>
      </c>
      <c r="I678" s="12" t="s">
        <v>55</v>
      </c>
      <c r="J678" s="8" t="s">
        <v>54</v>
      </c>
      <c r="K678" s="8" t="s">
        <v>54</v>
      </c>
      <c r="L678" s="8" t="s">
        <v>54</v>
      </c>
      <c r="M678" s="8" t="s">
        <v>54</v>
      </c>
      <c r="N678" s="10" t="s">
        <v>67</v>
      </c>
      <c r="O678" s="8" t="s">
        <v>54</v>
      </c>
      <c r="P678" s="8" t="s">
        <v>54</v>
      </c>
      <c r="Q678" s="8" t="s">
        <v>54</v>
      </c>
      <c r="R678" s="8" t="s">
        <v>54</v>
      </c>
      <c r="S678" s="8" t="s">
        <v>54</v>
      </c>
      <c r="T678" s="8" t="s">
        <v>54</v>
      </c>
      <c r="U678" s="10" t="s">
        <v>67</v>
      </c>
      <c r="V678" s="8" t="s">
        <v>54</v>
      </c>
      <c r="W678" s="8" t="s">
        <v>54</v>
      </c>
      <c r="X678" s="12" t="s">
        <v>55</v>
      </c>
      <c r="Y678" s="8" t="s">
        <v>54</v>
      </c>
      <c r="Z678" s="8" t="s">
        <v>54</v>
      </c>
      <c r="AA678" s="8" t="s">
        <v>54</v>
      </c>
      <c r="AB678" s="10" t="s">
        <v>67</v>
      </c>
      <c r="AC678" s="8" t="s">
        <v>54</v>
      </c>
      <c r="AD678" s="8" t="s">
        <v>54</v>
      </c>
      <c r="AE678" s="8" t="s">
        <v>54</v>
      </c>
      <c r="AF678" s="8" t="s">
        <v>54</v>
      </c>
      <c r="AG678" s="8" t="s">
        <v>54</v>
      </c>
      <c r="AH678" s="8" t="s">
        <v>54</v>
      </c>
      <c r="AI678" s="10" t="s">
        <v>67</v>
      </c>
      <c r="AJ678" s="8">
        <f>COUNTIF($E$678:$AI$678,"P")</f>
        <v>24</v>
      </c>
      <c r="AK678" s="8">
        <f>COUNTIF($E$678:$AI$678,"A")</f>
        <v>2</v>
      </c>
      <c r="AL678" s="8">
        <f>SUM($E$679:$AI$679)</f>
        <v>0</v>
      </c>
      <c r="AM678" s="8">
        <f>SUM($E$680:$AI$680)</f>
        <v>0</v>
      </c>
      <c r="AN678" s="8">
        <f>AL678+AM678</f>
        <v>0</v>
      </c>
      <c r="AO678" s="8">
        <f>COUNTIF($E$678:$AI$678,"CL")</f>
        <v>0</v>
      </c>
      <c r="AP678" s="8">
        <f>COUNTIF($E$678:$AI$678,"SL")</f>
        <v>0</v>
      </c>
      <c r="AQ678" s="8">
        <f>COUNTIF($E$678:$AI$678,"EL")</f>
        <v>0</v>
      </c>
      <c r="AR678" s="8">
        <f>COUNTIF($E$678:$AI$678,"H")</f>
        <v>0</v>
      </c>
      <c r="AS678" s="8"/>
      <c r="AT678" s="11" t="s">
        <v>2090</v>
      </c>
    </row>
    <row r="679" spans="1:46" ht="15.1" customHeight="1">
      <c r="A679" s="8"/>
      <c r="B679" s="9"/>
      <c r="C679" s="8"/>
      <c r="D679" s="9"/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11" t="s">
        <v>2090</v>
      </c>
    </row>
    <row r="680" spans="1:46" ht="15.1" customHeight="1">
      <c r="A680" s="8"/>
      <c r="B680" s="9"/>
      <c r="C680" s="8"/>
      <c r="D680" s="9"/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11" t="s">
        <v>2090</v>
      </c>
    </row>
    <row r="681" spans="1:46" ht="15.1" customHeight="1">
      <c r="A681" s="8">
        <v>226</v>
      </c>
      <c r="B681" s="9" t="s">
        <v>2522</v>
      </c>
      <c r="C681" s="8" t="s">
        <v>2523</v>
      </c>
      <c r="D681" s="9" t="s">
        <v>451</v>
      </c>
      <c r="E681" s="12" t="s">
        <v>55</v>
      </c>
      <c r="F681" s="12" t="s">
        <v>55</v>
      </c>
      <c r="G681" s="10" t="s">
        <v>67</v>
      </c>
      <c r="H681" s="12" t="s">
        <v>55</v>
      </c>
      <c r="I681" s="8" t="s">
        <v>54</v>
      </c>
      <c r="J681" s="8" t="s">
        <v>54</v>
      </c>
      <c r="K681" s="8" t="s">
        <v>54</v>
      </c>
      <c r="L681" s="8" t="s">
        <v>54</v>
      </c>
      <c r="M681" s="8" t="s">
        <v>54</v>
      </c>
      <c r="N681" s="10" t="s">
        <v>67</v>
      </c>
      <c r="O681" s="8" t="s">
        <v>54</v>
      </c>
      <c r="P681" s="8" t="s">
        <v>54</v>
      </c>
      <c r="Q681" s="12" t="s">
        <v>55</v>
      </c>
      <c r="R681" s="8" t="s">
        <v>54</v>
      </c>
      <c r="S681" s="8" t="s">
        <v>54</v>
      </c>
      <c r="T681" s="8" t="s">
        <v>54</v>
      </c>
      <c r="U681" s="10" t="s">
        <v>67</v>
      </c>
      <c r="V681" s="8" t="s">
        <v>54</v>
      </c>
      <c r="W681" s="12" t="s">
        <v>55</v>
      </c>
      <c r="X681" s="12" t="s">
        <v>55</v>
      </c>
      <c r="Y681" s="8" t="s">
        <v>54</v>
      </c>
      <c r="Z681" s="8" t="s">
        <v>54</v>
      </c>
      <c r="AA681" s="8" t="s">
        <v>54</v>
      </c>
      <c r="AB681" s="10" t="s">
        <v>67</v>
      </c>
      <c r="AC681" s="8" t="s">
        <v>54</v>
      </c>
      <c r="AD681" s="8" t="s">
        <v>54</v>
      </c>
      <c r="AE681" s="12" t="s">
        <v>55</v>
      </c>
      <c r="AF681" s="12" t="s">
        <v>55</v>
      </c>
      <c r="AG681" s="8" t="s">
        <v>54</v>
      </c>
      <c r="AH681" s="8" t="s">
        <v>54</v>
      </c>
      <c r="AI681" s="10" t="s">
        <v>67</v>
      </c>
      <c r="AJ681" s="8">
        <f>COUNTIF($E$681:$AI$681,"P")</f>
        <v>18</v>
      </c>
      <c r="AK681" s="8">
        <f>COUNTIF($E$681:$AI$681,"A")</f>
        <v>8</v>
      </c>
      <c r="AL681" s="8">
        <f>SUM($E$682:$AI$682)</f>
        <v>0</v>
      </c>
      <c r="AM681" s="8">
        <f>SUM($E$683:$AI$683)</f>
        <v>0</v>
      </c>
      <c r="AN681" s="8">
        <f>AL681+AM681</f>
        <v>0</v>
      </c>
      <c r="AO681" s="8">
        <f>COUNTIF($E$681:$AI$681,"CL")</f>
        <v>0</v>
      </c>
      <c r="AP681" s="8">
        <f>COUNTIF($E$681:$AI$681,"SL")</f>
        <v>0</v>
      </c>
      <c r="AQ681" s="8">
        <f>COUNTIF($E$681:$AI$681,"EL")</f>
        <v>0</v>
      </c>
      <c r="AR681" s="8">
        <f>COUNTIF($E$681:$AI$681,"H")</f>
        <v>0</v>
      </c>
      <c r="AS681" s="8"/>
      <c r="AT681" s="11" t="s">
        <v>2090</v>
      </c>
    </row>
    <row r="682" spans="1:46" ht="15.1" customHeight="1">
      <c r="A682" s="8"/>
      <c r="B682" s="9"/>
      <c r="C682" s="8"/>
      <c r="D682" s="9"/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11" t="s">
        <v>2090</v>
      </c>
    </row>
    <row r="683" spans="1:46" ht="15.1" customHeight="1">
      <c r="A683" s="8"/>
      <c r="B683" s="9"/>
      <c r="C683" s="8"/>
      <c r="D683" s="9"/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11" t="s">
        <v>2090</v>
      </c>
    </row>
    <row r="684" spans="1:46" ht="15.1" customHeight="1">
      <c r="A684" s="8">
        <v>227</v>
      </c>
      <c r="B684" s="9" t="s">
        <v>2524</v>
      </c>
      <c r="C684" s="8" t="s">
        <v>2525</v>
      </c>
      <c r="D684" s="9" t="s">
        <v>451</v>
      </c>
      <c r="E684" s="8" t="s">
        <v>54</v>
      </c>
      <c r="F684" s="8" t="s">
        <v>54</v>
      </c>
      <c r="G684" s="10" t="s">
        <v>67</v>
      </c>
      <c r="H684" s="8" t="s">
        <v>54</v>
      </c>
      <c r="I684" s="8" t="s">
        <v>54</v>
      </c>
      <c r="J684" s="8" t="s">
        <v>54</v>
      </c>
      <c r="K684" s="8" t="s">
        <v>54</v>
      </c>
      <c r="L684" s="8" t="s">
        <v>54</v>
      </c>
      <c r="M684" s="8" t="s">
        <v>54</v>
      </c>
      <c r="N684" s="10" t="s">
        <v>67</v>
      </c>
      <c r="O684" s="8" t="s">
        <v>54</v>
      </c>
      <c r="P684" s="8" t="s">
        <v>54</v>
      </c>
      <c r="Q684" s="8" t="s">
        <v>54</v>
      </c>
      <c r="R684" s="8" t="s">
        <v>54</v>
      </c>
      <c r="S684" s="8" t="s">
        <v>54</v>
      </c>
      <c r="T684" s="8" t="s">
        <v>54</v>
      </c>
      <c r="U684" s="10" t="s">
        <v>67</v>
      </c>
      <c r="V684" s="8" t="s">
        <v>54</v>
      </c>
      <c r="W684" s="8" t="s">
        <v>54</v>
      </c>
      <c r="X684" s="12" t="s">
        <v>55</v>
      </c>
      <c r="Y684" s="8" t="s">
        <v>54</v>
      </c>
      <c r="Z684" s="8" t="s">
        <v>54</v>
      </c>
      <c r="AA684" s="8" t="s">
        <v>54</v>
      </c>
      <c r="AB684" s="10" t="s">
        <v>67</v>
      </c>
      <c r="AC684" s="8" t="s">
        <v>54</v>
      </c>
      <c r="AD684" s="8" t="s">
        <v>54</v>
      </c>
      <c r="AE684" s="12" t="s">
        <v>55</v>
      </c>
      <c r="AF684" s="8" t="s">
        <v>54</v>
      </c>
      <c r="AG684" s="8" t="s">
        <v>54</v>
      </c>
      <c r="AH684" s="8" t="s">
        <v>54</v>
      </c>
      <c r="AI684" s="10" t="s">
        <v>67</v>
      </c>
      <c r="AJ684" s="8">
        <f>COUNTIF($E$684:$AI$684,"P")</f>
        <v>24</v>
      </c>
      <c r="AK684" s="8">
        <f>COUNTIF($E$684:$AI$684,"A")</f>
        <v>2</v>
      </c>
      <c r="AL684" s="8">
        <f>SUM($E$685:$AI$685)</f>
        <v>0</v>
      </c>
      <c r="AM684" s="8">
        <f>SUM($E$686:$AI$686)</f>
        <v>0</v>
      </c>
      <c r="AN684" s="8">
        <f>AL684+AM684</f>
        <v>0</v>
      </c>
      <c r="AO684" s="8">
        <f>COUNTIF($E$684:$AI$684,"CL")</f>
        <v>0</v>
      </c>
      <c r="AP684" s="8">
        <f>COUNTIF($E$684:$AI$684,"SL")</f>
        <v>0</v>
      </c>
      <c r="AQ684" s="8">
        <f>COUNTIF($E$684:$AI$684,"EL")</f>
        <v>0</v>
      </c>
      <c r="AR684" s="8">
        <f>COUNTIF($E$684:$AI$684,"H")</f>
        <v>0</v>
      </c>
      <c r="AS684" s="8"/>
      <c r="AT684" s="11" t="s">
        <v>2090</v>
      </c>
    </row>
    <row r="685" spans="1:46" ht="15.1" customHeight="1">
      <c r="A685" s="8"/>
      <c r="B685" s="9"/>
      <c r="C685" s="8"/>
      <c r="D685" s="9"/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11" t="s">
        <v>2090</v>
      </c>
    </row>
    <row r="686" spans="1:46" ht="15.1" customHeight="1">
      <c r="A686" s="8"/>
      <c r="B686" s="9"/>
      <c r="C686" s="8"/>
      <c r="D686" s="9"/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11" t="s">
        <v>2090</v>
      </c>
    </row>
    <row r="687" spans="1:46" ht="15.1" customHeight="1">
      <c r="A687" s="8">
        <v>228</v>
      </c>
      <c r="B687" s="9" t="s">
        <v>2526</v>
      </c>
      <c r="C687" s="8" t="s">
        <v>2527</v>
      </c>
      <c r="D687" s="9" t="s">
        <v>451</v>
      </c>
      <c r="E687" s="8" t="s">
        <v>54</v>
      </c>
      <c r="F687" s="8" t="s">
        <v>54</v>
      </c>
      <c r="G687" s="10" t="s">
        <v>67</v>
      </c>
      <c r="H687" s="8" t="s">
        <v>54</v>
      </c>
      <c r="I687" s="8" t="s">
        <v>54</v>
      </c>
      <c r="J687" s="8" t="s">
        <v>54</v>
      </c>
      <c r="K687" s="8" t="s">
        <v>54</v>
      </c>
      <c r="L687" s="12" t="s">
        <v>55</v>
      </c>
      <c r="M687" s="8" t="s">
        <v>54</v>
      </c>
      <c r="N687" s="10" t="s">
        <v>67</v>
      </c>
      <c r="O687" s="8" t="s">
        <v>54</v>
      </c>
      <c r="P687" s="8" t="s">
        <v>54</v>
      </c>
      <c r="Q687" s="8" t="s">
        <v>54</v>
      </c>
      <c r="R687" s="8" t="s">
        <v>54</v>
      </c>
      <c r="S687" s="8" t="s">
        <v>54</v>
      </c>
      <c r="T687" s="8" t="s">
        <v>54</v>
      </c>
      <c r="U687" s="10" t="s">
        <v>67</v>
      </c>
      <c r="V687" s="8" t="s">
        <v>54</v>
      </c>
      <c r="W687" s="12" t="s">
        <v>55</v>
      </c>
      <c r="X687" s="12" t="s">
        <v>55</v>
      </c>
      <c r="Y687" s="8" t="s">
        <v>54</v>
      </c>
      <c r="Z687" s="8" t="s">
        <v>54</v>
      </c>
      <c r="AA687" s="8" t="s">
        <v>54</v>
      </c>
      <c r="AB687" s="10" t="s">
        <v>67</v>
      </c>
      <c r="AC687" s="8" t="s">
        <v>54</v>
      </c>
      <c r="AD687" s="8" t="s">
        <v>54</v>
      </c>
      <c r="AE687" s="8" t="s">
        <v>54</v>
      </c>
      <c r="AF687" s="8" t="s">
        <v>54</v>
      </c>
      <c r="AG687" s="8" t="s">
        <v>54</v>
      </c>
      <c r="AH687" s="8" t="s">
        <v>54</v>
      </c>
      <c r="AI687" s="10" t="s">
        <v>67</v>
      </c>
      <c r="AJ687" s="8">
        <f>COUNTIF($E$687:$AI$687,"P")</f>
        <v>23</v>
      </c>
      <c r="AK687" s="8">
        <f>COUNTIF($E$687:$AI$687,"A")</f>
        <v>3</v>
      </c>
      <c r="AL687" s="8">
        <f>SUM($E$688:$AI$688)</f>
        <v>0</v>
      </c>
      <c r="AM687" s="8">
        <f>SUM($E$689:$AI$689)</f>
        <v>0</v>
      </c>
      <c r="AN687" s="8">
        <f>AL687+AM687</f>
        <v>0</v>
      </c>
      <c r="AO687" s="8">
        <f>COUNTIF($E$687:$AI$687,"CL")</f>
        <v>0</v>
      </c>
      <c r="AP687" s="8">
        <f>COUNTIF($E$687:$AI$687,"SL")</f>
        <v>0</v>
      </c>
      <c r="AQ687" s="8">
        <f>COUNTIF($E$687:$AI$687,"EL")</f>
        <v>0</v>
      </c>
      <c r="AR687" s="8">
        <f>COUNTIF($E$687:$AI$687,"H")</f>
        <v>0</v>
      </c>
      <c r="AS687" s="8"/>
      <c r="AT687" s="11" t="s">
        <v>2090</v>
      </c>
    </row>
    <row r="688" spans="1:46" ht="15.1" customHeight="1">
      <c r="A688" s="8"/>
      <c r="B688" s="9"/>
      <c r="C688" s="8"/>
      <c r="D688" s="9"/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11" t="s">
        <v>2090</v>
      </c>
    </row>
    <row r="689" spans="1:46" ht="15.1" customHeight="1">
      <c r="A689" s="8"/>
      <c r="B689" s="9"/>
      <c r="C689" s="8"/>
      <c r="D689" s="9"/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11" t="s">
        <v>2090</v>
      </c>
    </row>
    <row r="690" spans="1:46" ht="15.1" customHeight="1">
      <c r="A690" s="8">
        <v>229</v>
      </c>
      <c r="B690" s="9" t="s">
        <v>2528</v>
      </c>
      <c r="C690" s="8" t="s">
        <v>2529</v>
      </c>
      <c r="D690" s="9" t="s">
        <v>451</v>
      </c>
      <c r="E690" s="8" t="s">
        <v>54</v>
      </c>
      <c r="F690" s="8" t="s">
        <v>54</v>
      </c>
      <c r="G690" s="10" t="s">
        <v>67</v>
      </c>
      <c r="H690" s="8" t="s">
        <v>54</v>
      </c>
      <c r="I690" s="8" t="s">
        <v>54</v>
      </c>
      <c r="J690" s="8" t="s">
        <v>54</v>
      </c>
      <c r="K690" s="8" t="s">
        <v>54</v>
      </c>
      <c r="L690" s="8" t="s">
        <v>54</v>
      </c>
      <c r="M690" s="8" t="s">
        <v>54</v>
      </c>
      <c r="N690" s="10" t="s">
        <v>67</v>
      </c>
      <c r="O690" s="8" t="s">
        <v>54</v>
      </c>
      <c r="P690" s="8" t="s">
        <v>54</v>
      </c>
      <c r="Q690" s="8" t="s">
        <v>54</v>
      </c>
      <c r="R690" s="8" t="s">
        <v>54</v>
      </c>
      <c r="S690" s="8" t="s">
        <v>54</v>
      </c>
      <c r="T690" s="8" t="s">
        <v>54</v>
      </c>
      <c r="U690" s="10" t="s">
        <v>67</v>
      </c>
      <c r="V690" s="8" t="s">
        <v>54</v>
      </c>
      <c r="W690" s="8" t="s">
        <v>54</v>
      </c>
      <c r="X690" s="8" t="s">
        <v>54</v>
      </c>
      <c r="Y690" s="8" t="s">
        <v>54</v>
      </c>
      <c r="Z690" s="8" t="s">
        <v>54</v>
      </c>
      <c r="AA690" s="8" t="s">
        <v>54</v>
      </c>
      <c r="AB690" s="10" t="s">
        <v>67</v>
      </c>
      <c r="AC690" s="8" t="s">
        <v>54</v>
      </c>
      <c r="AD690" s="8" t="s">
        <v>54</v>
      </c>
      <c r="AE690" s="8" t="s">
        <v>54</v>
      </c>
      <c r="AF690" s="8" t="s">
        <v>54</v>
      </c>
      <c r="AG690" s="8" t="s">
        <v>54</v>
      </c>
      <c r="AH690" s="8" t="s">
        <v>54</v>
      </c>
      <c r="AI690" s="10" t="s">
        <v>67</v>
      </c>
      <c r="AJ690" s="8">
        <f>COUNTIF($E$690:$AI$690,"P")</f>
        <v>26</v>
      </c>
      <c r="AK690" s="8">
        <f>COUNTIF($E$690:$AI$690,"A")</f>
        <v>0</v>
      </c>
      <c r="AL690" s="8">
        <f>SUM($E$691:$AI$691)</f>
        <v>0</v>
      </c>
      <c r="AM690" s="8">
        <f>SUM($E$692:$AI$692)</f>
        <v>0</v>
      </c>
      <c r="AN690" s="8">
        <f>AL690+AM690</f>
        <v>0</v>
      </c>
      <c r="AO690" s="8">
        <f>COUNTIF($E$690:$AI$690,"CL")</f>
        <v>0</v>
      </c>
      <c r="AP690" s="8">
        <f>COUNTIF($E$690:$AI$690,"SL")</f>
        <v>0</v>
      </c>
      <c r="AQ690" s="8">
        <f>COUNTIF($E$690:$AI$690,"EL")</f>
        <v>0</v>
      </c>
      <c r="AR690" s="8">
        <f>COUNTIF($E$690:$AI$690,"H")</f>
        <v>0</v>
      </c>
      <c r="AS690" s="8"/>
      <c r="AT690" s="11" t="s">
        <v>2090</v>
      </c>
    </row>
    <row r="691" spans="1:46" ht="15.1" customHeight="1">
      <c r="A691" s="8"/>
      <c r="B691" s="9"/>
      <c r="C691" s="8"/>
      <c r="D691" s="9"/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11" t="s">
        <v>2090</v>
      </c>
    </row>
    <row r="692" spans="1:46" ht="15.1" customHeight="1">
      <c r="A692" s="8"/>
      <c r="B692" s="9"/>
      <c r="C692" s="8"/>
      <c r="D692" s="9"/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11" t="s">
        <v>2090</v>
      </c>
    </row>
    <row r="693" spans="1:46" ht="15.1" customHeight="1">
      <c r="A693" s="8">
        <v>230</v>
      </c>
      <c r="B693" s="9" t="s">
        <v>2530</v>
      </c>
      <c r="C693" s="8" t="s">
        <v>2531</v>
      </c>
      <c r="D693" s="9" t="s">
        <v>451</v>
      </c>
      <c r="E693" s="8" t="s">
        <v>54</v>
      </c>
      <c r="F693" s="8" t="s">
        <v>54</v>
      </c>
      <c r="G693" s="10" t="s">
        <v>67</v>
      </c>
      <c r="H693" s="8" t="s">
        <v>54</v>
      </c>
      <c r="I693" s="8" t="s">
        <v>54</v>
      </c>
      <c r="J693" s="8" t="s">
        <v>54</v>
      </c>
      <c r="K693" s="8" t="s">
        <v>54</v>
      </c>
      <c r="L693" s="8" t="s">
        <v>54</v>
      </c>
      <c r="M693" s="8" t="s">
        <v>54</v>
      </c>
      <c r="N693" s="10" t="s">
        <v>67</v>
      </c>
      <c r="O693" s="8" t="s">
        <v>54</v>
      </c>
      <c r="P693" s="8" t="s">
        <v>54</v>
      </c>
      <c r="Q693" s="8" t="s">
        <v>54</v>
      </c>
      <c r="R693" s="8" t="s">
        <v>54</v>
      </c>
      <c r="S693" s="8" t="s">
        <v>54</v>
      </c>
      <c r="T693" s="8" t="s">
        <v>54</v>
      </c>
      <c r="U693" s="10" t="s">
        <v>67</v>
      </c>
      <c r="V693" s="8" t="s">
        <v>54</v>
      </c>
      <c r="W693" s="8" t="s">
        <v>54</v>
      </c>
      <c r="X693" s="12" t="s">
        <v>55</v>
      </c>
      <c r="Y693" s="8" t="s">
        <v>54</v>
      </c>
      <c r="Z693" s="8" t="s">
        <v>54</v>
      </c>
      <c r="AA693" s="8" t="s">
        <v>54</v>
      </c>
      <c r="AB693" s="10" t="s">
        <v>67</v>
      </c>
      <c r="AC693" s="8" t="s">
        <v>54</v>
      </c>
      <c r="AD693" s="12" t="s">
        <v>55</v>
      </c>
      <c r="AE693" s="8" t="s">
        <v>54</v>
      </c>
      <c r="AF693" s="8" t="s">
        <v>54</v>
      </c>
      <c r="AG693" s="8" t="s">
        <v>54</v>
      </c>
      <c r="AH693" s="8" t="s">
        <v>54</v>
      </c>
      <c r="AI693" s="10" t="s">
        <v>67</v>
      </c>
      <c r="AJ693" s="8">
        <f>COUNTIF($E$693:$AI$693,"P")</f>
        <v>24</v>
      </c>
      <c r="AK693" s="8">
        <f>COUNTIF($E$693:$AI$693,"A")</f>
        <v>2</v>
      </c>
      <c r="AL693" s="8">
        <f>SUM($E$694:$AI$694)</f>
        <v>0</v>
      </c>
      <c r="AM693" s="8">
        <f>SUM($E$695:$AI$695)</f>
        <v>0</v>
      </c>
      <c r="AN693" s="8">
        <f>AL693+AM693</f>
        <v>0</v>
      </c>
      <c r="AO693" s="8">
        <f>COUNTIF($E$693:$AI$693,"CL")</f>
        <v>0</v>
      </c>
      <c r="AP693" s="8">
        <f>COUNTIF($E$693:$AI$693,"SL")</f>
        <v>0</v>
      </c>
      <c r="AQ693" s="8">
        <f>COUNTIF($E$693:$AI$693,"EL")</f>
        <v>0</v>
      </c>
      <c r="AR693" s="8">
        <f>COUNTIF($E$693:$AI$693,"H")</f>
        <v>0</v>
      </c>
      <c r="AS693" s="8"/>
      <c r="AT693" s="11" t="s">
        <v>2090</v>
      </c>
    </row>
    <row r="694" spans="1:46" ht="15.1" customHeight="1">
      <c r="A694" s="8"/>
      <c r="B694" s="9"/>
      <c r="C694" s="8"/>
      <c r="D694" s="9"/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11" t="s">
        <v>2090</v>
      </c>
    </row>
    <row r="695" spans="1:46" ht="15.1" customHeight="1">
      <c r="A695" s="8"/>
      <c r="B695" s="9"/>
      <c r="C695" s="8"/>
      <c r="D695" s="9"/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11" t="s">
        <v>2090</v>
      </c>
    </row>
    <row r="696" spans="1:46" ht="15.1" customHeight="1">
      <c r="A696" s="8">
        <v>231</v>
      </c>
      <c r="B696" s="9" t="s">
        <v>2532</v>
      </c>
      <c r="C696" s="8" t="s">
        <v>2533</v>
      </c>
      <c r="D696" s="9" t="s">
        <v>451</v>
      </c>
      <c r="E696" s="8" t="s">
        <v>54</v>
      </c>
      <c r="F696" s="8" t="s">
        <v>54</v>
      </c>
      <c r="G696" s="10" t="s">
        <v>67</v>
      </c>
      <c r="H696" s="8" t="s">
        <v>54</v>
      </c>
      <c r="I696" s="8" t="s">
        <v>54</v>
      </c>
      <c r="J696" s="8" t="s">
        <v>54</v>
      </c>
      <c r="K696" s="8" t="s">
        <v>54</v>
      </c>
      <c r="L696" s="8" t="s">
        <v>54</v>
      </c>
      <c r="M696" s="8" t="s">
        <v>54</v>
      </c>
      <c r="N696" s="10" t="s">
        <v>67</v>
      </c>
      <c r="O696" s="8" t="s">
        <v>54</v>
      </c>
      <c r="P696" s="8" t="s">
        <v>54</v>
      </c>
      <c r="Q696" s="8" t="s">
        <v>54</v>
      </c>
      <c r="R696" s="8" t="s">
        <v>54</v>
      </c>
      <c r="S696" s="8" t="s">
        <v>54</v>
      </c>
      <c r="T696" s="8" t="s">
        <v>54</v>
      </c>
      <c r="U696" s="10" t="s">
        <v>67</v>
      </c>
      <c r="V696" s="8" t="s">
        <v>54</v>
      </c>
      <c r="W696" s="12" t="s">
        <v>55</v>
      </c>
      <c r="X696" s="12" t="s">
        <v>55</v>
      </c>
      <c r="Y696" s="8" t="s">
        <v>54</v>
      </c>
      <c r="Z696" s="8" t="s">
        <v>54</v>
      </c>
      <c r="AA696" s="8" t="s">
        <v>54</v>
      </c>
      <c r="AB696" s="10" t="s">
        <v>67</v>
      </c>
      <c r="AC696" s="8" t="s">
        <v>54</v>
      </c>
      <c r="AD696" s="8" t="s">
        <v>54</v>
      </c>
      <c r="AE696" s="8" t="s">
        <v>54</v>
      </c>
      <c r="AF696" s="12" t="s">
        <v>55</v>
      </c>
      <c r="AG696" s="8" t="s">
        <v>54</v>
      </c>
      <c r="AH696" s="8" t="s">
        <v>54</v>
      </c>
      <c r="AI696" s="10" t="s">
        <v>67</v>
      </c>
      <c r="AJ696" s="8">
        <f>COUNTIF($E$696:$AI$696,"P")</f>
        <v>23</v>
      </c>
      <c r="AK696" s="8">
        <f>COUNTIF($E$696:$AI$696,"A")</f>
        <v>3</v>
      </c>
      <c r="AL696" s="8">
        <f>SUM($E$697:$AI$697)</f>
        <v>0</v>
      </c>
      <c r="AM696" s="8">
        <f>SUM($E$698:$AI$698)</f>
        <v>0</v>
      </c>
      <c r="AN696" s="8">
        <f>AL696+AM696</f>
        <v>0</v>
      </c>
      <c r="AO696" s="8">
        <f>COUNTIF($E$696:$AI$696,"CL")</f>
        <v>0</v>
      </c>
      <c r="AP696" s="8">
        <f>COUNTIF($E$696:$AI$696,"SL")</f>
        <v>0</v>
      </c>
      <c r="AQ696" s="8">
        <f>COUNTIF($E$696:$AI$696,"EL")</f>
        <v>0</v>
      </c>
      <c r="AR696" s="8">
        <f>COUNTIF($E$696:$AI$696,"H")</f>
        <v>0</v>
      </c>
      <c r="AS696" s="8"/>
      <c r="AT696" s="11" t="s">
        <v>2090</v>
      </c>
    </row>
    <row r="697" spans="1:46" ht="15.1" customHeight="1">
      <c r="A697" s="8"/>
      <c r="B697" s="9"/>
      <c r="C697" s="8"/>
      <c r="D697" s="9"/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11" t="s">
        <v>2090</v>
      </c>
    </row>
    <row r="698" spans="1:46" ht="15.1" customHeight="1">
      <c r="A698" s="8"/>
      <c r="B698" s="9"/>
      <c r="C698" s="8"/>
      <c r="D698" s="9"/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11" t="s">
        <v>2090</v>
      </c>
    </row>
    <row r="699" spans="1:46" ht="15.1" customHeight="1">
      <c r="A699" s="8">
        <v>232</v>
      </c>
      <c r="B699" s="9" t="s">
        <v>2534</v>
      </c>
      <c r="C699" s="8" t="s">
        <v>2535</v>
      </c>
      <c r="D699" s="9" t="s">
        <v>451</v>
      </c>
      <c r="E699" s="8" t="s">
        <v>54</v>
      </c>
      <c r="F699" s="8" t="s">
        <v>54</v>
      </c>
      <c r="G699" s="10" t="s">
        <v>67</v>
      </c>
      <c r="H699" s="8" t="s">
        <v>54</v>
      </c>
      <c r="I699" s="8" t="s">
        <v>54</v>
      </c>
      <c r="J699" s="8" t="s">
        <v>54</v>
      </c>
      <c r="K699" s="8" t="s">
        <v>54</v>
      </c>
      <c r="L699" s="8" t="s">
        <v>54</v>
      </c>
      <c r="M699" s="8" t="s">
        <v>54</v>
      </c>
      <c r="N699" s="10" t="s">
        <v>67</v>
      </c>
      <c r="O699" s="8" t="s">
        <v>54</v>
      </c>
      <c r="P699" s="8" t="s">
        <v>54</v>
      </c>
      <c r="Q699" s="8" t="s">
        <v>54</v>
      </c>
      <c r="R699" s="8" t="s">
        <v>54</v>
      </c>
      <c r="S699" s="8" t="s">
        <v>54</v>
      </c>
      <c r="T699" s="8" t="s">
        <v>54</v>
      </c>
      <c r="U699" s="10" t="s">
        <v>67</v>
      </c>
      <c r="V699" s="8" t="s">
        <v>54</v>
      </c>
      <c r="W699" s="8" t="s">
        <v>54</v>
      </c>
      <c r="X699" s="12" t="s">
        <v>55</v>
      </c>
      <c r="Y699" s="8" t="s">
        <v>54</v>
      </c>
      <c r="Z699" s="8" t="s">
        <v>54</v>
      </c>
      <c r="AA699" s="12" t="s">
        <v>55</v>
      </c>
      <c r="AB699" s="10" t="s">
        <v>67</v>
      </c>
      <c r="AC699" s="12" t="s">
        <v>55</v>
      </c>
      <c r="AD699" s="8" t="s">
        <v>54</v>
      </c>
      <c r="AE699" s="8" t="s">
        <v>54</v>
      </c>
      <c r="AF699" s="8" t="s">
        <v>54</v>
      </c>
      <c r="AG699" s="8" t="s">
        <v>54</v>
      </c>
      <c r="AH699" s="8" t="s">
        <v>54</v>
      </c>
      <c r="AI699" s="10" t="s">
        <v>67</v>
      </c>
      <c r="AJ699" s="8">
        <f>COUNTIF($E$699:$AI$699,"P")</f>
        <v>23</v>
      </c>
      <c r="AK699" s="8">
        <f>COUNTIF($E$699:$AI$699,"A")</f>
        <v>3</v>
      </c>
      <c r="AL699" s="8">
        <f>SUM($E$700:$AI$700)</f>
        <v>0</v>
      </c>
      <c r="AM699" s="8">
        <f>SUM($E$701:$AI$701)</f>
        <v>0</v>
      </c>
      <c r="AN699" s="8">
        <f>AL699+AM699</f>
        <v>0</v>
      </c>
      <c r="AO699" s="8">
        <f>COUNTIF($E$699:$AI$699,"CL")</f>
        <v>0</v>
      </c>
      <c r="AP699" s="8">
        <f>COUNTIF($E$699:$AI$699,"SL")</f>
        <v>0</v>
      </c>
      <c r="AQ699" s="8">
        <f>COUNTIF($E$699:$AI$699,"EL")</f>
        <v>0</v>
      </c>
      <c r="AR699" s="8">
        <f>COUNTIF($E$699:$AI$699,"H")</f>
        <v>0</v>
      </c>
      <c r="AS699" s="8"/>
      <c r="AT699" s="11" t="s">
        <v>2090</v>
      </c>
    </row>
    <row r="700" spans="1:46" ht="15.1" customHeight="1">
      <c r="A700" s="8"/>
      <c r="B700" s="9"/>
      <c r="C700" s="8"/>
      <c r="D700" s="9"/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11" t="s">
        <v>2090</v>
      </c>
    </row>
    <row r="701" spans="1:46" ht="15.1" customHeight="1">
      <c r="A701" s="8"/>
      <c r="B701" s="9"/>
      <c r="C701" s="8"/>
      <c r="D701" s="9"/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11" t="s">
        <v>2090</v>
      </c>
    </row>
    <row r="702" spans="1:46" ht="15.1" customHeight="1">
      <c r="A702" s="8">
        <v>233</v>
      </c>
      <c r="B702" s="9" t="s">
        <v>2536</v>
      </c>
      <c r="C702" s="8" t="s">
        <v>2537</v>
      </c>
      <c r="D702" s="9" t="s">
        <v>451</v>
      </c>
      <c r="E702" s="8" t="s">
        <v>54</v>
      </c>
      <c r="F702" s="8" t="s">
        <v>54</v>
      </c>
      <c r="G702" s="10" t="s">
        <v>67</v>
      </c>
      <c r="H702" s="8" t="s">
        <v>54</v>
      </c>
      <c r="I702" s="8" t="s">
        <v>54</v>
      </c>
      <c r="J702" s="12" t="s">
        <v>55</v>
      </c>
      <c r="K702" s="8" t="s">
        <v>54</v>
      </c>
      <c r="L702" s="12" t="s">
        <v>55</v>
      </c>
      <c r="M702" s="12" t="s">
        <v>55</v>
      </c>
      <c r="N702" s="10" t="s">
        <v>67</v>
      </c>
      <c r="O702" s="8" t="s">
        <v>54</v>
      </c>
      <c r="P702" s="8" t="s">
        <v>54</v>
      </c>
      <c r="Q702" s="8" t="s">
        <v>54</v>
      </c>
      <c r="R702" s="8" t="s">
        <v>54</v>
      </c>
      <c r="S702" s="8" t="s">
        <v>54</v>
      </c>
      <c r="T702" s="8" t="s">
        <v>54</v>
      </c>
      <c r="U702" s="10" t="s">
        <v>67</v>
      </c>
      <c r="V702" s="8" t="s">
        <v>54</v>
      </c>
      <c r="W702" s="8" t="s">
        <v>54</v>
      </c>
      <c r="X702" s="12" t="s">
        <v>55</v>
      </c>
      <c r="Y702" s="8" t="s">
        <v>54</v>
      </c>
      <c r="Z702" s="8" t="s">
        <v>54</v>
      </c>
      <c r="AA702" s="8" t="s">
        <v>54</v>
      </c>
      <c r="AB702" s="10" t="s">
        <v>67</v>
      </c>
      <c r="AC702" s="12" t="s">
        <v>55</v>
      </c>
      <c r="AD702" s="8" t="s">
        <v>54</v>
      </c>
      <c r="AE702" s="8" t="s">
        <v>54</v>
      </c>
      <c r="AF702" s="8" t="s">
        <v>54</v>
      </c>
      <c r="AG702" s="8" t="s">
        <v>54</v>
      </c>
      <c r="AH702" s="8" t="s">
        <v>54</v>
      </c>
      <c r="AI702" s="10" t="s">
        <v>67</v>
      </c>
      <c r="AJ702" s="8">
        <f>COUNTIF($E$702:$AI$702,"P")</f>
        <v>21</v>
      </c>
      <c r="AK702" s="8">
        <f>COUNTIF($E$702:$AI$702,"A")</f>
        <v>5</v>
      </c>
      <c r="AL702" s="8">
        <f>SUM($E$703:$AI$703)</f>
        <v>0</v>
      </c>
      <c r="AM702" s="8">
        <f>SUM($E$704:$AI$704)</f>
        <v>0</v>
      </c>
      <c r="AN702" s="8">
        <f>AL702+AM702</f>
        <v>0</v>
      </c>
      <c r="AO702" s="8">
        <f>COUNTIF($E$702:$AI$702,"CL")</f>
        <v>0</v>
      </c>
      <c r="AP702" s="8">
        <f>COUNTIF($E$702:$AI$702,"SL")</f>
        <v>0</v>
      </c>
      <c r="AQ702" s="8">
        <f>COUNTIF($E$702:$AI$702,"EL")</f>
        <v>0</v>
      </c>
      <c r="AR702" s="8">
        <f>COUNTIF($E$702:$AI$702,"H")</f>
        <v>0</v>
      </c>
      <c r="AS702" s="8"/>
      <c r="AT702" s="11" t="s">
        <v>2090</v>
      </c>
    </row>
    <row r="703" spans="1:46" ht="15.1" customHeight="1">
      <c r="A703" s="8"/>
      <c r="B703" s="9"/>
      <c r="C703" s="8"/>
      <c r="D703" s="9"/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11" t="s">
        <v>2090</v>
      </c>
    </row>
    <row r="704" spans="1:46" ht="15.1" customHeight="1">
      <c r="A704" s="8"/>
      <c r="B704" s="9"/>
      <c r="C704" s="8"/>
      <c r="D704" s="9"/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11" t="s">
        <v>2090</v>
      </c>
    </row>
    <row r="705" spans="1:46" ht="15.1" customHeight="1">
      <c r="A705" s="8">
        <v>234</v>
      </c>
      <c r="B705" s="9" t="s">
        <v>2538</v>
      </c>
      <c r="C705" s="8" t="s">
        <v>2539</v>
      </c>
      <c r="D705" s="9" t="s">
        <v>451</v>
      </c>
      <c r="E705" s="8" t="s">
        <v>54</v>
      </c>
      <c r="F705" s="8" t="s">
        <v>54</v>
      </c>
      <c r="G705" s="10" t="s">
        <v>67</v>
      </c>
      <c r="H705" s="8" t="s">
        <v>54</v>
      </c>
      <c r="I705" s="8" t="s">
        <v>54</v>
      </c>
      <c r="J705" s="8" t="s">
        <v>54</v>
      </c>
      <c r="K705" s="8" t="s">
        <v>54</v>
      </c>
      <c r="L705" s="8" t="s">
        <v>54</v>
      </c>
      <c r="M705" s="8" t="s">
        <v>54</v>
      </c>
      <c r="N705" s="10" t="s">
        <v>67</v>
      </c>
      <c r="O705" s="8" t="s">
        <v>54</v>
      </c>
      <c r="P705" s="8" t="s">
        <v>54</v>
      </c>
      <c r="Q705" s="8" t="s">
        <v>54</v>
      </c>
      <c r="R705" s="8" t="s">
        <v>54</v>
      </c>
      <c r="S705" s="8" t="s">
        <v>54</v>
      </c>
      <c r="T705" s="8" t="s">
        <v>54</v>
      </c>
      <c r="U705" s="10" t="s">
        <v>67</v>
      </c>
      <c r="V705" s="8" t="s">
        <v>54</v>
      </c>
      <c r="W705" s="8" t="s">
        <v>54</v>
      </c>
      <c r="X705" s="12" t="s">
        <v>55</v>
      </c>
      <c r="Y705" s="8" t="s">
        <v>54</v>
      </c>
      <c r="Z705" s="12" t="s">
        <v>55</v>
      </c>
      <c r="AA705" s="12" t="s">
        <v>55</v>
      </c>
      <c r="AB705" s="10" t="s">
        <v>67</v>
      </c>
      <c r="AC705" s="8" t="s">
        <v>54</v>
      </c>
      <c r="AD705" s="8" t="s">
        <v>54</v>
      </c>
      <c r="AE705" s="8" t="s">
        <v>54</v>
      </c>
      <c r="AF705" s="8" t="s">
        <v>54</v>
      </c>
      <c r="AG705" s="8" t="s">
        <v>54</v>
      </c>
      <c r="AH705" s="8" t="s">
        <v>54</v>
      </c>
      <c r="AI705" s="10" t="s">
        <v>67</v>
      </c>
      <c r="AJ705" s="8">
        <f>COUNTIF($E$705:$AI$705,"P")</f>
        <v>23</v>
      </c>
      <c r="AK705" s="8">
        <f>COUNTIF($E$705:$AI$705,"A")</f>
        <v>3</v>
      </c>
      <c r="AL705" s="8">
        <f>SUM($E$706:$AI$706)</f>
        <v>0</v>
      </c>
      <c r="AM705" s="8">
        <f>SUM($E$707:$AI$707)</f>
        <v>0</v>
      </c>
      <c r="AN705" s="8">
        <f>AL705+AM705</f>
        <v>0</v>
      </c>
      <c r="AO705" s="8">
        <f>COUNTIF($E$705:$AI$705,"CL")</f>
        <v>0</v>
      </c>
      <c r="AP705" s="8">
        <f>COUNTIF($E$705:$AI$705,"SL")</f>
        <v>0</v>
      </c>
      <c r="AQ705" s="8">
        <f>COUNTIF($E$705:$AI$705,"EL")</f>
        <v>0</v>
      </c>
      <c r="AR705" s="8">
        <f>COUNTIF($E$705:$AI$705,"H")</f>
        <v>0</v>
      </c>
      <c r="AS705" s="8"/>
      <c r="AT705" s="11" t="s">
        <v>2090</v>
      </c>
    </row>
    <row r="706" spans="1:46" ht="15.1" customHeight="1">
      <c r="A706" s="8"/>
      <c r="B706" s="9"/>
      <c r="C706" s="8"/>
      <c r="D706" s="9"/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11" t="s">
        <v>2090</v>
      </c>
    </row>
    <row r="707" spans="1:46" ht="15.1" customHeight="1">
      <c r="A707" s="8"/>
      <c r="B707" s="9"/>
      <c r="C707" s="8"/>
      <c r="D707" s="9"/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11" t="s">
        <v>2090</v>
      </c>
    </row>
    <row r="708" spans="1:46" ht="15.1" customHeight="1">
      <c r="A708" s="8">
        <v>235</v>
      </c>
      <c r="B708" s="9" t="s">
        <v>2540</v>
      </c>
      <c r="C708" s="8" t="s">
        <v>2541</v>
      </c>
      <c r="D708" s="9" t="s">
        <v>451</v>
      </c>
      <c r="E708" s="8" t="s">
        <v>54</v>
      </c>
      <c r="F708" s="8" t="s">
        <v>54</v>
      </c>
      <c r="G708" s="10" t="s">
        <v>67</v>
      </c>
      <c r="H708" s="8" t="s">
        <v>54</v>
      </c>
      <c r="I708" s="8" t="s">
        <v>54</v>
      </c>
      <c r="J708" s="8" t="s">
        <v>54</v>
      </c>
      <c r="K708" s="8" t="s">
        <v>54</v>
      </c>
      <c r="L708" s="8" t="s">
        <v>54</v>
      </c>
      <c r="M708" s="8" t="s">
        <v>54</v>
      </c>
      <c r="N708" s="10" t="s">
        <v>67</v>
      </c>
      <c r="O708" s="8" t="s">
        <v>54</v>
      </c>
      <c r="P708" s="8" t="s">
        <v>54</v>
      </c>
      <c r="Q708" s="8" t="s">
        <v>54</v>
      </c>
      <c r="R708" s="8" t="s">
        <v>54</v>
      </c>
      <c r="S708" s="8" t="s">
        <v>54</v>
      </c>
      <c r="T708" s="8" t="s">
        <v>54</v>
      </c>
      <c r="U708" s="10" t="s">
        <v>67</v>
      </c>
      <c r="V708" s="8" t="s">
        <v>54</v>
      </c>
      <c r="W708" s="8" t="s">
        <v>54</v>
      </c>
      <c r="X708" s="12" t="s">
        <v>55</v>
      </c>
      <c r="Y708" s="8" t="s">
        <v>54</v>
      </c>
      <c r="Z708" s="8" t="s">
        <v>54</v>
      </c>
      <c r="AA708" s="12" t="s">
        <v>55</v>
      </c>
      <c r="AB708" s="10" t="s">
        <v>67</v>
      </c>
      <c r="AC708" s="8" t="s">
        <v>54</v>
      </c>
      <c r="AD708" s="12" t="s">
        <v>55</v>
      </c>
      <c r="AE708" s="8" t="s">
        <v>54</v>
      </c>
      <c r="AF708" s="8" t="s">
        <v>54</v>
      </c>
      <c r="AG708" s="8" t="s">
        <v>54</v>
      </c>
      <c r="AH708" s="8" t="s">
        <v>54</v>
      </c>
      <c r="AI708" s="10" t="s">
        <v>67</v>
      </c>
      <c r="AJ708" s="8">
        <f>COUNTIF($E$708:$AI$708,"P")</f>
        <v>23</v>
      </c>
      <c r="AK708" s="8">
        <f>COUNTIF($E$708:$AI$708,"A")</f>
        <v>3</v>
      </c>
      <c r="AL708" s="8">
        <f>SUM($E$709:$AI$709)</f>
        <v>0</v>
      </c>
      <c r="AM708" s="8">
        <f>SUM($E$710:$AI$710)</f>
        <v>0</v>
      </c>
      <c r="AN708" s="8">
        <f>AL708+AM708</f>
        <v>0</v>
      </c>
      <c r="AO708" s="8">
        <f>COUNTIF($E$708:$AI$708,"CL")</f>
        <v>0</v>
      </c>
      <c r="AP708" s="8">
        <f>COUNTIF($E$708:$AI$708,"SL")</f>
        <v>0</v>
      </c>
      <c r="AQ708" s="8">
        <f>COUNTIF($E$708:$AI$708,"EL")</f>
        <v>0</v>
      </c>
      <c r="AR708" s="8">
        <f>COUNTIF($E$708:$AI$708,"H")</f>
        <v>0</v>
      </c>
      <c r="AS708" s="8"/>
      <c r="AT708" s="11" t="s">
        <v>2090</v>
      </c>
    </row>
    <row r="709" spans="1:46" ht="15.1" customHeight="1">
      <c r="A709" s="8"/>
      <c r="B709" s="9"/>
      <c r="C709" s="8"/>
      <c r="D709" s="9"/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11" t="s">
        <v>2090</v>
      </c>
    </row>
    <row r="710" spans="1:46" ht="15.1" customHeight="1">
      <c r="A710" s="8"/>
      <c r="B710" s="9"/>
      <c r="C710" s="8"/>
      <c r="D710" s="9"/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11" t="s">
        <v>2090</v>
      </c>
    </row>
    <row r="711" spans="1:46" ht="15.1" customHeight="1">
      <c r="A711" s="8">
        <v>236</v>
      </c>
      <c r="B711" s="9" t="s">
        <v>2542</v>
      </c>
      <c r="C711" s="8" t="s">
        <v>2543</v>
      </c>
      <c r="D711" s="9" t="s">
        <v>451</v>
      </c>
      <c r="E711" s="8" t="s">
        <v>54</v>
      </c>
      <c r="F711" s="8" t="s">
        <v>54</v>
      </c>
      <c r="G711" s="10" t="s">
        <v>67</v>
      </c>
      <c r="H711" s="8" t="s">
        <v>54</v>
      </c>
      <c r="I711" s="8" t="s">
        <v>54</v>
      </c>
      <c r="J711" s="8" t="s">
        <v>54</v>
      </c>
      <c r="K711" s="12" t="s">
        <v>55</v>
      </c>
      <c r="L711" s="8" t="s">
        <v>54</v>
      </c>
      <c r="M711" s="8" t="s">
        <v>54</v>
      </c>
      <c r="N711" s="10" t="s">
        <v>67</v>
      </c>
      <c r="O711" s="8" t="s">
        <v>54</v>
      </c>
      <c r="P711" s="8" t="s">
        <v>54</v>
      </c>
      <c r="Q711" s="8" t="s">
        <v>54</v>
      </c>
      <c r="R711" s="8" t="s">
        <v>54</v>
      </c>
      <c r="S711" s="8" t="s">
        <v>54</v>
      </c>
      <c r="T711" s="8" t="s">
        <v>54</v>
      </c>
      <c r="U711" s="10" t="s">
        <v>67</v>
      </c>
      <c r="V711" s="8" t="s">
        <v>54</v>
      </c>
      <c r="W711" s="8" t="s">
        <v>54</v>
      </c>
      <c r="X711" s="12" t="s">
        <v>55</v>
      </c>
      <c r="Y711" s="8" t="s">
        <v>54</v>
      </c>
      <c r="Z711" s="8" t="s">
        <v>54</v>
      </c>
      <c r="AA711" s="12" t="s">
        <v>55</v>
      </c>
      <c r="AB711" s="10" t="s">
        <v>67</v>
      </c>
      <c r="AC711" s="8" t="s">
        <v>54</v>
      </c>
      <c r="AD711" s="8" t="s">
        <v>54</v>
      </c>
      <c r="AE711" s="8" t="s">
        <v>54</v>
      </c>
      <c r="AF711" s="8" t="s">
        <v>54</v>
      </c>
      <c r="AG711" s="8" t="s">
        <v>54</v>
      </c>
      <c r="AH711" s="8" t="s">
        <v>54</v>
      </c>
      <c r="AI711" s="10" t="s">
        <v>67</v>
      </c>
      <c r="AJ711" s="8">
        <f>COUNTIF($E$711:$AI$711,"P")</f>
        <v>23</v>
      </c>
      <c r="AK711" s="8">
        <f>COUNTIF($E$711:$AI$711,"A")</f>
        <v>3</v>
      </c>
      <c r="AL711" s="8">
        <f>SUM($E$712:$AI$712)</f>
        <v>0</v>
      </c>
      <c r="AM711" s="8">
        <f>SUM($E$713:$AI$713)</f>
        <v>0</v>
      </c>
      <c r="AN711" s="8">
        <f>AL711+AM711</f>
        <v>0</v>
      </c>
      <c r="AO711" s="8">
        <f>COUNTIF($E$711:$AI$711,"CL")</f>
        <v>0</v>
      </c>
      <c r="AP711" s="8">
        <f>COUNTIF($E$711:$AI$711,"SL")</f>
        <v>0</v>
      </c>
      <c r="AQ711" s="8">
        <f>COUNTIF($E$711:$AI$711,"EL")</f>
        <v>0</v>
      </c>
      <c r="AR711" s="8">
        <f>COUNTIF($E$711:$AI$711,"H")</f>
        <v>0</v>
      </c>
      <c r="AS711" s="8"/>
      <c r="AT711" s="11" t="s">
        <v>2090</v>
      </c>
    </row>
    <row r="712" spans="1:46" ht="15.1" customHeight="1">
      <c r="A712" s="8"/>
      <c r="B712" s="9"/>
      <c r="C712" s="8"/>
      <c r="D712" s="9"/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11" t="s">
        <v>2090</v>
      </c>
    </row>
    <row r="713" spans="1:46" ht="15.1" customHeight="1">
      <c r="A713" s="8"/>
      <c r="B713" s="9"/>
      <c r="C713" s="8"/>
      <c r="D713" s="9"/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11" t="s">
        <v>2090</v>
      </c>
    </row>
    <row r="714" spans="1:46" ht="15.1" customHeight="1">
      <c r="A714" s="8">
        <v>237</v>
      </c>
      <c r="B714" s="9" t="s">
        <v>2544</v>
      </c>
      <c r="C714" s="8" t="s">
        <v>2545</v>
      </c>
      <c r="D714" s="9" t="s">
        <v>451</v>
      </c>
      <c r="E714" s="8" t="s">
        <v>54</v>
      </c>
      <c r="F714" s="8" t="s">
        <v>54</v>
      </c>
      <c r="G714" s="10" t="s">
        <v>67</v>
      </c>
      <c r="H714" s="12" t="s">
        <v>55</v>
      </c>
      <c r="I714" s="12" t="s">
        <v>55</v>
      </c>
      <c r="J714" s="12" t="s">
        <v>55</v>
      </c>
      <c r="K714" s="12" t="s">
        <v>55</v>
      </c>
      <c r="L714" s="8" t="s">
        <v>54</v>
      </c>
      <c r="M714" s="8" t="s">
        <v>54</v>
      </c>
      <c r="N714" s="10" t="s">
        <v>67</v>
      </c>
      <c r="O714" s="8" t="s">
        <v>54</v>
      </c>
      <c r="P714" s="8" t="s">
        <v>54</v>
      </c>
      <c r="Q714" s="8" t="s">
        <v>54</v>
      </c>
      <c r="R714" s="8" t="s">
        <v>54</v>
      </c>
      <c r="S714" s="12" t="s">
        <v>55</v>
      </c>
      <c r="T714" s="8" t="s">
        <v>54</v>
      </c>
      <c r="U714" s="10" t="s">
        <v>67</v>
      </c>
      <c r="V714" s="8" t="s">
        <v>54</v>
      </c>
      <c r="W714" s="8" t="s">
        <v>54</v>
      </c>
      <c r="X714" s="12" t="s">
        <v>55</v>
      </c>
      <c r="Y714" s="8" t="s">
        <v>54</v>
      </c>
      <c r="Z714" s="8" t="s">
        <v>54</v>
      </c>
      <c r="AA714" s="12" t="s">
        <v>55</v>
      </c>
      <c r="AB714" s="10" t="s">
        <v>67</v>
      </c>
      <c r="AC714" s="8" t="s">
        <v>54</v>
      </c>
      <c r="AD714" s="8" t="s">
        <v>54</v>
      </c>
      <c r="AE714" s="8" t="s">
        <v>54</v>
      </c>
      <c r="AF714" s="8" t="s">
        <v>54</v>
      </c>
      <c r="AG714" s="8" t="s">
        <v>54</v>
      </c>
      <c r="AH714" s="8" t="s">
        <v>54</v>
      </c>
      <c r="AI714" s="10" t="s">
        <v>67</v>
      </c>
      <c r="AJ714" s="8">
        <f>COUNTIF($E$714:$AI$714,"P")</f>
        <v>19</v>
      </c>
      <c r="AK714" s="8">
        <f>COUNTIF($E$714:$AI$714,"A")</f>
        <v>7</v>
      </c>
      <c r="AL714" s="8">
        <f>SUM($E$715:$AI$715)</f>
        <v>0</v>
      </c>
      <c r="AM714" s="8">
        <f>SUM($E$716:$AI$716)</f>
        <v>0</v>
      </c>
      <c r="AN714" s="8">
        <f>AL714+AM714</f>
        <v>0</v>
      </c>
      <c r="AO714" s="8">
        <f>COUNTIF($E$714:$AI$714,"CL")</f>
        <v>0</v>
      </c>
      <c r="AP714" s="8">
        <f>COUNTIF($E$714:$AI$714,"SL")</f>
        <v>0</v>
      </c>
      <c r="AQ714" s="8">
        <f>COUNTIF($E$714:$AI$714,"EL")</f>
        <v>0</v>
      </c>
      <c r="AR714" s="8">
        <f>COUNTIF($E$714:$AI$714,"H")</f>
        <v>0</v>
      </c>
      <c r="AS714" s="8"/>
      <c r="AT714" s="11" t="s">
        <v>2090</v>
      </c>
    </row>
    <row r="715" spans="1:46" ht="15.1" customHeight="1">
      <c r="A715" s="8"/>
      <c r="B715" s="9"/>
      <c r="C715" s="8"/>
      <c r="D715" s="9"/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11" t="s">
        <v>2090</v>
      </c>
    </row>
    <row r="716" spans="1:46" ht="15.1" customHeight="1">
      <c r="A716" s="8"/>
      <c r="B716" s="9"/>
      <c r="C716" s="8"/>
      <c r="D716" s="9"/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11" t="s">
        <v>2090</v>
      </c>
    </row>
    <row r="717" spans="1:46" ht="15.1" customHeight="1">
      <c r="A717" s="8">
        <v>238</v>
      </c>
      <c r="B717" s="9" t="s">
        <v>2546</v>
      </c>
      <c r="C717" s="8" t="s">
        <v>2547</v>
      </c>
      <c r="D717" s="9" t="s">
        <v>451</v>
      </c>
      <c r="E717" s="8" t="s">
        <v>54</v>
      </c>
      <c r="F717" s="8" t="s">
        <v>54</v>
      </c>
      <c r="G717" s="10" t="s">
        <v>67</v>
      </c>
      <c r="H717" s="8" t="s">
        <v>54</v>
      </c>
      <c r="I717" s="8" t="s">
        <v>54</v>
      </c>
      <c r="J717" s="8" t="s">
        <v>54</v>
      </c>
      <c r="K717" s="8" t="s">
        <v>54</v>
      </c>
      <c r="L717" s="8" t="s">
        <v>54</v>
      </c>
      <c r="M717" s="8" t="s">
        <v>54</v>
      </c>
      <c r="N717" s="10" t="s">
        <v>67</v>
      </c>
      <c r="O717" s="8" t="s">
        <v>54</v>
      </c>
      <c r="P717" s="8" t="s">
        <v>54</v>
      </c>
      <c r="Q717" s="8" t="s">
        <v>54</v>
      </c>
      <c r="R717" s="8" t="s">
        <v>54</v>
      </c>
      <c r="S717" s="8" t="s">
        <v>54</v>
      </c>
      <c r="T717" s="8" t="s">
        <v>54</v>
      </c>
      <c r="U717" s="10" t="s">
        <v>67</v>
      </c>
      <c r="V717" s="8" t="s">
        <v>54</v>
      </c>
      <c r="W717" s="8" t="s">
        <v>54</v>
      </c>
      <c r="X717" s="12" t="s">
        <v>55</v>
      </c>
      <c r="Y717" s="8" t="s">
        <v>54</v>
      </c>
      <c r="Z717" s="8" t="s">
        <v>54</v>
      </c>
      <c r="AA717" s="8" t="s">
        <v>54</v>
      </c>
      <c r="AB717" s="10" t="s">
        <v>67</v>
      </c>
      <c r="AC717" s="12" t="s">
        <v>55</v>
      </c>
      <c r="AD717" s="12" t="s">
        <v>55</v>
      </c>
      <c r="AE717" s="12" t="s">
        <v>55</v>
      </c>
      <c r="AF717" s="12" t="s">
        <v>55</v>
      </c>
      <c r="AG717" s="8" t="s">
        <v>54</v>
      </c>
      <c r="AH717" s="8" t="s">
        <v>54</v>
      </c>
      <c r="AI717" s="10" t="s">
        <v>67</v>
      </c>
      <c r="AJ717" s="8">
        <f>COUNTIF($E$717:$AI$717,"P")</f>
        <v>21</v>
      </c>
      <c r="AK717" s="8">
        <f>COUNTIF($E$717:$AI$717,"A")</f>
        <v>5</v>
      </c>
      <c r="AL717" s="8">
        <f>SUM($E$718:$AI$718)</f>
        <v>0</v>
      </c>
      <c r="AM717" s="8">
        <f>SUM($E$719:$AI$719)</f>
        <v>0</v>
      </c>
      <c r="AN717" s="8">
        <f>AL717+AM717</f>
        <v>0</v>
      </c>
      <c r="AO717" s="8">
        <f>COUNTIF($E$717:$AI$717,"CL")</f>
        <v>0</v>
      </c>
      <c r="AP717" s="8">
        <f>COUNTIF($E$717:$AI$717,"SL")</f>
        <v>0</v>
      </c>
      <c r="AQ717" s="8">
        <f>COUNTIF($E$717:$AI$717,"EL")</f>
        <v>0</v>
      </c>
      <c r="AR717" s="8">
        <f>COUNTIF($E$717:$AI$717,"H")</f>
        <v>0</v>
      </c>
      <c r="AS717" s="8"/>
      <c r="AT717" s="11" t="s">
        <v>2090</v>
      </c>
    </row>
    <row r="718" spans="1:46" ht="15.1" customHeight="1">
      <c r="A718" s="8"/>
      <c r="B718" s="9"/>
      <c r="C718" s="8"/>
      <c r="D718" s="9"/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11" t="s">
        <v>2090</v>
      </c>
    </row>
    <row r="719" spans="1:46" ht="15.1" customHeight="1">
      <c r="A719" s="8"/>
      <c r="B719" s="9"/>
      <c r="C719" s="8"/>
      <c r="D719" s="9"/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11" t="s">
        <v>2090</v>
      </c>
    </row>
    <row r="720" spans="1:46" ht="15.1" customHeight="1">
      <c r="A720" s="8">
        <v>239</v>
      </c>
      <c r="B720" s="9" t="s">
        <v>2548</v>
      </c>
      <c r="C720" s="8" t="s">
        <v>2549</v>
      </c>
      <c r="D720" s="9" t="s">
        <v>451</v>
      </c>
      <c r="E720" s="8" t="s">
        <v>54</v>
      </c>
      <c r="F720" s="8" t="s">
        <v>54</v>
      </c>
      <c r="G720" s="10" t="s">
        <v>67</v>
      </c>
      <c r="H720" s="8" t="s">
        <v>54</v>
      </c>
      <c r="I720" s="8" t="s">
        <v>54</v>
      </c>
      <c r="J720" s="8" t="s">
        <v>54</v>
      </c>
      <c r="K720" s="8" t="s">
        <v>54</v>
      </c>
      <c r="L720" s="8" t="s">
        <v>54</v>
      </c>
      <c r="M720" s="8" t="s">
        <v>54</v>
      </c>
      <c r="N720" s="10" t="s">
        <v>67</v>
      </c>
      <c r="O720" s="8" t="s">
        <v>54</v>
      </c>
      <c r="P720" s="8" t="s">
        <v>54</v>
      </c>
      <c r="Q720" s="8" t="s">
        <v>54</v>
      </c>
      <c r="R720" s="8" t="s">
        <v>54</v>
      </c>
      <c r="S720" s="8" t="s">
        <v>54</v>
      </c>
      <c r="T720" s="8" t="s">
        <v>54</v>
      </c>
      <c r="U720" s="10" t="s">
        <v>67</v>
      </c>
      <c r="V720" s="8" t="s">
        <v>54</v>
      </c>
      <c r="W720" s="8" t="s">
        <v>54</v>
      </c>
      <c r="X720" s="12" t="s">
        <v>55</v>
      </c>
      <c r="Y720" s="8" t="s">
        <v>54</v>
      </c>
      <c r="Z720" s="8" t="s">
        <v>54</v>
      </c>
      <c r="AA720" s="8" t="s">
        <v>54</v>
      </c>
      <c r="AB720" s="10" t="s">
        <v>67</v>
      </c>
      <c r="AC720" s="12" t="s">
        <v>55</v>
      </c>
      <c r="AD720" s="12" t="s">
        <v>55</v>
      </c>
      <c r="AE720" s="12" t="s">
        <v>55</v>
      </c>
      <c r="AF720" s="12" t="s">
        <v>55</v>
      </c>
      <c r="AG720" s="12" t="s">
        <v>55</v>
      </c>
      <c r="AH720" s="8" t="s">
        <v>54</v>
      </c>
      <c r="AI720" s="10" t="s">
        <v>67</v>
      </c>
      <c r="AJ720" s="8">
        <f>COUNTIF($E$720:$AI$720,"P")</f>
        <v>20</v>
      </c>
      <c r="AK720" s="8">
        <f>COUNTIF($E$720:$AI$720,"A")</f>
        <v>6</v>
      </c>
      <c r="AL720" s="8">
        <f>SUM($E$721:$AI$721)</f>
        <v>0</v>
      </c>
      <c r="AM720" s="8">
        <f>SUM($E$722:$AI$722)</f>
        <v>0</v>
      </c>
      <c r="AN720" s="8">
        <f>AL720+AM720</f>
        <v>0</v>
      </c>
      <c r="AO720" s="8">
        <f>COUNTIF($E$720:$AI$720,"CL")</f>
        <v>0</v>
      </c>
      <c r="AP720" s="8">
        <f>COUNTIF($E$720:$AI$720,"SL")</f>
        <v>0</v>
      </c>
      <c r="AQ720" s="8">
        <f>COUNTIF($E$720:$AI$720,"EL")</f>
        <v>0</v>
      </c>
      <c r="AR720" s="8">
        <f>COUNTIF($E$720:$AI$720,"H")</f>
        <v>0</v>
      </c>
      <c r="AS720" s="8"/>
      <c r="AT720" s="11" t="s">
        <v>2090</v>
      </c>
    </row>
    <row r="721" spans="1:46" ht="15.1" customHeight="1">
      <c r="A721" s="8"/>
      <c r="B721" s="9"/>
      <c r="C721" s="8"/>
      <c r="D721" s="9"/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11" t="s">
        <v>2090</v>
      </c>
    </row>
    <row r="722" spans="1:46" ht="15.1" customHeight="1">
      <c r="A722" s="8"/>
      <c r="B722" s="9"/>
      <c r="C722" s="8"/>
      <c r="D722" s="9"/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11" t="s">
        <v>2090</v>
      </c>
    </row>
    <row r="723" spans="1:46" ht="15.1" customHeight="1">
      <c r="A723" s="8">
        <v>240</v>
      </c>
      <c r="B723" s="9" t="s">
        <v>2550</v>
      </c>
      <c r="C723" s="8" t="s">
        <v>2551</v>
      </c>
      <c r="D723" s="9" t="s">
        <v>451</v>
      </c>
      <c r="E723" s="12" t="s">
        <v>55</v>
      </c>
      <c r="F723" s="12" t="s">
        <v>55</v>
      </c>
      <c r="G723" s="10" t="s">
        <v>67</v>
      </c>
      <c r="H723" s="12" t="s">
        <v>55</v>
      </c>
      <c r="I723" s="12" t="s">
        <v>55</v>
      </c>
      <c r="J723" s="8" t="s">
        <v>54</v>
      </c>
      <c r="K723" s="8" t="s">
        <v>54</v>
      </c>
      <c r="L723" s="8" t="s">
        <v>54</v>
      </c>
      <c r="M723" s="8" t="s">
        <v>54</v>
      </c>
      <c r="N723" s="10" t="s">
        <v>67</v>
      </c>
      <c r="O723" s="8" t="s">
        <v>54</v>
      </c>
      <c r="P723" s="8" t="s">
        <v>54</v>
      </c>
      <c r="Q723" s="8" t="s">
        <v>54</v>
      </c>
      <c r="R723" s="8" t="s">
        <v>54</v>
      </c>
      <c r="S723" s="8" t="s">
        <v>54</v>
      </c>
      <c r="T723" s="8" t="s">
        <v>54</v>
      </c>
      <c r="U723" s="10" t="s">
        <v>67</v>
      </c>
      <c r="V723" s="8" t="s">
        <v>54</v>
      </c>
      <c r="W723" s="8" t="s">
        <v>54</v>
      </c>
      <c r="X723" s="12" t="s">
        <v>55</v>
      </c>
      <c r="Y723" s="8" t="s">
        <v>54</v>
      </c>
      <c r="Z723" s="8" t="s">
        <v>54</v>
      </c>
      <c r="AA723" s="8" t="s">
        <v>54</v>
      </c>
      <c r="AB723" s="10" t="s">
        <v>67</v>
      </c>
      <c r="AC723" s="8" t="s">
        <v>54</v>
      </c>
      <c r="AD723" s="8" t="s">
        <v>54</v>
      </c>
      <c r="AE723" s="8" t="s">
        <v>54</v>
      </c>
      <c r="AF723" s="8" t="s">
        <v>54</v>
      </c>
      <c r="AG723" s="8" t="s">
        <v>54</v>
      </c>
      <c r="AH723" s="8" t="s">
        <v>54</v>
      </c>
      <c r="AI723" s="10" t="s">
        <v>67</v>
      </c>
      <c r="AJ723" s="8">
        <f>COUNTIF($E$723:$AI$723,"P")</f>
        <v>21</v>
      </c>
      <c r="AK723" s="8">
        <f>COUNTIF($E$723:$AI$723,"A")</f>
        <v>5</v>
      </c>
      <c r="AL723" s="8">
        <f>SUM($E$724:$AI$724)</f>
        <v>0</v>
      </c>
      <c r="AM723" s="8">
        <f>SUM($E$725:$AI$725)</f>
        <v>0</v>
      </c>
      <c r="AN723" s="8">
        <f>AL723+AM723</f>
        <v>0</v>
      </c>
      <c r="AO723" s="8">
        <f>COUNTIF($E$723:$AI$723,"CL")</f>
        <v>0</v>
      </c>
      <c r="AP723" s="8">
        <f>COUNTIF($E$723:$AI$723,"SL")</f>
        <v>0</v>
      </c>
      <c r="AQ723" s="8">
        <f>COUNTIF($E$723:$AI$723,"EL")</f>
        <v>0</v>
      </c>
      <c r="AR723" s="8">
        <f>COUNTIF($E$723:$AI$723,"H")</f>
        <v>0</v>
      </c>
      <c r="AS723" s="8"/>
      <c r="AT723" s="11" t="s">
        <v>2090</v>
      </c>
    </row>
    <row r="724" spans="1:46" ht="15.1" customHeight="1">
      <c r="A724" s="8"/>
      <c r="B724" s="9"/>
      <c r="C724" s="8"/>
      <c r="D724" s="9"/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11" t="s">
        <v>2090</v>
      </c>
    </row>
    <row r="725" spans="1:46" ht="15.1" customHeight="1">
      <c r="A725" s="8"/>
      <c r="B725" s="9"/>
      <c r="C725" s="8"/>
      <c r="D725" s="9"/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11" t="s">
        <v>2090</v>
      </c>
    </row>
    <row r="726" spans="1:46" ht="15.1" customHeight="1">
      <c r="A726" s="8">
        <v>241</v>
      </c>
      <c r="B726" s="9" t="s">
        <v>2552</v>
      </c>
      <c r="C726" s="8" t="s">
        <v>2553</v>
      </c>
      <c r="D726" s="9" t="s">
        <v>451</v>
      </c>
      <c r="E726" s="8" t="s">
        <v>54</v>
      </c>
      <c r="F726" s="8" t="s">
        <v>54</v>
      </c>
      <c r="G726" s="10" t="s">
        <v>67</v>
      </c>
      <c r="H726" s="8" t="s">
        <v>54</v>
      </c>
      <c r="I726" s="8" t="s">
        <v>54</v>
      </c>
      <c r="J726" s="8" t="s">
        <v>54</v>
      </c>
      <c r="K726" s="8" t="s">
        <v>54</v>
      </c>
      <c r="L726" s="8" t="s">
        <v>54</v>
      </c>
      <c r="M726" s="8" t="s">
        <v>54</v>
      </c>
      <c r="N726" s="10" t="s">
        <v>67</v>
      </c>
      <c r="O726" s="8" t="s">
        <v>54</v>
      </c>
      <c r="P726" s="8" t="s">
        <v>54</v>
      </c>
      <c r="Q726" s="8" t="s">
        <v>54</v>
      </c>
      <c r="R726" s="8" t="s">
        <v>54</v>
      </c>
      <c r="S726" s="8" t="s">
        <v>54</v>
      </c>
      <c r="T726" s="8" t="s">
        <v>54</v>
      </c>
      <c r="U726" s="10" t="s">
        <v>67</v>
      </c>
      <c r="V726" s="8" t="s">
        <v>54</v>
      </c>
      <c r="W726" s="8" t="s">
        <v>54</v>
      </c>
      <c r="X726" s="8" t="s">
        <v>54</v>
      </c>
      <c r="Y726" s="8" t="s">
        <v>54</v>
      </c>
      <c r="Z726" s="8" t="s">
        <v>54</v>
      </c>
      <c r="AA726" s="8" t="s">
        <v>54</v>
      </c>
      <c r="AB726" s="10" t="s">
        <v>67</v>
      </c>
      <c r="AC726" s="8" t="s">
        <v>54</v>
      </c>
      <c r="AD726" s="8" t="s">
        <v>54</v>
      </c>
      <c r="AE726" s="8" t="s">
        <v>54</v>
      </c>
      <c r="AF726" s="8" t="s">
        <v>54</v>
      </c>
      <c r="AG726" s="8" t="s">
        <v>54</v>
      </c>
      <c r="AH726" s="8" t="s">
        <v>54</v>
      </c>
      <c r="AI726" s="10" t="s">
        <v>67</v>
      </c>
      <c r="AJ726" s="8">
        <f>COUNTIF($E$726:$AI$726,"P")</f>
        <v>26</v>
      </c>
      <c r="AK726" s="8">
        <f>COUNTIF($E$726:$AI$726,"A")</f>
        <v>0</v>
      </c>
      <c r="AL726" s="8">
        <f>SUM($E$727:$AI$727)</f>
        <v>0</v>
      </c>
      <c r="AM726" s="8">
        <f>SUM($E$728:$AI$728)</f>
        <v>0</v>
      </c>
      <c r="AN726" s="8">
        <f>AL726+AM726</f>
        <v>0</v>
      </c>
      <c r="AO726" s="8">
        <f>COUNTIF($E$726:$AI$726,"CL")</f>
        <v>0</v>
      </c>
      <c r="AP726" s="8">
        <f>COUNTIF($E$726:$AI$726,"SL")</f>
        <v>0</v>
      </c>
      <c r="AQ726" s="8">
        <f>COUNTIF($E$726:$AI$726,"EL")</f>
        <v>0</v>
      </c>
      <c r="AR726" s="8">
        <f>COUNTIF($E$726:$AI$726,"H")</f>
        <v>0</v>
      </c>
      <c r="AS726" s="8"/>
      <c r="AT726" s="11" t="s">
        <v>2090</v>
      </c>
    </row>
    <row r="727" spans="1:46" ht="15.1" customHeight="1">
      <c r="A727" s="8"/>
      <c r="B727" s="9"/>
      <c r="C727" s="8"/>
      <c r="D727" s="9"/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11" t="s">
        <v>2090</v>
      </c>
    </row>
    <row r="728" spans="1:46" ht="15.1" customHeight="1">
      <c r="A728" s="8"/>
      <c r="B728" s="9"/>
      <c r="C728" s="8"/>
      <c r="D728" s="9"/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11" t="s">
        <v>2090</v>
      </c>
    </row>
    <row r="729" spans="1:46" ht="15.1" customHeight="1">
      <c r="A729" s="8">
        <v>242</v>
      </c>
      <c r="B729" s="9" t="s">
        <v>2554</v>
      </c>
      <c r="C729" s="8" t="s">
        <v>2555</v>
      </c>
      <c r="D729" s="9" t="s">
        <v>451</v>
      </c>
      <c r="E729" s="12" t="s">
        <v>55</v>
      </c>
      <c r="F729" s="8" t="s">
        <v>54</v>
      </c>
      <c r="G729" s="10" t="s">
        <v>67</v>
      </c>
      <c r="H729" s="8" t="s">
        <v>54</v>
      </c>
      <c r="I729" s="8" t="s">
        <v>54</v>
      </c>
      <c r="J729" s="8" t="s">
        <v>54</v>
      </c>
      <c r="K729" s="8" t="s">
        <v>54</v>
      </c>
      <c r="L729" s="8" t="s">
        <v>54</v>
      </c>
      <c r="M729" s="8" t="s">
        <v>54</v>
      </c>
      <c r="N729" s="10" t="s">
        <v>67</v>
      </c>
      <c r="O729" s="8" t="s">
        <v>54</v>
      </c>
      <c r="P729" s="8" t="s">
        <v>54</v>
      </c>
      <c r="Q729" s="8" t="s">
        <v>54</v>
      </c>
      <c r="R729" s="8" t="s">
        <v>54</v>
      </c>
      <c r="S729" s="8" t="s">
        <v>54</v>
      </c>
      <c r="T729" s="8" t="s">
        <v>54</v>
      </c>
      <c r="U729" s="10" t="s">
        <v>67</v>
      </c>
      <c r="V729" s="8" t="s">
        <v>54</v>
      </c>
      <c r="W729" s="8" t="s">
        <v>54</v>
      </c>
      <c r="X729" s="12" t="s">
        <v>55</v>
      </c>
      <c r="Y729" s="8" t="s">
        <v>54</v>
      </c>
      <c r="Z729" s="8" t="s">
        <v>54</v>
      </c>
      <c r="AA729" s="8" t="s">
        <v>54</v>
      </c>
      <c r="AB729" s="10" t="s">
        <v>67</v>
      </c>
      <c r="AC729" s="8" t="s">
        <v>54</v>
      </c>
      <c r="AD729" s="12" t="s">
        <v>55</v>
      </c>
      <c r="AE729" s="12" t="s">
        <v>55</v>
      </c>
      <c r="AF729" s="8" t="s">
        <v>54</v>
      </c>
      <c r="AG729" s="8" t="s">
        <v>54</v>
      </c>
      <c r="AH729" s="8" t="s">
        <v>54</v>
      </c>
      <c r="AI729" s="10" t="s">
        <v>67</v>
      </c>
      <c r="AJ729" s="8">
        <f>COUNTIF($E$729:$AI$729,"P")</f>
        <v>22</v>
      </c>
      <c r="AK729" s="8">
        <f>COUNTIF($E$729:$AI$729,"A")</f>
        <v>4</v>
      </c>
      <c r="AL729" s="8">
        <f>SUM($E$730:$AI$730)</f>
        <v>0</v>
      </c>
      <c r="AM729" s="8">
        <f>SUM($E$731:$AI$731)</f>
        <v>0</v>
      </c>
      <c r="AN729" s="8">
        <f>AL729+AM729</f>
        <v>0</v>
      </c>
      <c r="AO729" s="8">
        <f>COUNTIF($E$729:$AI$729,"CL")</f>
        <v>0</v>
      </c>
      <c r="AP729" s="8">
        <f>COUNTIF($E$729:$AI$729,"SL")</f>
        <v>0</v>
      </c>
      <c r="AQ729" s="8">
        <f>COUNTIF($E$729:$AI$729,"EL")</f>
        <v>0</v>
      </c>
      <c r="AR729" s="8">
        <f>COUNTIF($E$729:$AI$729,"H")</f>
        <v>0</v>
      </c>
      <c r="AS729" s="8"/>
      <c r="AT729" s="11" t="s">
        <v>2091</v>
      </c>
    </row>
    <row r="730" spans="1:46" ht="15.1" customHeight="1">
      <c r="A730" s="8"/>
      <c r="B730" s="9"/>
      <c r="C730" s="8"/>
      <c r="D730" s="9"/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11" t="s">
        <v>2091</v>
      </c>
    </row>
    <row r="731" spans="1:46" ht="15.1" customHeight="1">
      <c r="A731" s="8"/>
      <c r="B731" s="9"/>
      <c r="C731" s="8"/>
      <c r="D731" s="9"/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11" t="s">
        <v>2091</v>
      </c>
    </row>
    <row r="732" spans="1:46" ht="15.1" customHeight="1">
      <c r="A732" s="8">
        <v>243</v>
      </c>
      <c r="B732" s="9" t="s">
        <v>2556</v>
      </c>
      <c r="C732" s="8" t="s">
        <v>2557</v>
      </c>
      <c r="D732" s="9" t="s">
        <v>451</v>
      </c>
      <c r="E732" s="12" t="s">
        <v>55</v>
      </c>
      <c r="F732" s="8" t="s">
        <v>54</v>
      </c>
      <c r="G732" s="10" t="s">
        <v>67</v>
      </c>
      <c r="H732" s="12" t="s">
        <v>55</v>
      </c>
      <c r="I732" s="12" t="s">
        <v>55</v>
      </c>
      <c r="J732" s="8" t="s">
        <v>54</v>
      </c>
      <c r="K732" s="8" t="s">
        <v>54</v>
      </c>
      <c r="L732" s="8" t="s">
        <v>54</v>
      </c>
      <c r="M732" s="8" t="s">
        <v>54</v>
      </c>
      <c r="N732" s="10" t="s">
        <v>67</v>
      </c>
      <c r="O732" s="8" t="s">
        <v>54</v>
      </c>
      <c r="P732" s="8" t="s">
        <v>54</v>
      </c>
      <c r="Q732" s="8" t="s">
        <v>54</v>
      </c>
      <c r="R732" s="8" t="s">
        <v>54</v>
      </c>
      <c r="S732" s="8" t="s">
        <v>54</v>
      </c>
      <c r="T732" s="8" t="s">
        <v>54</v>
      </c>
      <c r="U732" s="10" t="s">
        <v>67</v>
      </c>
      <c r="V732" s="12" t="s">
        <v>55</v>
      </c>
      <c r="W732" s="8" t="s">
        <v>54</v>
      </c>
      <c r="X732" s="12" t="s">
        <v>55</v>
      </c>
      <c r="Y732" s="8" t="s">
        <v>54</v>
      </c>
      <c r="Z732" s="8" t="s">
        <v>54</v>
      </c>
      <c r="AA732" s="8" t="s">
        <v>54</v>
      </c>
      <c r="AB732" s="10" t="s">
        <v>67</v>
      </c>
      <c r="AC732" s="12" t="s">
        <v>55</v>
      </c>
      <c r="AD732" s="12" t="s">
        <v>55</v>
      </c>
      <c r="AE732" s="8" t="s">
        <v>54</v>
      </c>
      <c r="AF732" s="8" t="s">
        <v>54</v>
      </c>
      <c r="AG732" s="8" t="s">
        <v>54</v>
      </c>
      <c r="AH732" s="8" t="s">
        <v>54</v>
      </c>
      <c r="AI732" s="10" t="s">
        <v>67</v>
      </c>
      <c r="AJ732" s="8">
        <f>COUNTIF($E$732:$AI$732,"P")</f>
        <v>19</v>
      </c>
      <c r="AK732" s="8">
        <f>COUNTIF($E$732:$AI$732,"A")</f>
        <v>7</v>
      </c>
      <c r="AL732" s="8">
        <f>SUM($E$733:$AI$733)</f>
        <v>0</v>
      </c>
      <c r="AM732" s="8">
        <f>SUM($E$734:$AI$734)</f>
        <v>0</v>
      </c>
      <c r="AN732" s="8">
        <f>AL732+AM732</f>
        <v>0</v>
      </c>
      <c r="AO732" s="8">
        <f>COUNTIF($E$732:$AI$732,"CL")</f>
        <v>0</v>
      </c>
      <c r="AP732" s="8">
        <f>COUNTIF($E$732:$AI$732,"SL")</f>
        <v>0</v>
      </c>
      <c r="AQ732" s="8">
        <f>COUNTIF($E$732:$AI$732,"EL")</f>
        <v>0</v>
      </c>
      <c r="AR732" s="8">
        <f>COUNTIF($E$732:$AI$732,"H")</f>
        <v>0</v>
      </c>
      <c r="AS732" s="8"/>
      <c r="AT732" s="11" t="s">
        <v>2091</v>
      </c>
    </row>
    <row r="733" spans="1:46" ht="15.1" customHeight="1">
      <c r="A733" s="8"/>
      <c r="B733" s="9"/>
      <c r="C733" s="8"/>
      <c r="D733" s="9"/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11" t="s">
        <v>2091</v>
      </c>
    </row>
    <row r="734" spans="1:46" ht="15.1" customHeight="1">
      <c r="A734" s="8"/>
      <c r="B734" s="9"/>
      <c r="C734" s="8"/>
      <c r="D734" s="9"/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11" t="s">
        <v>2091</v>
      </c>
    </row>
    <row r="735" spans="1:46" ht="15.1" customHeight="1">
      <c r="A735" s="8">
        <v>244</v>
      </c>
      <c r="B735" s="9" t="s">
        <v>2558</v>
      </c>
      <c r="C735" s="8" t="s">
        <v>2559</v>
      </c>
      <c r="D735" s="9" t="s">
        <v>451</v>
      </c>
      <c r="E735" s="12" t="s">
        <v>55</v>
      </c>
      <c r="F735" s="8" t="s">
        <v>54</v>
      </c>
      <c r="G735" s="10" t="s">
        <v>67</v>
      </c>
      <c r="H735" s="12" t="s">
        <v>55</v>
      </c>
      <c r="I735" s="12" t="s">
        <v>55</v>
      </c>
      <c r="J735" s="12" t="s">
        <v>55</v>
      </c>
      <c r="K735" s="8" t="s">
        <v>54</v>
      </c>
      <c r="L735" s="8" t="s">
        <v>54</v>
      </c>
      <c r="M735" s="8" t="s">
        <v>54</v>
      </c>
      <c r="N735" s="10" t="s">
        <v>67</v>
      </c>
      <c r="O735" s="8" t="s">
        <v>54</v>
      </c>
      <c r="P735" s="8" t="s">
        <v>54</v>
      </c>
      <c r="Q735" s="12" t="s">
        <v>55</v>
      </c>
      <c r="R735" s="8" t="s">
        <v>54</v>
      </c>
      <c r="S735" s="8" t="s">
        <v>54</v>
      </c>
      <c r="T735" s="8" t="s">
        <v>54</v>
      </c>
      <c r="U735" s="10" t="s">
        <v>67</v>
      </c>
      <c r="V735" s="8" t="s">
        <v>54</v>
      </c>
      <c r="W735" s="12" t="s">
        <v>55</v>
      </c>
      <c r="X735" s="12" t="s">
        <v>55</v>
      </c>
      <c r="Y735" s="8" t="s">
        <v>54</v>
      </c>
      <c r="Z735" s="8" t="s">
        <v>54</v>
      </c>
      <c r="AA735" s="12" t="s">
        <v>55</v>
      </c>
      <c r="AB735" s="10" t="s">
        <v>67</v>
      </c>
      <c r="AC735" s="12" t="s">
        <v>55</v>
      </c>
      <c r="AD735" s="12" t="s">
        <v>55</v>
      </c>
      <c r="AE735" s="8" t="s">
        <v>54</v>
      </c>
      <c r="AF735" s="12" t="s">
        <v>55</v>
      </c>
      <c r="AG735" s="12" t="s">
        <v>55</v>
      </c>
      <c r="AH735" s="12" t="s">
        <v>55</v>
      </c>
      <c r="AI735" s="10" t="s">
        <v>67</v>
      </c>
      <c r="AJ735" s="8">
        <f>COUNTIF($E$735:$AI$735,"P")</f>
        <v>13</v>
      </c>
      <c r="AK735" s="8">
        <f>COUNTIF($E$735:$AI$735,"A")</f>
        <v>13</v>
      </c>
      <c r="AL735" s="8">
        <f>SUM($E$736:$AI$736)</f>
        <v>0</v>
      </c>
      <c r="AM735" s="8">
        <f>SUM($E$737:$AI$737)</f>
        <v>0</v>
      </c>
      <c r="AN735" s="8">
        <f>AL735+AM735</f>
        <v>0</v>
      </c>
      <c r="AO735" s="8">
        <f>COUNTIF($E$735:$AI$735,"CL")</f>
        <v>0</v>
      </c>
      <c r="AP735" s="8">
        <f>COUNTIF($E$735:$AI$735,"SL")</f>
        <v>0</v>
      </c>
      <c r="AQ735" s="8">
        <f>COUNTIF($E$735:$AI$735,"EL")</f>
        <v>0</v>
      </c>
      <c r="AR735" s="8">
        <f>COUNTIF($E$735:$AI$735,"H")</f>
        <v>0</v>
      </c>
      <c r="AS735" s="8"/>
      <c r="AT735" s="11" t="s">
        <v>2091</v>
      </c>
    </row>
    <row r="736" spans="1:46" ht="15.1" customHeight="1">
      <c r="A736" s="8"/>
      <c r="B736" s="9"/>
      <c r="C736" s="8"/>
      <c r="D736" s="9"/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11" t="s">
        <v>2091</v>
      </c>
    </row>
    <row r="737" spans="1:46" ht="15.1" customHeight="1">
      <c r="A737" s="8"/>
      <c r="B737" s="9"/>
      <c r="C737" s="8"/>
      <c r="D737" s="9"/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11" t="s">
        <v>2091</v>
      </c>
    </row>
    <row r="738" spans="1:46" ht="15.1" customHeight="1">
      <c r="A738" s="8">
        <v>245</v>
      </c>
      <c r="B738" s="9" t="s">
        <v>2560</v>
      </c>
      <c r="C738" s="8" t="s">
        <v>2561</v>
      </c>
      <c r="D738" s="9" t="s">
        <v>451</v>
      </c>
      <c r="E738" s="12" t="s">
        <v>55</v>
      </c>
      <c r="F738" s="8" t="s">
        <v>54</v>
      </c>
      <c r="G738" s="10" t="s">
        <v>67</v>
      </c>
      <c r="H738" s="8" t="s">
        <v>54</v>
      </c>
      <c r="I738" s="8" t="s">
        <v>54</v>
      </c>
      <c r="J738" s="8" t="s">
        <v>54</v>
      </c>
      <c r="K738" s="8" t="s">
        <v>54</v>
      </c>
      <c r="L738" s="8" t="s">
        <v>54</v>
      </c>
      <c r="M738" s="8" t="s">
        <v>54</v>
      </c>
      <c r="N738" s="10" t="s">
        <v>67</v>
      </c>
      <c r="O738" s="8" t="s">
        <v>54</v>
      </c>
      <c r="P738" s="8" t="s">
        <v>54</v>
      </c>
      <c r="Q738" s="8" t="s">
        <v>54</v>
      </c>
      <c r="R738" s="8" t="s">
        <v>54</v>
      </c>
      <c r="S738" s="8" t="s">
        <v>54</v>
      </c>
      <c r="T738" s="8" t="s">
        <v>54</v>
      </c>
      <c r="U738" s="10" t="s">
        <v>67</v>
      </c>
      <c r="V738" s="12" t="s">
        <v>55</v>
      </c>
      <c r="W738" s="12" t="s">
        <v>55</v>
      </c>
      <c r="X738" s="12" t="s">
        <v>55</v>
      </c>
      <c r="Y738" s="8" t="s">
        <v>54</v>
      </c>
      <c r="Z738" s="12" t="s">
        <v>55</v>
      </c>
      <c r="AA738" s="8" t="s">
        <v>54</v>
      </c>
      <c r="AB738" s="10" t="s">
        <v>67</v>
      </c>
      <c r="AC738" s="8" t="s">
        <v>54</v>
      </c>
      <c r="AD738" s="12" t="s">
        <v>55</v>
      </c>
      <c r="AE738" s="8" t="s">
        <v>54</v>
      </c>
      <c r="AF738" s="8" t="s">
        <v>54</v>
      </c>
      <c r="AG738" s="8" t="s">
        <v>54</v>
      </c>
      <c r="AH738" s="8" t="s">
        <v>54</v>
      </c>
      <c r="AI738" s="10" t="s">
        <v>67</v>
      </c>
      <c r="AJ738" s="8">
        <f>COUNTIF($E$738:$AI$738,"P")</f>
        <v>20</v>
      </c>
      <c r="AK738" s="8">
        <f>COUNTIF($E$738:$AI$738,"A")</f>
        <v>6</v>
      </c>
      <c r="AL738" s="8">
        <f>SUM($E$739:$AI$739)</f>
        <v>0</v>
      </c>
      <c r="AM738" s="8">
        <f>SUM($E$740:$AI$740)</f>
        <v>0</v>
      </c>
      <c r="AN738" s="8">
        <f>AL738+AM738</f>
        <v>0</v>
      </c>
      <c r="AO738" s="8">
        <f>COUNTIF($E$738:$AI$738,"CL")</f>
        <v>0</v>
      </c>
      <c r="AP738" s="8">
        <f>COUNTIF($E$738:$AI$738,"SL")</f>
        <v>0</v>
      </c>
      <c r="AQ738" s="8">
        <f>COUNTIF($E$738:$AI$738,"EL")</f>
        <v>0</v>
      </c>
      <c r="AR738" s="8">
        <f>COUNTIF($E$738:$AI$738,"H")</f>
        <v>0</v>
      </c>
      <c r="AS738" s="8"/>
      <c r="AT738" s="11" t="s">
        <v>2091</v>
      </c>
    </row>
    <row r="739" spans="1:46" ht="15.1" customHeight="1">
      <c r="A739" s="8"/>
      <c r="B739" s="9"/>
      <c r="C739" s="8"/>
      <c r="D739" s="9"/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11" t="s">
        <v>2091</v>
      </c>
    </row>
    <row r="740" spans="1:46" ht="15.1" customHeight="1">
      <c r="A740" s="8"/>
      <c r="B740" s="9"/>
      <c r="C740" s="8"/>
      <c r="D740" s="9"/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11" t="s">
        <v>2091</v>
      </c>
    </row>
    <row r="741" spans="1:46" ht="15.1" customHeight="1">
      <c r="A741" s="8">
        <v>246</v>
      </c>
      <c r="B741" s="9" t="s">
        <v>2562</v>
      </c>
      <c r="C741" s="8" t="s">
        <v>2563</v>
      </c>
      <c r="D741" s="9" t="s">
        <v>451</v>
      </c>
      <c r="E741" s="8" t="s">
        <v>54</v>
      </c>
      <c r="F741" s="8" t="s">
        <v>54</v>
      </c>
      <c r="G741" s="10" t="s">
        <v>67</v>
      </c>
      <c r="H741" s="8" t="s">
        <v>54</v>
      </c>
      <c r="I741" s="8" t="s">
        <v>54</v>
      </c>
      <c r="J741" s="8" t="s">
        <v>54</v>
      </c>
      <c r="K741" s="8" t="s">
        <v>54</v>
      </c>
      <c r="L741" s="8" t="s">
        <v>54</v>
      </c>
      <c r="M741" s="8" t="s">
        <v>54</v>
      </c>
      <c r="N741" s="10" t="s">
        <v>67</v>
      </c>
      <c r="O741" s="8" t="s">
        <v>54</v>
      </c>
      <c r="P741" s="8" t="s">
        <v>54</v>
      </c>
      <c r="Q741" s="8" t="s">
        <v>54</v>
      </c>
      <c r="R741" s="8" t="s">
        <v>54</v>
      </c>
      <c r="S741" s="8" t="s">
        <v>54</v>
      </c>
      <c r="T741" s="8" t="s">
        <v>54</v>
      </c>
      <c r="U741" s="10" t="s">
        <v>67</v>
      </c>
      <c r="V741" s="8" t="s">
        <v>54</v>
      </c>
      <c r="W741" s="8" t="s">
        <v>54</v>
      </c>
      <c r="X741" s="8" t="s">
        <v>54</v>
      </c>
      <c r="Y741" s="8" t="s">
        <v>54</v>
      </c>
      <c r="Z741" s="8" t="s">
        <v>54</v>
      </c>
      <c r="AA741" s="8" t="s">
        <v>54</v>
      </c>
      <c r="AB741" s="10" t="s">
        <v>67</v>
      </c>
      <c r="AC741" s="8" t="s">
        <v>54</v>
      </c>
      <c r="AD741" s="8" t="s">
        <v>54</v>
      </c>
      <c r="AE741" s="8" t="s">
        <v>54</v>
      </c>
      <c r="AF741" s="8" t="s">
        <v>54</v>
      </c>
      <c r="AG741" s="8" t="s">
        <v>54</v>
      </c>
      <c r="AH741" s="8" t="s">
        <v>54</v>
      </c>
      <c r="AI741" s="10" t="s">
        <v>67</v>
      </c>
      <c r="AJ741" s="8">
        <f>COUNTIF($E$741:$AI$741,"P")</f>
        <v>26</v>
      </c>
      <c r="AK741" s="8">
        <f>COUNTIF($E$741:$AI$741,"A")</f>
        <v>0</v>
      </c>
      <c r="AL741" s="8">
        <f>SUM($E$742:$AI$742)</f>
        <v>0</v>
      </c>
      <c r="AM741" s="8">
        <f>SUM($E$743:$AI$743)</f>
        <v>0</v>
      </c>
      <c r="AN741" s="8">
        <f>AL741+AM741</f>
        <v>0</v>
      </c>
      <c r="AO741" s="8">
        <f>COUNTIF($E$741:$AI$741,"CL")</f>
        <v>0</v>
      </c>
      <c r="AP741" s="8">
        <f>COUNTIF($E$741:$AI$741,"SL")</f>
        <v>0</v>
      </c>
      <c r="AQ741" s="8">
        <f>COUNTIF($E$741:$AI$741,"EL")</f>
        <v>0</v>
      </c>
      <c r="AR741" s="8">
        <f>COUNTIF($E$741:$AI$741,"H")</f>
        <v>0</v>
      </c>
      <c r="AS741" s="8"/>
      <c r="AT741" s="11" t="s">
        <v>2091</v>
      </c>
    </row>
    <row r="742" spans="1:46" ht="15.1" customHeight="1">
      <c r="A742" s="8"/>
      <c r="B742" s="9"/>
      <c r="C742" s="8"/>
      <c r="D742" s="9"/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11" t="s">
        <v>2091</v>
      </c>
    </row>
    <row r="743" spans="1:46" ht="15.1" customHeight="1">
      <c r="A743" s="8"/>
      <c r="B743" s="9"/>
      <c r="C743" s="8"/>
      <c r="D743" s="9"/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11" t="s">
        <v>2091</v>
      </c>
    </row>
    <row r="744" spans="1:46" ht="15.1" customHeight="1">
      <c r="A744" s="8">
        <v>247</v>
      </c>
      <c r="B744" s="9" t="s">
        <v>2564</v>
      </c>
      <c r="C744" s="8" t="s">
        <v>2565</v>
      </c>
      <c r="D744" s="9" t="s">
        <v>451</v>
      </c>
      <c r="E744" s="8" t="s">
        <v>54</v>
      </c>
      <c r="F744" s="8" t="s">
        <v>54</v>
      </c>
      <c r="G744" s="10" t="s">
        <v>67</v>
      </c>
      <c r="H744" s="8" t="s">
        <v>54</v>
      </c>
      <c r="I744" s="8" t="s">
        <v>54</v>
      </c>
      <c r="J744" s="8" t="s">
        <v>54</v>
      </c>
      <c r="K744" s="8" t="s">
        <v>54</v>
      </c>
      <c r="L744" s="8" t="s">
        <v>54</v>
      </c>
      <c r="M744" s="8" t="s">
        <v>54</v>
      </c>
      <c r="N744" s="10" t="s">
        <v>67</v>
      </c>
      <c r="O744" s="8" t="s">
        <v>54</v>
      </c>
      <c r="P744" s="8" t="s">
        <v>54</v>
      </c>
      <c r="Q744" s="8" t="s">
        <v>54</v>
      </c>
      <c r="R744" s="8" t="s">
        <v>54</v>
      </c>
      <c r="S744" s="8" t="s">
        <v>54</v>
      </c>
      <c r="T744" s="8" t="s">
        <v>54</v>
      </c>
      <c r="U744" s="10" t="s">
        <v>67</v>
      </c>
      <c r="V744" s="8" t="s">
        <v>54</v>
      </c>
      <c r="W744" s="8" t="s">
        <v>54</v>
      </c>
      <c r="X744" s="8" t="s">
        <v>54</v>
      </c>
      <c r="Y744" s="8" t="s">
        <v>54</v>
      </c>
      <c r="Z744" s="8" t="s">
        <v>54</v>
      </c>
      <c r="AA744" s="8" t="s">
        <v>54</v>
      </c>
      <c r="AB744" s="10" t="s">
        <v>67</v>
      </c>
      <c r="AC744" s="8" t="s">
        <v>54</v>
      </c>
      <c r="AD744" s="8" t="s">
        <v>54</v>
      </c>
      <c r="AE744" s="8" t="s">
        <v>54</v>
      </c>
      <c r="AF744" s="8" t="s">
        <v>54</v>
      </c>
      <c r="AG744" s="8" t="s">
        <v>54</v>
      </c>
      <c r="AH744" s="8" t="s">
        <v>54</v>
      </c>
      <c r="AI744" s="10" t="s">
        <v>67</v>
      </c>
      <c r="AJ744" s="8">
        <f>COUNTIF($E$744:$AI$744,"P")</f>
        <v>26</v>
      </c>
      <c r="AK744" s="8">
        <f>COUNTIF($E$744:$AI$744,"A")</f>
        <v>0</v>
      </c>
      <c r="AL744" s="8">
        <f>SUM($E$745:$AI$745)</f>
        <v>0</v>
      </c>
      <c r="AM744" s="8">
        <f>SUM($E$746:$AI$746)</f>
        <v>0</v>
      </c>
      <c r="AN744" s="8">
        <f>AL744+AM744</f>
        <v>0</v>
      </c>
      <c r="AO744" s="8">
        <f>COUNTIF($E$744:$AI$744,"CL")</f>
        <v>0</v>
      </c>
      <c r="AP744" s="8">
        <f>COUNTIF($E$744:$AI$744,"SL")</f>
        <v>0</v>
      </c>
      <c r="AQ744" s="8">
        <f>COUNTIF($E$744:$AI$744,"EL")</f>
        <v>0</v>
      </c>
      <c r="AR744" s="8">
        <f>COUNTIF($E$744:$AI$744,"H")</f>
        <v>0</v>
      </c>
      <c r="AS744" s="8"/>
      <c r="AT744" s="11" t="s">
        <v>2091</v>
      </c>
    </row>
    <row r="745" spans="1:46" ht="15.1" customHeight="1">
      <c r="A745" s="8"/>
      <c r="B745" s="9"/>
      <c r="C745" s="8"/>
      <c r="D745" s="9"/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11" t="s">
        <v>2091</v>
      </c>
    </row>
    <row r="746" spans="1:46" ht="15.1" customHeight="1">
      <c r="A746" s="8"/>
      <c r="B746" s="9"/>
      <c r="C746" s="8"/>
      <c r="D746" s="9"/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11" t="s">
        <v>2091</v>
      </c>
    </row>
    <row r="747" spans="1:46" ht="15.1" customHeight="1">
      <c r="A747" s="8">
        <v>248</v>
      </c>
      <c r="B747" s="9" t="s">
        <v>2566</v>
      </c>
      <c r="C747" s="8" t="s">
        <v>2567</v>
      </c>
      <c r="D747" s="9" t="s">
        <v>451</v>
      </c>
      <c r="E747" s="12" t="s">
        <v>55</v>
      </c>
      <c r="F747" s="12" t="s">
        <v>55</v>
      </c>
      <c r="G747" s="10" t="s">
        <v>67</v>
      </c>
      <c r="H747" s="12" t="s">
        <v>55</v>
      </c>
      <c r="I747" s="12" t="s">
        <v>55</v>
      </c>
      <c r="J747" s="8" t="s">
        <v>54</v>
      </c>
      <c r="K747" s="8" t="s">
        <v>54</v>
      </c>
      <c r="L747" s="8" t="s">
        <v>54</v>
      </c>
      <c r="M747" s="8" t="s">
        <v>54</v>
      </c>
      <c r="N747" s="10" t="s">
        <v>67</v>
      </c>
      <c r="O747" s="8" t="s">
        <v>54</v>
      </c>
      <c r="P747" s="8" t="s">
        <v>54</v>
      </c>
      <c r="Q747" s="8" t="s">
        <v>54</v>
      </c>
      <c r="R747" s="8" t="s">
        <v>54</v>
      </c>
      <c r="S747" s="8" t="s">
        <v>54</v>
      </c>
      <c r="T747" s="8" t="s">
        <v>54</v>
      </c>
      <c r="U747" s="10" t="s">
        <v>67</v>
      </c>
      <c r="V747" s="8" t="s">
        <v>54</v>
      </c>
      <c r="W747" s="8" t="s">
        <v>54</v>
      </c>
      <c r="X747" s="12" t="s">
        <v>55</v>
      </c>
      <c r="Y747" s="8" t="s">
        <v>54</v>
      </c>
      <c r="Z747" s="8" t="s">
        <v>54</v>
      </c>
      <c r="AA747" s="8" t="s">
        <v>54</v>
      </c>
      <c r="AB747" s="10" t="s">
        <v>67</v>
      </c>
      <c r="AC747" s="8" t="s">
        <v>54</v>
      </c>
      <c r="AD747" s="8" t="s">
        <v>54</v>
      </c>
      <c r="AE747" s="8" t="s">
        <v>54</v>
      </c>
      <c r="AF747" s="8" t="s">
        <v>54</v>
      </c>
      <c r="AG747" s="8" t="s">
        <v>54</v>
      </c>
      <c r="AH747" s="8" t="s">
        <v>54</v>
      </c>
      <c r="AI747" s="10" t="s">
        <v>67</v>
      </c>
      <c r="AJ747" s="8">
        <f>COUNTIF($E$747:$AI$747,"P")</f>
        <v>21</v>
      </c>
      <c r="AK747" s="8">
        <f>COUNTIF($E$747:$AI$747,"A")</f>
        <v>5</v>
      </c>
      <c r="AL747" s="8">
        <f>SUM($E$748:$AI$748)</f>
        <v>0</v>
      </c>
      <c r="AM747" s="8">
        <f>SUM($E$749:$AI$749)</f>
        <v>0</v>
      </c>
      <c r="AN747" s="8">
        <f>AL747+AM747</f>
        <v>0</v>
      </c>
      <c r="AO747" s="8">
        <f>COUNTIF($E$747:$AI$747,"CL")</f>
        <v>0</v>
      </c>
      <c r="AP747" s="8">
        <f>COUNTIF($E$747:$AI$747,"SL")</f>
        <v>0</v>
      </c>
      <c r="AQ747" s="8">
        <f>COUNTIF($E$747:$AI$747,"EL")</f>
        <v>0</v>
      </c>
      <c r="AR747" s="8">
        <f>COUNTIF($E$747:$AI$747,"H")</f>
        <v>0</v>
      </c>
      <c r="AS747" s="8"/>
      <c r="AT747" s="11" t="s">
        <v>2091</v>
      </c>
    </row>
    <row r="748" spans="1:46" ht="15.1" customHeight="1">
      <c r="A748" s="8"/>
      <c r="B748" s="9"/>
      <c r="C748" s="8"/>
      <c r="D748" s="9"/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11" t="s">
        <v>2091</v>
      </c>
    </row>
    <row r="749" spans="1:46" ht="15.1" customHeight="1">
      <c r="A749" s="8"/>
      <c r="B749" s="9"/>
      <c r="C749" s="8"/>
      <c r="D749" s="9"/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11" t="s">
        <v>2091</v>
      </c>
    </row>
    <row r="750" spans="1:46" ht="15.1" customHeight="1">
      <c r="A750" s="8">
        <v>249</v>
      </c>
      <c r="B750" s="9" t="s">
        <v>2568</v>
      </c>
      <c r="C750" s="8" t="s">
        <v>2569</v>
      </c>
      <c r="D750" s="9" t="s">
        <v>451</v>
      </c>
      <c r="E750" s="8" t="s">
        <v>54</v>
      </c>
      <c r="F750" s="8" t="s">
        <v>54</v>
      </c>
      <c r="G750" s="10" t="s">
        <v>67</v>
      </c>
      <c r="H750" s="8" t="s">
        <v>54</v>
      </c>
      <c r="I750" s="8" t="s">
        <v>54</v>
      </c>
      <c r="J750" s="8" t="s">
        <v>54</v>
      </c>
      <c r="K750" s="8" t="s">
        <v>54</v>
      </c>
      <c r="L750" s="8" t="s">
        <v>54</v>
      </c>
      <c r="M750" s="8" t="s">
        <v>54</v>
      </c>
      <c r="N750" s="10" t="s">
        <v>67</v>
      </c>
      <c r="O750" s="8" t="s">
        <v>54</v>
      </c>
      <c r="P750" s="8" t="s">
        <v>54</v>
      </c>
      <c r="Q750" s="12" t="s">
        <v>55</v>
      </c>
      <c r="R750" s="8" t="s">
        <v>54</v>
      </c>
      <c r="S750" s="12" t="s">
        <v>55</v>
      </c>
      <c r="T750" s="8" t="s">
        <v>54</v>
      </c>
      <c r="U750" s="10" t="s">
        <v>67</v>
      </c>
      <c r="V750" s="8" t="s">
        <v>54</v>
      </c>
      <c r="W750" s="8" t="s">
        <v>54</v>
      </c>
      <c r="X750" s="12" t="s">
        <v>55</v>
      </c>
      <c r="Y750" s="8" t="s">
        <v>54</v>
      </c>
      <c r="Z750" s="8" t="s">
        <v>54</v>
      </c>
      <c r="AA750" s="8" t="s">
        <v>54</v>
      </c>
      <c r="AB750" s="10" t="s">
        <v>67</v>
      </c>
      <c r="AC750" s="8" t="s">
        <v>54</v>
      </c>
      <c r="AD750" s="8" t="s">
        <v>54</v>
      </c>
      <c r="AE750" s="8" t="s">
        <v>54</v>
      </c>
      <c r="AF750" s="8" t="s">
        <v>54</v>
      </c>
      <c r="AG750" s="8" t="s">
        <v>54</v>
      </c>
      <c r="AH750" s="8" t="s">
        <v>54</v>
      </c>
      <c r="AI750" s="10" t="s">
        <v>67</v>
      </c>
      <c r="AJ750" s="8">
        <f>COUNTIF($E$750:$AI$750,"P")</f>
        <v>23</v>
      </c>
      <c r="AK750" s="8">
        <f>COUNTIF($E$750:$AI$750,"A")</f>
        <v>3</v>
      </c>
      <c r="AL750" s="8">
        <f>SUM($E$751:$AI$751)</f>
        <v>0</v>
      </c>
      <c r="AM750" s="8">
        <f>SUM($E$752:$AI$752)</f>
        <v>0</v>
      </c>
      <c r="AN750" s="8">
        <f>AL750+AM750</f>
        <v>0</v>
      </c>
      <c r="AO750" s="8">
        <f>COUNTIF($E$750:$AI$750,"CL")</f>
        <v>0</v>
      </c>
      <c r="AP750" s="8">
        <f>COUNTIF($E$750:$AI$750,"SL")</f>
        <v>0</v>
      </c>
      <c r="AQ750" s="8">
        <f>COUNTIF($E$750:$AI$750,"EL")</f>
        <v>0</v>
      </c>
      <c r="AR750" s="8">
        <f>COUNTIF($E$750:$AI$750,"H")</f>
        <v>0</v>
      </c>
      <c r="AS750" s="8"/>
      <c r="AT750" s="11" t="s">
        <v>2091</v>
      </c>
    </row>
    <row r="751" spans="1:46" ht="15.1" customHeight="1">
      <c r="A751" s="8"/>
      <c r="B751" s="9"/>
      <c r="C751" s="8"/>
      <c r="D751" s="9"/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11" t="s">
        <v>2091</v>
      </c>
    </row>
    <row r="752" spans="1:46" ht="15.1" customHeight="1">
      <c r="A752" s="8"/>
      <c r="B752" s="9"/>
      <c r="C752" s="8"/>
      <c r="D752" s="9"/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11" t="s">
        <v>2091</v>
      </c>
    </row>
    <row r="753" spans="1:46" ht="15.1" customHeight="1">
      <c r="A753" s="8">
        <v>250</v>
      </c>
      <c r="B753" s="9" t="s">
        <v>2570</v>
      </c>
      <c r="C753" s="8" t="s">
        <v>2571</v>
      </c>
      <c r="D753" s="9" t="s">
        <v>451</v>
      </c>
      <c r="E753" s="8" t="s">
        <v>54</v>
      </c>
      <c r="F753" s="8" t="s">
        <v>54</v>
      </c>
      <c r="G753" s="10" t="s">
        <v>67</v>
      </c>
      <c r="H753" s="8" t="s">
        <v>54</v>
      </c>
      <c r="I753" s="8" t="s">
        <v>54</v>
      </c>
      <c r="J753" s="8" t="s">
        <v>54</v>
      </c>
      <c r="K753" s="8" t="s">
        <v>54</v>
      </c>
      <c r="L753" s="8" t="s">
        <v>54</v>
      </c>
      <c r="M753" s="8" t="s">
        <v>54</v>
      </c>
      <c r="N753" s="10" t="s">
        <v>67</v>
      </c>
      <c r="O753" s="8" t="s">
        <v>54</v>
      </c>
      <c r="P753" s="8" t="s">
        <v>54</v>
      </c>
      <c r="Q753" s="8" t="s">
        <v>54</v>
      </c>
      <c r="R753" s="8" t="s">
        <v>54</v>
      </c>
      <c r="S753" s="8" t="s">
        <v>54</v>
      </c>
      <c r="T753" s="8" t="s">
        <v>54</v>
      </c>
      <c r="U753" s="10" t="s">
        <v>67</v>
      </c>
      <c r="V753" s="8" t="s">
        <v>54</v>
      </c>
      <c r="W753" s="8" t="s">
        <v>54</v>
      </c>
      <c r="X753" s="8" t="s">
        <v>54</v>
      </c>
      <c r="Y753" s="8" t="s">
        <v>54</v>
      </c>
      <c r="Z753" s="8" t="s">
        <v>54</v>
      </c>
      <c r="AA753" s="8" t="s">
        <v>54</v>
      </c>
      <c r="AB753" s="10" t="s">
        <v>67</v>
      </c>
      <c r="AC753" s="8" t="s">
        <v>54</v>
      </c>
      <c r="AD753" s="8" t="s">
        <v>54</v>
      </c>
      <c r="AE753" s="8" t="s">
        <v>54</v>
      </c>
      <c r="AF753" s="8" t="s">
        <v>54</v>
      </c>
      <c r="AG753" s="8" t="s">
        <v>54</v>
      </c>
      <c r="AH753" s="8" t="s">
        <v>54</v>
      </c>
      <c r="AI753" s="10" t="s">
        <v>67</v>
      </c>
      <c r="AJ753" s="8">
        <f>COUNTIF($E$753:$AI$753,"P")</f>
        <v>26</v>
      </c>
      <c r="AK753" s="8">
        <f>COUNTIF($E$753:$AI$753,"A")</f>
        <v>0</v>
      </c>
      <c r="AL753" s="8">
        <f>SUM($E$754:$AI$754)</f>
        <v>0</v>
      </c>
      <c r="AM753" s="8">
        <f>SUM($E$755:$AI$755)</f>
        <v>0</v>
      </c>
      <c r="AN753" s="8">
        <f>AL753+AM753</f>
        <v>0</v>
      </c>
      <c r="AO753" s="8">
        <f>COUNTIF($E$753:$AI$753,"CL")</f>
        <v>0</v>
      </c>
      <c r="AP753" s="8">
        <f>COUNTIF($E$753:$AI$753,"SL")</f>
        <v>0</v>
      </c>
      <c r="AQ753" s="8">
        <f>COUNTIF($E$753:$AI$753,"EL")</f>
        <v>0</v>
      </c>
      <c r="AR753" s="8">
        <f>COUNTIF($E$753:$AI$753,"H")</f>
        <v>0</v>
      </c>
      <c r="AS753" s="8"/>
      <c r="AT753" s="11" t="s">
        <v>2091</v>
      </c>
    </row>
    <row r="754" spans="1:46" ht="15.1" customHeight="1">
      <c r="A754" s="8"/>
      <c r="B754" s="9"/>
      <c r="C754" s="8"/>
      <c r="D754" s="9"/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11" t="s">
        <v>2091</v>
      </c>
    </row>
    <row r="755" spans="1:46" ht="15.1" customHeight="1">
      <c r="A755" s="8"/>
      <c r="B755" s="9"/>
      <c r="C755" s="8"/>
      <c r="D755" s="9"/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11" t="s">
        <v>2091</v>
      </c>
    </row>
    <row r="756" spans="1:46" ht="15.1" customHeight="1">
      <c r="A756" s="8">
        <v>251</v>
      </c>
      <c r="B756" s="9" t="s">
        <v>2572</v>
      </c>
      <c r="C756" s="8" t="s">
        <v>2573</v>
      </c>
      <c r="D756" s="9" t="s">
        <v>451</v>
      </c>
      <c r="E756" s="8" t="s">
        <v>54</v>
      </c>
      <c r="F756" s="8" t="s">
        <v>54</v>
      </c>
      <c r="G756" s="10" t="s">
        <v>67</v>
      </c>
      <c r="H756" s="8" t="s">
        <v>54</v>
      </c>
      <c r="I756" s="8" t="s">
        <v>54</v>
      </c>
      <c r="J756" s="8" t="s">
        <v>54</v>
      </c>
      <c r="K756" s="8" t="s">
        <v>54</v>
      </c>
      <c r="L756" s="8" t="s">
        <v>54</v>
      </c>
      <c r="M756" s="8" t="s">
        <v>54</v>
      </c>
      <c r="N756" s="10" t="s">
        <v>67</v>
      </c>
      <c r="O756" s="8" t="s">
        <v>54</v>
      </c>
      <c r="P756" s="8" t="s">
        <v>54</v>
      </c>
      <c r="Q756" s="8" t="s">
        <v>54</v>
      </c>
      <c r="R756" s="8" t="s">
        <v>54</v>
      </c>
      <c r="S756" s="8" t="s">
        <v>54</v>
      </c>
      <c r="T756" s="8" t="s">
        <v>54</v>
      </c>
      <c r="U756" s="10" t="s">
        <v>67</v>
      </c>
      <c r="V756" s="8" t="s">
        <v>54</v>
      </c>
      <c r="W756" s="8" t="s">
        <v>54</v>
      </c>
      <c r="X756" s="8" t="s">
        <v>54</v>
      </c>
      <c r="Y756" s="8" t="s">
        <v>54</v>
      </c>
      <c r="Z756" s="8" t="s">
        <v>54</v>
      </c>
      <c r="AA756" s="8" t="s">
        <v>54</v>
      </c>
      <c r="AB756" s="10" t="s">
        <v>67</v>
      </c>
      <c r="AC756" s="8" t="s">
        <v>54</v>
      </c>
      <c r="AD756" s="8" t="s">
        <v>54</v>
      </c>
      <c r="AE756" s="8" t="s">
        <v>54</v>
      </c>
      <c r="AF756" s="8" t="s">
        <v>54</v>
      </c>
      <c r="AG756" s="8" t="s">
        <v>54</v>
      </c>
      <c r="AH756" s="8" t="s">
        <v>54</v>
      </c>
      <c r="AI756" s="10" t="s">
        <v>67</v>
      </c>
      <c r="AJ756" s="8">
        <f>COUNTIF($E$756:$AI$756,"P")</f>
        <v>26</v>
      </c>
      <c r="AK756" s="8">
        <f>COUNTIF($E$756:$AI$756,"A")</f>
        <v>0</v>
      </c>
      <c r="AL756" s="8">
        <f>SUM($E$757:$AI$757)</f>
        <v>0</v>
      </c>
      <c r="AM756" s="8">
        <f>SUM($E$758:$AI$758)</f>
        <v>0</v>
      </c>
      <c r="AN756" s="8">
        <f>AL756+AM756</f>
        <v>0</v>
      </c>
      <c r="AO756" s="8">
        <f>COUNTIF($E$756:$AI$756,"CL")</f>
        <v>0</v>
      </c>
      <c r="AP756" s="8">
        <f>COUNTIF($E$756:$AI$756,"SL")</f>
        <v>0</v>
      </c>
      <c r="AQ756" s="8">
        <f>COUNTIF($E$756:$AI$756,"EL")</f>
        <v>0</v>
      </c>
      <c r="AR756" s="8">
        <f>COUNTIF($E$756:$AI$756,"H")</f>
        <v>0</v>
      </c>
      <c r="AS756" s="8"/>
      <c r="AT756" s="11" t="s">
        <v>2091</v>
      </c>
    </row>
    <row r="757" spans="1:46" ht="15.1" customHeight="1">
      <c r="A757" s="8"/>
      <c r="B757" s="9"/>
      <c r="C757" s="8"/>
      <c r="D757" s="9"/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11" t="s">
        <v>2091</v>
      </c>
    </row>
    <row r="758" spans="1:46" ht="15.1" customHeight="1">
      <c r="A758" s="8"/>
      <c r="B758" s="9"/>
      <c r="C758" s="8"/>
      <c r="D758" s="9"/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11" t="s">
        <v>2091</v>
      </c>
    </row>
    <row r="759" spans="1:46" ht="15.1" customHeight="1">
      <c r="A759" s="8">
        <v>252</v>
      </c>
      <c r="B759" s="9" t="s">
        <v>2574</v>
      </c>
      <c r="C759" s="8" t="s">
        <v>2575</v>
      </c>
      <c r="D759" s="9" t="s">
        <v>451</v>
      </c>
      <c r="E759" s="12" t="s">
        <v>55</v>
      </c>
      <c r="F759" s="12" t="s">
        <v>55</v>
      </c>
      <c r="G759" s="10" t="s">
        <v>67</v>
      </c>
      <c r="H759" s="12" t="s">
        <v>55</v>
      </c>
      <c r="I759" s="12" t="s">
        <v>55</v>
      </c>
      <c r="J759" s="8" t="s">
        <v>54</v>
      </c>
      <c r="K759" s="8" t="s">
        <v>54</v>
      </c>
      <c r="L759" s="8" t="s">
        <v>54</v>
      </c>
      <c r="M759" s="8" t="s">
        <v>54</v>
      </c>
      <c r="N759" s="10" t="s">
        <v>67</v>
      </c>
      <c r="O759" s="8" t="s">
        <v>54</v>
      </c>
      <c r="P759" s="8" t="s">
        <v>54</v>
      </c>
      <c r="Q759" s="8" t="s">
        <v>54</v>
      </c>
      <c r="R759" s="8" t="s">
        <v>54</v>
      </c>
      <c r="S759" s="8" t="s">
        <v>54</v>
      </c>
      <c r="T759" s="8" t="s">
        <v>54</v>
      </c>
      <c r="U759" s="10" t="s">
        <v>67</v>
      </c>
      <c r="V759" s="8" t="s">
        <v>54</v>
      </c>
      <c r="W759" s="8" t="s">
        <v>54</v>
      </c>
      <c r="X759" s="12" t="s">
        <v>55</v>
      </c>
      <c r="Y759" s="8" t="s">
        <v>54</v>
      </c>
      <c r="Z759" s="8" t="s">
        <v>54</v>
      </c>
      <c r="AA759" s="12" t="s">
        <v>55</v>
      </c>
      <c r="AB759" s="10" t="s">
        <v>67</v>
      </c>
      <c r="AC759" s="8" t="s">
        <v>54</v>
      </c>
      <c r="AD759" s="8" t="s">
        <v>54</v>
      </c>
      <c r="AE759" s="8" t="s">
        <v>54</v>
      </c>
      <c r="AF759" s="8" t="s">
        <v>54</v>
      </c>
      <c r="AG759" s="8" t="s">
        <v>54</v>
      </c>
      <c r="AH759" s="8" t="s">
        <v>54</v>
      </c>
      <c r="AI759" s="10" t="s">
        <v>67</v>
      </c>
      <c r="AJ759" s="8">
        <f>COUNTIF($E$759:$AI$759,"P")</f>
        <v>20</v>
      </c>
      <c r="AK759" s="8">
        <f>COUNTIF($E$759:$AI$759,"A")</f>
        <v>6</v>
      </c>
      <c r="AL759" s="8">
        <f>SUM($E$760:$AI$760)</f>
        <v>0</v>
      </c>
      <c r="AM759" s="8">
        <f>SUM($E$761:$AI$761)</f>
        <v>0</v>
      </c>
      <c r="AN759" s="8">
        <f>AL759+AM759</f>
        <v>0</v>
      </c>
      <c r="AO759" s="8">
        <f>COUNTIF($E$759:$AI$759,"CL")</f>
        <v>0</v>
      </c>
      <c r="AP759" s="8">
        <f>COUNTIF($E$759:$AI$759,"SL")</f>
        <v>0</v>
      </c>
      <c r="AQ759" s="8">
        <f>COUNTIF($E$759:$AI$759,"EL")</f>
        <v>0</v>
      </c>
      <c r="AR759" s="8">
        <f>COUNTIF($E$759:$AI$759,"H")</f>
        <v>0</v>
      </c>
      <c r="AS759" s="8"/>
      <c r="AT759" s="11" t="s">
        <v>2091</v>
      </c>
    </row>
    <row r="760" spans="1:46" ht="15.1" customHeight="1">
      <c r="A760" s="8"/>
      <c r="B760" s="9"/>
      <c r="C760" s="8"/>
      <c r="D760" s="9"/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11" t="s">
        <v>2091</v>
      </c>
    </row>
    <row r="761" spans="1:46" ht="15.1" customHeight="1">
      <c r="A761" s="8"/>
      <c r="B761" s="9"/>
      <c r="C761" s="8"/>
      <c r="D761" s="9"/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11" t="s">
        <v>2091</v>
      </c>
    </row>
    <row r="762" spans="1:46" ht="15.1" customHeight="1">
      <c r="A762" s="8">
        <v>253</v>
      </c>
      <c r="B762" s="9" t="s">
        <v>2576</v>
      </c>
      <c r="C762" s="8" t="s">
        <v>2577</v>
      </c>
      <c r="D762" s="9" t="s">
        <v>451</v>
      </c>
      <c r="E762" s="12" t="s">
        <v>55</v>
      </c>
      <c r="F762" s="8" t="s">
        <v>54</v>
      </c>
      <c r="G762" s="10" t="s">
        <v>67</v>
      </c>
      <c r="H762" s="8" t="s">
        <v>54</v>
      </c>
      <c r="I762" s="8" t="s">
        <v>54</v>
      </c>
      <c r="J762" s="8" t="s">
        <v>54</v>
      </c>
      <c r="K762" s="8" t="s">
        <v>54</v>
      </c>
      <c r="L762" s="8" t="s">
        <v>54</v>
      </c>
      <c r="M762" s="8" t="s">
        <v>54</v>
      </c>
      <c r="N762" s="10" t="s">
        <v>67</v>
      </c>
      <c r="O762" s="8" t="s">
        <v>54</v>
      </c>
      <c r="P762" s="8" t="s">
        <v>54</v>
      </c>
      <c r="Q762" s="8" t="s">
        <v>54</v>
      </c>
      <c r="R762" s="12" t="s">
        <v>55</v>
      </c>
      <c r="S762" s="8" t="s">
        <v>54</v>
      </c>
      <c r="T762" s="8" t="s">
        <v>54</v>
      </c>
      <c r="U762" s="10" t="s">
        <v>67</v>
      </c>
      <c r="V762" s="8" t="s">
        <v>54</v>
      </c>
      <c r="W762" s="8" t="s">
        <v>54</v>
      </c>
      <c r="X762" s="12" t="s">
        <v>55</v>
      </c>
      <c r="Y762" s="8" t="s">
        <v>54</v>
      </c>
      <c r="Z762" s="8" t="s">
        <v>54</v>
      </c>
      <c r="AA762" s="8" t="s">
        <v>54</v>
      </c>
      <c r="AB762" s="10" t="s">
        <v>67</v>
      </c>
      <c r="AC762" s="12" t="s">
        <v>55</v>
      </c>
      <c r="AD762" s="12" t="s">
        <v>55</v>
      </c>
      <c r="AE762" s="12" t="s">
        <v>55</v>
      </c>
      <c r="AF762" s="8" t="s">
        <v>54</v>
      </c>
      <c r="AG762" s="8" t="s">
        <v>54</v>
      </c>
      <c r="AH762" s="8" t="s">
        <v>54</v>
      </c>
      <c r="AI762" s="10" t="s">
        <v>67</v>
      </c>
      <c r="AJ762" s="8">
        <f>COUNTIF($E$762:$AI$762,"P")</f>
        <v>20</v>
      </c>
      <c r="AK762" s="8">
        <f>COUNTIF($E$762:$AI$762,"A")</f>
        <v>6</v>
      </c>
      <c r="AL762" s="8">
        <f>SUM($E$763:$AI$763)</f>
        <v>0</v>
      </c>
      <c r="AM762" s="8">
        <f>SUM($E$764:$AI$764)</f>
        <v>0</v>
      </c>
      <c r="AN762" s="8">
        <f>AL762+AM762</f>
        <v>0</v>
      </c>
      <c r="AO762" s="8">
        <f>COUNTIF($E$762:$AI$762,"CL")</f>
        <v>0</v>
      </c>
      <c r="AP762" s="8">
        <f>COUNTIF($E$762:$AI$762,"SL")</f>
        <v>0</v>
      </c>
      <c r="AQ762" s="8">
        <f>COUNTIF($E$762:$AI$762,"EL")</f>
        <v>0</v>
      </c>
      <c r="AR762" s="8">
        <f>COUNTIF($E$762:$AI$762,"H")</f>
        <v>0</v>
      </c>
      <c r="AS762" s="8"/>
      <c r="AT762" s="11" t="s">
        <v>2091</v>
      </c>
    </row>
    <row r="763" spans="1:46" ht="15.1" customHeight="1">
      <c r="A763" s="8"/>
      <c r="B763" s="9"/>
      <c r="C763" s="8"/>
      <c r="D763" s="9"/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11" t="s">
        <v>2091</v>
      </c>
    </row>
    <row r="764" spans="1:46" ht="15.1" customHeight="1">
      <c r="A764" s="8"/>
      <c r="B764" s="9"/>
      <c r="C764" s="8"/>
      <c r="D764" s="9"/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11" t="s">
        <v>2091</v>
      </c>
    </row>
    <row r="765" spans="1:46" ht="15.1" customHeight="1">
      <c r="A765" s="8">
        <v>254</v>
      </c>
      <c r="B765" s="9" t="s">
        <v>2578</v>
      </c>
      <c r="C765" s="8" t="s">
        <v>2579</v>
      </c>
      <c r="D765" s="9" t="s">
        <v>451</v>
      </c>
      <c r="E765" s="8" t="s">
        <v>54</v>
      </c>
      <c r="F765" s="8" t="s">
        <v>54</v>
      </c>
      <c r="G765" s="10" t="s">
        <v>67</v>
      </c>
      <c r="H765" s="8" t="s">
        <v>54</v>
      </c>
      <c r="I765" s="8" t="s">
        <v>54</v>
      </c>
      <c r="J765" s="8" t="s">
        <v>54</v>
      </c>
      <c r="K765" s="8" t="s">
        <v>54</v>
      </c>
      <c r="L765" s="8" t="s">
        <v>54</v>
      </c>
      <c r="M765" s="8" t="s">
        <v>54</v>
      </c>
      <c r="N765" s="10" t="s">
        <v>67</v>
      </c>
      <c r="O765" s="8" t="s">
        <v>54</v>
      </c>
      <c r="P765" s="8" t="s">
        <v>54</v>
      </c>
      <c r="Q765" s="8" t="s">
        <v>54</v>
      </c>
      <c r="R765" s="8" t="s">
        <v>54</v>
      </c>
      <c r="S765" s="8" t="s">
        <v>54</v>
      </c>
      <c r="T765" s="8" t="s">
        <v>54</v>
      </c>
      <c r="U765" s="10" t="s">
        <v>67</v>
      </c>
      <c r="V765" s="8" t="s">
        <v>54</v>
      </c>
      <c r="W765" s="8" t="s">
        <v>54</v>
      </c>
      <c r="X765" s="8" t="s">
        <v>54</v>
      </c>
      <c r="Y765" s="8" t="s">
        <v>54</v>
      </c>
      <c r="Z765" s="8" t="s">
        <v>54</v>
      </c>
      <c r="AA765" s="8" t="s">
        <v>54</v>
      </c>
      <c r="AB765" s="10" t="s">
        <v>67</v>
      </c>
      <c r="AC765" s="8" t="s">
        <v>54</v>
      </c>
      <c r="AD765" s="8" t="s">
        <v>54</v>
      </c>
      <c r="AE765" s="8" t="s">
        <v>54</v>
      </c>
      <c r="AF765" s="8" t="s">
        <v>54</v>
      </c>
      <c r="AG765" s="8" t="s">
        <v>54</v>
      </c>
      <c r="AH765" s="8" t="s">
        <v>54</v>
      </c>
      <c r="AI765" s="10" t="s">
        <v>67</v>
      </c>
      <c r="AJ765" s="8">
        <f>COUNTIF($E$765:$AI$765,"P")</f>
        <v>26</v>
      </c>
      <c r="AK765" s="8">
        <f>COUNTIF($E$765:$AI$765,"A")</f>
        <v>0</v>
      </c>
      <c r="AL765" s="8">
        <f>SUM($E$766:$AI$766)</f>
        <v>0</v>
      </c>
      <c r="AM765" s="8">
        <f>SUM($E$767:$AI$767)</f>
        <v>0</v>
      </c>
      <c r="AN765" s="8">
        <f>AL765+AM765</f>
        <v>0</v>
      </c>
      <c r="AO765" s="8">
        <f>COUNTIF($E$765:$AI$765,"CL")</f>
        <v>0</v>
      </c>
      <c r="AP765" s="8">
        <f>COUNTIF($E$765:$AI$765,"SL")</f>
        <v>0</v>
      </c>
      <c r="AQ765" s="8">
        <f>COUNTIF($E$765:$AI$765,"EL")</f>
        <v>0</v>
      </c>
      <c r="AR765" s="8">
        <f>COUNTIF($E$765:$AI$765,"H")</f>
        <v>0</v>
      </c>
      <c r="AS765" s="8"/>
      <c r="AT765" s="11" t="s">
        <v>2091</v>
      </c>
    </row>
    <row r="766" spans="1:46" ht="15.1" customHeight="1">
      <c r="A766" s="8"/>
      <c r="B766" s="9"/>
      <c r="C766" s="8"/>
      <c r="D766" s="9"/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11" t="s">
        <v>2091</v>
      </c>
    </row>
    <row r="767" spans="1:46" ht="15.1" customHeight="1">
      <c r="A767" s="8"/>
      <c r="B767" s="9"/>
      <c r="C767" s="8"/>
      <c r="D767" s="9"/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11" t="s">
        <v>2091</v>
      </c>
    </row>
    <row r="768" spans="1:46" ht="15.1" customHeight="1">
      <c r="A768" s="8">
        <v>255</v>
      </c>
      <c r="B768" s="9" t="s">
        <v>1220</v>
      </c>
      <c r="C768" s="8" t="s">
        <v>2580</v>
      </c>
      <c r="D768" s="9" t="s">
        <v>451</v>
      </c>
      <c r="E768" s="12" t="s">
        <v>55</v>
      </c>
      <c r="F768" s="12" t="s">
        <v>55</v>
      </c>
      <c r="G768" s="10" t="s">
        <v>67</v>
      </c>
      <c r="H768" s="12" t="s">
        <v>55</v>
      </c>
      <c r="I768" s="12" t="s">
        <v>55</v>
      </c>
      <c r="J768" s="8" t="s">
        <v>54</v>
      </c>
      <c r="K768" s="8" t="s">
        <v>54</v>
      </c>
      <c r="L768" s="8" t="s">
        <v>54</v>
      </c>
      <c r="M768" s="8" t="s">
        <v>54</v>
      </c>
      <c r="N768" s="10" t="s">
        <v>67</v>
      </c>
      <c r="O768" s="8" t="s">
        <v>54</v>
      </c>
      <c r="P768" s="8" t="s">
        <v>54</v>
      </c>
      <c r="Q768" s="8" t="s">
        <v>54</v>
      </c>
      <c r="R768" s="8" t="s">
        <v>54</v>
      </c>
      <c r="S768" s="8" t="s">
        <v>54</v>
      </c>
      <c r="T768" s="8" t="s">
        <v>54</v>
      </c>
      <c r="U768" s="10" t="s">
        <v>67</v>
      </c>
      <c r="V768" s="12" t="s">
        <v>55</v>
      </c>
      <c r="W768" s="12" t="s">
        <v>55</v>
      </c>
      <c r="X768" s="12" t="s">
        <v>55</v>
      </c>
      <c r="Y768" s="8" t="s">
        <v>54</v>
      </c>
      <c r="Z768" s="8" t="s">
        <v>54</v>
      </c>
      <c r="AA768" s="8" t="s">
        <v>54</v>
      </c>
      <c r="AB768" s="10" t="s">
        <v>67</v>
      </c>
      <c r="AC768" s="8" t="s">
        <v>54</v>
      </c>
      <c r="AD768" s="8" t="s">
        <v>54</v>
      </c>
      <c r="AE768" s="8" t="s">
        <v>54</v>
      </c>
      <c r="AF768" s="8" t="s">
        <v>54</v>
      </c>
      <c r="AG768" s="8" t="s">
        <v>54</v>
      </c>
      <c r="AH768" s="8" t="s">
        <v>54</v>
      </c>
      <c r="AI768" s="10" t="s">
        <v>67</v>
      </c>
      <c r="AJ768" s="8">
        <f>COUNTIF($E$768:$AI$768,"P")</f>
        <v>19</v>
      </c>
      <c r="AK768" s="8">
        <f>COUNTIF($E$768:$AI$768,"A")</f>
        <v>7</v>
      </c>
      <c r="AL768" s="8">
        <f>SUM($E$769:$AI$769)</f>
        <v>0</v>
      </c>
      <c r="AM768" s="8">
        <f>SUM($E$770:$AI$770)</f>
        <v>0</v>
      </c>
      <c r="AN768" s="8">
        <f>AL768+AM768</f>
        <v>0</v>
      </c>
      <c r="AO768" s="8">
        <f>COUNTIF($E$768:$AI$768,"CL")</f>
        <v>0</v>
      </c>
      <c r="AP768" s="8">
        <f>COUNTIF($E$768:$AI$768,"SL")</f>
        <v>0</v>
      </c>
      <c r="AQ768" s="8">
        <f>COUNTIF($E$768:$AI$768,"EL")</f>
        <v>0</v>
      </c>
      <c r="AR768" s="8">
        <f>COUNTIF($E$768:$AI$768,"H")</f>
        <v>0</v>
      </c>
      <c r="AS768" s="8"/>
      <c r="AT768" s="11" t="s">
        <v>2091</v>
      </c>
    </row>
    <row r="769" spans="1:46" ht="15.1" customHeight="1">
      <c r="A769" s="8"/>
      <c r="B769" s="9"/>
      <c r="C769" s="8"/>
      <c r="D769" s="9"/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11" t="s">
        <v>2091</v>
      </c>
    </row>
    <row r="770" spans="1:46" ht="15.1" customHeight="1">
      <c r="A770" s="8"/>
      <c r="B770" s="9"/>
      <c r="C770" s="8"/>
      <c r="D770" s="9"/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11" t="s">
        <v>2091</v>
      </c>
    </row>
    <row r="771" spans="1:46" ht="15.1" customHeight="1">
      <c r="A771" s="8">
        <v>256</v>
      </c>
      <c r="B771" s="9" t="s">
        <v>2581</v>
      </c>
      <c r="C771" s="8" t="s">
        <v>2582</v>
      </c>
      <c r="D771" s="9" t="s">
        <v>451</v>
      </c>
      <c r="E771" s="8" t="s">
        <v>54</v>
      </c>
      <c r="F771" s="8" t="s">
        <v>54</v>
      </c>
      <c r="G771" s="10" t="s">
        <v>67</v>
      </c>
      <c r="H771" s="8" t="s">
        <v>54</v>
      </c>
      <c r="I771" s="8" t="s">
        <v>54</v>
      </c>
      <c r="J771" s="8" t="s">
        <v>54</v>
      </c>
      <c r="K771" s="8" t="s">
        <v>54</v>
      </c>
      <c r="L771" s="8" t="s">
        <v>54</v>
      </c>
      <c r="M771" s="8" t="s">
        <v>54</v>
      </c>
      <c r="N771" s="10" t="s">
        <v>67</v>
      </c>
      <c r="O771" s="12" t="s">
        <v>55</v>
      </c>
      <c r="P771" s="8" t="s">
        <v>54</v>
      </c>
      <c r="Q771" s="8" t="s">
        <v>54</v>
      </c>
      <c r="R771" s="8" t="s">
        <v>54</v>
      </c>
      <c r="S771" s="8" t="s">
        <v>54</v>
      </c>
      <c r="T771" s="8" t="s">
        <v>54</v>
      </c>
      <c r="U771" s="10" t="s">
        <v>67</v>
      </c>
      <c r="V771" s="8" t="s">
        <v>54</v>
      </c>
      <c r="W771" s="8" t="s">
        <v>54</v>
      </c>
      <c r="X771" s="12" t="s">
        <v>55</v>
      </c>
      <c r="Y771" s="8" t="s">
        <v>54</v>
      </c>
      <c r="Z771" s="8" t="s">
        <v>54</v>
      </c>
      <c r="AA771" s="8" t="s">
        <v>54</v>
      </c>
      <c r="AB771" s="10" t="s">
        <v>67</v>
      </c>
      <c r="AC771" s="8" t="s">
        <v>54</v>
      </c>
      <c r="AD771" s="8" t="s">
        <v>54</v>
      </c>
      <c r="AE771" s="8" t="s">
        <v>54</v>
      </c>
      <c r="AF771" s="8" t="s">
        <v>54</v>
      </c>
      <c r="AG771" s="8" t="s">
        <v>54</v>
      </c>
      <c r="AH771" s="8" t="s">
        <v>54</v>
      </c>
      <c r="AI771" s="10" t="s">
        <v>67</v>
      </c>
      <c r="AJ771" s="8">
        <f>COUNTIF($E$771:$AI$771,"P")</f>
        <v>24</v>
      </c>
      <c r="AK771" s="8">
        <f>COUNTIF($E$771:$AI$771,"A")</f>
        <v>2</v>
      </c>
      <c r="AL771" s="8">
        <f>SUM($E$772:$AI$772)</f>
        <v>0</v>
      </c>
      <c r="AM771" s="8">
        <f>SUM($E$773:$AI$773)</f>
        <v>0</v>
      </c>
      <c r="AN771" s="8">
        <f>AL771+AM771</f>
        <v>0</v>
      </c>
      <c r="AO771" s="8">
        <f>COUNTIF($E$771:$AI$771,"CL")</f>
        <v>0</v>
      </c>
      <c r="AP771" s="8">
        <f>COUNTIF($E$771:$AI$771,"SL")</f>
        <v>0</v>
      </c>
      <c r="AQ771" s="8">
        <f>COUNTIF($E$771:$AI$771,"EL")</f>
        <v>0</v>
      </c>
      <c r="AR771" s="8">
        <f>COUNTIF($E$771:$AI$771,"H")</f>
        <v>0</v>
      </c>
      <c r="AS771" s="8"/>
      <c r="AT771" s="11" t="s">
        <v>2091</v>
      </c>
    </row>
    <row r="772" spans="1:46" ht="15.1" customHeight="1">
      <c r="A772" s="8"/>
      <c r="B772" s="9"/>
      <c r="C772" s="8"/>
      <c r="D772" s="9"/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11" t="s">
        <v>2091</v>
      </c>
    </row>
    <row r="773" spans="1:46" ht="15.1" customHeight="1">
      <c r="A773" s="8"/>
      <c r="B773" s="9"/>
      <c r="C773" s="8"/>
      <c r="D773" s="9"/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11" t="s">
        <v>2091</v>
      </c>
    </row>
    <row r="774" spans="1:46" ht="15.1" customHeight="1">
      <c r="A774" s="8">
        <v>257</v>
      </c>
      <c r="B774" s="9" t="s">
        <v>2583</v>
      </c>
      <c r="C774" s="8" t="s">
        <v>2584</v>
      </c>
      <c r="D774" s="9" t="s">
        <v>451</v>
      </c>
      <c r="E774" s="8" t="s">
        <v>54</v>
      </c>
      <c r="F774" s="8" t="s">
        <v>54</v>
      </c>
      <c r="G774" s="10" t="s">
        <v>67</v>
      </c>
      <c r="H774" s="8" t="s">
        <v>54</v>
      </c>
      <c r="I774" s="8" t="s">
        <v>54</v>
      </c>
      <c r="J774" s="8" t="s">
        <v>54</v>
      </c>
      <c r="K774" s="12" t="s">
        <v>55</v>
      </c>
      <c r="L774" s="8" t="s">
        <v>54</v>
      </c>
      <c r="M774" s="8" t="s">
        <v>54</v>
      </c>
      <c r="N774" s="10" t="s">
        <v>67</v>
      </c>
      <c r="O774" s="8" t="s">
        <v>54</v>
      </c>
      <c r="P774" s="8" t="s">
        <v>54</v>
      </c>
      <c r="Q774" s="8" t="s">
        <v>54</v>
      </c>
      <c r="R774" s="8" t="s">
        <v>54</v>
      </c>
      <c r="S774" s="8" t="s">
        <v>54</v>
      </c>
      <c r="T774" s="8" t="s">
        <v>54</v>
      </c>
      <c r="U774" s="10" t="s">
        <v>67</v>
      </c>
      <c r="V774" s="8" t="s">
        <v>54</v>
      </c>
      <c r="W774" s="8" t="s">
        <v>54</v>
      </c>
      <c r="X774" s="12" t="s">
        <v>55</v>
      </c>
      <c r="Y774" s="8" t="s">
        <v>54</v>
      </c>
      <c r="Z774" s="8" t="s">
        <v>54</v>
      </c>
      <c r="AA774" s="8" t="s">
        <v>54</v>
      </c>
      <c r="AB774" s="10" t="s">
        <v>67</v>
      </c>
      <c r="AC774" s="8" t="s">
        <v>54</v>
      </c>
      <c r="AD774" s="8" t="s">
        <v>54</v>
      </c>
      <c r="AE774" s="8" t="s">
        <v>54</v>
      </c>
      <c r="AF774" s="8" t="s">
        <v>54</v>
      </c>
      <c r="AG774" s="8" t="s">
        <v>54</v>
      </c>
      <c r="AH774" s="8" t="s">
        <v>54</v>
      </c>
      <c r="AI774" s="10" t="s">
        <v>67</v>
      </c>
      <c r="AJ774" s="8">
        <f>COUNTIF($E$774:$AI$774,"P")</f>
        <v>24</v>
      </c>
      <c r="AK774" s="8">
        <f>COUNTIF($E$774:$AI$774,"A")</f>
        <v>2</v>
      </c>
      <c r="AL774" s="8">
        <f>SUM($E$775:$AI$775)</f>
        <v>0</v>
      </c>
      <c r="AM774" s="8">
        <f>SUM($E$776:$AI$776)</f>
        <v>0</v>
      </c>
      <c r="AN774" s="8">
        <f>AL774+AM774</f>
        <v>0</v>
      </c>
      <c r="AO774" s="8">
        <f>COUNTIF($E$774:$AI$774,"CL")</f>
        <v>0</v>
      </c>
      <c r="AP774" s="8">
        <f>COUNTIF($E$774:$AI$774,"SL")</f>
        <v>0</v>
      </c>
      <c r="AQ774" s="8">
        <f>COUNTIF($E$774:$AI$774,"EL")</f>
        <v>0</v>
      </c>
      <c r="AR774" s="8">
        <f>COUNTIF($E$774:$AI$774,"H")</f>
        <v>0</v>
      </c>
      <c r="AS774" s="8"/>
      <c r="AT774" s="11" t="s">
        <v>2091</v>
      </c>
    </row>
    <row r="775" spans="1:46" ht="15.1" customHeight="1">
      <c r="A775" s="8"/>
      <c r="B775" s="9"/>
      <c r="C775" s="8"/>
      <c r="D775" s="9"/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11" t="s">
        <v>2091</v>
      </c>
    </row>
    <row r="776" spans="1:46" ht="15.1" customHeight="1">
      <c r="A776" s="8"/>
      <c r="B776" s="9"/>
      <c r="C776" s="8"/>
      <c r="D776" s="9"/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11" t="s">
        <v>2091</v>
      </c>
    </row>
    <row r="777" spans="1:46" ht="15.1" customHeight="1">
      <c r="A777" s="8">
        <v>258</v>
      </c>
      <c r="B777" s="9" t="s">
        <v>2585</v>
      </c>
      <c r="C777" s="8" t="s">
        <v>2586</v>
      </c>
      <c r="D777" s="9" t="s">
        <v>451</v>
      </c>
      <c r="E777" s="8" t="s">
        <v>54</v>
      </c>
      <c r="F777" s="8" t="s">
        <v>54</v>
      </c>
      <c r="G777" s="10" t="s">
        <v>67</v>
      </c>
      <c r="H777" s="8" t="s">
        <v>54</v>
      </c>
      <c r="I777" s="8" t="s">
        <v>54</v>
      </c>
      <c r="J777" s="8" t="s">
        <v>54</v>
      </c>
      <c r="K777" s="8" t="s">
        <v>54</v>
      </c>
      <c r="L777" s="8" t="s">
        <v>54</v>
      </c>
      <c r="M777" s="8" t="s">
        <v>54</v>
      </c>
      <c r="N777" s="10" t="s">
        <v>67</v>
      </c>
      <c r="O777" s="8" t="s">
        <v>54</v>
      </c>
      <c r="P777" s="8" t="s">
        <v>54</v>
      </c>
      <c r="Q777" s="8" t="s">
        <v>54</v>
      </c>
      <c r="R777" s="8" t="s">
        <v>54</v>
      </c>
      <c r="S777" s="8" t="s">
        <v>54</v>
      </c>
      <c r="T777" s="8" t="s">
        <v>54</v>
      </c>
      <c r="U777" s="10" t="s">
        <v>67</v>
      </c>
      <c r="V777" s="8" t="s">
        <v>54</v>
      </c>
      <c r="W777" s="8" t="s">
        <v>54</v>
      </c>
      <c r="X777" s="8" t="s">
        <v>54</v>
      </c>
      <c r="Y777" s="8" t="s">
        <v>54</v>
      </c>
      <c r="Z777" s="8" t="s">
        <v>54</v>
      </c>
      <c r="AA777" s="8" t="s">
        <v>54</v>
      </c>
      <c r="AB777" s="10" t="s">
        <v>67</v>
      </c>
      <c r="AC777" s="8" t="s">
        <v>54</v>
      </c>
      <c r="AD777" s="8" t="s">
        <v>54</v>
      </c>
      <c r="AE777" s="8" t="s">
        <v>54</v>
      </c>
      <c r="AF777" s="8" t="s">
        <v>54</v>
      </c>
      <c r="AG777" s="8" t="s">
        <v>54</v>
      </c>
      <c r="AH777" s="8" t="s">
        <v>54</v>
      </c>
      <c r="AI777" s="10" t="s">
        <v>67</v>
      </c>
      <c r="AJ777" s="8">
        <f>COUNTIF($E$777:$AI$777,"P")</f>
        <v>26</v>
      </c>
      <c r="AK777" s="8">
        <f>COUNTIF($E$777:$AI$777,"A")</f>
        <v>0</v>
      </c>
      <c r="AL777" s="8">
        <f>SUM($E$778:$AI$778)</f>
        <v>0</v>
      </c>
      <c r="AM777" s="8">
        <f>SUM($E$779:$AI$779)</f>
        <v>0</v>
      </c>
      <c r="AN777" s="8">
        <f>AL777+AM777</f>
        <v>0</v>
      </c>
      <c r="AO777" s="8">
        <f>COUNTIF($E$777:$AI$777,"CL")</f>
        <v>0</v>
      </c>
      <c r="AP777" s="8">
        <f>COUNTIF($E$777:$AI$777,"SL")</f>
        <v>0</v>
      </c>
      <c r="AQ777" s="8">
        <f>COUNTIF($E$777:$AI$777,"EL")</f>
        <v>0</v>
      </c>
      <c r="AR777" s="8">
        <f>COUNTIF($E$777:$AI$777,"H")</f>
        <v>0</v>
      </c>
      <c r="AS777" s="8"/>
      <c r="AT777" s="11" t="s">
        <v>2091</v>
      </c>
    </row>
    <row r="778" spans="1:46" ht="15.1" customHeight="1">
      <c r="A778" s="8"/>
      <c r="B778" s="9"/>
      <c r="C778" s="8"/>
      <c r="D778" s="9"/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11" t="s">
        <v>2091</v>
      </c>
    </row>
    <row r="779" spans="1:46" ht="15.1" customHeight="1">
      <c r="A779" s="8"/>
      <c r="B779" s="9"/>
      <c r="C779" s="8"/>
      <c r="D779" s="9"/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11" t="s">
        <v>2091</v>
      </c>
    </row>
    <row r="780" spans="1:46" ht="15.1" customHeight="1">
      <c r="A780" s="8">
        <v>259</v>
      </c>
      <c r="B780" s="9" t="s">
        <v>2587</v>
      </c>
      <c r="C780" s="8" t="s">
        <v>2588</v>
      </c>
      <c r="D780" s="9" t="s">
        <v>451</v>
      </c>
      <c r="E780" s="8" t="s">
        <v>54</v>
      </c>
      <c r="F780" s="8" t="s">
        <v>54</v>
      </c>
      <c r="G780" s="10" t="s">
        <v>67</v>
      </c>
      <c r="H780" s="8" t="s">
        <v>54</v>
      </c>
      <c r="I780" s="8" t="s">
        <v>54</v>
      </c>
      <c r="J780" s="8" t="s">
        <v>54</v>
      </c>
      <c r="K780" s="8" t="s">
        <v>54</v>
      </c>
      <c r="L780" s="8" t="s">
        <v>54</v>
      </c>
      <c r="M780" s="8" t="s">
        <v>54</v>
      </c>
      <c r="N780" s="10" t="s">
        <v>67</v>
      </c>
      <c r="O780" s="8" t="s">
        <v>54</v>
      </c>
      <c r="P780" s="8" t="s">
        <v>54</v>
      </c>
      <c r="Q780" s="8" t="s">
        <v>54</v>
      </c>
      <c r="R780" s="8" t="s">
        <v>54</v>
      </c>
      <c r="S780" s="8" t="s">
        <v>54</v>
      </c>
      <c r="T780" s="8" t="s">
        <v>54</v>
      </c>
      <c r="U780" s="10" t="s">
        <v>67</v>
      </c>
      <c r="V780" s="8" t="s">
        <v>54</v>
      </c>
      <c r="W780" s="8" t="s">
        <v>54</v>
      </c>
      <c r="X780" s="8" t="s">
        <v>54</v>
      </c>
      <c r="Y780" s="8" t="s">
        <v>54</v>
      </c>
      <c r="Z780" s="8" t="s">
        <v>54</v>
      </c>
      <c r="AA780" s="8" t="s">
        <v>54</v>
      </c>
      <c r="AB780" s="10" t="s">
        <v>67</v>
      </c>
      <c r="AC780" s="8" t="s">
        <v>54</v>
      </c>
      <c r="AD780" s="8" t="s">
        <v>54</v>
      </c>
      <c r="AE780" s="8" t="s">
        <v>54</v>
      </c>
      <c r="AF780" s="8" t="s">
        <v>54</v>
      </c>
      <c r="AG780" s="8" t="s">
        <v>54</v>
      </c>
      <c r="AH780" s="8" t="s">
        <v>54</v>
      </c>
      <c r="AI780" s="10" t="s">
        <v>67</v>
      </c>
      <c r="AJ780" s="8">
        <f>COUNTIF($E$780:$AI$780,"P")</f>
        <v>26</v>
      </c>
      <c r="AK780" s="8">
        <f>COUNTIF($E$780:$AI$780,"A")</f>
        <v>0</v>
      </c>
      <c r="AL780" s="8">
        <f>SUM($E$781:$AI$781)</f>
        <v>0</v>
      </c>
      <c r="AM780" s="8">
        <f>SUM($E$782:$AI$782)</f>
        <v>0</v>
      </c>
      <c r="AN780" s="8">
        <f>AL780+AM780</f>
        <v>0</v>
      </c>
      <c r="AO780" s="8">
        <f>COUNTIF($E$780:$AI$780,"CL")</f>
        <v>0</v>
      </c>
      <c r="AP780" s="8">
        <f>COUNTIF($E$780:$AI$780,"SL")</f>
        <v>0</v>
      </c>
      <c r="AQ780" s="8">
        <f>COUNTIF($E$780:$AI$780,"EL")</f>
        <v>0</v>
      </c>
      <c r="AR780" s="8">
        <f>COUNTIF($E$780:$AI$780,"H")</f>
        <v>0</v>
      </c>
      <c r="AS780" s="8"/>
      <c r="AT780" s="11" t="s">
        <v>2091</v>
      </c>
    </row>
    <row r="781" spans="1:46" ht="15.1" customHeight="1">
      <c r="A781" s="8"/>
      <c r="B781" s="9"/>
      <c r="C781" s="8"/>
      <c r="D781" s="9"/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11" t="s">
        <v>2091</v>
      </c>
    </row>
    <row r="782" spans="1:46" ht="15.1" customHeight="1">
      <c r="A782" s="8"/>
      <c r="B782" s="9"/>
      <c r="C782" s="8"/>
      <c r="D782" s="9"/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11" t="s">
        <v>2091</v>
      </c>
    </row>
    <row r="783" spans="1:46" ht="15.1" customHeight="1">
      <c r="A783" s="8">
        <v>260</v>
      </c>
      <c r="B783" s="9" t="s">
        <v>2407</v>
      </c>
      <c r="C783" s="8" t="s">
        <v>2589</v>
      </c>
      <c r="D783" s="9" t="s">
        <v>451</v>
      </c>
      <c r="E783" s="8" t="s">
        <v>54</v>
      </c>
      <c r="F783" s="8" t="s">
        <v>54</v>
      </c>
      <c r="G783" s="10" t="s">
        <v>67</v>
      </c>
      <c r="H783" s="8" t="s">
        <v>54</v>
      </c>
      <c r="I783" s="8" t="s">
        <v>54</v>
      </c>
      <c r="J783" s="8" t="s">
        <v>54</v>
      </c>
      <c r="K783" s="8" t="s">
        <v>54</v>
      </c>
      <c r="L783" s="8" t="s">
        <v>54</v>
      </c>
      <c r="M783" s="8" t="s">
        <v>54</v>
      </c>
      <c r="N783" s="10" t="s">
        <v>67</v>
      </c>
      <c r="O783" s="8" t="s">
        <v>54</v>
      </c>
      <c r="P783" s="8" t="s">
        <v>54</v>
      </c>
      <c r="Q783" s="8" t="s">
        <v>54</v>
      </c>
      <c r="R783" s="8" t="s">
        <v>54</v>
      </c>
      <c r="S783" s="8" t="s">
        <v>54</v>
      </c>
      <c r="T783" s="8" t="s">
        <v>54</v>
      </c>
      <c r="U783" s="10" t="s">
        <v>67</v>
      </c>
      <c r="V783" s="8" t="s">
        <v>54</v>
      </c>
      <c r="W783" s="12" t="s">
        <v>55</v>
      </c>
      <c r="X783" s="12" t="s">
        <v>55</v>
      </c>
      <c r="Y783" s="12" t="s">
        <v>55</v>
      </c>
      <c r="Z783" s="12" t="s">
        <v>55</v>
      </c>
      <c r="AA783" s="12" t="s">
        <v>55</v>
      </c>
      <c r="AB783" s="10" t="s">
        <v>67</v>
      </c>
      <c r="AC783" s="8" t="s">
        <v>54</v>
      </c>
      <c r="AD783" s="8" t="s">
        <v>54</v>
      </c>
      <c r="AE783" s="8" t="s">
        <v>54</v>
      </c>
      <c r="AF783" s="8" t="s">
        <v>54</v>
      </c>
      <c r="AG783" s="8" t="s">
        <v>54</v>
      </c>
      <c r="AH783" s="8" t="s">
        <v>54</v>
      </c>
      <c r="AI783" s="10" t="s">
        <v>67</v>
      </c>
      <c r="AJ783" s="8">
        <f>COUNTIF($E$783:$AI$783,"P")</f>
        <v>21</v>
      </c>
      <c r="AK783" s="8">
        <f>COUNTIF($E$783:$AI$783,"A")</f>
        <v>5</v>
      </c>
      <c r="AL783" s="8">
        <f>SUM($E$784:$AI$784)</f>
        <v>0</v>
      </c>
      <c r="AM783" s="8">
        <f>SUM($E$785:$AI$785)</f>
        <v>0</v>
      </c>
      <c r="AN783" s="8">
        <f>AL783+AM783</f>
        <v>0</v>
      </c>
      <c r="AO783" s="8">
        <f>COUNTIF($E$783:$AI$783,"CL")</f>
        <v>0</v>
      </c>
      <c r="AP783" s="8">
        <f>COUNTIF($E$783:$AI$783,"SL")</f>
        <v>0</v>
      </c>
      <c r="AQ783" s="8">
        <f>COUNTIF($E$783:$AI$783,"EL")</f>
        <v>0</v>
      </c>
      <c r="AR783" s="8">
        <f>COUNTIF($E$783:$AI$783,"H")</f>
        <v>0</v>
      </c>
      <c r="AS783" s="8"/>
      <c r="AT783" s="11" t="s">
        <v>2091</v>
      </c>
    </row>
    <row r="784" spans="1:46" ht="15.1" customHeight="1">
      <c r="A784" s="8"/>
      <c r="B784" s="9"/>
      <c r="C784" s="8"/>
      <c r="D784" s="9"/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11" t="s">
        <v>2091</v>
      </c>
    </row>
    <row r="785" spans="1:46" ht="15.1" customHeight="1">
      <c r="A785" s="8"/>
      <c r="B785" s="9"/>
      <c r="C785" s="8"/>
      <c r="D785" s="9"/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11" t="s">
        <v>2091</v>
      </c>
    </row>
    <row r="786" spans="1:46" ht="15.1" customHeight="1">
      <c r="A786" s="8">
        <v>261</v>
      </c>
      <c r="B786" s="9" t="s">
        <v>2590</v>
      </c>
      <c r="C786" s="8" t="s">
        <v>2591</v>
      </c>
      <c r="D786" s="9" t="s">
        <v>451</v>
      </c>
      <c r="E786" s="8" t="s">
        <v>54</v>
      </c>
      <c r="F786" s="8" t="s">
        <v>54</v>
      </c>
      <c r="G786" s="10" t="s">
        <v>67</v>
      </c>
      <c r="H786" s="8" t="s">
        <v>54</v>
      </c>
      <c r="I786" s="8" t="s">
        <v>54</v>
      </c>
      <c r="J786" s="8" t="s">
        <v>54</v>
      </c>
      <c r="K786" s="8" t="s">
        <v>54</v>
      </c>
      <c r="L786" s="8" t="s">
        <v>54</v>
      </c>
      <c r="M786" s="8" t="s">
        <v>54</v>
      </c>
      <c r="N786" s="10" t="s">
        <v>67</v>
      </c>
      <c r="O786" s="8" t="s">
        <v>54</v>
      </c>
      <c r="P786" s="8" t="s">
        <v>54</v>
      </c>
      <c r="Q786" s="8" t="s">
        <v>54</v>
      </c>
      <c r="R786" s="8" t="s">
        <v>54</v>
      </c>
      <c r="S786" s="8" t="s">
        <v>54</v>
      </c>
      <c r="T786" s="8" t="s">
        <v>54</v>
      </c>
      <c r="U786" s="10" t="s">
        <v>67</v>
      </c>
      <c r="V786" s="12" t="s">
        <v>55</v>
      </c>
      <c r="W786" s="12" t="s">
        <v>55</v>
      </c>
      <c r="X786" s="12" t="s">
        <v>55</v>
      </c>
      <c r="Y786" s="12" t="s">
        <v>55</v>
      </c>
      <c r="Z786" s="8" t="s">
        <v>54</v>
      </c>
      <c r="AA786" s="8" t="s">
        <v>54</v>
      </c>
      <c r="AB786" s="10" t="s">
        <v>67</v>
      </c>
      <c r="AC786" s="8" t="s">
        <v>54</v>
      </c>
      <c r="AD786" s="8" t="s">
        <v>54</v>
      </c>
      <c r="AE786" s="8" t="s">
        <v>54</v>
      </c>
      <c r="AF786" s="8" t="s">
        <v>54</v>
      </c>
      <c r="AG786" s="8" t="s">
        <v>54</v>
      </c>
      <c r="AH786" s="8" t="s">
        <v>54</v>
      </c>
      <c r="AI786" s="10" t="s">
        <v>67</v>
      </c>
      <c r="AJ786" s="8">
        <f>COUNTIF($E$786:$AI$786,"P")</f>
        <v>22</v>
      </c>
      <c r="AK786" s="8">
        <f>COUNTIF($E$786:$AI$786,"A")</f>
        <v>4</v>
      </c>
      <c r="AL786" s="8">
        <f>SUM($E$787:$AI$787)</f>
        <v>0</v>
      </c>
      <c r="AM786" s="8">
        <f>SUM($E$788:$AI$788)</f>
        <v>0</v>
      </c>
      <c r="AN786" s="8">
        <f>AL786+AM786</f>
        <v>0</v>
      </c>
      <c r="AO786" s="8">
        <f>COUNTIF($E$786:$AI$786,"CL")</f>
        <v>0</v>
      </c>
      <c r="AP786" s="8">
        <f>COUNTIF($E$786:$AI$786,"SL")</f>
        <v>0</v>
      </c>
      <c r="AQ786" s="8">
        <f>COUNTIF($E$786:$AI$786,"EL")</f>
        <v>0</v>
      </c>
      <c r="AR786" s="8">
        <f>COUNTIF($E$786:$AI$786,"H")</f>
        <v>0</v>
      </c>
      <c r="AS786" s="8"/>
      <c r="AT786" s="11" t="s">
        <v>2091</v>
      </c>
    </row>
    <row r="787" spans="1:46" ht="15.1" customHeight="1">
      <c r="A787" s="8"/>
      <c r="B787" s="9"/>
      <c r="C787" s="8"/>
      <c r="D787" s="9"/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11" t="s">
        <v>2091</v>
      </c>
    </row>
    <row r="788" spans="1:46" ht="15.1" customHeight="1">
      <c r="A788" s="8"/>
      <c r="B788" s="9"/>
      <c r="C788" s="8"/>
      <c r="D788" s="9"/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11" t="s">
        <v>2091</v>
      </c>
    </row>
    <row r="789" spans="1:46" ht="15.1" customHeight="1">
      <c r="A789" s="8">
        <v>262</v>
      </c>
      <c r="B789" s="9" t="s">
        <v>2592</v>
      </c>
      <c r="C789" s="8" t="s">
        <v>2593</v>
      </c>
      <c r="D789" s="9" t="s">
        <v>451</v>
      </c>
      <c r="E789" s="8" t="s">
        <v>54</v>
      </c>
      <c r="F789" s="8" t="s">
        <v>54</v>
      </c>
      <c r="G789" s="10" t="s">
        <v>67</v>
      </c>
      <c r="H789" s="8" t="s">
        <v>54</v>
      </c>
      <c r="I789" s="12" t="s">
        <v>55</v>
      </c>
      <c r="J789" s="8" t="s">
        <v>54</v>
      </c>
      <c r="K789" s="8" t="s">
        <v>54</v>
      </c>
      <c r="L789" s="8" t="s">
        <v>54</v>
      </c>
      <c r="M789" s="8" t="s">
        <v>54</v>
      </c>
      <c r="N789" s="10" t="s">
        <v>67</v>
      </c>
      <c r="O789" s="8" t="s">
        <v>54</v>
      </c>
      <c r="P789" s="8" t="s">
        <v>54</v>
      </c>
      <c r="Q789" s="8" t="s">
        <v>54</v>
      </c>
      <c r="R789" s="8" t="s">
        <v>54</v>
      </c>
      <c r="S789" s="8" t="s">
        <v>54</v>
      </c>
      <c r="T789" s="8" t="s">
        <v>54</v>
      </c>
      <c r="U789" s="10" t="s">
        <v>67</v>
      </c>
      <c r="V789" s="8" t="s">
        <v>54</v>
      </c>
      <c r="W789" s="8" t="s">
        <v>54</v>
      </c>
      <c r="X789" s="12" t="s">
        <v>55</v>
      </c>
      <c r="Y789" s="12" t="s">
        <v>55</v>
      </c>
      <c r="Z789" s="8" t="s">
        <v>54</v>
      </c>
      <c r="AA789" s="8" t="s">
        <v>54</v>
      </c>
      <c r="AB789" s="10" t="s">
        <v>67</v>
      </c>
      <c r="AC789" s="8" t="s">
        <v>54</v>
      </c>
      <c r="AD789" s="8" t="s">
        <v>54</v>
      </c>
      <c r="AE789" s="8" t="s">
        <v>54</v>
      </c>
      <c r="AF789" s="8" t="s">
        <v>54</v>
      </c>
      <c r="AG789" s="8" t="s">
        <v>54</v>
      </c>
      <c r="AH789" s="8" t="s">
        <v>54</v>
      </c>
      <c r="AI789" s="10" t="s">
        <v>67</v>
      </c>
      <c r="AJ789" s="8">
        <f>COUNTIF($E$789:$AI$789,"P")</f>
        <v>23</v>
      </c>
      <c r="AK789" s="8">
        <f>COUNTIF($E$789:$AI$789,"A")</f>
        <v>3</v>
      </c>
      <c r="AL789" s="8">
        <f>SUM($E$790:$AI$790)</f>
        <v>0</v>
      </c>
      <c r="AM789" s="8">
        <f>SUM($E$791:$AI$791)</f>
        <v>0</v>
      </c>
      <c r="AN789" s="8">
        <f>AL789+AM789</f>
        <v>0</v>
      </c>
      <c r="AO789" s="8">
        <f>COUNTIF($E$789:$AI$789,"CL")</f>
        <v>0</v>
      </c>
      <c r="AP789" s="8">
        <f>COUNTIF($E$789:$AI$789,"SL")</f>
        <v>0</v>
      </c>
      <c r="AQ789" s="8">
        <f>COUNTIF($E$789:$AI$789,"EL")</f>
        <v>0</v>
      </c>
      <c r="AR789" s="8">
        <f>COUNTIF($E$789:$AI$789,"H")</f>
        <v>0</v>
      </c>
      <c r="AS789" s="8"/>
      <c r="AT789" s="11" t="s">
        <v>2091</v>
      </c>
    </row>
    <row r="790" spans="1:46" ht="15.1" customHeight="1">
      <c r="A790" s="8"/>
      <c r="B790" s="9"/>
      <c r="C790" s="8"/>
      <c r="D790" s="9"/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11" t="s">
        <v>2091</v>
      </c>
    </row>
    <row r="791" spans="1:46" ht="15.1" customHeight="1">
      <c r="A791" s="8"/>
      <c r="B791" s="9"/>
      <c r="C791" s="8"/>
      <c r="D791" s="9"/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11" t="s">
        <v>2091</v>
      </c>
    </row>
    <row r="792" spans="1:46" ht="15.1" customHeight="1">
      <c r="A792" s="8">
        <v>263</v>
      </c>
      <c r="B792" s="9" t="s">
        <v>2594</v>
      </c>
      <c r="C792" s="8" t="s">
        <v>2595</v>
      </c>
      <c r="D792" s="9" t="s">
        <v>451</v>
      </c>
      <c r="E792" s="8" t="s">
        <v>54</v>
      </c>
      <c r="F792" s="8" t="s">
        <v>54</v>
      </c>
      <c r="G792" s="10" t="s">
        <v>67</v>
      </c>
      <c r="H792" s="8" t="s">
        <v>54</v>
      </c>
      <c r="I792" s="12" t="s">
        <v>55</v>
      </c>
      <c r="J792" s="12" t="s">
        <v>55</v>
      </c>
      <c r="K792" s="12" t="s">
        <v>55</v>
      </c>
      <c r="L792" s="12" t="s">
        <v>55</v>
      </c>
      <c r="M792" s="12" t="s">
        <v>55</v>
      </c>
      <c r="N792" s="10" t="s">
        <v>67</v>
      </c>
      <c r="O792" s="8" t="s">
        <v>54</v>
      </c>
      <c r="P792" s="8" t="s">
        <v>54</v>
      </c>
      <c r="Q792" s="8" t="s">
        <v>54</v>
      </c>
      <c r="R792" s="12" t="s">
        <v>55</v>
      </c>
      <c r="S792" s="12" t="s">
        <v>55</v>
      </c>
      <c r="T792" s="8" t="s">
        <v>54</v>
      </c>
      <c r="U792" s="10" t="s">
        <v>67</v>
      </c>
      <c r="V792" s="12" t="s">
        <v>55</v>
      </c>
      <c r="W792" s="12" t="s">
        <v>55</v>
      </c>
      <c r="X792" s="12" t="s">
        <v>55</v>
      </c>
      <c r="Y792" s="12" t="s">
        <v>55</v>
      </c>
      <c r="Z792" s="12" t="s">
        <v>55</v>
      </c>
      <c r="AA792" s="12" t="s">
        <v>55</v>
      </c>
      <c r="AB792" s="10" t="s">
        <v>67</v>
      </c>
      <c r="AC792" s="12" t="s">
        <v>55</v>
      </c>
      <c r="AD792" s="12" t="s">
        <v>55</v>
      </c>
      <c r="AE792" s="12" t="s">
        <v>55</v>
      </c>
      <c r="AF792" s="12" t="s">
        <v>55</v>
      </c>
      <c r="AG792" s="12" t="s">
        <v>55</v>
      </c>
      <c r="AH792" s="12" t="s">
        <v>55</v>
      </c>
      <c r="AI792" s="10" t="s">
        <v>67</v>
      </c>
      <c r="AJ792" s="8">
        <f>COUNTIF($E$792:$AI$792,"P")</f>
        <v>7</v>
      </c>
      <c r="AK792" s="8">
        <f>COUNTIF($E$792:$AI$792,"A")</f>
        <v>19</v>
      </c>
      <c r="AL792" s="8">
        <f>SUM($E$793:$AI$793)</f>
        <v>0</v>
      </c>
      <c r="AM792" s="8">
        <f>SUM($E$794:$AI$794)</f>
        <v>0</v>
      </c>
      <c r="AN792" s="8">
        <f>AL792+AM792</f>
        <v>0</v>
      </c>
      <c r="AO792" s="8">
        <f>COUNTIF($E$792:$AI$792,"CL")</f>
        <v>0</v>
      </c>
      <c r="AP792" s="8">
        <f>COUNTIF($E$792:$AI$792,"SL")</f>
        <v>0</v>
      </c>
      <c r="AQ792" s="8">
        <f>COUNTIF($E$792:$AI$792,"EL")</f>
        <v>0</v>
      </c>
      <c r="AR792" s="8">
        <f>COUNTIF($E$792:$AI$792,"H")</f>
        <v>0</v>
      </c>
      <c r="AS792" s="8"/>
      <c r="AT792" s="11" t="s">
        <v>2091</v>
      </c>
    </row>
    <row r="793" spans="1:46" ht="15.1" customHeight="1">
      <c r="A793" s="8"/>
      <c r="B793" s="9"/>
      <c r="C793" s="8"/>
      <c r="D793" s="9"/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11" t="s">
        <v>2091</v>
      </c>
    </row>
    <row r="794" spans="1:46" ht="15.1" customHeight="1">
      <c r="A794" s="8"/>
      <c r="B794" s="9"/>
      <c r="C794" s="8"/>
      <c r="D794" s="9"/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11" t="s">
        <v>2091</v>
      </c>
    </row>
    <row r="795" spans="1:46" ht="15.1" customHeight="1">
      <c r="A795" s="8">
        <v>264</v>
      </c>
      <c r="B795" s="9" t="s">
        <v>2596</v>
      </c>
      <c r="C795" s="8" t="s">
        <v>2597</v>
      </c>
      <c r="D795" s="9" t="s">
        <v>451</v>
      </c>
      <c r="E795" s="12" t="s">
        <v>55</v>
      </c>
      <c r="F795" s="8" t="s">
        <v>54</v>
      </c>
      <c r="G795" s="10" t="s">
        <v>67</v>
      </c>
      <c r="H795" s="8" t="s">
        <v>54</v>
      </c>
      <c r="I795" s="8" t="s">
        <v>54</v>
      </c>
      <c r="J795" s="8" t="s">
        <v>54</v>
      </c>
      <c r="K795" s="12" t="s">
        <v>55</v>
      </c>
      <c r="L795" s="8" t="s">
        <v>54</v>
      </c>
      <c r="M795" s="8" t="s">
        <v>54</v>
      </c>
      <c r="N795" s="10" t="s">
        <v>67</v>
      </c>
      <c r="O795" s="8" t="s">
        <v>54</v>
      </c>
      <c r="P795" s="8" t="s">
        <v>54</v>
      </c>
      <c r="Q795" s="8" t="s">
        <v>54</v>
      </c>
      <c r="R795" s="8" t="s">
        <v>54</v>
      </c>
      <c r="S795" s="12" t="s">
        <v>55</v>
      </c>
      <c r="T795" s="8" t="s">
        <v>54</v>
      </c>
      <c r="U795" s="10" t="s">
        <v>67</v>
      </c>
      <c r="V795" s="12" t="s">
        <v>55</v>
      </c>
      <c r="W795" s="12" t="s">
        <v>55</v>
      </c>
      <c r="X795" s="12" t="s">
        <v>55</v>
      </c>
      <c r="Y795" s="8" t="s">
        <v>54</v>
      </c>
      <c r="Z795" s="8" t="s">
        <v>54</v>
      </c>
      <c r="AA795" s="8" t="s">
        <v>54</v>
      </c>
      <c r="AB795" s="10" t="s">
        <v>67</v>
      </c>
      <c r="AC795" s="8" t="s">
        <v>54</v>
      </c>
      <c r="AD795" s="8" t="s">
        <v>54</v>
      </c>
      <c r="AE795" s="8" t="s">
        <v>54</v>
      </c>
      <c r="AF795" s="8" t="s">
        <v>54</v>
      </c>
      <c r="AG795" s="8" t="s">
        <v>54</v>
      </c>
      <c r="AH795" s="8" t="s">
        <v>54</v>
      </c>
      <c r="AI795" s="10" t="s">
        <v>67</v>
      </c>
      <c r="AJ795" s="8">
        <f>COUNTIF($E$795:$AI$795,"P")</f>
        <v>20</v>
      </c>
      <c r="AK795" s="8">
        <f>COUNTIF($E$795:$AI$795,"A")</f>
        <v>6</v>
      </c>
      <c r="AL795" s="8">
        <f>SUM($E$796:$AI$796)</f>
        <v>0</v>
      </c>
      <c r="AM795" s="8">
        <f>SUM($E$797:$AI$797)</f>
        <v>0</v>
      </c>
      <c r="AN795" s="8">
        <f>AL795+AM795</f>
        <v>0</v>
      </c>
      <c r="AO795" s="8">
        <f>COUNTIF($E$795:$AI$795,"CL")</f>
        <v>0</v>
      </c>
      <c r="AP795" s="8">
        <f>COUNTIF($E$795:$AI$795,"SL")</f>
        <v>0</v>
      </c>
      <c r="AQ795" s="8">
        <f>COUNTIF($E$795:$AI$795,"EL")</f>
        <v>0</v>
      </c>
      <c r="AR795" s="8">
        <f>COUNTIF($E$795:$AI$795,"H")</f>
        <v>0</v>
      </c>
      <c r="AS795" s="8"/>
      <c r="AT795" s="11" t="s">
        <v>2091</v>
      </c>
    </row>
    <row r="796" spans="1:46" ht="15.1" customHeight="1">
      <c r="A796" s="8"/>
      <c r="B796" s="9"/>
      <c r="C796" s="8"/>
      <c r="D796" s="9"/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11" t="s">
        <v>2091</v>
      </c>
    </row>
    <row r="797" spans="1:46" ht="15.1" customHeight="1">
      <c r="A797" s="8"/>
      <c r="B797" s="9"/>
      <c r="C797" s="8"/>
      <c r="D797" s="9"/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11" t="s">
        <v>2091</v>
      </c>
    </row>
    <row r="798" spans="1:46" ht="15.1" customHeight="1">
      <c r="A798" s="8">
        <v>265</v>
      </c>
      <c r="B798" s="9" t="s">
        <v>2598</v>
      </c>
      <c r="C798" s="8" t="s">
        <v>2599</v>
      </c>
      <c r="D798" s="9" t="s">
        <v>451</v>
      </c>
      <c r="E798" s="12" t="s">
        <v>55</v>
      </c>
      <c r="F798" s="8" t="s">
        <v>54</v>
      </c>
      <c r="G798" s="10" t="s">
        <v>67</v>
      </c>
      <c r="H798" s="8" t="s">
        <v>54</v>
      </c>
      <c r="I798" s="8" t="s">
        <v>54</v>
      </c>
      <c r="J798" s="8" t="s">
        <v>54</v>
      </c>
      <c r="K798" s="12" t="s">
        <v>55</v>
      </c>
      <c r="L798" s="12" t="s">
        <v>55</v>
      </c>
      <c r="M798" s="8" t="s">
        <v>54</v>
      </c>
      <c r="N798" s="10" t="s">
        <v>67</v>
      </c>
      <c r="O798" s="8" t="s">
        <v>54</v>
      </c>
      <c r="P798" s="8" t="s">
        <v>54</v>
      </c>
      <c r="Q798" s="8" t="s">
        <v>54</v>
      </c>
      <c r="R798" s="8" t="s">
        <v>54</v>
      </c>
      <c r="S798" s="12" t="s">
        <v>55</v>
      </c>
      <c r="T798" s="8" t="s">
        <v>54</v>
      </c>
      <c r="U798" s="10" t="s">
        <v>67</v>
      </c>
      <c r="V798" s="12" t="s">
        <v>55</v>
      </c>
      <c r="W798" s="12" t="s">
        <v>55</v>
      </c>
      <c r="X798" s="12" t="s">
        <v>55</v>
      </c>
      <c r="Y798" s="8" t="s">
        <v>54</v>
      </c>
      <c r="Z798" s="8" t="s">
        <v>54</v>
      </c>
      <c r="AA798" s="8" t="s">
        <v>54</v>
      </c>
      <c r="AB798" s="10" t="s">
        <v>67</v>
      </c>
      <c r="AC798" s="8" t="s">
        <v>54</v>
      </c>
      <c r="AD798" s="8" t="s">
        <v>54</v>
      </c>
      <c r="AE798" s="8" t="s">
        <v>54</v>
      </c>
      <c r="AF798" s="8" t="s">
        <v>54</v>
      </c>
      <c r="AG798" s="8" t="s">
        <v>54</v>
      </c>
      <c r="AH798" s="8" t="s">
        <v>54</v>
      </c>
      <c r="AI798" s="10" t="s">
        <v>67</v>
      </c>
      <c r="AJ798" s="8">
        <f>COUNTIF($E$798:$AI$798,"P")</f>
        <v>19</v>
      </c>
      <c r="AK798" s="8">
        <f>COUNTIF($E$798:$AI$798,"A")</f>
        <v>7</v>
      </c>
      <c r="AL798" s="8">
        <f>SUM($E$799:$AI$799)</f>
        <v>0</v>
      </c>
      <c r="AM798" s="8">
        <f>SUM($E$800:$AI$800)</f>
        <v>0</v>
      </c>
      <c r="AN798" s="8">
        <f>AL798+AM798</f>
        <v>0</v>
      </c>
      <c r="AO798" s="8">
        <f>COUNTIF($E$798:$AI$798,"CL")</f>
        <v>0</v>
      </c>
      <c r="AP798" s="8">
        <f>COUNTIF($E$798:$AI$798,"SL")</f>
        <v>0</v>
      </c>
      <c r="AQ798" s="8">
        <f>COUNTIF($E$798:$AI$798,"EL")</f>
        <v>0</v>
      </c>
      <c r="AR798" s="8">
        <f>COUNTIF($E$798:$AI$798,"H")</f>
        <v>0</v>
      </c>
      <c r="AS798" s="8"/>
      <c r="AT798" s="11" t="s">
        <v>2091</v>
      </c>
    </row>
    <row r="799" spans="1:46" ht="15.1" customHeight="1">
      <c r="A799" s="8"/>
      <c r="B799" s="9"/>
      <c r="C799" s="8"/>
      <c r="D799" s="9"/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11" t="s">
        <v>2091</v>
      </c>
    </row>
    <row r="800" spans="1:46" ht="15.1" customHeight="1">
      <c r="A800" s="8"/>
      <c r="B800" s="9"/>
      <c r="C800" s="8"/>
      <c r="D800" s="9"/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11" t="s">
        <v>2091</v>
      </c>
    </row>
    <row r="801" spans="1:46" ht="15.1" customHeight="1">
      <c r="A801" s="8">
        <v>266</v>
      </c>
      <c r="B801" s="9" t="s">
        <v>2600</v>
      </c>
      <c r="C801" s="8" t="s">
        <v>2601</v>
      </c>
      <c r="D801" s="9" t="s">
        <v>451</v>
      </c>
      <c r="E801" s="12" t="s">
        <v>55</v>
      </c>
      <c r="F801" s="12" t="s">
        <v>55</v>
      </c>
      <c r="G801" s="10" t="s">
        <v>67</v>
      </c>
      <c r="H801" s="12" t="s">
        <v>55</v>
      </c>
      <c r="I801" s="8" t="s">
        <v>54</v>
      </c>
      <c r="J801" s="8" t="s">
        <v>54</v>
      </c>
      <c r="K801" s="8" t="s">
        <v>54</v>
      </c>
      <c r="L801" s="8" t="s">
        <v>54</v>
      </c>
      <c r="M801" s="8" t="s">
        <v>54</v>
      </c>
      <c r="N801" s="10" t="s">
        <v>67</v>
      </c>
      <c r="O801" s="8" t="s">
        <v>54</v>
      </c>
      <c r="P801" s="8" t="s">
        <v>54</v>
      </c>
      <c r="Q801" s="8" t="s">
        <v>54</v>
      </c>
      <c r="R801" s="12" t="s">
        <v>55</v>
      </c>
      <c r="S801" s="12" t="s">
        <v>55</v>
      </c>
      <c r="T801" s="12" t="s">
        <v>55</v>
      </c>
      <c r="U801" s="10" t="s">
        <v>67</v>
      </c>
      <c r="V801" s="12" t="s">
        <v>55</v>
      </c>
      <c r="W801" s="12" t="s">
        <v>55</v>
      </c>
      <c r="X801" s="12" t="s">
        <v>55</v>
      </c>
      <c r="Y801" s="12" t="s">
        <v>55</v>
      </c>
      <c r="Z801" s="12" t="s">
        <v>55</v>
      </c>
      <c r="AA801" s="12" t="s">
        <v>55</v>
      </c>
      <c r="AB801" s="10" t="s">
        <v>67</v>
      </c>
      <c r="AC801" s="12" t="s">
        <v>55</v>
      </c>
      <c r="AD801" s="12" t="s">
        <v>55</v>
      </c>
      <c r="AE801" s="12" t="s">
        <v>55</v>
      </c>
      <c r="AF801" s="12" t="s">
        <v>55</v>
      </c>
      <c r="AG801" s="12" t="s">
        <v>55</v>
      </c>
      <c r="AH801" s="12" t="s">
        <v>55</v>
      </c>
      <c r="AI801" s="10" t="s">
        <v>67</v>
      </c>
      <c r="AJ801" s="8">
        <f>COUNTIF($E$801:$AI$801,"P")</f>
        <v>8</v>
      </c>
      <c r="AK801" s="8">
        <f>COUNTIF($E$801:$AI$801,"A")</f>
        <v>18</v>
      </c>
      <c r="AL801" s="8">
        <f>SUM($E$802:$AI$802)</f>
        <v>0</v>
      </c>
      <c r="AM801" s="8">
        <f>SUM($E$803:$AI$803)</f>
        <v>0</v>
      </c>
      <c r="AN801" s="8">
        <f>AL801+AM801</f>
        <v>0</v>
      </c>
      <c r="AO801" s="8">
        <f>COUNTIF($E$801:$AI$801,"CL")</f>
        <v>0</v>
      </c>
      <c r="AP801" s="8">
        <f>COUNTIF($E$801:$AI$801,"SL")</f>
        <v>0</v>
      </c>
      <c r="AQ801" s="8">
        <f>COUNTIF($E$801:$AI$801,"EL")</f>
        <v>0</v>
      </c>
      <c r="AR801" s="8">
        <f>COUNTIF($E$801:$AI$801,"H")</f>
        <v>0</v>
      </c>
      <c r="AS801" s="8"/>
      <c r="AT801" s="11" t="s">
        <v>2091</v>
      </c>
    </row>
    <row r="802" spans="1:46" ht="15.1" customHeight="1">
      <c r="A802" s="8"/>
      <c r="B802" s="9"/>
      <c r="C802" s="8"/>
      <c r="D802" s="9"/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11" t="s">
        <v>2091</v>
      </c>
    </row>
    <row r="803" spans="1:46" ht="15.1" customHeight="1">
      <c r="A803" s="8"/>
      <c r="B803" s="9"/>
      <c r="C803" s="8"/>
      <c r="D803" s="9"/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11" t="s">
        <v>2091</v>
      </c>
    </row>
    <row r="804" spans="1:46" ht="15.1" customHeight="1">
      <c r="A804" s="8">
        <v>267</v>
      </c>
      <c r="B804" s="9" t="s">
        <v>2602</v>
      </c>
      <c r="C804" s="8" t="s">
        <v>2603</v>
      </c>
      <c r="D804" s="9" t="s">
        <v>451</v>
      </c>
      <c r="E804" s="8" t="s">
        <v>54</v>
      </c>
      <c r="F804" s="8" t="s">
        <v>54</v>
      </c>
      <c r="G804" s="10" t="s">
        <v>67</v>
      </c>
      <c r="H804" s="8" t="s">
        <v>54</v>
      </c>
      <c r="I804" s="8" t="s">
        <v>54</v>
      </c>
      <c r="J804" s="8" t="s">
        <v>54</v>
      </c>
      <c r="K804" s="8" t="s">
        <v>54</v>
      </c>
      <c r="L804" s="8" t="s">
        <v>54</v>
      </c>
      <c r="M804" s="8" t="s">
        <v>54</v>
      </c>
      <c r="N804" s="10" t="s">
        <v>67</v>
      </c>
      <c r="O804" s="8" t="s">
        <v>54</v>
      </c>
      <c r="P804" s="8" t="s">
        <v>54</v>
      </c>
      <c r="Q804" s="8" t="s">
        <v>54</v>
      </c>
      <c r="R804" s="8" t="s">
        <v>54</v>
      </c>
      <c r="S804" s="8" t="s">
        <v>54</v>
      </c>
      <c r="T804" s="8" t="s">
        <v>54</v>
      </c>
      <c r="U804" s="10" t="s">
        <v>67</v>
      </c>
      <c r="V804" s="8" t="s">
        <v>54</v>
      </c>
      <c r="W804" s="8" t="s">
        <v>54</v>
      </c>
      <c r="X804" s="12" t="s">
        <v>55</v>
      </c>
      <c r="Y804" s="8" t="s">
        <v>54</v>
      </c>
      <c r="Z804" s="8" t="s">
        <v>54</v>
      </c>
      <c r="AA804" s="8" t="s">
        <v>54</v>
      </c>
      <c r="AB804" s="10" t="s">
        <v>67</v>
      </c>
      <c r="AC804" s="8" t="s">
        <v>54</v>
      </c>
      <c r="AD804" s="8" t="s">
        <v>54</v>
      </c>
      <c r="AE804" s="8" t="s">
        <v>54</v>
      </c>
      <c r="AF804" s="8" t="s">
        <v>54</v>
      </c>
      <c r="AG804" s="8" t="s">
        <v>54</v>
      </c>
      <c r="AH804" s="8" t="s">
        <v>54</v>
      </c>
      <c r="AI804" s="10" t="s">
        <v>67</v>
      </c>
      <c r="AJ804" s="8">
        <f>COUNTIF($E$804:$AI$804,"P")</f>
        <v>25</v>
      </c>
      <c r="AK804" s="8">
        <f>COUNTIF($E$804:$AI$804,"A")</f>
        <v>1</v>
      </c>
      <c r="AL804" s="8">
        <f>SUM($E$805:$AI$805)</f>
        <v>0</v>
      </c>
      <c r="AM804" s="8">
        <f>SUM($E$806:$AI$806)</f>
        <v>0</v>
      </c>
      <c r="AN804" s="8">
        <f>AL804+AM804</f>
        <v>0</v>
      </c>
      <c r="AO804" s="8">
        <f>COUNTIF($E$804:$AI$804,"CL")</f>
        <v>0</v>
      </c>
      <c r="AP804" s="8">
        <f>COUNTIF($E$804:$AI$804,"SL")</f>
        <v>0</v>
      </c>
      <c r="AQ804" s="8">
        <f>COUNTIF($E$804:$AI$804,"EL")</f>
        <v>0</v>
      </c>
      <c r="AR804" s="8">
        <f>COUNTIF($E$804:$AI$804,"H")</f>
        <v>0</v>
      </c>
      <c r="AS804" s="8"/>
      <c r="AT804" s="11" t="s">
        <v>2091</v>
      </c>
    </row>
    <row r="805" spans="1:46" ht="15.1" customHeight="1">
      <c r="A805" s="8"/>
      <c r="B805" s="9"/>
      <c r="C805" s="8"/>
      <c r="D805" s="9"/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11" t="s">
        <v>2091</v>
      </c>
    </row>
    <row r="806" spans="1:46" ht="15.1" customHeight="1">
      <c r="A806" s="8"/>
      <c r="B806" s="9"/>
      <c r="C806" s="8"/>
      <c r="D806" s="9"/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11" t="s">
        <v>2091</v>
      </c>
    </row>
    <row r="807" spans="1:46" ht="15.1" customHeight="1">
      <c r="A807" s="8">
        <v>268</v>
      </c>
      <c r="B807" s="9" t="s">
        <v>2604</v>
      </c>
      <c r="C807" s="8" t="s">
        <v>2605</v>
      </c>
      <c r="D807" s="9" t="s">
        <v>451</v>
      </c>
      <c r="E807" s="12" t="s">
        <v>55</v>
      </c>
      <c r="F807" s="8" t="s">
        <v>54</v>
      </c>
      <c r="G807" s="10" t="s">
        <v>67</v>
      </c>
      <c r="H807" s="8" t="s">
        <v>54</v>
      </c>
      <c r="I807" s="8" t="s">
        <v>54</v>
      </c>
      <c r="J807" s="8" t="s">
        <v>54</v>
      </c>
      <c r="K807" s="8" t="s">
        <v>54</v>
      </c>
      <c r="L807" s="8" t="s">
        <v>54</v>
      </c>
      <c r="M807" s="8" t="s">
        <v>54</v>
      </c>
      <c r="N807" s="10" t="s">
        <v>67</v>
      </c>
      <c r="O807" s="8" t="s">
        <v>54</v>
      </c>
      <c r="P807" s="8" t="s">
        <v>54</v>
      </c>
      <c r="Q807" s="8" t="s">
        <v>54</v>
      </c>
      <c r="R807" s="8" t="s">
        <v>54</v>
      </c>
      <c r="S807" s="8" t="s">
        <v>54</v>
      </c>
      <c r="T807" s="8" t="s">
        <v>54</v>
      </c>
      <c r="U807" s="10" t="s">
        <v>67</v>
      </c>
      <c r="V807" s="8" t="s">
        <v>54</v>
      </c>
      <c r="W807" s="8" t="s">
        <v>54</v>
      </c>
      <c r="X807" s="8" t="s">
        <v>54</v>
      </c>
      <c r="Y807" s="8" t="s">
        <v>54</v>
      </c>
      <c r="Z807" s="8" t="s">
        <v>54</v>
      </c>
      <c r="AA807" s="8" t="s">
        <v>54</v>
      </c>
      <c r="AB807" s="10" t="s">
        <v>67</v>
      </c>
      <c r="AC807" s="8" t="s">
        <v>54</v>
      </c>
      <c r="AD807" s="8" t="s">
        <v>54</v>
      </c>
      <c r="AE807" s="8" t="s">
        <v>54</v>
      </c>
      <c r="AF807" s="8" t="s">
        <v>54</v>
      </c>
      <c r="AG807" s="8" t="s">
        <v>54</v>
      </c>
      <c r="AH807" s="8" t="s">
        <v>54</v>
      </c>
      <c r="AI807" s="10" t="s">
        <v>67</v>
      </c>
      <c r="AJ807" s="8">
        <f>COUNTIF($E$807:$AI$807,"P")</f>
        <v>25</v>
      </c>
      <c r="AK807" s="8">
        <f>COUNTIF($E$807:$AI$807,"A")</f>
        <v>1</v>
      </c>
      <c r="AL807" s="8">
        <f>SUM($E$808:$AI$808)</f>
        <v>0</v>
      </c>
      <c r="AM807" s="8">
        <f>SUM($E$809:$AI$809)</f>
        <v>0</v>
      </c>
      <c r="AN807" s="8">
        <f>AL807+AM807</f>
        <v>0</v>
      </c>
      <c r="AO807" s="8">
        <f>COUNTIF($E$807:$AI$807,"CL")</f>
        <v>0</v>
      </c>
      <c r="AP807" s="8">
        <f>COUNTIF($E$807:$AI$807,"SL")</f>
        <v>0</v>
      </c>
      <c r="AQ807" s="8">
        <f>COUNTIF($E$807:$AI$807,"EL")</f>
        <v>0</v>
      </c>
      <c r="AR807" s="8">
        <f>COUNTIF($E$807:$AI$807,"H")</f>
        <v>0</v>
      </c>
      <c r="AS807" s="8"/>
      <c r="AT807" s="11" t="s">
        <v>2091</v>
      </c>
    </row>
    <row r="808" spans="1:46" ht="15.1" customHeight="1">
      <c r="A808" s="8"/>
      <c r="B808" s="9"/>
      <c r="C808" s="8"/>
      <c r="D808" s="9"/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11" t="s">
        <v>2091</v>
      </c>
    </row>
    <row r="809" spans="1:46" ht="15.1" customHeight="1">
      <c r="A809" s="8"/>
      <c r="B809" s="9"/>
      <c r="C809" s="8"/>
      <c r="D809" s="9"/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11" t="s">
        <v>2091</v>
      </c>
    </row>
    <row r="810" spans="1:46" ht="15.1" customHeight="1">
      <c r="A810" s="8">
        <v>269</v>
      </c>
      <c r="B810" s="9" t="s">
        <v>2606</v>
      </c>
      <c r="C810" s="8" t="s">
        <v>2607</v>
      </c>
      <c r="D810" s="9" t="s">
        <v>451</v>
      </c>
      <c r="E810" s="8" t="s">
        <v>54</v>
      </c>
      <c r="F810" s="8" t="s">
        <v>54</v>
      </c>
      <c r="G810" s="10" t="s">
        <v>67</v>
      </c>
      <c r="H810" s="8" t="s">
        <v>54</v>
      </c>
      <c r="I810" s="8" t="s">
        <v>54</v>
      </c>
      <c r="J810" s="8" t="s">
        <v>54</v>
      </c>
      <c r="K810" s="8" t="s">
        <v>54</v>
      </c>
      <c r="L810" s="8" t="s">
        <v>54</v>
      </c>
      <c r="M810" s="8" t="s">
        <v>54</v>
      </c>
      <c r="N810" s="10" t="s">
        <v>67</v>
      </c>
      <c r="O810" s="8" t="s">
        <v>54</v>
      </c>
      <c r="P810" s="8" t="s">
        <v>54</v>
      </c>
      <c r="Q810" s="8" t="s">
        <v>54</v>
      </c>
      <c r="R810" s="8" t="s">
        <v>54</v>
      </c>
      <c r="S810" s="8" t="s">
        <v>54</v>
      </c>
      <c r="T810" s="8" t="s">
        <v>54</v>
      </c>
      <c r="U810" s="10" t="s">
        <v>67</v>
      </c>
      <c r="V810" s="8" t="s">
        <v>54</v>
      </c>
      <c r="W810" s="12" t="s">
        <v>55</v>
      </c>
      <c r="X810" s="8" t="s">
        <v>54</v>
      </c>
      <c r="Y810" s="8" t="s">
        <v>54</v>
      </c>
      <c r="Z810" s="8" t="s">
        <v>54</v>
      </c>
      <c r="AA810" s="8" t="s">
        <v>54</v>
      </c>
      <c r="AB810" s="10" t="s">
        <v>67</v>
      </c>
      <c r="AC810" s="8" t="s">
        <v>54</v>
      </c>
      <c r="AD810" s="8" t="s">
        <v>54</v>
      </c>
      <c r="AE810" s="8" t="s">
        <v>54</v>
      </c>
      <c r="AF810" s="8" t="s">
        <v>54</v>
      </c>
      <c r="AG810" s="8" t="s">
        <v>54</v>
      </c>
      <c r="AH810" s="8" t="s">
        <v>54</v>
      </c>
      <c r="AI810" s="10" t="s">
        <v>67</v>
      </c>
      <c r="AJ810" s="8">
        <f>COUNTIF($E$810:$AI$810,"P")</f>
        <v>25</v>
      </c>
      <c r="AK810" s="8">
        <f>COUNTIF($E$810:$AI$810,"A")</f>
        <v>1</v>
      </c>
      <c r="AL810" s="8">
        <f>SUM($E$811:$AI$811)</f>
        <v>0</v>
      </c>
      <c r="AM810" s="8">
        <f>SUM($E$812:$AI$812)</f>
        <v>0</v>
      </c>
      <c r="AN810" s="8">
        <f>AL810+AM810</f>
        <v>0</v>
      </c>
      <c r="AO810" s="8">
        <f>COUNTIF($E$810:$AI$810,"CL")</f>
        <v>0</v>
      </c>
      <c r="AP810" s="8">
        <f>COUNTIF($E$810:$AI$810,"SL")</f>
        <v>0</v>
      </c>
      <c r="AQ810" s="8">
        <f>COUNTIF($E$810:$AI$810,"EL")</f>
        <v>0</v>
      </c>
      <c r="AR810" s="8">
        <f>COUNTIF($E$810:$AI$810,"H")</f>
        <v>0</v>
      </c>
      <c r="AS810" s="8"/>
      <c r="AT810" s="11" t="s">
        <v>2091</v>
      </c>
    </row>
    <row r="811" spans="1:46" ht="15.1" customHeight="1">
      <c r="A811" s="8"/>
      <c r="B811" s="9"/>
      <c r="C811" s="8"/>
      <c r="D811" s="9"/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11" t="s">
        <v>2091</v>
      </c>
    </row>
    <row r="812" spans="1:46" ht="15.1" customHeight="1">
      <c r="A812" s="8"/>
      <c r="B812" s="9"/>
      <c r="C812" s="8"/>
      <c r="D812" s="9"/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11" t="s">
        <v>2091</v>
      </c>
    </row>
    <row r="813" spans="1:46" ht="15.1" customHeight="1">
      <c r="A813" s="8">
        <v>270</v>
      </c>
      <c r="B813" s="9" t="s">
        <v>2608</v>
      </c>
      <c r="C813" s="8" t="s">
        <v>2609</v>
      </c>
      <c r="D813" s="9" t="s">
        <v>451</v>
      </c>
      <c r="E813" s="8" t="s">
        <v>54</v>
      </c>
      <c r="F813" s="8" t="s">
        <v>54</v>
      </c>
      <c r="G813" s="10" t="s">
        <v>67</v>
      </c>
      <c r="H813" s="8" t="s">
        <v>54</v>
      </c>
      <c r="I813" s="8" t="s">
        <v>54</v>
      </c>
      <c r="J813" s="8" t="s">
        <v>54</v>
      </c>
      <c r="K813" s="8" t="s">
        <v>54</v>
      </c>
      <c r="L813" s="8" t="s">
        <v>54</v>
      </c>
      <c r="M813" s="8" t="s">
        <v>54</v>
      </c>
      <c r="N813" s="10" t="s">
        <v>67</v>
      </c>
      <c r="O813" s="8" t="s">
        <v>54</v>
      </c>
      <c r="P813" s="8" t="s">
        <v>54</v>
      </c>
      <c r="Q813" s="8" t="s">
        <v>54</v>
      </c>
      <c r="R813" s="8" t="s">
        <v>54</v>
      </c>
      <c r="S813" s="8" t="s">
        <v>54</v>
      </c>
      <c r="T813" s="8" t="s">
        <v>54</v>
      </c>
      <c r="U813" s="10" t="s">
        <v>67</v>
      </c>
      <c r="V813" s="8" t="s">
        <v>54</v>
      </c>
      <c r="W813" s="8" t="s">
        <v>54</v>
      </c>
      <c r="X813" s="12" t="s">
        <v>55</v>
      </c>
      <c r="Y813" s="8" t="s">
        <v>54</v>
      </c>
      <c r="Z813" s="8" t="s">
        <v>54</v>
      </c>
      <c r="AA813" s="8" t="s">
        <v>54</v>
      </c>
      <c r="AB813" s="10" t="s">
        <v>67</v>
      </c>
      <c r="AC813" s="8" t="s">
        <v>54</v>
      </c>
      <c r="AD813" s="8" t="s">
        <v>54</v>
      </c>
      <c r="AE813" s="8" t="s">
        <v>54</v>
      </c>
      <c r="AF813" s="8" t="s">
        <v>54</v>
      </c>
      <c r="AG813" s="12" t="s">
        <v>55</v>
      </c>
      <c r="AH813" s="8" t="s">
        <v>54</v>
      </c>
      <c r="AI813" s="10" t="s">
        <v>67</v>
      </c>
      <c r="AJ813" s="8">
        <f>COUNTIF($E$813:$AI$813,"P")</f>
        <v>24</v>
      </c>
      <c r="AK813" s="8">
        <f>COUNTIF($E$813:$AI$813,"A")</f>
        <v>2</v>
      </c>
      <c r="AL813" s="8">
        <f>SUM($E$814:$AI$814)</f>
        <v>0</v>
      </c>
      <c r="AM813" s="8">
        <f>SUM($E$815:$AI$815)</f>
        <v>0</v>
      </c>
      <c r="AN813" s="8">
        <f>AL813+AM813</f>
        <v>0</v>
      </c>
      <c r="AO813" s="8">
        <f>COUNTIF($E$813:$AI$813,"CL")</f>
        <v>0</v>
      </c>
      <c r="AP813" s="8">
        <f>COUNTIF($E$813:$AI$813,"SL")</f>
        <v>0</v>
      </c>
      <c r="AQ813" s="8">
        <f>COUNTIF($E$813:$AI$813,"EL")</f>
        <v>0</v>
      </c>
      <c r="AR813" s="8">
        <f>COUNTIF($E$813:$AI$813,"H")</f>
        <v>0</v>
      </c>
      <c r="AS813" s="8"/>
      <c r="AT813" s="11" t="s">
        <v>2091</v>
      </c>
    </row>
    <row r="814" spans="1:46" ht="15.1" customHeight="1">
      <c r="A814" s="8"/>
      <c r="B814" s="9"/>
      <c r="C814" s="8"/>
      <c r="D814" s="9"/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11" t="s">
        <v>2091</v>
      </c>
    </row>
    <row r="815" spans="1:46" ht="15.1" customHeight="1">
      <c r="A815" s="8"/>
      <c r="B815" s="9"/>
      <c r="C815" s="8"/>
      <c r="D815" s="9"/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11" t="s">
        <v>2091</v>
      </c>
    </row>
    <row r="816" spans="1:46" ht="15.1" customHeight="1">
      <c r="A816" s="8">
        <v>271</v>
      </c>
      <c r="B816" s="9" t="s">
        <v>2446</v>
      </c>
      <c r="C816" s="8" t="s">
        <v>2610</v>
      </c>
      <c r="D816" s="9" t="s">
        <v>451</v>
      </c>
      <c r="E816" s="8" t="s">
        <v>54</v>
      </c>
      <c r="F816" s="8" t="s">
        <v>54</v>
      </c>
      <c r="G816" s="10" t="s">
        <v>67</v>
      </c>
      <c r="H816" s="8" t="s">
        <v>54</v>
      </c>
      <c r="I816" s="8" t="s">
        <v>54</v>
      </c>
      <c r="J816" s="8" t="s">
        <v>54</v>
      </c>
      <c r="K816" s="8" t="s">
        <v>54</v>
      </c>
      <c r="L816" s="8" t="s">
        <v>54</v>
      </c>
      <c r="M816" s="8" t="s">
        <v>54</v>
      </c>
      <c r="N816" s="10" t="s">
        <v>67</v>
      </c>
      <c r="O816" s="8" t="s">
        <v>54</v>
      </c>
      <c r="P816" s="8" t="s">
        <v>54</v>
      </c>
      <c r="Q816" s="8" t="s">
        <v>54</v>
      </c>
      <c r="R816" s="8" t="s">
        <v>54</v>
      </c>
      <c r="S816" s="8" t="s">
        <v>54</v>
      </c>
      <c r="T816" s="8" t="s">
        <v>54</v>
      </c>
      <c r="U816" s="10" t="s">
        <v>67</v>
      </c>
      <c r="V816" s="8" t="s">
        <v>54</v>
      </c>
      <c r="W816" s="8" t="s">
        <v>54</v>
      </c>
      <c r="X816" s="12" t="s">
        <v>55</v>
      </c>
      <c r="Y816" s="8" t="s">
        <v>54</v>
      </c>
      <c r="Z816" s="8" t="s">
        <v>54</v>
      </c>
      <c r="AA816" s="8" t="s">
        <v>54</v>
      </c>
      <c r="AB816" s="10" t="s">
        <v>67</v>
      </c>
      <c r="AC816" s="8" t="s">
        <v>54</v>
      </c>
      <c r="AD816" s="8" t="s">
        <v>54</v>
      </c>
      <c r="AE816" s="8" t="s">
        <v>54</v>
      </c>
      <c r="AF816" s="8" t="s">
        <v>54</v>
      </c>
      <c r="AG816" s="8" t="s">
        <v>54</v>
      </c>
      <c r="AH816" s="8" t="s">
        <v>54</v>
      </c>
      <c r="AI816" s="10" t="s">
        <v>67</v>
      </c>
      <c r="AJ816" s="8">
        <f>COUNTIF($E$816:$AI$816,"P")</f>
        <v>25</v>
      </c>
      <c r="AK816" s="8">
        <f>COUNTIF($E$816:$AI$816,"A")</f>
        <v>1</v>
      </c>
      <c r="AL816" s="8">
        <f>SUM($E$817:$AI$817)</f>
        <v>0</v>
      </c>
      <c r="AM816" s="8">
        <f>SUM($E$818:$AI$818)</f>
        <v>0</v>
      </c>
      <c r="AN816" s="8">
        <f>AL816+AM816</f>
        <v>0</v>
      </c>
      <c r="AO816" s="8">
        <f>COUNTIF($E$816:$AI$816,"CL")</f>
        <v>0</v>
      </c>
      <c r="AP816" s="8">
        <f>COUNTIF($E$816:$AI$816,"SL")</f>
        <v>0</v>
      </c>
      <c r="AQ816" s="8">
        <f>COUNTIF($E$816:$AI$816,"EL")</f>
        <v>0</v>
      </c>
      <c r="AR816" s="8">
        <f>COUNTIF($E$816:$AI$816,"H")</f>
        <v>0</v>
      </c>
      <c r="AS816" s="8"/>
      <c r="AT816" s="11" t="s">
        <v>2091</v>
      </c>
    </row>
    <row r="817" spans="1:46" ht="15.1" customHeight="1">
      <c r="A817" s="8"/>
      <c r="B817" s="9"/>
      <c r="C817" s="8"/>
      <c r="D817" s="9"/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11" t="s">
        <v>2091</v>
      </c>
    </row>
    <row r="818" spans="1:46" ht="15.1" customHeight="1">
      <c r="A818" s="8"/>
      <c r="B818" s="9"/>
      <c r="C818" s="8"/>
      <c r="D818" s="9"/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11" t="s">
        <v>2091</v>
      </c>
    </row>
    <row r="819" spans="1:46" ht="15.1" customHeight="1">
      <c r="A819" s="8">
        <v>272</v>
      </c>
      <c r="B819" s="9" t="s">
        <v>2611</v>
      </c>
      <c r="C819" s="8" t="s">
        <v>2612</v>
      </c>
      <c r="D819" s="9" t="s">
        <v>451</v>
      </c>
      <c r="E819" s="12" t="s">
        <v>55</v>
      </c>
      <c r="F819" s="8" t="s">
        <v>54</v>
      </c>
      <c r="G819" s="10" t="s">
        <v>67</v>
      </c>
      <c r="H819" s="8" t="s">
        <v>54</v>
      </c>
      <c r="I819" s="12" t="s">
        <v>55</v>
      </c>
      <c r="J819" s="8" t="s">
        <v>54</v>
      </c>
      <c r="K819" s="8" t="s">
        <v>54</v>
      </c>
      <c r="L819" s="8" t="s">
        <v>54</v>
      </c>
      <c r="M819" s="8" t="s">
        <v>54</v>
      </c>
      <c r="N819" s="10" t="s">
        <v>67</v>
      </c>
      <c r="O819" s="8" t="s">
        <v>54</v>
      </c>
      <c r="P819" s="8" t="s">
        <v>54</v>
      </c>
      <c r="Q819" s="8" t="s">
        <v>54</v>
      </c>
      <c r="R819" s="8" t="s">
        <v>54</v>
      </c>
      <c r="S819" s="8" t="s">
        <v>54</v>
      </c>
      <c r="T819" s="8" t="s">
        <v>54</v>
      </c>
      <c r="U819" s="10" t="s">
        <v>67</v>
      </c>
      <c r="V819" s="8" t="s">
        <v>54</v>
      </c>
      <c r="W819" s="8" t="s">
        <v>54</v>
      </c>
      <c r="X819" s="12" t="s">
        <v>55</v>
      </c>
      <c r="Y819" s="8" t="s">
        <v>54</v>
      </c>
      <c r="Z819" s="8" t="s">
        <v>54</v>
      </c>
      <c r="AA819" s="8" t="s">
        <v>54</v>
      </c>
      <c r="AB819" s="10" t="s">
        <v>67</v>
      </c>
      <c r="AC819" s="8" t="s">
        <v>54</v>
      </c>
      <c r="AD819" s="8" t="s">
        <v>54</v>
      </c>
      <c r="AE819" s="8" t="s">
        <v>54</v>
      </c>
      <c r="AF819" s="8" t="s">
        <v>54</v>
      </c>
      <c r="AG819" s="8" t="s">
        <v>54</v>
      </c>
      <c r="AH819" s="8" t="s">
        <v>54</v>
      </c>
      <c r="AI819" s="10" t="s">
        <v>67</v>
      </c>
      <c r="AJ819" s="8">
        <f>COUNTIF($E$819:$AI$819,"P")</f>
        <v>23</v>
      </c>
      <c r="AK819" s="8">
        <f>COUNTIF($E$819:$AI$819,"A")</f>
        <v>3</v>
      </c>
      <c r="AL819" s="8">
        <f>SUM($E$820:$AI$820)</f>
        <v>0</v>
      </c>
      <c r="AM819" s="8">
        <f>SUM($E$821:$AI$821)</f>
        <v>0</v>
      </c>
      <c r="AN819" s="8">
        <f>AL819+AM819</f>
        <v>0</v>
      </c>
      <c r="AO819" s="8">
        <f>COUNTIF($E$819:$AI$819,"CL")</f>
        <v>0</v>
      </c>
      <c r="AP819" s="8">
        <f>COUNTIF($E$819:$AI$819,"SL")</f>
        <v>0</v>
      </c>
      <c r="AQ819" s="8">
        <f>COUNTIF($E$819:$AI$819,"EL")</f>
        <v>0</v>
      </c>
      <c r="AR819" s="8">
        <f>COUNTIF($E$819:$AI$819,"H")</f>
        <v>0</v>
      </c>
      <c r="AS819" s="8"/>
      <c r="AT819" s="11" t="s">
        <v>2091</v>
      </c>
    </row>
    <row r="820" spans="1:46" ht="15.1" customHeight="1">
      <c r="A820" s="8"/>
      <c r="B820" s="9"/>
      <c r="C820" s="8"/>
      <c r="D820" s="9"/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0</v>
      </c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11" t="s">
        <v>2091</v>
      </c>
    </row>
    <row r="821" spans="1:46" ht="15.1" customHeight="1">
      <c r="A821" s="8"/>
      <c r="B821" s="9"/>
      <c r="C821" s="8"/>
      <c r="D821" s="9"/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11" t="s">
        <v>2091</v>
      </c>
    </row>
    <row r="822" spans="1:46" ht="15.1" customHeight="1">
      <c r="A822" s="8">
        <v>273</v>
      </c>
      <c r="B822" s="9" t="s">
        <v>2613</v>
      </c>
      <c r="C822" s="8" t="s">
        <v>2614</v>
      </c>
      <c r="D822" s="9" t="s">
        <v>451</v>
      </c>
      <c r="E822" s="8" t="s">
        <v>54</v>
      </c>
      <c r="F822" s="8" t="s">
        <v>54</v>
      </c>
      <c r="G822" s="10" t="s">
        <v>67</v>
      </c>
      <c r="H822" s="12" t="s">
        <v>55</v>
      </c>
      <c r="I822" s="8" t="s">
        <v>54</v>
      </c>
      <c r="J822" s="8" t="s">
        <v>54</v>
      </c>
      <c r="K822" s="8" t="s">
        <v>54</v>
      </c>
      <c r="L822" s="8" t="s">
        <v>54</v>
      </c>
      <c r="M822" s="8" t="s">
        <v>54</v>
      </c>
      <c r="N822" s="10" t="s">
        <v>67</v>
      </c>
      <c r="O822" s="8" t="s">
        <v>54</v>
      </c>
      <c r="P822" s="8" t="s">
        <v>54</v>
      </c>
      <c r="Q822" s="8" t="s">
        <v>54</v>
      </c>
      <c r="R822" s="12" t="s">
        <v>55</v>
      </c>
      <c r="S822" s="12" t="s">
        <v>55</v>
      </c>
      <c r="T822" s="12" t="s">
        <v>55</v>
      </c>
      <c r="U822" s="10" t="s">
        <v>67</v>
      </c>
      <c r="V822" s="12" t="s">
        <v>55</v>
      </c>
      <c r="W822" s="8" t="s">
        <v>54</v>
      </c>
      <c r="X822" s="12" t="s">
        <v>55</v>
      </c>
      <c r="Y822" s="8" t="s">
        <v>54</v>
      </c>
      <c r="Z822" s="12" t="s">
        <v>55</v>
      </c>
      <c r="AA822" s="12" t="s">
        <v>55</v>
      </c>
      <c r="AB822" s="10" t="s">
        <v>67</v>
      </c>
      <c r="AC822" s="12" t="s">
        <v>55</v>
      </c>
      <c r="AD822" s="12" t="s">
        <v>55</v>
      </c>
      <c r="AE822" s="12" t="s">
        <v>55</v>
      </c>
      <c r="AF822" s="12" t="s">
        <v>55</v>
      </c>
      <c r="AG822" s="12" t="s">
        <v>55</v>
      </c>
      <c r="AH822" s="12" t="s">
        <v>55</v>
      </c>
      <c r="AI822" s="10" t="s">
        <v>67</v>
      </c>
      <c r="AJ822" s="8">
        <f>COUNTIF($E$822:$AI$822,"P")</f>
        <v>12</v>
      </c>
      <c r="AK822" s="8">
        <f>COUNTIF($E$822:$AI$822,"A")</f>
        <v>14</v>
      </c>
      <c r="AL822" s="8">
        <f>SUM($E$823:$AI$823)</f>
        <v>0</v>
      </c>
      <c r="AM822" s="8">
        <f>SUM($E$824:$AI$824)</f>
        <v>0</v>
      </c>
      <c r="AN822" s="8">
        <f>AL822+AM822</f>
        <v>0</v>
      </c>
      <c r="AO822" s="8">
        <f>COUNTIF($E$822:$AI$822,"CL")</f>
        <v>0</v>
      </c>
      <c r="AP822" s="8">
        <f>COUNTIF($E$822:$AI$822,"SL")</f>
        <v>0</v>
      </c>
      <c r="AQ822" s="8">
        <f>COUNTIF($E$822:$AI$822,"EL")</f>
        <v>0</v>
      </c>
      <c r="AR822" s="8">
        <f>COUNTIF($E$822:$AI$822,"H")</f>
        <v>0</v>
      </c>
      <c r="AS822" s="8"/>
      <c r="AT822" s="11" t="s">
        <v>2091</v>
      </c>
    </row>
    <row r="823" spans="1:46" ht="15.1" customHeight="1">
      <c r="A823" s="8"/>
      <c r="B823" s="9"/>
      <c r="C823" s="8"/>
      <c r="D823" s="9"/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11" t="s">
        <v>2091</v>
      </c>
    </row>
    <row r="824" spans="1:46" ht="15.1" customHeight="1">
      <c r="A824" s="8"/>
      <c r="B824" s="9"/>
      <c r="C824" s="8"/>
      <c r="D824" s="9"/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11" t="s">
        <v>2091</v>
      </c>
    </row>
    <row r="825" spans="1:46" ht="15.1" customHeight="1">
      <c r="A825" s="8">
        <v>274</v>
      </c>
      <c r="B825" s="9" t="s">
        <v>2615</v>
      </c>
      <c r="C825" s="8" t="s">
        <v>2616</v>
      </c>
      <c r="D825" s="9" t="s">
        <v>451</v>
      </c>
      <c r="E825" s="8" t="s">
        <v>54</v>
      </c>
      <c r="F825" s="8" t="s">
        <v>54</v>
      </c>
      <c r="G825" s="10" t="s">
        <v>67</v>
      </c>
      <c r="H825" s="8" t="s">
        <v>54</v>
      </c>
      <c r="I825" s="8" t="s">
        <v>54</v>
      </c>
      <c r="J825" s="8" t="s">
        <v>54</v>
      </c>
      <c r="K825" s="8" t="s">
        <v>54</v>
      </c>
      <c r="L825" s="8" t="s">
        <v>54</v>
      </c>
      <c r="M825" s="8" t="s">
        <v>54</v>
      </c>
      <c r="N825" s="10" t="s">
        <v>67</v>
      </c>
      <c r="O825" s="8" t="s">
        <v>54</v>
      </c>
      <c r="P825" s="8" t="s">
        <v>54</v>
      </c>
      <c r="Q825" s="8" t="s">
        <v>54</v>
      </c>
      <c r="R825" s="8" t="s">
        <v>54</v>
      </c>
      <c r="S825" s="8" t="s">
        <v>54</v>
      </c>
      <c r="T825" s="8" t="s">
        <v>54</v>
      </c>
      <c r="U825" s="10" t="s">
        <v>67</v>
      </c>
      <c r="V825" s="8" t="s">
        <v>54</v>
      </c>
      <c r="W825" s="8" t="s">
        <v>54</v>
      </c>
      <c r="X825" s="12" t="s">
        <v>55</v>
      </c>
      <c r="Y825" s="8" t="s">
        <v>54</v>
      </c>
      <c r="Z825" s="8" t="s">
        <v>54</v>
      </c>
      <c r="AA825" s="8" t="s">
        <v>54</v>
      </c>
      <c r="AB825" s="10" t="s">
        <v>67</v>
      </c>
      <c r="AC825" s="8" t="s">
        <v>54</v>
      </c>
      <c r="AD825" s="8" t="s">
        <v>54</v>
      </c>
      <c r="AE825" s="8" t="s">
        <v>54</v>
      </c>
      <c r="AF825" s="8" t="s">
        <v>54</v>
      </c>
      <c r="AG825" s="8" t="s">
        <v>54</v>
      </c>
      <c r="AH825" s="8" t="s">
        <v>54</v>
      </c>
      <c r="AI825" s="10" t="s">
        <v>67</v>
      </c>
      <c r="AJ825" s="8">
        <f>COUNTIF($E$825:$AI$825,"P")</f>
        <v>25</v>
      </c>
      <c r="AK825" s="8">
        <f>COUNTIF($E$825:$AI$825,"A")</f>
        <v>1</v>
      </c>
      <c r="AL825" s="8">
        <f>SUM($E$826:$AI$826)</f>
        <v>0</v>
      </c>
      <c r="AM825" s="8">
        <f>SUM($E$827:$AI$827)</f>
        <v>0</v>
      </c>
      <c r="AN825" s="8">
        <f>AL825+AM825</f>
        <v>0</v>
      </c>
      <c r="AO825" s="8">
        <f>COUNTIF($E$825:$AI$825,"CL")</f>
        <v>0</v>
      </c>
      <c r="AP825" s="8">
        <f>COUNTIF($E$825:$AI$825,"SL")</f>
        <v>0</v>
      </c>
      <c r="AQ825" s="8">
        <f>COUNTIF($E$825:$AI$825,"EL")</f>
        <v>0</v>
      </c>
      <c r="AR825" s="8">
        <f>COUNTIF($E$825:$AI$825,"H")</f>
        <v>0</v>
      </c>
      <c r="AS825" s="8"/>
      <c r="AT825" s="11" t="s">
        <v>2091</v>
      </c>
    </row>
    <row r="826" spans="1:46" ht="15.1" customHeight="1">
      <c r="A826" s="8"/>
      <c r="B826" s="9"/>
      <c r="C826" s="8"/>
      <c r="D826" s="9"/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11" t="s">
        <v>2091</v>
      </c>
    </row>
    <row r="827" spans="1:46" ht="15.1" customHeight="1">
      <c r="A827" s="8"/>
      <c r="B827" s="9"/>
      <c r="C827" s="8"/>
      <c r="D827" s="9"/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11" t="s">
        <v>2091</v>
      </c>
    </row>
    <row r="828" spans="1:46" ht="15.1" customHeight="1">
      <c r="A828" s="8">
        <v>275</v>
      </c>
      <c r="B828" s="9" t="s">
        <v>2617</v>
      </c>
      <c r="C828" s="8" t="s">
        <v>2618</v>
      </c>
      <c r="D828" s="9" t="s">
        <v>451</v>
      </c>
      <c r="E828" s="8" t="s">
        <v>54</v>
      </c>
      <c r="F828" s="8" t="s">
        <v>54</v>
      </c>
      <c r="G828" s="10" t="s">
        <v>67</v>
      </c>
      <c r="H828" s="8" t="s">
        <v>54</v>
      </c>
      <c r="I828" s="8" t="s">
        <v>54</v>
      </c>
      <c r="J828" s="8" t="s">
        <v>54</v>
      </c>
      <c r="K828" s="8" t="s">
        <v>54</v>
      </c>
      <c r="L828" s="12" t="s">
        <v>55</v>
      </c>
      <c r="M828" s="8" t="s">
        <v>54</v>
      </c>
      <c r="N828" s="10" t="s">
        <v>67</v>
      </c>
      <c r="O828" s="8" t="s">
        <v>54</v>
      </c>
      <c r="P828" s="8" t="s">
        <v>54</v>
      </c>
      <c r="Q828" s="8" t="s">
        <v>54</v>
      </c>
      <c r="R828" s="8" t="s">
        <v>54</v>
      </c>
      <c r="S828" s="8" t="s">
        <v>54</v>
      </c>
      <c r="T828" s="8" t="s">
        <v>54</v>
      </c>
      <c r="U828" s="10" t="s">
        <v>67</v>
      </c>
      <c r="V828" s="8" t="s">
        <v>54</v>
      </c>
      <c r="W828" s="8" t="s">
        <v>54</v>
      </c>
      <c r="X828" s="12" t="s">
        <v>55</v>
      </c>
      <c r="Y828" s="8" t="s">
        <v>54</v>
      </c>
      <c r="Z828" s="8" t="s">
        <v>54</v>
      </c>
      <c r="AA828" s="8" t="s">
        <v>54</v>
      </c>
      <c r="AB828" s="10" t="s">
        <v>67</v>
      </c>
      <c r="AC828" s="8" t="s">
        <v>54</v>
      </c>
      <c r="AD828" s="8" t="s">
        <v>54</v>
      </c>
      <c r="AE828" s="8" t="s">
        <v>54</v>
      </c>
      <c r="AF828" s="8" t="s">
        <v>54</v>
      </c>
      <c r="AG828" s="8" t="s">
        <v>54</v>
      </c>
      <c r="AH828" s="8" t="s">
        <v>54</v>
      </c>
      <c r="AI828" s="10" t="s">
        <v>67</v>
      </c>
      <c r="AJ828" s="8">
        <f>COUNTIF($E$828:$AI$828,"P")</f>
        <v>24</v>
      </c>
      <c r="AK828" s="8">
        <f>COUNTIF($E$828:$AI$828,"A")</f>
        <v>2</v>
      </c>
      <c r="AL828" s="8">
        <f>SUM($E$829:$AI$829)</f>
        <v>0</v>
      </c>
      <c r="AM828" s="8">
        <f>SUM($E$830:$AI$830)</f>
        <v>0</v>
      </c>
      <c r="AN828" s="8">
        <f>AL828+AM828</f>
        <v>0</v>
      </c>
      <c r="AO828" s="8">
        <f>COUNTIF($E$828:$AI$828,"CL")</f>
        <v>0</v>
      </c>
      <c r="AP828" s="8">
        <f>COUNTIF($E$828:$AI$828,"SL")</f>
        <v>0</v>
      </c>
      <c r="AQ828" s="8">
        <f>COUNTIF($E$828:$AI$828,"EL")</f>
        <v>0</v>
      </c>
      <c r="AR828" s="8">
        <f>COUNTIF($E$828:$AI$828,"H")</f>
        <v>0</v>
      </c>
      <c r="AS828" s="8"/>
      <c r="AT828" s="11" t="s">
        <v>2091</v>
      </c>
    </row>
    <row r="829" spans="1:46" ht="15.1" customHeight="1">
      <c r="A829" s="8"/>
      <c r="B829" s="9"/>
      <c r="C829" s="8"/>
      <c r="D829" s="9"/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11" t="s">
        <v>2091</v>
      </c>
    </row>
    <row r="830" spans="1:46" ht="15.1" customHeight="1">
      <c r="A830" s="8"/>
      <c r="B830" s="9"/>
      <c r="C830" s="8"/>
      <c r="D830" s="9"/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11" t="s">
        <v>2091</v>
      </c>
    </row>
    <row r="831" spans="1:46" ht="15.1" customHeight="1">
      <c r="A831" s="8">
        <v>276</v>
      </c>
      <c r="B831" s="9" t="s">
        <v>2619</v>
      </c>
      <c r="C831" s="8" t="s">
        <v>2620</v>
      </c>
      <c r="D831" s="9" t="s">
        <v>451</v>
      </c>
      <c r="E831" s="12" t="s">
        <v>55</v>
      </c>
      <c r="F831" s="8" t="s">
        <v>54</v>
      </c>
      <c r="G831" s="10" t="s">
        <v>67</v>
      </c>
      <c r="H831" s="8" t="s">
        <v>54</v>
      </c>
      <c r="I831" s="8" t="s">
        <v>54</v>
      </c>
      <c r="J831" s="8" t="s">
        <v>54</v>
      </c>
      <c r="K831" s="8" t="s">
        <v>54</v>
      </c>
      <c r="L831" s="8" t="s">
        <v>54</v>
      </c>
      <c r="M831" s="8" t="s">
        <v>54</v>
      </c>
      <c r="N831" s="10" t="s">
        <v>67</v>
      </c>
      <c r="O831" s="8" t="s">
        <v>54</v>
      </c>
      <c r="P831" s="8" t="s">
        <v>54</v>
      </c>
      <c r="Q831" s="8" t="s">
        <v>54</v>
      </c>
      <c r="R831" s="8" t="s">
        <v>54</v>
      </c>
      <c r="S831" s="8" t="s">
        <v>54</v>
      </c>
      <c r="T831" s="8" t="s">
        <v>54</v>
      </c>
      <c r="U831" s="10" t="s">
        <v>67</v>
      </c>
      <c r="V831" s="8" t="s">
        <v>54</v>
      </c>
      <c r="W831" s="8" t="s">
        <v>54</v>
      </c>
      <c r="X831" s="12" t="s">
        <v>55</v>
      </c>
      <c r="Y831" s="8" t="s">
        <v>54</v>
      </c>
      <c r="Z831" s="8" t="s">
        <v>54</v>
      </c>
      <c r="AA831" s="8" t="s">
        <v>54</v>
      </c>
      <c r="AB831" s="10" t="s">
        <v>67</v>
      </c>
      <c r="AC831" s="12" t="s">
        <v>55</v>
      </c>
      <c r="AD831" s="12" t="s">
        <v>55</v>
      </c>
      <c r="AE831" s="8" t="s">
        <v>54</v>
      </c>
      <c r="AF831" s="8" t="s">
        <v>54</v>
      </c>
      <c r="AG831" s="8" t="s">
        <v>54</v>
      </c>
      <c r="AH831" s="8" t="s">
        <v>54</v>
      </c>
      <c r="AI831" s="10" t="s">
        <v>67</v>
      </c>
      <c r="AJ831" s="8">
        <f>COUNTIF($E$831:$AI$831,"P")</f>
        <v>22</v>
      </c>
      <c r="AK831" s="8">
        <f>COUNTIF($E$831:$AI$831,"A")</f>
        <v>4</v>
      </c>
      <c r="AL831" s="8">
        <f>SUM($E$832:$AI$832)</f>
        <v>0</v>
      </c>
      <c r="AM831" s="8">
        <f>SUM($E$833:$AI$833)</f>
        <v>0</v>
      </c>
      <c r="AN831" s="8">
        <f>AL831+AM831</f>
        <v>0</v>
      </c>
      <c r="AO831" s="8">
        <f>COUNTIF($E$831:$AI$831,"CL")</f>
        <v>0</v>
      </c>
      <c r="AP831" s="8">
        <f>COUNTIF($E$831:$AI$831,"SL")</f>
        <v>0</v>
      </c>
      <c r="AQ831" s="8">
        <f>COUNTIF($E$831:$AI$831,"EL")</f>
        <v>0</v>
      </c>
      <c r="AR831" s="8">
        <f>COUNTIF($E$831:$AI$831,"H")</f>
        <v>0</v>
      </c>
      <c r="AS831" s="8"/>
      <c r="AT831" s="11" t="s">
        <v>2091</v>
      </c>
    </row>
    <row r="832" spans="1:46" ht="15.1" customHeight="1">
      <c r="A832" s="8"/>
      <c r="B832" s="9"/>
      <c r="C832" s="8"/>
      <c r="D832" s="9"/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11" t="s">
        <v>2091</v>
      </c>
    </row>
    <row r="833" spans="1:46" ht="15.1" customHeight="1">
      <c r="A833" s="8"/>
      <c r="B833" s="9"/>
      <c r="C833" s="8"/>
      <c r="D833" s="9"/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11" t="s">
        <v>2091</v>
      </c>
    </row>
    <row r="834" spans="1:46" ht="15.1" customHeight="1">
      <c r="A834" s="8">
        <v>277</v>
      </c>
      <c r="B834" s="9" t="s">
        <v>2621</v>
      </c>
      <c r="C834" s="8" t="s">
        <v>2622</v>
      </c>
      <c r="D834" s="9" t="s">
        <v>451</v>
      </c>
      <c r="E834" s="8" t="s">
        <v>54</v>
      </c>
      <c r="F834" s="8" t="s">
        <v>54</v>
      </c>
      <c r="G834" s="10" t="s">
        <v>67</v>
      </c>
      <c r="H834" s="8" t="s">
        <v>54</v>
      </c>
      <c r="I834" s="8" t="s">
        <v>54</v>
      </c>
      <c r="J834" s="8" t="s">
        <v>54</v>
      </c>
      <c r="K834" s="8" t="s">
        <v>54</v>
      </c>
      <c r="L834" s="8" t="s">
        <v>54</v>
      </c>
      <c r="M834" s="8" t="s">
        <v>54</v>
      </c>
      <c r="N834" s="10" t="s">
        <v>67</v>
      </c>
      <c r="O834" s="8" t="s">
        <v>54</v>
      </c>
      <c r="P834" s="8" t="s">
        <v>54</v>
      </c>
      <c r="Q834" s="8" t="s">
        <v>54</v>
      </c>
      <c r="R834" s="8" t="s">
        <v>54</v>
      </c>
      <c r="S834" s="8" t="s">
        <v>54</v>
      </c>
      <c r="T834" s="8" t="s">
        <v>54</v>
      </c>
      <c r="U834" s="10" t="s">
        <v>67</v>
      </c>
      <c r="V834" s="12" t="s">
        <v>55</v>
      </c>
      <c r="W834" s="12" t="s">
        <v>55</v>
      </c>
      <c r="X834" s="12" t="s">
        <v>55</v>
      </c>
      <c r="Y834" s="8" t="s">
        <v>54</v>
      </c>
      <c r="Z834" s="8" t="s">
        <v>54</v>
      </c>
      <c r="AA834" s="8" t="s">
        <v>54</v>
      </c>
      <c r="AB834" s="10" t="s">
        <v>67</v>
      </c>
      <c r="AC834" s="8" t="s">
        <v>54</v>
      </c>
      <c r="AD834" s="8" t="s">
        <v>54</v>
      </c>
      <c r="AE834" s="8" t="s">
        <v>54</v>
      </c>
      <c r="AF834" s="8" t="s">
        <v>54</v>
      </c>
      <c r="AG834" s="8" t="s">
        <v>54</v>
      </c>
      <c r="AH834" s="12" t="s">
        <v>55</v>
      </c>
      <c r="AI834" s="10" t="s">
        <v>67</v>
      </c>
      <c r="AJ834" s="8">
        <f>COUNTIF($E$834:$AI$834,"P")</f>
        <v>22</v>
      </c>
      <c r="AK834" s="8">
        <f>COUNTIF($E$834:$AI$834,"A")</f>
        <v>4</v>
      </c>
      <c r="AL834" s="8">
        <f>SUM($E$835:$AI$835)</f>
        <v>0</v>
      </c>
      <c r="AM834" s="8">
        <f>SUM($E$836:$AI$836)</f>
        <v>0</v>
      </c>
      <c r="AN834" s="8">
        <f>AL834+AM834</f>
        <v>0</v>
      </c>
      <c r="AO834" s="8">
        <f>COUNTIF($E$834:$AI$834,"CL")</f>
        <v>0</v>
      </c>
      <c r="AP834" s="8">
        <f>COUNTIF($E$834:$AI$834,"SL")</f>
        <v>0</v>
      </c>
      <c r="AQ834" s="8">
        <f>COUNTIF($E$834:$AI$834,"EL")</f>
        <v>0</v>
      </c>
      <c r="AR834" s="8">
        <f>COUNTIF($E$834:$AI$834,"H")</f>
        <v>0</v>
      </c>
      <c r="AS834" s="8"/>
      <c r="AT834" s="11" t="s">
        <v>2091</v>
      </c>
    </row>
    <row r="835" spans="1:46" ht="15.1" customHeight="1">
      <c r="A835" s="8"/>
      <c r="B835" s="9"/>
      <c r="C835" s="8"/>
      <c r="D835" s="9"/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11" t="s">
        <v>2091</v>
      </c>
    </row>
    <row r="836" spans="1:46" ht="15.1" customHeight="1">
      <c r="A836" s="8"/>
      <c r="B836" s="9"/>
      <c r="C836" s="8"/>
      <c r="D836" s="9"/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11" t="s">
        <v>2091</v>
      </c>
    </row>
    <row r="837" spans="1:46" ht="15.1" customHeight="1">
      <c r="A837" s="8">
        <v>278</v>
      </c>
      <c r="B837" s="9" t="s">
        <v>2623</v>
      </c>
      <c r="C837" s="8" t="s">
        <v>2624</v>
      </c>
      <c r="D837" s="9" t="s">
        <v>451</v>
      </c>
      <c r="E837" s="8" t="s">
        <v>54</v>
      </c>
      <c r="F837" s="8" t="s">
        <v>54</v>
      </c>
      <c r="G837" s="10" t="s">
        <v>67</v>
      </c>
      <c r="H837" s="8" t="s">
        <v>54</v>
      </c>
      <c r="I837" s="8" t="s">
        <v>54</v>
      </c>
      <c r="J837" s="8" t="s">
        <v>54</v>
      </c>
      <c r="K837" s="8" t="s">
        <v>54</v>
      </c>
      <c r="L837" s="8" t="s">
        <v>54</v>
      </c>
      <c r="M837" s="8" t="s">
        <v>54</v>
      </c>
      <c r="N837" s="10" t="s">
        <v>67</v>
      </c>
      <c r="O837" s="8" t="s">
        <v>54</v>
      </c>
      <c r="P837" s="8" t="s">
        <v>54</v>
      </c>
      <c r="Q837" s="8" t="s">
        <v>54</v>
      </c>
      <c r="R837" s="8" t="s">
        <v>54</v>
      </c>
      <c r="S837" s="8" t="s">
        <v>54</v>
      </c>
      <c r="T837" s="8" t="s">
        <v>54</v>
      </c>
      <c r="U837" s="10" t="s">
        <v>67</v>
      </c>
      <c r="V837" s="8" t="s">
        <v>54</v>
      </c>
      <c r="W837" s="8" t="s">
        <v>54</v>
      </c>
      <c r="X837" s="12" t="s">
        <v>55</v>
      </c>
      <c r="Y837" s="8" t="s">
        <v>54</v>
      </c>
      <c r="Z837" s="8" t="s">
        <v>54</v>
      </c>
      <c r="AA837" s="8" t="s">
        <v>54</v>
      </c>
      <c r="AB837" s="10" t="s">
        <v>67</v>
      </c>
      <c r="AC837" s="8" t="s">
        <v>54</v>
      </c>
      <c r="AD837" s="8" t="s">
        <v>54</v>
      </c>
      <c r="AE837" s="8" t="s">
        <v>54</v>
      </c>
      <c r="AF837" s="8" t="s">
        <v>54</v>
      </c>
      <c r="AG837" s="8" t="s">
        <v>54</v>
      </c>
      <c r="AH837" s="8" t="s">
        <v>54</v>
      </c>
      <c r="AI837" s="10" t="s">
        <v>67</v>
      </c>
      <c r="AJ837" s="8">
        <f>COUNTIF($E$837:$AI$837,"P")</f>
        <v>25</v>
      </c>
      <c r="AK837" s="8">
        <f>COUNTIF($E$837:$AI$837,"A")</f>
        <v>1</v>
      </c>
      <c r="AL837" s="8">
        <f>SUM($E$838:$AI$838)</f>
        <v>0</v>
      </c>
      <c r="AM837" s="8">
        <f>SUM($E$839:$AI$839)</f>
        <v>0</v>
      </c>
      <c r="AN837" s="8">
        <f>AL837+AM837</f>
        <v>0</v>
      </c>
      <c r="AO837" s="8">
        <f>COUNTIF($E$837:$AI$837,"CL")</f>
        <v>0</v>
      </c>
      <c r="AP837" s="8">
        <f>COUNTIF($E$837:$AI$837,"SL")</f>
        <v>0</v>
      </c>
      <c r="AQ837" s="8">
        <f>COUNTIF($E$837:$AI$837,"EL")</f>
        <v>0</v>
      </c>
      <c r="AR837" s="8">
        <f>COUNTIF($E$837:$AI$837,"H")</f>
        <v>0</v>
      </c>
      <c r="AS837" s="8"/>
      <c r="AT837" s="11" t="s">
        <v>2091</v>
      </c>
    </row>
    <row r="838" spans="1:46" ht="15.1" customHeight="1">
      <c r="A838" s="8"/>
      <c r="B838" s="9"/>
      <c r="C838" s="8"/>
      <c r="D838" s="9"/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11" t="s">
        <v>2091</v>
      </c>
    </row>
    <row r="839" spans="1:46" ht="15.1" customHeight="1">
      <c r="A839" s="8"/>
      <c r="B839" s="9"/>
      <c r="C839" s="8"/>
      <c r="D839" s="9"/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11" t="s">
        <v>2091</v>
      </c>
    </row>
    <row r="840" spans="1:46" ht="15.1" customHeight="1">
      <c r="A840" s="8">
        <v>279</v>
      </c>
      <c r="B840" s="9" t="s">
        <v>2625</v>
      </c>
      <c r="C840" s="8" t="s">
        <v>2626</v>
      </c>
      <c r="D840" s="9" t="s">
        <v>451</v>
      </c>
      <c r="E840" s="8" t="s">
        <v>54</v>
      </c>
      <c r="F840" s="8" t="s">
        <v>54</v>
      </c>
      <c r="G840" s="10" t="s">
        <v>67</v>
      </c>
      <c r="H840" s="8" t="s">
        <v>54</v>
      </c>
      <c r="I840" s="8" t="s">
        <v>54</v>
      </c>
      <c r="J840" s="8" t="s">
        <v>54</v>
      </c>
      <c r="K840" s="8" t="s">
        <v>54</v>
      </c>
      <c r="L840" s="8" t="s">
        <v>54</v>
      </c>
      <c r="M840" s="8" t="s">
        <v>54</v>
      </c>
      <c r="N840" s="10" t="s">
        <v>67</v>
      </c>
      <c r="O840" s="8" t="s">
        <v>54</v>
      </c>
      <c r="P840" s="8" t="s">
        <v>54</v>
      </c>
      <c r="Q840" s="8" t="s">
        <v>54</v>
      </c>
      <c r="R840" s="8" t="s">
        <v>54</v>
      </c>
      <c r="S840" s="8" t="s">
        <v>54</v>
      </c>
      <c r="T840" s="8" t="s">
        <v>54</v>
      </c>
      <c r="U840" s="10" t="s">
        <v>67</v>
      </c>
      <c r="V840" s="8" t="s">
        <v>54</v>
      </c>
      <c r="W840" s="8" t="s">
        <v>54</v>
      </c>
      <c r="X840" s="12" t="s">
        <v>55</v>
      </c>
      <c r="Y840" s="8" t="s">
        <v>54</v>
      </c>
      <c r="Z840" s="8" t="s">
        <v>54</v>
      </c>
      <c r="AA840" s="8" t="s">
        <v>54</v>
      </c>
      <c r="AB840" s="10" t="s">
        <v>67</v>
      </c>
      <c r="AC840" s="8" t="s">
        <v>54</v>
      </c>
      <c r="AD840" s="8" t="s">
        <v>54</v>
      </c>
      <c r="AE840" s="8" t="s">
        <v>54</v>
      </c>
      <c r="AF840" s="8" t="s">
        <v>54</v>
      </c>
      <c r="AG840" s="8" t="s">
        <v>54</v>
      </c>
      <c r="AH840" s="8" t="s">
        <v>54</v>
      </c>
      <c r="AI840" s="10" t="s">
        <v>67</v>
      </c>
      <c r="AJ840" s="8">
        <f>COUNTIF($E$840:$AI$840,"P")</f>
        <v>25</v>
      </c>
      <c r="AK840" s="8">
        <f>COUNTIF($E$840:$AI$840,"A")</f>
        <v>1</v>
      </c>
      <c r="AL840" s="8">
        <f>SUM($E$841:$AI$841)</f>
        <v>0</v>
      </c>
      <c r="AM840" s="8">
        <f>SUM($E$842:$AI$842)</f>
        <v>0</v>
      </c>
      <c r="AN840" s="8">
        <f>AL840+AM840</f>
        <v>0</v>
      </c>
      <c r="AO840" s="8">
        <f>COUNTIF($E$840:$AI$840,"CL")</f>
        <v>0</v>
      </c>
      <c r="AP840" s="8">
        <f>COUNTIF($E$840:$AI$840,"SL")</f>
        <v>0</v>
      </c>
      <c r="AQ840" s="8">
        <f>COUNTIF($E$840:$AI$840,"EL")</f>
        <v>0</v>
      </c>
      <c r="AR840" s="8">
        <f>COUNTIF($E$840:$AI$840,"H")</f>
        <v>0</v>
      </c>
      <c r="AS840" s="8"/>
      <c r="AT840" s="11" t="s">
        <v>2091</v>
      </c>
    </row>
    <row r="841" spans="1:46" ht="15.1" customHeight="1">
      <c r="A841" s="8"/>
      <c r="B841" s="9"/>
      <c r="C841" s="8"/>
      <c r="D841" s="9"/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11" t="s">
        <v>2091</v>
      </c>
    </row>
    <row r="842" spans="1:46" ht="15.1" customHeight="1">
      <c r="A842" s="8"/>
      <c r="B842" s="9"/>
      <c r="C842" s="8"/>
      <c r="D842" s="9"/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11" t="s">
        <v>2091</v>
      </c>
    </row>
    <row r="843" spans="1:46" ht="15.1" customHeight="1">
      <c r="A843" s="8">
        <v>280</v>
      </c>
      <c r="B843" s="9" t="s">
        <v>2627</v>
      </c>
      <c r="C843" s="8" t="s">
        <v>2628</v>
      </c>
      <c r="D843" s="9" t="s">
        <v>451</v>
      </c>
      <c r="E843" s="8" t="s">
        <v>54</v>
      </c>
      <c r="F843" s="8" t="s">
        <v>54</v>
      </c>
      <c r="G843" s="10" t="s">
        <v>67</v>
      </c>
      <c r="H843" s="8" t="s">
        <v>54</v>
      </c>
      <c r="I843" s="8" t="s">
        <v>54</v>
      </c>
      <c r="J843" s="8" t="s">
        <v>54</v>
      </c>
      <c r="K843" s="8" t="s">
        <v>54</v>
      </c>
      <c r="L843" s="8" t="s">
        <v>54</v>
      </c>
      <c r="M843" s="8" t="s">
        <v>54</v>
      </c>
      <c r="N843" s="10" t="s">
        <v>67</v>
      </c>
      <c r="O843" s="8" t="s">
        <v>54</v>
      </c>
      <c r="P843" s="8" t="s">
        <v>54</v>
      </c>
      <c r="Q843" s="8" t="s">
        <v>54</v>
      </c>
      <c r="R843" s="8" t="s">
        <v>54</v>
      </c>
      <c r="S843" s="8" t="s">
        <v>54</v>
      </c>
      <c r="T843" s="8" t="s">
        <v>54</v>
      </c>
      <c r="U843" s="10" t="s">
        <v>67</v>
      </c>
      <c r="V843" s="8" t="s">
        <v>54</v>
      </c>
      <c r="W843" s="8" t="s">
        <v>54</v>
      </c>
      <c r="X843" s="12" t="s">
        <v>55</v>
      </c>
      <c r="Y843" s="8" t="s">
        <v>54</v>
      </c>
      <c r="Z843" s="8" t="s">
        <v>54</v>
      </c>
      <c r="AA843" s="8" t="s">
        <v>54</v>
      </c>
      <c r="AB843" s="10" t="s">
        <v>67</v>
      </c>
      <c r="AC843" s="8" t="s">
        <v>54</v>
      </c>
      <c r="AD843" s="8" t="s">
        <v>54</v>
      </c>
      <c r="AE843" s="8" t="s">
        <v>54</v>
      </c>
      <c r="AF843" s="8" t="s">
        <v>54</v>
      </c>
      <c r="AG843" s="8" t="s">
        <v>54</v>
      </c>
      <c r="AH843" s="8" t="s">
        <v>54</v>
      </c>
      <c r="AI843" s="10" t="s">
        <v>67</v>
      </c>
      <c r="AJ843" s="8">
        <f>COUNTIF($E$843:$AI$843,"P")</f>
        <v>25</v>
      </c>
      <c r="AK843" s="8">
        <f>COUNTIF($E$843:$AI$843,"A")</f>
        <v>1</v>
      </c>
      <c r="AL843" s="8">
        <f>SUM($E$844:$AI$844)</f>
        <v>0</v>
      </c>
      <c r="AM843" s="8">
        <f>SUM($E$845:$AI$845)</f>
        <v>0</v>
      </c>
      <c r="AN843" s="8">
        <f>AL843+AM843</f>
        <v>0</v>
      </c>
      <c r="AO843" s="8">
        <f>COUNTIF($E$843:$AI$843,"CL")</f>
        <v>0</v>
      </c>
      <c r="AP843" s="8">
        <f>COUNTIF($E$843:$AI$843,"SL")</f>
        <v>0</v>
      </c>
      <c r="AQ843" s="8">
        <f>COUNTIF($E$843:$AI$843,"EL")</f>
        <v>0</v>
      </c>
      <c r="AR843" s="8">
        <f>COUNTIF($E$843:$AI$843,"H")</f>
        <v>0</v>
      </c>
      <c r="AS843" s="8"/>
      <c r="AT843" s="11" t="s">
        <v>2091</v>
      </c>
    </row>
    <row r="844" spans="1:46" ht="15.1" customHeight="1">
      <c r="A844" s="8"/>
      <c r="B844" s="9"/>
      <c r="C844" s="8"/>
      <c r="D844" s="9"/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11" t="s">
        <v>2091</v>
      </c>
    </row>
    <row r="845" spans="1:46" ht="15.1" customHeight="1">
      <c r="A845" s="8"/>
      <c r="B845" s="9"/>
      <c r="C845" s="8"/>
      <c r="D845" s="9"/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11" t="s">
        <v>2091</v>
      </c>
    </row>
    <row r="846" spans="1:46" ht="15.1" customHeight="1">
      <c r="A846" s="8">
        <v>281</v>
      </c>
      <c r="B846" s="9" t="s">
        <v>2629</v>
      </c>
      <c r="C846" s="8" t="s">
        <v>2630</v>
      </c>
      <c r="D846" s="9" t="s">
        <v>451</v>
      </c>
      <c r="E846" s="8" t="s">
        <v>54</v>
      </c>
      <c r="F846" s="8" t="s">
        <v>54</v>
      </c>
      <c r="G846" s="10" t="s">
        <v>67</v>
      </c>
      <c r="H846" s="8" t="s">
        <v>54</v>
      </c>
      <c r="I846" s="8" t="s">
        <v>54</v>
      </c>
      <c r="J846" s="8" t="s">
        <v>54</v>
      </c>
      <c r="K846" s="8" t="s">
        <v>54</v>
      </c>
      <c r="L846" s="8" t="s">
        <v>54</v>
      </c>
      <c r="M846" s="8" t="s">
        <v>54</v>
      </c>
      <c r="N846" s="10" t="s">
        <v>67</v>
      </c>
      <c r="O846" s="8" t="s">
        <v>54</v>
      </c>
      <c r="P846" s="8" t="s">
        <v>54</v>
      </c>
      <c r="Q846" s="8" t="s">
        <v>54</v>
      </c>
      <c r="R846" s="8" t="s">
        <v>54</v>
      </c>
      <c r="S846" s="8" t="s">
        <v>54</v>
      </c>
      <c r="T846" s="8" t="s">
        <v>54</v>
      </c>
      <c r="U846" s="10" t="s">
        <v>67</v>
      </c>
      <c r="V846" s="8" t="s">
        <v>54</v>
      </c>
      <c r="W846" s="8" t="s">
        <v>54</v>
      </c>
      <c r="X846" s="12" t="s">
        <v>55</v>
      </c>
      <c r="Y846" s="8" t="s">
        <v>54</v>
      </c>
      <c r="Z846" s="8" t="s">
        <v>54</v>
      </c>
      <c r="AA846" s="8" t="s">
        <v>54</v>
      </c>
      <c r="AB846" s="10" t="s">
        <v>67</v>
      </c>
      <c r="AC846" s="8" t="s">
        <v>54</v>
      </c>
      <c r="AD846" s="8" t="s">
        <v>54</v>
      </c>
      <c r="AE846" s="8" t="s">
        <v>54</v>
      </c>
      <c r="AF846" s="8" t="s">
        <v>54</v>
      </c>
      <c r="AG846" s="8" t="s">
        <v>54</v>
      </c>
      <c r="AH846" s="8" t="s">
        <v>54</v>
      </c>
      <c r="AI846" s="10" t="s">
        <v>67</v>
      </c>
      <c r="AJ846" s="8">
        <f>COUNTIF($E$846:$AI$846,"P")</f>
        <v>25</v>
      </c>
      <c r="AK846" s="8">
        <f>COUNTIF($E$846:$AI$846,"A")</f>
        <v>1</v>
      </c>
      <c r="AL846" s="8">
        <f>SUM($E$847:$AI$847)</f>
        <v>0</v>
      </c>
      <c r="AM846" s="8">
        <f>SUM($E$848:$AI$848)</f>
        <v>0</v>
      </c>
      <c r="AN846" s="8">
        <f>AL846+AM846</f>
        <v>0</v>
      </c>
      <c r="AO846" s="8">
        <f>COUNTIF($E$846:$AI$846,"CL")</f>
        <v>0</v>
      </c>
      <c r="AP846" s="8">
        <f>COUNTIF($E$846:$AI$846,"SL")</f>
        <v>0</v>
      </c>
      <c r="AQ846" s="8">
        <f>COUNTIF($E$846:$AI$846,"EL")</f>
        <v>0</v>
      </c>
      <c r="AR846" s="8">
        <f>COUNTIF($E$846:$AI$846,"H")</f>
        <v>0</v>
      </c>
      <c r="AS846" s="8"/>
      <c r="AT846" s="11" t="s">
        <v>2091</v>
      </c>
    </row>
    <row r="847" spans="1:46" ht="15.1" customHeight="1">
      <c r="A847" s="8"/>
      <c r="B847" s="9"/>
      <c r="C847" s="8"/>
      <c r="D847" s="9"/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11" t="s">
        <v>2091</v>
      </c>
    </row>
    <row r="848" spans="1:46" ht="15.1" customHeight="1">
      <c r="A848" s="8"/>
      <c r="B848" s="9"/>
      <c r="C848" s="8"/>
      <c r="D848" s="9"/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11" t="s">
        <v>2091</v>
      </c>
    </row>
    <row r="849" spans="1:46" ht="15.1" customHeight="1">
      <c r="A849" s="8">
        <v>282</v>
      </c>
      <c r="B849" s="9" t="s">
        <v>2631</v>
      </c>
      <c r="C849" s="8" t="s">
        <v>2632</v>
      </c>
      <c r="D849" s="9" t="s">
        <v>451</v>
      </c>
      <c r="E849" s="8" t="s">
        <v>54</v>
      </c>
      <c r="F849" s="8" t="s">
        <v>54</v>
      </c>
      <c r="G849" s="10" t="s">
        <v>67</v>
      </c>
      <c r="H849" s="12" t="s">
        <v>55</v>
      </c>
      <c r="I849" s="8" t="s">
        <v>54</v>
      </c>
      <c r="J849" s="8" t="s">
        <v>54</v>
      </c>
      <c r="K849" s="8" t="s">
        <v>54</v>
      </c>
      <c r="L849" s="8" t="s">
        <v>54</v>
      </c>
      <c r="M849" s="8" t="s">
        <v>54</v>
      </c>
      <c r="N849" s="10" t="s">
        <v>67</v>
      </c>
      <c r="O849" s="8" t="s">
        <v>54</v>
      </c>
      <c r="P849" s="8" t="s">
        <v>54</v>
      </c>
      <c r="Q849" s="8" t="s">
        <v>54</v>
      </c>
      <c r="R849" s="8" t="s">
        <v>54</v>
      </c>
      <c r="S849" s="8" t="s">
        <v>54</v>
      </c>
      <c r="T849" s="8" t="s">
        <v>54</v>
      </c>
      <c r="U849" s="10" t="s">
        <v>67</v>
      </c>
      <c r="V849" s="8" t="s">
        <v>54</v>
      </c>
      <c r="W849" s="12" t="s">
        <v>55</v>
      </c>
      <c r="X849" s="12" t="s">
        <v>55</v>
      </c>
      <c r="Y849" s="8" t="s">
        <v>54</v>
      </c>
      <c r="Z849" s="8" t="s">
        <v>54</v>
      </c>
      <c r="AA849" s="8" t="s">
        <v>54</v>
      </c>
      <c r="AB849" s="10" t="s">
        <v>67</v>
      </c>
      <c r="AC849" s="8" t="s">
        <v>54</v>
      </c>
      <c r="AD849" s="8" t="s">
        <v>54</v>
      </c>
      <c r="AE849" s="8" t="s">
        <v>54</v>
      </c>
      <c r="AF849" s="8" t="s">
        <v>54</v>
      </c>
      <c r="AG849" s="8" t="s">
        <v>54</v>
      </c>
      <c r="AH849" s="8" t="s">
        <v>54</v>
      </c>
      <c r="AI849" s="10" t="s">
        <v>67</v>
      </c>
      <c r="AJ849" s="8">
        <f>COUNTIF($E$849:$AI$849,"P")</f>
        <v>23</v>
      </c>
      <c r="AK849" s="8">
        <f>COUNTIF($E$849:$AI$849,"A")</f>
        <v>3</v>
      </c>
      <c r="AL849" s="8">
        <f>SUM($E$850:$AI$850)</f>
        <v>0</v>
      </c>
      <c r="AM849" s="8">
        <f>SUM($E$851:$AI$851)</f>
        <v>0</v>
      </c>
      <c r="AN849" s="8">
        <f>AL849+AM849</f>
        <v>0</v>
      </c>
      <c r="AO849" s="8">
        <f>COUNTIF($E$849:$AI$849,"CL")</f>
        <v>0</v>
      </c>
      <c r="AP849" s="8">
        <f>COUNTIF($E$849:$AI$849,"SL")</f>
        <v>0</v>
      </c>
      <c r="AQ849" s="8">
        <f>COUNTIF($E$849:$AI$849,"EL")</f>
        <v>0</v>
      </c>
      <c r="AR849" s="8">
        <f>COUNTIF($E$849:$AI$849,"H")</f>
        <v>0</v>
      </c>
      <c r="AS849" s="8"/>
      <c r="AT849" s="11" t="s">
        <v>2091</v>
      </c>
    </row>
    <row r="850" spans="1:46" ht="15.1" customHeight="1">
      <c r="A850" s="8"/>
      <c r="B850" s="9"/>
      <c r="C850" s="8"/>
      <c r="D850" s="9"/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11" t="s">
        <v>2091</v>
      </c>
    </row>
    <row r="851" spans="1:46" ht="15.1" customHeight="1">
      <c r="A851" s="8"/>
      <c r="B851" s="9"/>
      <c r="C851" s="8"/>
      <c r="D851" s="9"/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11" t="s">
        <v>2091</v>
      </c>
    </row>
    <row r="852" spans="1:46" ht="15.1" customHeight="1">
      <c r="A852" s="8">
        <v>283</v>
      </c>
      <c r="B852" s="9" t="s">
        <v>2633</v>
      </c>
      <c r="C852" s="8" t="s">
        <v>2634</v>
      </c>
      <c r="D852" s="9" t="s">
        <v>451</v>
      </c>
      <c r="E852" s="8" t="s">
        <v>54</v>
      </c>
      <c r="F852" s="8" t="s">
        <v>54</v>
      </c>
      <c r="G852" s="10" t="s">
        <v>67</v>
      </c>
      <c r="H852" s="8" t="s">
        <v>54</v>
      </c>
      <c r="I852" s="8" t="s">
        <v>54</v>
      </c>
      <c r="J852" s="8" t="s">
        <v>54</v>
      </c>
      <c r="K852" s="8" t="s">
        <v>54</v>
      </c>
      <c r="L852" s="8" t="s">
        <v>54</v>
      </c>
      <c r="M852" s="8" t="s">
        <v>54</v>
      </c>
      <c r="N852" s="10" t="s">
        <v>67</v>
      </c>
      <c r="O852" s="8" t="s">
        <v>54</v>
      </c>
      <c r="P852" s="8" t="s">
        <v>54</v>
      </c>
      <c r="Q852" s="12" t="s">
        <v>55</v>
      </c>
      <c r="R852" s="12" t="s">
        <v>55</v>
      </c>
      <c r="S852" s="12" t="s">
        <v>55</v>
      </c>
      <c r="T852" s="8" t="s">
        <v>54</v>
      </c>
      <c r="U852" s="10" t="s">
        <v>67</v>
      </c>
      <c r="V852" s="8" t="s">
        <v>54</v>
      </c>
      <c r="W852" s="12" t="s">
        <v>55</v>
      </c>
      <c r="X852" s="12" t="s">
        <v>55</v>
      </c>
      <c r="Y852" s="12" t="s">
        <v>55</v>
      </c>
      <c r="Z852" s="12" t="s">
        <v>55</v>
      </c>
      <c r="AA852" s="12" t="s">
        <v>55</v>
      </c>
      <c r="AB852" s="10" t="s">
        <v>67</v>
      </c>
      <c r="AC852" s="12" t="s">
        <v>55</v>
      </c>
      <c r="AD852" s="12" t="s">
        <v>55</v>
      </c>
      <c r="AE852" s="12" t="s">
        <v>55</v>
      </c>
      <c r="AF852" s="12" t="s">
        <v>55</v>
      </c>
      <c r="AG852" s="12" t="s">
        <v>55</v>
      </c>
      <c r="AH852" s="12" t="s">
        <v>55</v>
      </c>
      <c r="AI852" s="10" t="s">
        <v>67</v>
      </c>
      <c r="AJ852" s="8">
        <f>COUNTIF($E$852:$AI$852,"P")</f>
        <v>12</v>
      </c>
      <c r="AK852" s="8">
        <f>COUNTIF($E$852:$AI$852,"A")</f>
        <v>14</v>
      </c>
      <c r="AL852" s="8">
        <f>SUM($E$853:$AI$853)</f>
        <v>0</v>
      </c>
      <c r="AM852" s="8">
        <f>SUM($E$854:$AI$854)</f>
        <v>0</v>
      </c>
      <c r="AN852" s="8">
        <f>AL852+AM852</f>
        <v>0</v>
      </c>
      <c r="AO852" s="8">
        <f>COUNTIF($E$852:$AI$852,"CL")</f>
        <v>0</v>
      </c>
      <c r="AP852" s="8">
        <f>COUNTIF($E$852:$AI$852,"SL")</f>
        <v>0</v>
      </c>
      <c r="AQ852" s="8">
        <f>COUNTIF($E$852:$AI$852,"EL")</f>
        <v>0</v>
      </c>
      <c r="AR852" s="8">
        <f>COUNTIF($E$852:$AI$852,"H")</f>
        <v>0</v>
      </c>
      <c r="AS852" s="8"/>
      <c r="AT852" s="11" t="s">
        <v>2091</v>
      </c>
    </row>
    <row r="853" spans="1:46" ht="15.1" customHeight="1">
      <c r="A853" s="8"/>
      <c r="B853" s="9"/>
      <c r="C853" s="8"/>
      <c r="D853" s="9"/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11" t="s">
        <v>2091</v>
      </c>
    </row>
    <row r="854" spans="1:46" ht="15.1" customHeight="1">
      <c r="A854" s="8"/>
      <c r="B854" s="9"/>
      <c r="C854" s="8"/>
      <c r="D854" s="9"/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11" t="s">
        <v>2091</v>
      </c>
    </row>
    <row r="855" spans="1:46" ht="15.1" customHeight="1">
      <c r="A855" s="8">
        <v>284</v>
      </c>
      <c r="B855" s="9" t="s">
        <v>2635</v>
      </c>
      <c r="C855" s="8" t="s">
        <v>2636</v>
      </c>
      <c r="D855" s="9" t="s">
        <v>451</v>
      </c>
      <c r="E855" s="12" t="s">
        <v>55</v>
      </c>
      <c r="F855" s="8" t="s">
        <v>54</v>
      </c>
      <c r="G855" s="10" t="s">
        <v>67</v>
      </c>
      <c r="H855" s="8" t="s">
        <v>54</v>
      </c>
      <c r="I855" s="8" t="s">
        <v>54</v>
      </c>
      <c r="J855" s="8" t="s">
        <v>54</v>
      </c>
      <c r="K855" s="8" t="s">
        <v>54</v>
      </c>
      <c r="L855" s="8" t="s">
        <v>54</v>
      </c>
      <c r="M855" s="8" t="s">
        <v>54</v>
      </c>
      <c r="N855" s="10" t="s">
        <v>67</v>
      </c>
      <c r="O855" s="8" t="s">
        <v>54</v>
      </c>
      <c r="P855" s="8" t="s">
        <v>54</v>
      </c>
      <c r="Q855" s="8" t="s">
        <v>54</v>
      </c>
      <c r="R855" s="8" t="s">
        <v>54</v>
      </c>
      <c r="S855" s="8" t="s">
        <v>54</v>
      </c>
      <c r="T855" s="8" t="s">
        <v>54</v>
      </c>
      <c r="U855" s="10" t="s">
        <v>67</v>
      </c>
      <c r="V855" s="8" t="s">
        <v>54</v>
      </c>
      <c r="W855" s="8" t="s">
        <v>54</v>
      </c>
      <c r="X855" s="12" t="s">
        <v>55</v>
      </c>
      <c r="Y855" s="8" t="s">
        <v>54</v>
      </c>
      <c r="Z855" s="8" t="s">
        <v>54</v>
      </c>
      <c r="AA855" s="8" t="s">
        <v>54</v>
      </c>
      <c r="AB855" s="10" t="s">
        <v>67</v>
      </c>
      <c r="AC855" s="8" t="s">
        <v>54</v>
      </c>
      <c r="AD855" s="8" t="s">
        <v>54</v>
      </c>
      <c r="AE855" s="12" t="s">
        <v>55</v>
      </c>
      <c r="AF855" s="12" t="s">
        <v>55</v>
      </c>
      <c r="AG855" s="12" t="s">
        <v>55</v>
      </c>
      <c r="AH855" s="12" t="s">
        <v>55</v>
      </c>
      <c r="AI855" s="10" t="s">
        <v>67</v>
      </c>
      <c r="AJ855" s="8">
        <f>COUNTIF($E$855:$AI$855,"P")</f>
        <v>20</v>
      </c>
      <c r="AK855" s="8">
        <f>COUNTIF($E$855:$AI$855,"A")</f>
        <v>6</v>
      </c>
      <c r="AL855" s="8">
        <f>SUM($E$856:$AI$856)</f>
        <v>0</v>
      </c>
      <c r="AM855" s="8">
        <f>SUM($E$857:$AI$857)</f>
        <v>0</v>
      </c>
      <c r="AN855" s="8">
        <f>AL855+AM855</f>
        <v>0</v>
      </c>
      <c r="AO855" s="8">
        <f>COUNTIF($E$855:$AI$855,"CL")</f>
        <v>0</v>
      </c>
      <c r="AP855" s="8">
        <f>COUNTIF($E$855:$AI$855,"SL")</f>
        <v>0</v>
      </c>
      <c r="AQ855" s="8">
        <f>COUNTIF($E$855:$AI$855,"EL")</f>
        <v>0</v>
      </c>
      <c r="AR855" s="8">
        <f>COUNTIF($E$855:$AI$855,"H")</f>
        <v>0</v>
      </c>
      <c r="AS855" s="8"/>
      <c r="AT855" s="11" t="s">
        <v>2091</v>
      </c>
    </row>
    <row r="856" spans="1:46" ht="15.1" customHeight="1">
      <c r="A856" s="8"/>
      <c r="B856" s="9"/>
      <c r="C856" s="8"/>
      <c r="D856" s="9"/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11" t="s">
        <v>2091</v>
      </c>
    </row>
    <row r="857" spans="1:46" ht="15.1" customHeight="1">
      <c r="A857" s="8"/>
      <c r="B857" s="9"/>
      <c r="C857" s="8"/>
      <c r="D857" s="9"/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11" t="s">
        <v>2091</v>
      </c>
    </row>
    <row r="858" spans="1:46" ht="15.1" customHeight="1">
      <c r="A858" s="8">
        <v>285</v>
      </c>
      <c r="B858" s="9" t="s">
        <v>2637</v>
      </c>
      <c r="C858" s="8" t="s">
        <v>2638</v>
      </c>
      <c r="D858" s="9" t="s">
        <v>451</v>
      </c>
      <c r="E858" s="12" t="s">
        <v>55</v>
      </c>
      <c r="F858" s="8" t="s">
        <v>54</v>
      </c>
      <c r="G858" s="10" t="s">
        <v>67</v>
      </c>
      <c r="H858" s="8" t="s">
        <v>54</v>
      </c>
      <c r="I858" s="8" t="s">
        <v>54</v>
      </c>
      <c r="J858" s="8" t="s">
        <v>54</v>
      </c>
      <c r="K858" s="8" t="s">
        <v>54</v>
      </c>
      <c r="L858" s="8" t="s">
        <v>54</v>
      </c>
      <c r="M858" s="8" t="s">
        <v>54</v>
      </c>
      <c r="N858" s="10" t="s">
        <v>67</v>
      </c>
      <c r="O858" s="8" t="s">
        <v>54</v>
      </c>
      <c r="P858" s="8" t="s">
        <v>54</v>
      </c>
      <c r="Q858" s="8" t="s">
        <v>54</v>
      </c>
      <c r="R858" s="8" t="s">
        <v>54</v>
      </c>
      <c r="S858" s="8" t="s">
        <v>54</v>
      </c>
      <c r="T858" s="8" t="s">
        <v>54</v>
      </c>
      <c r="U858" s="10" t="s">
        <v>67</v>
      </c>
      <c r="V858" s="8" t="s">
        <v>54</v>
      </c>
      <c r="W858" s="8" t="s">
        <v>54</v>
      </c>
      <c r="X858" s="12" t="s">
        <v>55</v>
      </c>
      <c r="Y858" s="8" t="s">
        <v>54</v>
      </c>
      <c r="Z858" s="8" t="s">
        <v>54</v>
      </c>
      <c r="AA858" s="8" t="s">
        <v>54</v>
      </c>
      <c r="AB858" s="10" t="s">
        <v>67</v>
      </c>
      <c r="AC858" s="8" t="s">
        <v>54</v>
      </c>
      <c r="AD858" s="8" t="s">
        <v>54</v>
      </c>
      <c r="AE858" s="8" t="s">
        <v>54</v>
      </c>
      <c r="AF858" s="8" t="s">
        <v>54</v>
      </c>
      <c r="AG858" s="8" t="s">
        <v>54</v>
      </c>
      <c r="AH858" s="8" t="s">
        <v>54</v>
      </c>
      <c r="AI858" s="10" t="s">
        <v>67</v>
      </c>
      <c r="AJ858" s="8">
        <f>COUNTIF($E$858:$AI$858,"P")</f>
        <v>24</v>
      </c>
      <c r="AK858" s="8">
        <f>COUNTIF($E$858:$AI$858,"A")</f>
        <v>2</v>
      </c>
      <c r="AL858" s="8">
        <f>SUM($E$859:$AI$859)</f>
        <v>0</v>
      </c>
      <c r="AM858" s="8">
        <f>SUM($E$860:$AI$860)</f>
        <v>0</v>
      </c>
      <c r="AN858" s="8">
        <f>AL858+AM858</f>
        <v>0</v>
      </c>
      <c r="AO858" s="8">
        <f>COUNTIF($E$858:$AI$858,"CL")</f>
        <v>0</v>
      </c>
      <c r="AP858" s="8">
        <f>COUNTIF($E$858:$AI$858,"SL")</f>
        <v>0</v>
      </c>
      <c r="AQ858" s="8">
        <f>COUNTIF($E$858:$AI$858,"EL")</f>
        <v>0</v>
      </c>
      <c r="AR858" s="8">
        <f>COUNTIF($E$858:$AI$858,"H")</f>
        <v>0</v>
      </c>
      <c r="AS858" s="8"/>
      <c r="AT858" s="11" t="s">
        <v>2091</v>
      </c>
    </row>
    <row r="859" spans="1:46" ht="15.1" customHeight="1">
      <c r="A859" s="8"/>
      <c r="B859" s="9"/>
      <c r="C859" s="8"/>
      <c r="D859" s="9"/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11" t="s">
        <v>2091</v>
      </c>
    </row>
    <row r="860" spans="1:46" ht="15.1" customHeight="1">
      <c r="A860" s="8"/>
      <c r="B860" s="9"/>
      <c r="C860" s="8"/>
      <c r="D860" s="9"/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11" t="s">
        <v>2091</v>
      </c>
    </row>
    <row r="861" spans="1:46" ht="15.1" customHeight="1">
      <c r="A861" s="8">
        <v>286</v>
      </c>
      <c r="B861" s="9" t="s">
        <v>2639</v>
      </c>
      <c r="C861" s="8" t="s">
        <v>2640</v>
      </c>
      <c r="D861" s="9" t="s">
        <v>451</v>
      </c>
      <c r="E861" s="8" t="s">
        <v>54</v>
      </c>
      <c r="F861" s="8" t="s">
        <v>54</v>
      </c>
      <c r="G861" s="10" t="s">
        <v>67</v>
      </c>
      <c r="H861" s="8" t="s">
        <v>54</v>
      </c>
      <c r="I861" s="8" t="s">
        <v>54</v>
      </c>
      <c r="J861" s="8" t="s">
        <v>54</v>
      </c>
      <c r="K861" s="8" t="s">
        <v>54</v>
      </c>
      <c r="L861" s="8" t="s">
        <v>54</v>
      </c>
      <c r="M861" s="8" t="s">
        <v>54</v>
      </c>
      <c r="N861" s="10" t="s">
        <v>67</v>
      </c>
      <c r="O861" s="8" t="s">
        <v>54</v>
      </c>
      <c r="P861" s="8" t="s">
        <v>54</v>
      </c>
      <c r="Q861" s="8" t="s">
        <v>54</v>
      </c>
      <c r="R861" s="8" t="s">
        <v>54</v>
      </c>
      <c r="S861" s="8" t="s">
        <v>54</v>
      </c>
      <c r="T861" s="8" t="s">
        <v>54</v>
      </c>
      <c r="U861" s="10" t="s">
        <v>67</v>
      </c>
      <c r="V861" s="8" t="s">
        <v>54</v>
      </c>
      <c r="W861" s="8" t="s">
        <v>54</v>
      </c>
      <c r="X861" s="12" t="s">
        <v>55</v>
      </c>
      <c r="Y861" s="8" t="s">
        <v>54</v>
      </c>
      <c r="Z861" s="8" t="s">
        <v>54</v>
      </c>
      <c r="AA861" s="8" t="s">
        <v>54</v>
      </c>
      <c r="AB861" s="10" t="s">
        <v>67</v>
      </c>
      <c r="AC861" s="8" t="s">
        <v>54</v>
      </c>
      <c r="AD861" s="8" t="s">
        <v>54</v>
      </c>
      <c r="AE861" s="8" t="s">
        <v>54</v>
      </c>
      <c r="AF861" s="8" t="s">
        <v>54</v>
      </c>
      <c r="AG861" s="8" t="s">
        <v>54</v>
      </c>
      <c r="AH861" s="8" t="s">
        <v>54</v>
      </c>
      <c r="AI861" s="10" t="s">
        <v>67</v>
      </c>
      <c r="AJ861" s="8">
        <f>COUNTIF($E$861:$AI$861,"P")</f>
        <v>25</v>
      </c>
      <c r="AK861" s="8">
        <f>COUNTIF($E$861:$AI$861,"A")</f>
        <v>1</v>
      </c>
      <c r="AL861" s="8">
        <f>SUM($E$862:$AI$862)</f>
        <v>0</v>
      </c>
      <c r="AM861" s="8">
        <f>SUM($E$863:$AI$863)</f>
        <v>0</v>
      </c>
      <c r="AN861" s="8">
        <f>AL861+AM861</f>
        <v>0</v>
      </c>
      <c r="AO861" s="8">
        <f>COUNTIF($E$861:$AI$861,"CL")</f>
        <v>0</v>
      </c>
      <c r="AP861" s="8">
        <f>COUNTIF($E$861:$AI$861,"SL")</f>
        <v>0</v>
      </c>
      <c r="AQ861" s="8">
        <f>COUNTIF($E$861:$AI$861,"EL")</f>
        <v>0</v>
      </c>
      <c r="AR861" s="8">
        <f>COUNTIF($E$861:$AI$861,"H")</f>
        <v>0</v>
      </c>
      <c r="AS861" s="8"/>
      <c r="AT861" s="11" t="s">
        <v>2091</v>
      </c>
    </row>
    <row r="862" spans="1:46" ht="15.1" customHeight="1">
      <c r="A862" s="8"/>
      <c r="B862" s="9"/>
      <c r="C862" s="8"/>
      <c r="D862" s="9"/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11" t="s">
        <v>2091</v>
      </c>
    </row>
    <row r="863" spans="1:46" ht="15.1" customHeight="1">
      <c r="A863" s="8"/>
      <c r="B863" s="9"/>
      <c r="C863" s="8"/>
      <c r="D863" s="9"/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11" t="s">
        <v>2091</v>
      </c>
    </row>
    <row r="864" spans="1:46" ht="15.1" customHeight="1">
      <c r="A864" s="8">
        <v>287</v>
      </c>
      <c r="B864" s="9" t="s">
        <v>2641</v>
      </c>
      <c r="C864" s="8" t="s">
        <v>2642</v>
      </c>
      <c r="D864" s="9" t="s">
        <v>451</v>
      </c>
      <c r="E864" s="8" t="s">
        <v>54</v>
      </c>
      <c r="F864" s="8" t="s">
        <v>54</v>
      </c>
      <c r="G864" s="10" t="s">
        <v>67</v>
      </c>
      <c r="H864" s="8" t="s">
        <v>54</v>
      </c>
      <c r="I864" s="8" t="s">
        <v>54</v>
      </c>
      <c r="J864" s="8" t="s">
        <v>54</v>
      </c>
      <c r="K864" s="8" t="s">
        <v>54</v>
      </c>
      <c r="L864" s="8" t="s">
        <v>54</v>
      </c>
      <c r="M864" s="12" t="s">
        <v>55</v>
      </c>
      <c r="N864" s="10" t="s">
        <v>67</v>
      </c>
      <c r="O864" s="8" t="s">
        <v>54</v>
      </c>
      <c r="P864" s="8" t="s">
        <v>54</v>
      </c>
      <c r="Q864" s="8" t="s">
        <v>54</v>
      </c>
      <c r="R864" s="8" t="s">
        <v>54</v>
      </c>
      <c r="S864" s="8" t="s">
        <v>54</v>
      </c>
      <c r="T864" s="8" t="s">
        <v>54</v>
      </c>
      <c r="U864" s="10" t="s">
        <v>67</v>
      </c>
      <c r="V864" s="8" t="s">
        <v>54</v>
      </c>
      <c r="W864" s="8" t="s">
        <v>54</v>
      </c>
      <c r="X864" s="12" t="s">
        <v>55</v>
      </c>
      <c r="Y864" s="8" t="s">
        <v>54</v>
      </c>
      <c r="Z864" s="8" t="s">
        <v>54</v>
      </c>
      <c r="AA864" s="8" t="s">
        <v>54</v>
      </c>
      <c r="AB864" s="10" t="s">
        <v>67</v>
      </c>
      <c r="AC864" s="8" t="s">
        <v>54</v>
      </c>
      <c r="AD864" s="8" t="s">
        <v>54</v>
      </c>
      <c r="AE864" s="8" t="s">
        <v>54</v>
      </c>
      <c r="AF864" s="8" t="s">
        <v>54</v>
      </c>
      <c r="AG864" s="8" t="s">
        <v>54</v>
      </c>
      <c r="AH864" s="8" t="s">
        <v>54</v>
      </c>
      <c r="AI864" s="10" t="s">
        <v>67</v>
      </c>
      <c r="AJ864" s="8">
        <f>COUNTIF($E$864:$AI$864,"P")</f>
        <v>24</v>
      </c>
      <c r="AK864" s="8">
        <f>COUNTIF($E$864:$AI$864,"A")</f>
        <v>2</v>
      </c>
      <c r="AL864" s="8">
        <f>SUM($E$865:$AI$865)</f>
        <v>0</v>
      </c>
      <c r="AM864" s="8">
        <f>SUM($E$866:$AI$866)</f>
        <v>0</v>
      </c>
      <c r="AN864" s="8">
        <f>AL864+AM864</f>
        <v>0</v>
      </c>
      <c r="AO864" s="8">
        <f>COUNTIF($E$864:$AI$864,"CL")</f>
        <v>0</v>
      </c>
      <c r="AP864" s="8">
        <f>COUNTIF($E$864:$AI$864,"SL")</f>
        <v>0</v>
      </c>
      <c r="AQ864" s="8">
        <f>COUNTIF($E$864:$AI$864,"EL")</f>
        <v>0</v>
      </c>
      <c r="AR864" s="8">
        <f>COUNTIF($E$864:$AI$864,"H")</f>
        <v>0</v>
      </c>
      <c r="AS864" s="8"/>
      <c r="AT864" s="11" t="s">
        <v>2091</v>
      </c>
    </row>
    <row r="865" spans="1:46" ht="15.1" customHeight="1">
      <c r="A865" s="8"/>
      <c r="B865" s="9"/>
      <c r="C865" s="8"/>
      <c r="D865" s="9"/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11" t="s">
        <v>2091</v>
      </c>
    </row>
    <row r="866" spans="1:46" ht="15.1" customHeight="1">
      <c r="A866" s="8"/>
      <c r="B866" s="9"/>
      <c r="C866" s="8"/>
      <c r="D866" s="9"/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11" t="s">
        <v>2091</v>
      </c>
    </row>
    <row r="867" spans="1:46" ht="15.1" customHeight="1">
      <c r="A867" s="8">
        <v>288</v>
      </c>
      <c r="B867" s="9" t="s">
        <v>2643</v>
      </c>
      <c r="C867" s="8" t="s">
        <v>2644</v>
      </c>
      <c r="D867" s="9" t="s">
        <v>451</v>
      </c>
      <c r="E867" s="8" t="s">
        <v>54</v>
      </c>
      <c r="F867" s="8" t="s">
        <v>54</v>
      </c>
      <c r="G867" s="10" t="s">
        <v>67</v>
      </c>
      <c r="H867" s="8" t="s">
        <v>54</v>
      </c>
      <c r="I867" s="8" t="s">
        <v>54</v>
      </c>
      <c r="J867" s="8" t="s">
        <v>54</v>
      </c>
      <c r="K867" s="8" t="s">
        <v>54</v>
      </c>
      <c r="L867" s="8" t="s">
        <v>54</v>
      </c>
      <c r="M867" s="8" t="s">
        <v>54</v>
      </c>
      <c r="N867" s="10" t="s">
        <v>67</v>
      </c>
      <c r="O867" s="8" t="s">
        <v>54</v>
      </c>
      <c r="P867" s="8" t="s">
        <v>54</v>
      </c>
      <c r="Q867" s="8" t="s">
        <v>54</v>
      </c>
      <c r="R867" s="8" t="s">
        <v>54</v>
      </c>
      <c r="S867" s="8" t="s">
        <v>54</v>
      </c>
      <c r="T867" s="8" t="s">
        <v>54</v>
      </c>
      <c r="U867" s="10" t="s">
        <v>67</v>
      </c>
      <c r="V867" s="12" t="s">
        <v>55</v>
      </c>
      <c r="W867" s="12" t="s">
        <v>55</v>
      </c>
      <c r="X867" s="12" t="s">
        <v>55</v>
      </c>
      <c r="Y867" s="8" t="s">
        <v>54</v>
      </c>
      <c r="Z867" s="8" t="s">
        <v>54</v>
      </c>
      <c r="AA867" s="8" t="s">
        <v>54</v>
      </c>
      <c r="AB867" s="10" t="s">
        <v>67</v>
      </c>
      <c r="AC867" s="8" t="s">
        <v>54</v>
      </c>
      <c r="AD867" s="8" t="s">
        <v>54</v>
      </c>
      <c r="AE867" s="8" t="s">
        <v>54</v>
      </c>
      <c r="AF867" s="8" t="s">
        <v>54</v>
      </c>
      <c r="AG867" s="8" t="s">
        <v>54</v>
      </c>
      <c r="AH867" s="8" t="s">
        <v>54</v>
      </c>
      <c r="AI867" s="10" t="s">
        <v>67</v>
      </c>
      <c r="AJ867" s="8">
        <f>COUNTIF($E$867:$AI$867,"P")</f>
        <v>23</v>
      </c>
      <c r="AK867" s="8">
        <f>COUNTIF($E$867:$AI$867,"A")</f>
        <v>3</v>
      </c>
      <c r="AL867" s="8">
        <f>SUM($E$868:$AI$868)</f>
        <v>0</v>
      </c>
      <c r="AM867" s="8">
        <f>SUM($E$869:$AI$869)</f>
        <v>0</v>
      </c>
      <c r="AN867" s="8">
        <f>AL867+AM867</f>
        <v>0</v>
      </c>
      <c r="AO867" s="8">
        <f>COUNTIF($E$867:$AI$867,"CL")</f>
        <v>0</v>
      </c>
      <c r="AP867" s="8">
        <f>COUNTIF($E$867:$AI$867,"SL")</f>
        <v>0</v>
      </c>
      <c r="AQ867" s="8">
        <f>COUNTIF($E$867:$AI$867,"EL")</f>
        <v>0</v>
      </c>
      <c r="AR867" s="8">
        <f>COUNTIF($E$867:$AI$867,"H")</f>
        <v>0</v>
      </c>
      <c r="AS867" s="8"/>
      <c r="AT867" s="11" t="s">
        <v>2091</v>
      </c>
    </row>
    <row r="868" spans="1:46" ht="15.1" customHeight="1">
      <c r="A868" s="8"/>
      <c r="B868" s="9"/>
      <c r="C868" s="8"/>
      <c r="D868" s="9"/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11" t="s">
        <v>2091</v>
      </c>
    </row>
    <row r="869" spans="1:46" ht="15.1" customHeight="1">
      <c r="A869" s="8"/>
      <c r="B869" s="9"/>
      <c r="C869" s="8"/>
      <c r="D869" s="9"/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11" t="s">
        <v>2091</v>
      </c>
    </row>
    <row r="870" spans="1:46" ht="15.1" customHeight="1">
      <c r="A870" s="8">
        <v>289</v>
      </c>
      <c r="B870" s="9" t="s">
        <v>2645</v>
      </c>
      <c r="C870" s="8" t="s">
        <v>2646</v>
      </c>
      <c r="D870" s="9" t="s">
        <v>451</v>
      </c>
      <c r="E870" s="12" t="s">
        <v>55</v>
      </c>
      <c r="F870" s="12" t="s">
        <v>55</v>
      </c>
      <c r="G870" s="10" t="s">
        <v>67</v>
      </c>
      <c r="H870" s="12" t="s">
        <v>55</v>
      </c>
      <c r="I870" s="12" t="s">
        <v>55</v>
      </c>
      <c r="J870" s="12" t="s">
        <v>55</v>
      </c>
      <c r="K870" s="12" t="s">
        <v>55</v>
      </c>
      <c r="L870" s="12" t="s">
        <v>55</v>
      </c>
      <c r="M870" s="12" t="s">
        <v>55</v>
      </c>
      <c r="N870" s="10" t="s">
        <v>67</v>
      </c>
      <c r="O870" s="12" t="s">
        <v>55</v>
      </c>
      <c r="P870" s="12" t="s">
        <v>55</v>
      </c>
      <c r="Q870" s="12" t="s">
        <v>55</v>
      </c>
      <c r="R870" s="12" t="s">
        <v>55</v>
      </c>
      <c r="S870" s="12" t="s">
        <v>55</v>
      </c>
      <c r="T870" s="12" t="s">
        <v>55</v>
      </c>
      <c r="U870" s="10" t="s">
        <v>67</v>
      </c>
      <c r="V870" s="12" t="s">
        <v>55</v>
      </c>
      <c r="W870" s="12" t="s">
        <v>55</v>
      </c>
      <c r="X870" s="12" t="s">
        <v>55</v>
      </c>
      <c r="Y870" s="8" t="s">
        <v>54</v>
      </c>
      <c r="Z870" s="8" t="s">
        <v>54</v>
      </c>
      <c r="AA870" s="8" t="s">
        <v>54</v>
      </c>
      <c r="AB870" s="10" t="s">
        <v>67</v>
      </c>
      <c r="AC870" s="12" t="s">
        <v>55</v>
      </c>
      <c r="AD870" s="8" t="s">
        <v>54</v>
      </c>
      <c r="AE870" s="12" t="s">
        <v>55</v>
      </c>
      <c r="AF870" s="8" t="s">
        <v>54</v>
      </c>
      <c r="AG870" s="8" t="s">
        <v>54</v>
      </c>
      <c r="AH870" s="8" t="s">
        <v>54</v>
      </c>
      <c r="AI870" s="10" t="s">
        <v>67</v>
      </c>
      <c r="AJ870" s="8">
        <f>COUNTIF($E$870:$AI$870,"P")</f>
        <v>7</v>
      </c>
      <c r="AK870" s="8">
        <f>COUNTIF($E$870:$AI$870,"A")</f>
        <v>19</v>
      </c>
      <c r="AL870" s="8">
        <f>SUM($E$871:$AI$871)</f>
        <v>0</v>
      </c>
      <c r="AM870" s="8">
        <f>SUM($E$872:$AI$872)</f>
        <v>0</v>
      </c>
      <c r="AN870" s="8">
        <f>AL870+AM870</f>
        <v>0</v>
      </c>
      <c r="AO870" s="8">
        <f>COUNTIF($E$870:$AI$870,"CL")</f>
        <v>0</v>
      </c>
      <c r="AP870" s="8">
        <f>COUNTIF($E$870:$AI$870,"SL")</f>
        <v>0</v>
      </c>
      <c r="AQ870" s="8">
        <f>COUNTIF($E$870:$AI$870,"EL")</f>
        <v>0</v>
      </c>
      <c r="AR870" s="8">
        <f>COUNTIF($E$870:$AI$870,"H")</f>
        <v>0</v>
      </c>
      <c r="AS870" s="8"/>
      <c r="AT870" s="11" t="s">
        <v>2091</v>
      </c>
    </row>
    <row r="871" spans="1:46" ht="15.1" customHeight="1">
      <c r="A871" s="8"/>
      <c r="B871" s="9"/>
      <c r="C871" s="8"/>
      <c r="D871" s="9"/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11" t="s">
        <v>2091</v>
      </c>
    </row>
    <row r="872" spans="1:46" ht="15.1" customHeight="1">
      <c r="A872" s="8"/>
      <c r="B872" s="9"/>
      <c r="C872" s="8"/>
      <c r="D872" s="9"/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11" t="s">
        <v>2091</v>
      </c>
    </row>
    <row r="873" spans="1:46" ht="15.1" customHeight="1">
      <c r="A873" s="8">
        <v>290</v>
      </c>
      <c r="B873" s="9" t="s">
        <v>2647</v>
      </c>
      <c r="C873" s="8" t="s">
        <v>2648</v>
      </c>
      <c r="D873" s="9" t="s">
        <v>451</v>
      </c>
      <c r="E873" s="12" t="s">
        <v>55</v>
      </c>
      <c r="F873" s="12" t="s">
        <v>55</v>
      </c>
      <c r="G873" s="10" t="s">
        <v>67</v>
      </c>
      <c r="H873" s="8" t="s">
        <v>54</v>
      </c>
      <c r="I873" s="8" t="s">
        <v>54</v>
      </c>
      <c r="J873" s="8" t="s">
        <v>54</v>
      </c>
      <c r="K873" s="8" t="s">
        <v>54</v>
      </c>
      <c r="L873" s="8" t="s">
        <v>54</v>
      </c>
      <c r="M873" s="8" t="s">
        <v>54</v>
      </c>
      <c r="N873" s="10" t="s">
        <v>67</v>
      </c>
      <c r="O873" s="8" t="s">
        <v>54</v>
      </c>
      <c r="P873" s="8" t="s">
        <v>54</v>
      </c>
      <c r="Q873" s="8" t="s">
        <v>54</v>
      </c>
      <c r="R873" s="8" t="s">
        <v>54</v>
      </c>
      <c r="S873" s="8" t="s">
        <v>54</v>
      </c>
      <c r="T873" s="8" t="s">
        <v>54</v>
      </c>
      <c r="U873" s="10" t="s">
        <v>67</v>
      </c>
      <c r="V873" s="8" t="s">
        <v>54</v>
      </c>
      <c r="W873" s="8" t="s">
        <v>54</v>
      </c>
      <c r="X873" s="12" t="s">
        <v>55</v>
      </c>
      <c r="Y873" s="8" t="s">
        <v>54</v>
      </c>
      <c r="Z873" s="12" t="s">
        <v>55</v>
      </c>
      <c r="AA873" s="8" t="s">
        <v>54</v>
      </c>
      <c r="AB873" s="10" t="s">
        <v>67</v>
      </c>
      <c r="AC873" s="8" t="s">
        <v>54</v>
      </c>
      <c r="AD873" s="8" t="s">
        <v>54</v>
      </c>
      <c r="AE873" s="8" t="s">
        <v>54</v>
      </c>
      <c r="AF873" s="8" t="s">
        <v>54</v>
      </c>
      <c r="AG873" s="8" t="s">
        <v>54</v>
      </c>
      <c r="AH873" s="8" t="s">
        <v>54</v>
      </c>
      <c r="AI873" s="10" t="s">
        <v>67</v>
      </c>
      <c r="AJ873" s="8">
        <f>COUNTIF($E$873:$AI$873,"P")</f>
        <v>22</v>
      </c>
      <c r="AK873" s="8">
        <f>COUNTIF($E$873:$AI$873,"A")</f>
        <v>4</v>
      </c>
      <c r="AL873" s="8">
        <f>SUM($E$874:$AI$874)</f>
        <v>0</v>
      </c>
      <c r="AM873" s="8">
        <f>SUM($E$875:$AI$875)</f>
        <v>0</v>
      </c>
      <c r="AN873" s="8">
        <f>AL873+AM873</f>
        <v>0</v>
      </c>
      <c r="AO873" s="8">
        <f>COUNTIF($E$873:$AI$873,"CL")</f>
        <v>0</v>
      </c>
      <c r="AP873" s="8">
        <f>COUNTIF($E$873:$AI$873,"SL")</f>
        <v>0</v>
      </c>
      <c r="AQ873" s="8">
        <f>COUNTIF($E$873:$AI$873,"EL")</f>
        <v>0</v>
      </c>
      <c r="AR873" s="8">
        <f>COUNTIF($E$873:$AI$873,"H")</f>
        <v>0</v>
      </c>
      <c r="AS873" s="8"/>
      <c r="AT873" s="11" t="s">
        <v>2091</v>
      </c>
    </row>
    <row r="874" spans="1:46" ht="15.1" customHeight="1">
      <c r="A874" s="8"/>
      <c r="B874" s="9"/>
      <c r="C874" s="8"/>
      <c r="D874" s="9"/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11" t="s">
        <v>2091</v>
      </c>
    </row>
    <row r="875" spans="1:46" ht="15.1" customHeight="1">
      <c r="A875" s="8"/>
      <c r="B875" s="9"/>
      <c r="C875" s="8"/>
      <c r="D875" s="9"/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11" t="s">
        <v>2091</v>
      </c>
    </row>
    <row r="876" spans="1:46" ht="15.1" customHeight="1">
      <c r="A876" s="8">
        <v>291</v>
      </c>
      <c r="B876" s="9" t="s">
        <v>2649</v>
      </c>
      <c r="C876" s="8" t="s">
        <v>2650</v>
      </c>
      <c r="D876" s="9" t="s">
        <v>451</v>
      </c>
      <c r="E876" s="8" t="s">
        <v>54</v>
      </c>
      <c r="F876" s="8" t="s">
        <v>54</v>
      </c>
      <c r="G876" s="10" t="s">
        <v>67</v>
      </c>
      <c r="H876" s="8" t="s">
        <v>54</v>
      </c>
      <c r="I876" s="8" t="s">
        <v>54</v>
      </c>
      <c r="J876" s="8" t="s">
        <v>54</v>
      </c>
      <c r="K876" s="8" t="s">
        <v>54</v>
      </c>
      <c r="L876" s="8" t="s">
        <v>54</v>
      </c>
      <c r="M876" s="8" t="s">
        <v>54</v>
      </c>
      <c r="N876" s="10" t="s">
        <v>67</v>
      </c>
      <c r="O876" s="8" t="s">
        <v>54</v>
      </c>
      <c r="P876" s="8" t="s">
        <v>54</v>
      </c>
      <c r="Q876" s="8" t="s">
        <v>54</v>
      </c>
      <c r="R876" s="8" t="s">
        <v>54</v>
      </c>
      <c r="S876" s="8" t="s">
        <v>54</v>
      </c>
      <c r="T876" s="8" t="s">
        <v>54</v>
      </c>
      <c r="U876" s="10" t="s">
        <v>67</v>
      </c>
      <c r="V876" s="8" t="s">
        <v>54</v>
      </c>
      <c r="W876" s="8" t="s">
        <v>54</v>
      </c>
      <c r="X876" s="12" t="s">
        <v>55</v>
      </c>
      <c r="Y876" s="8" t="s">
        <v>54</v>
      </c>
      <c r="Z876" s="8" t="s">
        <v>54</v>
      </c>
      <c r="AA876" s="8" t="s">
        <v>54</v>
      </c>
      <c r="AB876" s="10" t="s">
        <v>67</v>
      </c>
      <c r="AC876" s="12" t="s">
        <v>55</v>
      </c>
      <c r="AD876" s="12" t="s">
        <v>55</v>
      </c>
      <c r="AE876" s="8" t="s">
        <v>54</v>
      </c>
      <c r="AF876" s="8" t="s">
        <v>54</v>
      </c>
      <c r="AG876" s="8" t="s">
        <v>54</v>
      </c>
      <c r="AH876" s="8" t="s">
        <v>54</v>
      </c>
      <c r="AI876" s="10" t="s">
        <v>67</v>
      </c>
      <c r="AJ876" s="8">
        <f>COUNTIF($E$876:$AI$876,"P")</f>
        <v>23</v>
      </c>
      <c r="AK876" s="8">
        <f>COUNTIF($E$876:$AI$876,"A")</f>
        <v>3</v>
      </c>
      <c r="AL876" s="8">
        <f>SUM($E$877:$AI$877)</f>
        <v>0</v>
      </c>
      <c r="AM876" s="8">
        <f>SUM($E$878:$AI$878)</f>
        <v>0</v>
      </c>
      <c r="AN876" s="8">
        <f>AL876+AM876</f>
        <v>0</v>
      </c>
      <c r="AO876" s="8">
        <f>COUNTIF($E$876:$AI$876,"CL")</f>
        <v>0</v>
      </c>
      <c r="AP876" s="8">
        <f>COUNTIF($E$876:$AI$876,"SL")</f>
        <v>0</v>
      </c>
      <c r="AQ876" s="8">
        <f>COUNTIF($E$876:$AI$876,"EL")</f>
        <v>0</v>
      </c>
      <c r="AR876" s="8">
        <f>COUNTIF($E$876:$AI$876,"H")</f>
        <v>0</v>
      </c>
      <c r="AS876" s="8"/>
      <c r="AT876" s="11" t="s">
        <v>2091</v>
      </c>
    </row>
    <row r="877" spans="1:46" ht="15.1" customHeight="1">
      <c r="A877" s="8"/>
      <c r="B877" s="9"/>
      <c r="C877" s="8"/>
      <c r="D877" s="9"/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11" t="s">
        <v>2091</v>
      </c>
    </row>
    <row r="878" spans="1:46" ht="15.1" customHeight="1">
      <c r="A878" s="8"/>
      <c r="B878" s="9"/>
      <c r="C878" s="8"/>
      <c r="D878" s="9"/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11" t="s">
        <v>2091</v>
      </c>
    </row>
    <row r="879" spans="1:46" ht="15.1" customHeight="1">
      <c r="A879" s="8">
        <v>292</v>
      </c>
      <c r="B879" s="9" t="s">
        <v>2651</v>
      </c>
      <c r="C879" s="8" t="s">
        <v>2652</v>
      </c>
      <c r="D879" s="9" t="s">
        <v>451</v>
      </c>
      <c r="E879" s="8" t="s">
        <v>54</v>
      </c>
      <c r="F879" s="8" t="s">
        <v>54</v>
      </c>
      <c r="G879" s="10" t="s">
        <v>67</v>
      </c>
      <c r="H879" s="8" t="s">
        <v>54</v>
      </c>
      <c r="I879" s="8" t="s">
        <v>54</v>
      </c>
      <c r="J879" s="8" t="s">
        <v>54</v>
      </c>
      <c r="K879" s="8" t="s">
        <v>54</v>
      </c>
      <c r="L879" s="8" t="s">
        <v>54</v>
      </c>
      <c r="M879" s="8" t="s">
        <v>54</v>
      </c>
      <c r="N879" s="10" t="s">
        <v>67</v>
      </c>
      <c r="O879" s="8" t="s">
        <v>54</v>
      </c>
      <c r="P879" s="8" t="s">
        <v>54</v>
      </c>
      <c r="Q879" s="8" t="s">
        <v>54</v>
      </c>
      <c r="R879" s="8" t="s">
        <v>54</v>
      </c>
      <c r="S879" s="8" t="s">
        <v>54</v>
      </c>
      <c r="T879" s="8" t="s">
        <v>54</v>
      </c>
      <c r="U879" s="10" t="s">
        <v>67</v>
      </c>
      <c r="V879" s="8" t="s">
        <v>54</v>
      </c>
      <c r="W879" s="8" t="s">
        <v>54</v>
      </c>
      <c r="X879" s="12" t="s">
        <v>55</v>
      </c>
      <c r="Y879" s="8" t="s">
        <v>54</v>
      </c>
      <c r="Z879" s="8" t="s">
        <v>54</v>
      </c>
      <c r="AA879" s="12" t="s">
        <v>55</v>
      </c>
      <c r="AB879" s="10" t="s">
        <v>67</v>
      </c>
      <c r="AC879" s="8" t="s">
        <v>54</v>
      </c>
      <c r="AD879" s="8" t="s">
        <v>54</v>
      </c>
      <c r="AE879" s="8" t="s">
        <v>54</v>
      </c>
      <c r="AF879" s="12" t="s">
        <v>55</v>
      </c>
      <c r="AG879" s="8" t="s">
        <v>54</v>
      </c>
      <c r="AH879" s="8" t="s">
        <v>54</v>
      </c>
      <c r="AI879" s="10" t="s">
        <v>67</v>
      </c>
      <c r="AJ879" s="8">
        <f>COUNTIF($E$879:$AI$879,"P")</f>
        <v>23</v>
      </c>
      <c r="AK879" s="8">
        <f>COUNTIF($E$879:$AI$879,"A")</f>
        <v>3</v>
      </c>
      <c r="AL879" s="8">
        <f>SUM($E$880:$AI$880)</f>
        <v>0</v>
      </c>
      <c r="AM879" s="8">
        <f>SUM($E$881:$AI$881)</f>
        <v>0</v>
      </c>
      <c r="AN879" s="8">
        <f>AL879+AM879</f>
        <v>0</v>
      </c>
      <c r="AO879" s="8">
        <f>COUNTIF($E$879:$AI$879,"CL")</f>
        <v>0</v>
      </c>
      <c r="AP879" s="8">
        <f>COUNTIF($E$879:$AI$879,"SL")</f>
        <v>0</v>
      </c>
      <c r="AQ879" s="8">
        <f>COUNTIF($E$879:$AI$879,"EL")</f>
        <v>0</v>
      </c>
      <c r="AR879" s="8">
        <f>COUNTIF($E$879:$AI$879,"H")</f>
        <v>0</v>
      </c>
      <c r="AS879" s="8"/>
      <c r="AT879" s="11" t="s">
        <v>2091</v>
      </c>
    </row>
    <row r="880" spans="1:46" ht="15.1" customHeight="1">
      <c r="A880" s="8"/>
      <c r="B880" s="9"/>
      <c r="C880" s="8"/>
      <c r="D880" s="9"/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11" t="s">
        <v>2091</v>
      </c>
    </row>
    <row r="881" spans="1:46" ht="15.1" customHeight="1">
      <c r="A881" s="8"/>
      <c r="B881" s="9"/>
      <c r="C881" s="8"/>
      <c r="D881" s="9"/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11" t="s">
        <v>2091</v>
      </c>
    </row>
    <row r="882" spans="1:46" ht="15.1" customHeight="1">
      <c r="A882" s="8">
        <v>293</v>
      </c>
      <c r="B882" s="9" t="s">
        <v>2653</v>
      </c>
      <c r="C882" s="8" t="s">
        <v>2654</v>
      </c>
      <c r="D882" s="9" t="s">
        <v>451</v>
      </c>
      <c r="E882" s="8" t="s">
        <v>54</v>
      </c>
      <c r="F882" s="8" t="s">
        <v>54</v>
      </c>
      <c r="G882" s="10" t="s">
        <v>67</v>
      </c>
      <c r="H882" s="8" t="s">
        <v>54</v>
      </c>
      <c r="I882" s="8" t="s">
        <v>54</v>
      </c>
      <c r="J882" s="8" t="s">
        <v>54</v>
      </c>
      <c r="K882" s="8" t="s">
        <v>54</v>
      </c>
      <c r="L882" s="8" t="s">
        <v>54</v>
      </c>
      <c r="M882" s="8" t="s">
        <v>54</v>
      </c>
      <c r="N882" s="10" t="s">
        <v>67</v>
      </c>
      <c r="O882" s="8" t="s">
        <v>54</v>
      </c>
      <c r="P882" s="8" t="s">
        <v>54</v>
      </c>
      <c r="Q882" s="8" t="s">
        <v>54</v>
      </c>
      <c r="R882" s="8" t="s">
        <v>54</v>
      </c>
      <c r="S882" s="8" t="s">
        <v>54</v>
      </c>
      <c r="T882" s="8" t="s">
        <v>54</v>
      </c>
      <c r="U882" s="10" t="s">
        <v>67</v>
      </c>
      <c r="V882" s="12" t="s">
        <v>55</v>
      </c>
      <c r="W882" s="12" t="s">
        <v>55</v>
      </c>
      <c r="X882" s="12" t="s">
        <v>55</v>
      </c>
      <c r="Y882" s="12" t="s">
        <v>55</v>
      </c>
      <c r="Z882" s="8" t="s">
        <v>54</v>
      </c>
      <c r="AA882" s="8" t="s">
        <v>54</v>
      </c>
      <c r="AB882" s="10" t="s">
        <v>67</v>
      </c>
      <c r="AC882" s="8" t="s">
        <v>54</v>
      </c>
      <c r="AD882" s="12" t="s">
        <v>55</v>
      </c>
      <c r="AE882" s="12" t="s">
        <v>55</v>
      </c>
      <c r="AF882" s="12" t="s">
        <v>55</v>
      </c>
      <c r="AG882" s="12" t="s">
        <v>55</v>
      </c>
      <c r="AH882" s="8" t="s">
        <v>54</v>
      </c>
      <c r="AI882" s="10" t="s">
        <v>67</v>
      </c>
      <c r="AJ882" s="8">
        <f>COUNTIF($E$882:$AI$882,"P")</f>
        <v>18</v>
      </c>
      <c r="AK882" s="8">
        <f>COUNTIF($E$882:$AI$882,"A")</f>
        <v>8</v>
      </c>
      <c r="AL882" s="8">
        <f>SUM($E$883:$AI$883)</f>
        <v>0</v>
      </c>
      <c r="AM882" s="8">
        <f>SUM($E$884:$AI$884)</f>
        <v>0</v>
      </c>
      <c r="AN882" s="8">
        <f>AL882+AM882</f>
        <v>0</v>
      </c>
      <c r="AO882" s="8">
        <f>COUNTIF($E$882:$AI$882,"CL")</f>
        <v>0</v>
      </c>
      <c r="AP882" s="8">
        <f>COUNTIF($E$882:$AI$882,"SL")</f>
        <v>0</v>
      </c>
      <c r="AQ882" s="8">
        <f>COUNTIF($E$882:$AI$882,"EL")</f>
        <v>0</v>
      </c>
      <c r="AR882" s="8">
        <f>COUNTIF($E$882:$AI$882,"H")</f>
        <v>0</v>
      </c>
      <c r="AS882" s="8"/>
      <c r="AT882" s="11" t="s">
        <v>2091</v>
      </c>
    </row>
    <row r="883" spans="1:46" ht="15.1" customHeight="1">
      <c r="A883" s="8"/>
      <c r="B883" s="9"/>
      <c r="C883" s="8"/>
      <c r="D883" s="9"/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11" t="s">
        <v>2091</v>
      </c>
    </row>
    <row r="884" spans="1:46" ht="15.1" customHeight="1">
      <c r="A884" s="8"/>
      <c r="B884" s="9"/>
      <c r="C884" s="8"/>
      <c r="D884" s="9"/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11" t="s">
        <v>2091</v>
      </c>
    </row>
    <row r="885" spans="1:46" ht="15.1" customHeight="1">
      <c r="A885" s="8">
        <v>294</v>
      </c>
      <c r="B885" s="9" t="s">
        <v>2655</v>
      </c>
      <c r="C885" s="8" t="s">
        <v>2656</v>
      </c>
      <c r="D885" s="9" t="s">
        <v>451</v>
      </c>
      <c r="E885" s="8" t="s">
        <v>54</v>
      </c>
      <c r="F885" s="8" t="s">
        <v>54</v>
      </c>
      <c r="G885" s="10" t="s">
        <v>67</v>
      </c>
      <c r="H885" s="8" t="s">
        <v>54</v>
      </c>
      <c r="I885" s="8" t="s">
        <v>54</v>
      </c>
      <c r="J885" s="8" t="s">
        <v>54</v>
      </c>
      <c r="K885" s="8" t="s">
        <v>54</v>
      </c>
      <c r="L885" s="8" t="s">
        <v>54</v>
      </c>
      <c r="M885" s="8" t="s">
        <v>54</v>
      </c>
      <c r="N885" s="10" t="s">
        <v>67</v>
      </c>
      <c r="O885" s="8" t="s">
        <v>54</v>
      </c>
      <c r="P885" s="8" t="s">
        <v>54</v>
      </c>
      <c r="Q885" s="8" t="s">
        <v>54</v>
      </c>
      <c r="R885" s="8" t="s">
        <v>54</v>
      </c>
      <c r="S885" s="8" t="s">
        <v>54</v>
      </c>
      <c r="T885" s="8" t="s">
        <v>54</v>
      </c>
      <c r="U885" s="10" t="s">
        <v>67</v>
      </c>
      <c r="V885" s="8" t="s">
        <v>54</v>
      </c>
      <c r="W885" s="8" t="s">
        <v>54</v>
      </c>
      <c r="X885" s="12" t="s">
        <v>55</v>
      </c>
      <c r="Y885" s="8" t="s">
        <v>54</v>
      </c>
      <c r="Z885" s="8" t="s">
        <v>54</v>
      </c>
      <c r="AA885" s="8" t="s">
        <v>54</v>
      </c>
      <c r="AB885" s="10" t="s">
        <v>67</v>
      </c>
      <c r="AC885" s="12" t="s">
        <v>55</v>
      </c>
      <c r="AD885" s="8" t="s">
        <v>54</v>
      </c>
      <c r="AE885" s="8" t="s">
        <v>54</v>
      </c>
      <c r="AF885" s="8" t="s">
        <v>54</v>
      </c>
      <c r="AG885" s="8" t="s">
        <v>54</v>
      </c>
      <c r="AH885" s="8" t="s">
        <v>54</v>
      </c>
      <c r="AI885" s="10" t="s">
        <v>67</v>
      </c>
      <c r="AJ885" s="8">
        <f>COUNTIF($E$885:$AI$885,"P")</f>
        <v>24</v>
      </c>
      <c r="AK885" s="8">
        <f>COUNTIF($E$885:$AI$885,"A")</f>
        <v>2</v>
      </c>
      <c r="AL885" s="8">
        <f>SUM($E$886:$AI$886)</f>
        <v>0</v>
      </c>
      <c r="AM885" s="8">
        <f>SUM($E$887:$AI$887)</f>
        <v>0</v>
      </c>
      <c r="AN885" s="8">
        <f>AL885+AM885</f>
        <v>0</v>
      </c>
      <c r="AO885" s="8">
        <f>COUNTIF($E$885:$AI$885,"CL")</f>
        <v>0</v>
      </c>
      <c r="AP885" s="8">
        <f>COUNTIF($E$885:$AI$885,"SL")</f>
        <v>0</v>
      </c>
      <c r="AQ885" s="8">
        <f>COUNTIF($E$885:$AI$885,"EL")</f>
        <v>0</v>
      </c>
      <c r="AR885" s="8">
        <f>COUNTIF($E$885:$AI$885,"H")</f>
        <v>0</v>
      </c>
      <c r="AS885" s="8"/>
      <c r="AT885" s="11" t="s">
        <v>2091</v>
      </c>
    </row>
    <row r="886" spans="1:46" ht="15.1" customHeight="1">
      <c r="A886" s="8"/>
      <c r="B886" s="9"/>
      <c r="C886" s="8"/>
      <c r="D886" s="9"/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11" t="s">
        <v>2091</v>
      </c>
    </row>
    <row r="887" spans="1:46" ht="15.1" customHeight="1">
      <c r="A887" s="8"/>
      <c r="B887" s="9"/>
      <c r="C887" s="8"/>
      <c r="D887" s="9"/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11" t="s">
        <v>2091</v>
      </c>
    </row>
    <row r="888" spans="1:46" ht="15.1" customHeight="1">
      <c r="A888" s="8">
        <v>295</v>
      </c>
      <c r="B888" s="9" t="s">
        <v>2657</v>
      </c>
      <c r="C888" s="8" t="s">
        <v>2658</v>
      </c>
      <c r="D888" s="9" t="s">
        <v>451</v>
      </c>
      <c r="E888" s="8" t="s">
        <v>54</v>
      </c>
      <c r="F888" s="8" t="s">
        <v>54</v>
      </c>
      <c r="G888" s="10" t="s">
        <v>67</v>
      </c>
      <c r="H888" s="8" t="s">
        <v>54</v>
      </c>
      <c r="I888" s="8" t="s">
        <v>54</v>
      </c>
      <c r="J888" s="8" t="s">
        <v>54</v>
      </c>
      <c r="K888" s="8" t="s">
        <v>54</v>
      </c>
      <c r="L888" s="8" t="s">
        <v>54</v>
      </c>
      <c r="M888" s="8" t="s">
        <v>54</v>
      </c>
      <c r="N888" s="10" t="s">
        <v>67</v>
      </c>
      <c r="O888" s="8" t="s">
        <v>54</v>
      </c>
      <c r="P888" s="12" t="s">
        <v>55</v>
      </c>
      <c r="Q888" s="8" t="s">
        <v>54</v>
      </c>
      <c r="R888" s="8" t="s">
        <v>54</v>
      </c>
      <c r="S888" s="8" t="s">
        <v>54</v>
      </c>
      <c r="T888" s="8" t="s">
        <v>54</v>
      </c>
      <c r="U888" s="10" t="s">
        <v>67</v>
      </c>
      <c r="V888" s="8" t="s">
        <v>54</v>
      </c>
      <c r="W888" s="8" t="s">
        <v>54</v>
      </c>
      <c r="X888" s="12" t="s">
        <v>55</v>
      </c>
      <c r="Y888" s="8" t="s">
        <v>54</v>
      </c>
      <c r="Z888" s="8" t="s">
        <v>54</v>
      </c>
      <c r="AA888" s="8" t="s">
        <v>54</v>
      </c>
      <c r="AB888" s="10" t="s">
        <v>67</v>
      </c>
      <c r="AC888" s="8" t="s">
        <v>54</v>
      </c>
      <c r="AD888" s="8" t="s">
        <v>54</v>
      </c>
      <c r="AE888" s="12" t="s">
        <v>55</v>
      </c>
      <c r="AF888" s="12" t="s">
        <v>55</v>
      </c>
      <c r="AG888" s="8" t="s">
        <v>54</v>
      </c>
      <c r="AH888" s="8" t="s">
        <v>54</v>
      </c>
      <c r="AI888" s="10" t="s">
        <v>67</v>
      </c>
      <c r="AJ888" s="8">
        <f>COUNTIF($E$888:$AI$888,"P")</f>
        <v>22</v>
      </c>
      <c r="AK888" s="8">
        <f>COUNTIF($E$888:$AI$888,"A")</f>
        <v>4</v>
      </c>
      <c r="AL888" s="8">
        <f>SUM($E$889:$AI$889)</f>
        <v>0</v>
      </c>
      <c r="AM888" s="8">
        <f>SUM($E$890:$AI$890)</f>
        <v>0</v>
      </c>
      <c r="AN888" s="8">
        <f>AL888+AM888</f>
        <v>0</v>
      </c>
      <c r="AO888" s="8">
        <f>COUNTIF($E$888:$AI$888,"CL")</f>
        <v>0</v>
      </c>
      <c r="AP888" s="8">
        <f>COUNTIF($E$888:$AI$888,"SL")</f>
        <v>0</v>
      </c>
      <c r="AQ888" s="8">
        <f>COUNTIF($E$888:$AI$888,"EL")</f>
        <v>0</v>
      </c>
      <c r="AR888" s="8">
        <f>COUNTIF($E$888:$AI$888,"H")</f>
        <v>0</v>
      </c>
      <c r="AS888" s="8"/>
      <c r="AT888" s="11" t="s">
        <v>2091</v>
      </c>
    </row>
    <row r="889" spans="1:46" ht="15.1" customHeight="1">
      <c r="A889" s="8"/>
      <c r="B889" s="9"/>
      <c r="C889" s="8"/>
      <c r="D889" s="9"/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11" t="s">
        <v>2091</v>
      </c>
    </row>
    <row r="890" spans="1:46" ht="15.1" customHeight="1">
      <c r="A890" s="8"/>
      <c r="B890" s="9"/>
      <c r="C890" s="8"/>
      <c r="D890" s="9"/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11" t="s">
        <v>2091</v>
      </c>
    </row>
    <row r="891" spans="1:46" ht="15.1" customHeight="1">
      <c r="A891" s="8">
        <v>296</v>
      </c>
      <c r="B891" s="9" t="s">
        <v>2659</v>
      </c>
      <c r="C891" s="8" t="s">
        <v>2660</v>
      </c>
      <c r="D891" s="9" t="s">
        <v>451</v>
      </c>
      <c r="E891" s="8" t="s">
        <v>54</v>
      </c>
      <c r="F891" s="8" t="s">
        <v>54</v>
      </c>
      <c r="G891" s="10" t="s">
        <v>67</v>
      </c>
      <c r="H891" s="8" t="s">
        <v>54</v>
      </c>
      <c r="I891" s="8" t="s">
        <v>54</v>
      </c>
      <c r="J891" s="8" t="s">
        <v>54</v>
      </c>
      <c r="K891" s="8" t="s">
        <v>54</v>
      </c>
      <c r="L891" s="8" t="s">
        <v>54</v>
      </c>
      <c r="M891" s="8" t="s">
        <v>54</v>
      </c>
      <c r="N891" s="10" t="s">
        <v>67</v>
      </c>
      <c r="O891" s="8" t="s">
        <v>54</v>
      </c>
      <c r="P891" s="8" t="s">
        <v>54</v>
      </c>
      <c r="Q891" s="8" t="s">
        <v>54</v>
      </c>
      <c r="R891" s="8" t="s">
        <v>54</v>
      </c>
      <c r="S891" s="8" t="s">
        <v>54</v>
      </c>
      <c r="T891" s="8" t="s">
        <v>54</v>
      </c>
      <c r="U891" s="10" t="s">
        <v>67</v>
      </c>
      <c r="V891" s="12" t="s">
        <v>55</v>
      </c>
      <c r="W891" s="12" t="s">
        <v>55</v>
      </c>
      <c r="X891" s="12" t="s">
        <v>55</v>
      </c>
      <c r="Y891" s="8" t="s">
        <v>54</v>
      </c>
      <c r="Z891" s="8" t="s">
        <v>54</v>
      </c>
      <c r="AA891" s="8" t="s">
        <v>54</v>
      </c>
      <c r="AB891" s="10" t="s">
        <v>67</v>
      </c>
      <c r="AC891" s="8" t="s">
        <v>54</v>
      </c>
      <c r="AD891" s="8" t="s">
        <v>54</v>
      </c>
      <c r="AE891" s="8" t="s">
        <v>54</v>
      </c>
      <c r="AF891" s="8" t="s">
        <v>54</v>
      </c>
      <c r="AG891" s="12" t="s">
        <v>55</v>
      </c>
      <c r="AH891" s="12" t="s">
        <v>55</v>
      </c>
      <c r="AI891" s="10" t="s">
        <v>67</v>
      </c>
      <c r="AJ891" s="8">
        <f>COUNTIF($E$891:$AI$891,"P")</f>
        <v>21</v>
      </c>
      <c r="AK891" s="8">
        <f>COUNTIF($E$891:$AI$891,"A")</f>
        <v>5</v>
      </c>
      <c r="AL891" s="8">
        <f>SUM($E$892:$AI$892)</f>
        <v>0</v>
      </c>
      <c r="AM891" s="8">
        <f>SUM($E$893:$AI$893)</f>
        <v>0</v>
      </c>
      <c r="AN891" s="8">
        <f>AL891+AM891</f>
        <v>0</v>
      </c>
      <c r="AO891" s="8">
        <f>COUNTIF($E$891:$AI$891,"CL")</f>
        <v>0</v>
      </c>
      <c r="AP891" s="8">
        <f>COUNTIF($E$891:$AI$891,"SL")</f>
        <v>0</v>
      </c>
      <c r="AQ891" s="8">
        <f>COUNTIF($E$891:$AI$891,"EL")</f>
        <v>0</v>
      </c>
      <c r="AR891" s="8">
        <f>COUNTIF($E$891:$AI$891,"H")</f>
        <v>0</v>
      </c>
      <c r="AS891" s="8"/>
      <c r="AT891" s="11" t="s">
        <v>2091</v>
      </c>
    </row>
    <row r="892" spans="1:46" ht="15.1" customHeight="1">
      <c r="A892" s="8"/>
      <c r="B892" s="9"/>
      <c r="C892" s="8"/>
      <c r="D892" s="9"/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11" t="s">
        <v>2091</v>
      </c>
    </row>
    <row r="893" spans="1:46" ht="15.1" customHeight="1">
      <c r="A893" s="8"/>
      <c r="B893" s="9"/>
      <c r="C893" s="8"/>
      <c r="D893" s="9"/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11" t="s">
        <v>2091</v>
      </c>
    </row>
    <row r="894" spans="1:46" ht="15.1" customHeight="1">
      <c r="A894" s="8">
        <v>297</v>
      </c>
      <c r="B894" s="9" t="s">
        <v>2661</v>
      </c>
      <c r="C894" s="8" t="s">
        <v>2662</v>
      </c>
      <c r="D894" s="9" t="s">
        <v>451</v>
      </c>
      <c r="E894" s="8" t="s">
        <v>54</v>
      </c>
      <c r="F894" s="8" t="s">
        <v>54</v>
      </c>
      <c r="G894" s="10" t="s">
        <v>67</v>
      </c>
      <c r="H894" s="8" t="s">
        <v>54</v>
      </c>
      <c r="I894" s="8" t="s">
        <v>54</v>
      </c>
      <c r="J894" s="8" t="s">
        <v>54</v>
      </c>
      <c r="K894" s="8" t="s">
        <v>54</v>
      </c>
      <c r="L894" s="8" t="s">
        <v>54</v>
      </c>
      <c r="M894" s="8" t="s">
        <v>54</v>
      </c>
      <c r="N894" s="10" t="s">
        <v>67</v>
      </c>
      <c r="O894" s="8" t="s">
        <v>54</v>
      </c>
      <c r="P894" s="8" t="s">
        <v>54</v>
      </c>
      <c r="Q894" s="12" t="s">
        <v>55</v>
      </c>
      <c r="R894" s="8" t="s">
        <v>54</v>
      </c>
      <c r="S894" s="8" t="s">
        <v>54</v>
      </c>
      <c r="T894" s="12" t="s">
        <v>55</v>
      </c>
      <c r="U894" s="10" t="s">
        <v>67</v>
      </c>
      <c r="V894" s="8" t="s">
        <v>54</v>
      </c>
      <c r="W894" s="8" t="s">
        <v>54</v>
      </c>
      <c r="X894" s="12" t="s">
        <v>55</v>
      </c>
      <c r="Y894" s="8" t="s">
        <v>54</v>
      </c>
      <c r="Z894" s="8" t="s">
        <v>54</v>
      </c>
      <c r="AA894" s="8" t="s">
        <v>54</v>
      </c>
      <c r="AB894" s="10" t="s">
        <v>67</v>
      </c>
      <c r="AC894" s="8" t="s">
        <v>54</v>
      </c>
      <c r="AD894" s="8" t="s">
        <v>54</v>
      </c>
      <c r="AE894" s="8" t="s">
        <v>54</v>
      </c>
      <c r="AF894" s="8" t="s">
        <v>54</v>
      </c>
      <c r="AG894" s="8" t="s">
        <v>54</v>
      </c>
      <c r="AH894" s="8" t="s">
        <v>54</v>
      </c>
      <c r="AI894" s="10" t="s">
        <v>67</v>
      </c>
      <c r="AJ894" s="8">
        <f>COUNTIF($E$894:$AI$894,"P")</f>
        <v>23</v>
      </c>
      <c r="AK894" s="8">
        <f>COUNTIF($E$894:$AI$894,"A")</f>
        <v>3</v>
      </c>
      <c r="AL894" s="8">
        <f>SUM($E$895:$AI$895)</f>
        <v>0</v>
      </c>
      <c r="AM894" s="8">
        <f>SUM($E$896:$AI$896)</f>
        <v>0</v>
      </c>
      <c r="AN894" s="8">
        <f>AL894+AM894</f>
        <v>0</v>
      </c>
      <c r="AO894" s="8">
        <f>COUNTIF($E$894:$AI$894,"CL")</f>
        <v>0</v>
      </c>
      <c r="AP894" s="8">
        <f>COUNTIF($E$894:$AI$894,"SL")</f>
        <v>0</v>
      </c>
      <c r="AQ894" s="8">
        <f>COUNTIF($E$894:$AI$894,"EL")</f>
        <v>0</v>
      </c>
      <c r="AR894" s="8">
        <f>COUNTIF($E$894:$AI$894,"H")</f>
        <v>0</v>
      </c>
      <c r="AS894" s="8"/>
      <c r="AT894" s="11" t="s">
        <v>2091</v>
      </c>
    </row>
    <row r="895" spans="1:46" ht="15.1" customHeight="1">
      <c r="A895" s="8"/>
      <c r="B895" s="9"/>
      <c r="C895" s="8"/>
      <c r="D895" s="9"/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11" t="s">
        <v>2091</v>
      </c>
    </row>
    <row r="896" spans="1:46" ht="15.1" customHeight="1">
      <c r="A896" s="8"/>
      <c r="B896" s="9"/>
      <c r="C896" s="8"/>
      <c r="D896" s="9"/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11" t="s">
        <v>2091</v>
      </c>
    </row>
    <row r="897" spans="1:46" ht="15.1" customHeight="1">
      <c r="A897" s="8">
        <v>298</v>
      </c>
      <c r="B897" s="9" t="s">
        <v>2663</v>
      </c>
      <c r="C897" s="8" t="s">
        <v>2664</v>
      </c>
      <c r="D897" s="9" t="s">
        <v>451</v>
      </c>
      <c r="E897" s="8" t="s">
        <v>54</v>
      </c>
      <c r="F897" s="8" t="s">
        <v>54</v>
      </c>
      <c r="G897" s="10" t="s">
        <v>67</v>
      </c>
      <c r="H897" s="8" t="s">
        <v>54</v>
      </c>
      <c r="I897" s="8" t="s">
        <v>54</v>
      </c>
      <c r="J897" s="8" t="s">
        <v>54</v>
      </c>
      <c r="K897" s="8" t="s">
        <v>54</v>
      </c>
      <c r="L897" s="8" t="s">
        <v>54</v>
      </c>
      <c r="M897" s="12" t="s">
        <v>55</v>
      </c>
      <c r="N897" s="10" t="s">
        <v>67</v>
      </c>
      <c r="O897" s="8" t="s">
        <v>54</v>
      </c>
      <c r="P897" s="8" t="s">
        <v>54</v>
      </c>
      <c r="Q897" s="8" t="s">
        <v>54</v>
      </c>
      <c r="R897" s="12" t="s">
        <v>55</v>
      </c>
      <c r="S897" s="12" t="s">
        <v>55</v>
      </c>
      <c r="T897" s="8" t="s">
        <v>54</v>
      </c>
      <c r="U897" s="10" t="s">
        <v>67</v>
      </c>
      <c r="V897" s="8" t="s">
        <v>54</v>
      </c>
      <c r="W897" s="8" t="s">
        <v>54</v>
      </c>
      <c r="X897" s="12" t="s">
        <v>55</v>
      </c>
      <c r="Y897" s="12" t="s">
        <v>55</v>
      </c>
      <c r="Z897" s="12" t="s">
        <v>55</v>
      </c>
      <c r="AA897" s="12" t="s">
        <v>55</v>
      </c>
      <c r="AB897" s="10" t="s">
        <v>67</v>
      </c>
      <c r="AC897" s="8" t="s">
        <v>54</v>
      </c>
      <c r="AD897" s="8" t="s">
        <v>54</v>
      </c>
      <c r="AE897" s="8" t="s">
        <v>54</v>
      </c>
      <c r="AF897" s="8" t="s">
        <v>54</v>
      </c>
      <c r="AG897" s="8" t="s">
        <v>54</v>
      </c>
      <c r="AH897" s="8" t="s">
        <v>54</v>
      </c>
      <c r="AI897" s="10" t="s">
        <v>67</v>
      </c>
      <c r="AJ897" s="8">
        <f>COUNTIF($E$897:$AI$897,"P")</f>
        <v>19</v>
      </c>
      <c r="AK897" s="8">
        <f>COUNTIF($E$897:$AI$897,"A")</f>
        <v>7</v>
      </c>
      <c r="AL897" s="8">
        <f>SUM($E$898:$AI$898)</f>
        <v>0</v>
      </c>
      <c r="AM897" s="8">
        <f>SUM($E$899:$AI$899)</f>
        <v>0</v>
      </c>
      <c r="AN897" s="8">
        <f>AL897+AM897</f>
        <v>0</v>
      </c>
      <c r="AO897" s="8">
        <f>COUNTIF($E$897:$AI$897,"CL")</f>
        <v>0</v>
      </c>
      <c r="AP897" s="8">
        <f>COUNTIF($E$897:$AI$897,"SL")</f>
        <v>0</v>
      </c>
      <c r="AQ897" s="8">
        <f>COUNTIF($E$897:$AI$897,"EL")</f>
        <v>0</v>
      </c>
      <c r="AR897" s="8">
        <f>COUNTIF($E$897:$AI$897,"H")</f>
        <v>0</v>
      </c>
      <c r="AS897" s="8"/>
      <c r="AT897" s="11" t="s">
        <v>2091</v>
      </c>
    </row>
    <row r="898" spans="1:46" ht="15.1" customHeight="1">
      <c r="A898" s="8"/>
      <c r="B898" s="9"/>
      <c r="C898" s="8"/>
      <c r="D898" s="9"/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11" t="s">
        <v>2091</v>
      </c>
    </row>
    <row r="899" spans="1:46" ht="15.1" customHeight="1">
      <c r="A899" s="8"/>
      <c r="B899" s="9"/>
      <c r="C899" s="8"/>
      <c r="D899" s="9"/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11" t="s">
        <v>2091</v>
      </c>
    </row>
    <row r="900" spans="1:46" ht="15.1" customHeight="1">
      <c r="A900" s="8">
        <v>299</v>
      </c>
      <c r="B900" s="9" t="s">
        <v>2665</v>
      </c>
      <c r="C900" s="8" t="s">
        <v>2666</v>
      </c>
      <c r="D900" s="9" t="s">
        <v>451</v>
      </c>
      <c r="E900" s="12" t="s">
        <v>55</v>
      </c>
      <c r="F900" s="8" t="s">
        <v>54</v>
      </c>
      <c r="G900" s="10" t="s">
        <v>67</v>
      </c>
      <c r="H900" s="8" t="s">
        <v>54</v>
      </c>
      <c r="I900" s="8" t="s">
        <v>54</v>
      </c>
      <c r="J900" s="8" t="s">
        <v>54</v>
      </c>
      <c r="K900" s="8" t="s">
        <v>54</v>
      </c>
      <c r="L900" s="8" t="s">
        <v>54</v>
      </c>
      <c r="M900" s="8" t="s">
        <v>54</v>
      </c>
      <c r="N900" s="10" t="s">
        <v>67</v>
      </c>
      <c r="O900" s="8" t="s">
        <v>54</v>
      </c>
      <c r="P900" s="8" t="s">
        <v>54</v>
      </c>
      <c r="Q900" s="8" t="s">
        <v>54</v>
      </c>
      <c r="R900" s="8" t="s">
        <v>54</v>
      </c>
      <c r="S900" s="12" t="s">
        <v>55</v>
      </c>
      <c r="T900" s="8" t="s">
        <v>54</v>
      </c>
      <c r="U900" s="10" t="s">
        <v>67</v>
      </c>
      <c r="V900" s="12" t="s">
        <v>55</v>
      </c>
      <c r="W900" s="12" t="s">
        <v>55</v>
      </c>
      <c r="X900" s="12" t="s">
        <v>55</v>
      </c>
      <c r="Y900" s="8" t="s">
        <v>54</v>
      </c>
      <c r="Z900" s="8" t="s">
        <v>54</v>
      </c>
      <c r="AA900" s="8" t="s">
        <v>54</v>
      </c>
      <c r="AB900" s="10" t="s">
        <v>67</v>
      </c>
      <c r="AC900" s="8" t="s">
        <v>54</v>
      </c>
      <c r="AD900" s="12" t="s">
        <v>55</v>
      </c>
      <c r="AE900" s="8" t="s">
        <v>54</v>
      </c>
      <c r="AF900" s="8" t="s">
        <v>54</v>
      </c>
      <c r="AG900" s="8" t="s">
        <v>54</v>
      </c>
      <c r="AH900" s="8" t="s">
        <v>54</v>
      </c>
      <c r="AI900" s="10" t="s">
        <v>67</v>
      </c>
      <c r="AJ900" s="8">
        <f>COUNTIF($E$900:$AI$900,"P")</f>
        <v>20</v>
      </c>
      <c r="AK900" s="8">
        <f>COUNTIF($E$900:$AI$900,"A")</f>
        <v>6</v>
      </c>
      <c r="AL900" s="8">
        <f>SUM($E$901:$AI$901)</f>
        <v>0</v>
      </c>
      <c r="AM900" s="8">
        <f>SUM($E$902:$AI$902)</f>
        <v>0</v>
      </c>
      <c r="AN900" s="8">
        <f>AL900+AM900</f>
        <v>0</v>
      </c>
      <c r="AO900" s="8">
        <f>COUNTIF($E$900:$AI$900,"CL")</f>
        <v>0</v>
      </c>
      <c r="AP900" s="8">
        <f>COUNTIF($E$900:$AI$900,"SL")</f>
        <v>0</v>
      </c>
      <c r="AQ900" s="8">
        <f>COUNTIF($E$900:$AI$900,"EL")</f>
        <v>0</v>
      </c>
      <c r="AR900" s="8">
        <f>COUNTIF($E$900:$AI$900,"H")</f>
        <v>0</v>
      </c>
      <c r="AS900" s="8"/>
      <c r="AT900" s="11" t="s">
        <v>2091</v>
      </c>
    </row>
    <row r="901" spans="1:46" ht="15.1" customHeight="1">
      <c r="A901" s="8"/>
      <c r="B901" s="9"/>
      <c r="C901" s="8"/>
      <c r="D901" s="9"/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11" t="s">
        <v>2091</v>
      </c>
    </row>
    <row r="902" spans="1:46" ht="15.1" customHeight="1">
      <c r="A902" s="8"/>
      <c r="B902" s="9"/>
      <c r="C902" s="8"/>
      <c r="D902" s="9"/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11" t="s">
        <v>2091</v>
      </c>
    </row>
    <row r="903" spans="1:46" ht="15.1" customHeight="1">
      <c r="A903" s="8">
        <v>300</v>
      </c>
      <c r="B903" s="9" t="s">
        <v>2667</v>
      </c>
      <c r="C903" s="8" t="s">
        <v>2668</v>
      </c>
      <c r="D903" s="9" t="s">
        <v>451</v>
      </c>
      <c r="E903" s="12" t="s">
        <v>55</v>
      </c>
      <c r="F903" s="8" t="s">
        <v>54</v>
      </c>
      <c r="G903" s="10" t="s">
        <v>67</v>
      </c>
      <c r="H903" s="8" t="s">
        <v>54</v>
      </c>
      <c r="I903" s="12" t="s">
        <v>55</v>
      </c>
      <c r="J903" s="8" t="s">
        <v>54</v>
      </c>
      <c r="K903" s="8" t="s">
        <v>54</v>
      </c>
      <c r="L903" s="8" t="s">
        <v>54</v>
      </c>
      <c r="M903" s="8" t="s">
        <v>54</v>
      </c>
      <c r="N903" s="10" t="s">
        <v>67</v>
      </c>
      <c r="O903" s="8" t="s">
        <v>54</v>
      </c>
      <c r="P903" s="8" t="s">
        <v>54</v>
      </c>
      <c r="Q903" s="8" t="s">
        <v>54</v>
      </c>
      <c r="R903" s="8" t="s">
        <v>54</v>
      </c>
      <c r="S903" s="12" t="s">
        <v>55</v>
      </c>
      <c r="T903" s="8" t="s">
        <v>54</v>
      </c>
      <c r="U903" s="10" t="s">
        <v>67</v>
      </c>
      <c r="V903" s="12" t="s">
        <v>55</v>
      </c>
      <c r="W903" s="12" t="s">
        <v>55</v>
      </c>
      <c r="X903" s="12" t="s">
        <v>55</v>
      </c>
      <c r="Y903" s="8" t="s">
        <v>54</v>
      </c>
      <c r="Z903" s="8" t="s">
        <v>54</v>
      </c>
      <c r="AA903" s="8" t="s">
        <v>54</v>
      </c>
      <c r="AB903" s="10" t="s">
        <v>67</v>
      </c>
      <c r="AC903" s="8" t="s">
        <v>54</v>
      </c>
      <c r="AD903" s="12" t="s">
        <v>55</v>
      </c>
      <c r="AE903" s="8" t="s">
        <v>54</v>
      </c>
      <c r="AF903" s="8" t="s">
        <v>54</v>
      </c>
      <c r="AG903" s="8" t="s">
        <v>54</v>
      </c>
      <c r="AH903" s="8" t="s">
        <v>54</v>
      </c>
      <c r="AI903" s="10" t="s">
        <v>67</v>
      </c>
      <c r="AJ903" s="8">
        <f>COUNTIF($E$903:$AI$903,"P")</f>
        <v>19</v>
      </c>
      <c r="AK903" s="8">
        <f>COUNTIF($E$903:$AI$903,"A")</f>
        <v>7</v>
      </c>
      <c r="AL903" s="8">
        <f>SUM($E$904:$AI$904)</f>
        <v>0</v>
      </c>
      <c r="AM903" s="8">
        <f>SUM($E$905:$AI$905)</f>
        <v>0</v>
      </c>
      <c r="AN903" s="8">
        <f>AL903+AM903</f>
        <v>0</v>
      </c>
      <c r="AO903" s="8">
        <f>COUNTIF($E$903:$AI$903,"CL")</f>
        <v>0</v>
      </c>
      <c r="AP903" s="8">
        <f>COUNTIF($E$903:$AI$903,"SL")</f>
        <v>0</v>
      </c>
      <c r="AQ903" s="8">
        <f>COUNTIF($E$903:$AI$903,"EL")</f>
        <v>0</v>
      </c>
      <c r="AR903" s="8">
        <f>COUNTIF($E$903:$AI$903,"H")</f>
        <v>0</v>
      </c>
      <c r="AS903" s="8"/>
      <c r="AT903" s="11" t="s">
        <v>2091</v>
      </c>
    </row>
    <row r="904" spans="1:46" ht="15.1" customHeight="1">
      <c r="A904" s="8"/>
      <c r="B904" s="9"/>
      <c r="C904" s="8"/>
      <c r="D904" s="9"/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11" t="s">
        <v>2091</v>
      </c>
    </row>
    <row r="905" spans="1:46" ht="15.1" customHeight="1">
      <c r="A905" s="8"/>
      <c r="B905" s="9"/>
      <c r="C905" s="8"/>
      <c r="D905" s="9"/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11" t="s">
        <v>2091</v>
      </c>
    </row>
    <row r="906" spans="1:46" ht="15.1" customHeight="1">
      <c r="A906" s="8">
        <v>301</v>
      </c>
      <c r="B906" s="9" t="s">
        <v>2669</v>
      </c>
      <c r="C906" s="8" t="s">
        <v>2670</v>
      </c>
      <c r="D906" s="9" t="s">
        <v>451</v>
      </c>
      <c r="E906" s="8" t="s">
        <v>54</v>
      </c>
      <c r="F906" s="8" t="s">
        <v>54</v>
      </c>
      <c r="G906" s="10" t="s">
        <v>67</v>
      </c>
      <c r="H906" s="8" t="s">
        <v>54</v>
      </c>
      <c r="I906" s="8" t="s">
        <v>54</v>
      </c>
      <c r="J906" s="8" t="s">
        <v>54</v>
      </c>
      <c r="K906" s="8" t="s">
        <v>54</v>
      </c>
      <c r="L906" s="8" t="s">
        <v>54</v>
      </c>
      <c r="M906" s="8" t="s">
        <v>54</v>
      </c>
      <c r="N906" s="10" t="s">
        <v>67</v>
      </c>
      <c r="O906" s="8" t="s">
        <v>54</v>
      </c>
      <c r="P906" s="8" t="s">
        <v>54</v>
      </c>
      <c r="Q906" s="8" t="s">
        <v>54</v>
      </c>
      <c r="R906" s="8" t="s">
        <v>54</v>
      </c>
      <c r="S906" s="8" t="s">
        <v>54</v>
      </c>
      <c r="T906" s="8" t="s">
        <v>54</v>
      </c>
      <c r="U906" s="10" t="s">
        <v>67</v>
      </c>
      <c r="V906" s="8" t="s">
        <v>54</v>
      </c>
      <c r="W906" s="8" t="s">
        <v>54</v>
      </c>
      <c r="X906" s="8" t="s">
        <v>54</v>
      </c>
      <c r="Y906" s="8" t="s">
        <v>54</v>
      </c>
      <c r="Z906" s="8" t="s">
        <v>54</v>
      </c>
      <c r="AA906" s="8" t="s">
        <v>54</v>
      </c>
      <c r="AB906" s="10" t="s">
        <v>67</v>
      </c>
      <c r="AC906" s="8" t="s">
        <v>54</v>
      </c>
      <c r="AD906" s="8" t="s">
        <v>54</v>
      </c>
      <c r="AE906" s="8" t="s">
        <v>54</v>
      </c>
      <c r="AF906" s="8" t="s">
        <v>54</v>
      </c>
      <c r="AG906" s="8" t="s">
        <v>54</v>
      </c>
      <c r="AH906" s="8" t="s">
        <v>54</v>
      </c>
      <c r="AI906" s="10" t="s">
        <v>67</v>
      </c>
      <c r="AJ906" s="8">
        <f>COUNTIF($E$906:$AI$906,"P")</f>
        <v>26</v>
      </c>
      <c r="AK906" s="8">
        <f>COUNTIF($E$906:$AI$906,"A")</f>
        <v>0</v>
      </c>
      <c r="AL906" s="8">
        <f>SUM($E$907:$AI$907)</f>
        <v>0</v>
      </c>
      <c r="AM906" s="8">
        <f>SUM($E$908:$AI$908)</f>
        <v>0</v>
      </c>
      <c r="AN906" s="8">
        <f>AL906+AM906</f>
        <v>0</v>
      </c>
      <c r="AO906" s="8">
        <f>COUNTIF($E$906:$AI$906,"CL")</f>
        <v>0</v>
      </c>
      <c r="AP906" s="8">
        <f>COUNTIF($E$906:$AI$906,"SL")</f>
        <v>0</v>
      </c>
      <c r="AQ906" s="8">
        <f>COUNTIF($E$906:$AI$906,"EL")</f>
        <v>0</v>
      </c>
      <c r="AR906" s="8">
        <f>COUNTIF($E$906:$AI$906,"H")</f>
        <v>0</v>
      </c>
      <c r="AS906" s="8"/>
      <c r="AT906" s="11" t="s">
        <v>2091</v>
      </c>
    </row>
    <row r="907" spans="1:46" ht="15.1" customHeight="1">
      <c r="A907" s="8"/>
      <c r="B907" s="9"/>
      <c r="C907" s="8"/>
      <c r="D907" s="9"/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11" t="s">
        <v>2091</v>
      </c>
    </row>
    <row r="908" spans="1:46" ht="15.1" customHeight="1">
      <c r="A908" s="8"/>
      <c r="B908" s="9"/>
      <c r="C908" s="8"/>
      <c r="D908" s="9"/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11" t="s">
        <v>2091</v>
      </c>
    </row>
    <row r="909" spans="1:46" ht="15.1" customHeight="1">
      <c r="A909" s="8">
        <v>302</v>
      </c>
      <c r="B909" s="9" t="s">
        <v>2671</v>
      </c>
      <c r="C909" s="8" t="s">
        <v>2672</v>
      </c>
      <c r="D909" s="9" t="s">
        <v>451</v>
      </c>
      <c r="E909" s="8" t="s">
        <v>54</v>
      </c>
      <c r="F909" s="8" t="s">
        <v>54</v>
      </c>
      <c r="G909" s="10" t="s">
        <v>67</v>
      </c>
      <c r="H909" s="12" t="s">
        <v>55</v>
      </c>
      <c r="I909" s="8" t="s">
        <v>54</v>
      </c>
      <c r="J909" s="8" t="s">
        <v>54</v>
      </c>
      <c r="K909" s="8" t="s">
        <v>54</v>
      </c>
      <c r="L909" s="8" t="s">
        <v>54</v>
      </c>
      <c r="M909" s="8" t="s">
        <v>54</v>
      </c>
      <c r="N909" s="10" t="s">
        <v>67</v>
      </c>
      <c r="O909" s="8" t="s">
        <v>54</v>
      </c>
      <c r="P909" s="8" t="s">
        <v>54</v>
      </c>
      <c r="Q909" s="8" t="s">
        <v>54</v>
      </c>
      <c r="R909" s="8" t="s">
        <v>54</v>
      </c>
      <c r="S909" s="8" t="s">
        <v>54</v>
      </c>
      <c r="T909" s="8" t="s">
        <v>54</v>
      </c>
      <c r="U909" s="10" t="s">
        <v>67</v>
      </c>
      <c r="V909" s="8" t="s">
        <v>54</v>
      </c>
      <c r="W909" s="8" t="s">
        <v>54</v>
      </c>
      <c r="X909" s="12" t="s">
        <v>55</v>
      </c>
      <c r="Y909" s="8" t="s">
        <v>54</v>
      </c>
      <c r="Z909" s="8" t="s">
        <v>54</v>
      </c>
      <c r="AA909" s="8" t="s">
        <v>54</v>
      </c>
      <c r="AB909" s="10" t="s">
        <v>67</v>
      </c>
      <c r="AC909" s="12" t="s">
        <v>55</v>
      </c>
      <c r="AD909" s="8" t="s">
        <v>54</v>
      </c>
      <c r="AE909" s="8" t="s">
        <v>54</v>
      </c>
      <c r="AF909" s="8" t="s">
        <v>54</v>
      </c>
      <c r="AG909" s="8" t="s">
        <v>54</v>
      </c>
      <c r="AH909" s="8" t="s">
        <v>54</v>
      </c>
      <c r="AI909" s="10" t="s">
        <v>67</v>
      </c>
      <c r="AJ909" s="8">
        <f>COUNTIF($E$909:$AI$909,"P")</f>
        <v>23</v>
      </c>
      <c r="AK909" s="8">
        <f>COUNTIF($E$909:$AI$909,"A")</f>
        <v>3</v>
      </c>
      <c r="AL909" s="8">
        <f>SUM($E$910:$AI$910)</f>
        <v>0</v>
      </c>
      <c r="AM909" s="8">
        <f>SUM($E$911:$AI$911)</f>
        <v>0</v>
      </c>
      <c r="AN909" s="8">
        <f>AL909+AM909</f>
        <v>0</v>
      </c>
      <c r="AO909" s="8">
        <f>COUNTIF($E$909:$AI$909,"CL")</f>
        <v>0</v>
      </c>
      <c r="AP909" s="8">
        <f>COUNTIF($E$909:$AI$909,"SL")</f>
        <v>0</v>
      </c>
      <c r="AQ909" s="8">
        <f>COUNTIF($E$909:$AI$909,"EL")</f>
        <v>0</v>
      </c>
      <c r="AR909" s="8">
        <f>COUNTIF($E$909:$AI$909,"H")</f>
        <v>0</v>
      </c>
      <c r="AS909" s="8"/>
      <c r="AT909" s="11" t="s">
        <v>2091</v>
      </c>
    </row>
    <row r="910" spans="1:46" ht="15.1" customHeight="1">
      <c r="A910" s="8"/>
      <c r="B910" s="9"/>
      <c r="C910" s="8"/>
      <c r="D910" s="9"/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11" t="s">
        <v>2091</v>
      </c>
    </row>
    <row r="911" spans="1:46" ht="15.1" customHeight="1">
      <c r="A911" s="8"/>
      <c r="B911" s="9"/>
      <c r="C911" s="8"/>
      <c r="D911" s="9"/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11" t="s">
        <v>2091</v>
      </c>
    </row>
    <row r="912" spans="1:46" ht="15.1" customHeight="1">
      <c r="A912" s="8">
        <v>303</v>
      </c>
      <c r="B912" s="9" t="s">
        <v>2673</v>
      </c>
      <c r="C912" s="8" t="s">
        <v>2674</v>
      </c>
      <c r="D912" s="9" t="s">
        <v>451</v>
      </c>
      <c r="E912" s="8" t="s">
        <v>54</v>
      </c>
      <c r="F912" s="8" t="s">
        <v>54</v>
      </c>
      <c r="G912" s="10" t="s">
        <v>67</v>
      </c>
      <c r="H912" s="8" t="s">
        <v>54</v>
      </c>
      <c r="I912" s="8" t="s">
        <v>54</v>
      </c>
      <c r="J912" s="8" t="s">
        <v>54</v>
      </c>
      <c r="K912" s="8" t="s">
        <v>54</v>
      </c>
      <c r="L912" s="8" t="s">
        <v>54</v>
      </c>
      <c r="M912" s="8" t="s">
        <v>54</v>
      </c>
      <c r="N912" s="10" t="s">
        <v>67</v>
      </c>
      <c r="O912" s="8" t="s">
        <v>54</v>
      </c>
      <c r="P912" s="8" t="s">
        <v>54</v>
      </c>
      <c r="Q912" s="8" t="s">
        <v>54</v>
      </c>
      <c r="R912" s="8" t="s">
        <v>54</v>
      </c>
      <c r="S912" s="8" t="s">
        <v>54</v>
      </c>
      <c r="T912" s="8" t="s">
        <v>54</v>
      </c>
      <c r="U912" s="10" t="s">
        <v>67</v>
      </c>
      <c r="V912" s="8" t="s">
        <v>54</v>
      </c>
      <c r="W912" s="8" t="s">
        <v>54</v>
      </c>
      <c r="X912" s="8" t="s">
        <v>54</v>
      </c>
      <c r="Y912" s="8" t="s">
        <v>54</v>
      </c>
      <c r="Z912" s="8" t="s">
        <v>54</v>
      </c>
      <c r="AA912" s="8" t="s">
        <v>54</v>
      </c>
      <c r="AB912" s="10" t="s">
        <v>67</v>
      </c>
      <c r="AC912" s="8" t="s">
        <v>54</v>
      </c>
      <c r="AD912" s="8" t="s">
        <v>54</v>
      </c>
      <c r="AE912" s="8" t="s">
        <v>54</v>
      </c>
      <c r="AF912" s="8" t="s">
        <v>54</v>
      </c>
      <c r="AG912" s="8" t="s">
        <v>54</v>
      </c>
      <c r="AH912" s="8" t="s">
        <v>54</v>
      </c>
      <c r="AI912" s="10" t="s">
        <v>67</v>
      </c>
      <c r="AJ912" s="8">
        <f>COUNTIF($E$912:$AI$912,"P")</f>
        <v>26</v>
      </c>
      <c r="AK912" s="8">
        <f>COUNTIF($E$912:$AI$912,"A")</f>
        <v>0</v>
      </c>
      <c r="AL912" s="8">
        <f>SUM($E$913:$AI$913)</f>
        <v>0</v>
      </c>
      <c r="AM912" s="8">
        <f>SUM($E$914:$AI$914)</f>
        <v>0</v>
      </c>
      <c r="AN912" s="8">
        <f>AL912+AM912</f>
        <v>0</v>
      </c>
      <c r="AO912" s="8">
        <f>COUNTIF($E$912:$AI$912,"CL")</f>
        <v>0</v>
      </c>
      <c r="AP912" s="8">
        <f>COUNTIF($E$912:$AI$912,"SL")</f>
        <v>0</v>
      </c>
      <c r="AQ912" s="8">
        <f>COUNTIF($E$912:$AI$912,"EL")</f>
        <v>0</v>
      </c>
      <c r="AR912" s="8">
        <f>COUNTIF($E$912:$AI$912,"H")</f>
        <v>0</v>
      </c>
      <c r="AS912" s="8"/>
      <c r="AT912" s="11" t="s">
        <v>2091</v>
      </c>
    </row>
    <row r="913" spans="1:46" ht="15.1" customHeight="1">
      <c r="A913" s="8"/>
      <c r="B913" s="9"/>
      <c r="C913" s="8"/>
      <c r="D913" s="9"/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11" t="s">
        <v>2091</v>
      </c>
    </row>
    <row r="914" spans="1:46" ht="15.1" customHeight="1">
      <c r="A914" s="8"/>
      <c r="B914" s="9"/>
      <c r="C914" s="8"/>
      <c r="D914" s="9"/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11" t="s">
        <v>2091</v>
      </c>
    </row>
    <row r="915" spans="1:46" ht="15.1" customHeight="1">
      <c r="A915" s="8">
        <v>304</v>
      </c>
      <c r="B915" s="9" t="s">
        <v>2675</v>
      </c>
      <c r="C915" s="8" t="s">
        <v>2676</v>
      </c>
      <c r="D915" s="9" t="s">
        <v>451</v>
      </c>
      <c r="E915" s="12" t="s">
        <v>55</v>
      </c>
      <c r="F915" s="12" t="s">
        <v>55</v>
      </c>
      <c r="G915" s="10" t="s">
        <v>67</v>
      </c>
      <c r="H915" s="8" t="s">
        <v>54</v>
      </c>
      <c r="I915" s="8" t="s">
        <v>54</v>
      </c>
      <c r="J915" s="8" t="s">
        <v>54</v>
      </c>
      <c r="K915" s="8" t="s">
        <v>54</v>
      </c>
      <c r="L915" s="8" t="s">
        <v>54</v>
      </c>
      <c r="M915" s="8" t="s">
        <v>54</v>
      </c>
      <c r="N915" s="10" t="s">
        <v>67</v>
      </c>
      <c r="O915" s="8" t="s">
        <v>54</v>
      </c>
      <c r="P915" s="8" t="s">
        <v>54</v>
      </c>
      <c r="Q915" s="8" t="s">
        <v>54</v>
      </c>
      <c r="R915" s="8" t="s">
        <v>54</v>
      </c>
      <c r="S915" s="8" t="s">
        <v>54</v>
      </c>
      <c r="T915" s="8" t="s">
        <v>54</v>
      </c>
      <c r="U915" s="10" t="s">
        <v>67</v>
      </c>
      <c r="V915" s="8" t="s">
        <v>54</v>
      </c>
      <c r="W915" s="8" t="s">
        <v>54</v>
      </c>
      <c r="X915" s="12" t="s">
        <v>55</v>
      </c>
      <c r="Y915" s="8" t="s">
        <v>54</v>
      </c>
      <c r="Z915" s="8" t="s">
        <v>54</v>
      </c>
      <c r="AA915" s="8" t="s">
        <v>54</v>
      </c>
      <c r="AB915" s="10" t="s">
        <v>67</v>
      </c>
      <c r="AC915" s="8" t="s">
        <v>54</v>
      </c>
      <c r="AD915" s="8" t="s">
        <v>54</v>
      </c>
      <c r="AE915" s="8" t="s">
        <v>54</v>
      </c>
      <c r="AF915" s="8" t="s">
        <v>54</v>
      </c>
      <c r="AG915" s="8" t="s">
        <v>54</v>
      </c>
      <c r="AH915" s="8" t="s">
        <v>54</v>
      </c>
      <c r="AI915" s="10" t="s">
        <v>67</v>
      </c>
      <c r="AJ915" s="8">
        <f>COUNTIF($E$915:$AI$915,"P")</f>
        <v>23</v>
      </c>
      <c r="AK915" s="8">
        <f>COUNTIF($E$915:$AI$915,"A")</f>
        <v>3</v>
      </c>
      <c r="AL915" s="8">
        <f>SUM($E$916:$AI$916)</f>
        <v>0</v>
      </c>
      <c r="AM915" s="8">
        <f>SUM($E$917:$AI$917)</f>
        <v>0</v>
      </c>
      <c r="AN915" s="8">
        <f>AL915+AM915</f>
        <v>0</v>
      </c>
      <c r="AO915" s="8">
        <f>COUNTIF($E$915:$AI$915,"CL")</f>
        <v>0</v>
      </c>
      <c r="AP915" s="8">
        <f>COUNTIF($E$915:$AI$915,"SL")</f>
        <v>0</v>
      </c>
      <c r="AQ915" s="8">
        <f>COUNTIF($E$915:$AI$915,"EL")</f>
        <v>0</v>
      </c>
      <c r="AR915" s="8">
        <f>COUNTIF($E$915:$AI$915,"H")</f>
        <v>0</v>
      </c>
      <c r="AS915" s="8"/>
      <c r="AT915" s="11" t="s">
        <v>2091</v>
      </c>
    </row>
    <row r="916" spans="1:46" ht="15.1" customHeight="1">
      <c r="A916" s="8"/>
      <c r="B916" s="9"/>
      <c r="C916" s="8"/>
      <c r="D916" s="9"/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11" t="s">
        <v>2091</v>
      </c>
    </row>
    <row r="917" spans="1:46" ht="15.1" customHeight="1">
      <c r="A917" s="8"/>
      <c r="B917" s="9"/>
      <c r="C917" s="8"/>
      <c r="D917" s="9"/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11" t="s">
        <v>2091</v>
      </c>
    </row>
    <row r="918" spans="1:46" ht="15.1" customHeight="1">
      <c r="A918" s="8">
        <v>305</v>
      </c>
      <c r="B918" s="9" t="s">
        <v>2677</v>
      </c>
      <c r="C918" s="8" t="s">
        <v>2678</v>
      </c>
      <c r="D918" s="9" t="s">
        <v>451</v>
      </c>
      <c r="E918" s="8" t="s">
        <v>54</v>
      </c>
      <c r="F918" s="8" t="s">
        <v>54</v>
      </c>
      <c r="G918" s="10" t="s">
        <v>67</v>
      </c>
      <c r="H918" s="8" t="s">
        <v>54</v>
      </c>
      <c r="I918" s="8" t="s">
        <v>54</v>
      </c>
      <c r="J918" s="8" t="s">
        <v>54</v>
      </c>
      <c r="K918" s="8" t="s">
        <v>54</v>
      </c>
      <c r="L918" s="8" t="s">
        <v>54</v>
      </c>
      <c r="M918" s="8" t="s">
        <v>54</v>
      </c>
      <c r="N918" s="10" t="s">
        <v>67</v>
      </c>
      <c r="O918" s="8" t="s">
        <v>54</v>
      </c>
      <c r="P918" s="8" t="s">
        <v>54</v>
      </c>
      <c r="Q918" s="8" t="s">
        <v>54</v>
      </c>
      <c r="R918" s="8" t="s">
        <v>54</v>
      </c>
      <c r="S918" s="8" t="s">
        <v>54</v>
      </c>
      <c r="T918" s="8" t="s">
        <v>54</v>
      </c>
      <c r="U918" s="10" t="s">
        <v>67</v>
      </c>
      <c r="V918" s="8" t="s">
        <v>54</v>
      </c>
      <c r="W918" s="8" t="s">
        <v>54</v>
      </c>
      <c r="X918" s="8" t="s">
        <v>54</v>
      </c>
      <c r="Y918" s="8" t="s">
        <v>54</v>
      </c>
      <c r="Z918" s="8" t="s">
        <v>54</v>
      </c>
      <c r="AA918" s="8" t="s">
        <v>54</v>
      </c>
      <c r="AB918" s="10" t="s">
        <v>67</v>
      </c>
      <c r="AC918" s="8" t="s">
        <v>54</v>
      </c>
      <c r="AD918" s="8" t="s">
        <v>54</v>
      </c>
      <c r="AE918" s="8" t="s">
        <v>54</v>
      </c>
      <c r="AF918" s="8" t="s">
        <v>54</v>
      </c>
      <c r="AG918" s="8" t="s">
        <v>54</v>
      </c>
      <c r="AH918" s="8" t="s">
        <v>54</v>
      </c>
      <c r="AI918" s="10" t="s">
        <v>67</v>
      </c>
      <c r="AJ918" s="8">
        <f>COUNTIF($E$918:$AI$918,"P")</f>
        <v>26</v>
      </c>
      <c r="AK918" s="8">
        <f>COUNTIF($E$918:$AI$918,"A")</f>
        <v>0</v>
      </c>
      <c r="AL918" s="8">
        <f>SUM($E$919:$AI$919)</f>
        <v>0</v>
      </c>
      <c r="AM918" s="8">
        <f>SUM($E$920:$AI$920)</f>
        <v>0</v>
      </c>
      <c r="AN918" s="8">
        <f>AL918+AM918</f>
        <v>0</v>
      </c>
      <c r="AO918" s="8">
        <f>COUNTIF($E$918:$AI$918,"CL")</f>
        <v>0</v>
      </c>
      <c r="AP918" s="8">
        <f>COUNTIF($E$918:$AI$918,"SL")</f>
        <v>0</v>
      </c>
      <c r="AQ918" s="8">
        <f>COUNTIF($E$918:$AI$918,"EL")</f>
        <v>0</v>
      </c>
      <c r="AR918" s="8">
        <f>COUNTIF($E$918:$AI$918,"H")</f>
        <v>0</v>
      </c>
      <c r="AS918" s="8"/>
      <c r="AT918" s="11" t="s">
        <v>2091</v>
      </c>
    </row>
    <row r="919" spans="1:46" ht="15.1" customHeight="1">
      <c r="A919" s="8"/>
      <c r="B919" s="9"/>
      <c r="C919" s="8"/>
      <c r="D919" s="9"/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11" t="s">
        <v>2091</v>
      </c>
    </row>
    <row r="920" spans="1:46" ht="15.1" customHeight="1">
      <c r="A920" s="8"/>
      <c r="B920" s="9"/>
      <c r="C920" s="8"/>
      <c r="D920" s="9"/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11" t="s">
        <v>2091</v>
      </c>
    </row>
    <row r="921" spans="1:46" ht="15.1" customHeight="1">
      <c r="A921" s="8">
        <v>306</v>
      </c>
      <c r="B921" s="9" t="s">
        <v>2679</v>
      </c>
      <c r="C921" s="8" t="s">
        <v>2680</v>
      </c>
      <c r="D921" s="9" t="s">
        <v>451</v>
      </c>
      <c r="E921" s="8" t="s">
        <v>54</v>
      </c>
      <c r="F921" s="8" t="s">
        <v>54</v>
      </c>
      <c r="G921" s="10" t="s">
        <v>67</v>
      </c>
      <c r="H921" s="8" t="s">
        <v>54</v>
      </c>
      <c r="I921" s="8" t="s">
        <v>54</v>
      </c>
      <c r="J921" s="8" t="s">
        <v>54</v>
      </c>
      <c r="K921" s="8" t="s">
        <v>54</v>
      </c>
      <c r="L921" s="8" t="s">
        <v>54</v>
      </c>
      <c r="M921" s="8" t="s">
        <v>54</v>
      </c>
      <c r="N921" s="10" t="s">
        <v>67</v>
      </c>
      <c r="O921" s="8" t="s">
        <v>54</v>
      </c>
      <c r="P921" s="8" t="s">
        <v>54</v>
      </c>
      <c r="Q921" s="8" t="s">
        <v>54</v>
      </c>
      <c r="R921" s="8" t="s">
        <v>54</v>
      </c>
      <c r="S921" s="8" t="s">
        <v>54</v>
      </c>
      <c r="T921" s="8" t="s">
        <v>54</v>
      </c>
      <c r="U921" s="10" t="s">
        <v>67</v>
      </c>
      <c r="V921" s="8" t="s">
        <v>54</v>
      </c>
      <c r="W921" s="8" t="s">
        <v>54</v>
      </c>
      <c r="X921" s="8" t="s">
        <v>54</v>
      </c>
      <c r="Y921" s="8" t="s">
        <v>54</v>
      </c>
      <c r="Z921" s="8" t="s">
        <v>54</v>
      </c>
      <c r="AA921" s="8" t="s">
        <v>54</v>
      </c>
      <c r="AB921" s="10" t="s">
        <v>67</v>
      </c>
      <c r="AC921" s="8" t="s">
        <v>54</v>
      </c>
      <c r="AD921" s="12" t="s">
        <v>55</v>
      </c>
      <c r="AE921" s="8" t="s">
        <v>54</v>
      </c>
      <c r="AF921" s="8" t="s">
        <v>54</v>
      </c>
      <c r="AG921" s="8" t="s">
        <v>54</v>
      </c>
      <c r="AH921" s="8" t="s">
        <v>54</v>
      </c>
      <c r="AI921" s="10" t="s">
        <v>67</v>
      </c>
      <c r="AJ921" s="8">
        <f>COUNTIF($E$921:$AI$921,"P")</f>
        <v>25</v>
      </c>
      <c r="AK921" s="8">
        <f>COUNTIF($E$921:$AI$921,"A")</f>
        <v>1</v>
      </c>
      <c r="AL921" s="8">
        <f>SUM($E$922:$AI$922)</f>
        <v>0</v>
      </c>
      <c r="AM921" s="8">
        <f>SUM($E$923:$AI$923)</f>
        <v>0</v>
      </c>
      <c r="AN921" s="8">
        <f>AL921+AM921</f>
        <v>0</v>
      </c>
      <c r="AO921" s="8">
        <f>COUNTIF($E$921:$AI$921,"CL")</f>
        <v>0</v>
      </c>
      <c r="AP921" s="8">
        <f>COUNTIF($E$921:$AI$921,"SL")</f>
        <v>0</v>
      </c>
      <c r="AQ921" s="8">
        <f>COUNTIF($E$921:$AI$921,"EL")</f>
        <v>0</v>
      </c>
      <c r="AR921" s="8">
        <f>COUNTIF($E$921:$AI$921,"H")</f>
        <v>0</v>
      </c>
      <c r="AS921" s="8"/>
      <c r="AT921" s="11" t="s">
        <v>2091</v>
      </c>
    </row>
    <row r="922" spans="1:46" ht="15.1" customHeight="1">
      <c r="A922" s="8"/>
      <c r="B922" s="9"/>
      <c r="C922" s="8"/>
      <c r="D922" s="9"/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11" t="s">
        <v>2091</v>
      </c>
    </row>
    <row r="923" spans="1:46" ht="15.1" customHeight="1">
      <c r="A923" s="8"/>
      <c r="B923" s="9"/>
      <c r="C923" s="8"/>
      <c r="D923" s="9"/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11" t="s">
        <v>2091</v>
      </c>
    </row>
    <row r="924" spans="1:46" ht="15.1" customHeight="1">
      <c r="A924" s="8">
        <v>307</v>
      </c>
      <c r="B924" s="9" t="s">
        <v>2681</v>
      </c>
      <c r="C924" s="8" t="s">
        <v>2682</v>
      </c>
      <c r="D924" s="9" t="s">
        <v>451</v>
      </c>
      <c r="E924" s="8" t="s">
        <v>54</v>
      </c>
      <c r="F924" s="8" t="s">
        <v>54</v>
      </c>
      <c r="G924" s="10" t="s">
        <v>67</v>
      </c>
      <c r="H924" s="8" t="s">
        <v>54</v>
      </c>
      <c r="I924" s="8" t="s">
        <v>54</v>
      </c>
      <c r="J924" s="8" t="s">
        <v>54</v>
      </c>
      <c r="K924" s="8" t="s">
        <v>54</v>
      </c>
      <c r="L924" s="8" t="s">
        <v>54</v>
      </c>
      <c r="M924" s="8" t="s">
        <v>54</v>
      </c>
      <c r="N924" s="10" t="s">
        <v>67</v>
      </c>
      <c r="O924" s="8" t="s">
        <v>54</v>
      </c>
      <c r="P924" s="8" t="s">
        <v>54</v>
      </c>
      <c r="Q924" s="8" t="s">
        <v>54</v>
      </c>
      <c r="R924" s="8" t="s">
        <v>54</v>
      </c>
      <c r="S924" s="8" t="s">
        <v>54</v>
      </c>
      <c r="T924" s="8" t="s">
        <v>54</v>
      </c>
      <c r="U924" s="10" t="s">
        <v>67</v>
      </c>
      <c r="V924" s="12" t="s">
        <v>55</v>
      </c>
      <c r="W924" s="12" t="s">
        <v>55</v>
      </c>
      <c r="X924" s="12" t="s">
        <v>55</v>
      </c>
      <c r="Y924" s="8" t="s">
        <v>54</v>
      </c>
      <c r="Z924" s="8" t="s">
        <v>54</v>
      </c>
      <c r="AA924" s="8" t="s">
        <v>54</v>
      </c>
      <c r="AB924" s="10" t="s">
        <v>67</v>
      </c>
      <c r="AC924" s="8" t="s">
        <v>54</v>
      </c>
      <c r="AD924" s="8" t="s">
        <v>54</v>
      </c>
      <c r="AE924" s="8" t="s">
        <v>54</v>
      </c>
      <c r="AF924" s="8" t="s">
        <v>54</v>
      </c>
      <c r="AG924" s="8" t="s">
        <v>54</v>
      </c>
      <c r="AH924" s="8" t="s">
        <v>54</v>
      </c>
      <c r="AI924" s="10" t="s">
        <v>67</v>
      </c>
      <c r="AJ924" s="8">
        <f>COUNTIF($E$924:$AI$924,"P")</f>
        <v>23</v>
      </c>
      <c r="AK924" s="8">
        <f>COUNTIF($E$924:$AI$924,"A")</f>
        <v>3</v>
      </c>
      <c r="AL924" s="8">
        <f>SUM($E$925:$AI$925)</f>
        <v>0</v>
      </c>
      <c r="AM924" s="8">
        <f>SUM($E$926:$AI$926)</f>
        <v>0</v>
      </c>
      <c r="AN924" s="8">
        <f>AL924+AM924</f>
        <v>0</v>
      </c>
      <c r="AO924" s="8">
        <f>COUNTIF($E$924:$AI$924,"CL")</f>
        <v>0</v>
      </c>
      <c r="AP924" s="8">
        <f>COUNTIF($E$924:$AI$924,"SL")</f>
        <v>0</v>
      </c>
      <c r="AQ924" s="8">
        <f>COUNTIF($E$924:$AI$924,"EL")</f>
        <v>0</v>
      </c>
      <c r="AR924" s="8">
        <f>COUNTIF($E$924:$AI$924,"H")</f>
        <v>0</v>
      </c>
      <c r="AS924" s="8"/>
      <c r="AT924" s="11" t="s">
        <v>2091</v>
      </c>
    </row>
    <row r="925" spans="1:46" ht="15.1" customHeight="1">
      <c r="A925" s="8"/>
      <c r="B925" s="9"/>
      <c r="C925" s="8"/>
      <c r="D925" s="9"/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11" t="s">
        <v>2091</v>
      </c>
    </row>
    <row r="926" spans="1:46" ht="15.1" customHeight="1">
      <c r="A926" s="8"/>
      <c r="B926" s="9"/>
      <c r="C926" s="8"/>
      <c r="D926" s="9"/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11" t="s">
        <v>2091</v>
      </c>
    </row>
    <row r="927" spans="1:46" ht="15.1" customHeight="1">
      <c r="A927" s="8">
        <v>308</v>
      </c>
      <c r="B927" s="9" t="s">
        <v>2683</v>
      </c>
      <c r="C927" s="8" t="s">
        <v>2684</v>
      </c>
      <c r="D927" s="9" t="s">
        <v>451</v>
      </c>
      <c r="E927" s="8" t="s">
        <v>54</v>
      </c>
      <c r="F927" s="8" t="s">
        <v>54</v>
      </c>
      <c r="G927" s="10" t="s">
        <v>67</v>
      </c>
      <c r="H927" s="8" t="s">
        <v>54</v>
      </c>
      <c r="I927" s="8" t="s">
        <v>54</v>
      </c>
      <c r="J927" s="8" t="s">
        <v>54</v>
      </c>
      <c r="K927" s="8" t="s">
        <v>54</v>
      </c>
      <c r="L927" s="8" t="s">
        <v>54</v>
      </c>
      <c r="M927" s="8" t="s">
        <v>54</v>
      </c>
      <c r="N927" s="10" t="s">
        <v>67</v>
      </c>
      <c r="O927" s="8" t="s">
        <v>54</v>
      </c>
      <c r="P927" s="8" t="s">
        <v>54</v>
      </c>
      <c r="Q927" s="8" t="s">
        <v>54</v>
      </c>
      <c r="R927" s="8" t="s">
        <v>54</v>
      </c>
      <c r="S927" s="8" t="s">
        <v>54</v>
      </c>
      <c r="T927" s="8" t="s">
        <v>54</v>
      </c>
      <c r="U927" s="10" t="s">
        <v>67</v>
      </c>
      <c r="V927" s="12" t="s">
        <v>55</v>
      </c>
      <c r="W927" s="12" t="s">
        <v>55</v>
      </c>
      <c r="X927" s="12" t="s">
        <v>55</v>
      </c>
      <c r="Y927" s="8" t="s">
        <v>54</v>
      </c>
      <c r="Z927" s="8" t="s">
        <v>54</v>
      </c>
      <c r="AA927" s="8" t="s">
        <v>54</v>
      </c>
      <c r="AB927" s="10" t="s">
        <v>67</v>
      </c>
      <c r="AC927" s="8" t="s">
        <v>54</v>
      </c>
      <c r="AD927" s="8" t="s">
        <v>54</v>
      </c>
      <c r="AE927" s="8" t="s">
        <v>54</v>
      </c>
      <c r="AF927" s="8" t="s">
        <v>54</v>
      </c>
      <c r="AG927" s="8" t="s">
        <v>54</v>
      </c>
      <c r="AH927" s="8" t="s">
        <v>54</v>
      </c>
      <c r="AI927" s="10" t="s">
        <v>67</v>
      </c>
      <c r="AJ927" s="8">
        <f>COUNTIF($E$927:$AI$927,"P")</f>
        <v>23</v>
      </c>
      <c r="AK927" s="8">
        <f>COUNTIF($E$927:$AI$927,"A")</f>
        <v>3</v>
      </c>
      <c r="AL927" s="8">
        <f>SUM($E$928:$AI$928)</f>
        <v>0</v>
      </c>
      <c r="AM927" s="8">
        <f>SUM($E$929:$AI$929)</f>
        <v>0</v>
      </c>
      <c r="AN927" s="8">
        <f>AL927+AM927</f>
        <v>0</v>
      </c>
      <c r="AO927" s="8">
        <f>COUNTIF($E$927:$AI$927,"CL")</f>
        <v>0</v>
      </c>
      <c r="AP927" s="8">
        <f>COUNTIF($E$927:$AI$927,"SL")</f>
        <v>0</v>
      </c>
      <c r="AQ927" s="8">
        <f>COUNTIF($E$927:$AI$927,"EL")</f>
        <v>0</v>
      </c>
      <c r="AR927" s="8">
        <f>COUNTIF($E$927:$AI$927,"H")</f>
        <v>0</v>
      </c>
      <c r="AS927" s="8"/>
      <c r="AT927" s="11" t="s">
        <v>2091</v>
      </c>
    </row>
    <row r="928" spans="1:46" ht="15.1" customHeight="1">
      <c r="A928" s="8"/>
      <c r="B928" s="9"/>
      <c r="C928" s="8"/>
      <c r="D928" s="9"/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11" t="s">
        <v>2091</v>
      </c>
    </row>
    <row r="929" spans="1:46" ht="15.1" customHeight="1">
      <c r="A929" s="8"/>
      <c r="B929" s="9"/>
      <c r="C929" s="8"/>
      <c r="D929" s="9"/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11" t="s">
        <v>2091</v>
      </c>
    </row>
    <row r="930" spans="1:46" ht="15.1" customHeight="1">
      <c r="A930" s="8">
        <v>309</v>
      </c>
      <c r="B930" s="9" t="s">
        <v>2685</v>
      </c>
      <c r="C930" s="8" t="s">
        <v>2686</v>
      </c>
      <c r="D930" s="9" t="s">
        <v>451</v>
      </c>
      <c r="E930" s="8" t="s">
        <v>54</v>
      </c>
      <c r="F930" s="8" t="s">
        <v>54</v>
      </c>
      <c r="G930" s="10" t="s">
        <v>67</v>
      </c>
      <c r="H930" s="8" t="s">
        <v>54</v>
      </c>
      <c r="I930" s="8" t="s">
        <v>54</v>
      </c>
      <c r="J930" s="8" t="s">
        <v>54</v>
      </c>
      <c r="K930" s="8" t="s">
        <v>54</v>
      </c>
      <c r="L930" s="8" t="s">
        <v>54</v>
      </c>
      <c r="M930" s="8" t="s">
        <v>54</v>
      </c>
      <c r="N930" s="10" t="s">
        <v>67</v>
      </c>
      <c r="O930" s="8" t="s">
        <v>54</v>
      </c>
      <c r="P930" s="8" t="s">
        <v>54</v>
      </c>
      <c r="Q930" s="8" t="s">
        <v>54</v>
      </c>
      <c r="R930" s="8" t="s">
        <v>54</v>
      </c>
      <c r="S930" s="8" t="s">
        <v>54</v>
      </c>
      <c r="T930" s="8" t="s">
        <v>54</v>
      </c>
      <c r="U930" s="10" t="s">
        <v>67</v>
      </c>
      <c r="V930" s="8" t="s">
        <v>54</v>
      </c>
      <c r="W930" s="12" t="s">
        <v>55</v>
      </c>
      <c r="X930" s="12" t="s">
        <v>55</v>
      </c>
      <c r="Y930" s="8" t="s">
        <v>54</v>
      </c>
      <c r="Z930" s="8" t="s">
        <v>54</v>
      </c>
      <c r="AA930" s="8" t="s">
        <v>54</v>
      </c>
      <c r="AB930" s="10" t="s">
        <v>67</v>
      </c>
      <c r="AC930" s="8" t="s">
        <v>54</v>
      </c>
      <c r="AD930" s="8" t="s">
        <v>54</v>
      </c>
      <c r="AE930" s="8" t="s">
        <v>54</v>
      </c>
      <c r="AF930" s="8" t="s">
        <v>54</v>
      </c>
      <c r="AG930" s="8" t="s">
        <v>54</v>
      </c>
      <c r="AH930" s="8" t="s">
        <v>54</v>
      </c>
      <c r="AI930" s="10" t="s">
        <v>67</v>
      </c>
      <c r="AJ930" s="8">
        <f>COUNTIF($E$930:$AI$930,"P")</f>
        <v>24</v>
      </c>
      <c r="AK930" s="8">
        <f>COUNTIF($E$930:$AI$930,"A")</f>
        <v>2</v>
      </c>
      <c r="AL930" s="8">
        <f>SUM($E$931:$AI$931)</f>
        <v>0</v>
      </c>
      <c r="AM930" s="8">
        <f>SUM($E$932:$AI$932)</f>
        <v>0</v>
      </c>
      <c r="AN930" s="8">
        <f>AL930+AM930</f>
        <v>0</v>
      </c>
      <c r="AO930" s="8">
        <f>COUNTIF($E$930:$AI$930,"CL")</f>
        <v>0</v>
      </c>
      <c r="AP930" s="8">
        <f>COUNTIF($E$930:$AI$930,"SL")</f>
        <v>0</v>
      </c>
      <c r="AQ930" s="8">
        <f>COUNTIF($E$930:$AI$930,"EL")</f>
        <v>0</v>
      </c>
      <c r="AR930" s="8">
        <f>COUNTIF($E$930:$AI$930,"H")</f>
        <v>0</v>
      </c>
      <c r="AS930" s="8"/>
      <c r="AT930" s="11" t="s">
        <v>2091</v>
      </c>
    </row>
    <row r="931" spans="1:46" ht="15.1" customHeight="1">
      <c r="A931" s="8"/>
      <c r="B931" s="9"/>
      <c r="C931" s="8"/>
      <c r="D931" s="9"/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11" t="s">
        <v>2091</v>
      </c>
    </row>
    <row r="932" spans="1:46" ht="15.1" customHeight="1">
      <c r="A932" s="8"/>
      <c r="B932" s="9"/>
      <c r="C932" s="8"/>
      <c r="D932" s="9"/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11" t="s">
        <v>2091</v>
      </c>
    </row>
    <row r="933" spans="1:46" ht="15.1" customHeight="1">
      <c r="A933" s="8">
        <v>310</v>
      </c>
      <c r="B933" s="9" t="s">
        <v>2687</v>
      </c>
      <c r="C933" s="8" t="s">
        <v>2688</v>
      </c>
      <c r="D933" s="9" t="s">
        <v>451</v>
      </c>
      <c r="E933" s="8" t="s">
        <v>54</v>
      </c>
      <c r="F933" s="8" t="s">
        <v>54</v>
      </c>
      <c r="G933" s="10" t="s">
        <v>67</v>
      </c>
      <c r="H933" s="8" t="s">
        <v>54</v>
      </c>
      <c r="I933" s="8" t="s">
        <v>54</v>
      </c>
      <c r="J933" s="8" t="s">
        <v>54</v>
      </c>
      <c r="K933" s="8" t="s">
        <v>54</v>
      </c>
      <c r="L933" s="8" t="s">
        <v>54</v>
      </c>
      <c r="M933" s="8" t="s">
        <v>54</v>
      </c>
      <c r="N933" s="10" t="s">
        <v>67</v>
      </c>
      <c r="O933" s="8" t="s">
        <v>54</v>
      </c>
      <c r="P933" s="8" t="s">
        <v>54</v>
      </c>
      <c r="Q933" s="8" t="s">
        <v>54</v>
      </c>
      <c r="R933" s="8" t="s">
        <v>54</v>
      </c>
      <c r="S933" s="8" t="s">
        <v>54</v>
      </c>
      <c r="T933" s="8" t="s">
        <v>54</v>
      </c>
      <c r="U933" s="10" t="s">
        <v>67</v>
      </c>
      <c r="V933" s="8" t="s">
        <v>54</v>
      </c>
      <c r="W933" s="8" t="s">
        <v>54</v>
      </c>
      <c r="X933" s="8" t="s">
        <v>54</v>
      </c>
      <c r="Y933" s="8" t="s">
        <v>54</v>
      </c>
      <c r="Z933" s="8" t="s">
        <v>54</v>
      </c>
      <c r="AA933" s="8" t="s">
        <v>54</v>
      </c>
      <c r="AB933" s="10" t="s">
        <v>67</v>
      </c>
      <c r="AC933" s="8" t="s">
        <v>54</v>
      </c>
      <c r="AD933" s="8" t="s">
        <v>54</v>
      </c>
      <c r="AE933" s="8" t="s">
        <v>54</v>
      </c>
      <c r="AF933" s="8" t="s">
        <v>54</v>
      </c>
      <c r="AG933" s="8" t="s">
        <v>54</v>
      </c>
      <c r="AH933" s="8" t="s">
        <v>54</v>
      </c>
      <c r="AI933" s="10" t="s">
        <v>67</v>
      </c>
      <c r="AJ933" s="8">
        <f>COUNTIF($E$933:$AI$933,"P")</f>
        <v>26</v>
      </c>
      <c r="AK933" s="8">
        <f>COUNTIF($E$933:$AI$933,"A")</f>
        <v>0</v>
      </c>
      <c r="AL933" s="8">
        <f>SUM($E$934:$AI$934)</f>
        <v>0</v>
      </c>
      <c r="AM933" s="8">
        <f>SUM($E$935:$AI$935)</f>
        <v>0</v>
      </c>
      <c r="AN933" s="8">
        <f>AL933+AM933</f>
        <v>0</v>
      </c>
      <c r="AO933" s="8">
        <f>COUNTIF($E$933:$AI$933,"CL")</f>
        <v>0</v>
      </c>
      <c r="AP933" s="8">
        <f>COUNTIF($E$933:$AI$933,"SL")</f>
        <v>0</v>
      </c>
      <c r="AQ933" s="8">
        <f>COUNTIF($E$933:$AI$933,"EL")</f>
        <v>0</v>
      </c>
      <c r="AR933" s="8">
        <f>COUNTIF($E$933:$AI$933,"H")</f>
        <v>0</v>
      </c>
      <c r="AS933" s="8"/>
      <c r="AT933" s="11" t="s">
        <v>2091</v>
      </c>
    </row>
    <row r="934" spans="1:46" ht="15.1" customHeight="1">
      <c r="A934" s="8"/>
      <c r="B934" s="9"/>
      <c r="C934" s="8"/>
      <c r="D934" s="9"/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11" t="s">
        <v>2091</v>
      </c>
    </row>
    <row r="935" spans="1:46" ht="15.1" customHeight="1">
      <c r="A935" s="8"/>
      <c r="B935" s="9"/>
      <c r="C935" s="8"/>
      <c r="D935" s="9"/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11" t="s">
        <v>2091</v>
      </c>
    </row>
    <row r="936" spans="1:46" ht="15.1" customHeight="1">
      <c r="A936" s="8">
        <v>311</v>
      </c>
      <c r="B936" s="9" t="s">
        <v>2689</v>
      </c>
      <c r="C936" s="8" t="s">
        <v>2690</v>
      </c>
      <c r="D936" s="9" t="s">
        <v>451</v>
      </c>
      <c r="E936" s="8" t="s">
        <v>54</v>
      </c>
      <c r="F936" s="8" t="s">
        <v>54</v>
      </c>
      <c r="G936" s="10" t="s">
        <v>67</v>
      </c>
      <c r="H936" s="8" t="s">
        <v>54</v>
      </c>
      <c r="I936" s="8" t="s">
        <v>54</v>
      </c>
      <c r="J936" s="8" t="s">
        <v>54</v>
      </c>
      <c r="K936" s="8" t="s">
        <v>54</v>
      </c>
      <c r="L936" s="8" t="s">
        <v>54</v>
      </c>
      <c r="M936" s="8" t="s">
        <v>54</v>
      </c>
      <c r="N936" s="10" t="s">
        <v>67</v>
      </c>
      <c r="O936" s="8" t="s">
        <v>54</v>
      </c>
      <c r="P936" s="8" t="s">
        <v>54</v>
      </c>
      <c r="Q936" s="8" t="s">
        <v>54</v>
      </c>
      <c r="R936" s="8" t="s">
        <v>54</v>
      </c>
      <c r="S936" s="8" t="s">
        <v>54</v>
      </c>
      <c r="T936" s="8" t="s">
        <v>54</v>
      </c>
      <c r="U936" s="10" t="s">
        <v>67</v>
      </c>
      <c r="V936" s="8" t="s">
        <v>54</v>
      </c>
      <c r="W936" s="8" t="s">
        <v>54</v>
      </c>
      <c r="X936" s="12" t="s">
        <v>55</v>
      </c>
      <c r="Y936" s="8" t="s">
        <v>54</v>
      </c>
      <c r="Z936" s="8" t="s">
        <v>54</v>
      </c>
      <c r="AA936" s="8" t="s">
        <v>54</v>
      </c>
      <c r="AB936" s="10" t="s">
        <v>67</v>
      </c>
      <c r="AC936" s="8" t="s">
        <v>54</v>
      </c>
      <c r="AD936" s="8" t="s">
        <v>54</v>
      </c>
      <c r="AE936" s="8" t="s">
        <v>54</v>
      </c>
      <c r="AF936" s="8" t="s">
        <v>54</v>
      </c>
      <c r="AG936" s="8" t="s">
        <v>54</v>
      </c>
      <c r="AH936" s="8" t="s">
        <v>54</v>
      </c>
      <c r="AI936" s="10" t="s">
        <v>67</v>
      </c>
      <c r="AJ936" s="8">
        <f>COUNTIF($E$936:$AI$936,"P")</f>
        <v>25</v>
      </c>
      <c r="AK936" s="8">
        <f>COUNTIF($E$936:$AI$936,"A")</f>
        <v>1</v>
      </c>
      <c r="AL936" s="8">
        <f>SUM($E$937:$AI$937)</f>
        <v>0</v>
      </c>
      <c r="AM936" s="8">
        <f>SUM($E$938:$AI$938)</f>
        <v>0</v>
      </c>
      <c r="AN936" s="8">
        <f>AL936+AM936</f>
        <v>0</v>
      </c>
      <c r="AO936" s="8">
        <f>COUNTIF($E$936:$AI$936,"CL")</f>
        <v>0</v>
      </c>
      <c r="AP936" s="8">
        <f>COUNTIF($E$936:$AI$936,"SL")</f>
        <v>0</v>
      </c>
      <c r="AQ936" s="8">
        <f>COUNTIF($E$936:$AI$936,"EL")</f>
        <v>0</v>
      </c>
      <c r="AR936" s="8">
        <f>COUNTIF($E$936:$AI$936,"H")</f>
        <v>0</v>
      </c>
      <c r="AS936" s="8"/>
      <c r="AT936" s="11" t="s">
        <v>2091</v>
      </c>
    </row>
    <row r="937" spans="1:46" ht="15.1" customHeight="1">
      <c r="A937" s="8"/>
      <c r="B937" s="9"/>
      <c r="C937" s="8"/>
      <c r="D937" s="9"/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11" t="s">
        <v>2091</v>
      </c>
    </row>
    <row r="938" spans="1:46" ht="15.1" customHeight="1">
      <c r="A938" s="8"/>
      <c r="B938" s="9"/>
      <c r="C938" s="8"/>
      <c r="D938" s="9"/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11" t="s">
        <v>2091</v>
      </c>
    </row>
    <row r="939" spans="1:46" ht="15.1" customHeight="1">
      <c r="A939" s="8">
        <v>312</v>
      </c>
      <c r="B939" s="9" t="s">
        <v>2691</v>
      </c>
      <c r="C939" s="8" t="s">
        <v>2692</v>
      </c>
      <c r="D939" s="9" t="s">
        <v>451</v>
      </c>
      <c r="E939" s="12" t="s">
        <v>55</v>
      </c>
      <c r="F939" s="12" t="s">
        <v>55</v>
      </c>
      <c r="G939" s="10" t="s">
        <v>67</v>
      </c>
      <c r="H939" s="12" t="s">
        <v>55</v>
      </c>
      <c r="I939" s="12" t="s">
        <v>55</v>
      </c>
      <c r="J939" s="8" t="s">
        <v>54</v>
      </c>
      <c r="K939" s="8" t="s">
        <v>54</v>
      </c>
      <c r="L939" s="8" t="s">
        <v>54</v>
      </c>
      <c r="M939" s="8" t="s">
        <v>54</v>
      </c>
      <c r="N939" s="10" t="s">
        <v>67</v>
      </c>
      <c r="O939" s="8" t="s">
        <v>54</v>
      </c>
      <c r="P939" s="8" t="s">
        <v>54</v>
      </c>
      <c r="Q939" s="8" t="s">
        <v>54</v>
      </c>
      <c r="R939" s="8" t="s">
        <v>54</v>
      </c>
      <c r="S939" s="12" t="s">
        <v>55</v>
      </c>
      <c r="T939" s="8" t="s">
        <v>54</v>
      </c>
      <c r="U939" s="10" t="s">
        <v>67</v>
      </c>
      <c r="V939" s="8" t="s">
        <v>54</v>
      </c>
      <c r="W939" s="8" t="s">
        <v>54</v>
      </c>
      <c r="X939" s="12" t="s">
        <v>55</v>
      </c>
      <c r="Y939" s="8" t="s">
        <v>54</v>
      </c>
      <c r="Z939" s="8" t="s">
        <v>54</v>
      </c>
      <c r="AA939" s="8" t="s">
        <v>54</v>
      </c>
      <c r="AB939" s="10" t="s">
        <v>67</v>
      </c>
      <c r="AC939" s="12" t="s">
        <v>55</v>
      </c>
      <c r="AD939" s="12" t="s">
        <v>55</v>
      </c>
      <c r="AE939" s="12" t="s">
        <v>55</v>
      </c>
      <c r="AF939" s="8" t="s">
        <v>54</v>
      </c>
      <c r="AG939" s="8" t="s">
        <v>54</v>
      </c>
      <c r="AH939" s="8" t="s">
        <v>54</v>
      </c>
      <c r="AI939" s="10" t="s">
        <v>67</v>
      </c>
      <c r="AJ939" s="8">
        <f>COUNTIF($E$939:$AI$939,"P")</f>
        <v>17</v>
      </c>
      <c r="AK939" s="8">
        <f>COUNTIF($E$939:$AI$939,"A")</f>
        <v>9</v>
      </c>
      <c r="AL939" s="8">
        <f>SUM($E$940:$AI$940)</f>
        <v>0</v>
      </c>
      <c r="AM939" s="8">
        <f>SUM($E$941:$AI$941)</f>
        <v>0</v>
      </c>
      <c r="AN939" s="8">
        <f>AL939+AM939</f>
        <v>0</v>
      </c>
      <c r="AO939" s="8">
        <f>COUNTIF($E$939:$AI$939,"CL")</f>
        <v>0</v>
      </c>
      <c r="AP939" s="8">
        <f>COUNTIF($E$939:$AI$939,"SL")</f>
        <v>0</v>
      </c>
      <c r="AQ939" s="8">
        <f>COUNTIF($E$939:$AI$939,"EL")</f>
        <v>0</v>
      </c>
      <c r="AR939" s="8">
        <f>COUNTIF($E$939:$AI$939,"H")</f>
        <v>0</v>
      </c>
      <c r="AS939" s="8"/>
      <c r="AT939" s="11" t="s">
        <v>2091</v>
      </c>
    </row>
    <row r="940" spans="1:46" ht="15.1" customHeight="1">
      <c r="A940" s="8"/>
      <c r="B940" s="9"/>
      <c r="C940" s="8"/>
      <c r="D940" s="9"/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11" t="s">
        <v>2091</v>
      </c>
    </row>
    <row r="941" spans="1:46" ht="15.1" customHeight="1">
      <c r="A941" s="8"/>
      <c r="B941" s="9"/>
      <c r="C941" s="8"/>
      <c r="D941" s="9"/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11" t="s">
        <v>2091</v>
      </c>
    </row>
    <row r="942" spans="1:46" ht="15.1" customHeight="1">
      <c r="A942" s="8">
        <v>313</v>
      </c>
      <c r="B942" s="9" t="s">
        <v>2693</v>
      </c>
      <c r="C942" s="8" t="s">
        <v>2694</v>
      </c>
      <c r="D942" s="9" t="s">
        <v>451</v>
      </c>
      <c r="E942" s="8" t="s">
        <v>54</v>
      </c>
      <c r="F942" s="8" t="s">
        <v>54</v>
      </c>
      <c r="G942" s="10" t="s">
        <v>67</v>
      </c>
      <c r="H942" s="8" t="s">
        <v>54</v>
      </c>
      <c r="I942" s="8" t="s">
        <v>54</v>
      </c>
      <c r="J942" s="8" t="s">
        <v>54</v>
      </c>
      <c r="K942" s="8" t="s">
        <v>54</v>
      </c>
      <c r="L942" s="8" t="s">
        <v>54</v>
      </c>
      <c r="M942" s="8" t="s">
        <v>54</v>
      </c>
      <c r="N942" s="10" t="s">
        <v>67</v>
      </c>
      <c r="O942" s="8" t="s">
        <v>54</v>
      </c>
      <c r="P942" s="8" t="s">
        <v>54</v>
      </c>
      <c r="Q942" s="8" t="s">
        <v>54</v>
      </c>
      <c r="R942" s="8" t="s">
        <v>54</v>
      </c>
      <c r="S942" s="8" t="s">
        <v>54</v>
      </c>
      <c r="T942" s="8" t="s">
        <v>54</v>
      </c>
      <c r="U942" s="10" t="s">
        <v>67</v>
      </c>
      <c r="V942" s="8" t="s">
        <v>54</v>
      </c>
      <c r="W942" s="8" t="s">
        <v>54</v>
      </c>
      <c r="X942" s="12" t="s">
        <v>55</v>
      </c>
      <c r="Y942" s="8" t="s">
        <v>54</v>
      </c>
      <c r="Z942" s="8" t="s">
        <v>54</v>
      </c>
      <c r="AA942" s="8" t="s">
        <v>54</v>
      </c>
      <c r="AB942" s="10" t="s">
        <v>67</v>
      </c>
      <c r="AC942" s="8" t="s">
        <v>54</v>
      </c>
      <c r="AD942" s="8" t="s">
        <v>54</v>
      </c>
      <c r="AE942" s="8" t="s">
        <v>54</v>
      </c>
      <c r="AF942" s="8" t="s">
        <v>54</v>
      </c>
      <c r="AG942" s="8" t="s">
        <v>54</v>
      </c>
      <c r="AH942" s="8" t="s">
        <v>54</v>
      </c>
      <c r="AI942" s="10" t="s">
        <v>67</v>
      </c>
      <c r="AJ942" s="8">
        <f>COUNTIF($E$942:$AI$942,"P")</f>
        <v>25</v>
      </c>
      <c r="AK942" s="8">
        <f>COUNTIF($E$942:$AI$942,"A")</f>
        <v>1</v>
      </c>
      <c r="AL942" s="8">
        <f>SUM($E$943:$AI$943)</f>
        <v>0</v>
      </c>
      <c r="AM942" s="8">
        <f>SUM($E$944:$AI$944)</f>
        <v>0</v>
      </c>
      <c r="AN942" s="8">
        <f>AL942+AM942</f>
        <v>0</v>
      </c>
      <c r="AO942" s="8">
        <f>COUNTIF($E$942:$AI$942,"CL")</f>
        <v>0</v>
      </c>
      <c r="AP942" s="8">
        <f>COUNTIF($E$942:$AI$942,"SL")</f>
        <v>0</v>
      </c>
      <c r="AQ942" s="8">
        <f>COUNTIF($E$942:$AI$942,"EL")</f>
        <v>0</v>
      </c>
      <c r="AR942" s="8">
        <f>COUNTIF($E$942:$AI$942,"H")</f>
        <v>0</v>
      </c>
      <c r="AS942" s="8"/>
      <c r="AT942" s="11" t="s">
        <v>2091</v>
      </c>
    </row>
    <row r="943" spans="1:46" ht="15.1" customHeight="1">
      <c r="A943" s="8"/>
      <c r="B943" s="9"/>
      <c r="C943" s="8"/>
      <c r="D943" s="9"/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11" t="s">
        <v>2091</v>
      </c>
    </row>
    <row r="944" spans="1:46" ht="15.1" customHeight="1">
      <c r="A944" s="8"/>
      <c r="B944" s="9"/>
      <c r="C944" s="8"/>
      <c r="D944" s="9"/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11" t="s">
        <v>2091</v>
      </c>
    </row>
    <row r="945" spans="1:46" ht="15.1" customHeight="1">
      <c r="A945" s="8">
        <v>314</v>
      </c>
      <c r="B945" s="9" t="s">
        <v>2695</v>
      </c>
      <c r="C945" s="8" t="s">
        <v>2696</v>
      </c>
      <c r="D945" s="9" t="s">
        <v>451</v>
      </c>
      <c r="E945" s="12" t="s">
        <v>55</v>
      </c>
      <c r="F945" s="12" t="s">
        <v>55</v>
      </c>
      <c r="G945" s="10" t="s">
        <v>67</v>
      </c>
      <c r="H945" s="12" t="s">
        <v>55</v>
      </c>
      <c r="I945" s="12" t="s">
        <v>55</v>
      </c>
      <c r="J945" s="8" t="s">
        <v>54</v>
      </c>
      <c r="K945" s="8" t="s">
        <v>54</v>
      </c>
      <c r="L945" s="8" t="s">
        <v>54</v>
      </c>
      <c r="M945" s="8" t="s">
        <v>54</v>
      </c>
      <c r="N945" s="10" t="s">
        <v>67</v>
      </c>
      <c r="O945" s="8" t="s">
        <v>54</v>
      </c>
      <c r="P945" s="8" t="s">
        <v>54</v>
      </c>
      <c r="Q945" s="8" t="s">
        <v>54</v>
      </c>
      <c r="R945" s="8" t="s">
        <v>54</v>
      </c>
      <c r="S945" s="8" t="s">
        <v>54</v>
      </c>
      <c r="T945" s="8" t="s">
        <v>54</v>
      </c>
      <c r="U945" s="10" t="s">
        <v>67</v>
      </c>
      <c r="V945" s="8" t="s">
        <v>54</v>
      </c>
      <c r="W945" s="8" t="s">
        <v>54</v>
      </c>
      <c r="X945" s="12" t="s">
        <v>55</v>
      </c>
      <c r="Y945" s="8" t="s">
        <v>54</v>
      </c>
      <c r="Z945" s="8" t="s">
        <v>54</v>
      </c>
      <c r="AA945" s="8" t="s">
        <v>54</v>
      </c>
      <c r="AB945" s="10" t="s">
        <v>67</v>
      </c>
      <c r="AC945" s="8" t="s">
        <v>54</v>
      </c>
      <c r="AD945" s="8" t="s">
        <v>54</v>
      </c>
      <c r="AE945" s="8" t="s">
        <v>54</v>
      </c>
      <c r="AF945" s="8" t="s">
        <v>54</v>
      </c>
      <c r="AG945" s="8" t="s">
        <v>54</v>
      </c>
      <c r="AH945" s="8" t="s">
        <v>54</v>
      </c>
      <c r="AI945" s="10" t="s">
        <v>67</v>
      </c>
      <c r="AJ945" s="8">
        <f>COUNTIF($E$945:$AI$945,"P")</f>
        <v>21</v>
      </c>
      <c r="AK945" s="8">
        <f>COUNTIF($E$945:$AI$945,"A")</f>
        <v>5</v>
      </c>
      <c r="AL945" s="8">
        <f>SUM($E$946:$AI$946)</f>
        <v>0</v>
      </c>
      <c r="AM945" s="8">
        <f>SUM($E$947:$AI$947)</f>
        <v>0</v>
      </c>
      <c r="AN945" s="8">
        <f>AL945+AM945</f>
        <v>0</v>
      </c>
      <c r="AO945" s="8">
        <f>COUNTIF($E$945:$AI$945,"CL")</f>
        <v>0</v>
      </c>
      <c r="AP945" s="8">
        <f>COUNTIF($E$945:$AI$945,"SL")</f>
        <v>0</v>
      </c>
      <c r="AQ945" s="8">
        <f>COUNTIF($E$945:$AI$945,"EL")</f>
        <v>0</v>
      </c>
      <c r="AR945" s="8">
        <f>COUNTIF($E$945:$AI$945,"H")</f>
        <v>0</v>
      </c>
      <c r="AS945" s="8"/>
      <c r="AT945" s="11" t="s">
        <v>2091</v>
      </c>
    </row>
    <row r="946" spans="1:46" ht="15.1" customHeight="1">
      <c r="A946" s="8"/>
      <c r="B946" s="9"/>
      <c r="C946" s="8"/>
      <c r="D946" s="9"/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11" t="s">
        <v>2091</v>
      </c>
    </row>
    <row r="947" spans="1:46" ht="15.1" customHeight="1">
      <c r="A947" s="8"/>
      <c r="B947" s="9"/>
      <c r="C947" s="8"/>
      <c r="D947" s="9"/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11" t="s">
        <v>2091</v>
      </c>
    </row>
    <row r="948" spans="1:46" ht="15.1" customHeight="1">
      <c r="A948" s="8">
        <v>315</v>
      </c>
      <c r="B948" s="9" t="s">
        <v>1908</v>
      </c>
      <c r="C948" s="8" t="s">
        <v>2697</v>
      </c>
      <c r="D948" s="9" t="s">
        <v>451</v>
      </c>
      <c r="E948" s="8"/>
      <c r="F948" s="12" t="s">
        <v>55</v>
      </c>
      <c r="G948" s="10" t="s">
        <v>67</v>
      </c>
      <c r="H948" s="12" t="s">
        <v>55</v>
      </c>
      <c r="I948" s="12" t="s">
        <v>55</v>
      </c>
      <c r="J948" s="8" t="s">
        <v>54</v>
      </c>
      <c r="K948" s="8" t="s">
        <v>54</v>
      </c>
      <c r="L948" s="8" t="s">
        <v>54</v>
      </c>
      <c r="M948" s="8" t="s">
        <v>54</v>
      </c>
      <c r="N948" s="10" t="s">
        <v>67</v>
      </c>
      <c r="O948" s="8" t="s">
        <v>54</v>
      </c>
      <c r="P948" s="8" t="s">
        <v>54</v>
      </c>
      <c r="Q948" s="8" t="s">
        <v>54</v>
      </c>
      <c r="R948" s="8" t="s">
        <v>54</v>
      </c>
      <c r="S948" s="8" t="s">
        <v>54</v>
      </c>
      <c r="T948" s="8" t="s">
        <v>54</v>
      </c>
      <c r="U948" s="10" t="s">
        <v>67</v>
      </c>
      <c r="V948" s="8" t="s">
        <v>54</v>
      </c>
      <c r="W948" s="8" t="s">
        <v>54</v>
      </c>
      <c r="X948" s="12" t="s">
        <v>55</v>
      </c>
      <c r="Y948" s="8" t="s">
        <v>54</v>
      </c>
      <c r="Z948" s="8" t="s">
        <v>54</v>
      </c>
      <c r="AA948" s="8" t="s">
        <v>54</v>
      </c>
      <c r="AB948" s="10" t="s">
        <v>67</v>
      </c>
      <c r="AC948" s="8" t="s">
        <v>54</v>
      </c>
      <c r="AD948" s="8" t="s">
        <v>54</v>
      </c>
      <c r="AE948" s="8" t="s">
        <v>54</v>
      </c>
      <c r="AF948" s="8" t="s">
        <v>54</v>
      </c>
      <c r="AG948" s="8" t="s">
        <v>54</v>
      </c>
      <c r="AH948" s="8" t="s">
        <v>54</v>
      </c>
      <c r="AI948" s="10" t="s">
        <v>67</v>
      </c>
      <c r="AJ948" s="8">
        <f>COUNTIF($E$948:$AI$948,"P")</f>
        <v>21</v>
      </c>
      <c r="AK948" s="8">
        <f>COUNTIF($E$948:$AI$948,"A")</f>
        <v>4</v>
      </c>
      <c r="AL948" s="8">
        <f>SUM($E$949:$AI$949)</f>
        <v>0</v>
      </c>
      <c r="AM948" s="8">
        <f>SUM($E$950:$AI$950)</f>
        <v>0</v>
      </c>
      <c r="AN948" s="8">
        <f>AL948+AM948</f>
        <v>0</v>
      </c>
      <c r="AO948" s="8">
        <f>COUNTIF($E$948:$AI$948,"CL")</f>
        <v>0</v>
      </c>
      <c r="AP948" s="8">
        <f>COUNTIF($E$948:$AI$948,"SL")</f>
        <v>0</v>
      </c>
      <c r="AQ948" s="8">
        <f>COUNTIF($E$948:$AI$948,"EL")</f>
        <v>0</v>
      </c>
      <c r="AR948" s="8">
        <f>COUNTIF($E$948:$AI$948,"H")</f>
        <v>0</v>
      </c>
      <c r="AS948" s="8"/>
      <c r="AT948" s="11" t="s">
        <v>2091</v>
      </c>
    </row>
    <row r="949" spans="1:46" ht="15.1" customHeight="1">
      <c r="A949" s="8"/>
      <c r="B949" s="9"/>
      <c r="C949" s="8"/>
      <c r="D949" s="9"/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11" t="s">
        <v>2091</v>
      </c>
    </row>
    <row r="950" spans="1:46" ht="15.1" customHeight="1">
      <c r="A950" s="8"/>
      <c r="B950" s="9"/>
      <c r="C950" s="8"/>
      <c r="D950" s="9"/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11" t="s">
        <v>2091</v>
      </c>
    </row>
    <row r="951" spans="1:46" ht="15.1" customHeight="1">
      <c r="A951" s="8">
        <v>316</v>
      </c>
      <c r="B951" s="9" t="s">
        <v>300</v>
      </c>
      <c r="C951" s="8" t="s">
        <v>2698</v>
      </c>
      <c r="D951" s="9" t="s">
        <v>451</v>
      </c>
      <c r="E951" s="12" t="s">
        <v>55</v>
      </c>
      <c r="F951" s="12" t="s">
        <v>55</v>
      </c>
      <c r="G951" s="10" t="s">
        <v>67</v>
      </c>
      <c r="H951" s="12" t="s">
        <v>55</v>
      </c>
      <c r="I951" s="12" t="s">
        <v>55</v>
      </c>
      <c r="J951" s="12" t="s">
        <v>55</v>
      </c>
      <c r="K951" s="12" t="s">
        <v>55</v>
      </c>
      <c r="L951" s="12" t="s">
        <v>55</v>
      </c>
      <c r="M951" s="12" t="s">
        <v>55</v>
      </c>
      <c r="N951" s="10" t="s">
        <v>67</v>
      </c>
      <c r="O951" s="12" t="s">
        <v>55</v>
      </c>
      <c r="P951" s="12" t="s">
        <v>55</v>
      </c>
      <c r="Q951" s="12" t="s">
        <v>55</v>
      </c>
      <c r="R951" s="12" t="s">
        <v>55</v>
      </c>
      <c r="S951" s="12" t="s">
        <v>55</v>
      </c>
      <c r="T951" s="12" t="s">
        <v>55</v>
      </c>
      <c r="U951" s="10" t="s">
        <v>67</v>
      </c>
      <c r="V951" s="12" t="s">
        <v>55</v>
      </c>
      <c r="W951" s="12" t="s">
        <v>55</v>
      </c>
      <c r="X951" s="12" t="s">
        <v>55</v>
      </c>
      <c r="Y951" s="8" t="s">
        <v>54</v>
      </c>
      <c r="Z951" s="8" t="s">
        <v>54</v>
      </c>
      <c r="AA951" s="8" t="s">
        <v>54</v>
      </c>
      <c r="AB951" s="10" t="s">
        <v>67</v>
      </c>
      <c r="AC951" s="8" t="s">
        <v>54</v>
      </c>
      <c r="AD951" s="8" t="s">
        <v>54</v>
      </c>
      <c r="AE951" s="8" t="s">
        <v>54</v>
      </c>
      <c r="AF951" s="8" t="s">
        <v>54</v>
      </c>
      <c r="AG951" s="8" t="s">
        <v>54</v>
      </c>
      <c r="AH951" s="8" t="s">
        <v>54</v>
      </c>
      <c r="AI951" s="10" t="s">
        <v>67</v>
      </c>
      <c r="AJ951" s="8">
        <f>COUNTIF($E$951:$AI$951,"P")</f>
        <v>9</v>
      </c>
      <c r="AK951" s="8">
        <f>COUNTIF($E$951:$AI$951,"A")</f>
        <v>17</v>
      </c>
      <c r="AL951" s="8">
        <f>SUM($E$952:$AI$952)</f>
        <v>0</v>
      </c>
      <c r="AM951" s="8">
        <f>SUM($E$953:$AI$953)</f>
        <v>0</v>
      </c>
      <c r="AN951" s="8">
        <f>AL951+AM951</f>
        <v>0</v>
      </c>
      <c r="AO951" s="8">
        <f>COUNTIF($E$951:$AI$951,"CL")</f>
        <v>0</v>
      </c>
      <c r="AP951" s="8">
        <f>COUNTIF($E$951:$AI$951,"SL")</f>
        <v>0</v>
      </c>
      <c r="AQ951" s="8">
        <f>COUNTIF($E$951:$AI$951,"EL")</f>
        <v>0</v>
      </c>
      <c r="AR951" s="8">
        <f>COUNTIF($E$951:$AI$951,"H")</f>
        <v>0</v>
      </c>
      <c r="AS951" s="8"/>
      <c r="AT951" s="11" t="s">
        <v>2091</v>
      </c>
    </row>
    <row r="952" spans="1:46" ht="15.1" customHeight="1">
      <c r="A952" s="8"/>
      <c r="B952" s="9"/>
      <c r="C952" s="8"/>
      <c r="D952" s="9"/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11" t="s">
        <v>2091</v>
      </c>
    </row>
    <row r="953" spans="1:46" ht="15.1" customHeight="1">
      <c r="A953" s="8"/>
      <c r="B953" s="9"/>
      <c r="C953" s="8"/>
      <c r="D953" s="9"/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11" t="s">
        <v>2091</v>
      </c>
    </row>
    <row r="954" spans="1:46" ht="15.1" customHeight="1">
      <c r="A954" s="8">
        <v>317</v>
      </c>
      <c r="B954" s="9" t="s">
        <v>2699</v>
      </c>
      <c r="C954" s="8" t="s">
        <v>2700</v>
      </c>
      <c r="D954" s="9" t="s">
        <v>451</v>
      </c>
      <c r="E954" s="12" t="s">
        <v>55</v>
      </c>
      <c r="F954" s="12" t="s">
        <v>55</v>
      </c>
      <c r="G954" s="10" t="s">
        <v>67</v>
      </c>
      <c r="H954" s="12" t="s">
        <v>55</v>
      </c>
      <c r="I954" s="12" t="s">
        <v>55</v>
      </c>
      <c r="J954" s="12" t="s">
        <v>55</v>
      </c>
      <c r="K954" s="12" t="s">
        <v>55</v>
      </c>
      <c r="L954" s="12" t="s">
        <v>55</v>
      </c>
      <c r="M954" s="12" t="s">
        <v>55</v>
      </c>
      <c r="N954" s="10" t="s">
        <v>67</v>
      </c>
      <c r="O954" s="12" t="s">
        <v>55</v>
      </c>
      <c r="P954" s="12" t="s">
        <v>55</v>
      </c>
      <c r="Q954" s="12" t="s">
        <v>55</v>
      </c>
      <c r="R954" s="12" t="s">
        <v>55</v>
      </c>
      <c r="S954" s="12" t="s">
        <v>55</v>
      </c>
      <c r="T954" s="12" t="s">
        <v>55</v>
      </c>
      <c r="U954" s="10" t="s">
        <v>67</v>
      </c>
      <c r="V954" s="12" t="s">
        <v>55</v>
      </c>
      <c r="W954" s="12" t="s">
        <v>55</v>
      </c>
      <c r="X954" s="12" t="s">
        <v>55</v>
      </c>
      <c r="Y954" s="12" t="s">
        <v>55</v>
      </c>
      <c r="Z954" s="12" t="s">
        <v>55</v>
      </c>
      <c r="AA954" s="12" t="s">
        <v>55</v>
      </c>
      <c r="AB954" s="10" t="s">
        <v>67</v>
      </c>
      <c r="AC954" s="12" t="s">
        <v>55</v>
      </c>
      <c r="AD954" s="8" t="s">
        <v>54</v>
      </c>
      <c r="AE954" s="8" t="s">
        <v>54</v>
      </c>
      <c r="AF954" s="8" t="s">
        <v>54</v>
      </c>
      <c r="AG954" s="8" t="s">
        <v>54</v>
      </c>
      <c r="AH954" s="8" t="s">
        <v>54</v>
      </c>
      <c r="AI954" s="10" t="s">
        <v>67</v>
      </c>
      <c r="AJ954" s="8">
        <f>COUNTIF($E$954:$AI$954,"P")</f>
        <v>5</v>
      </c>
      <c r="AK954" s="8">
        <f>COUNTIF($E$954:$AI$954,"A")</f>
        <v>21</v>
      </c>
      <c r="AL954" s="8">
        <f>SUM($E$955:$AI$955)</f>
        <v>0</v>
      </c>
      <c r="AM954" s="8">
        <f>SUM($E$956:$AI$956)</f>
        <v>0</v>
      </c>
      <c r="AN954" s="8">
        <f>AL954+AM954</f>
        <v>0</v>
      </c>
      <c r="AO954" s="8">
        <f>COUNTIF($E$954:$AI$954,"CL")</f>
        <v>0</v>
      </c>
      <c r="AP954" s="8">
        <f>COUNTIF($E$954:$AI$954,"SL")</f>
        <v>0</v>
      </c>
      <c r="AQ954" s="8">
        <f>COUNTIF($E$954:$AI$954,"EL")</f>
        <v>0</v>
      </c>
      <c r="AR954" s="8">
        <f>COUNTIF($E$954:$AI$954,"H")</f>
        <v>0</v>
      </c>
      <c r="AS954" s="8"/>
      <c r="AT954" s="11" t="s">
        <v>2091</v>
      </c>
    </row>
    <row r="955" spans="1:46" ht="15.1" customHeight="1">
      <c r="A955" s="8"/>
      <c r="B955" s="9"/>
      <c r="C955" s="8"/>
      <c r="D955" s="9"/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11" t="s">
        <v>2091</v>
      </c>
    </row>
    <row r="956" spans="1:46" ht="15.1" customHeight="1">
      <c r="A956" s="8"/>
      <c r="B956" s="9"/>
      <c r="C956" s="8"/>
      <c r="D956" s="9"/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11" t="s">
        <v>2091</v>
      </c>
    </row>
    <row r="957" spans="1:46" ht="15.1" customHeight="1">
      <c r="A957" s="8">
        <v>318</v>
      </c>
      <c r="B957" s="9" t="s">
        <v>2186</v>
      </c>
      <c r="C957" s="8" t="s">
        <v>2701</v>
      </c>
      <c r="D957" s="9" t="s">
        <v>451</v>
      </c>
      <c r="E957" s="8"/>
      <c r="F957" s="8"/>
      <c r="G957" s="10"/>
      <c r="H957" s="12" t="s">
        <v>55</v>
      </c>
      <c r="I957" s="12" t="s">
        <v>55</v>
      </c>
      <c r="J957" s="12" t="s">
        <v>55</v>
      </c>
      <c r="K957" s="12" t="s">
        <v>55</v>
      </c>
      <c r="L957" s="12" t="s">
        <v>55</v>
      </c>
      <c r="M957" s="12" t="s">
        <v>55</v>
      </c>
      <c r="N957" s="10" t="s">
        <v>67</v>
      </c>
      <c r="O957" s="12" t="s">
        <v>55</v>
      </c>
      <c r="P957" s="12" t="s">
        <v>55</v>
      </c>
      <c r="Q957" s="12" t="s">
        <v>55</v>
      </c>
      <c r="R957" s="12" t="s">
        <v>55</v>
      </c>
      <c r="S957" s="12" t="s">
        <v>55</v>
      </c>
      <c r="T957" s="12" t="s">
        <v>55</v>
      </c>
      <c r="U957" s="10" t="s">
        <v>67</v>
      </c>
      <c r="V957" s="12" t="s">
        <v>55</v>
      </c>
      <c r="W957" s="12" t="s">
        <v>55</v>
      </c>
      <c r="X957" s="12" t="s">
        <v>55</v>
      </c>
      <c r="Y957" s="12" t="s">
        <v>55</v>
      </c>
      <c r="Z957" s="12" t="s">
        <v>55</v>
      </c>
      <c r="AA957" s="12" t="s">
        <v>55</v>
      </c>
      <c r="AB957" s="10" t="s">
        <v>67</v>
      </c>
      <c r="AC957" s="12" t="s">
        <v>55</v>
      </c>
      <c r="AD957" s="8" t="s">
        <v>54</v>
      </c>
      <c r="AE957" s="8" t="s">
        <v>54</v>
      </c>
      <c r="AF957" s="8" t="s">
        <v>54</v>
      </c>
      <c r="AG957" s="8" t="s">
        <v>54</v>
      </c>
      <c r="AH957" s="8" t="s">
        <v>54</v>
      </c>
      <c r="AI957" s="10" t="s">
        <v>67</v>
      </c>
      <c r="AJ957" s="8">
        <f>COUNTIF($E$957:$AI$957,"P")</f>
        <v>5</v>
      </c>
      <c r="AK957" s="8">
        <f>COUNTIF($E$957:$AI$957,"A")</f>
        <v>19</v>
      </c>
      <c r="AL957" s="8">
        <f>SUM($E$958:$AI$958)</f>
        <v>0</v>
      </c>
      <c r="AM957" s="8">
        <f>SUM($E$959:$AI$959)</f>
        <v>0</v>
      </c>
      <c r="AN957" s="8">
        <f>AL957+AM957</f>
        <v>0</v>
      </c>
      <c r="AO957" s="8">
        <f>COUNTIF($E$957:$AI$957,"CL")</f>
        <v>0</v>
      </c>
      <c r="AP957" s="8">
        <f>COUNTIF($E$957:$AI$957,"SL")</f>
        <v>0</v>
      </c>
      <c r="AQ957" s="8">
        <f>COUNTIF($E$957:$AI$957,"EL")</f>
        <v>0</v>
      </c>
      <c r="AR957" s="8">
        <f>COUNTIF($E$957:$AI$957,"H")</f>
        <v>0</v>
      </c>
      <c r="AS957" s="8"/>
      <c r="AT957" s="11" t="s">
        <v>2091</v>
      </c>
    </row>
    <row r="958" spans="1:46" ht="15.1" customHeight="1">
      <c r="A958" s="8"/>
      <c r="B958" s="9"/>
      <c r="C958" s="8"/>
      <c r="D958" s="9"/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11" t="s">
        <v>2091</v>
      </c>
    </row>
    <row r="959" spans="1:46" ht="15.1" customHeight="1">
      <c r="A959" s="8"/>
      <c r="B959" s="9"/>
      <c r="C959" s="8"/>
      <c r="D959" s="9"/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11" t="s">
        <v>2091</v>
      </c>
    </row>
    <row r="960" spans="1:46" ht="15.1" customHeight="1">
      <c r="A960" s="8">
        <v>319</v>
      </c>
      <c r="B960" s="9" t="s">
        <v>180</v>
      </c>
      <c r="C960" s="8" t="s">
        <v>2702</v>
      </c>
      <c r="D960" s="9" t="s">
        <v>451</v>
      </c>
      <c r="E960" s="8"/>
      <c r="F960" s="8"/>
      <c r="G960" s="10"/>
      <c r="H960" s="12" t="s">
        <v>55</v>
      </c>
      <c r="I960" s="12" t="s">
        <v>55</v>
      </c>
      <c r="J960" s="12" t="s">
        <v>55</v>
      </c>
      <c r="K960" s="12" t="s">
        <v>55</v>
      </c>
      <c r="L960" s="12" t="s">
        <v>55</v>
      </c>
      <c r="M960" s="12" t="s">
        <v>55</v>
      </c>
      <c r="N960" s="10" t="s">
        <v>67</v>
      </c>
      <c r="O960" s="12" t="s">
        <v>55</v>
      </c>
      <c r="P960" s="12" t="s">
        <v>55</v>
      </c>
      <c r="Q960" s="12" t="s">
        <v>55</v>
      </c>
      <c r="R960" s="12" t="s">
        <v>55</v>
      </c>
      <c r="S960" s="12" t="s">
        <v>55</v>
      </c>
      <c r="T960" s="12" t="s">
        <v>55</v>
      </c>
      <c r="U960" s="10" t="s">
        <v>67</v>
      </c>
      <c r="V960" s="12" t="s">
        <v>55</v>
      </c>
      <c r="W960" s="12" t="s">
        <v>55</v>
      </c>
      <c r="X960" s="12" t="s">
        <v>55</v>
      </c>
      <c r="Y960" s="8" t="s">
        <v>54</v>
      </c>
      <c r="Z960" s="8" t="s">
        <v>54</v>
      </c>
      <c r="AA960" s="8" t="s">
        <v>54</v>
      </c>
      <c r="AB960" s="10" t="s">
        <v>67</v>
      </c>
      <c r="AC960" s="8" t="s">
        <v>54</v>
      </c>
      <c r="AD960" s="12" t="s">
        <v>55</v>
      </c>
      <c r="AE960" s="8" t="s">
        <v>54</v>
      </c>
      <c r="AF960" s="8" t="s">
        <v>54</v>
      </c>
      <c r="AG960" s="8" t="s">
        <v>54</v>
      </c>
      <c r="AH960" s="8" t="s">
        <v>54</v>
      </c>
      <c r="AI960" s="10" t="s">
        <v>67</v>
      </c>
      <c r="AJ960" s="8">
        <f>COUNTIF($E$960:$AI$960,"P")</f>
        <v>8</v>
      </c>
      <c r="AK960" s="8">
        <f>COUNTIF($E$960:$AI$960,"A")</f>
        <v>16</v>
      </c>
      <c r="AL960" s="8">
        <f>SUM($E$961:$AI$961)</f>
        <v>0</v>
      </c>
      <c r="AM960" s="8">
        <f>SUM($E$962:$AI$962)</f>
        <v>0</v>
      </c>
      <c r="AN960" s="8">
        <f>AL960+AM960</f>
        <v>0</v>
      </c>
      <c r="AO960" s="8">
        <f>COUNTIF($E$960:$AI$960,"CL")</f>
        <v>0</v>
      </c>
      <c r="AP960" s="8">
        <f>COUNTIF($E$960:$AI$960,"SL")</f>
        <v>0</v>
      </c>
      <c r="AQ960" s="8">
        <f>COUNTIF($E$960:$AI$960,"EL")</f>
        <v>0</v>
      </c>
      <c r="AR960" s="8">
        <f>COUNTIF($E$960:$AI$960,"H")</f>
        <v>0</v>
      </c>
      <c r="AS960" s="8"/>
      <c r="AT960" s="11" t="s">
        <v>2091</v>
      </c>
    </row>
    <row r="961" spans="1:46" ht="15.1" customHeight="1">
      <c r="A961" s="8"/>
      <c r="B961" s="9"/>
      <c r="C961" s="8"/>
      <c r="D961" s="9"/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11" t="s">
        <v>2091</v>
      </c>
    </row>
    <row r="962" spans="1:46" ht="15.1" customHeight="1">
      <c r="A962" s="8"/>
      <c r="B962" s="9"/>
      <c r="C962" s="8"/>
      <c r="D962" s="9"/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11" t="s">
        <v>2091</v>
      </c>
    </row>
    <row r="963" spans="1:46" ht="15.1" customHeight="1">
      <c r="A963" s="8">
        <v>320</v>
      </c>
      <c r="B963" s="9" t="s">
        <v>2703</v>
      </c>
      <c r="C963" s="8" t="s">
        <v>2704</v>
      </c>
      <c r="D963" s="9" t="s">
        <v>451</v>
      </c>
      <c r="E963" s="8"/>
      <c r="F963" s="8"/>
      <c r="G963" s="10"/>
      <c r="H963" s="8"/>
      <c r="I963" s="8"/>
      <c r="J963" s="12" t="s">
        <v>55</v>
      </c>
      <c r="K963" s="12" t="s">
        <v>55</v>
      </c>
      <c r="L963" s="12" t="s">
        <v>55</v>
      </c>
      <c r="M963" s="12" t="s">
        <v>55</v>
      </c>
      <c r="N963" s="10" t="s">
        <v>67</v>
      </c>
      <c r="O963" s="12" t="s">
        <v>55</v>
      </c>
      <c r="P963" s="12" t="s">
        <v>55</v>
      </c>
      <c r="Q963" s="12" t="s">
        <v>55</v>
      </c>
      <c r="R963" s="12" t="s">
        <v>55</v>
      </c>
      <c r="S963" s="12" t="s">
        <v>55</v>
      </c>
      <c r="T963" s="12" t="s">
        <v>55</v>
      </c>
      <c r="U963" s="10" t="s">
        <v>67</v>
      </c>
      <c r="V963" s="12" t="s">
        <v>55</v>
      </c>
      <c r="W963" s="12" t="s">
        <v>55</v>
      </c>
      <c r="X963" s="12" t="s">
        <v>55</v>
      </c>
      <c r="Y963" s="12" t="s">
        <v>55</v>
      </c>
      <c r="Z963" s="12" t="s">
        <v>55</v>
      </c>
      <c r="AA963" s="12" t="s">
        <v>55</v>
      </c>
      <c r="AB963" s="10" t="s">
        <v>67</v>
      </c>
      <c r="AC963" s="12" t="s">
        <v>55</v>
      </c>
      <c r="AD963" s="8" t="s">
        <v>54</v>
      </c>
      <c r="AE963" s="8" t="s">
        <v>54</v>
      </c>
      <c r="AF963" s="8" t="s">
        <v>54</v>
      </c>
      <c r="AG963" s="8" t="s">
        <v>54</v>
      </c>
      <c r="AH963" s="12" t="s">
        <v>55</v>
      </c>
      <c r="AI963" s="10" t="s">
        <v>67</v>
      </c>
      <c r="AJ963" s="8">
        <f>COUNTIF($E$963:$AI$963,"P")</f>
        <v>4</v>
      </c>
      <c r="AK963" s="8">
        <f>COUNTIF($E$963:$AI$963,"A")</f>
        <v>18</v>
      </c>
      <c r="AL963" s="8">
        <f>SUM($E$964:$AI$964)</f>
        <v>0</v>
      </c>
      <c r="AM963" s="8">
        <f>SUM($E$965:$AI$965)</f>
        <v>0</v>
      </c>
      <c r="AN963" s="8">
        <f>AL963+AM963</f>
        <v>0</v>
      </c>
      <c r="AO963" s="8">
        <f>COUNTIF($E$963:$AI$963,"CL")</f>
        <v>0</v>
      </c>
      <c r="AP963" s="8">
        <f>COUNTIF($E$963:$AI$963,"SL")</f>
        <v>0</v>
      </c>
      <c r="AQ963" s="8">
        <f>COUNTIF($E$963:$AI$963,"EL")</f>
        <v>0</v>
      </c>
      <c r="AR963" s="8">
        <f>COUNTIF($E$963:$AI$963,"H")</f>
        <v>0</v>
      </c>
      <c r="AS963" s="8"/>
      <c r="AT963" s="11" t="s">
        <v>2091</v>
      </c>
    </row>
    <row r="964" spans="1:46" ht="15.1" customHeight="1">
      <c r="A964" s="8"/>
      <c r="B964" s="9"/>
      <c r="C964" s="8"/>
      <c r="D964" s="9"/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11" t="s">
        <v>2091</v>
      </c>
    </row>
    <row r="965" spans="1:46" ht="15.1" customHeight="1">
      <c r="A965" s="8"/>
      <c r="B965" s="9"/>
      <c r="C965" s="8"/>
      <c r="D965" s="9"/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11" t="s">
        <v>2091</v>
      </c>
    </row>
    <row r="966" spans="1:46" ht="15.1" customHeight="1">
      <c r="A966" s="8">
        <v>321</v>
      </c>
      <c r="B966" s="9" t="s">
        <v>2705</v>
      </c>
      <c r="C966" s="8" t="s">
        <v>2706</v>
      </c>
      <c r="D966" s="9" t="s">
        <v>451</v>
      </c>
      <c r="E966" s="8"/>
      <c r="F966" s="8"/>
      <c r="G966" s="10"/>
      <c r="H966" s="8"/>
      <c r="I966" s="8"/>
      <c r="J966" s="12" t="s">
        <v>55</v>
      </c>
      <c r="K966" s="12" t="s">
        <v>55</v>
      </c>
      <c r="L966" s="12" t="s">
        <v>55</v>
      </c>
      <c r="M966" s="12" t="s">
        <v>55</v>
      </c>
      <c r="N966" s="10" t="s">
        <v>67</v>
      </c>
      <c r="O966" s="12" t="s">
        <v>55</v>
      </c>
      <c r="P966" s="12" t="s">
        <v>55</v>
      </c>
      <c r="Q966" s="12" t="s">
        <v>55</v>
      </c>
      <c r="R966" s="12" t="s">
        <v>55</v>
      </c>
      <c r="S966" s="12" t="s">
        <v>55</v>
      </c>
      <c r="T966" s="12" t="s">
        <v>55</v>
      </c>
      <c r="U966" s="10" t="s">
        <v>67</v>
      </c>
      <c r="V966" s="12" t="s">
        <v>55</v>
      </c>
      <c r="W966" s="12" t="s">
        <v>55</v>
      </c>
      <c r="X966" s="12" t="s">
        <v>55</v>
      </c>
      <c r="Y966" s="12" t="s">
        <v>55</v>
      </c>
      <c r="Z966" s="12" t="s">
        <v>55</v>
      </c>
      <c r="AA966" s="8" t="s">
        <v>54</v>
      </c>
      <c r="AB966" s="10" t="s">
        <v>67</v>
      </c>
      <c r="AC966" s="8" t="s">
        <v>54</v>
      </c>
      <c r="AD966" s="8" t="s">
        <v>54</v>
      </c>
      <c r="AE966" s="8" t="s">
        <v>54</v>
      </c>
      <c r="AF966" s="8" t="s">
        <v>54</v>
      </c>
      <c r="AG966" s="8" t="s">
        <v>54</v>
      </c>
      <c r="AH966" s="8" t="s">
        <v>54</v>
      </c>
      <c r="AI966" s="10" t="s">
        <v>67</v>
      </c>
      <c r="AJ966" s="8">
        <f>COUNTIF($E$966:$AI$966,"P")</f>
        <v>7</v>
      </c>
      <c r="AK966" s="8">
        <f>COUNTIF($E$966:$AI$966,"A")</f>
        <v>15</v>
      </c>
      <c r="AL966" s="8">
        <f>SUM($E$967:$AI$967)</f>
        <v>0</v>
      </c>
      <c r="AM966" s="8">
        <f>SUM($E$968:$AI$968)</f>
        <v>0</v>
      </c>
      <c r="AN966" s="8">
        <f>AL966+AM966</f>
        <v>0</v>
      </c>
      <c r="AO966" s="8">
        <f>COUNTIF($E$966:$AI$966,"CL")</f>
        <v>0</v>
      </c>
      <c r="AP966" s="8">
        <f>COUNTIF($E$966:$AI$966,"SL")</f>
        <v>0</v>
      </c>
      <c r="AQ966" s="8">
        <f>COUNTIF($E$966:$AI$966,"EL")</f>
        <v>0</v>
      </c>
      <c r="AR966" s="8">
        <f>COUNTIF($E$966:$AI$966,"H")</f>
        <v>0</v>
      </c>
      <c r="AS966" s="8"/>
      <c r="AT966" s="11" t="s">
        <v>2091</v>
      </c>
    </row>
    <row r="967" spans="1:46" ht="15.1" customHeight="1">
      <c r="A967" s="8"/>
      <c r="B967" s="9"/>
      <c r="C967" s="8"/>
      <c r="D967" s="9"/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11" t="s">
        <v>2091</v>
      </c>
    </row>
    <row r="968" spans="1:46" ht="15.1" customHeight="1">
      <c r="A968" s="8"/>
      <c r="B968" s="9"/>
      <c r="C968" s="8"/>
      <c r="D968" s="9"/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11" t="s">
        <v>2091</v>
      </c>
    </row>
    <row r="969" spans="1:46" ht="15.1" customHeight="1">
      <c r="A969" s="8">
        <v>322</v>
      </c>
      <c r="B969" s="9" t="s">
        <v>370</v>
      </c>
      <c r="C969" s="8" t="s">
        <v>2707</v>
      </c>
      <c r="D969" s="9" t="s">
        <v>451</v>
      </c>
      <c r="E969" s="8"/>
      <c r="F969" s="8"/>
      <c r="G969" s="10"/>
      <c r="H969" s="8"/>
      <c r="I969" s="8"/>
      <c r="J969" s="12" t="s">
        <v>55</v>
      </c>
      <c r="K969" s="12" t="s">
        <v>55</v>
      </c>
      <c r="L969" s="12" t="s">
        <v>55</v>
      </c>
      <c r="M969" s="12" t="s">
        <v>55</v>
      </c>
      <c r="N969" s="10" t="s">
        <v>67</v>
      </c>
      <c r="O969" s="12" t="s">
        <v>55</v>
      </c>
      <c r="P969" s="12" t="s">
        <v>55</v>
      </c>
      <c r="Q969" s="12" t="s">
        <v>55</v>
      </c>
      <c r="R969" s="12" t="s">
        <v>55</v>
      </c>
      <c r="S969" s="12" t="s">
        <v>55</v>
      </c>
      <c r="T969" s="12" t="s">
        <v>55</v>
      </c>
      <c r="U969" s="10" t="s">
        <v>67</v>
      </c>
      <c r="V969" s="12" t="s">
        <v>55</v>
      </c>
      <c r="W969" s="12" t="s">
        <v>55</v>
      </c>
      <c r="X969" s="12" t="s">
        <v>55</v>
      </c>
      <c r="Y969" s="8" t="s">
        <v>54</v>
      </c>
      <c r="Z969" s="8" t="s">
        <v>54</v>
      </c>
      <c r="AA969" s="8" t="s">
        <v>54</v>
      </c>
      <c r="AB969" s="10" t="s">
        <v>67</v>
      </c>
      <c r="AC969" s="8" t="s">
        <v>54</v>
      </c>
      <c r="AD969" s="8" t="s">
        <v>54</v>
      </c>
      <c r="AE969" s="8" t="s">
        <v>54</v>
      </c>
      <c r="AF969" s="8" t="s">
        <v>54</v>
      </c>
      <c r="AG969" s="8" t="s">
        <v>54</v>
      </c>
      <c r="AH969" s="8" t="s">
        <v>54</v>
      </c>
      <c r="AI969" s="10" t="s">
        <v>67</v>
      </c>
      <c r="AJ969" s="8">
        <f>COUNTIF($E$969:$AI$969,"P")</f>
        <v>9</v>
      </c>
      <c r="AK969" s="8">
        <f>COUNTIF($E$969:$AI$969,"A")</f>
        <v>13</v>
      </c>
      <c r="AL969" s="8">
        <f>SUM($E$970:$AI$970)</f>
        <v>0</v>
      </c>
      <c r="AM969" s="8">
        <f>SUM($E$971:$AI$971)</f>
        <v>0</v>
      </c>
      <c r="AN969" s="8">
        <f>AL969+AM969</f>
        <v>0</v>
      </c>
      <c r="AO969" s="8">
        <f>COUNTIF($E$969:$AI$969,"CL")</f>
        <v>0</v>
      </c>
      <c r="AP969" s="8">
        <f>COUNTIF($E$969:$AI$969,"SL")</f>
        <v>0</v>
      </c>
      <c r="AQ969" s="8">
        <f>COUNTIF($E$969:$AI$969,"EL")</f>
        <v>0</v>
      </c>
      <c r="AR969" s="8">
        <f>COUNTIF($E$969:$AI$969,"H")</f>
        <v>0</v>
      </c>
      <c r="AS969" s="8"/>
      <c r="AT969" s="11" t="s">
        <v>2091</v>
      </c>
    </row>
    <row r="970" spans="1:46" ht="15.1" customHeight="1">
      <c r="A970" s="8"/>
      <c r="B970" s="9"/>
      <c r="C970" s="8"/>
      <c r="D970" s="9"/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11" t="s">
        <v>2091</v>
      </c>
    </row>
    <row r="971" spans="1:46" ht="15.1" customHeight="1">
      <c r="A971" s="8"/>
      <c r="B971" s="9"/>
      <c r="C971" s="8"/>
      <c r="D971" s="9"/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11" t="s">
        <v>2091</v>
      </c>
    </row>
    <row r="972" spans="1:46" ht="15.1" customHeight="1">
      <c r="A972" s="8">
        <v>323</v>
      </c>
      <c r="B972" s="9" t="s">
        <v>2708</v>
      </c>
      <c r="C972" s="8" t="s">
        <v>2709</v>
      </c>
      <c r="D972" s="9" t="s">
        <v>451</v>
      </c>
      <c r="E972" s="12" t="s">
        <v>55</v>
      </c>
      <c r="F972" s="12" t="s">
        <v>55</v>
      </c>
      <c r="G972" s="10" t="s">
        <v>67</v>
      </c>
      <c r="H972" s="12" t="s">
        <v>55</v>
      </c>
      <c r="I972" s="12" t="s">
        <v>55</v>
      </c>
      <c r="J972" s="12" t="s">
        <v>55</v>
      </c>
      <c r="K972" s="12" t="s">
        <v>55</v>
      </c>
      <c r="L972" s="12" t="s">
        <v>55</v>
      </c>
      <c r="M972" s="12" t="s">
        <v>55</v>
      </c>
      <c r="N972" s="10" t="s">
        <v>67</v>
      </c>
      <c r="O972" s="12" t="s">
        <v>55</v>
      </c>
      <c r="P972" s="12" t="s">
        <v>55</v>
      </c>
      <c r="Q972" s="12" t="s">
        <v>55</v>
      </c>
      <c r="R972" s="12" t="s">
        <v>55</v>
      </c>
      <c r="S972" s="12" t="s">
        <v>55</v>
      </c>
      <c r="T972" s="12" t="s">
        <v>55</v>
      </c>
      <c r="U972" s="10" t="s">
        <v>67</v>
      </c>
      <c r="V972" s="12" t="s">
        <v>55</v>
      </c>
      <c r="W972" s="12" t="s">
        <v>55</v>
      </c>
      <c r="X972" s="12" t="s">
        <v>55</v>
      </c>
      <c r="Y972" s="12" t="s">
        <v>55</v>
      </c>
      <c r="Z972" s="12" t="s">
        <v>55</v>
      </c>
      <c r="AA972" s="12" t="s">
        <v>55</v>
      </c>
      <c r="AB972" s="10" t="s">
        <v>67</v>
      </c>
      <c r="AC972" s="12" t="s">
        <v>55</v>
      </c>
      <c r="AD972" s="12" t="s">
        <v>55</v>
      </c>
      <c r="AE972" s="12" t="s">
        <v>55</v>
      </c>
      <c r="AF972" s="12" t="s">
        <v>55</v>
      </c>
      <c r="AG972" s="12" t="s">
        <v>55</v>
      </c>
      <c r="AH972" s="12" t="s">
        <v>55</v>
      </c>
      <c r="AI972" s="10" t="s">
        <v>67</v>
      </c>
      <c r="AJ972" s="8">
        <f>COUNTIF($E$972:$AI$972,"P")</f>
        <v>0</v>
      </c>
      <c r="AK972" s="8">
        <f>COUNTIF($E$972:$AI$972,"A")</f>
        <v>26</v>
      </c>
      <c r="AL972" s="8">
        <f>SUM($E$973:$AI$973)</f>
        <v>0</v>
      </c>
      <c r="AM972" s="8">
        <f>SUM($E$974:$AI$974)</f>
        <v>0</v>
      </c>
      <c r="AN972" s="8">
        <f>AL972+AM972</f>
        <v>0</v>
      </c>
      <c r="AO972" s="8">
        <f>COUNTIF($E$972:$AI$972,"CL")</f>
        <v>0</v>
      </c>
      <c r="AP972" s="8">
        <f>COUNTIF($E$972:$AI$972,"SL")</f>
        <v>0</v>
      </c>
      <c r="AQ972" s="8">
        <f>COUNTIF($E$972:$AI$972,"EL")</f>
        <v>0</v>
      </c>
      <c r="AR972" s="8">
        <f>COUNTIF($E$972:$AI$972,"H")</f>
        <v>0</v>
      </c>
      <c r="AS972" s="8"/>
      <c r="AT972" s="11" t="s">
        <v>2091</v>
      </c>
    </row>
    <row r="973" spans="1:46" ht="15.1" customHeight="1">
      <c r="A973" s="8"/>
      <c r="B973" s="9"/>
      <c r="C973" s="8"/>
      <c r="D973" s="9"/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11" t="s">
        <v>2091</v>
      </c>
    </row>
    <row r="974" spans="1:46" ht="15.1" customHeight="1">
      <c r="A974" s="8"/>
      <c r="B974" s="9"/>
      <c r="C974" s="8"/>
      <c r="D974" s="9"/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11" t="s">
        <v>2091</v>
      </c>
    </row>
    <row r="975" spans="1:46" ht="15.1" customHeight="1">
      <c r="A975" s="8">
        <v>324</v>
      </c>
      <c r="B975" s="9" t="s">
        <v>2710</v>
      </c>
      <c r="C975" s="8" t="s">
        <v>2711</v>
      </c>
      <c r="D975" s="9" t="s">
        <v>451</v>
      </c>
      <c r="E975" s="8"/>
      <c r="F975" s="8"/>
      <c r="G975" s="10"/>
      <c r="H975" s="8"/>
      <c r="I975" s="8"/>
      <c r="J975" s="8" t="s">
        <v>54</v>
      </c>
      <c r="K975" s="8" t="s">
        <v>54</v>
      </c>
      <c r="L975" s="8" t="s">
        <v>54</v>
      </c>
      <c r="M975" s="8" t="s">
        <v>54</v>
      </c>
      <c r="N975" s="10" t="s">
        <v>67</v>
      </c>
      <c r="O975" s="8" t="s">
        <v>54</v>
      </c>
      <c r="P975" s="8" t="s">
        <v>54</v>
      </c>
      <c r="Q975" s="12" t="s">
        <v>55</v>
      </c>
      <c r="R975" s="12" t="s">
        <v>55</v>
      </c>
      <c r="S975" s="8" t="s">
        <v>54</v>
      </c>
      <c r="T975" s="12" t="s">
        <v>55</v>
      </c>
      <c r="U975" s="10" t="s">
        <v>67</v>
      </c>
      <c r="V975" s="8" t="s">
        <v>54</v>
      </c>
      <c r="W975" s="12" t="s">
        <v>55</v>
      </c>
      <c r="X975" s="12" t="s">
        <v>55</v>
      </c>
      <c r="Y975" s="12" t="s">
        <v>55</v>
      </c>
      <c r="Z975" s="12" t="s">
        <v>55</v>
      </c>
      <c r="AA975" s="8" t="s">
        <v>54</v>
      </c>
      <c r="AB975" s="10" t="s">
        <v>67</v>
      </c>
      <c r="AC975" s="8" t="s">
        <v>54</v>
      </c>
      <c r="AD975" s="8" t="s">
        <v>54</v>
      </c>
      <c r="AE975" s="8" t="s">
        <v>54</v>
      </c>
      <c r="AF975" s="8" t="s">
        <v>54</v>
      </c>
      <c r="AG975" s="8" t="s">
        <v>54</v>
      </c>
      <c r="AH975" s="8" t="s">
        <v>54</v>
      </c>
      <c r="AI975" s="10" t="s">
        <v>67</v>
      </c>
      <c r="AJ975" s="8">
        <f>COUNTIF($E$975:$AI$975,"P")</f>
        <v>15</v>
      </c>
      <c r="AK975" s="8">
        <f>COUNTIF($E$975:$AI$975,"A")</f>
        <v>7</v>
      </c>
      <c r="AL975" s="8">
        <f>SUM($E$976:$AI$976)</f>
        <v>0</v>
      </c>
      <c r="AM975" s="8">
        <f>SUM($E$977:$AI$977)</f>
        <v>0</v>
      </c>
      <c r="AN975" s="8">
        <f>AL975+AM975</f>
        <v>0</v>
      </c>
      <c r="AO975" s="8">
        <f>COUNTIF($E$975:$AI$975,"CL")</f>
        <v>0</v>
      </c>
      <c r="AP975" s="8">
        <f>COUNTIF($E$975:$AI$975,"SL")</f>
        <v>0</v>
      </c>
      <c r="AQ975" s="8">
        <f>COUNTIF($E$975:$AI$975,"EL")</f>
        <v>0</v>
      </c>
      <c r="AR975" s="8">
        <f>COUNTIF($E$975:$AI$975,"H")</f>
        <v>0</v>
      </c>
      <c r="AS975" s="8"/>
      <c r="AT975" s="11" t="s">
        <v>2091</v>
      </c>
    </row>
    <row r="976" spans="1:46" ht="15.1" customHeight="1">
      <c r="A976" s="8"/>
      <c r="B976" s="9"/>
      <c r="C976" s="8"/>
      <c r="D976" s="9"/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11" t="s">
        <v>2091</v>
      </c>
    </row>
    <row r="977" spans="1:46" ht="15.1" customHeight="1">
      <c r="A977" s="8"/>
      <c r="B977" s="9"/>
      <c r="C977" s="8"/>
      <c r="D977" s="9"/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11" t="s">
        <v>2091</v>
      </c>
    </row>
    <row r="978" spans="1:46" ht="15.1" customHeight="1">
      <c r="A978" s="8">
        <v>325</v>
      </c>
      <c r="B978" s="9" t="s">
        <v>2712</v>
      </c>
      <c r="C978" s="8" t="s">
        <v>2713</v>
      </c>
      <c r="D978" s="9" t="s">
        <v>451</v>
      </c>
      <c r="E978" s="8"/>
      <c r="F978" s="8"/>
      <c r="G978" s="10"/>
      <c r="H978" s="8"/>
      <c r="I978" s="8"/>
      <c r="J978" s="8"/>
      <c r="K978" s="12" t="s">
        <v>55</v>
      </c>
      <c r="L978" s="12" t="s">
        <v>55</v>
      </c>
      <c r="M978" s="12" t="s">
        <v>55</v>
      </c>
      <c r="N978" s="10" t="s">
        <v>67</v>
      </c>
      <c r="O978" s="12" t="s">
        <v>55</v>
      </c>
      <c r="P978" s="12" t="s">
        <v>55</v>
      </c>
      <c r="Q978" s="12" t="s">
        <v>55</v>
      </c>
      <c r="R978" s="12" t="s">
        <v>55</v>
      </c>
      <c r="S978" s="12" t="s">
        <v>55</v>
      </c>
      <c r="T978" s="12" t="s">
        <v>55</v>
      </c>
      <c r="U978" s="10" t="s">
        <v>67</v>
      </c>
      <c r="V978" s="12" t="s">
        <v>55</v>
      </c>
      <c r="W978" s="12" t="s">
        <v>55</v>
      </c>
      <c r="X978" s="12" t="s">
        <v>55</v>
      </c>
      <c r="Y978" s="12" t="s">
        <v>55</v>
      </c>
      <c r="Z978" s="12" t="s">
        <v>55</v>
      </c>
      <c r="AA978" s="12" t="s">
        <v>55</v>
      </c>
      <c r="AB978" s="10" t="s">
        <v>67</v>
      </c>
      <c r="AC978" s="12" t="s">
        <v>55</v>
      </c>
      <c r="AD978" s="12" t="s">
        <v>55</v>
      </c>
      <c r="AE978" s="12" t="s">
        <v>55</v>
      </c>
      <c r="AF978" s="12" t="s">
        <v>55</v>
      </c>
      <c r="AG978" s="12" t="s">
        <v>55</v>
      </c>
      <c r="AH978" s="12" t="s">
        <v>55</v>
      </c>
      <c r="AI978" s="10" t="s">
        <v>67</v>
      </c>
      <c r="AJ978" s="8">
        <f>COUNTIF($E$978:$AI$978,"P")</f>
        <v>0</v>
      </c>
      <c r="AK978" s="8">
        <f>COUNTIF($E$978:$AI$978,"A")</f>
        <v>21</v>
      </c>
      <c r="AL978" s="8">
        <f>SUM($E$979:$AI$979)</f>
        <v>0</v>
      </c>
      <c r="AM978" s="8">
        <f>SUM($E$980:$AI$980)</f>
        <v>0</v>
      </c>
      <c r="AN978" s="8">
        <f>AL978+AM978</f>
        <v>0</v>
      </c>
      <c r="AO978" s="8">
        <f>COUNTIF($E$978:$AI$978,"CL")</f>
        <v>0</v>
      </c>
      <c r="AP978" s="8">
        <f>COUNTIF($E$978:$AI$978,"SL")</f>
        <v>0</v>
      </c>
      <c r="AQ978" s="8">
        <f>COUNTIF($E$978:$AI$978,"EL")</f>
        <v>0</v>
      </c>
      <c r="AR978" s="8">
        <f>COUNTIF($E$978:$AI$978,"H")</f>
        <v>0</v>
      </c>
      <c r="AS978" s="8"/>
      <c r="AT978" s="11" t="s">
        <v>2091</v>
      </c>
    </row>
    <row r="979" spans="1:46" ht="15.1" customHeight="1">
      <c r="A979" s="8"/>
      <c r="B979" s="9"/>
      <c r="C979" s="8"/>
      <c r="D979" s="9"/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11" t="s">
        <v>2091</v>
      </c>
    </row>
    <row r="980" spans="1:46" ht="15.1" customHeight="1">
      <c r="A980" s="8"/>
      <c r="B980" s="9"/>
      <c r="C980" s="8"/>
      <c r="D980" s="9"/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11" t="s">
        <v>2091</v>
      </c>
    </row>
    <row r="981" spans="1:46" ht="15.1" customHeight="1">
      <c r="A981" s="8">
        <v>326</v>
      </c>
      <c r="B981" s="9" t="s">
        <v>2714</v>
      </c>
      <c r="C981" s="8" t="s">
        <v>2715</v>
      </c>
      <c r="D981" s="9" t="s">
        <v>451</v>
      </c>
      <c r="E981" s="8"/>
      <c r="F981" s="8"/>
      <c r="G981" s="10"/>
      <c r="H981" s="8"/>
      <c r="I981" s="8"/>
      <c r="J981" s="8"/>
      <c r="K981" s="12" t="s">
        <v>55</v>
      </c>
      <c r="L981" s="12" t="s">
        <v>55</v>
      </c>
      <c r="M981" s="12" t="s">
        <v>55</v>
      </c>
      <c r="N981" s="10" t="s">
        <v>67</v>
      </c>
      <c r="O981" s="12" t="s">
        <v>55</v>
      </c>
      <c r="P981" s="12" t="s">
        <v>55</v>
      </c>
      <c r="Q981" s="12" t="s">
        <v>55</v>
      </c>
      <c r="R981" s="12" t="s">
        <v>55</v>
      </c>
      <c r="S981" s="12" t="s">
        <v>55</v>
      </c>
      <c r="T981" s="12" t="s">
        <v>55</v>
      </c>
      <c r="U981" s="10" t="s">
        <v>67</v>
      </c>
      <c r="V981" s="12" t="s">
        <v>55</v>
      </c>
      <c r="W981" s="12" t="s">
        <v>55</v>
      </c>
      <c r="X981" s="12" t="s">
        <v>55</v>
      </c>
      <c r="Y981" s="12" t="s">
        <v>55</v>
      </c>
      <c r="Z981" s="12" t="s">
        <v>55</v>
      </c>
      <c r="AA981" s="12" t="s">
        <v>55</v>
      </c>
      <c r="AB981" s="10" t="s">
        <v>67</v>
      </c>
      <c r="AC981" s="12" t="s">
        <v>55</v>
      </c>
      <c r="AD981" s="8" t="s">
        <v>54</v>
      </c>
      <c r="AE981" s="8" t="s">
        <v>54</v>
      </c>
      <c r="AF981" s="8" t="s">
        <v>54</v>
      </c>
      <c r="AG981" s="8" t="s">
        <v>54</v>
      </c>
      <c r="AH981" s="8" t="s">
        <v>54</v>
      </c>
      <c r="AI981" s="10" t="s">
        <v>67</v>
      </c>
      <c r="AJ981" s="8">
        <f>COUNTIF($E$981:$AI$981,"P")</f>
        <v>5</v>
      </c>
      <c r="AK981" s="8">
        <f>COUNTIF($E$981:$AI$981,"A")</f>
        <v>16</v>
      </c>
      <c r="AL981" s="8">
        <f>SUM($E$982:$AI$982)</f>
        <v>0</v>
      </c>
      <c r="AM981" s="8">
        <f>SUM($E$983:$AI$983)</f>
        <v>0</v>
      </c>
      <c r="AN981" s="8">
        <f>AL981+AM981</f>
        <v>0</v>
      </c>
      <c r="AO981" s="8">
        <f>COUNTIF($E$981:$AI$981,"CL")</f>
        <v>0</v>
      </c>
      <c r="AP981" s="8">
        <f>COUNTIF($E$981:$AI$981,"SL")</f>
        <v>0</v>
      </c>
      <c r="AQ981" s="8">
        <f>COUNTIF($E$981:$AI$981,"EL")</f>
        <v>0</v>
      </c>
      <c r="AR981" s="8">
        <f>COUNTIF($E$981:$AI$981,"H")</f>
        <v>0</v>
      </c>
      <c r="AS981" s="8"/>
      <c r="AT981" s="11" t="s">
        <v>2091</v>
      </c>
    </row>
    <row r="982" spans="1:46" ht="15.1" customHeight="1">
      <c r="A982" s="8"/>
      <c r="B982" s="9"/>
      <c r="C982" s="8"/>
      <c r="D982" s="9"/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11" t="s">
        <v>2091</v>
      </c>
    </row>
    <row r="983" spans="1:46" ht="15.1" customHeight="1">
      <c r="A983" s="8"/>
      <c r="B983" s="9"/>
      <c r="C983" s="8"/>
      <c r="D983" s="9"/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11" t="s">
        <v>2091</v>
      </c>
    </row>
    <row r="984" spans="1:46" ht="15.1" customHeight="1">
      <c r="A984" s="8">
        <v>327</v>
      </c>
      <c r="B984" s="9" t="s">
        <v>2716</v>
      </c>
      <c r="C984" s="8" t="s">
        <v>2717</v>
      </c>
      <c r="D984" s="9" t="s">
        <v>451</v>
      </c>
      <c r="E984" s="8"/>
      <c r="F984" s="8"/>
      <c r="G984" s="10"/>
      <c r="H984" s="8"/>
      <c r="I984" s="8"/>
      <c r="J984" s="8"/>
      <c r="K984" s="12" t="s">
        <v>55</v>
      </c>
      <c r="L984" s="12" t="s">
        <v>55</v>
      </c>
      <c r="M984" s="12" t="s">
        <v>55</v>
      </c>
      <c r="N984" s="10" t="s">
        <v>67</v>
      </c>
      <c r="O984" s="12" t="s">
        <v>55</v>
      </c>
      <c r="P984" s="12" t="s">
        <v>55</v>
      </c>
      <c r="Q984" s="12" t="s">
        <v>55</v>
      </c>
      <c r="R984" s="12" t="s">
        <v>55</v>
      </c>
      <c r="S984" s="12" t="s">
        <v>55</v>
      </c>
      <c r="T984" s="12" t="s">
        <v>55</v>
      </c>
      <c r="U984" s="10" t="s">
        <v>67</v>
      </c>
      <c r="V984" s="12" t="s">
        <v>55</v>
      </c>
      <c r="W984" s="12" t="s">
        <v>55</v>
      </c>
      <c r="X984" s="12" t="s">
        <v>55</v>
      </c>
      <c r="Y984" s="8" t="s">
        <v>54</v>
      </c>
      <c r="Z984" s="8" t="s">
        <v>54</v>
      </c>
      <c r="AA984" s="8" t="s">
        <v>54</v>
      </c>
      <c r="AB984" s="10" t="s">
        <v>67</v>
      </c>
      <c r="AC984" s="8" t="s">
        <v>54</v>
      </c>
      <c r="AD984" s="8" t="s">
        <v>54</v>
      </c>
      <c r="AE984" s="8" t="s">
        <v>54</v>
      </c>
      <c r="AF984" s="8" t="s">
        <v>54</v>
      </c>
      <c r="AG984" s="8" t="s">
        <v>54</v>
      </c>
      <c r="AH984" s="8" t="s">
        <v>54</v>
      </c>
      <c r="AI984" s="10" t="s">
        <v>67</v>
      </c>
      <c r="AJ984" s="8">
        <f>COUNTIF($E$984:$AI$984,"P")</f>
        <v>9</v>
      </c>
      <c r="AK984" s="8">
        <f>COUNTIF($E$984:$AI$984,"A")</f>
        <v>12</v>
      </c>
      <c r="AL984" s="8">
        <f>SUM($E$985:$AI$985)</f>
        <v>0</v>
      </c>
      <c r="AM984" s="8">
        <f>SUM($E$986:$AI$986)</f>
        <v>0</v>
      </c>
      <c r="AN984" s="8">
        <f>AL984+AM984</f>
        <v>0</v>
      </c>
      <c r="AO984" s="8">
        <f>COUNTIF($E$984:$AI$984,"CL")</f>
        <v>0</v>
      </c>
      <c r="AP984" s="8">
        <f>COUNTIF($E$984:$AI$984,"SL")</f>
        <v>0</v>
      </c>
      <c r="AQ984" s="8">
        <f>COUNTIF($E$984:$AI$984,"EL")</f>
        <v>0</v>
      </c>
      <c r="AR984" s="8">
        <f>COUNTIF($E$984:$AI$984,"H")</f>
        <v>0</v>
      </c>
      <c r="AS984" s="8"/>
      <c r="AT984" s="11" t="s">
        <v>2091</v>
      </c>
    </row>
    <row r="985" spans="1:46" ht="15.1" customHeight="1">
      <c r="A985" s="8"/>
      <c r="B985" s="9"/>
      <c r="C985" s="8"/>
      <c r="D985" s="9"/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11" t="s">
        <v>2091</v>
      </c>
    </row>
    <row r="986" spans="1:46" ht="15.1" customHeight="1">
      <c r="A986" s="8"/>
      <c r="B986" s="9"/>
      <c r="C986" s="8"/>
      <c r="D986" s="9"/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11" t="s">
        <v>2091</v>
      </c>
    </row>
    <row r="987" spans="1:46" ht="15.1" customHeight="1">
      <c r="A987" s="8">
        <v>328</v>
      </c>
      <c r="B987" s="9" t="s">
        <v>2718</v>
      </c>
      <c r="C987" s="8" t="s">
        <v>2719</v>
      </c>
      <c r="D987" s="9" t="s">
        <v>451</v>
      </c>
      <c r="E987" s="8"/>
      <c r="F987" s="8"/>
      <c r="G987" s="10"/>
      <c r="H987" s="8"/>
      <c r="I987" s="8"/>
      <c r="J987" s="8"/>
      <c r="K987" s="12" t="s">
        <v>55</v>
      </c>
      <c r="L987" s="12" t="s">
        <v>55</v>
      </c>
      <c r="M987" s="12" t="s">
        <v>55</v>
      </c>
      <c r="N987" s="10" t="s">
        <v>67</v>
      </c>
      <c r="O987" s="12" t="s">
        <v>55</v>
      </c>
      <c r="P987" s="12" t="s">
        <v>55</v>
      </c>
      <c r="Q987" s="12" t="s">
        <v>55</v>
      </c>
      <c r="R987" s="12" t="s">
        <v>55</v>
      </c>
      <c r="S987" s="12" t="s">
        <v>55</v>
      </c>
      <c r="T987" s="12" t="s">
        <v>55</v>
      </c>
      <c r="U987" s="10" t="s">
        <v>67</v>
      </c>
      <c r="V987" s="12" t="s">
        <v>55</v>
      </c>
      <c r="W987" s="12" t="s">
        <v>55</v>
      </c>
      <c r="X987" s="12" t="s">
        <v>55</v>
      </c>
      <c r="Y987" s="8" t="s">
        <v>54</v>
      </c>
      <c r="Z987" s="8" t="s">
        <v>54</v>
      </c>
      <c r="AA987" s="8" t="s">
        <v>54</v>
      </c>
      <c r="AB987" s="10" t="s">
        <v>67</v>
      </c>
      <c r="AC987" s="8" t="s">
        <v>54</v>
      </c>
      <c r="AD987" s="12" t="s">
        <v>55</v>
      </c>
      <c r="AE987" s="12" t="s">
        <v>55</v>
      </c>
      <c r="AF987" s="12" t="s">
        <v>55</v>
      </c>
      <c r="AG987" s="8" t="s">
        <v>54</v>
      </c>
      <c r="AH987" s="8" t="s">
        <v>54</v>
      </c>
      <c r="AI987" s="10" t="s">
        <v>67</v>
      </c>
      <c r="AJ987" s="8">
        <f>COUNTIF($E$987:$AI$987,"P")</f>
        <v>6</v>
      </c>
      <c r="AK987" s="8">
        <f>COUNTIF($E$987:$AI$987,"A")</f>
        <v>15</v>
      </c>
      <c r="AL987" s="8">
        <f>SUM($E$988:$AI$988)</f>
        <v>0</v>
      </c>
      <c r="AM987" s="8">
        <f>SUM($E$989:$AI$989)</f>
        <v>0</v>
      </c>
      <c r="AN987" s="8">
        <f>AL987+AM987</f>
        <v>0</v>
      </c>
      <c r="AO987" s="8">
        <f>COUNTIF($E$987:$AI$987,"CL")</f>
        <v>0</v>
      </c>
      <c r="AP987" s="8">
        <f>COUNTIF($E$987:$AI$987,"SL")</f>
        <v>0</v>
      </c>
      <c r="AQ987" s="8">
        <f>COUNTIF($E$987:$AI$987,"EL")</f>
        <v>0</v>
      </c>
      <c r="AR987" s="8">
        <f>COUNTIF($E$987:$AI$987,"H")</f>
        <v>0</v>
      </c>
      <c r="AS987" s="8"/>
      <c r="AT987" s="11" t="s">
        <v>2091</v>
      </c>
    </row>
    <row r="988" spans="1:46" ht="15.1" customHeight="1">
      <c r="A988" s="8"/>
      <c r="B988" s="9"/>
      <c r="C988" s="8"/>
      <c r="D988" s="9"/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11" t="s">
        <v>2091</v>
      </c>
    </row>
    <row r="989" spans="1:46" ht="15.1" customHeight="1">
      <c r="A989" s="8"/>
      <c r="B989" s="9"/>
      <c r="C989" s="8"/>
      <c r="D989" s="9"/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11" t="s">
        <v>2091</v>
      </c>
    </row>
    <row r="990" spans="1:46" ht="15.1" customHeight="1">
      <c r="A990" s="8">
        <v>329</v>
      </c>
      <c r="B990" s="9" t="s">
        <v>2720</v>
      </c>
      <c r="C990" s="8" t="s">
        <v>2721</v>
      </c>
      <c r="D990" s="9" t="s">
        <v>451</v>
      </c>
      <c r="E990" s="8"/>
      <c r="F990" s="8"/>
      <c r="G990" s="10"/>
      <c r="H990" s="8"/>
      <c r="I990" s="8"/>
      <c r="J990" s="8"/>
      <c r="K990" s="12" t="s">
        <v>55</v>
      </c>
      <c r="L990" s="12" t="s">
        <v>55</v>
      </c>
      <c r="M990" s="12" t="s">
        <v>55</v>
      </c>
      <c r="N990" s="10" t="s">
        <v>67</v>
      </c>
      <c r="O990" s="12" t="s">
        <v>55</v>
      </c>
      <c r="P990" s="12" t="s">
        <v>55</v>
      </c>
      <c r="Q990" s="12" t="s">
        <v>55</v>
      </c>
      <c r="R990" s="12" t="s">
        <v>55</v>
      </c>
      <c r="S990" s="12" t="s">
        <v>55</v>
      </c>
      <c r="T990" s="12" t="s">
        <v>55</v>
      </c>
      <c r="U990" s="10" t="s">
        <v>67</v>
      </c>
      <c r="V990" s="12" t="s">
        <v>55</v>
      </c>
      <c r="W990" s="12" t="s">
        <v>55</v>
      </c>
      <c r="X990" s="12" t="s">
        <v>55</v>
      </c>
      <c r="Y990" s="8" t="s">
        <v>54</v>
      </c>
      <c r="Z990" s="8" t="s">
        <v>54</v>
      </c>
      <c r="AA990" s="8" t="s">
        <v>54</v>
      </c>
      <c r="AB990" s="10" t="s">
        <v>67</v>
      </c>
      <c r="AC990" s="8" t="s">
        <v>54</v>
      </c>
      <c r="AD990" s="8" t="s">
        <v>54</v>
      </c>
      <c r="AE990" s="8" t="s">
        <v>54</v>
      </c>
      <c r="AF990" s="8" t="s">
        <v>54</v>
      </c>
      <c r="AG990" s="8" t="s">
        <v>54</v>
      </c>
      <c r="AH990" s="8" t="s">
        <v>54</v>
      </c>
      <c r="AI990" s="10" t="s">
        <v>67</v>
      </c>
      <c r="AJ990" s="8">
        <f>COUNTIF($E$990:$AI$990,"P")</f>
        <v>9</v>
      </c>
      <c r="AK990" s="8">
        <f>COUNTIF($E$990:$AI$990,"A")</f>
        <v>12</v>
      </c>
      <c r="AL990" s="8">
        <f>SUM($E$991:$AI$991)</f>
        <v>0</v>
      </c>
      <c r="AM990" s="8">
        <f>SUM($E$992:$AI$992)</f>
        <v>0</v>
      </c>
      <c r="AN990" s="8">
        <f>AL990+AM990</f>
        <v>0</v>
      </c>
      <c r="AO990" s="8">
        <f>COUNTIF($E$990:$AI$990,"CL")</f>
        <v>0</v>
      </c>
      <c r="AP990" s="8">
        <f>COUNTIF($E$990:$AI$990,"SL")</f>
        <v>0</v>
      </c>
      <c r="AQ990" s="8">
        <f>COUNTIF($E$990:$AI$990,"EL")</f>
        <v>0</v>
      </c>
      <c r="AR990" s="8">
        <f>COUNTIF($E$990:$AI$990,"H")</f>
        <v>0</v>
      </c>
      <c r="AS990" s="8"/>
      <c r="AT990" s="11" t="s">
        <v>2091</v>
      </c>
    </row>
    <row r="991" spans="1:46" ht="15.1" customHeight="1">
      <c r="A991" s="8"/>
      <c r="B991" s="9"/>
      <c r="C991" s="8"/>
      <c r="D991" s="9"/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11" t="s">
        <v>2091</v>
      </c>
    </row>
    <row r="992" spans="1:46" ht="15.1" customHeight="1">
      <c r="A992" s="8"/>
      <c r="B992" s="9"/>
      <c r="C992" s="8"/>
      <c r="D992" s="9"/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11" t="s">
        <v>2091</v>
      </c>
    </row>
    <row r="993" spans="1:46" ht="15.1" customHeight="1">
      <c r="A993" s="8">
        <v>330</v>
      </c>
      <c r="B993" s="9" t="s">
        <v>2722</v>
      </c>
      <c r="C993" s="8" t="s">
        <v>2723</v>
      </c>
      <c r="D993" s="9" t="s">
        <v>451</v>
      </c>
      <c r="E993" s="8"/>
      <c r="F993" s="8"/>
      <c r="G993" s="10"/>
      <c r="H993" s="8"/>
      <c r="I993" s="8"/>
      <c r="J993" s="8"/>
      <c r="K993" s="12" t="s">
        <v>55</v>
      </c>
      <c r="L993" s="12" t="s">
        <v>55</v>
      </c>
      <c r="M993" s="12" t="s">
        <v>55</v>
      </c>
      <c r="N993" s="10" t="s">
        <v>67</v>
      </c>
      <c r="O993" s="12" t="s">
        <v>55</v>
      </c>
      <c r="P993" s="12" t="s">
        <v>55</v>
      </c>
      <c r="Q993" s="12" t="s">
        <v>55</v>
      </c>
      <c r="R993" s="12" t="s">
        <v>55</v>
      </c>
      <c r="S993" s="12" t="s">
        <v>55</v>
      </c>
      <c r="T993" s="12" t="s">
        <v>55</v>
      </c>
      <c r="U993" s="10" t="s">
        <v>67</v>
      </c>
      <c r="V993" s="12" t="s">
        <v>55</v>
      </c>
      <c r="W993" s="12" t="s">
        <v>55</v>
      </c>
      <c r="X993" s="12" t="s">
        <v>55</v>
      </c>
      <c r="Y993" s="8" t="s">
        <v>54</v>
      </c>
      <c r="Z993" s="8" t="s">
        <v>54</v>
      </c>
      <c r="AA993" s="8" t="s">
        <v>54</v>
      </c>
      <c r="AB993" s="10" t="s">
        <v>67</v>
      </c>
      <c r="AC993" s="8" t="s">
        <v>54</v>
      </c>
      <c r="AD993" s="8" t="s">
        <v>54</v>
      </c>
      <c r="AE993" s="8" t="s">
        <v>54</v>
      </c>
      <c r="AF993" s="8" t="s">
        <v>54</v>
      </c>
      <c r="AG993" s="8" t="s">
        <v>54</v>
      </c>
      <c r="AH993" s="8" t="s">
        <v>54</v>
      </c>
      <c r="AI993" s="10" t="s">
        <v>67</v>
      </c>
      <c r="AJ993" s="8">
        <f>COUNTIF($E$993:$AI$993,"P")</f>
        <v>9</v>
      </c>
      <c r="AK993" s="8">
        <f>COUNTIF($E$993:$AI$993,"A")</f>
        <v>12</v>
      </c>
      <c r="AL993" s="8">
        <f>SUM($E$994:$AI$994)</f>
        <v>0</v>
      </c>
      <c r="AM993" s="8">
        <f>SUM($E$995:$AI$995)</f>
        <v>0</v>
      </c>
      <c r="AN993" s="8">
        <f>AL993+AM993</f>
        <v>0</v>
      </c>
      <c r="AO993" s="8">
        <f>COUNTIF($E$993:$AI$993,"CL")</f>
        <v>0</v>
      </c>
      <c r="AP993" s="8">
        <f>COUNTIF($E$993:$AI$993,"SL")</f>
        <v>0</v>
      </c>
      <c r="AQ993" s="8">
        <f>COUNTIF($E$993:$AI$993,"EL")</f>
        <v>0</v>
      </c>
      <c r="AR993" s="8">
        <f>COUNTIF($E$993:$AI$993,"H")</f>
        <v>0</v>
      </c>
      <c r="AS993" s="8"/>
      <c r="AT993" s="11" t="s">
        <v>2091</v>
      </c>
    </row>
    <row r="994" spans="1:46" ht="15.1" customHeight="1">
      <c r="A994" s="8"/>
      <c r="B994" s="9"/>
      <c r="C994" s="8"/>
      <c r="D994" s="9"/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11" t="s">
        <v>2091</v>
      </c>
    </row>
    <row r="995" spans="1:46" ht="15.1" customHeight="1">
      <c r="A995" s="8"/>
      <c r="B995" s="9"/>
      <c r="C995" s="8"/>
      <c r="D995" s="9"/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11" t="s">
        <v>2091</v>
      </c>
    </row>
    <row r="996" spans="1:46" ht="15.1" customHeight="1">
      <c r="A996" s="8">
        <v>331</v>
      </c>
      <c r="B996" s="9" t="s">
        <v>2724</v>
      </c>
      <c r="C996" s="8" t="s">
        <v>2725</v>
      </c>
      <c r="D996" s="9" t="s">
        <v>451</v>
      </c>
      <c r="E996" s="8"/>
      <c r="F996" s="8"/>
      <c r="G996" s="10"/>
      <c r="H996" s="8"/>
      <c r="I996" s="8"/>
      <c r="J996" s="8"/>
      <c r="K996" s="8"/>
      <c r="L996" s="12" t="s">
        <v>55</v>
      </c>
      <c r="M996" s="12" t="s">
        <v>55</v>
      </c>
      <c r="N996" s="10" t="s">
        <v>67</v>
      </c>
      <c r="O996" s="12" t="s">
        <v>55</v>
      </c>
      <c r="P996" s="12" t="s">
        <v>55</v>
      </c>
      <c r="Q996" s="12" t="s">
        <v>55</v>
      </c>
      <c r="R996" s="12" t="s">
        <v>55</v>
      </c>
      <c r="S996" s="12" t="s">
        <v>55</v>
      </c>
      <c r="T996" s="12" t="s">
        <v>55</v>
      </c>
      <c r="U996" s="10" t="s">
        <v>67</v>
      </c>
      <c r="V996" s="12" t="s">
        <v>55</v>
      </c>
      <c r="W996" s="12" t="s">
        <v>55</v>
      </c>
      <c r="X996" s="12" t="s">
        <v>55</v>
      </c>
      <c r="Y996" s="8" t="s">
        <v>54</v>
      </c>
      <c r="Z996" s="8" t="s">
        <v>54</v>
      </c>
      <c r="AA996" s="8" t="s">
        <v>54</v>
      </c>
      <c r="AB996" s="10" t="s">
        <v>67</v>
      </c>
      <c r="AC996" s="8" t="s">
        <v>54</v>
      </c>
      <c r="AD996" s="8" t="s">
        <v>54</v>
      </c>
      <c r="AE996" s="8" t="s">
        <v>54</v>
      </c>
      <c r="AF996" s="8" t="s">
        <v>54</v>
      </c>
      <c r="AG996" s="8" t="s">
        <v>54</v>
      </c>
      <c r="AH996" s="8" t="s">
        <v>54</v>
      </c>
      <c r="AI996" s="10" t="s">
        <v>67</v>
      </c>
      <c r="AJ996" s="8">
        <f>COUNTIF($E$996:$AI$996,"P")</f>
        <v>9</v>
      </c>
      <c r="AK996" s="8">
        <f>COUNTIF($E$996:$AI$996,"A")</f>
        <v>11</v>
      </c>
      <c r="AL996" s="8">
        <f>SUM($E$997:$AI$997)</f>
        <v>0</v>
      </c>
      <c r="AM996" s="8">
        <f>SUM($E$998:$AI$998)</f>
        <v>0</v>
      </c>
      <c r="AN996" s="8">
        <f>AL996+AM996</f>
        <v>0</v>
      </c>
      <c r="AO996" s="8">
        <f>COUNTIF($E$996:$AI$996,"CL")</f>
        <v>0</v>
      </c>
      <c r="AP996" s="8">
        <f>COUNTIF($E$996:$AI$996,"SL")</f>
        <v>0</v>
      </c>
      <c r="AQ996" s="8">
        <f>COUNTIF($E$996:$AI$996,"EL")</f>
        <v>0</v>
      </c>
      <c r="AR996" s="8">
        <f>COUNTIF($E$996:$AI$996,"H")</f>
        <v>0</v>
      </c>
      <c r="AS996" s="8"/>
      <c r="AT996" s="11" t="s">
        <v>2091</v>
      </c>
    </row>
    <row r="997" spans="1:46" ht="15.1" customHeight="1">
      <c r="A997" s="8"/>
      <c r="B997" s="9"/>
      <c r="C997" s="8"/>
      <c r="D997" s="9"/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11" t="s">
        <v>2091</v>
      </c>
    </row>
    <row r="998" spans="1:46" ht="15.1" customHeight="1">
      <c r="A998" s="8"/>
      <c r="B998" s="9"/>
      <c r="C998" s="8"/>
      <c r="D998" s="9"/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11" t="s">
        <v>2091</v>
      </c>
    </row>
    <row r="999" spans="1:46" ht="15.1" customHeight="1">
      <c r="A999" s="8">
        <v>332</v>
      </c>
      <c r="B999" s="9" t="s">
        <v>2726</v>
      </c>
      <c r="C999" s="8" t="s">
        <v>2727</v>
      </c>
      <c r="D999" s="9" t="s">
        <v>451</v>
      </c>
      <c r="E999" s="8"/>
      <c r="F999" s="8"/>
      <c r="G999" s="10"/>
      <c r="H999" s="8"/>
      <c r="I999" s="8"/>
      <c r="J999" s="8"/>
      <c r="K999" s="8"/>
      <c r="L999" s="12" t="s">
        <v>55</v>
      </c>
      <c r="M999" s="12" t="s">
        <v>55</v>
      </c>
      <c r="N999" s="10" t="s">
        <v>67</v>
      </c>
      <c r="O999" s="12" t="s">
        <v>55</v>
      </c>
      <c r="P999" s="12" t="s">
        <v>55</v>
      </c>
      <c r="Q999" s="12" t="s">
        <v>55</v>
      </c>
      <c r="R999" s="12" t="s">
        <v>55</v>
      </c>
      <c r="S999" s="12" t="s">
        <v>55</v>
      </c>
      <c r="T999" s="12" t="s">
        <v>55</v>
      </c>
      <c r="U999" s="10" t="s">
        <v>67</v>
      </c>
      <c r="V999" s="12" t="s">
        <v>55</v>
      </c>
      <c r="W999" s="12" t="s">
        <v>55</v>
      </c>
      <c r="X999" s="12" t="s">
        <v>55</v>
      </c>
      <c r="Y999" s="8" t="s">
        <v>54</v>
      </c>
      <c r="Z999" s="8" t="s">
        <v>54</v>
      </c>
      <c r="AA999" s="8" t="s">
        <v>54</v>
      </c>
      <c r="AB999" s="10" t="s">
        <v>67</v>
      </c>
      <c r="AC999" s="8" t="s">
        <v>54</v>
      </c>
      <c r="AD999" s="8" t="s">
        <v>54</v>
      </c>
      <c r="AE999" s="8" t="s">
        <v>54</v>
      </c>
      <c r="AF999" s="8" t="s">
        <v>54</v>
      </c>
      <c r="AG999" s="8" t="s">
        <v>54</v>
      </c>
      <c r="AH999" s="12" t="s">
        <v>55</v>
      </c>
      <c r="AI999" s="10" t="s">
        <v>67</v>
      </c>
      <c r="AJ999" s="8">
        <f>COUNTIF($E$999:$AI$999,"P")</f>
        <v>8</v>
      </c>
      <c r="AK999" s="8">
        <f>COUNTIF($E$999:$AI$999,"A")</f>
        <v>12</v>
      </c>
      <c r="AL999" s="8">
        <f>SUM($E$1000:$AI$1000)</f>
        <v>0</v>
      </c>
      <c r="AM999" s="8">
        <f>SUM($E$1001:$AI$1001)</f>
        <v>0</v>
      </c>
      <c r="AN999" s="8">
        <f>AL999+AM999</f>
        <v>0</v>
      </c>
      <c r="AO999" s="8">
        <f>COUNTIF($E$999:$AI$999,"CL")</f>
        <v>0</v>
      </c>
      <c r="AP999" s="8">
        <f>COUNTIF($E$999:$AI$999,"SL")</f>
        <v>0</v>
      </c>
      <c r="AQ999" s="8">
        <f>COUNTIF($E$999:$AI$999,"EL")</f>
        <v>0</v>
      </c>
      <c r="AR999" s="8">
        <f>COUNTIF($E$999:$AI$999,"H")</f>
        <v>0</v>
      </c>
      <c r="AS999" s="8"/>
      <c r="AT999" s="11" t="s">
        <v>2091</v>
      </c>
    </row>
    <row r="1000" spans="1:46" ht="15.1" customHeight="1">
      <c r="A1000" s="8"/>
      <c r="B1000" s="9"/>
      <c r="C1000" s="8"/>
      <c r="D1000" s="9"/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11" t="s">
        <v>2091</v>
      </c>
    </row>
    <row r="1001" spans="1:46" ht="15.1" customHeight="1">
      <c r="A1001" s="8"/>
      <c r="B1001" s="9"/>
      <c r="C1001" s="8"/>
      <c r="D1001" s="9"/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11" t="s">
        <v>2091</v>
      </c>
    </row>
    <row r="1002" spans="1:46" ht="15.1" customHeight="1">
      <c r="A1002" s="8">
        <v>333</v>
      </c>
      <c r="B1002" s="9" t="s">
        <v>2728</v>
      </c>
      <c r="C1002" s="8" t="s">
        <v>2729</v>
      </c>
      <c r="D1002" s="9" t="s">
        <v>451</v>
      </c>
      <c r="E1002" s="8"/>
      <c r="F1002" s="8"/>
      <c r="G1002" s="10"/>
      <c r="H1002" s="8"/>
      <c r="I1002" s="8"/>
      <c r="J1002" s="8"/>
      <c r="K1002" s="8"/>
      <c r="L1002" s="8"/>
      <c r="M1002" s="12" t="s">
        <v>55</v>
      </c>
      <c r="N1002" s="10" t="s">
        <v>67</v>
      </c>
      <c r="O1002" s="12" t="s">
        <v>55</v>
      </c>
      <c r="P1002" s="12" t="s">
        <v>55</v>
      </c>
      <c r="Q1002" s="12" t="s">
        <v>55</v>
      </c>
      <c r="R1002" s="12" t="s">
        <v>55</v>
      </c>
      <c r="S1002" s="12" t="s">
        <v>55</v>
      </c>
      <c r="T1002" s="12" t="s">
        <v>55</v>
      </c>
      <c r="U1002" s="10" t="s">
        <v>67</v>
      </c>
      <c r="V1002" s="12" t="s">
        <v>55</v>
      </c>
      <c r="W1002" s="12" t="s">
        <v>55</v>
      </c>
      <c r="X1002" s="12" t="s">
        <v>55</v>
      </c>
      <c r="Y1002" s="12" t="s">
        <v>55</v>
      </c>
      <c r="Z1002" s="12" t="s">
        <v>55</v>
      </c>
      <c r="AA1002" s="12" t="s">
        <v>55</v>
      </c>
      <c r="AB1002" s="10" t="s">
        <v>67</v>
      </c>
      <c r="AC1002" s="12" t="s">
        <v>55</v>
      </c>
      <c r="AD1002" s="8" t="s">
        <v>54</v>
      </c>
      <c r="AE1002" s="8" t="s">
        <v>54</v>
      </c>
      <c r="AF1002" s="8" t="s">
        <v>54</v>
      </c>
      <c r="AG1002" s="8" t="s">
        <v>54</v>
      </c>
      <c r="AH1002" s="12" t="s">
        <v>55</v>
      </c>
      <c r="AI1002" s="10" t="s">
        <v>67</v>
      </c>
      <c r="AJ1002" s="8">
        <f>COUNTIF($E$1002:$AI$1002,"P")</f>
        <v>4</v>
      </c>
      <c r="AK1002" s="8">
        <f>COUNTIF($E$1002:$AI$1002,"A")</f>
        <v>15</v>
      </c>
      <c r="AL1002" s="8">
        <f>SUM($E$1003:$AI$1003)</f>
        <v>0</v>
      </c>
      <c r="AM1002" s="8">
        <f>SUM($E$1004:$AI$1004)</f>
        <v>0</v>
      </c>
      <c r="AN1002" s="8">
        <f>AL1002+AM1002</f>
        <v>0</v>
      </c>
      <c r="AO1002" s="8">
        <f>COUNTIF($E$1002:$AI$1002,"CL")</f>
        <v>0</v>
      </c>
      <c r="AP1002" s="8">
        <f>COUNTIF($E$1002:$AI$1002,"SL")</f>
        <v>0</v>
      </c>
      <c r="AQ1002" s="8">
        <f>COUNTIF($E$1002:$AI$1002,"EL")</f>
        <v>0</v>
      </c>
      <c r="AR1002" s="8">
        <f>COUNTIF($E$1002:$AI$1002,"H")</f>
        <v>0</v>
      </c>
      <c r="AS1002" s="8"/>
      <c r="AT1002" s="11" t="s">
        <v>2091</v>
      </c>
    </row>
    <row r="1003" spans="1:46" ht="15.1" customHeight="1">
      <c r="A1003" s="8"/>
      <c r="B1003" s="9"/>
      <c r="C1003" s="8"/>
      <c r="D1003" s="9"/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11" t="s">
        <v>2091</v>
      </c>
    </row>
    <row r="1004" spans="1:46" ht="15.1" customHeight="1">
      <c r="A1004" s="8"/>
      <c r="B1004" s="9"/>
      <c r="C1004" s="8"/>
      <c r="D1004" s="9"/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11" t="s">
        <v>2091</v>
      </c>
    </row>
    <row r="1005" spans="1:46" ht="15.1" customHeight="1">
      <c r="A1005" s="8">
        <v>334</v>
      </c>
      <c r="B1005" s="9" t="s">
        <v>2730</v>
      </c>
      <c r="C1005" s="8" t="s">
        <v>2731</v>
      </c>
      <c r="D1005" s="9" t="s">
        <v>451</v>
      </c>
      <c r="E1005" s="8"/>
      <c r="F1005" s="8"/>
      <c r="G1005" s="10"/>
      <c r="H1005" s="8"/>
      <c r="I1005" s="8"/>
      <c r="J1005" s="8"/>
      <c r="K1005" s="8"/>
      <c r="L1005" s="8"/>
      <c r="M1005" s="12" t="s">
        <v>55</v>
      </c>
      <c r="N1005" s="10" t="s">
        <v>67</v>
      </c>
      <c r="O1005" s="12" t="s">
        <v>55</v>
      </c>
      <c r="P1005" s="12" t="s">
        <v>55</v>
      </c>
      <c r="Q1005" s="12" t="s">
        <v>55</v>
      </c>
      <c r="R1005" s="12" t="s">
        <v>55</v>
      </c>
      <c r="S1005" s="12" t="s">
        <v>55</v>
      </c>
      <c r="T1005" s="12" t="s">
        <v>55</v>
      </c>
      <c r="U1005" s="10" t="s">
        <v>67</v>
      </c>
      <c r="V1005" s="12" t="s">
        <v>55</v>
      </c>
      <c r="W1005" s="12" t="s">
        <v>55</v>
      </c>
      <c r="X1005" s="12" t="s">
        <v>55</v>
      </c>
      <c r="Y1005" s="12" t="s">
        <v>55</v>
      </c>
      <c r="Z1005" s="12" t="s">
        <v>55</v>
      </c>
      <c r="AA1005" s="8" t="s">
        <v>54</v>
      </c>
      <c r="AB1005" s="10" t="s">
        <v>67</v>
      </c>
      <c r="AC1005" s="8" t="s">
        <v>54</v>
      </c>
      <c r="AD1005" s="8" t="s">
        <v>54</v>
      </c>
      <c r="AE1005" s="8" t="s">
        <v>54</v>
      </c>
      <c r="AF1005" s="8" t="s">
        <v>54</v>
      </c>
      <c r="AG1005" s="12" t="s">
        <v>55</v>
      </c>
      <c r="AH1005" s="8" t="s">
        <v>54</v>
      </c>
      <c r="AI1005" s="10" t="s">
        <v>67</v>
      </c>
      <c r="AJ1005" s="8">
        <f>COUNTIF($E$1005:$AI$1005,"P")</f>
        <v>6</v>
      </c>
      <c r="AK1005" s="8">
        <f>COUNTIF($E$1005:$AI$1005,"A")</f>
        <v>13</v>
      </c>
      <c r="AL1005" s="8">
        <f>SUM($E$1006:$AI$1006)</f>
        <v>0</v>
      </c>
      <c r="AM1005" s="8">
        <f>SUM($E$1007:$AI$1007)</f>
        <v>0</v>
      </c>
      <c r="AN1005" s="8">
        <f>AL1005+AM1005</f>
        <v>0</v>
      </c>
      <c r="AO1005" s="8">
        <f>COUNTIF($E$1005:$AI$1005,"CL")</f>
        <v>0</v>
      </c>
      <c r="AP1005" s="8">
        <f>COUNTIF($E$1005:$AI$1005,"SL")</f>
        <v>0</v>
      </c>
      <c r="AQ1005" s="8">
        <f>COUNTIF($E$1005:$AI$1005,"EL")</f>
        <v>0</v>
      </c>
      <c r="AR1005" s="8">
        <f>COUNTIF($E$1005:$AI$1005,"H")</f>
        <v>0</v>
      </c>
      <c r="AS1005" s="8"/>
      <c r="AT1005" s="11" t="s">
        <v>2091</v>
      </c>
    </row>
    <row r="1006" spans="1:46" ht="15.1" customHeight="1">
      <c r="A1006" s="8"/>
      <c r="B1006" s="9"/>
      <c r="C1006" s="8"/>
      <c r="D1006" s="9"/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11" t="s">
        <v>2091</v>
      </c>
    </row>
    <row r="1007" spans="1:46" ht="15.1" customHeight="1">
      <c r="A1007" s="8"/>
      <c r="B1007" s="9"/>
      <c r="C1007" s="8"/>
      <c r="D1007" s="9"/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11" t="s">
        <v>2091</v>
      </c>
    </row>
    <row r="1008" spans="1:46" ht="15.1" customHeight="1">
      <c r="A1008" s="8">
        <v>335</v>
      </c>
      <c r="B1008" s="9" t="s">
        <v>2732</v>
      </c>
      <c r="C1008" s="8" t="s">
        <v>2733</v>
      </c>
      <c r="D1008" s="9" t="s">
        <v>451</v>
      </c>
      <c r="E1008" s="8" t="s">
        <v>54</v>
      </c>
      <c r="F1008" s="8" t="s">
        <v>54</v>
      </c>
      <c r="G1008" s="10" t="s">
        <v>67</v>
      </c>
      <c r="H1008" s="8" t="s">
        <v>54</v>
      </c>
      <c r="I1008" s="8" t="s">
        <v>54</v>
      </c>
      <c r="J1008" s="8" t="s">
        <v>54</v>
      </c>
      <c r="K1008" s="8" t="s">
        <v>54</v>
      </c>
      <c r="L1008" s="8" t="s">
        <v>54</v>
      </c>
      <c r="M1008" s="8" t="s">
        <v>54</v>
      </c>
      <c r="N1008" s="10" t="s">
        <v>67</v>
      </c>
      <c r="O1008" s="8" t="s">
        <v>54</v>
      </c>
      <c r="P1008" s="8" t="s">
        <v>54</v>
      </c>
      <c r="Q1008" s="8" t="s">
        <v>54</v>
      </c>
      <c r="R1008" s="8" t="s">
        <v>54</v>
      </c>
      <c r="S1008" s="8" t="s">
        <v>54</v>
      </c>
      <c r="T1008" s="8" t="s">
        <v>54</v>
      </c>
      <c r="U1008" s="10" t="s">
        <v>67</v>
      </c>
      <c r="V1008" s="8" t="s">
        <v>54</v>
      </c>
      <c r="W1008" s="8" t="s">
        <v>54</v>
      </c>
      <c r="X1008" s="8" t="s">
        <v>54</v>
      </c>
      <c r="Y1008" s="8" t="s">
        <v>54</v>
      </c>
      <c r="Z1008" s="8" t="s">
        <v>54</v>
      </c>
      <c r="AA1008" s="8" t="s">
        <v>54</v>
      </c>
      <c r="AB1008" s="10" t="s">
        <v>67</v>
      </c>
      <c r="AC1008" s="8" t="s">
        <v>54</v>
      </c>
      <c r="AD1008" s="8" t="s">
        <v>54</v>
      </c>
      <c r="AE1008" s="8" t="s">
        <v>54</v>
      </c>
      <c r="AF1008" s="8" t="s">
        <v>54</v>
      </c>
      <c r="AG1008" s="12" t="s">
        <v>55</v>
      </c>
      <c r="AH1008" s="12" t="s">
        <v>55</v>
      </c>
      <c r="AI1008" s="10" t="s">
        <v>67</v>
      </c>
      <c r="AJ1008" s="8">
        <f>COUNTIF($E$1008:$AI$1008,"P")</f>
        <v>24</v>
      </c>
      <c r="AK1008" s="8">
        <f>COUNTIF($E$1008:$AI$1008,"A")</f>
        <v>2</v>
      </c>
      <c r="AL1008" s="8">
        <f>SUM($E$1009:$AI$1009)</f>
        <v>0</v>
      </c>
      <c r="AM1008" s="8">
        <f>SUM($E$1010:$AI$1010)</f>
        <v>0</v>
      </c>
      <c r="AN1008" s="8">
        <f>AL1008+AM1008</f>
        <v>0</v>
      </c>
      <c r="AO1008" s="8">
        <f>COUNTIF($E$1008:$AI$1008,"CL")</f>
        <v>0</v>
      </c>
      <c r="AP1008" s="8">
        <f>COUNTIF($E$1008:$AI$1008,"SL")</f>
        <v>0</v>
      </c>
      <c r="AQ1008" s="8">
        <f>COUNTIF($E$1008:$AI$1008,"EL")</f>
        <v>0</v>
      </c>
      <c r="AR1008" s="8">
        <f>COUNTIF($E$1008:$AI$1008,"H")</f>
        <v>0</v>
      </c>
      <c r="AS1008" s="8"/>
      <c r="AT1008" s="11" t="s">
        <v>260</v>
      </c>
    </row>
    <row r="1009" spans="1:46" ht="15.1" customHeight="1">
      <c r="A1009" s="8"/>
      <c r="B1009" s="9"/>
      <c r="C1009" s="8"/>
      <c r="D1009" s="9"/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11" t="s">
        <v>260</v>
      </c>
    </row>
    <row r="1010" spans="1:46" ht="15.1" customHeight="1">
      <c r="A1010" s="8"/>
      <c r="B1010" s="9"/>
      <c r="C1010" s="8"/>
      <c r="D1010" s="9"/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11" t="s">
        <v>260</v>
      </c>
    </row>
    <row r="1011" spans="1:46" ht="15.1" customHeight="1">
      <c r="A1011" s="8">
        <v>336</v>
      </c>
      <c r="B1011" s="9" t="s">
        <v>2734</v>
      </c>
      <c r="C1011" s="8" t="s">
        <v>2735</v>
      </c>
      <c r="D1011" s="9" t="s">
        <v>451</v>
      </c>
      <c r="E1011" s="8" t="s">
        <v>54</v>
      </c>
      <c r="F1011" s="8" t="s">
        <v>54</v>
      </c>
      <c r="G1011" s="10" t="s">
        <v>67</v>
      </c>
      <c r="H1011" s="12" t="s">
        <v>55</v>
      </c>
      <c r="I1011" s="12" t="s">
        <v>55</v>
      </c>
      <c r="J1011" s="8" t="s">
        <v>54</v>
      </c>
      <c r="K1011" s="8" t="s">
        <v>54</v>
      </c>
      <c r="L1011" s="8" t="s">
        <v>54</v>
      </c>
      <c r="M1011" s="8" t="s">
        <v>54</v>
      </c>
      <c r="N1011" s="10" t="s">
        <v>67</v>
      </c>
      <c r="O1011" s="8" t="s">
        <v>54</v>
      </c>
      <c r="P1011" s="8" t="s">
        <v>54</v>
      </c>
      <c r="Q1011" s="8" t="s">
        <v>54</v>
      </c>
      <c r="R1011" s="8" t="s">
        <v>54</v>
      </c>
      <c r="S1011" s="8" t="s">
        <v>54</v>
      </c>
      <c r="T1011" s="8" t="s">
        <v>54</v>
      </c>
      <c r="U1011" s="10" t="s">
        <v>67</v>
      </c>
      <c r="V1011" s="8" t="s">
        <v>54</v>
      </c>
      <c r="W1011" s="8" t="s">
        <v>54</v>
      </c>
      <c r="X1011" s="12" t="s">
        <v>55</v>
      </c>
      <c r="Y1011" s="8" t="s">
        <v>54</v>
      </c>
      <c r="Z1011" s="8" t="s">
        <v>54</v>
      </c>
      <c r="AA1011" s="8" t="s">
        <v>54</v>
      </c>
      <c r="AB1011" s="10" t="s">
        <v>67</v>
      </c>
      <c r="AC1011" s="8" t="s">
        <v>54</v>
      </c>
      <c r="AD1011" s="8" t="s">
        <v>54</v>
      </c>
      <c r="AE1011" s="8" t="s">
        <v>54</v>
      </c>
      <c r="AF1011" s="8" t="s">
        <v>54</v>
      </c>
      <c r="AG1011" s="8" t="s">
        <v>54</v>
      </c>
      <c r="AH1011" s="8" t="s">
        <v>54</v>
      </c>
      <c r="AI1011" s="10" t="s">
        <v>67</v>
      </c>
      <c r="AJ1011" s="8">
        <f>COUNTIF($E$1011:$AI$1011,"P")</f>
        <v>23</v>
      </c>
      <c r="AK1011" s="8">
        <f>COUNTIF($E$1011:$AI$1011,"A")</f>
        <v>3</v>
      </c>
      <c r="AL1011" s="8">
        <f>SUM($E$1012:$AI$1012)</f>
        <v>0</v>
      </c>
      <c r="AM1011" s="8">
        <f>SUM($E$1013:$AI$1013)</f>
        <v>0</v>
      </c>
      <c r="AN1011" s="8">
        <f>AL1011+AM1011</f>
        <v>0</v>
      </c>
      <c r="AO1011" s="8">
        <f>COUNTIF($E$1011:$AI$1011,"CL")</f>
        <v>0</v>
      </c>
      <c r="AP1011" s="8">
        <f>COUNTIF($E$1011:$AI$1011,"SL")</f>
        <v>0</v>
      </c>
      <c r="AQ1011" s="8">
        <f>COUNTIF($E$1011:$AI$1011,"EL")</f>
        <v>0</v>
      </c>
      <c r="AR1011" s="8">
        <f>COUNTIF($E$1011:$AI$1011,"H")</f>
        <v>0</v>
      </c>
      <c r="AS1011" s="8"/>
      <c r="AT1011" s="11" t="s">
        <v>260</v>
      </c>
    </row>
    <row r="1012" spans="1:46" ht="15.1" customHeight="1">
      <c r="A1012" s="8"/>
      <c r="B1012" s="9"/>
      <c r="C1012" s="8"/>
      <c r="D1012" s="9"/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11" t="s">
        <v>260</v>
      </c>
    </row>
    <row r="1013" spans="1:46" ht="15.1" customHeight="1">
      <c r="A1013" s="8"/>
      <c r="B1013" s="9"/>
      <c r="C1013" s="8"/>
      <c r="D1013" s="9"/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11" t="s">
        <v>260</v>
      </c>
    </row>
    <row r="1014" spans="1:46" ht="15.1" customHeight="1">
      <c r="A1014" s="8">
        <v>337</v>
      </c>
      <c r="B1014" s="9" t="s">
        <v>774</v>
      </c>
      <c r="C1014" s="8" t="s">
        <v>2736</v>
      </c>
      <c r="D1014" s="9" t="s">
        <v>266</v>
      </c>
      <c r="E1014" s="8" t="s">
        <v>54</v>
      </c>
      <c r="F1014" s="8" t="s">
        <v>54</v>
      </c>
      <c r="G1014" s="10" t="s">
        <v>67</v>
      </c>
      <c r="H1014" s="8" t="s">
        <v>54</v>
      </c>
      <c r="I1014" s="12" t="s">
        <v>55</v>
      </c>
      <c r="J1014" s="8" t="s">
        <v>54</v>
      </c>
      <c r="K1014" s="8" t="s">
        <v>54</v>
      </c>
      <c r="L1014" s="8" t="s">
        <v>54</v>
      </c>
      <c r="M1014" s="8" t="s">
        <v>54</v>
      </c>
      <c r="N1014" s="10" t="s">
        <v>67</v>
      </c>
      <c r="O1014" s="8" t="s">
        <v>54</v>
      </c>
      <c r="P1014" s="8" t="s">
        <v>54</v>
      </c>
      <c r="Q1014" s="8" t="s">
        <v>54</v>
      </c>
      <c r="R1014" s="8" t="s">
        <v>54</v>
      </c>
      <c r="S1014" s="8" t="s">
        <v>54</v>
      </c>
      <c r="T1014" s="8" t="s">
        <v>54</v>
      </c>
      <c r="U1014" s="10" t="s">
        <v>67</v>
      </c>
      <c r="V1014" s="8" t="s">
        <v>54</v>
      </c>
      <c r="W1014" s="8" t="s">
        <v>54</v>
      </c>
      <c r="X1014" s="8" t="s">
        <v>54</v>
      </c>
      <c r="Y1014" s="8" t="s">
        <v>54</v>
      </c>
      <c r="Z1014" s="8" t="s">
        <v>54</v>
      </c>
      <c r="AA1014" s="8" t="s">
        <v>54</v>
      </c>
      <c r="AB1014" s="10" t="s">
        <v>67</v>
      </c>
      <c r="AC1014" s="8" t="s">
        <v>54</v>
      </c>
      <c r="AD1014" s="8" t="s">
        <v>54</v>
      </c>
      <c r="AE1014" s="8" t="s">
        <v>54</v>
      </c>
      <c r="AF1014" s="8" t="s">
        <v>54</v>
      </c>
      <c r="AG1014" s="8" t="s">
        <v>54</v>
      </c>
      <c r="AH1014" s="8" t="s">
        <v>54</v>
      </c>
      <c r="AI1014" s="10" t="s">
        <v>67</v>
      </c>
      <c r="AJ1014" s="8">
        <f>COUNTIF($E$1014:$AI$1014,"P")</f>
        <v>25</v>
      </c>
      <c r="AK1014" s="8">
        <f>COUNTIF($E$1014:$AI$1014,"A")</f>
        <v>1</v>
      </c>
      <c r="AL1014" s="8">
        <f>SUM($E$1015:$AI$1015)</f>
        <v>0</v>
      </c>
      <c r="AM1014" s="8">
        <f>SUM($E$1016:$AI$1016)</f>
        <v>0</v>
      </c>
      <c r="AN1014" s="8">
        <f>AL1014+AM1014</f>
        <v>0</v>
      </c>
      <c r="AO1014" s="8">
        <f>COUNTIF($E$1014:$AI$1014,"CL")</f>
        <v>0</v>
      </c>
      <c r="AP1014" s="8">
        <f>COUNTIF($E$1014:$AI$1014,"SL")</f>
        <v>0</v>
      </c>
      <c r="AQ1014" s="8">
        <f>COUNTIF($E$1014:$AI$1014,"EL")</f>
        <v>0</v>
      </c>
      <c r="AR1014" s="8">
        <f>COUNTIF($E$1014:$AI$1014,"H")</f>
        <v>0</v>
      </c>
      <c r="AS1014" s="8"/>
      <c r="AT1014" s="11" t="s">
        <v>260</v>
      </c>
    </row>
    <row r="1015" spans="1:46" ht="15.1" customHeight="1">
      <c r="A1015" s="8"/>
      <c r="B1015" s="9"/>
      <c r="C1015" s="8"/>
      <c r="D1015" s="9"/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11" t="s">
        <v>260</v>
      </c>
    </row>
    <row r="1016" spans="1:46" ht="15.1" customHeight="1">
      <c r="A1016" s="8"/>
      <c r="B1016" s="9"/>
      <c r="C1016" s="8"/>
      <c r="D1016" s="9"/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11" t="s">
        <v>260</v>
      </c>
    </row>
    <row r="1017" spans="1:46" ht="15.1" customHeight="1">
      <c r="A1017" s="8">
        <v>338</v>
      </c>
      <c r="B1017" s="9" t="s">
        <v>2737</v>
      </c>
      <c r="C1017" s="8" t="s">
        <v>2738</v>
      </c>
      <c r="D1017" s="9" t="s">
        <v>266</v>
      </c>
      <c r="E1017" s="12" t="s">
        <v>55</v>
      </c>
      <c r="F1017" s="8" t="s">
        <v>54</v>
      </c>
      <c r="G1017" s="10" t="s">
        <v>67</v>
      </c>
      <c r="H1017" s="8" t="s">
        <v>54</v>
      </c>
      <c r="I1017" s="8" t="s">
        <v>54</v>
      </c>
      <c r="J1017" s="8" t="s">
        <v>54</v>
      </c>
      <c r="K1017" s="8" t="s">
        <v>54</v>
      </c>
      <c r="L1017" s="8" t="s">
        <v>54</v>
      </c>
      <c r="M1017" s="8" t="s">
        <v>54</v>
      </c>
      <c r="N1017" s="10" t="s">
        <v>67</v>
      </c>
      <c r="O1017" s="8" t="s">
        <v>54</v>
      </c>
      <c r="P1017" s="8" t="s">
        <v>54</v>
      </c>
      <c r="Q1017" s="8" t="s">
        <v>54</v>
      </c>
      <c r="R1017" s="8" t="s">
        <v>54</v>
      </c>
      <c r="S1017" s="8" t="s">
        <v>54</v>
      </c>
      <c r="T1017" s="8" t="s">
        <v>54</v>
      </c>
      <c r="U1017" s="10" t="s">
        <v>67</v>
      </c>
      <c r="V1017" s="8" t="s">
        <v>54</v>
      </c>
      <c r="W1017" s="8" t="s">
        <v>54</v>
      </c>
      <c r="X1017" s="8" t="s">
        <v>54</v>
      </c>
      <c r="Y1017" s="8" t="s">
        <v>54</v>
      </c>
      <c r="Z1017" s="12" t="s">
        <v>55</v>
      </c>
      <c r="AA1017" s="12" t="s">
        <v>55</v>
      </c>
      <c r="AB1017" s="10" t="s">
        <v>67</v>
      </c>
      <c r="AC1017" s="12" t="s">
        <v>55</v>
      </c>
      <c r="AD1017" s="12" t="s">
        <v>55</v>
      </c>
      <c r="AE1017" s="8" t="s">
        <v>54</v>
      </c>
      <c r="AF1017" s="8" t="s">
        <v>54</v>
      </c>
      <c r="AG1017" s="8" t="s">
        <v>54</v>
      </c>
      <c r="AH1017" s="12" t="s">
        <v>55</v>
      </c>
      <c r="AI1017" s="10" t="s">
        <v>67</v>
      </c>
      <c r="AJ1017" s="8">
        <f>COUNTIF($E$1017:$AI$1017,"P")</f>
        <v>20</v>
      </c>
      <c r="AK1017" s="8">
        <f>COUNTIF($E$1017:$AI$1017,"A")</f>
        <v>6</v>
      </c>
      <c r="AL1017" s="8">
        <f>SUM($E$1018:$AI$1018)</f>
        <v>0</v>
      </c>
      <c r="AM1017" s="8">
        <f>SUM($E$1019:$AI$1019)</f>
        <v>0</v>
      </c>
      <c r="AN1017" s="8">
        <f>AL1017+AM1017</f>
        <v>0</v>
      </c>
      <c r="AO1017" s="8">
        <f>COUNTIF($E$1017:$AI$1017,"CL")</f>
        <v>0</v>
      </c>
      <c r="AP1017" s="8">
        <f>COUNTIF($E$1017:$AI$1017,"SL")</f>
        <v>0</v>
      </c>
      <c r="AQ1017" s="8">
        <f>COUNTIF($E$1017:$AI$1017,"EL")</f>
        <v>0</v>
      </c>
      <c r="AR1017" s="8">
        <f>COUNTIF($E$1017:$AI$1017,"H")</f>
        <v>0</v>
      </c>
      <c r="AS1017" s="8"/>
      <c r="AT1017" s="11" t="s">
        <v>260</v>
      </c>
    </row>
    <row r="1018" spans="1:46" ht="15.1" customHeight="1">
      <c r="A1018" s="8"/>
      <c r="B1018" s="9"/>
      <c r="C1018" s="8"/>
      <c r="D1018" s="9"/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11" t="s">
        <v>260</v>
      </c>
    </row>
    <row r="1019" spans="1:46" ht="15.1" customHeight="1">
      <c r="A1019" s="8"/>
      <c r="B1019" s="9"/>
      <c r="C1019" s="8"/>
      <c r="D1019" s="9"/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11" t="s">
        <v>260</v>
      </c>
    </row>
    <row r="1020" spans="1:46" ht="15.1" customHeight="1">
      <c r="A1020" s="8">
        <v>339</v>
      </c>
      <c r="B1020" s="9" t="s">
        <v>2739</v>
      </c>
      <c r="C1020" s="8" t="s">
        <v>2740</v>
      </c>
      <c r="D1020" s="9" t="s">
        <v>266</v>
      </c>
      <c r="E1020" s="8" t="s">
        <v>54</v>
      </c>
      <c r="F1020" s="8" t="s">
        <v>54</v>
      </c>
      <c r="G1020" s="10" t="s">
        <v>67</v>
      </c>
      <c r="H1020" s="8" t="s">
        <v>54</v>
      </c>
      <c r="I1020" s="8" t="s">
        <v>54</v>
      </c>
      <c r="J1020" s="12" t="s">
        <v>55</v>
      </c>
      <c r="K1020" s="8" t="s">
        <v>54</v>
      </c>
      <c r="L1020" s="8" t="s">
        <v>54</v>
      </c>
      <c r="M1020" s="8" t="s">
        <v>54</v>
      </c>
      <c r="N1020" s="10" t="s">
        <v>67</v>
      </c>
      <c r="O1020" s="12" t="s">
        <v>55</v>
      </c>
      <c r="P1020" s="8" t="s">
        <v>54</v>
      </c>
      <c r="Q1020" s="12" t="s">
        <v>55</v>
      </c>
      <c r="R1020" s="8" t="s">
        <v>54</v>
      </c>
      <c r="S1020" s="8" t="s">
        <v>54</v>
      </c>
      <c r="T1020" s="8" t="s">
        <v>54</v>
      </c>
      <c r="U1020" s="10" t="s">
        <v>67</v>
      </c>
      <c r="V1020" s="8" t="s">
        <v>54</v>
      </c>
      <c r="W1020" s="8" t="s">
        <v>54</v>
      </c>
      <c r="X1020" s="12" t="s">
        <v>55</v>
      </c>
      <c r="Y1020" s="8" t="s">
        <v>54</v>
      </c>
      <c r="Z1020" s="8" t="s">
        <v>54</v>
      </c>
      <c r="AA1020" s="8" t="s">
        <v>54</v>
      </c>
      <c r="AB1020" s="10" t="s">
        <v>67</v>
      </c>
      <c r="AC1020" s="8" t="s">
        <v>54</v>
      </c>
      <c r="AD1020" s="8" t="s">
        <v>54</v>
      </c>
      <c r="AE1020" s="8" t="s">
        <v>54</v>
      </c>
      <c r="AF1020" s="8" t="s">
        <v>54</v>
      </c>
      <c r="AG1020" s="8" t="s">
        <v>54</v>
      </c>
      <c r="AH1020" s="8" t="s">
        <v>54</v>
      </c>
      <c r="AI1020" s="10" t="s">
        <v>67</v>
      </c>
      <c r="AJ1020" s="8">
        <f>COUNTIF($E$1020:$AI$1020,"P")</f>
        <v>22</v>
      </c>
      <c r="AK1020" s="8">
        <f>COUNTIF($E$1020:$AI$1020,"A")</f>
        <v>4</v>
      </c>
      <c r="AL1020" s="8">
        <f>SUM($E$1021:$AI$1021)</f>
        <v>0</v>
      </c>
      <c r="AM1020" s="8">
        <f>SUM($E$1022:$AI$1022)</f>
        <v>0</v>
      </c>
      <c r="AN1020" s="8">
        <f>AL1020+AM1020</f>
        <v>0</v>
      </c>
      <c r="AO1020" s="8">
        <f>COUNTIF($E$1020:$AI$1020,"CL")</f>
        <v>0</v>
      </c>
      <c r="AP1020" s="8">
        <f>COUNTIF($E$1020:$AI$1020,"SL")</f>
        <v>0</v>
      </c>
      <c r="AQ1020" s="8">
        <f>COUNTIF($E$1020:$AI$1020,"EL")</f>
        <v>0</v>
      </c>
      <c r="AR1020" s="8">
        <f>COUNTIF($E$1020:$AI$1020,"H")</f>
        <v>0</v>
      </c>
      <c r="AS1020" s="8"/>
      <c r="AT1020" s="11" t="s">
        <v>260</v>
      </c>
    </row>
    <row r="1021" spans="1:46" ht="15.1" customHeight="1">
      <c r="A1021" s="8"/>
      <c r="B1021" s="9"/>
      <c r="C1021" s="8"/>
      <c r="D1021" s="9"/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11" t="s">
        <v>260</v>
      </c>
    </row>
    <row r="1022" spans="1:46" ht="15.1" customHeight="1">
      <c r="A1022" s="8"/>
      <c r="B1022" s="9"/>
      <c r="C1022" s="8"/>
      <c r="D1022" s="9"/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11" t="s">
        <v>260</v>
      </c>
    </row>
    <row r="1023" spans="1:46" ht="15.1" customHeight="1">
      <c r="A1023" s="8">
        <v>340</v>
      </c>
      <c r="B1023" s="9" t="s">
        <v>2741</v>
      </c>
      <c r="C1023" s="8" t="s">
        <v>2742</v>
      </c>
      <c r="D1023" s="9" t="s">
        <v>266</v>
      </c>
      <c r="E1023" s="8" t="s">
        <v>54</v>
      </c>
      <c r="F1023" s="8" t="s">
        <v>54</v>
      </c>
      <c r="G1023" s="10" t="s">
        <v>67</v>
      </c>
      <c r="H1023" s="8" t="s">
        <v>54</v>
      </c>
      <c r="I1023" s="8" t="s">
        <v>54</v>
      </c>
      <c r="J1023" s="8" t="s">
        <v>54</v>
      </c>
      <c r="K1023" s="8" t="s">
        <v>54</v>
      </c>
      <c r="L1023" s="8" t="s">
        <v>54</v>
      </c>
      <c r="M1023" s="8" t="s">
        <v>54</v>
      </c>
      <c r="N1023" s="10" t="s">
        <v>67</v>
      </c>
      <c r="O1023" s="8" t="s">
        <v>54</v>
      </c>
      <c r="P1023" s="8" t="s">
        <v>54</v>
      </c>
      <c r="Q1023" s="8" t="s">
        <v>54</v>
      </c>
      <c r="R1023" s="8" t="s">
        <v>54</v>
      </c>
      <c r="S1023" s="8" t="s">
        <v>54</v>
      </c>
      <c r="T1023" s="8" t="s">
        <v>54</v>
      </c>
      <c r="U1023" s="10" t="s">
        <v>67</v>
      </c>
      <c r="V1023" s="8" t="s">
        <v>54</v>
      </c>
      <c r="W1023" s="8" t="s">
        <v>54</v>
      </c>
      <c r="X1023" s="8" t="s">
        <v>54</v>
      </c>
      <c r="Y1023" s="8" t="s">
        <v>54</v>
      </c>
      <c r="Z1023" s="8" t="s">
        <v>54</v>
      </c>
      <c r="AA1023" s="8" t="s">
        <v>54</v>
      </c>
      <c r="AB1023" s="10" t="s">
        <v>67</v>
      </c>
      <c r="AC1023" s="8" t="s">
        <v>54</v>
      </c>
      <c r="AD1023" s="8" t="s">
        <v>54</v>
      </c>
      <c r="AE1023" s="8" t="s">
        <v>54</v>
      </c>
      <c r="AF1023" s="8" t="s">
        <v>54</v>
      </c>
      <c r="AG1023" s="8" t="s">
        <v>54</v>
      </c>
      <c r="AH1023" s="8" t="s">
        <v>54</v>
      </c>
      <c r="AI1023" s="10" t="s">
        <v>67</v>
      </c>
      <c r="AJ1023" s="8">
        <f>COUNTIF($E$1023:$AI$1023,"P")</f>
        <v>26</v>
      </c>
      <c r="AK1023" s="8">
        <f>COUNTIF($E$1023:$AI$1023,"A")</f>
        <v>0</v>
      </c>
      <c r="AL1023" s="8">
        <f>SUM($E$1024:$AI$1024)</f>
        <v>0</v>
      </c>
      <c r="AM1023" s="8">
        <f>SUM($E$1025:$AI$1025)</f>
        <v>0</v>
      </c>
      <c r="AN1023" s="8">
        <f>AL1023+AM1023</f>
        <v>0</v>
      </c>
      <c r="AO1023" s="8">
        <f>COUNTIF($E$1023:$AI$1023,"CL")</f>
        <v>0</v>
      </c>
      <c r="AP1023" s="8">
        <f>COUNTIF($E$1023:$AI$1023,"SL")</f>
        <v>0</v>
      </c>
      <c r="AQ1023" s="8">
        <f>COUNTIF($E$1023:$AI$1023,"EL")</f>
        <v>0</v>
      </c>
      <c r="AR1023" s="8">
        <f>COUNTIF($E$1023:$AI$1023,"H")</f>
        <v>0</v>
      </c>
      <c r="AS1023" s="8"/>
      <c r="AT1023" s="11" t="s">
        <v>260</v>
      </c>
    </row>
    <row r="1024" spans="1:46" ht="15.1" customHeight="1">
      <c r="A1024" s="8"/>
      <c r="B1024" s="9"/>
      <c r="C1024" s="8"/>
      <c r="D1024" s="9"/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11" t="s">
        <v>260</v>
      </c>
    </row>
    <row r="1025" spans="1:46" ht="15.1" customHeight="1">
      <c r="A1025" s="8"/>
      <c r="B1025" s="9"/>
      <c r="C1025" s="8"/>
      <c r="D1025" s="9"/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11" t="s">
        <v>260</v>
      </c>
    </row>
    <row r="1026" spans="1:46" ht="15.1" customHeight="1">
      <c r="A1026" s="8">
        <v>341</v>
      </c>
      <c r="B1026" s="9" t="s">
        <v>2743</v>
      </c>
      <c r="C1026" s="8" t="s">
        <v>2744</v>
      </c>
      <c r="D1026" s="9" t="s">
        <v>266</v>
      </c>
      <c r="E1026" s="12" t="s">
        <v>55</v>
      </c>
      <c r="F1026" s="8" t="s">
        <v>54</v>
      </c>
      <c r="G1026" s="10" t="s">
        <v>67</v>
      </c>
      <c r="H1026" s="8" t="s">
        <v>54</v>
      </c>
      <c r="I1026" s="8" t="s">
        <v>54</v>
      </c>
      <c r="J1026" s="8" t="s">
        <v>54</v>
      </c>
      <c r="K1026" s="8" t="s">
        <v>54</v>
      </c>
      <c r="L1026" s="8" t="s">
        <v>54</v>
      </c>
      <c r="M1026" s="8" t="s">
        <v>54</v>
      </c>
      <c r="N1026" s="10" t="s">
        <v>67</v>
      </c>
      <c r="O1026" s="8" t="s">
        <v>54</v>
      </c>
      <c r="P1026" s="8" t="s">
        <v>54</v>
      </c>
      <c r="Q1026" s="8" t="s">
        <v>54</v>
      </c>
      <c r="R1026" s="8" t="s">
        <v>54</v>
      </c>
      <c r="S1026" s="8" t="s">
        <v>54</v>
      </c>
      <c r="T1026" s="8" t="s">
        <v>54</v>
      </c>
      <c r="U1026" s="10" t="s">
        <v>67</v>
      </c>
      <c r="V1026" s="8" t="s">
        <v>54</v>
      </c>
      <c r="W1026" s="8" t="s">
        <v>54</v>
      </c>
      <c r="X1026" s="8" t="s">
        <v>54</v>
      </c>
      <c r="Y1026" s="8" t="s">
        <v>54</v>
      </c>
      <c r="Z1026" s="8" t="s">
        <v>54</v>
      </c>
      <c r="AA1026" s="8" t="s">
        <v>54</v>
      </c>
      <c r="AB1026" s="10" t="s">
        <v>67</v>
      </c>
      <c r="AC1026" s="8" t="s">
        <v>54</v>
      </c>
      <c r="AD1026" s="8" t="s">
        <v>54</v>
      </c>
      <c r="AE1026" s="8" t="s">
        <v>54</v>
      </c>
      <c r="AF1026" s="12" t="s">
        <v>55</v>
      </c>
      <c r="AG1026" s="8" t="s">
        <v>54</v>
      </c>
      <c r="AH1026" s="8" t="s">
        <v>54</v>
      </c>
      <c r="AI1026" s="10" t="s">
        <v>67</v>
      </c>
      <c r="AJ1026" s="8">
        <f>COUNTIF($E$1026:$AI$1026,"P")</f>
        <v>24</v>
      </c>
      <c r="AK1026" s="8">
        <f>COUNTIF($E$1026:$AI$1026,"A")</f>
        <v>2</v>
      </c>
      <c r="AL1026" s="8">
        <f>SUM($E$1027:$AI$1027)</f>
        <v>0</v>
      </c>
      <c r="AM1026" s="8">
        <f>SUM($E$1028:$AI$1028)</f>
        <v>0</v>
      </c>
      <c r="AN1026" s="8">
        <f>AL1026+AM1026</f>
        <v>0</v>
      </c>
      <c r="AO1026" s="8">
        <f>COUNTIF($E$1026:$AI$1026,"CL")</f>
        <v>0</v>
      </c>
      <c r="AP1026" s="8">
        <f>COUNTIF($E$1026:$AI$1026,"SL")</f>
        <v>0</v>
      </c>
      <c r="AQ1026" s="8">
        <f>COUNTIF($E$1026:$AI$1026,"EL")</f>
        <v>0</v>
      </c>
      <c r="AR1026" s="8">
        <f>COUNTIF($E$1026:$AI$1026,"H")</f>
        <v>0</v>
      </c>
      <c r="AS1026" s="8"/>
      <c r="AT1026" s="11" t="s">
        <v>260</v>
      </c>
    </row>
    <row r="1027" spans="1:46" ht="15.1" customHeight="1">
      <c r="A1027" s="8"/>
      <c r="B1027" s="9"/>
      <c r="C1027" s="8"/>
      <c r="D1027" s="9"/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11" t="s">
        <v>260</v>
      </c>
    </row>
    <row r="1028" spans="1:46" ht="15.1" customHeight="1">
      <c r="A1028" s="8"/>
      <c r="B1028" s="9"/>
      <c r="C1028" s="8"/>
      <c r="D1028" s="9"/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11" t="s">
        <v>260</v>
      </c>
    </row>
    <row r="1029" spans="1:46" ht="15.1" customHeight="1">
      <c r="A1029" s="8">
        <v>342</v>
      </c>
      <c r="B1029" s="9" t="s">
        <v>1815</v>
      </c>
      <c r="C1029" s="8" t="s">
        <v>2745</v>
      </c>
      <c r="D1029" s="9" t="s">
        <v>266</v>
      </c>
      <c r="E1029" s="12" t="s">
        <v>55</v>
      </c>
      <c r="F1029" s="8" t="s">
        <v>54</v>
      </c>
      <c r="G1029" s="10" t="s">
        <v>67</v>
      </c>
      <c r="H1029" s="8" t="s">
        <v>54</v>
      </c>
      <c r="I1029" s="8" t="s">
        <v>54</v>
      </c>
      <c r="J1029" s="8" t="s">
        <v>54</v>
      </c>
      <c r="K1029" s="8" t="s">
        <v>54</v>
      </c>
      <c r="L1029" s="8" t="s">
        <v>54</v>
      </c>
      <c r="M1029" s="8" t="s">
        <v>54</v>
      </c>
      <c r="N1029" s="10" t="s">
        <v>67</v>
      </c>
      <c r="O1029" s="8" t="s">
        <v>54</v>
      </c>
      <c r="P1029" s="8" t="s">
        <v>54</v>
      </c>
      <c r="Q1029" s="8" t="s">
        <v>54</v>
      </c>
      <c r="R1029" s="8" t="s">
        <v>54</v>
      </c>
      <c r="S1029" s="8" t="s">
        <v>54</v>
      </c>
      <c r="T1029" s="8" t="s">
        <v>54</v>
      </c>
      <c r="U1029" s="10" t="s">
        <v>67</v>
      </c>
      <c r="V1029" s="12" t="s">
        <v>55</v>
      </c>
      <c r="W1029" s="12" t="s">
        <v>55</v>
      </c>
      <c r="X1029" s="12" t="s">
        <v>55</v>
      </c>
      <c r="Y1029" s="8" t="s">
        <v>54</v>
      </c>
      <c r="Z1029" s="8" t="s">
        <v>54</v>
      </c>
      <c r="AA1029" s="8" t="s">
        <v>54</v>
      </c>
      <c r="AB1029" s="10" t="s">
        <v>67</v>
      </c>
      <c r="AC1029" s="12" t="s">
        <v>55</v>
      </c>
      <c r="AD1029" s="8" t="s">
        <v>54</v>
      </c>
      <c r="AE1029" s="8" t="s">
        <v>54</v>
      </c>
      <c r="AF1029" s="8" t="s">
        <v>54</v>
      </c>
      <c r="AG1029" s="8" t="s">
        <v>54</v>
      </c>
      <c r="AH1029" s="8" t="s">
        <v>54</v>
      </c>
      <c r="AI1029" s="10" t="s">
        <v>67</v>
      </c>
      <c r="AJ1029" s="8">
        <f>COUNTIF($E$1029:$AI$1029,"P")</f>
        <v>21</v>
      </c>
      <c r="AK1029" s="8">
        <f>COUNTIF($E$1029:$AI$1029,"A")</f>
        <v>5</v>
      </c>
      <c r="AL1029" s="8">
        <f>SUM($E$1030:$AI$1030)</f>
        <v>0</v>
      </c>
      <c r="AM1029" s="8">
        <f>SUM($E$1031:$AI$1031)</f>
        <v>0</v>
      </c>
      <c r="AN1029" s="8">
        <f>AL1029+AM1029</f>
        <v>0</v>
      </c>
      <c r="AO1029" s="8">
        <f>COUNTIF($E$1029:$AI$1029,"CL")</f>
        <v>0</v>
      </c>
      <c r="AP1029" s="8">
        <f>COUNTIF($E$1029:$AI$1029,"SL")</f>
        <v>0</v>
      </c>
      <c r="AQ1029" s="8">
        <f>COUNTIF($E$1029:$AI$1029,"EL")</f>
        <v>0</v>
      </c>
      <c r="AR1029" s="8">
        <f>COUNTIF($E$1029:$AI$1029,"H")</f>
        <v>0</v>
      </c>
      <c r="AS1029" s="8"/>
      <c r="AT1029" s="11" t="s">
        <v>260</v>
      </c>
    </row>
    <row r="1030" spans="1:46" ht="15.1" customHeight="1">
      <c r="A1030" s="8"/>
      <c r="B1030" s="9"/>
      <c r="C1030" s="8"/>
      <c r="D1030" s="9"/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11" t="s">
        <v>260</v>
      </c>
    </row>
    <row r="1031" spans="1:46" ht="15.1" customHeight="1">
      <c r="A1031" s="8"/>
      <c r="B1031" s="9"/>
      <c r="C1031" s="8"/>
      <c r="D1031" s="9"/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11" t="s">
        <v>260</v>
      </c>
    </row>
    <row r="1032" spans="1:46" ht="15.1" customHeight="1">
      <c r="A1032" s="8">
        <v>343</v>
      </c>
      <c r="B1032" s="9" t="s">
        <v>2746</v>
      </c>
      <c r="C1032" s="8" t="s">
        <v>2747</v>
      </c>
      <c r="D1032" s="9" t="s">
        <v>266</v>
      </c>
      <c r="E1032" s="8" t="s">
        <v>54</v>
      </c>
      <c r="F1032" s="8" t="s">
        <v>54</v>
      </c>
      <c r="G1032" s="10" t="s">
        <v>67</v>
      </c>
      <c r="H1032" s="8" t="s">
        <v>54</v>
      </c>
      <c r="I1032" s="8" t="s">
        <v>54</v>
      </c>
      <c r="J1032" s="8" t="s">
        <v>54</v>
      </c>
      <c r="K1032" s="8" t="s">
        <v>54</v>
      </c>
      <c r="L1032" s="8" t="s">
        <v>54</v>
      </c>
      <c r="M1032" s="8" t="s">
        <v>54</v>
      </c>
      <c r="N1032" s="10" t="s">
        <v>67</v>
      </c>
      <c r="O1032" s="8" t="s">
        <v>54</v>
      </c>
      <c r="P1032" s="8" t="s">
        <v>54</v>
      </c>
      <c r="Q1032" s="8" t="s">
        <v>54</v>
      </c>
      <c r="R1032" s="8" t="s">
        <v>54</v>
      </c>
      <c r="S1032" s="8" t="s">
        <v>54</v>
      </c>
      <c r="T1032" s="8" t="s">
        <v>54</v>
      </c>
      <c r="U1032" s="10" t="s">
        <v>67</v>
      </c>
      <c r="V1032" s="8" t="s">
        <v>54</v>
      </c>
      <c r="W1032" s="8" t="s">
        <v>54</v>
      </c>
      <c r="X1032" s="8" t="s">
        <v>54</v>
      </c>
      <c r="Y1032" s="8" t="s">
        <v>54</v>
      </c>
      <c r="Z1032" s="8" t="s">
        <v>54</v>
      </c>
      <c r="AA1032" s="8" t="s">
        <v>54</v>
      </c>
      <c r="AB1032" s="10" t="s">
        <v>67</v>
      </c>
      <c r="AC1032" s="8" t="s">
        <v>54</v>
      </c>
      <c r="AD1032" s="8" t="s">
        <v>54</v>
      </c>
      <c r="AE1032" s="8" t="s">
        <v>54</v>
      </c>
      <c r="AF1032" s="8" t="s">
        <v>54</v>
      </c>
      <c r="AG1032" s="8" t="s">
        <v>54</v>
      </c>
      <c r="AH1032" s="8" t="s">
        <v>54</v>
      </c>
      <c r="AI1032" s="10" t="s">
        <v>67</v>
      </c>
      <c r="AJ1032" s="8">
        <f>COUNTIF($E$1032:$AI$1032,"P")</f>
        <v>26</v>
      </c>
      <c r="AK1032" s="8">
        <f>COUNTIF($E$1032:$AI$1032,"A")</f>
        <v>0</v>
      </c>
      <c r="AL1032" s="8">
        <f>SUM($E$1033:$AI$1033)</f>
        <v>0</v>
      </c>
      <c r="AM1032" s="8">
        <f>SUM($E$1034:$AI$1034)</f>
        <v>0</v>
      </c>
      <c r="AN1032" s="8">
        <f>AL1032+AM1032</f>
        <v>0</v>
      </c>
      <c r="AO1032" s="8">
        <f>COUNTIF($E$1032:$AI$1032,"CL")</f>
        <v>0</v>
      </c>
      <c r="AP1032" s="8">
        <f>COUNTIF($E$1032:$AI$1032,"SL")</f>
        <v>0</v>
      </c>
      <c r="AQ1032" s="8">
        <f>COUNTIF($E$1032:$AI$1032,"EL")</f>
        <v>0</v>
      </c>
      <c r="AR1032" s="8">
        <f>COUNTIF($E$1032:$AI$1032,"H")</f>
        <v>0</v>
      </c>
      <c r="AS1032" s="8"/>
      <c r="AT1032" s="11" t="s">
        <v>260</v>
      </c>
    </row>
    <row r="1033" spans="1:46" ht="15.1" customHeight="1">
      <c r="A1033" s="8"/>
      <c r="B1033" s="9"/>
      <c r="C1033" s="8"/>
      <c r="D1033" s="9"/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11" t="s">
        <v>260</v>
      </c>
    </row>
    <row r="1034" spans="1:46" ht="15.1" customHeight="1">
      <c r="A1034" s="8"/>
      <c r="B1034" s="9"/>
      <c r="C1034" s="8"/>
      <c r="D1034" s="9"/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11" t="s">
        <v>260</v>
      </c>
    </row>
    <row r="1035" spans="1:46" ht="15.1" customHeight="1">
      <c r="A1035" s="8">
        <v>344</v>
      </c>
      <c r="B1035" s="9" t="s">
        <v>2748</v>
      </c>
      <c r="C1035" s="8" t="s">
        <v>2749</v>
      </c>
      <c r="D1035" s="9" t="s">
        <v>266</v>
      </c>
      <c r="E1035" s="8" t="s">
        <v>54</v>
      </c>
      <c r="F1035" s="8" t="s">
        <v>54</v>
      </c>
      <c r="G1035" s="10" t="s">
        <v>67</v>
      </c>
      <c r="H1035" s="8" t="s">
        <v>54</v>
      </c>
      <c r="I1035" s="8" t="s">
        <v>54</v>
      </c>
      <c r="J1035" s="8" t="s">
        <v>54</v>
      </c>
      <c r="K1035" s="8" t="s">
        <v>54</v>
      </c>
      <c r="L1035" s="8" t="s">
        <v>54</v>
      </c>
      <c r="M1035" s="8" t="s">
        <v>54</v>
      </c>
      <c r="N1035" s="10" t="s">
        <v>67</v>
      </c>
      <c r="O1035" s="8" t="s">
        <v>54</v>
      </c>
      <c r="P1035" s="8" t="s">
        <v>54</v>
      </c>
      <c r="Q1035" s="8" t="s">
        <v>54</v>
      </c>
      <c r="R1035" s="8" t="s">
        <v>54</v>
      </c>
      <c r="S1035" s="8" t="s">
        <v>54</v>
      </c>
      <c r="T1035" s="8" t="s">
        <v>54</v>
      </c>
      <c r="U1035" s="10" t="s">
        <v>67</v>
      </c>
      <c r="V1035" s="8" t="s">
        <v>54</v>
      </c>
      <c r="W1035" s="8" t="s">
        <v>54</v>
      </c>
      <c r="X1035" s="8" t="s">
        <v>54</v>
      </c>
      <c r="Y1035" s="8" t="s">
        <v>54</v>
      </c>
      <c r="Z1035" s="8" t="s">
        <v>54</v>
      </c>
      <c r="AA1035" s="8" t="s">
        <v>54</v>
      </c>
      <c r="AB1035" s="10" t="s">
        <v>67</v>
      </c>
      <c r="AC1035" s="8" t="s">
        <v>54</v>
      </c>
      <c r="AD1035" s="8" t="s">
        <v>54</v>
      </c>
      <c r="AE1035" s="8" t="s">
        <v>54</v>
      </c>
      <c r="AF1035" s="8" t="s">
        <v>54</v>
      </c>
      <c r="AG1035" s="8" t="s">
        <v>54</v>
      </c>
      <c r="AH1035" s="8" t="s">
        <v>54</v>
      </c>
      <c r="AI1035" s="10" t="s">
        <v>67</v>
      </c>
      <c r="AJ1035" s="8">
        <f>COUNTIF($E$1035:$AI$1035,"P")</f>
        <v>26</v>
      </c>
      <c r="AK1035" s="8">
        <f>COUNTIF($E$1035:$AI$1035,"A")</f>
        <v>0</v>
      </c>
      <c r="AL1035" s="8">
        <f>SUM($E$1036:$AI$1036)</f>
        <v>0</v>
      </c>
      <c r="AM1035" s="8">
        <f>SUM($E$1037:$AI$1037)</f>
        <v>0</v>
      </c>
      <c r="AN1035" s="8">
        <f>AL1035+AM1035</f>
        <v>0</v>
      </c>
      <c r="AO1035" s="8">
        <f>COUNTIF($E$1035:$AI$1035,"CL")</f>
        <v>0</v>
      </c>
      <c r="AP1035" s="8">
        <f>COUNTIF($E$1035:$AI$1035,"SL")</f>
        <v>0</v>
      </c>
      <c r="AQ1035" s="8">
        <f>COUNTIF($E$1035:$AI$1035,"EL")</f>
        <v>0</v>
      </c>
      <c r="AR1035" s="8">
        <f>COUNTIF($E$1035:$AI$1035,"H")</f>
        <v>0</v>
      </c>
      <c r="AS1035" s="8"/>
      <c r="AT1035" s="11" t="s">
        <v>260</v>
      </c>
    </row>
    <row r="1036" spans="1:46" ht="15.1" customHeight="1">
      <c r="A1036" s="8"/>
      <c r="B1036" s="9"/>
      <c r="C1036" s="8"/>
      <c r="D1036" s="9"/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11" t="s">
        <v>260</v>
      </c>
    </row>
    <row r="1037" spans="1:46" ht="15.1" customHeight="1">
      <c r="A1037" s="8"/>
      <c r="B1037" s="9"/>
      <c r="C1037" s="8"/>
      <c r="D1037" s="9"/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11" t="s">
        <v>260</v>
      </c>
    </row>
    <row r="1038" spans="1:46" ht="15.1" customHeight="1">
      <c r="A1038" s="8">
        <v>345</v>
      </c>
      <c r="B1038" s="9" t="s">
        <v>2750</v>
      </c>
      <c r="C1038" s="8" t="s">
        <v>2751</v>
      </c>
      <c r="D1038" s="9" t="s">
        <v>266</v>
      </c>
      <c r="E1038" s="8" t="s">
        <v>54</v>
      </c>
      <c r="F1038" s="8" t="s">
        <v>54</v>
      </c>
      <c r="G1038" s="10" t="s">
        <v>67</v>
      </c>
      <c r="H1038" s="8" t="s">
        <v>54</v>
      </c>
      <c r="I1038" s="8" t="s">
        <v>54</v>
      </c>
      <c r="J1038" s="8" t="s">
        <v>54</v>
      </c>
      <c r="K1038" s="8" t="s">
        <v>54</v>
      </c>
      <c r="L1038" s="8" t="s">
        <v>54</v>
      </c>
      <c r="M1038" s="8" t="s">
        <v>54</v>
      </c>
      <c r="N1038" s="10" t="s">
        <v>67</v>
      </c>
      <c r="O1038" s="8" t="s">
        <v>54</v>
      </c>
      <c r="P1038" s="8" t="s">
        <v>54</v>
      </c>
      <c r="Q1038" s="8" t="s">
        <v>54</v>
      </c>
      <c r="R1038" s="8" t="s">
        <v>54</v>
      </c>
      <c r="S1038" s="8" t="s">
        <v>54</v>
      </c>
      <c r="T1038" s="8" t="s">
        <v>54</v>
      </c>
      <c r="U1038" s="10" t="s">
        <v>67</v>
      </c>
      <c r="V1038" s="8" t="s">
        <v>54</v>
      </c>
      <c r="W1038" s="8" t="s">
        <v>54</v>
      </c>
      <c r="X1038" s="8" t="s">
        <v>54</v>
      </c>
      <c r="Y1038" s="8" t="s">
        <v>54</v>
      </c>
      <c r="Z1038" s="8" t="s">
        <v>54</v>
      </c>
      <c r="AA1038" s="8" t="s">
        <v>54</v>
      </c>
      <c r="AB1038" s="10" t="s">
        <v>67</v>
      </c>
      <c r="AC1038" s="8" t="s">
        <v>54</v>
      </c>
      <c r="AD1038" s="8" t="s">
        <v>54</v>
      </c>
      <c r="AE1038" s="8" t="s">
        <v>54</v>
      </c>
      <c r="AF1038" s="8" t="s">
        <v>54</v>
      </c>
      <c r="AG1038" s="8" t="s">
        <v>54</v>
      </c>
      <c r="AH1038" s="12" t="s">
        <v>55</v>
      </c>
      <c r="AI1038" s="10" t="s">
        <v>67</v>
      </c>
      <c r="AJ1038" s="8">
        <f>COUNTIF($E$1038:$AI$1038,"P")</f>
        <v>25</v>
      </c>
      <c r="AK1038" s="8">
        <f>COUNTIF($E$1038:$AI$1038,"A")</f>
        <v>1</v>
      </c>
      <c r="AL1038" s="8">
        <f>SUM($E$1039:$AI$1039)</f>
        <v>0</v>
      </c>
      <c r="AM1038" s="8">
        <f>SUM($E$1040:$AI$1040)</f>
        <v>0</v>
      </c>
      <c r="AN1038" s="8">
        <f>AL1038+AM1038</f>
        <v>0</v>
      </c>
      <c r="AO1038" s="8">
        <f>COUNTIF($E$1038:$AI$1038,"CL")</f>
        <v>0</v>
      </c>
      <c r="AP1038" s="8">
        <f>COUNTIF($E$1038:$AI$1038,"SL")</f>
        <v>0</v>
      </c>
      <c r="AQ1038" s="8">
        <f>COUNTIF($E$1038:$AI$1038,"EL")</f>
        <v>0</v>
      </c>
      <c r="AR1038" s="8">
        <f>COUNTIF($E$1038:$AI$1038,"H")</f>
        <v>0</v>
      </c>
      <c r="AS1038" s="8"/>
      <c r="AT1038" s="11" t="s">
        <v>260</v>
      </c>
    </row>
    <row r="1039" spans="1:46" ht="15.1" customHeight="1">
      <c r="A1039" s="8"/>
      <c r="B1039" s="9"/>
      <c r="C1039" s="8"/>
      <c r="D1039" s="9"/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11" t="s">
        <v>260</v>
      </c>
    </row>
    <row r="1040" spans="1:46" ht="15.1" customHeight="1">
      <c r="A1040" s="8"/>
      <c r="B1040" s="9"/>
      <c r="C1040" s="8"/>
      <c r="D1040" s="9"/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11" t="s">
        <v>260</v>
      </c>
    </row>
    <row r="1041" spans="1:46" ht="15.1" customHeight="1">
      <c r="A1041" s="8">
        <v>346</v>
      </c>
      <c r="B1041" s="9" t="s">
        <v>2752</v>
      </c>
      <c r="C1041" s="8" t="s">
        <v>2753</v>
      </c>
      <c r="D1041" s="9" t="s">
        <v>266</v>
      </c>
      <c r="E1041" s="8" t="s">
        <v>54</v>
      </c>
      <c r="F1041" s="8" t="s">
        <v>54</v>
      </c>
      <c r="G1041" s="10" t="s">
        <v>67</v>
      </c>
      <c r="H1041" s="8" t="s">
        <v>54</v>
      </c>
      <c r="I1041" s="8" t="s">
        <v>54</v>
      </c>
      <c r="J1041" s="8" t="s">
        <v>54</v>
      </c>
      <c r="K1041" s="12" t="s">
        <v>55</v>
      </c>
      <c r="L1041" s="12" t="s">
        <v>55</v>
      </c>
      <c r="M1041" s="12" t="s">
        <v>55</v>
      </c>
      <c r="N1041" s="10" t="s">
        <v>67</v>
      </c>
      <c r="O1041" s="12" t="s">
        <v>55</v>
      </c>
      <c r="P1041" s="8" t="s">
        <v>54</v>
      </c>
      <c r="Q1041" s="12" t="s">
        <v>55</v>
      </c>
      <c r="R1041" s="12" t="s">
        <v>55</v>
      </c>
      <c r="S1041" s="12" t="s">
        <v>55</v>
      </c>
      <c r="T1041" s="12" t="s">
        <v>55</v>
      </c>
      <c r="U1041" s="10" t="s">
        <v>67</v>
      </c>
      <c r="V1041" s="12" t="s">
        <v>55</v>
      </c>
      <c r="W1041" s="8" t="s">
        <v>54</v>
      </c>
      <c r="X1041" s="12" t="s">
        <v>55</v>
      </c>
      <c r="Y1041" s="12" t="s">
        <v>55</v>
      </c>
      <c r="Z1041" s="12" t="s">
        <v>55</v>
      </c>
      <c r="AA1041" s="12" t="s">
        <v>55</v>
      </c>
      <c r="AB1041" s="10" t="s">
        <v>67</v>
      </c>
      <c r="AC1041" s="12" t="s">
        <v>55</v>
      </c>
      <c r="AD1041" s="8" t="s">
        <v>54</v>
      </c>
      <c r="AE1041" s="8" t="s">
        <v>54</v>
      </c>
      <c r="AF1041" s="8" t="s">
        <v>54</v>
      </c>
      <c r="AG1041" s="12" t="s">
        <v>55</v>
      </c>
      <c r="AH1041" s="12" t="s">
        <v>55</v>
      </c>
      <c r="AI1041" s="10" t="s">
        <v>67</v>
      </c>
      <c r="AJ1041" s="8">
        <f>COUNTIF($E$1041:$AI$1041,"P")</f>
        <v>10</v>
      </c>
      <c r="AK1041" s="8">
        <f>COUNTIF($E$1041:$AI$1041,"A")</f>
        <v>16</v>
      </c>
      <c r="AL1041" s="8">
        <f>SUM($E$1042:$AI$1042)</f>
        <v>0</v>
      </c>
      <c r="AM1041" s="8">
        <f>SUM($E$1043:$AI$1043)</f>
        <v>0</v>
      </c>
      <c r="AN1041" s="8">
        <f>AL1041+AM1041</f>
        <v>0</v>
      </c>
      <c r="AO1041" s="8">
        <f>COUNTIF($E$1041:$AI$1041,"CL")</f>
        <v>0</v>
      </c>
      <c r="AP1041" s="8">
        <f>COUNTIF($E$1041:$AI$1041,"SL")</f>
        <v>0</v>
      </c>
      <c r="AQ1041" s="8">
        <f>COUNTIF($E$1041:$AI$1041,"EL")</f>
        <v>0</v>
      </c>
      <c r="AR1041" s="8">
        <f>COUNTIF($E$1041:$AI$1041,"H")</f>
        <v>0</v>
      </c>
      <c r="AS1041" s="8"/>
      <c r="AT1041" s="11" t="s">
        <v>260</v>
      </c>
    </row>
    <row r="1042" spans="1:46" ht="15.1" customHeight="1">
      <c r="A1042" s="8"/>
      <c r="B1042" s="9"/>
      <c r="C1042" s="8"/>
      <c r="D1042" s="9"/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11" t="s">
        <v>260</v>
      </c>
    </row>
    <row r="1043" spans="1:46" ht="15.1" customHeight="1">
      <c r="A1043" s="8"/>
      <c r="B1043" s="9"/>
      <c r="C1043" s="8"/>
      <c r="D1043" s="9"/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11" t="s">
        <v>260</v>
      </c>
    </row>
    <row r="1044" spans="1:46" ht="15.1" customHeight="1">
      <c r="A1044" s="8">
        <v>347</v>
      </c>
      <c r="B1044" s="9" t="s">
        <v>2754</v>
      </c>
      <c r="C1044" s="8" t="s">
        <v>2755</v>
      </c>
      <c r="D1044" s="9" t="s">
        <v>266</v>
      </c>
      <c r="E1044" s="8" t="s">
        <v>54</v>
      </c>
      <c r="F1044" s="8" t="s">
        <v>54</v>
      </c>
      <c r="G1044" s="10" t="s">
        <v>67</v>
      </c>
      <c r="H1044" s="8" t="s">
        <v>54</v>
      </c>
      <c r="I1044" s="8" t="s">
        <v>54</v>
      </c>
      <c r="J1044" s="8" t="s">
        <v>54</v>
      </c>
      <c r="K1044" s="8" t="s">
        <v>54</v>
      </c>
      <c r="L1044" s="8" t="s">
        <v>54</v>
      </c>
      <c r="M1044" s="8" t="s">
        <v>54</v>
      </c>
      <c r="N1044" s="10" t="s">
        <v>67</v>
      </c>
      <c r="O1044" s="8" t="s">
        <v>54</v>
      </c>
      <c r="P1044" s="8" t="s">
        <v>54</v>
      </c>
      <c r="Q1044" s="8" t="s">
        <v>54</v>
      </c>
      <c r="R1044" s="8" t="s">
        <v>54</v>
      </c>
      <c r="S1044" s="8" t="s">
        <v>54</v>
      </c>
      <c r="T1044" s="8" t="s">
        <v>54</v>
      </c>
      <c r="U1044" s="10" t="s">
        <v>67</v>
      </c>
      <c r="V1044" s="8" t="s">
        <v>54</v>
      </c>
      <c r="W1044" s="8" t="s">
        <v>54</v>
      </c>
      <c r="X1044" s="8" t="s">
        <v>54</v>
      </c>
      <c r="Y1044" s="8" t="s">
        <v>54</v>
      </c>
      <c r="Z1044" s="8" t="s">
        <v>54</v>
      </c>
      <c r="AA1044" s="8" t="s">
        <v>54</v>
      </c>
      <c r="AB1044" s="10" t="s">
        <v>67</v>
      </c>
      <c r="AC1044" s="8" t="s">
        <v>54</v>
      </c>
      <c r="AD1044" s="8" t="s">
        <v>54</v>
      </c>
      <c r="AE1044" s="8" t="s">
        <v>54</v>
      </c>
      <c r="AF1044" s="8" t="s">
        <v>54</v>
      </c>
      <c r="AG1044" s="8" t="s">
        <v>54</v>
      </c>
      <c r="AH1044" s="8" t="s">
        <v>54</v>
      </c>
      <c r="AI1044" s="10" t="s">
        <v>67</v>
      </c>
      <c r="AJ1044" s="8">
        <f>COUNTIF($E$1044:$AI$1044,"P")</f>
        <v>26</v>
      </c>
      <c r="AK1044" s="8">
        <f>COUNTIF($E$1044:$AI$1044,"A")</f>
        <v>0</v>
      </c>
      <c r="AL1044" s="8">
        <f>SUM($E$1045:$AI$1045)</f>
        <v>0</v>
      </c>
      <c r="AM1044" s="8">
        <f>SUM($E$1046:$AI$1046)</f>
        <v>0</v>
      </c>
      <c r="AN1044" s="8">
        <f>AL1044+AM1044</f>
        <v>0</v>
      </c>
      <c r="AO1044" s="8">
        <f>COUNTIF($E$1044:$AI$1044,"CL")</f>
        <v>0</v>
      </c>
      <c r="AP1044" s="8">
        <f>COUNTIF($E$1044:$AI$1044,"SL")</f>
        <v>0</v>
      </c>
      <c r="AQ1044" s="8">
        <f>COUNTIF($E$1044:$AI$1044,"EL")</f>
        <v>0</v>
      </c>
      <c r="AR1044" s="8">
        <f>COUNTIF($E$1044:$AI$1044,"H")</f>
        <v>0</v>
      </c>
      <c r="AS1044" s="8"/>
      <c r="AT1044" s="11" t="s">
        <v>260</v>
      </c>
    </row>
    <row r="1045" spans="1:46" ht="15.1" customHeight="1">
      <c r="A1045" s="8"/>
      <c r="B1045" s="9"/>
      <c r="C1045" s="8"/>
      <c r="D1045" s="9"/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11" t="s">
        <v>260</v>
      </c>
    </row>
    <row r="1046" spans="1:46" ht="15.1" customHeight="1">
      <c r="A1046" s="8"/>
      <c r="B1046" s="9"/>
      <c r="C1046" s="8"/>
      <c r="D1046" s="9"/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11" t="s">
        <v>260</v>
      </c>
    </row>
    <row r="1047" spans="1:46" ht="15.1" customHeight="1">
      <c r="A1047" s="8">
        <v>348</v>
      </c>
      <c r="B1047" s="9" t="s">
        <v>2756</v>
      </c>
      <c r="C1047" s="8" t="s">
        <v>2757</v>
      </c>
      <c r="D1047" s="9" t="s">
        <v>266</v>
      </c>
      <c r="E1047" s="8" t="s">
        <v>54</v>
      </c>
      <c r="F1047" s="8" t="s">
        <v>54</v>
      </c>
      <c r="G1047" s="10" t="s">
        <v>67</v>
      </c>
      <c r="H1047" s="8" t="s">
        <v>54</v>
      </c>
      <c r="I1047" s="8" t="s">
        <v>54</v>
      </c>
      <c r="J1047" s="8" t="s">
        <v>54</v>
      </c>
      <c r="K1047" s="8" t="s">
        <v>54</v>
      </c>
      <c r="L1047" s="8" t="s">
        <v>54</v>
      </c>
      <c r="M1047" s="8" t="s">
        <v>54</v>
      </c>
      <c r="N1047" s="10" t="s">
        <v>67</v>
      </c>
      <c r="O1047" s="8" t="s">
        <v>54</v>
      </c>
      <c r="P1047" s="8" t="s">
        <v>54</v>
      </c>
      <c r="Q1047" s="8" t="s">
        <v>54</v>
      </c>
      <c r="R1047" s="8" t="s">
        <v>54</v>
      </c>
      <c r="S1047" s="8" t="s">
        <v>54</v>
      </c>
      <c r="T1047" s="8" t="s">
        <v>54</v>
      </c>
      <c r="U1047" s="10" t="s">
        <v>67</v>
      </c>
      <c r="V1047" s="8" t="s">
        <v>54</v>
      </c>
      <c r="W1047" s="8" t="s">
        <v>54</v>
      </c>
      <c r="X1047" s="8" t="s">
        <v>54</v>
      </c>
      <c r="Y1047" s="8" t="s">
        <v>54</v>
      </c>
      <c r="Z1047" s="8" t="s">
        <v>54</v>
      </c>
      <c r="AA1047" s="8" t="s">
        <v>54</v>
      </c>
      <c r="AB1047" s="10" t="s">
        <v>67</v>
      </c>
      <c r="AC1047" s="8" t="s">
        <v>54</v>
      </c>
      <c r="AD1047" s="8" t="s">
        <v>54</v>
      </c>
      <c r="AE1047" s="8" t="s">
        <v>54</v>
      </c>
      <c r="AF1047" s="8" t="s">
        <v>54</v>
      </c>
      <c r="AG1047" s="8" t="s">
        <v>54</v>
      </c>
      <c r="AH1047" s="8" t="s">
        <v>54</v>
      </c>
      <c r="AI1047" s="10" t="s">
        <v>67</v>
      </c>
      <c r="AJ1047" s="8">
        <f>COUNTIF($E$1047:$AI$1047,"P")</f>
        <v>26</v>
      </c>
      <c r="AK1047" s="8">
        <f>COUNTIF($E$1047:$AI$1047,"A")</f>
        <v>0</v>
      </c>
      <c r="AL1047" s="8">
        <f>SUM($E$1048:$AI$1048)</f>
        <v>0</v>
      </c>
      <c r="AM1047" s="8">
        <f>SUM($E$1049:$AI$1049)</f>
        <v>0</v>
      </c>
      <c r="AN1047" s="8">
        <f>AL1047+AM1047</f>
        <v>0</v>
      </c>
      <c r="AO1047" s="8">
        <f>COUNTIF($E$1047:$AI$1047,"CL")</f>
        <v>0</v>
      </c>
      <c r="AP1047" s="8">
        <f>COUNTIF($E$1047:$AI$1047,"SL")</f>
        <v>0</v>
      </c>
      <c r="AQ1047" s="8">
        <f>COUNTIF($E$1047:$AI$1047,"EL")</f>
        <v>0</v>
      </c>
      <c r="AR1047" s="8">
        <f>COUNTIF($E$1047:$AI$1047,"H")</f>
        <v>0</v>
      </c>
      <c r="AS1047" s="8"/>
      <c r="AT1047" s="11" t="s">
        <v>260</v>
      </c>
    </row>
    <row r="1048" spans="1:46" ht="15.1" customHeight="1">
      <c r="A1048" s="8"/>
      <c r="B1048" s="9"/>
      <c r="C1048" s="8"/>
      <c r="D1048" s="9"/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11" t="s">
        <v>260</v>
      </c>
    </row>
    <row r="1049" spans="1:46" ht="15.1" customHeight="1">
      <c r="A1049" s="8"/>
      <c r="B1049" s="9"/>
      <c r="C1049" s="8"/>
      <c r="D1049" s="9"/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11" t="s">
        <v>260</v>
      </c>
    </row>
    <row r="1050" spans="1:46" ht="15.1" customHeight="1">
      <c r="A1050" s="8">
        <v>349</v>
      </c>
      <c r="B1050" s="9" t="s">
        <v>2758</v>
      </c>
      <c r="C1050" s="8" t="s">
        <v>2759</v>
      </c>
      <c r="D1050" s="9" t="s">
        <v>266</v>
      </c>
      <c r="E1050" s="8" t="s">
        <v>54</v>
      </c>
      <c r="F1050" s="8" t="s">
        <v>54</v>
      </c>
      <c r="G1050" s="10" t="s">
        <v>67</v>
      </c>
      <c r="H1050" s="8" t="s">
        <v>54</v>
      </c>
      <c r="I1050" s="8" t="s">
        <v>54</v>
      </c>
      <c r="J1050" s="8" t="s">
        <v>54</v>
      </c>
      <c r="K1050" s="8" t="s">
        <v>54</v>
      </c>
      <c r="L1050" s="8" t="s">
        <v>54</v>
      </c>
      <c r="M1050" s="12" t="s">
        <v>55</v>
      </c>
      <c r="N1050" s="10" t="s">
        <v>67</v>
      </c>
      <c r="O1050" s="12" t="s">
        <v>55</v>
      </c>
      <c r="P1050" s="12" t="s">
        <v>55</v>
      </c>
      <c r="Q1050" s="8" t="s">
        <v>54</v>
      </c>
      <c r="R1050" s="8" t="s">
        <v>54</v>
      </c>
      <c r="S1050" s="8" t="s">
        <v>54</v>
      </c>
      <c r="T1050" s="8" t="s">
        <v>54</v>
      </c>
      <c r="U1050" s="10" t="s">
        <v>67</v>
      </c>
      <c r="V1050" s="8" t="s">
        <v>54</v>
      </c>
      <c r="W1050" s="12" t="s">
        <v>55</v>
      </c>
      <c r="X1050" s="12" t="s">
        <v>55</v>
      </c>
      <c r="Y1050" s="8" t="s">
        <v>54</v>
      </c>
      <c r="Z1050" s="8" t="s">
        <v>54</v>
      </c>
      <c r="AA1050" s="8" t="s">
        <v>54</v>
      </c>
      <c r="AB1050" s="10" t="s">
        <v>67</v>
      </c>
      <c r="AC1050" s="8" t="s">
        <v>54</v>
      </c>
      <c r="AD1050" s="12" t="s">
        <v>55</v>
      </c>
      <c r="AE1050" s="8" t="s">
        <v>54</v>
      </c>
      <c r="AF1050" s="8" t="s">
        <v>54</v>
      </c>
      <c r="AG1050" s="8" t="s">
        <v>54</v>
      </c>
      <c r="AH1050" s="8" t="s">
        <v>54</v>
      </c>
      <c r="AI1050" s="10" t="s">
        <v>67</v>
      </c>
      <c r="AJ1050" s="8">
        <f>COUNTIF($E$1050:$AI$1050,"P")</f>
        <v>20</v>
      </c>
      <c r="AK1050" s="8">
        <f>COUNTIF($E$1050:$AI$1050,"A")</f>
        <v>6</v>
      </c>
      <c r="AL1050" s="8">
        <f>SUM($E$1051:$AI$1051)</f>
        <v>0</v>
      </c>
      <c r="AM1050" s="8">
        <f>SUM($E$1052:$AI$1052)</f>
        <v>0</v>
      </c>
      <c r="AN1050" s="8">
        <f>AL1050+AM1050</f>
        <v>0</v>
      </c>
      <c r="AO1050" s="8">
        <f>COUNTIF($E$1050:$AI$1050,"CL")</f>
        <v>0</v>
      </c>
      <c r="AP1050" s="8">
        <f>COUNTIF($E$1050:$AI$1050,"SL")</f>
        <v>0</v>
      </c>
      <c r="AQ1050" s="8">
        <f>COUNTIF($E$1050:$AI$1050,"EL")</f>
        <v>0</v>
      </c>
      <c r="AR1050" s="8">
        <f>COUNTIF($E$1050:$AI$1050,"H")</f>
        <v>0</v>
      </c>
      <c r="AS1050" s="8"/>
      <c r="AT1050" s="11" t="s">
        <v>260</v>
      </c>
    </row>
    <row r="1051" spans="1:46" ht="15.1" customHeight="1">
      <c r="A1051" s="8"/>
      <c r="B1051" s="9"/>
      <c r="C1051" s="8"/>
      <c r="D1051" s="9"/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11" t="s">
        <v>260</v>
      </c>
    </row>
    <row r="1052" spans="1:46" ht="15.1" customHeight="1">
      <c r="A1052" s="8"/>
      <c r="B1052" s="9"/>
      <c r="C1052" s="8"/>
      <c r="D1052" s="9"/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11" t="s">
        <v>260</v>
      </c>
    </row>
    <row r="1053" spans="1:46" ht="15.1" customHeight="1">
      <c r="A1053" s="8">
        <v>350</v>
      </c>
      <c r="B1053" s="9" t="s">
        <v>2760</v>
      </c>
      <c r="C1053" s="8" t="s">
        <v>2761</v>
      </c>
      <c r="D1053" s="9" t="s">
        <v>266</v>
      </c>
      <c r="E1053" s="8" t="s">
        <v>54</v>
      </c>
      <c r="F1053" s="8" t="s">
        <v>54</v>
      </c>
      <c r="G1053" s="10" t="s">
        <v>67</v>
      </c>
      <c r="H1053" s="8" t="s">
        <v>54</v>
      </c>
      <c r="I1053" s="8" t="s">
        <v>54</v>
      </c>
      <c r="J1053" s="8" t="s">
        <v>54</v>
      </c>
      <c r="K1053" s="8" t="s">
        <v>54</v>
      </c>
      <c r="L1053" s="8" t="s">
        <v>54</v>
      </c>
      <c r="M1053" s="8" t="s">
        <v>54</v>
      </c>
      <c r="N1053" s="10" t="s">
        <v>67</v>
      </c>
      <c r="O1053" s="8" t="s">
        <v>54</v>
      </c>
      <c r="P1053" s="8" t="s">
        <v>54</v>
      </c>
      <c r="Q1053" s="8" t="s">
        <v>54</v>
      </c>
      <c r="R1053" s="8" t="s">
        <v>54</v>
      </c>
      <c r="S1053" s="8" t="s">
        <v>54</v>
      </c>
      <c r="T1053" s="8" t="s">
        <v>54</v>
      </c>
      <c r="U1053" s="10" t="s">
        <v>67</v>
      </c>
      <c r="V1053" s="8" t="s">
        <v>54</v>
      </c>
      <c r="W1053" s="8" t="s">
        <v>54</v>
      </c>
      <c r="X1053" s="8" t="s">
        <v>54</v>
      </c>
      <c r="Y1053" s="8" t="s">
        <v>54</v>
      </c>
      <c r="Z1053" s="8" t="s">
        <v>54</v>
      </c>
      <c r="AA1053" s="8" t="s">
        <v>54</v>
      </c>
      <c r="AB1053" s="10" t="s">
        <v>67</v>
      </c>
      <c r="AC1053" s="8" t="s">
        <v>54</v>
      </c>
      <c r="AD1053" s="8" t="s">
        <v>54</v>
      </c>
      <c r="AE1053" s="8" t="s">
        <v>54</v>
      </c>
      <c r="AF1053" s="8" t="s">
        <v>54</v>
      </c>
      <c r="AG1053" s="8" t="s">
        <v>54</v>
      </c>
      <c r="AH1053" s="8" t="s">
        <v>54</v>
      </c>
      <c r="AI1053" s="10" t="s">
        <v>67</v>
      </c>
      <c r="AJ1053" s="8">
        <f>COUNTIF($E$1053:$AI$1053,"P")</f>
        <v>26</v>
      </c>
      <c r="AK1053" s="8">
        <f>COUNTIF($E$1053:$AI$1053,"A")</f>
        <v>0</v>
      </c>
      <c r="AL1053" s="8">
        <f>SUM($E$1054:$AI$1054)</f>
        <v>0</v>
      </c>
      <c r="AM1053" s="8">
        <f>SUM($E$1055:$AI$1055)</f>
        <v>0</v>
      </c>
      <c r="AN1053" s="8">
        <f>AL1053+AM1053</f>
        <v>0</v>
      </c>
      <c r="AO1053" s="8">
        <f>COUNTIF($E$1053:$AI$1053,"CL")</f>
        <v>0</v>
      </c>
      <c r="AP1053" s="8">
        <f>COUNTIF($E$1053:$AI$1053,"SL")</f>
        <v>0</v>
      </c>
      <c r="AQ1053" s="8">
        <f>COUNTIF($E$1053:$AI$1053,"EL")</f>
        <v>0</v>
      </c>
      <c r="AR1053" s="8">
        <f>COUNTIF($E$1053:$AI$1053,"H")</f>
        <v>0</v>
      </c>
      <c r="AS1053" s="8"/>
      <c r="AT1053" s="11" t="s">
        <v>260</v>
      </c>
    </row>
    <row r="1054" spans="1:46" ht="15.1" customHeight="1">
      <c r="A1054" s="8"/>
      <c r="B1054" s="9"/>
      <c r="C1054" s="8"/>
      <c r="D1054" s="9"/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11" t="s">
        <v>260</v>
      </c>
    </row>
    <row r="1055" spans="1:46" ht="15.1" customHeight="1">
      <c r="A1055" s="8"/>
      <c r="B1055" s="9"/>
      <c r="C1055" s="8"/>
      <c r="D1055" s="9"/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11" t="s">
        <v>260</v>
      </c>
    </row>
    <row r="1056" spans="1:46" ht="15.1" customHeight="1">
      <c r="A1056" s="8">
        <v>351</v>
      </c>
      <c r="B1056" s="9" t="s">
        <v>2762</v>
      </c>
      <c r="C1056" s="8" t="s">
        <v>2763</v>
      </c>
      <c r="D1056" s="9" t="s">
        <v>266</v>
      </c>
      <c r="E1056" s="8" t="s">
        <v>54</v>
      </c>
      <c r="F1056" s="8" t="s">
        <v>54</v>
      </c>
      <c r="G1056" s="10" t="s">
        <v>67</v>
      </c>
      <c r="H1056" s="8" t="s">
        <v>54</v>
      </c>
      <c r="I1056" s="8" t="s">
        <v>54</v>
      </c>
      <c r="J1056" s="8" t="s">
        <v>54</v>
      </c>
      <c r="K1056" s="8" t="s">
        <v>54</v>
      </c>
      <c r="L1056" s="8" t="s">
        <v>54</v>
      </c>
      <c r="M1056" s="8" t="s">
        <v>54</v>
      </c>
      <c r="N1056" s="10" t="s">
        <v>67</v>
      </c>
      <c r="O1056" s="8" t="s">
        <v>54</v>
      </c>
      <c r="P1056" s="8" t="s">
        <v>54</v>
      </c>
      <c r="Q1056" s="8" t="s">
        <v>54</v>
      </c>
      <c r="R1056" s="8" t="s">
        <v>54</v>
      </c>
      <c r="S1056" s="8" t="s">
        <v>54</v>
      </c>
      <c r="T1056" s="8" t="s">
        <v>54</v>
      </c>
      <c r="U1056" s="10" t="s">
        <v>67</v>
      </c>
      <c r="V1056" s="8" t="s">
        <v>54</v>
      </c>
      <c r="W1056" s="8" t="s">
        <v>54</v>
      </c>
      <c r="X1056" s="8" t="s">
        <v>54</v>
      </c>
      <c r="Y1056" s="8" t="s">
        <v>54</v>
      </c>
      <c r="Z1056" s="8" t="s">
        <v>54</v>
      </c>
      <c r="AA1056" s="8" t="s">
        <v>54</v>
      </c>
      <c r="AB1056" s="10" t="s">
        <v>67</v>
      </c>
      <c r="AC1056" s="8" t="s">
        <v>54</v>
      </c>
      <c r="AD1056" s="8" t="s">
        <v>54</v>
      </c>
      <c r="AE1056" s="8" t="s">
        <v>54</v>
      </c>
      <c r="AF1056" s="8" t="s">
        <v>54</v>
      </c>
      <c r="AG1056" s="8" t="s">
        <v>54</v>
      </c>
      <c r="AH1056" s="8" t="s">
        <v>54</v>
      </c>
      <c r="AI1056" s="10" t="s">
        <v>67</v>
      </c>
      <c r="AJ1056" s="8">
        <f>COUNTIF($E$1056:$AI$1056,"P")</f>
        <v>26</v>
      </c>
      <c r="AK1056" s="8">
        <f>COUNTIF($E$1056:$AI$1056,"A")</f>
        <v>0</v>
      </c>
      <c r="AL1056" s="8">
        <f>SUM($E$1057:$AI$1057)</f>
        <v>0</v>
      </c>
      <c r="AM1056" s="8">
        <f>SUM($E$1058:$AI$1058)</f>
        <v>0</v>
      </c>
      <c r="AN1056" s="8">
        <f>AL1056+AM1056</f>
        <v>0</v>
      </c>
      <c r="AO1056" s="8">
        <f>COUNTIF($E$1056:$AI$1056,"CL")</f>
        <v>0</v>
      </c>
      <c r="AP1056" s="8">
        <f>COUNTIF($E$1056:$AI$1056,"SL")</f>
        <v>0</v>
      </c>
      <c r="AQ1056" s="8">
        <f>COUNTIF($E$1056:$AI$1056,"EL")</f>
        <v>0</v>
      </c>
      <c r="AR1056" s="8">
        <f>COUNTIF($E$1056:$AI$1056,"H")</f>
        <v>0</v>
      </c>
      <c r="AS1056" s="8"/>
      <c r="AT1056" s="11" t="s">
        <v>260</v>
      </c>
    </row>
    <row r="1057" spans="1:46" ht="15.1" customHeight="1">
      <c r="A1057" s="8"/>
      <c r="B1057" s="9"/>
      <c r="C1057" s="8"/>
      <c r="D1057" s="9"/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11" t="s">
        <v>260</v>
      </c>
    </row>
    <row r="1058" spans="1:46" ht="15.1" customHeight="1">
      <c r="A1058" s="8"/>
      <c r="B1058" s="9"/>
      <c r="C1058" s="8"/>
      <c r="D1058" s="9"/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11" t="s">
        <v>260</v>
      </c>
    </row>
    <row r="1059" spans="1:46" ht="15.1" customHeight="1">
      <c r="A1059" s="8">
        <v>352</v>
      </c>
      <c r="B1059" s="9" t="s">
        <v>2764</v>
      </c>
      <c r="C1059" s="8" t="s">
        <v>2765</v>
      </c>
      <c r="D1059" s="9" t="s">
        <v>266</v>
      </c>
      <c r="E1059" s="8" t="s">
        <v>54</v>
      </c>
      <c r="F1059" s="8" t="s">
        <v>54</v>
      </c>
      <c r="G1059" s="10" t="s">
        <v>67</v>
      </c>
      <c r="H1059" s="12" t="s">
        <v>55</v>
      </c>
      <c r="I1059" s="8" t="s">
        <v>54</v>
      </c>
      <c r="J1059" s="8" t="s">
        <v>54</v>
      </c>
      <c r="K1059" s="8" t="s">
        <v>54</v>
      </c>
      <c r="L1059" s="8" t="s">
        <v>54</v>
      </c>
      <c r="M1059" s="8" t="s">
        <v>54</v>
      </c>
      <c r="N1059" s="10" t="s">
        <v>67</v>
      </c>
      <c r="O1059" s="8" t="s">
        <v>54</v>
      </c>
      <c r="P1059" s="8" t="s">
        <v>54</v>
      </c>
      <c r="Q1059" s="8" t="s">
        <v>54</v>
      </c>
      <c r="R1059" s="8" t="s">
        <v>54</v>
      </c>
      <c r="S1059" s="8" t="s">
        <v>54</v>
      </c>
      <c r="T1059" s="8" t="s">
        <v>54</v>
      </c>
      <c r="U1059" s="10" t="s">
        <v>67</v>
      </c>
      <c r="V1059" s="12" t="s">
        <v>55</v>
      </c>
      <c r="W1059" s="12" t="s">
        <v>55</v>
      </c>
      <c r="X1059" s="8" t="s">
        <v>54</v>
      </c>
      <c r="Y1059" s="8" t="s">
        <v>54</v>
      </c>
      <c r="Z1059" s="8" t="s">
        <v>54</v>
      </c>
      <c r="AA1059" s="8" t="s">
        <v>54</v>
      </c>
      <c r="AB1059" s="10" t="s">
        <v>67</v>
      </c>
      <c r="AC1059" s="8" t="s">
        <v>54</v>
      </c>
      <c r="AD1059" s="8" t="s">
        <v>54</v>
      </c>
      <c r="AE1059" s="8" t="s">
        <v>54</v>
      </c>
      <c r="AF1059" s="8" t="s">
        <v>54</v>
      </c>
      <c r="AG1059" s="8" t="s">
        <v>54</v>
      </c>
      <c r="AH1059" s="8" t="s">
        <v>54</v>
      </c>
      <c r="AI1059" s="10" t="s">
        <v>67</v>
      </c>
      <c r="AJ1059" s="8">
        <f>COUNTIF($E$1059:$AI$1059,"P")</f>
        <v>23</v>
      </c>
      <c r="AK1059" s="8">
        <f>COUNTIF($E$1059:$AI$1059,"A")</f>
        <v>3</v>
      </c>
      <c r="AL1059" s="8">
        <f>SUM($E$1060:$AI$1060)</f>
        <v>0</v>
      </c>
      <c r="AM1059" s="8">
        <f>SUM($E$1061:$AI$1061)</f>
        <v>0</v>
      </c>
      <c r="AN1059" s="8">
        <f>AL1059+AM1059</f>
        <v>0</v>
      </c>
      <c r="AO1059" s="8">
        <f>COUNTIF($E$1059:$AI$1059,"CL")</f>
        <v>0</v>
      </c>
      <c r="AP1059" s="8">
        <f>COUNTIF($E$1059:$AI$1059,"SL")</f>
        <v>0</v>
      </c>
      <c r="AQ1059" s="8">
        <f>COUNTIF($E$1059:$AI$1059,"EL")</f>
        <v>0</v>
      </c>
      <c r="AR1059" s="8">
        <f>COUNTIF($E$1059:$AI$1059,"H")</f>
        <v>0</v>
      </c>
      <c r="AS1059" s="8"/>
      <c r="AT1059" s="11" t="s">
        <v>260</v>
      </c>
    </row>
    <row r="1060" spans="1:46" ht="15.1" customHeight="1">
      <c r="A1060" s="8"/>
      <c r="B1060" s="9"/>
      <c r="C1060" s="8"/>
      <c r="D1060" s="9"/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11" t="s">
        <v>260</v>
      </c>
    </row>
    <row r="1061" spans="1:46" ht="15.1" customHeight="1">
      <c r="A1061" s="8"/>
      <c r="B1061" s="9"/>
      <c r="C1061" s="8"/>
      <c r="D1061" s="9"/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11" t="s">
        <v>260</v>
      </c>
    </row>
    <row r="1062" spans="1:46" ht="15.1" customHeight="1">
      <c r="A1062" s="8">
        <v>353</v>
      </c>
      <c r="B1062" s="9" t="s">
        <v>2766</v>
      </c>
      <c r="C1062" s="8" t="s">
        <v>2767</v>
      </c>
      <c r="D1062" s="9" t="s">
        <v>266</v>
      </c>
      <c r="E1062" s="8" t="s">
        <v>54</v>
      </c>
      <c r="F1062" s="8" t="s">
        <v>54</v>
      </c>
      <c r="G1062" s="10" t="s">
        <v>67</v>
      </c>
      <c r="H1062" s="8" t="s">
        <v>54</v>
      </c>
      <c r="I1062" s="8" t="s">
        <v>54</v>
      </c>
      <c r="J1062" s="8" t="s">
        <v>54</v>
      </c>
      <c r="K1062" s="8" t="s">
        <v>54</v>
      </c>
      <c r="L1062" s="8" t="s">
        <v>54</v>
      </c>
      <c r="M1062" s="8" t="s">
        <v>54</v>
      </c>
      <c r="N1062" s="10" t="s">
        <v>67</v>
      </c>
      <c r="O1062" s="8" t="s">
        <v>54</v>
      </c>
      <c r="P1062" s="8" t="s">
        <v>54</v>
      </c>
      <c r="Q1062" s="8" t="s">
        <v>54</v>
      </c>
      <c r="R1062" s="12" t="s">
        <v>55</v>
      </c>
      <c r="S1062" s="8" t="s">
        <v>54</v>
      </c>
      <c r="T1062" s="8" t="s">
        <v>54</v>
      </c>
      <c r="U1062" s="10" t="s">
        <v>67</v>
      </c>
      <c r="V1062" s="8" t="s">
        <v>54</v>
      </c>
      <c r="W1062" s="8" t="s">
        <v>54</v>
      </c>
      <c r="X1062" s="8" t="s">
        <v>54</v>
      </c>
      <c r="Y1062" s="8" t="s">
        <v>54</v>
      </c>
      <c r="Z1062" s="8" t="s">
        <v>54</v>
      </c>
      <c r="AA1062" s="8" t="s">
        <v>54</v>
      </c>
      <c r="AB1062" s="10" t="s">
        <v>67</v>
      </c>
      <c r="AC1062" s="8" t="s">
        <v>54</v>
      </c>
      <c r="AD1062" s="8" t="s">
        <v>54</v>
      </c>
      <c r="AE1062" s="8" t="s">
        <v>54</v>
      </c>
      <c r="AF1062" s="8" t="s">
        <v>54</v>
      </c>
      <c r="AG1062" s="8" t="s">
        <v>54</v>
      </c>
      <c r="AH1062" s="8" t="s">
        <v>54</v>
      </c>
      <c r="AI1062" s="10" t="s">
        <v>67</v>
      </c>
      <c r="AJ1062" s="8">
        <f>COUNTIF($E$1062:$AI$1062,"P")</f>
        <v>25</v>
      </c>
      <c r="AK1062" s="8">
        <f>COUNTIF($E$1062:$AI$1062,"A")</f>
        <v>1</v>
      </c>
      <c r="AL1062" s="8">
        <f>SUM($E$1063:$AI$1063)</f>
        <v>0</v>
      </c>
      <c r="AM1062" s="8">
        <f>SUM($E$1064:$AI$1064)</f>
        <v>0</v>
      </c>
      <c r="AN1062" s="8">
        <f>AL1062+AM1062</f>
        <v>0</v>
      </c>
      <c r="AO1062" s="8">
        <f>COUNTIF($E$1062:$AI$1062,"CL")</f>
        <v>0</v>
      </c>
      <c r="AP1062" s="8">
        <f>COUNTIF($E$1062:$AI$1062,"SL")</f>
        <v>0</v>
      </c>
      <c r="AQ1062" s="8">
        <f>COUNTIF($E$1062:$AI$1062,"EL")</f>
        <v>0</v>
      </c>
      <c r="AR1062" s="8">
        <f>COUNTIF($E$1062:$AI$1062,"H")</f>
        <v>0</v>
      </c>
      <c r="AS1062" s="8"/>
      <c r="AT1062" s="11" t="s">
        <v>260</v>
      </c>
    </row>
    <row r="1063" spans="1:46" ht="15.1" customHeight="1">
      <c r="A1063" s="8"/>
      <c r="B1063" s="9"/>
      <c r="C1063" s="8"/>
      <c r="D1063" s="9"/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11" t="s">
        <v>260</v>
      </c>
    </row>
    <row r="1064" spans="1:46" ht="15.1" customHeight="1">
      <c r="A1064" s="8"/>
      <c r="B1064" s="9"/>
      <c r="C1064" s="8"/>
      <c r="D1064" s="9"/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11" t="s">
        <v>260</v>
      </c>
    </row>
    <row r="1065" spans="1:46" ht="15.1" customHeight="1">
      <c r="A1065" s="8">
        <v>354</v>
      </c>
      <c r="B1065" s="9" t="s">
        <v>2768</v>
      </c>
      <c r="C1065" s="8" t="s">
        <v>2769</v>
      </c>
      <c r="D1065" s="9" t="s">
        <v>266</v>
      </c>
      <c r="E1065" s="8" t="s">
        <v>54</v>
      </c>
      <c r="F1065" s="8" t="s">
        <v>54</v>
      </c>
      <c r="G1065" s="10" t="s">
        <v>67</v>
      </c>
      <c r="H1065" s="8" t="s">
        <v>54</v>
      </c>
      <c r="I1065" s="8" t="s">
        <v>54</v>
      </c>
      <c r="J1065" s="8" t="s">
        <v>54</v>
      </c>
      <c r="K1065" s="8" t="s">
        <v>54</v>
      </c>
      <c r="L1065" s="8" t="s">
        <v>54</v>
      </c>
      <c r="M1065" s="8" t="s">
        <v>54</v>
      </c>
      <c r="N1065" s="10" t="s">
        <v>67</v>
      </c>
      <c r="O1065" s="8" t="s">
        <v>54</v>
      </c>
      <c r="P1065" s="8" t="s">
        <v>54</v>
      </c>
      <c r="Q1065" s="8" t="s">
        <v>54</v>
      </c>
      <c r="R1065" s="8" t="s">
        <v>54</v>
      </c>
      <c r="S1065" s="8" t="s">
        <v>54</v>
      </c>
      <c r="T1065" s="8" t="s">
        <v>54</v>
      </c>
      <c r="U1065" s="10" t="s">
        <v>67</v>
      </c>
      <c r="V1065" s="8" t="s">
        <v>54</v>
      </c>
      <c r="W1065" s="8" t="s">
        <v>54</v>
      </c>
      <c r="X1065" s="8" t="s">
        <v>54</v>
      </c>
      <c r="Y1065" s="8" t="s">
        <v>54</v>
      </c>
      <c r="Z1065" s="8" t="s">
        <v>54</v>
      </c>
      <c r="AA1065" s="8" t="s">
        <v>54</v>
      </c>
      <c r="AB1065" s="10" t="s">
        <v>67</v>
      </c>
      <c r="AC1065" s="8" t="s">
        <v>54</v>
      </c>
      <c r="AD1065" s="8" t="s">
        <v>54</v>
      </c>
      <c r="AE1065" s="8" t="s">
        <v>54</v>
      </c>
      <c r="AF1065" s="8" t="s">
        <v>54</v>
      </c>
      <c r="AG1065" s="8" t="s">
        <v>54</v>
      </c>
      <c r="AH1065" s="8" t="s">
        <v>54</v>
      </c>
      <c r="AI1065" s="10" t="s">
        <v>67</v>
      </c>
      <c r="AJ1065" s="8">
        <f>COUNTIF($E$1065:$AI$1065,"P")</f>
        <v>26</v>
      </c>
      <c r="AK1065" s="8">
        <f>COUNTIF($E$1065:$AI$1065,"A")</f>
        <v>0</v>
      </c>
      <c r="AL1065" s="8">
        <f>SUM($E$1066:$AI$1066)</f>
        <v>0</v>
      </c>
      <c r="AM1065" s="8">
        <f>SUM($E$1067:$AI$1067)</f>
        <v>0</v>
      </c>
      <c r="AN1065" s="8">
        <f>AL1065+AM1065</f>
        <v>0</v>
      </c>
      <c r="AO1065" s="8">
        <f>COUNTIF($E$1065:$AI$1065,"CL")</f>
        <v>0</v>
      </c>
      <c r="AP1065" s="8">
        <f>COUNTIF($E$1065:$AI$1065,"SL")</f>
        <v>0</v>
      </c>
      <c r="AQ1065" s="8">
        <f>COUNTIF($E$1065:$AI$1065,"EL")</f>
        <v>0</v>
      </c>
      <c r="AR1065" s="8">
        <f>COUNTIF($E$1065:$AI$1065,"H")</f>
        <v>0</v>
      </c>
      <c r="AS1065" s="8"/>
      <c r="AT1065" s="11" t="s">
        <v>260</v>
      </c>
    </row>
    <row r="1066" spans="1:46" ht="15.1" customHeight="1">
      <c r="A1066" s="8"/>
      <c r="B1066" s="9"/>
      <c r="C1066" s="8"/>
      <c r="D1066" s="9"/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11" t="s">
        <v>260</v>
      </c>
    </row>
    <row r="1067" spans="1:46" ht="15.1" customHeight="1">
      <c r="A1067" s="8"/>
      <c r="B1067" s="9"/>
      <c r="C1067" s="8"/>
      <c r="D1067" s="9"/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11" t="s">
        <v>260</v>
      </c>
    </row>
    <row r="1068" spans="1:46" ht="15.1" customHeight="1">
      <c r="A1068" s="8">
        <v>355</v>
      </c>
      <c r="B1068" s="9" t="s">
        <v>2770</v>
      </c>
      <c r="C1068" s="8" t="s">
        <v>2771</v>
      </c>
      <c r="D1068" s="9" t="s">
        <v>266</v>
      </c>
      <c r="E1068" s="8" t="s">
        <v>54</v>
      </c>
      <c r="F1068" s="8" t="s">
        <v>54</v>
      </c>
      <c r="G1068" s="10" t="s">
        <v>67</v>
      </c>
      <c r="H1068" s="8" t="s">
        <v>54</v>
      </c>
      <c r="I1068" s="8" t="s">
        <v>54</v>
      </c>
      <c r="J1068" s="8" t="s">
        <v>54</v>
      </c>
      <c r="K1068" s="8" t="s">
        <v>54</v>
      </c>
      <c r="L1068" s="8" t="s">
        <v>54</v>
      </c>
      <c r="M1068" s="8" t="s">
        <v>54</v>
      </c>
      <c r="N1068" s="10" t="s">
        <v>67</v>
      </c>
      <c r="O1068" s="8" t="s">
        <v>54</v>
      </c>
      <c r="P1068" s="8" t="s">
        <v>54</v>
      </c>
      <c r="Q1068" s="12" t="s">
        <v>55</v>
      </c>
      <c r="R1068" s="12" t="s">
        <v>55</v>
      </c>
      <c r="S1068" s="8" t="s">
        <v>54</v>
      </c>
      <c r="T1068" s="8" t="s">
        <v>54</v>
      </c>
      <c r="U1068" s="10" t="s">
        <v>67</v>
      </c>
      <c r="V1068" s="8" t="s">
        <v>54</v>
      </c>
      <c r="W1068" s="8" t="s">
        <v>54</v>
      </c>
      <c r="X1068" s="8" t="s">
        <v>54</v>
      </c>
      <c r="Y1068" s="8" t="s">
        <v>54</v>
      </c>
      <c r="Z1068" s="8" t="s">
        <v>54</v>
      </c>
      <c r="AA1068" s="8" t="s">
        <v>54</v>
      </c>
      <c r="AB1068" s="10" t="s">
        <v>67</v>
      </c>
      <c r="AC1068" s="8" t="s">
        <v>54</v>
      </c>
      <c r="AD1068" s="8" t="s">
        <v>54</v>
      </c>
      <c r="AE1068" s="8" t="s">
        <v>54</v>
      </c>
      <c r="AF1068" s="8" t="s">
        <v>54</v>
      </c>
      <c r="AG1068" s="8" t="s">
        <v>54</v>
      </c>
      <c r="AH1068" s="8" t="s">
        <v>54</v>
      </c>
      <c r="AI1068" s="10" t="s">
        <v>67</v>
      </c>
      <c r="AJ1068" s="8">
        <f>COUNTIF($E$1068:$AI$1068,"P")</f>
        <v>24</v>
      </c>
      <c r="AK1068" s="8">
        <f>COUNTIF($E$1068:$AI$1068,"A")</f>
        <v>2</v>
      </c>
      <c r="AL1068" s="8">
        <f>SUM($E$1069:$AI$1069)</f>
        <v>0</v>
      </c>
      <c r="AM1068" s="8">
        <f>SUM($E$1070:$AI$1070)</f>
        <v>0</v>
      </c>
      <c r="AN1068" s="8">
        <f>AL1068+AM1068</f>
        <v>0</v>
      </c>
      <c r="AO1068" s="8">
        <f>COUNTIF($E$1068:$AI$1068,"CL")</f>
        <v>0</v>
      </c>
      <c r="AP1068" s="8">
        <f>COUNTIF($E$1068:$AI$1068,"SL")</f>
        <v>0</v>
      </c>
      <c r="AQ1068" s="8">
        <f>COUNTIF($E$1068:$AI$1068,"EL")</f>
        <v>0</v>
      </c>
      <c r="AR1068" s="8">
        <f>COUNTIF($E$1068:$AI$1068,"H")</f>
        <v>0</v>
      </c>
      <c r="AS1068" s="8"/>
      <c r="AT1068" s="11" t="s">
        <v>260</v>
      </c>
    </row>
    <row r="1069" spans="1:46" ht="15.1" customHeight="1">
      <c r="A1069" s="8"/>
      <c r="B1069" s="9"/>
      <c r="C1069" s="8"/>
      <c r="D1069" s="9"/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11" t="s">
        <v>260</v>
      </c>
    </row>
    <row r="1070" spans="1:46" ht="15.1" customHeight="1">
      <c r="A1070" s="8"/>
      <c r="B1070" s="9"/>
      <c r="C1070" s="8"/>
      <c r="D1070" s="9"/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11" t="s">
        <v>260</v>
      </c>
    </row>
    <row r="1071" spans="1:46" ht="15.1" customHeight="1">
      <c r="A1071" s="8">
        <v>356</v>
      </c>
      <c r="B1071" s="9" t="s">
        <v>2772</v>
      </c>
      <c r="C1071" s="8" t="s">
        <v>2773</v>
      </c>
      <c r="D1071" s="9" t="s">
        <v>266</v>
      </c>
      <c r="E1071" s="8" t="s">
        <v>54</v>
      </c>
      <c r="F1071" s="8" t="s">
        <v>54</v>
      </c>
      <c r="G1071" s="10" t="s">
        <v>67</v>
      </c>
      <c r="H1071" s="8" t="s">
        <v>54</v>
      </c>
      <c r="I1071" s="8" t="s">
        <v>54</v>
      </c>
      <c r="J1071" s="8" t="s">
        <v>54</v>
      </c>
      <c r="K1071" s="8" t="s">
        <v>54</v>
      </c>
      <c r="L1071" s="8" t="s">
        <v>54</v>
      </c>
      <c r="M1071" s="8" t="s">
        <v>54</v>
      </c>
      <c r="N1071" s="10" t="s">
        <v>67</v>
      </c>
      <c r="O1071" s="8" t="s">
        <v>54</v>
      </c>
      <c r="P1071" s="8" t="s">
        <v>54</v>
      </c>
      <c r="Q1071" s="8" t="s">
        <v>54</v>
      </c>
      <c r="R1071" s="8" t="s">
        <v>54</v>
      </c>
      <c r="S1071" s="8" t="s">
        <v>54</v>
      </c>
      <c r="T1071" s="8" t="s">
        <v>54</v>
      </c>
      <c r="U1071" s="10" t="s">
        <v>67</v>
      </c>
      <c r="V1071" s="8" t="s">
        <v>54</v>
      </c>
      <c r="W1071" s="8" t="s">
        <v>54</v>
      </c>
      <c r="X1071" s="8" t="s">
        <v>54</v>
      </c>
      <c r="Y1071" s="8" t="s">
        <v>54</v>
      </c>
      <c r="Z1071" s="8" t="s">
        <v>54</v>
      </c>
      <c r="AA1071" s="8" t="s">
        <v>54</v>
      </c>
      <c r="AB1071" s="10" t="s">
        <v>67</v>
      </c>
      <c r="AC1071" s="8" t="s">
        <v>54</v>
      </c>
      <c r="AD1071" s="8" t="s">
        <v>54</v>
      </c>
      <c r="AE1071" s="8" t="s">
        <v>54</v>
      </c>
      <c r="AF1071" s="8" t="s">
        <v>54</v>
      </c>
      <c r="AG1071" s="8" t="s">
        <v>54</v>
      </c>
      <c r="AH1071" s="8" t="s">
        <v>54</v>
      </c>
      <c r="AI1071" s="10" t="s">
        <v>67</v>
      </c>
      <c r="AJ1071" s="8">
        <f>COUNTIF($E$1071:$AI$1071,"P")</f>
        <v>26</v>
      </c>
      <c r="AK1071" s="8">
        <f>COUNTIF($E$1071:$AI$1071,"A")</f>
        <v>0</v>
      </c>
      <c r="AL1071" s="8">
        <f>SUM($E$1072:$AI$1072)</f>
        <v>0</v>
      </c>
      <c r="AM1071" s="8">
        <f>SUM($E$1073:$AI$1073)</f>
        <v>0</v>
      </c>
      <c r="AN1071" s="8">
        <f>AL1071+AM1071</f>
        <v>0</v>
      </c>
      <c r="AO1071" s="8">
        <f>COUNTIF($E$1071:$AI$1071,"CL")</f>
        <v>0</v>
      </c>
      <c r="AP1071" s="8">
        <f>COUNTIF($E$1071:$AI$1071,"SL")</f>
        <v>0</v>
      </c>
      <c r="AQ1071" s="8">
        <f>COUNTIF($E$1071:$AI$1071,"EL")</f>
        <v>0</v>
      </c>
      <c r="AR1071" s="8">
        <f>COUNTIF($E$1071:$AI$1071,"H")</f>
        <v>0</v>
      </c>
      <c r="AS1071" s="8"/>
      <c r="AT1071" s="11" t="s">
        <v>260</v>
      </c>
    </row>
    <row r="1072" spans="1:46" ht="15.1" customHeight="1">
      <c r="A1072" s="8"/>
      <c r="B1072" s="9"/>
      <c r="C1072" s="8"/>
      <c r="D1072" s="9"/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11" t="s">
        <v>260</v>
      </c>
    </row>
    <row r="1073" spans="1:46" ht="15.1" customHeight="1">
      <c r="A1073" s="8"/>
      <c r="B1073" s="9"/>
      <c r="C1073" s="8"/>
      <c r="D1073" s="9"/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11" t="s">
        <v>260</v>
      </c>
    </row>
    <row r="1074" spans="1:46" ht="15.1" customHeight="1">
      <c r="A1074" s="8">
        <v>357</v>
      </c>
      <c r="B1074" s="9" t="s">
        <v>2774</v>
      </c>
      <c r="C1074" s="8" t="s">
        <v>2775</v>
      </c>
      <c r="D1074" s="9" t="s">
        <v>266</v>
      </c>
      <c r="E1074" s="8" t="s">
        <v>54</v>
      </c>
      <c r="F1074" s="8" t="s">
        <v>54</v>
      </c>
      <c r="G1074" s="10" t="s">
        <v>67</v>
      </c>
      <c r="H1074" s="8" t="s">
        <v>54</v>
      </c>
      <c r="I1074" s="8" t="s">
        <v>54</v>
      </c>
      <c r="J1074" s="8" t="s">
        <v>54</v>
      </c>
      <c r="K1074" s="8" t="s">
        <v>54</v>
      </c>
      <c r="L1074" s="8" t="s">
        <v>54</v>
      </c>
      <c r="M1074" s="8" t="s">
        <v>54</v>
      </c>
      <c r="N1074" s="10" t="s">
        <v>67</v>
      </c>
      <c r="O1074" s="8" t="s">
        <v>54</v>
      </c>
      <c r="P1074" s="8" t="s">
        <v>54</v>
      </c>
      <c r="Q1074" s="8" t="s">
        <v>54</v>
      </c>
      <c r="R1074" s="8" t="s">
        <v>54</v>
      </c>
      <c r="S1074" s="8" t="s">
        <v>54</v>
      </c>
      <c r="T1074" s="8" t="s">
        <v>54</v>
      </c>
      <c r="U1074" s="10" t="s">
        <v>67</v>
      </c>
      <c r="V1074" s="8" t="s">
        <v>54</v>
      </c>
      <c r="W1074" s="8" t="s">
        <v>54</v>
      </c>
      <c r="X1074" s="8" t="s">
        <v>54</v>
      </c>
      <c r="Y1074" s="8" t="s">
        <v>54</v>
      </c>
      <c r="Z1074" s="8" t="s">
        <v>54</v>
      </c>
      <c r="AA1074" s="8" t="s">
        <v>54</v>
      </c>
      <c r="AB1074" s="10" t="s">
        <v>67</v>
      </c>
      <c r="AC1074" s="8" t="s">
        <v>54</v>
      </c>
      <c r="AD1074" s="8" t="s">
        <v>54</v>
      </c>
      <c r="AE1074" s="8" t="s">
        <v>54</v>
      </c>
      <c r="AF1074" s="8" t="s">
        <v>54</v>
      </c>
      <c r="AG1074" s="8" t="s">
        <v>54</v>
      </c>
      <c r="AH1074" s="8" t="s">
        <v>54</v>
      </c>
      <c r="AI1074" s="10" t="s">
        <v>67</v>
      </c>
      <c r="AJ1074" s="8">
        <f>COUNTIF($E$1074:$AI$1074,"P")</f>
        <v>26</v>
      </c>
      <c r="AK1074" s="8">
        <f>COUNTIF($E$1074:$AI$1074,"A")</f>
        <v>0</v>
      </c>
      <c r="AL1074" s="8">
        <f>SUM($E$1075:$AI$1075)</f>
        <v>0</v>
      </c>
      <c r="AM1074" s="8">
        <f>SUM($E$1076:$AI$1076)</f>
        <v>0</v>
      </c>
      <c r="AN1074" s="8">
        <f>AL1074+AM1074</f>
        <v>0</v>
      </c>
      <c r="AO1074" s="8">
        <f>COUNTIF($E$1074:$AI$1074,"CL")</f>
        <v>0</v>
      </c>
      <c r="AP1074" s="8">
        <f>COUNTIF($E$1074:$AI$1074,"SL")</f>
        <v>0</v>
      </c>
      <c r="AQ1074" s="8">
        <f>COUNTIF($E$1074:$AI$1074,"EL")</f>
        <v>0</v>
      </c>
      <c r="AR1074" s="8">
        <f>COUNTIF($E$1074:$AI$1074,"H")</f>
        <v>0</v>
      </c>
      <c r="AS1074" s="8"/>
      <c r="AT1074" s="11" t="s">
        <v>260</v>
      </c>
    </row>
    <row r="1075" spans="1:46" ht="15.1" customHeight="1">
      <c r="A1075" s="8"/>
      <c r="B1075" s="9"/>
      <c r="C1075" s="8"/>
      <c r="D1075" s="9"/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11" t="s">
        <v>260</v>
      </c>
    </row>
    <row r="1076" spans="1:46" ht="15.1" customHeight="1">
      <c r="A1076" s="8"/>
      <c r="B1076" s="9"/>
      <c r="C1076" s="8"/>
      <c r="D1076" s="9"/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11" t="s">
        <v>260</v>
      </c>
    </row>
    <row r="1077" spans="1:46" ht="15.1" customHeight="1">
      <c r="A1077" s="8">
        <v>358</v>
      </c>
      <c r="B1077" s="9" t="s">
        <v>2776</v>
      </c>
      <c r="C1077" s="8" t="s">
        <v>2777</v>
      </c>
      <c r="D1077" s="9" t="s">
        <v>266</v>
      </c>
      <c r="E1077" s="8" t="s">
        <v>54</v>
      </c>
      <c r="F1077" s="8" t="s">
        <v>54</v>
      </c>
      <c r="G1077" s="10" t="s">
        <v>67</v>
      </c>
      <c r="H1077" s="8" t="s">
        <v>54</v>
      </c>
      <c r="I1077" s="8" t="s">
        <v>54</v>
      </c>
      <c r="J1077" s="8" t="s">
        <v>54</v>
      </c>
      <c r="K1077" s="8" t="s">
        <v>54</v>
      </c>
      <c r="L1077" s="8" t="s">
        <v>54</v>
      </c>
      <c r="M1077" s="8" t="s">
        <v>54</v>
      </c>
      <c r="N1077" s="10" t="s">
        <v>67</v>
      </c>
      <c r="O1077" s="8" t="s">
        <v>54</v>
      </c>
      <c r="P1077" s="8" t="s">
        <v>54</v>
      </c>
      <c r="Q1077" s="8" t="s">
        <v>54</v>
      </c>
      <c r="R1077" s="8" t="s">
        <v>54</v>
      </c>
      <c r="S1077" s="8" t="s">
        <v>54</v>
      </c>
      <c r="T1077" s="8" t="s">
        <v>54</v>
      </c>
      <c r="U1077" s="10" t="s">
        <v>67</v>
      </c>
      <c r="V1077" s="8" t="s">
        <v>54</v>
      </c>
      <c r="W1077" s="8" t="s">
        <v>54</v>
      </c>
      <c r="X1077" s="8" t="s">
        <v>54</v>
      </c>
      <c r="Y1077" s="8" t="s">
        <v>54</v>
      </c>
      <c r="Z1077" s="8" t="s">
        <v>54</v>
      </c>
      <c r="AA1077" s="8" t="s">
        <v>54</v>
      </c>
      <c r="AB1077" s="10" t="s">
        <v>67</v>
      </c>
      <c r="AC1077" s="8" t="s">
        <v>54</v>
      </c>
      <c r="AD1077" s="8" t="s">
        <v>54</v>
      </c>
      <c r="AE1077" s="8" t="s">
        <v>54</v>
      </c>
      <c r="AF1077" s="8" t="s">
        <v>54</v>
      </c>
      <c r="AG1077" s="8" t="s">
        <v>54</v>
      </c>
      <c r="AH1077" s="8" t="s">
        <v>54</v>
      </c>
      <c r="AI1077" s="10" t="s">
        <v>67</v>
      </c>
      <c r="AJ1077" s="8">
        <f>COUNTIF($E$1077:$AI$1077,"P")</f>
        <v>26</v>
      </c>
      <c r="AK1077" s="8">
        <f>COUNTIF($E$1077:$AI$1077,"A")</f>
        <v>0</v>
      </c>
      <c r="AL1077" s="8">
        <f>SUM($E$1078:$AI$1078)</f>
        <v>0</v>
      </c>
      <c r="AM1077" s="8">
        <f>SUM($E$1079:$AI$1079)</f>
        <v>0</v>
      </c>
      <c r="AN1077" s="8">
        <f>AL1077+AM1077</f>
        <v>0</v>
      </c>
      <c r="AO1077" s="8">
        <f>COUNTIF($E$1077:$AI$1077,"CL")</f>
        <v>0</v>
      </c>
      <c r="AP1077" s="8">
        <f>COUNTIF($E$1077:$AI$1077,"SL")</f>
        <v>0</v>
      </c>
      <c r="AQ1077" s="8">
        <f>COUNTIF($E$1077:$AI$1077,"EL")</f>
        <v>0</v>
      </c>
      <c r="AR1077" s="8">
        <f>COUNTIF($E$1077:$AI$1077,"H")</f>
        <v>0</v>
      </c>
      <c r="AS1077" s="8"/>
      <c r="AT1077" s="11" t="s">
        <v>260</v>
      </c>
    </row>
    <row r="1078" spans="1:46" ht="15.1" customHeight="1">
      <c r="A1078" s="8"/>
      <c r="B1078" s="9"/>
      <c r="C1078" s="8"/>
      <c r="D1078" s="9"/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11" t="s">
        <v>260</v>
      </c>
    </row>
    <row r="1079" spans="1:46" ht="15.1" customHeight="1">
      <c r="A1079" s="8"/>
      <c r="B1079" s="9"/>
      <c r="C1079" s="8"/>
      <c r="D1079" s="9"/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11" t="s">
        <v>260</v>
      </c>
    </row>
    <row r="1080" spans="1:46" ht="15.1" customHeight="1">
      <c r="A1080" s="8">
        <v>359</v>
      </c>
      <c r="B1080" s="9" t="s">
        <v>2778</v>
      </c>
      <c r="C1080" s="8" t="s">
        <v>2779</v>
      </c>
      <c r="D1080" s="9" t="s">
        <v>266</v>
      </c>
      <c r="E1080" s="8" t="s">
        <v>54</v>
      </c>
      <c r="F1080" s="8" t="s">
        <v>54</v>
      </c>
      <c r="G1080" s="10" t="s">
        <v>67</v>
      </c>
      <c r="H1080" s="8" t="s">
        <v>54</v>
      </c>
      <c r="I1080" s="8" t="s">
        <v>54</v>
      </c>
      <c r="J1080" s="8" t="s">
        <v>54</v>
      </c>
      <c r="K1080" s="8" t="s">
        <v>54</v>
      </c>
      <c r="L1080" s="8" t="s">
        <v>54</v>
      </c>
      <c r="M1080" s="8" t="s">
        <v>54</v>
      </c>
      <c r="N1080" s="10" t="s">
        <v>67</v>
      </c>
      <c r="O1080" s="8" t="s">
        <v>54</v>
      </c>
      <c r="P1080" s="8" t="s">
        <v>54</v>
      </c>
      <c r="Q1080" s="8" t="s">
        <v>54</v>
      </c>
      <c r="R1080" s="8" t="s">
        <v>54</v>
      </c>
      <c r="S1080" s="8" t="s">
        <v>54</v>
      </c>
      <c r="T1080" s="8" t="s">
        <v>54</v>
      </c>
      <c r="U1080" s="10" t="s">
        <v>67</v>
      </c>
      <c r="V1080" s="8" t="s">
        <v>54</v>
      </c>
      <c r="W1080" s="8" t="s">
        <v>54</v>
      </c>
      <c r="X1080" s="8" t="s">
        <v>54</v>
      </c>
      <c r="Y1080" s="8" t="s">
        <v>54</v>
      </c>
      <c r="Z1080" s="8" t="s">
        <v>54</v>
      </c>
      <c r="AA1080" s="8" t="s">
        <v>54</v>
      </c>
      <c r="AB1080" s="10" t="s">
        <v>67</v>
      </c>
      <c r="AC1080" s="8" t="s">
        <v>54</v>
      </c>
      <c r="AD1080" s="8" t="s">
        <v>54</v>
      </c>
      <c r="AE1080" s="8" t="s">
        <v>54</v>
      </c>
      <c r="AF1080" s="8" t="s">
        <v>54</v>
      </c>
      <c r="AG1080" s="8" t="s">
        <v>54</v>
      </c>
      <c r="AH1080" s="8" t="s">
        <v>54</v>
      </c>
      <c r="AI1080" s="10" t="s">
        <v>67</v>
      </c>
      <c r="AJ1080" s="8">
        <f>COUNTIF($E$1080:$AI$1080,"P")</f>
        <v>26</v>
      </c>
      <c r="AK1080" s="8">
        <f>COUNTIF($E$1080:$AI$1080,"A")</f>
        <v>0</v>
      </c>
      <c r="AL1080" s="8">
        <f>SUM($E$1081:$AI$1081)</f>
        <v>0</v>
      </c>
      <c r="AM1080" s="8">
        <f>SUM($E$1082:$AI$1082)</f>
        <v>0</v>
      </c>
      <c r="AN1080" s="8">
        <f>AL1080+AM1080</f>
        <v>0</v>
      </c>
      <c r="AO1080" s="8">
        <f>COUNTIF($E$1080:$AI$1080,"CL")</f>
        <v>0</v>
      </c>
      <c r="AP1080" s="8">
        <f>COUNTIF($E$1080:$AI$1080,"SL")</f>
        <v>0</v>
      </c>
      <c r="AQ1080" s="8">
        <f>COUNTIF($E$1080:$AI$1080,"EL")</f>
        <v>0</v>
      </c>
      <c r="AR1080" s="8">
        <f>COUNTIF($E$1080:$AI$1080,"H")</f>
        <v>0</v>
      </c>
      <c r="AS1080" s="8"/>
      <c r="AT1080" s="11" t="s">
        <v>260</v>
      </c>
    </row>
    <row r="1081" spans="1:46" ht="15.1" customHeight="1">
      <c r="A1081" s="8"/>
      <c r="B1081" s="9"/>
      <c r="C1081" s="8"/>
      <c r="D1081" s="9"/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11" t="s">
        <v>260</v>
      </c>
    </row>
    <row r="1082" spans="1:46" ht="15.1" customHeight="1">
      <c r="A1082" s="8"/>
      <c r="B1082" s="9"/>
      <c r="C1082" s="8"/>
      <c r="D1082" s="9"/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11" t="s">
        <v>260</v>
      </c>
    </row>
    <row r="1083" spans="1:46" ht="15.1" customHeight="1">
      <c r="A1083" s="8">
        <v>360</v>
      </c>
      <c r="B1083" s="9" t="s">
        <v>2780</v>
      </c>
      <c r="C1083" s="8" t="s">
        <v>2781</v>
      </c>
      <c r="D1083" s="9" t="s">
        <v>266</v>
      </c>
      <c r="E1083" s="8" t="s">
        <v>54</v>
      </c>
      <c r="F1083" s="8" t="s">
        <v>54</v>
      </c>
      <c r="G1083" s="10" t="s">
        <v>67</v>
      </c>
      <c r="H1083" s="8" t="s">
        <v>54</v>
      </c>
      <c r="I1083" s="8" t="s">
        <v>54</v>
      </c>
      <c r="J1083" s="8" t="s">
        <v>54</v>
      </c>
      <c r="K1083" s="8" t="s">
        <v>54</v>
      </c>
      <c r="L1083" s="8" t="s">
        <v>54</v>
      </c>
      <c r="M1083" s="8" t="s">
        <v>54</v>
      </c>
      <c r="N1083" s="10" t="s">
        <v>67</v>
      </c>
      <c r="O1083" s="8" t="s">
        <v>54</v>
      </c>
      <c r="P1083" s="8" t="s">
        <v>54</v>
      </c>
      <c r="Q1083" s="8" t="s">
        <v>54</v>
      </c>
      <c r="R1083" s="8" t="s">
        <v>54</v>
      </c>
      <c r="S1083" s="8" t="s">
        <v>54</v>
      </c>
      <c r="T1083" s="8" t="s">
        <v>54</v>
      </c>
      <c r="U1083" s="10" t="s">
        <v>67</v>
      </c>
      <c r="V1083" s="8" t="s">
        <v>54</v>
      </c>
      <c r="W1083" s="8" t="s">
        <v>54</v>
      </c>
      <c r="X1083" s="8" t="s">
        <v>54</v>
      </c>
      <c r="Y1083" s="8" t="s">
        <v>54</v>
      </c>
      <c r="Z1083" s="8" t="s">
        <v>54</v>
      </c>
      <c r="AA1083" s="8" t="s">
        <v>54</v>
      </c>
      <c r="AB1083" s="10" t="s">
        <v>67</v>
      </c>
      <c r="AC1083" s="8" t="s">
        <v>54</v>
      </c>
      <c r="AD1083" s="8" t="s">
        <v>54</v>
      </c>
      <c r="AE1083" s="8" t="s">
        <v>54</v>
      </c>
      <c r="AF1083" s="8" t="s">
        <v>54</v>
      </c>
      <c r="AG1083" s="8" t="s">
        <v>54</v>
      </c>
      <c r="AH1083" s="8" t="s">
        <v>54</v>
      </c>
      <c r="AI1083" s="10" t="s">
        <v>67</v>
      </c>
      <c r="AJ1083" s="8">
        <f>COUNTIF($E$1083:$AI$1083,"P")</f>
        <v>26</v>
      </c>
      <c r="AK1083" s="8">
        <f>COUNTIF($E$1083:$AI$1083,"A")</f>
        <v>0</v>
      </c>
      <c r="AL1083" s="8">
        <f>SUM($E$1084:$AI$1084)</f>
        <v>0</v>
      </c>
      <c r="AM1083" s="8">
        <f>SUM($E$1085:$AI$1085)</f>
        <v>0</v>
      </c>
      <c r="AN1083" s="8">
        <f>AL1083+AM1083</f>
        <v>0</v>
      </c>
      <c r="AO1083" s="8">
        <f>COUNTIF($E$1083:$AI$1083,"CL")</f>
        <v>0</v>
      </c>
      <c r="AP1083" s="8">
        <f>COUNTIF($E$1083:$AI$1083,"SL")</f>
        <v>0</v>
      </c>
      <c r="AQ1083" s="8">
        <f>COUNTIF($E$1083:$AI$1083,"EL")</f>
        <v>0</v>
      </c>
      <c r="AR1083" s="8">
        <f>COUNTIF($E$1083:$AI$1083,"H")</f>
        <v>0</v>
      </c>
      <c r="AS1083" s="8"/>
      <c r="AT1083" s="11" t="s">
        <v>260</v>
      </c>
    </row>
    <row r="1084" spans="1:46" ht="15.1" customHeight="1">
      <c r="A1084" s="8"/>
      <c r="B1084" s="9"/>
      <c r="C1084" s="8"/>
      <c r="D1084" s="9"/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11" t="s">
        <v>260</v>
      </c>
    </row>
    <row r="1085" spans="1:46" ht="15.1" customHeight="1">
      <c r="A1085" s="8"/>
      <c r="B1085" s="9"/>
      <c r="C1085" s="8"/>
      <c r="D1085" s="9"/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11" t="s">
        <v>260</v>
      </c>
    </row>
    <row r="1086" spans="1:46" ht="15.1" customHeight="1">
      <c r="A1086" s="8">
        <v>361</v>
      </c>
      <c r="B1086" s="9" t="s">
        <v>2782</v>
      </c>
      <c r="C1086" s="8" t="s">
        <v>2783</v>
      </c>
      <c r="D1086" s="9" t="s">
        <v>266</v>
      </c>
      <c r="E1086" s="8" t="s">
        <v>54</v>
      </c>
      <c r="F1086" s="8" t="s">
        <v>54</v>
      </c>
      <c r="G1086" s="10" t="s">
        <v>67</v>
      </c>
      <c r="H1086" s="8" t="s">
        <v>54</v>
      </c>
      <c r="I1086" s="8" t="s">
        <v>54</v>
      </c>
      <c r="J1086" s="8" t="s">
        <v>54</v>
      </c>
      <c r="K1086" s="8" t="s">
        <v>54</v>
      </c>
      <c r="L1086" s="8" t="s">
        <v>54</v>
      </c>
      <c r="M1086" s="8" t="s">
        <v>54</v>
      </c>
      <c r="N1086" s="10" t="s">
        <v>67</v>
      </c>
      <c r="O1086" s="8" t="s">
        <v>54</v>
      </c>
      <c r="P1086" s="8" t="s">
        <v>54</v>
      </c>
      <c r="Q1086" s="8" t="s">
        <v>54</v>
      </c>
      <c r="R1086" s="8" t="s">
        <v>54</v>
      </c>
      <c r="S1086" s="8" t="s">
        <v>54</v>
      </c>
      <c r="T1086" s="8" t="s">
        <v>54</v>
      </c>
      <c r="U1086" s="10" t="s">
        <v>67</v>
      </c>
      <c r="V1086" s="8" t="s">
        <v>54</v>
      </c>
      <c r="W1086" s="8" t="s">
        <v>54</v>
      </c>
      <c r="X1086" s="8" t="s">
        <v>54</v>
      </c>
      <c r="Y1086" s="8" t="s">
        <v>54</v>
      </c>
      <c r="Z1086" s="8" t="s">
        <v>54</v>
      </c>
      <c r="AA1086" s="8" t="s">
        <v>54</v>
      </c>
      <c r="AB1086" s="10" t="s">
        <v>67</v>
      </c>
      <c r="AC1086" s="8" t="s">
        <v>54</v>
      </c>
      <c r="AD1086" s="8" t="s">
        <v>54</v>
      </c>
      <c r="AE1086" s="8" t="s">
        <v>54</v>
      </c>
      <c r="AF1086" s="8" t="s">
        <v>54</v>
      </c>
      <c r="AG1086" s="8" t="s">
        <v>54</v>
      </c>
      <c r="AH1086" s="8" t="s">
        <v>54</v>
      </c>
      <c r="AI1086" s="10" t="s">
        <v>67</v>
      </c>
      <c r="AJ1086" s="8">
        <f>COUNTIF($E$1086:$AI$1086,"P")</f>
        <v>26</v>
      </c>
      <c r="AK1086" s="8">
        <f>COUNTIF($E$1086:$AI$1086,"A")</f>
        <v>0</v>
      </c>
      <c r="AL1086" s="8">
        <f>SUM($E$1087:$AI$1087)</f>
        <v>0</v>
      </c>
      <c r="AM1086" s="8">
        <f>SUM($E$1088:$AI$1088)</f>
        <v>0</v>
      </c>
      <c r="AN1086" s="8">
        <f>AL1086+AM1086</f>
        <v>0</v>
      </c>
      <c r="AO1086" s="8">
        <f>COUNTIF($E$1086:$AI$1086,"CL")</f>
        <v>0</v>
      </c>
      <c r="AP1086" s="8">
        <f>COUNTIF($E$1086:$AI$1086,"SL")</f>
        <v>0</v>
      </c>
      <c r="AQ1086" s="8">
        <f>COUNTIF($E$1086:$AI$1086,"EL")</f>
        <v>0</v>
      </c>
      <c r="AR1086" s="8">
        <f>COUNTIF($E$1086:$AI$1086,"H")</f>
        <v>0</v>
      </c>
      <c r="AS1086" s="8"/>
      <c r="AT1086" s="11" t="s">
        <v>260</v>
      </c>
    </row>
    <row r="1087" spans="1:46" ht="15.1" customHeight="1">
      <c r="A1087" s="8"/>
      <c r="B1087" s="9"/>
      <c r="C1087" s="8"/>
      <c r="D1087" s="9"/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11" t="s">
        <v>260</v>
      </c>
    </row>
    <row r="1088" spans="1:46" ht="15.1" customHeight="1">
      <c r="A1088" s="8"/>
      <c r="B1088" s="9"/>
      <c r="C1088" s="8"/>
      <c r="D1088" s="9"/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11" t="s">
        <v>260</v>
      </c>
    </row>
    <row r="1089" spans="1:46" ht="15.1" customHeight="1">
      <c r="A1089" s="8">
        <v>362</v>
      </c>
      <c r="B1089" s="9" t="s">
        <v>2784</v>
      </c>
      <c r="C1089" s="8" t="s">
        <v>2785</v>
      </c>
      <c r="D1089" s="9" t="s">
        <v>266</v>
      </c>
      <c r="E1089" s="8" t="s">
        <v>54</v>
      </c>
      <c r="F1089" s="8" t="s">
        <v>54</v>
      </c>
      <c r="G1089" s="10" t="s">
        <v>67</v>
      </c>
      <c r="H1089" s="8" t="s">
        <v>54</v>
      </c>
      <c r="I1089" s="8" t="s">
        <v>54</v>
      </c>
      <c r="J1089" s="8" t="s">
        <v>54</v>
      </c>
      <c r="K1089" s="8" t="s">
        <v>54</v>
      </c>
      <c r="L1089" s="8" t="s">
        <v>54</v>
      </c>
      <c r="M1089" s="12" t="s">
        <v>55</v>
      </c>
      <c r="N1089" s="10" t="s">
        <v>67</v>
      </c>
      <c r="O1089" s="8" t="s">
        <v>54</v>
      </c>
      <c r="P1089" s="8" t="s">
        <v>54</v>
      </c>
      <c r="Q1089" s="8" t="s">
        <v>54</v>
      </c>
      <c r="R1089" s="8" t="s">
        <v>54</v>
      </c>
      <c r="S1089" s="8" t="s">
        <v>54</v>
      </c>
      <c r="T1089" s="8" t="s">
        <v>54</v>
      </c>
      <c r="U1089" s="10" t="s">
        <v>67</v>
      </c>
      <c r="V1089" s="8" t="s">
        <v>54</v>
      </c>
      <c r="W1089" s="8" t="s">
        <v>54</v>
      </c>
      <c r="X1089" s="8" t="s">
        <v>54</v>
      </c>
      <c r="Y1089" s="8" t="s">
        <v>54</v>
      </c>
      <c r="Z1089" s="8" t="s">
        <v>54</v>
      </c>
      <c r="AA1089" s="8" t="s">
        <v>54</v>
      </c>
      <c r="AB1089" s="10" t="s">
        <v>67</v>
      </c>
      <c r="AC1089" s="8" t="s">
        <v>54</v>
      </c>
      <c r="AD1089" s="8" t="s">
        <v>54</v>
      </c>
      <c r="AE1089" s="8" t="s">
        <v>54</v>
      </c>
      <c r="AF1089" s="8" t="s">
        <v>54</v>
      </c>
      <c r="AG1089" s="8" t="s">
        <v>54</v>
      </c>
      <c r="AH1089" s="8" t="s">
        <v>54</v>
      </c>
      <c r="AI1089" s="10" t="s">
        <v>67</v>
      </c>
      <c r="AJ1089" s="8">
        <f>COUNTIF($E$1089:$AI$1089,"P")</f>
        <v>25</v>
      </c>
      <c r="AK1089" s="8">
        <f>COUNTIF($E$1089:$AI$1089,"A")</f>
        <v>1</v>
      </c>
      <c r="AL1089" s="8">
        <f>SUM($E$1090:$AI$1090)</f>
        <v>0</v>
      </c>
      <c r="AM1089" s="8">
        <f>SUM($E$1091:$AI$1091)</f>
        <v>0</v>
      </c>
      <c r="AN1089" s="8">
        <f>AL1089+AM1089</f>
        <v>0</v>
      </c>
      <c r="AO1089" s="8">
        <f>COUNTIF($E$1089:$AI$1089,"CL")</f>
        <v>0</v>
      </c>
      <c r="AP1089" s="8">
        <f>COUNTIF($E$1089:$AI$1089,"SL")</f>
        <v>0</v>
      </c>
      <c r="AQ1089" s="8">
        <f>COUNTIF($E$1089:$AI$1089,"EL")</f>
        <v>0</v>
      </c>
      <c r="AR1089" s="8">
        <f>COUNTIF($E$1089:$AI$1089,"H")</f>
        <v>0</v>
      </c>
      <c r="AS1089" s="8"/>
      <c r="AT1089" s="11" t="s">
        <v>260</v>
      </c>
    </row>
    <row r="1090" spans="1:46" ht="15.1" customHeight="1">
      <c r="A1090" s="8"/>
      <c r="B1090" s="9"/>
      <c r="C1090" s="8"/>
      <c r="D1090" s="9"/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11" t="s">
        <v>260</v>
      </c>
    </row>
    <row r="1091" spans="1:46" ht="15.1" customHeight="1">
      <c r="A1091" s="8"/>
      <c r="B1091" s="9"/>
      <c r="C1091" s="8"/>
      <c r="D1091" s="9"/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11" t="s">
        <v>260</v>
      </c>
    </row>
    <row r="1092" spans="1:46" ht="15.1" customHeight="1">
      <c r="A1092" s="8">
        <v>363</v>
      </c>
      <c r="B1092" s="9" t="s">
        <v>2786</v>
      </c>
      <c r="C1092" s="8" t="s">
        <v>2787</v>
      </c>
      <c r="D1092" s="9" t="s">
        <v>266</v>
      </c>
      <c r="E1092" s="8" t="s">
        <v>54</v>
      </c>
      <c r="F1092" s="8" t="s">
        <v>54</v>
      </c>
      <c r="G1092" s="10" t="s">
        <v>67</v>
      </c>
      <c r="H1092" s="8" t="s">
        <v>54</v>
      </c>
      <c r="I1092" s="8" t="s">
        <v>54</v>
      </c>
      <c r="J1092" s="8" t="s">
        <v>54</v>
      </c>
      <c r="K1092" s="8" t="s">
        <v>54</v>
      </c>
      <c r="L1092" s="8" t="s">
        <v>54</v>
      </c>
      <c r="M1092" s="8" t="s">
        <v>54</v>
      </c>
      <c r="N1092" s="10" t="s">
        <v>67</v>
      </c>
      <c r="O1092" s="8" t="s">
        <v>54</v>
      </c>
      <c r="P1092" s="8" t="s">
        <v>54</v>
      </c>
      <c r="Q1092" s="8" t="s">
        <v>54</v>
      </c>
      <c r="R1092" s="8" t="s">
        <v>54</v>
      </c>
      <c r="S1092" s="8" t="s">
        <v>54</v>
      </c>
      <c r="T1092" s="8" t="s">
        <v>54</v>
      </c>
      <c r="U1092" s="10" t="s">
        <v>67</v>
      </c>
      <c r="V1092" s="8" t="s">
        <v>54</v>
      </c>
      <c r="W1092" s="12" t="s">
        <v>55</v>
      </c>
      <c r="X1092" s="8" t="s">
        <v>54</v>
      </c>
      <c r="Y1092" s="8" t="s">
        <v>54</v>
      </c>
      <c r="Z1092" s="8" t="s">
        <v>54</v>
      </c>
      <c r="AA1092" s="8" t="s">
        <v>54</v>
      </c>
      <c r="AB1092" s="10" t="s">
        <v>67</v>
      </c>
      <c r="AC1092" s="8" t="s">
        <v>54</v>
      </c>
      <c r="AD1092" s="12" t="s">
        <v>55</v>
      </c>
      <c r="AE1092" s="8" t="s">
        <v>54</v>
      </c>
      <c r="AF1092" s="8" t="s">
        <v>54</v>
      </c>
      <c r="AG1092" s="12" t="s">
        <v>55</v>
      </c>
      <c r="AH1092" s="12" t="s">
        <v>55</v>
      </c>
      <c r="AI1092" s="10" t="s">
        <v>67</v>
      </c>
      <c r="AJ1092" s="8">
        <f>COUNTIF($E$1092:$AI$1092,"P")</f>
        <v>22</v>
      </c>
      <c r="AK1092" s="8">
        <f>COUNTIF($E$1092:$AI$1092,"A")</f>
        <v>4</v>
      </c>
      <c r="AL1092" s="8">
        <f>SUM($E$1093:$AI$1093)</f>
        <v>0</v>
      </c>
      <c r="AM1092" s="8">
        <f>SUM($E$1094:$AI$1094)</f>
        <v>0</v>
      </c>
      <c r="AN1092" s="8">
        <f>AL1092+AM1092</f>
        <v>0</v>
      </c>
      <c r="AO1092" s="8">
        <f>COUNTIF($E$1092:$AI$1092,"CL")</f>
        <v>0</v>
      </c>
      <c r="AP1092" s="8">
        <f>COUNTIF($E$1092:$AI$1092,"SL")</f>
        <v>0</v>
      </c>
      <c r="AQ1092" s="8">
        <f>COUNTIF($E$1092:$AI$1092,"EL")</f>
        <v>0</v>
      </c>
      <c r="AR1092" s="8">
        <f>COUNTIF($E$1092:$AI$1092,"H")</f>
        <v>0</v>
      </c>
      <c r="AS1092" s="8"/>
      <c r="AT1092" s="11" t="s">
        <v>260</v>
      </c>
    </row>
    <row r="1093" spans="1:46" ht="15.1" customHeight="1">
      <c r="A1093" s="8"/>
      <c r="B1093" s="9"/>
      <c r="C1093" s="8"/>
      <c r="D1093" s="9"/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11" t="s">
        <v>260</v>
      </c>
    </row>
    <row r="1094" spans="1:46" ht="15.1" customHeight="1">
      <c r="A1094" s="8"/>
      <c r="B1094" s="9"/>
      <c r="C1094" s="8"/>
      <c r="D1094" s="9"/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11" t="s">
        <v>260</v>
      </c>
    </row>
    <row r="1095" spans="1:46" ht="15.1" customHeight="1">
      <c r="A1095" s="8">
        <v>364</v>
      </c>
      <c r="B1095" s="9" t="s">
        <v>2788</v>
      </c>
      <c r="C1095" s="8" t="s">
        <v>2789</v>
      </c>
      <c r="D1095" s="9" t="s">
        <v>266</v>
      </c>
      <c r="E1095" s="8" t="s">
        <v>54</v>
      </c>
      <c r="F1095" s="8" t="s">
        <v>54</v>
      </c>
      <c r="G1095" s="10" t="s">
        <v>67</v>
      </c>
      <c r="H1095" s="8" t="s">
        <v>54</v>
      </c>
      <c r="I1095" s="8" t="s">
        <v>54</v>
      </c>
      <c r="J1095" s="12" t="s">
        <v>55</v>
      </c>
      <c r="K1095" s="8" t="s">
        <v>54</v>
      </c>
      <c r="L1095" s="8" t="s">
        <v>54</v>
      </c>
      <c r="M1095" s="8" t="s">
        <v>54</v>
      </c>
      <c r="N1095" s="10" t="s">
        <v>67</v>
      </c>
      <c r="O1095" s="8" t="s">
        <v>54</v>
      </c>
      <c r="P1095" s="8" t="s">
        <v>54</v>
      </c>
      <c r="Q1095" s="8" t="s">
        <v>54</v>
      </c>
      <c r="R1095" s="8" t="s">
        <v>54</v>
      </c>
      <c r="S1095" s="8" t="s">
        <v>54</v>
      </c>
      <c r="T1095" s="8" t="s">
        <v>54</v>
      </c>
      <c r="U1095" s="10" t="s">
        <v>67</v>
      </c>
      <c r="V1095" s="8" t="s">
        <v>54</v>
      </c>
      <c r="W1095" s="8" t="s">
        <v>54</v>
      </c>
      <c r="X1095" s="8" t="s">
        <v>54</v>
      </c>
      <c r="Y1095" s="8" t="s">
        <v>54</v>
      </c>
      <c r="Z1095" s="8" t="s">
        <v>54</v>
      </c>
      <c r="AA1095" s="8" t="s">
        <v>54</v>
      </c>
      <c r="AB1095" s="10" t="s">
        <v>67</v>
      </c>
      <c r="AC1095" s="8" t="s">
        <v>54</v>
      </c>
      <c r="AD1095" s="8" t="s">
        <v>54</v>
      </c>
      <c r="AE1095" s="8" t="s">
        <v>54</v>
      </c>
      <c r="AF1095" s="8" t="s">
        <v>54</v>
      </c>
      <c r="AG1095" s="8" t="s">
        <v>54</v>
      </c>
      <c r="AH1095" s="12" t="s">
        <v>55</v>
      </c>
      <c r="AI1095" s="10" t="s">
        <v>67</v>
      </c>
      <c r="AJ1095" s="8">
        <f>COUNTIF($E$1095:$AI$1095,"P")</f>
        <v>24</v>
      </c>
      <c r="AK1095" s="8">
        <f>COUNTIF($E$1095:$AI$1095,"A")</f>
        <v>2</v>
      </c>
      <c r="AL1095" s="8">
        <f>SUM($E$1096:$AI$1096)</f>
        <v>0</v>
      </c>
      <c r="AM1095" s="8">
        <f>SUM($E$1097:$AI$1097)</f>
        <v>0</v>
      </c>
      <c r="AN1095" s="8">
        <f>AL1095+AM1095</f>
        <v>0</v>
      </c>
      <c r="AO1095" s="8">
        <f>COUNTIF($E$1095:$AI$1095,"CL")</f>
        <v>0</v>
      </c>
      <c r="AP1095" s="8">
        <f>COUNTIF($E$1095:$AI$1095,"SL")</f>
        <v>0</v>
      </c>
      <c r="AQ1095" s="8">
        <f>COUNTIF($E$1095:$AI$1095,"EL")</f>
        <v>0</v>
      </c>
      <c r="AR1095" s="8">
        <f>COUNTIF($E$1095:$AI$1095,"H")</f>
        <v>0</v>
      </c>
      <c r="AS1095" s="8"/>
      <c r="AT1095" s="11" t="s">
        <v>260</v>
      </c>
    </row>
    <row r="1096" spans="1:46" ht="15.1" customHeight="1">
      <c r="A1096" s="8"/>
      <c r="B1096" s="9"/>
      <c r="C1096" s="8"/>
      <c r="D1096" s="9"/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11" t="s">
        <v>260</v>
      </c>
    </row>
    <row r="1097" spans="1:46" ht="15.1" customHeight="1">
      <c r="A1097" s="8"/>
      <c r="B1097" s="9"/>
      <c r="C1097" s="8"/>
      <c r="D1097" s="9"/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11" t="s">
        <v>260</v>
      </c>
    </row>
    <row r="1098" spans="1:46" ht="15.1" customHeight="1">
      <c r="A1098" s="8">
        <v>365</v>
      </c>
      <c r="B1098" s="9" t="s">
        <v>2790</v>
      </c>
      <c r="C1098" s="8" t="s">
        <v>2791</v>
      </c>
      <c r="D1098" s="9" t="s">
        <v>266</v>
      </c>
      <c r="E1098" s="8" t="s">
        <v>54</v>
      </c>
      <c r="F1098" s="8" t="s">
        <v>54</v>
      </c>
      <c r="G1098" s="10" t="s">
        <v>67</v>
      </c>
      <c r="H1098" s="8" t="s">
        <v>54</v>
      </c>
      <c r="I1098" s="8" t="s">
        <v>54</v>
      </c>
      <c r="J1098" s="8" t="s">
        <v>54</v>
      </c>
      <c r="K1098" s="8" t="s">
        <v>54</v>
      </c>
      <c r="L1098" s="8" t="s">
        <v>54</v>
      </c>
      <c r="M1098" s="8" t="s">
        <v>54</v>
      </c>
      <c r="N1098" s="10" t="s">
        <v>67</v>
      </c>
      <c r="O1098" s="8" t="s">
        <v>54</v>
      </c>
      <c r="P1098" s="8" t="s">
        <v>54</v>
      </c>
      <c r="Q1098" s="8" t="s">
        <v>54</v>
      </c>
      <c r="R1098" s="8" t="s">
        <v>54</v>
      </c>
      <c r="S1098" s="8" t="s">
        <v>54</v>
      </c>
      <c r="T1098" s="8" t="s">
        <v>54</v>
      </c>
      <c r="U1098" s="10" t="s">
        <v>67</v>
      </c>
      <c r="V1098" s="8" t="s">
        <v>54</v>
      </c>
      <c r="W1098" s="8" t="s">
        <v>54</v>
      </c>
      <c r="X1098" s="8" t="s">
        <v>54</v>
      </c>
      <c r="Y1098" s="8" t="s">
        <v>54</v>
      </c>
      <c r="Z1098" s="8" t="s">
        <v>54</v>
      </c>
      <c r="AA1098" s="8" t="s">
        <v>54</v>
      </c>
      <c r="AB1098" s="10" t="s">
        <v>67</v>
      </c>
      <c r="AC1098" s="8" t="s">
        <v>54</v>
      </c>
      <c r="AD1098" s="8" t="s">
        <v>54</v>
      </c>
      <c r="AE1098" s="8" t="s">
        <v>54</v>
      </c>
      <c r="AF1098" s="8" t="s">
        <v>54</v>
      </c>
      <c r="AG1098" s="8" t="s">
        <v>54</v>
      </c>
      <c r="AH1098" s="8" t="s">
        <v>54</v>
      </c>
      <c r="AI1098" s="10" t="s">
        <v>67</v>
      </c>
      <c r="AJ1098" s="8">
        <f>COUNTIF($E$1098:$AI$1098,"P")</f>
        <v>26</v>
      </c>
      <c r="AK1098" s="8">
        <f>COUNTIF($E$1098:$AI$1098,"A")</f>
        <v>0</v>
      </c>
      <c r="AL1098" s="8">
        <f>SUM($E$1099:$AI$1099)</f>
        <v>0</v>
      </c>
      <c r="AM1098" s="8">
        <f>SUM($E$1100:$AI$1100)</f>
        <v>0</v>
      </c>
      <c r="AN1098" s="8">
        <f>AL1098+AM1098</f>
        <v>0</v>
      </c>
      <c r="AO1098" s="8">
        <f>COUNTIF($E$1098:$AI$1098,"CL")</f>
        <v>0</v>
      </c>
      <c r="AP1098" s="8">
        <f>COUNTIF($E$1098:$AI$1098,"SL")</f>
        <v>0</v>
      </c>
      <c r="AQ1098" s="8">
        <f>COUNTIF($E$1098:$AI$1098,"EL")</f>
        <v>0</v>
      </c>
      <c r="AR1098" s="8">
        <f>COUNTIF($E$1098:$AI$1098,"H")</f>
        <v>0</v>
      </c>
      <c r="AS1098" s="8"/>
      <c r="AT1098" s="11" t="s">
        <v>260</v>
      </c>
    </row>
    <row r="1099" spans="1:46" ht="15.1" customHeight="1">
      <c r="A1099" s="8"/>
      <c r="B1099" s="9"/>
      <c r="C1099" s="8"/>
      <c r="D1099" s="9"/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11" t="s">
        <v>260</v>
      </c>
    </row>
    <row r="1100" spans="1:46" ht="15.1" customHeight="1">
      <c r="A1100" s="8"/>
      <c r="B1100" s="9"/>
      <c r="C1100" s="8"/>
      <c r="D1100" s="9"/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11" t="s">
        <v>260</v>
      </c>
    </row>
    <row r="1101" spans="1:46" ht="15.1" customHeight="1">
      <c r="A1101" s="8">
        <v>366</v>
      </c>
      <c r="B1101" s="9" t="s">
        <v>2792</v>
      </c>
      <c r="C1101" s="8" t="s">
        <v>2793</v>
      </c>
      <c r="D1101" s="9" t="s">
        <v>266</v>
      </c>
      <c r="E1101" s="8" t="s">
        <v>54</v>
      </c>
      <c r="F1101" s="8" t="s">
        <v>54</v>
      </c>
      <c r="G1101" s="10" t="s">
        <v>67</v>
      </c>
      <c r="H1101" s="8" t="s">
        <v>54</v>
      </c>
      <c r="I1101" s="8" t="s">
        <v>54</v>
      </c>
      <c r="J1101" s="8" t="s">
        <v>54</v>
      </c>
      <c r="K1101" s="8" t="s">
        <v>54</v>
      </c>
      <c r="L1101" s="8" t="s">
        <v>54</v>
      </c>
      <c r="M1101" s="8" t="s">
        <v>54</v>
      </c>
      <c r="N1101" s="10" t="s">
        <v>67</v>
      </c>
      <c r="O1101" s="8" t="s">
        <v>54</v>
      </c>
      <c r="P1101" s="8" t="s">
        <v>54</v>
      </c>
      <c r="Q1101" s="8" t="s">
        <v>54</v>
      </c>
      <c r="R1101" s="8" t="s">
        <v>54</v>
      </c>
      <c r="S1101" s="8" t="s">
        <v>54</v>
      </c>
      <c r="T1101" s="8" t="s">
        <v>54</v>
      </c>
      <c r="U1101" s="10" t="s">
        <v>67</v>
      </c>
      <c r="V1101" s="8" t="s">
        <v>54</v>
      </c>
      <c r="W1101" s="8" t="s">
        <v>54</v>
      </c>
      <c r="X1101" s="8" t="s">
        <v>54</v>
      </c>
      <c r="Y1101" s="8" t="s">
        <v>54</v>
      </c>
      <c r="Z1101" s="8" t="s">
        <v>54</v>
      </c>
      <c r="AA1101" s="8" t="s">
        <v>54</v>
      </c>
      <c r="AB1101" s="10" t="s">
        <v>67</v>
      </c>
      <c r="AC1101" s="8" t="s">
        <v>54</v>
      </c>
      <c r="AD1101" s="8" t="s">
        <v>54</v>
      </c>
      <c r="AE1101" s="8" t="s">
        <v>54</v>
      </c>
      <c r="AF1101" s="8" t="s">
        <v>54</v>
      </c>
      <c r="AG1101" s="8" t="s">
        <v>54</v>
      </c>
      <c r="AH1101" s="8" t="s">
        <v>54</v>
      </c>
      <c r="AI1101" s="10" t="s">
        <v>67</v>
      </c>
      <c r="AJ1101" s="8">
        <f>COUNTIF($E$1101:$AI$1101,"P")</f>
        <v>26</v>
      </c>
      <c r="AK1101" s="8">
        <f>COUNTIF($E$1101:$AI$1101,"A")</f>
        <v>0</v>
      </c>
      <c r="AL1101" s="8">
        <f>SUM($E$1102:$AI$1102)</f>
        <v>0</v>
      </c>
      <c r="AM1101" s="8">
        <f>SUM($E$1103:$AI$1103)</f>
        <v>0</v>
      </c>
      <c r="AN1101" s="8">
        <f>AL1101+AM1101</f>
        <v>0</v>
      </c>
      <c r="AO1101" s="8">
        <f>COUNTIF($E$1101:$AI$1101,"CL")</f>
        <v>0</v>
      </c>
      <c r="AP1101" s="8">
        <f>COUNTIF($E$1101:$AI$1101,"SL")</f>
        <v>0</v>
      </c>
      <c r="AQ1101" s="8">
        <f>COUNTIF($E$1101:$AI$1101,"EL")</f>
        <v>0</v>
      </c>
      <c r="AR1101" s="8">
        <f>COUNTIF($E$1101:$AI$1101,"H")</f>
        <v>0</v>
      </c>
      <c r="AS1101" s="8"/>
      <c r="AT1101" s="11" t="s">
        <v>260</v>
      </c>
    </row>
    <row r="1102" spans="1:46" ht="15.1" customHeight="1">
      <c r="A1102" s="8"/>
      <c r="B1102" s="9"/>
      <c r="C1102" s="8"/>
      <c r="D1102" s="9"/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11" t="s">
        <v>260</v>
      </c>
    </row>
    <row r="1103" spans="1:46" ht="15.1" customHeight="1">
      <c r="A1103" s="8"/>
      <c r="B1103" s="9"/>
      <c r="C1103" s="8"/>
      <c r="D1103" s="9"/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11" t="s">
        <v>260</v>
      </c>
    </row>
    <row r="1104" spans="1:46" ht="15.1" customHeight="1">
      <c r="A1104" s="8">
        <v>367</v>
      </c>
      <c r="B1104" s="9" t="s">
        <v>2794</v>
      </c>
      <c r="C1104" s="8" t="s">
        <v>2795</v>
      </c>
      <c r="D1104" s="9" t="s">
        <v>266</v>
      </c>
      <c r="E1104" s="8" t="s">
        <v>54</v>
      </c>
      <c r="F1104" s="8" t="s">
        <v>54</v>
      </c>
      <c r="G1104" s="10" t="s">
        <v>67</v>
      </c>
      <c r="H1104" s="8" t="s">
        <v>54</v>
      </c>
      <c r="I1104" s="8" t="s">
        <v>54</v>
      </c>
      <c r="J1104" s="8" t="s">
        <v>54</v>
      </c>
      <c r="K1104" s="8" t="s">
        <v>54</v>
      </c>
      <c r="L1104" s="8" t="s">
        <v>54</v>
      </c>
      <c r="M1104" s="8" t="s">
        <v>54</v>
      </c>
      <c r="N1104" s="10" t="s">
        <v>67</v>
      </c>
      <c r="O1104" s="8" t="s">
        <v>54</v>
      </c>
      <c r="P1104" s="8" t="s">
        <v>54</v>
      </c>
      <c r="Q1104" s="8" t="s">
        <v>54</v>
      </c>
      <c r="R1104" s="8" t="s">
        <v>54</v>
      </c>
      <c r="S1104" s="8" t="s">
        <v>54</v>
      </c>
      <c r="T1104" s="8" t="s">
        <v>54</v>
      </c>
      <c r="U1104" s="10" t="s">
        <v>67</v>
      </c>
      <c r="V1104" s="8" t="s">
        <v>54</v>
      </c>
      <c r="W1104" s="8" t="s">
        <v>54</v>
      </c>
      <c r="X1104" s="8" t="s">
        <v>54</v>
      </c>
      <c r="Y1104" s="8" t="s">
        <v>54</v>
      </c>
      <c r="Z1104" s="8" t="s">
        <v>54</v>
      </c>
      <c r="AA1104" s="8" t="s">
        <v>54</v>
      </c>
      <c r="AB1104" s="10" t="s">
        <v>67</v>
      </c>
      <c r="AC1104" s="12" t="s">
        <v>55</v>
      </c>
      <c r="AD1104" s="12" t="s">
        <v>55</v>
      </c>
      <c r="AE1104" s="12" t="s">
        <v>55</v>
      </c>
      <c r="AF1104" s="8" t="s">
        <v>54</v>
      </c>
      <c r="AG1104" s="8" t="s">
        <v>54</v>
      </c>
      <c r="AH1104" s="8" t="s">
        <v>54</v>
      </c>
      <c r="AI1104" s="10" t="s">
        <v>67</v>
      </c>
      <c r="AJ1104" s="8">
        <f>COUNTIF($E$1104:$AI$1104,"P")</f>
        <v>23</v>
      </c>
      <c r="AK1104" s="8">
        <f>COUNTIF($E$1104:$AI$1104,"A")</f>
        <v>3</v>
      </c>
      <c r="AL1104" s="8">
        <f>SUM($E$1105:$AI$1105)</f>
        <v>0</v>
      </c>
      <c r="AM1104" s="8">
        <f>SUM($E$1106:$AI$1106)</f>
        <v>0</v>
      </c>
      <c r="AN1104" s="8">
        <f>AL1104+AM1104</f>
        <v>0</v>
      </c>
      <c r="AO1104" s="8">
        <f>COUNTIF($E$1104:$AI$1104,"CL")</f>
        <v>0</v>
      </c>
      <c r="AP1104" s="8">
        <f>COUNTIF($E$1104:$AI$1104,"SL")</f>
        <v>0</v>
      </c>
      <c r="AQ1104" s="8">
        <f>COUNTIF($E$1104:$AI$1104,"EL")</f>
        <v>0</v>
      </c>
      <c r="AR1104" s="8">
        <f>COUNTIF($E$1104:$AI$1104,"H")</f>
        <v>0</v>
      </c>
      <c r="AS1104" s="8"/>
      <c r="AT1104" s="11" t="s">
        <v>260</v>
      </c>
    </row>
    <row r="1105" spans="1:46" ht="15.1" customHeight="1">
      <c r="A1105" s="8"/>
      <c r="B1105" s="9"/>
      <c r="C1105" s="8"/>
      <c r="D1105" s="9"/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11" t="s">
        <v>260</v>
      </c>
    </row>
    <row r="1106" spans="1:46" ht="15.1" customHeight="1">
      <c r="A1106" s="8"/>
      <c r="B1106" s="9"/>
      <c r="C1106" s="8"/>
      <c r="D1106" s="9"/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11" t="s">
        <v>260</v>
      </c>
    </row>
    <row r="1107" spans="1:46" ht="15.1" customHeight="1">
      <c r="A1107" s="8">
        <v>368</v>
      </c>
      <c r="B1107" s="9" t="s">
        <v>2796</v>
      </c>
      <c r="C1107" s="8" t="s">
        <v>2797</v>
      </c>
      <c r="D1107" s="9" t="s">
        <v>266</v>
      </c>
      <c r="E1107" s="8" t="s">
        <v>54</v>
      </c>
      <c r="F1107" s="8" t="s">
        <v>54</v>
      </c>
      <c r="G1107" s="10" t="s">
        <v>67</v>
      </c>
      <c r="H1107" s="8" t="s">
        <v>54</v>
      </c>
      <c r="I1107" s="8" t="s">
        <v>54</v>
      </c>
      <c r="J1107" s="8" t="s">
        <v>54</v>
      </c>
      <c r="K1107" s="8" t="s">
        <v>54</v>
      </c>
      <c r="L1107" s="8" t="s">
        <v>54</v>
      </c>
      <c r="M1107" s="8" t="s">
        <v>54</v>
      </c>
      <c r="N1107" s="10" t="s">
        <v>67</v>
      </c>
      <c r="O1107" s="8" t="s">
        <v>54</v>
      </c>
      <c r="P1107" s="8" t="s">
        <v>54</v>
      </c>
      <c r="Q1107" s="8" t="s">
        <v>54</v>
      </c>
      <c r="R1107" s="8" t="s">
        <v>54</v>
      </c>
      <c r="S1107" s="8" t="s">
        <v>54</v>
      </c>
      <c r="T1107" s="8" t="s">
        <v>54</v>
      </c>
      <c r="U1107" s="10" t="s">
        <v>67</v>
      </c>
      <c r="V1107" s="8" t="s">
        <v>54</v>
      </c>
      <c r="W1107" s="8" t="s">
        <v>54</v>
      </c>
      <c r="X1107" s="8" t="s">
        <v>54</v>
      </c>
      <c r="Y1107" s="8" t="s">
        <v>54</v>
      </c>
      <c r="Z1107" s="8" t="s">
        <v>54</v>
      </c>
      <c r="AA1107" s="8" t="s">
        <v>54</v>
      </c>
      <c r="AB1107" s="10" t="s">
        <v>67</v>
      </c>
      <c r="AC1107" s="8" t="s">
        <v>54</v>
      </c>
      <c r="AD1107" s="8" t="s">
        <v>54</v>
      </c>
      <c r="AE1107" s="8" t="s">
        <v>54</v>
      </c>
      <c r="AF1107" s="8" t="s">
        <v>54</v>
      </c>
      <c r="AG1107" s="8" t="s">
        <v>54</v>
      </c>
      <c r="AH1107" s="8" t="s">
        <v>54</v>
      </c>
      <c r="AI1107" s="10" t="s">
        <v>67</v>
      </c>
      <c r="AJ1107" s="8">
        <f>COUNTIF($E$1107:$AI$1107,"P")</f>
        <v>26</v>
      </c>
      <c r="AK1107" s="8">
        <f>COUNTIF($E$1107:$AI$1107,"A")</f>
        <v>0</v>
      </c>
      <c r="AL1107" s="8">
        <f>SUM($E$1108:$AI$1108)</f>
        <v>0</v>
      </c>
      <c r="AM1107" s="8">
        <f>SUM($E$1109:$AI$1109)</f>
        <v>0</v>
      </c>
      <c r="AN1107" s="8">
        <f>AL1107+AM1107</f>
        <v>0</v>
      </c>
      <c r="AO1107" s="8">
        <f>COUNTIF($E$1107:$AI$1107,"CL")</f>
        <v>0</v>
      </c>
      <c r="AP1107" s="8">
        <f>COUNTIF($E$1107:$AI$1107,"SL")</f>
        <v>0</v>
      </c>
      <c r="AQ1107" s="8">
        <f>COUNTIF($E$1107:$AI$1107,"EL")</f>
        <v>0</v>
      </c>
      <c r="AR1107" s="8">
        <f>COUNTIF($E$1107:$AI$1107,"H")</f>
        <v>0</v>
      </c>
      <c r="AS1107" s="8"/>
      <c r="AT1107" s="11" t="s">
        <v>260</v>
      </c>
    </row>
    <row r="1108" spans="1:46" ht="15.1" customHeight="1">
      <c r="A1108" s="8"/>
      <c r="B1108" s="9"/>
      <c r="C1108" s="8"/>
      <c r="D1108" s="9"/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11" t="s">
        <v>260</v>
      </c>
    </row>
    <row r="1109" spans="1:46" ht="15.1" customHeight="1">
      <c r="A1109" s="8"/>
      <c r="B1109" s="9"/>
      <c r="C1109" s="8"/>
      <c r="D1109" s="9"/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11" t="s">
        <v>260</v>
      </c>
    </row>
    <row r="1110" spans="1:46" ht="15.1" customHeight="1">
      <c r="A1110" s="8">
        <v>369</v>
      </c>
      <c r="B1110" s="9" t="s">
        <v>2798</v>
      </c>
      <c r="C1110" s="8" t="s">
        <v>2799</v>
      </c>
      <c r="D1110" s="9" t="s">
        <v>266</v>
      </c>
      <c r="E1110" s="8" t="s">
        <v>54</v>
      </c>
      <c r="F1110" s="8" t="s">
        <v>54</v>
      </c>
      <c r="G1110" s="10" t="s">
        <v>67</v>
      </c>
      <c r="H1110" s="8" t="s">
        <v>54</v>
      </c>
      <c r="I1110" s="8" t="s">
        <v>54</v>
      </c>
      <c r="J1110" s="8" t="s">
        <v>54</v>
      </c>
      <c r="K1110" s="8" t="s">
        <v>54</v>
      </c>
      <c r="L1110" s="8" t="s">
        <v>54</v>
      </c>
      <c r="M1110" s="8" t="s">
        <v>54</v>
      </c>
      <c r="N1110" s="10" t="s">
        <v>67</v>
      </c>
      <c r="O1110" s="8" t="s">
        <v>54</v>
      </c>
      <c r="P1110" s="8" t="s">
        <v>54</v>
      </c>
      <c r="Q1110" s="8" t="s">
        <v>54</v>
      </c>
      <c r="R1110" s="8" t="s">
        <v>54</v>
      </c>
      <c r="S1110" s="8" t="s">
        <v>54</v>
      </c>
      <c r="T1110" s="8" t="s">
        <v>54</v>
      </c>
      <c r="U1110" s="10" t="s">
        <v>67</v>
      </c>
      <c r="V1110" s="8" t="s">
        <v>54</v>
      </c>
      <c r="W1110" s="8" t="s">
        <v>54</v>
      </c>
      <c r="X1110" s="8" t="s">
        <v>54</v>
      </c>
      <c r="Y1110" s="8" t="s">
        <v>54</v>
      </c>
      <c r="Z1110" s="8" t="s">
        <v>54</v>
      </c>
      <c r="AA1110" s="8" t="s">
        <v>54</v>
      </c>
      <c r="AB1110" s="10" t="s">
        <v>67</v>
      </c>
      <c r="AC1110" s="8" t="s">
        <v>54</v>
      </c>
      <c r="AD1110" s="8" t="s">
        <v>54</v>
      </c>
      <c r="AE1110" s="8" t="s">
        <v>54</v>
      </c>
      <c r="AF1110" s="8" t="s">
        <v>54</v>
      </c>
      <c r="AG1110" s="8" t="s">
        <v>54</v>
      </c>
      <c r="AH1110" s="12" t="s">
        <v>55</v>
      </c>
      <c r="AI1110" s="10" t="s">
        <v>67</v>
      </c>
      <c r="AJ1110" s="8">
        <f>COUNTIF($E$1110:$AI$1110,"P")</f>
        <v>25</v>
      </c>
      <c r="AK1110" s="8">
        <f>COUNTIF($E$1110:$AI$1110,"A")</f>
        <v>1</v>
      </c>
      <c r="AL1110" s="8">
        <f>SUM($E$1111:$AI$1111)</f>
        <v>0</v>
      </c>
      <c r="AM1110" s="8">
        <f>SUM($E$1112:$AI$1112)</f>
        <v>0</v>
      </c>
      <c r="AN1110" s="8">
        <f>AL1110+AM1110</f>
        <v>0</v>
      </c>
      <c r="AO1110" s="8">
        <f>COUNTIF($E$1110:$AI$1110,"CL")</f>
        <v>0</v>
      </c>
      <c r="AP1110" s="8">
        <f>COUNTIF($E$1110:$AI$1110,"SL")</f>
        <v>0</v>
      </c>
      <c r="AQ1110" s="8">
        <f>COUNTIF($E$1110:$AI$1110,"EL")</f>
        <v>0</v>
      </c>
      <c r="AR1110" s="8">
        <f>COUNTIF($E$1110:$AI$1110,"H")</f>
        <v>0</v>
      </c>
      <c r="AS1110" s="8"/>
      <c r="AT1110" s="11" t="s">
        <v>260</v>
      </c>
    </row>
    <row r="1111" spans="1:46" ht="15.1" customHeight="1">
      <c r="A1111" s="8"/>
      <c r="B1111" s="9"/>
      <c r="C1111" s="8"/>
      <c r="D1111" s="9"/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11" t="s">
        <v>260</v>
      </c>
    </row>
    <row r="1112" spans="1:46" ht="15.1" customHeight="1">
      <c r="A1112" s="8"/>
      <c r="B1112" s="9"/>
      <c r="C1112" s="8"/>
      <c r="D1112" s="9"/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11" t="s">
        <v>260</v>
      </c>
    </row>
    <row r="1113" spans="1:46" ht="15.1" customHeight="1">
      <c r="A1113" s="8">
        <v>370</v>
      </c>
      <c r="B1113" s="9" t="s">
        <v>2800</v>
      </c>
      <c r="C1113" s="8" t="s">
        <v>2801</v>
      </c>
      <c r="D1113" s="9" t="s">
        <v>266</v>
      </c>
      <c r="E1113" s="8" t="s">
        <v>54</v>
      </c>
      <c r="F1113" s="8" t="s">
        <v>54</v>
      </c>
      <c r="G1113" s="10" t="s">
        <v>67</v>
      </c>
      <c r="H1113" s="8" t="s">
        <v>54</v>
      </c>
      <c r="I1113" s="8" t="s">
        <v>54</v>
      </c>
      <c r="J1113" s="8" t="s">
        <v>54</v>
      </c>
      <c r="K1113" s="8" t="s">
        <v>54</v>
      </c>
      <c r="L1113" s="8" t="s">
        <v>54</v>
      </c>
      <c r="M1113" s="8" t="s">
        <v>54</v>
      </c>
      <c r="N1113" s="10" t="s">
        <v>67</v>
      </c>
      <c r="O1113" s="8" t="s">
        <v>54</v>
      </c>
      <c r="P1113" s="8" t="s">
        <v>54</v>
      </c>
      <c r="Q1113" s="8" t="s">
        <v>54</v>
      </c>
      <c r="R1113" s="8" t="s">
        <v>54</v>
      </c>
      <c r="S1113" s="8" t="s">
        <v>54</v>
      </c>
      <c r="T1113" s="8" t="s">
        <v>54</v>
      </c>
      <c r="U1113" s="10" t="s">
        <v>67</v>
      </c>
      <c r="V1113" s="8" t="s">
        <v>54</v>
      </c>
      <c r="W1113" s="8" t="s">
        <v>54</v>
      </c>
      <c r="X1113" s="8" t="s">
        <v>54</v>
      </c>
      <c r="Y1113" s="8" t="s">
        <v>54</v>
      </c>
      <c r="Z1113" s="8" t="s">
        <v>54</v>
      </c>
      <c r="AA1113" s="8" t="s">
        <v>54</v>
      </c>
      <c r="AB1113" s="10" t="s">
        <v>67</v>
      </c>
      <c r="AC1113" s="8" t="s">
        <v>54</v>
      </c>
      <c r="AD1113" s="12" t="s">
        <v>55</v>
      </c>
      <c r="AE1113" s="8" t="s">
        <v>54</v>
      </c>
      <c r="AF1113" s="8" t="s">
        <v>54</v>
      </c>
      <c r="AG1113" s="8" t="s">
        <v>54</v>
      </c>
      <c r="AH1113" s="8" t="s">
        <v>54</v>
      </c>
      <c r="AI1113" s="10" t="s">
        <v>67</v>
      </c>
      <c r="AJ1113" s="8">
        <f>COUNTIF($E$1113:$AI$1113,"P")</f>
        <v>25</v>
      </c>
      <c r="AK1113" s="8">
        <f>COUNTIF($E$1113:$AI$1113,"A")</f>
        <v>1</v>
      </c>
      <c r="AL1113" s="8">
        <f>SUM($E$1114:$AI$1114)</f>
        <v>0</v>
      </c>
      <c r="AM1113" s="8">
        <f>SUM($E$1115:$AI$1115)</f>
        <v>0</v>
      </c>
      <c r="AN1113" s="8">
        <f>AL1113+AM1113</f>
        <v>0</v>
      </c>
      <c r="AO1113" s="8">
        <f>COUNTIF($E$1113:$AI$1113,"CL")</f>
        <v>0</v>
      </c>
      <c r="AP1113" s="8">
        <f>COUNTIF($E$1113:$AI$1113,"SL")</f>
        <v>0</v>
      </c>
      <c r="AQ1113" s="8">
        <f>COUNTIF($E$1113:$AI$1113,"EL")</f>
        <v>0</v>
      </c>
      <c r="AR1113" s="8">
        <f>COUNTIF($E$1113:$AI$1113,"H")</f>
        <v>0</v>
      </c>
      <c r="AS1113" s="8"/>
      <c r="AT1113" s="11" t="s">
        <v>260</v>
      </c>
    </row>
    <row r="1114" spans="1:46" ht="15.1" customHeight="1">
      <c r="A1114" s="8"/>
      <c r="B1114" s="9"/>
      <c r="C1114" s="8"/>
      <c r="D1114" s="9"/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11" t="s">
        <v>260</v>
      </c>
    </row>
    <row r="1115" spans="1:46" ht="15.1" customHeight="1">
      <c r="A1115" s="8"/>
      <c r="B1115" s="9"/>
      <c r="C1115" s="8"/>
      <c r="D1115" s="9"/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11" t="s">
        <v>260</v>
      </c>
    </row>
    <row r="1116" spans="1:46" ht="15.1" customHeight="1">
      <c r="A1116" s="8">
        <v>371</v>
      </c>
      <c r="B1116" s="9" t="s">
        <v>2802</v>
      </c>
      <c r="C1116" s="8" t="s">
        <v>2803</v>
      </c>
      <c r="D1116" s="9" t="s">
        <v>266</v>
      </c>
      <c r="E1116" s="8" t="s">
        <v>54</v>
      </c>
      <c r="F1116" s="8" t="s">
        <v>54</v>
      </c>
      <c r="G1116" s="10" t="s">
        <v>67</v>
      </c>
      <c r="H1116" s="8" t="s">
        <v>54</v>
      </c>
      <c r="I1116" s="8" t="s">
        <v>54</v>
      </c>
      <c r="J1116" s="8" t="s">
        <v>54</v>
      </c>
      <c r="K1116" s="8" t="s">
        <v>54</v>
      </c>
      <c r="L1116" s="8" t="s">
        <v>54</v>
      </c>
      <c r="M1116" s="8" t="s">
        <v>54</v>
      </c>
      <c r="N1116" s="10" t="s">
        <v>67</v>
      </c>
      <c r="O1116" s="8" t="s">
        <v>54</v>
      </c>
      <c r="P1116" s="8" t="s">
        <v>54</v>
      </c>
      <c r="Q1116" s="8" t="s">
        <v>54</v>
      </c>
      <c r="R1116" s="8" t="s">
        <v>54</v>
      </c>
      <c r="S1116" s="8" t="s">
        <v>54</v>
      </c>
      <c r="T1116" s="8" t="s">
        <v>54</v>
      </c>
      <c r="U1116" s="10" t="s">
        <v>67</v>
      </c>
      <c r="V1116" s="8" t="s">
        <v>54</v>
      </c>
      <c r="W1116" s="8" t="s">
        <v>54</v>
      </c>
      <c r="X1116" s="8" t="s">
        <v>54</v>
      </c>
      <c r="Y1116" s="8" t="s">
        <v>54</v>
      </c>
      <c r="Z1116" s="8" t="s">
        <v>54</v>
      </c>
      <c r="AA1116" s="8" t="s">
        <v>54</v>
      </c>
      <c r="AB1116" s="10" t="s">
        <v>67</v>
      </c>
      <c r="AC1116" s="8" t="s">
        <v>54</v>
      </c>
      <c r="AD1116" s="8" t="s">
        <v>54</v>
      </c>
      <c r="AE1116" s="8" t="s">
        <v>54</v>
      </c>
      <c r="AF1116" s="8" t="s">
        <v>54</v>
      </c>
      <c r="AG1116" s="8" t="s">
        <v>54</v>
      </c>
      <c r="AH1116" s="8" t="s">
        <v>54</v>
      </c>
      <c r="AI1116" s="10" t="s">
        <v>67</v>
      </c>
      <c r="AJ1116" s="8">
        <f>COUNTIF($E$1116:$AI$1116,"P")</f>
        <v>26</v>
      </c>
      <c r="AK1116" s="8">
        <f>COUNTIF($E$1116:$AI$1116,"A")</f>
        <v>0</v>
      </c>
      <c r="AL1116" s="8">
        <f>SUM($E$1117:$AI$1117)</f>
        <v>0</v>
      </c>
      <c r="AM1116" s="8">
        <f>SUM($E$1118:$AI$1118)</f>
        <v>0</v>
      </c>
      <c r="AN1116" s="8">
        <f>AL1116+AM1116</f>
        <v>0</v>
      </c>
      <c r="AO1116" s="8">
        <f>COUNTIF($E$1116:$AI$1116,"CL")</f>
        <v>0</v>
      </c>
      <c r="AP1116" s="8">
        <f>COUNTIF($E$1116:$AI$1116,"SL")</f>
        <v>0</v>
      </c>
      <c r="AQ1116" s="8">
        <f>COUNTIF($E$1116:$AI$1116,"EL")</f>
        <v>0</v>
      </c>
      <c r="AR1116" s="8">
        <f>COUNTIF($E$1116:$AI$1116,"H")</f>
        <v>0</v>
      </c>
      <c r="AS1116" s="8"/>
      <c r="AT1116" s="11" t="s">
        <v>260</v>
      </c>
    </row>
    <row r="1117" spans="1:46" ht="15.1" customHeight="1">
      <c r="A1117" s="8"/>
      <c r="B1117" s="9"/>
      <c r="C1117" s="8"/>
      <c r="D1117" s="9"/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11" t="s">
        <v>260</v>
      </c>
    </row>
    <row r="1118" spans="1:46" ht="15.1" customHeight="1">
      <c r="A1118" s="8"/>
      <c r="B1118" s="9"/>
      <c r="C1118" s="8"/>
      <c r="D1118" s="9"/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11" t="s">
        <v>260</v>
      </c>
    </row>
    <row r="1119" spans="1:46" ht="15.1" customHeight="1">
      <c r="A1119" s="8">
        <v>372</v>
      </c>
      <c r="B1119" s="9" t="s">
        <v>2804</v>
      </c>
      <c r="C1119" s="8" t="s">
        <v>2805</v>
      </c>
      <c r="D1119" s="9" t="s">
        <v>266</v>
      </c>
      <c r="E1119" s="8" t="s">
        <v>54</v>
      </c>
      <c r="F1119" s="8" t="s">
        <v>54</v>
      </c>
      <c r="G1119" s="10" t="s">
        <v>67</v>
      </c>
      <c r="H1119" s="8" t="s">
        <v>54</v>
      </c>
      <c r="I1119" s="8" t="s">
        <v>54</v>
      </c>
      <c r="J1119" s="8" t="s">
        <v>54</v>
      </c>
      <c r="K1119" s="12" t="s">
        <v>55</v>
      </c>
      <c r="L1119" s="12" t="s">
        <v>55</v>
      </c>
      <c r="M1119" s="8" t="s">
        <v>54</v>
      </c>
      <c r="N1119" s="10" t="s">
        <v>67</v>
      </c>
      <c r="O1119" s="8" t="s">
        <v>54</v>
      </c>
      <c r="P1119" s="8" t="s">
        <v>54</v>
      </c>
      <c r="Q1119" s="8" t="s">
        <v>54</v>
      </c>
      <c r="R1119" s="8" t="s">
        <v>54</v>
      </c>
      <c r="S1119" s="8" t="s">
        <v>54</v>
      </c>
      <c r="T1119" s="8" t="s">
        <v>54</v>
      </c>
      <c r="U1119" s="10" t="s">
        <v>67</v>
      </c>
      <c r="V1119" s="8" t="s">
        <v>54</v>
      </c>
      <c r="W1119" s="8" t="s">
        <v>54</v>
      </c>
      <c r="X1119" s="8" t="s">
        <v>54</v>
      </c>
      <c r="Y1119" s="12" t="s">
        <v>55</v>
      </c>
      <c r="Z1119" s="8" t="s">
        <v>54</v>
      </c>
      <c r="AA1119" s="8" t="s">
        <v>54</v>
      </c>
      <c r="AB1119" s="10" t="s">
        <v>67</v>
      </c>
      <c r="AC1119" s="8" t="s">
        <v>54</v>
      </c>
      <c r="AD1119" s="8" t="s">
        <v>54</v>
      </c>
      <c r="AE1119" s="8" t="s">
        <v>54</v>
      </c>
      <c r="AF1119" s="8" t="s">
        <v>54</v>
      </c>
      <c r="AG1119" s="8" t="s">
        <v>54</v>
      </c>
      <c r="AH1119" s="8" t="s">
        <v>54</v>
      </c>
      <c r="AI1119" s="10" t="s">
        <v>67</v>
      </c>
      <c r="AJ1119" s="8">
        <f>COUNTIF($E$1119:$AI$1119,"P")</f>
        <v>23</v>
      </c>
      <c r="AK1119" s="8">
        <f>COUNTIF($E$1119:$AI$1119,"A")</f>
        <v>3</v>
      </c>
      <c r="AL1119" s="8">
        <f>SUM($E$1120:$AI$1120)</f>
        <v>0</v>
      </c>
      <c r="AM1119" s="8">
        <f>SUM($E$1121:$AI$1121)</f>
        <v>0</v>
      </c>
      <c r="AN1119" s="8">
        <f>AL1119+AM1119</f>
        <v>0</v>
      </c>
      <c r="AO1119" s="8">
        <f>COUNTIF($E$1119:$AI$1119,"CL")</f>
        <v>0</v>
      </c>
      <c r="AP1119" s="8">
        <f>COUNTIF($E$1119:$AI$1119,"SL")</f>
        <v>0</v>
      </c>
      <c r="AQ1119" s="8">
        <f>COUNTIF($E$1119:$AI$1119,"EL")</f>
        <v>0</v>
      </c>
      <c r="AR1119" s="8">
        <f>COUNTIF($E$1119:$AI$1119,"H")</f>
        <v>0</v>
      </c>
      <c r="AS1119" s="8"/>
      <c r="AT1119" s="11" t="s">
        <v>260</v>
      </c>
    </row>
    <row r="1120" spans="1:46" ht="15.1" customHeight="1">
      <c r="A1120" s="8"/>
      <c r="B1120" s="9"/>
      <c r="C1120" s="8"/>
      <c r="D1120" s="9"/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11" t="s">
        <v>260</v>
      </c>
    </row>
    <row r="1121" spans="1:46" ht="15.1" customHeight="1">
      <c r="A1121" s="8"/>
      <c r="B1121" s="9"/>
      <c r="C1121" s="8"/>
      <c r="D1121" s="9"/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11" t="s">
        <v>260</v>
      </c>
    </row>
    <row r="1122" spans="1:46" ht="15.1" customHeight="1">
      <c r="A1122" s="8">
        <v>373</v>
      </c>
      <c r="B1122" s="9" t="s">
        <v>2054</v>
      </c>
      <c r="C1122" s="8" t="s">
        <v>2806</v>
      </c>
      <c r="D1122" s="9" t="s">
        <v>266</v>
      </c>
      <c r="E1122" s="12" t="s">
        <v>55</v>
      </c>
      <c r="F1122" s="8" t="s">
        <v>54</v>
      </c>
      <c r="G1122" s="10" t="s">
        <v>67</v>
      </c>
      <c r="H1122" s="8" t="s">
        <v>54</v>
      </c>
      <c r="I1122" s="8" t="s">
        <v>54</v>
      </c>
      <c r="J1122" s="8" t="s">
        <v>54</v>
      </c>
      <c r="K1122" s="8" t="s">
        <v>54</v>
      </c>
      <c r="L1122" s="8" t="s">
        <v>54</v>
      </c>
      <c r="M1122" s="8" t="s">
        <v>54</v>
      </c>
      <c r="N1122" s="10" t="s">
        <v>67</v>
      </c>
      <c r="O1122" s="8" t="s">
        <v>54</v>
      </c>
      <c r="P1122" s="12" t="s">
        <v>55</v>
      </c>
      <c r="Q1122" s="12" t="s">
        <v>55</v>
      </c>
      <c r="R1122" s="8" t="s">
        <v>54</v>
      </c>
      <c r="S1122" s="8" t="s">
        <v>54</v>
      </c>
      <c r="T1122" s="8" t="s">
        <v>54</v>
      </c>
      <c r="U1122" s="10" t="s">
        <v>67</v>
      </c>
      <c r="V1122" s="8" t="s">
        <v>54</v>
      </c>
      <c r="W1122" s="8" t="s">
        <v>54</v>
      </c>
      <c r="X1122" s="8" t="s">
        <v>54</v>
      </c>
      <c r="Y1122" s="8" t="s">
        <v>54</v>
      </c>
      <c r="Z1122" s="8" t="s">
        <v>54</v>
      </c>
      <c r="AA1122" s="8" t="s">
        <v>54</v>
      </c>
      <c r="AB1122" s="10" t="s">
        <v>67</v>
      </c>
      <c r="AC1122" s="8" t="s">
        <v>54</v>
      </c>
      <c r="AD1122" s="8" t="s">
        <v>54</v>
      </c>
      <c r="AE1122" s="8" t="s">
        <v>54</v>
      </c>
      <c r="AF1122" s="8" t="s">
        <v>54</v>
      </c>
      <c r="AG1122" s="8" t="s">
        <v>54</v>
      </c>
      <c r="AH1122" s="8" t="s">
        <v>54</v>
      </c>
      <c r="AI1122" s="10" t="s">
        <v>67</v>
      </c>
      <c r="AJ1122" s="8">
        <f>COUNTIF($E$1122:$AI$1122,"P")</f>
        <v>23</v>
      </c>
      <c r="AK1122" s="8">
        <f>COUNTIF($E$1122:$AI$1122,"A")</f>
        <v>3</v>
      </c>
      <c r="AL1122" s="8">
        <f>SUM($E$1123:$AI$1123)</f>
        <v>0</v>
      </c>
      <c r="AM1122" s="8">
        <f>SUM($E$1124:$AI$1124)</f>
        <v>0</v>
      </c>
      <c r="AN1122" s="8">
        <f>AL1122+AM1122</f>
        <v>0</v>
      </c>
      <c r="AO1122" s="8">
        <f>COUNTIF($E$1122:$AI$1122,"CL")</f>
        <v>0</v>
      </c>
      <c r="AP1122" s="8">
        <f>COUNTIF($E$1122:$AI$1122,"SL")</f>
        <v>0</v>
      </c>
      <c r="AQ1122" s="8">
        <f>COUNTIF($E$1122:$AI$1122,"EL")</f>
        <v>0</v>
      </c>
      <c r="AR1122" s="8">
        <f>COUNTIF($E$1122:$AI$1122,"H")</f>
        <v>0</v>
      </c>
      <c r="AS1122" s="8"/>
      <c r="AT1122" s="11" t="s">
        <v>260</v>
      </c>
    </row>
    <row r="1123" spans="1:46" ht="15.1" customHeight="1">
      <c r="A1123" s="8"/>
      <c r="B1123" s="9"/>
      <c r="C1123" s="8"/>
      <c r="D1123" s="9"/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11" t="s">
        <v>260</v>
      </c>
    </row>
    <row r="1124" spans="1:46" ht="15.1" customHeight="1">
      <c r="A1124" s="8"/>
      <c r="B1124" s="9"/>
      <c r="C1124" s="8"/>
      <c r="D1124" s="9"/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11" t="s">
        <v>260</v>
      </c>
    </row>
    <row r="1125" spans="1:46" ht="15.1" customHeight="1">
      <c r="A1125" s="8">
        <v>374</v>
      </c>
      <c r="B1125" s="9" t="s">
        <v>2807</v>
      </c>
      <c r="C1125" s="8" t="s">
        <v>2808</v>
      </c>
      <c r="D1125" s="9" t="s">
        <v>266</v>
      </c>
      <c r="E1125" s="8" t="s">
        <v>54</v>
      </c>
      <c r="F1125" s="8" t="s">
        <v>54</v>
      </c>
      <c r="G1125" s="10" t="s">
        <v>67</v>
      </c>
      <c r="H1125" s="8" t="s">
        <v>54</v>
      </c>
      <c r="I1125" s="8" t="s">
        <v>54</v>
      </c>
      <c r="J1125" s="8" t="s">
        <v>54</v>
      </c>
      <c r="K1125" s="8" t="s">
        <v>54</v>
      </c>
      <c r="L1125" s="8" t="s">
        <v>54</v>
      </c>
      <c r="M1125" s="8" t="s">
        <v>54</v>
      </c>
      <c r="N1125" s="10" t="s">
        <v>67</v>
      </c>
      <c r="O1125" s="8" t="s">
        <v>54</v>
      </c>
      <c r="P1125" s="8" t="s">
        <v>54</v>
      </c>
      <c r="Q1125" s="8" t="s">
        <v>54</v>
      </c>
      <c r="R1125" s="8" t="s">
        <v>54</v>
      </c>
      <c r="S1125" s="8" t="s">
        <v>54</v>
      </c>
      <c r="T1125" s="8" t="s">
        <v>54</v>
      </c>
      <c r="U1125" s="10" t="s">
        <v>67</v>
      </c>
      <c r="V1125" s="8" t="s">
        <v>54</v>
      </c>
      <c r="W1125" s="8" t="s">
        <v>54</v>
      </c>
      <c r="X1125" s="8" t="s">
        <v>54</v>
      </c>
      <c r="Y1125" s="8" t="s">
        <v>54</v>
      </c>
      <c r="Z1125" s="8" t="s">
        <v>54</v>
      </c>
      <c r="AA1125" s="8" t="s">
        <v>54</v>
      </c>
      <c r="AB1125" s="10" t="s">
        <v>67</v>
      </c>
      <c r="AC1125" s="8" t="s">
        <v>54</v>
      </c>
      <c r="AD1125" s="8" t="s">
        <v>54</v>
      </c>
      <c r="AE1125" s="8" t="s">
        <v>54</v>
      </c>
      <c r="AF1125" s="8" t="s">
        <v>54</v>
      </c>
      <c r="AG1125" s="8" t="s">
        <v>54</v>
      </c>
      <c r="AH1125" s="8" t="s">
        <v>54</v>
      </c>
      <c r="AI1125" s="10" t="s">
        <v>67</v>
      </c>
      <c r="AJ1125" s="8">
        <f>COUNTIF($E$1125:$AI$1125,"P")</f>
        <v>26</v>
      </c>
      <c r="AK1125" s="8">
        <f>COUNTIF($E$1125:$AI$1125,"A")</f>
        <v>0</v>
      </c>
      <c r="AL1125" s="8">
        <f>SUM($E$1126:$AI$1126)</f>
        <v>0</v>
      </c>
      <c r="AM1125" s="8">
        <f>SUM($E$1127:$AI$1127)</f>
        <v>0</v>
      </c>
      <c r="AN1125" s="8">
        <f>AL1125+AM1125</f>
        <v>0</v>
      </c>
      <c r="AO1125" s="8">
        <f>COUNTIF($E$1125:$AI$1125,"CL")</f>
        <v>0</v>
      </c>
      <c r="AP1125" s="8">
        <f>COUNTIF($E$1125:$AI$1125,"SL")</f>
        <v>0</v>
      </c>
      <c r="AQ1125" s="8">
        <f>COUNTIF($E$1125:$AI$1125,"EL")</f>
        <v>0</v>
      </c>
      <c r="AR1125" s="8">
        <f>COUNTIF($E$1125:$AI$1125,"H")</f>
        <v>0</v>
      </c>
      <c r="AS1125" s="8"/>
      <c r="AT1125" s="11" t="s">
        <v>260</v>
      </c>
    </row>
    <row r="1126" spans="1:46" ht="15.1" customHeight="1">
      <c r="A1126" s="8"/>
      <c r="B1126" s="9"/>
      <c r="C1126" s="8"/>
      <c r="D1126" s="9"/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11" t="s">
        <v>260</v>
      </c>
    </row>
    <row r="1127" spans="1:46" ht="15.1" customHeight="1">
      <c r="A1127" s="8"/>
      <c r="B1127" s="9"/>
      <c r="C1127" s="8"/>
      <c r="D1127" s="9"/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11" t="s">
        <v>260</v>
      </c>
    </row>
    <row r="1128" spans="1:46" ht="15.1" customHeight="1">
      <c r="A1128" s="8">
        <v>375</v>
      </c>
      <c r="B1128" s="9" t="s">
        <v>2809</v>
      </c>
      <c r="C1128" s="8" t="s">
        <v>2810</v>
      </c>
      <c r="D1128" s="9" t="s">
        <v>266</v>
      </c>
      <c r="E1128" s="8" t="s">
        <v>54</v>
      </c>
      <c r="F1128" s="8" t="s">
        <v>54</v>
      </c>
      <c r="G1128" s="10" t="s">
        <v>67</v>
      </c>
      <c r="H1128" s="8" t="s">
        <v>54</v>
      </c>
      <c r="I1128" s="8" t="s">
        <v>54</v>
      </c>
      <c r="J1128" s="8" t="s">
        <v>54</v>
      </c>
      <c r="K1128" s="8" t="s">
        <v>54</v>
      </c>
      <c r="L1128" s="8" t="s">
        <v>54</v>
      </c>
      <c r="M1128" s="8" t="s">
        <v>54</v>
      </c>
      <c r="N1128" s="10" t="s">
        <v>67</v>
      </c>
      <c r="O1128" s="8" t="s">
        <v>54</v>
      </c>
      <c r="P1128" s="8" t="s">
        <v>54</v>
      </c>
      <c r="Q1128" s="8" t="s">
        <v>54</v>
      </c>
      <c r="R1128" s="8" t="s">
        <v>54</v>
      </c>
      <c r="S1128" s="8" t="s">
        <v>54</v>
      </c>
      <c r="T1128" s="8" t="s">
        <v>54</v>
      </c>
      <c r="U1128" s="10" t="s">
        <v>67</v>
      </c>
      <c r="V1128" s="8" t="s">
        <v>54</v>
      </c>
      <c r="W1128" s="8" t="s">
        <v>54</v>
      </c>
      <c r="X1128" s="8" t="s">
        <v>54</v>
      </c>
      <c r="Y1128" s="8" t="s">
        <v>54</v>
      </c>
      <c r="Z1128" s="8" t="s">
        <v>54</v>
      </c>
      <c r="AA1128" s="8" t="s">
        <v>54</v>
      </c>
      <c r="AB1128" s="10" t="s">
        <v>67</v>
      </c>
      <c r="AC1128" s="8" t="s">
        <v>54</v>
      </c>
      <c r="AD1128" s="8" t="s">
        <v>54</v>
      </c>
      <c r="AE1128" s="8" t="s">
        <v>54</v>
      </c>
      <c r="AF1128" s="8" t="s">
        <v>54</v>
      </c>
      <c r="AG1128" s="8" t="s">
        <v>54</v>
      </c>
      <c r="AH1128" s="8" t="s">
        <v>54</v>
      </c>
      <c r="AI1128" s="10" t="s">
        <v>67</v>
      </c>
      <c r="AJ1128" s="8">
        <f>COUNTIF($E$1128:$AI$1128,"P")</f>
        <v>26</v>
      </c>
      <c r="AK1128" s="8">
        <f>COUNTIF($E$1128:$AI$1128,"A")</f>
        <v>0</v>
      </c>
      <c r="AL1128" s="8">
        <f>SUM($E$1129:$AI$1129)</f>
        <v>0</v>
      </c>
      <c r="AM1128" s="8">
        <f>SUM($E$1130:$AI$1130)</f>
        <v>0</v>
      </c>
      <c r="AN1128" s="8">
        <f>AL1128+AM1128</f>
        <v>0</v>
      </c>
      <c r="AO1128" s="8">
        <f>COUNTIF($E$1128:$AI$1128,"CL")</f>
        <v>0</v>
      </c>
      <c r="AP1128" s="8">
        <f>COUNTIF($E$1128:$AI$1128,"SL")</f>
        <v>0</v>
      </c>
      <c r="AQ1128" s="8">
        <f>COUNTIF($E$1128:$AI$1128,"EL")</f>
        <v>0</v>
      </c>
      <c r="AR1128" s="8">
        <f>COUNTIF($E$1128:$AI$1128,"H")</f>
        <v>0</v>
      </c>
      <c r="AS1128" s="8"/>
      <c r="AT1128" s="11" t="s">
        <v>260</v>
      </c>
    </row>
    <row r="1129" spans="1:46" ht="15.1" customHeight="1">
      <c r="A1129" s="8"/>
      <c r="B1129" s="9"/>
      <c r="C1129" s="8"/>
      <c r="D1129" s="9"/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11" t="s">
        <v>260</v>
      </c>
    </row>
    <row r="1130" spans="1:46" ht="15.1" customHeight="1">
      <c r="A1130" s="8"/>
      <c r="B1130" s="9"/>
      <c r="C1130" s="8"/>
      <c r="D1130" s="9"/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11" t="s">
        <v>260</v>
      </c>
    </row>
    <row r="1131" spans="1:46" ht="15.1" customHeight="1">
      <c r="A1131" s="8">
        <v>376</v>
      </c>
      <c r="B1131" s="9" t="s">
        <v>2811</v>
      </c>
      <c r="C1131" s="8" t="s">
        <v>2812</v>
      </c>
      <c r="D1131" s="9" t="s">
        <v>266</v>
      </c>
      <c r="E1131" s="8" t="s">
        <v>54</v>
      </c>
      <c r="F1131" s="8" t="s">
        <v>54</v>
      </c>
      <c r="G1131" s="10" t="s">
        <v>67</v>
      </c>
      <c r="H1131" s="8" t="s">
        <v>54</v>
      </c>
      <c r="I1131" s="8" t="s">
        <v>54</v>
      </c>
      <c r="J1131" s="8" t="s">
        <v>54</v>
      </c>
      <c r="K1131" s="8" t="s">
        <v>54</v>
      </c>
      <c r="L1131" s="8" t="s">
        <v>54</v>
      </c>
      <c r="M1131" s="8" t="s">
        <v>54</v>
      </c>
      <c r="N1131" s="10" t="s">
        <v>67</v>
      </c>
      <c r="O1131" s="8" t="s">
        <v>54</v>
      </c>
      <c r="P1131" s="8" t="s">
        <v>54</v>
      </c>
      <c r="Q1131" s="8" t="s">
        <v>54</v>
      </c>
      <c r="R1131" s="8" t="s">
        <v>54</v>
      </c>
      <c r="S1131" s="8" t="s">
        <v>54</v>
      </c>
      <c r="T1131" s="8" t="s">
        <v>54</v>
      </c>
      <c r="U1131" s="10" t="s">
        <v>67</v>
      </c>
      <c r="V1131" s="8" t="s">
        <v>54</v>
      </c>
      <c r="W1131" s="8" t="s">
        <v>54</v>
      </c>
      <c r="X1131" s="8" t="s">
        <v>54</v>
      </c>
      <c r="Y1131" s="8" t="s">
        <v>54</v>
      </c>
      <c r="Z1131" s="8" t="s">
        <v>54</v>
      </c>
      <c r="AA1131" s="8" t="s">
        <v>54</v>
      </c>
      <c r="AB1131" s="10" t="s">
        <v>67</v>
      </c>
      <c r="AC1131" s="8" t="s">
        <v>54</v>
      </c>
      <c r="AD1131" s="8" t="s">
        <v>54</v>
      </c>
      <c r="AE1131" s="8" t="s">
        <v>54</v>
      </c>
      <c r="AF1131" s="8" t="s">
        <v>54</v>
      </c>
      <c r="AG1131" s="8" t="s">
        <v>54</v>
      </c>
      <c r="AH1131" s="8" t="s">
        <v>54</v>
      </c>
      <c r="AI1131" s="10" t="s">
        <v>67</v>
      </c>
      <c r="AJ1131" s="8">
        <f>COUNTIF($E$1131:$AI$1131,"P")</f>
        <v>26</v>
      </c>
      <c r="AK1131" s="8">
        <f>COUNTIF($E$1131:$AI$1131,"A")</f>
        <v>0</v>
      </c>
      <c r="AL1131" s="8">
        <f>SUM($E$1132:$AI$1132)</f>
        <v>0</v>
      </c>
      <c r="AM1131" s="8">
        <f>SUM($E$1133:$AI$1133)</f>
        <v>0</v>
      </c>
      <c r="AN1131" s="8">
        <f>AL1131+AM1131</f>
        <v>0</v>
      </c>
      <c r="AO1131" s="8">
        <f>COUNTIF($E$1131:$AI$1131,"CL")</f>
        <v>0</v>
      </c>
      <c r="AP1131" s="8">
        <f>COUNTIF($E$1131:$AI$1131,"SL")</f>
        <v>0</v>
      </c>
      <c r="AQ1131" s="8">
        <f>COUNTIF($E$1131:$AI$1131,"EL")</f>
        <v>0</v>
      </c>
      <c r="AR1131" s="8">
        <f>COUNTIF($E$1131:$AI$1131,"H")</f>
        <v>0</v>
      </c>
      <c r="AS1131" s="8"/>
      <c r="AT1131" s="11" t="s">
        <v>260</v>
      </c>
    </row>
    <row r="1132" spans="1:46" ht="15.1" customHeight="1">
      <c r="A1132" s="8"/>
      <c r="B1132" s="9"/>
      <c r="C1132" s="8"/>
      <c r="D1132" s="9"/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11" t="s">
        <v>260</v>
      </c>
    </row>
    <row r="1133" spans="1:46" ht="15.1" customHeight="1">
      <c r="A1133" s="8"/>
      <c r="B1133" s="9"/>
      <c r="C1133" s="8"/>
      <c r="D1133" s="9"/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11" t="s">
        <v>260</v>
      </c>
    </row>
    <row r="1134" spans="1:46" ht="15.1" customHeight="1">
      <c r="A1134" s="8">
        <v>377</v>
      </c>
      <c r="B1134" s="9" t="s">
        <v>2813</v>
      </c>
      <c r="C1134" s="8" t="s">
        <v>2814</v>
      </c>
      <c r="D1134" s="9" t="s">
        <v>266</v>
      </c>
      <c r="E1134" s="8" t="s">
        <v>54</v>
      </c>
      <c r="F1134" s="8" t="s">
        <v>54</v>
      </c>
      <c r="G1134" s="10" t="s">
        <v>67</v>
      </c>
      <c r="H1134" s="8" t="s">
        <v>54</v>
      </c>
      <c r="I1134" s="8" t="s">
        <v>54</v>
      </c>
      <c r="J1134" s="8" t="s">
        <v>54</v>
      </c>
      <c r="K1134" s="8" t="s">
        <v>54</v>
      </c>
      <c r="L1134" s="8" t="s">
        <v>54</v>
      </c>
      <c r="M1134" s="8" t="s">
        <v>54</v>
      </c>
      <c r="N1134" s="10" t="s">
        <v>67</v>
      </c>
      <c r="O1134" s="8" t="s">
        <v>54</v>
      </c>
      <c r="P1134" s="8" t="s">
        <v>54</v>
      </c>
      <c r="Q1134" s="8" t="s">
        <v>54</v>
      </c>
      <c r="R1134" s="12" t="s">
        <v>55</v>
      </c>
      <c r="S1134" s="12" t="s">
        <v>55</v>
      </c>
      <c r="T1134" s="12" t="s">
        <v>55</v>
      </c>
      <c r="U1134" s="10" t="s">
        <v>67</v>
      </c>
      <c r="V1134" s="8" t="s">
        <v>54</v>
      </c>
      <c r="W1134" s="8" t="s">
        <v>54</v>
      </c>
      <c r="X1134" s="8" t="s">
        <v>54</v>
      </c>
      <c r="Y1134" s="8" t="s">
        <v>54</v>
      </c>
      <c r="Z1134" s="8" t="s">
        <v>54</v>
      </c>
      <c r="AA1134" s="8" t="s">
        <v>54</v>
      </c>
      <c r="AB1134" s="10" t="s">
        <v>67</v>
      </c>
      <c r="AC1134" s="8" t="s">
        <v>54</v>
      </c>
      <c r="AD1134" s="8" t="s">
        <v>54</v>
      </c>
      <c r="AE1134" s="8" t="s">
        <v>54</v>
      </c>
      <c r="AF1134" s="8" t="s">
        <v>54</v>
      </c>
      <c r="AG1134" s="8" t="s">
        <v>54</v>
      </c>
      <c r="AH1134" s="8" t="s">
        <v>54</v>
      </c>
      <c r="AI1134" s="10" t="s">
        <v>67</v>
      </c>
      <c r="AJ1134" s="8">
        <f>COUNTIF($E$1134:$AI$1134,"P")</f>
        <v>23</v>
      </c>
      <c r="AK1134" s="8">
        <f>COUNTIF($E$1134:$AI$1134,"A")</f>
        <v>3</v>
      </c>
      <c r="AL1134" s="8">
        <f>SUM($E$1135:$AI$1135)</f>
        <v>0</v>
      </c>
      <c r="AM1134" s="8">
        <f>SUM($E$1136:$AI$1136)</f>
        <v>0</v>
      </c>
      <c r="AN1134" s="8">
        <f>AL1134+AM1134</f>
        <v>0</v>
      </c>
      <c r="AO1134" s="8">
        <f>COUNTIF($E$1134:$AI$1134,"CL")</f>
        <v>0</v>
      </c>
      <c r="AP1134" s="8">
        <f>COUNTIF($E$1134:$AI$1134,"SL")</f>
        <v>0</v>
      </c>
      <c r="AQ1134" s="8">
        <f>COUNTIF($E$1134:$AI$1134,"EL")</f>
        <v>0</v>
      </c>
      <c r="AR1134" s="8">
        <f>COUNTIF($E$1134:$AI$1134,"H")</f>
        <v>0</v>
      </c>
      <c r="AS1134" s="8"/>
      <c r="AT1134" s="11" t="s">
        <v>260</v>
      </c>
    </row>
    <row r="1135" spans="1:46" ht="15.1" customHeight="1">
      <c r="A1135" s="8"/>
      <c r="B1135" s="9"/>
      <c r="C1135" s="8"/>
      <c r="D1135" s="9"/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11" t="s">
        <v>260</v>
      </c>
    </row>
    <row r="1136" spans="1:46" ht="15.1" customHeight="1">
      <c r="A1136" s="8"/>
      <c r="B1136" s="9"/>
      <c r="C1136" s="8"/>
      <c r="D1136" s="9"/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11" t="s">
        <v>260</v>
      </c>
    </row>
    <row r="1137" spans="1:46" ht="15.1" customHeight="1">
      <c r="A1137" s="8">
        <v>378</v>
      </c>
      <c r="B1137" s="9" t="s">
        <v>2815</v>
      </c>
      <c r="C1137" s="8" t="s">
        <v>2816</v>
      </c>
      <c r="D1137" s="9" t="s">
        <v>266</v>
      </c>
      <c r="E1137" s="8" t="s">
        <v>54</v>
      </c>
      <c r="F1137" s="8" t="s">
        <v>54</v>
      </c>
      <c r="G1137" s="10" t="s">
        <v>67</v>
      </c>
      <c r="H1137" s="8" t="s">
        <v>54</v>
      </c>
      <c r="I1137" s="8" t="s">
        <v>54</v>
      </c>
      <c r="J1137" s="8" t="s">
        <v>54</v>
      </c>
      <c r="K1137" s="8" t="s">
        <v>54</v>
      </c>
      <c r="L1137" s="8" t="s">
        <v>54</v>
      </c>
      <c r="M1137" s="8" t="s">
        <v>54</v>
      </c>
      <c r="N1137" s="10" t="s">
        <v>67</v>
      </c>
      <c r="O1137" s="8" t="s">
        <v>54</v>
      </c>
      <c r="P1137" s="8" t="s">
        <v>54</v>
      </c>
      <c r="Q1137" s="8" t="s">
        <v>54</v>
      </c>
      <c r="R1137" s="8" t="s">
        <v>54</v>
      </c>
      <c r="S1137" s="8" t="s">
        <v>54</v>
      </c>
      <c r="T1137" s="8" t="s">
        <v>54</v>
      </c>
      <c r="U1137" s="10" t="s">
        <v>67</v>
      </c>
      <c r="V1137" s="8" t="s">
        <v>54</v>
      </c>
      <c r="W1137" s="8" t="s">
        <v>54</v>
      </c>
      <c r="X1137" s="8" t="s">
        <v>54</v>
      </c>
      <c r="Y1137" s="8" t="s">
        <v>54</v>
      </c>
      <c r="Z1137" s="8" t="s">
        <v>54</v>
      </c>
      <c r="AA1137" s="8" t="s">
        <v>54</v>
      </c>
      <c r="AB1137" s="10" t="s">
        <v>67</v>
      </c>
      <c r="AC1137" s="8" t="s">
        <v>54</v>
      </c>
      <c r="AD1137" s="12" t="s">
        <v>55</v>
      </c>
      <c r="AE1137" s="8" t="s">
        <v>54</v>
      </c>
      <c r="AF1137" s="8" t="s">
        <v>54</v>
      </c>
      <c r="AG1137" s="8" t="s">
        <v>54</v>
      </c>
      <c r="AH1137" s="8" t="s">
        <v>54</v>
      </c>
      <c r="AI1137" s="10" t="s">
        <v>67</v>
      </c>
      <c r="AJ1137" s="8">
        <f>COUNTIF($E$1137:$AI$1137,"P")</f>
        <v>25</v>
      </c>
      <c r="AK1137" s="8">
        <f>COUNTIF($E$1137:$AI$1137,"A")</f>
        <v>1</v>
      </c>
      <c r="AL1137" s="8">
        <f>SUM($E$1138:$AI$1138)</f>
        <v>0</v>
      </c>
      <c r="AM1137" s="8">
        <f>SUM($E$1139:$AI$1139)</f>
        <v>0</v>
      </c>
      <c r="AN1137" s="8">
        <f>AL1137+AM1137</f>
        <v>0</v>
      </c>
      <c r="AO1137" s="8">
        <f>COUNTIF($E$1137:$AI$1137,"CL")</f>
        <v>0</v>
      </c>
      <c r="AP1137" s="8">
        <f>COUNTIF($E$1137:$AI$1137,"SL")</f>
        <v>0</v>
      </c>
      <c r="AQ1137" s="8">
        <f>COUNTIF($E$1137:$AI$1137,"EL")</f>
        <v>0</v>
      </c>
      <c r="AR1137" s="8">
        <f>COUNTIF($E$1137:$AI$1137,"H")</f>
        <v>0</v>
      </c>
      <c r="AS1137" s="8"/>
      <c r="AT1137" s="11" t="s">
        <v>260</v>
      </c>
    </row>
    <row r="1138" spans="1:46" ht="15.1" customHeight="1">
      <c r="A1138" s="8"/>
      <c r="B1138" s="9"/>
      <c r="C1138" s="8"/>
      <c r="D1138" s="9"/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11" t="s">
        <v>260</v>
      </c>
    </row>
    <row r="1139" spans="1:46" ht="15.1" customHeight="1">
      <c r="A1139" s="8"/>
      <c r="B1139" s="9"/>
      <c r="C1139" s="8"/>
      <c r="D1139" s="9"/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11" t="s">
        <v>260</v>
      </c>
    </row>
    <row r="1140" spans="1:46" ht="15.1" customHeight="1">
      <c r="A1140" s="8">
        <v>379</v>
      </c>
      <c r="B1140" s="9" t="s">
        <v>2817</v>
      </c>
      <c r="C1140" s="8" t="s">
        <v>2818</v>
      </c>
      <c r="D1140" s="9" t="s">
        <v>266</v>
      </c>
      <c r="E1140" s="8" t="s">
        <v>54</v>
      </c>
      <c r="F1140" s="8" t="s">
        <v>54</v>
      </c>
      <c r="G1140" s="10" t="s">
        <v>67</v>
      </c>
      <c r="H1140" s="8" t="s">
        <v>54</v>
      </c>
      <c r="I1140" s="8" t="s">
        <v>54</v>
      </c>
      <c r="J1140" s="8" t="s">
        <v>54</v>
      </c>
      <c r="K1140" s="8" t="s">
        <v>54</v>
      </c>
      <c r="L1140" s="8" t="s">
        <v>54</v>
      </c>
      <c r="M1140" s="8" t="s">
        <v>54</v>
      </c>
      <c r="N1140" s="10" t="s">
        <v>67</v>
      </c>
      <c r="O1140" s="8" t="s">
        <v>54</v>
      </c>
      <c r="P1140" s="8" t="s">
        <v>54</v>
      </c>
      <c r="Q1140" s="8" t="s">
        <v>54</v>
      </c>
      <c r="R1140" s="8" t="s">
        <v>54</v>
      </c>
      <c r="S1140" s="8" t="s">
        <v>54</v>
      </c>
      <c r="T1140" s="8" t="s">
        <v>54</v>
      </c>
      <c r="U1140" s="10" t="s">
        <v>67</v>
      </c>
      <c r="V1140" s="8" t="s">
        <v>54</v>
      </c>
      <c r="W1140" s="8" t="s">
        <v>54</v>
      </c>
      <c r="X1140" s="8" t="s">
        <v>54</v>
      </c>
      <c r="Y1140" s="8" t="s">
        <v>54</v>
      </c>
      <c r="Z1140" s="8" t="s">
        <v>54</v>
      </c>
      <c r="AA1140" s="8" t="s">
        <v>54</v>
      </c>
      <c r="AB1140" s="10" t="s">
        <v>67</v>
      </c>
      <c r="AC1140" s="8" t="s">
        <v>54</v>
      </c>
      <c r="AD1140" s="8" t="s">
        <v>54</v>
      </c>
      <c r="AE1140" s="8" t="s">
        <v>54</v>
      </c>
      <c r="AF1140" s="8" t="s">
        <v>54</v>
      </c>
      <c r="AG1140" s="8" t="s">
        <v>54</v>
      </c>
      <c r="AH1140" s="8" t="s">
        <v>54</v>
      </c>
      <c r="AI1140" s="10" t="s">
        <v>67</v>
      </c>
      <c r="AJ1140" s="8">
        <f>COUNTIF($E$1140:$AI$1140,"P")</f>
        <v>26</v>
      </c>
      <c r="AK1140" s="8">
        <f>COUNTIF($E$1140:$AI$1140,"A")</f>
        <v>0</v>
      </c>
      <c r="AL1140" s="8">
        <f>SUM($E$1141:$AI$1141)</f>
        <v>0</v>
      </c>
      <c r="AM1140" s="8">
        <f>SUM($E$1142:$AI$1142)</f>
        <v>0</v>
      </c>
      <c r="AN1140" s="8">
        <f>AL1140+AM1140</f>
        <v>0</v>
      </c>
      <c r="AO1140" s="8">
        <f>COUNTIF($E$1140:$AI$1140,"CL")</f>
        <v>0</v>
      </c>
      <c r="AP1140" s="8">
        <f>COUNTIF($E$1140:$AI$1140,"SL")</f>
        <v>0</v>
      </c>
      <c r="AQ1140" s="8">
        <f>COUNTIF($E$1140:$AI$1140,"EL")</f>
        <v>0</v>
      </c>
      <c r="AR1140" s="8">
        <f>COUNTIF($E$1140:$AI$1140,"H")</f>
        <v>0</v>
      </c>
      <c r="AS1140" s="8"/>
      <c r="AT1140" s="11" t="s">
        <v>260</v>
      </c>
    </row>
    <row r="1141" spans="1:46" ht="15.1" customHeight="1">
      <c r="A1141" s="8"/>
      <c r="B1141" s="9"/>
      <c r="C1141" s="8"/>
      <c r="D1141" s="9"/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11" t="s">
        <v>260</v>
      </c>
    </row>
    <row r="1142" spans="1:46" ht="15.1" customHeight="1">
      <c r="A1142" s="8"/>
      <c r="B1142" s="9"/>
      <c r="C1142" s="8"/>
      <c r="D1142" s="9"/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11" t="s">
        <v>260</v>
      </c>
    </row>
    <row r="1143" spans="1:46" ht="15.1" customHeight="1">
      <c r="A1143" s="8">
        <v>380</v>
      </c>
      <c r="B1143" s="9" t="s">
        <v>2819</v>
      </c>
      <c r="C1143" s="8" t="s">
        <v>2820</v>
      </c>
      <c r="D1143" s="9" t="s">
        <v>266</v>
      </c>
      <c r="E1143" s="8" t="s">
        <v>54</v>
      </c>
      <c r="F1143" s="8" t="s">
        <v>54</v>
      </c>
      <c r="G1143" s="10" t="s">
        <v>67</v>
      </c>
      <c r="H1143" s="8" t="s">
        <v>54</v>
      </c>
      <c r="I1143" s="8" t="s">
        <v>54</v>
      </c>
      <c r="J1143" s="8" t="s">
        <v>54</v>
      </c>
      <c r="K1143" s="8" t="s">
        <v>54</v>
      </c>
      <c r="L1143" s="8" t="s">
        <v>54</v>
      </c>
      <c r="M1143" s="8" t="s">
        <v>54</v>
      </c>
      <c r="N1143" s="10" t="s">
        <v>67</v>
      </c>
      <c r="O1143" s="8" t="s">
        <v>54</v>
      </c>
      <c r="P1143" s="8" t="s">
        <v>54</v>
      </c>
      <c r="Q1143" s="8" t="s">
        <v>54</v>
      </c>
      <c r="R1143" s="8" t="s">
        <v>54</v>
      </c>
      <c r="S1143" s="8" t="s">
        <v>54</v>
      </c>
      <c r="T1143" s="8" t="s">
        <v>54</v>
      </c>
      <c r="U1143" s="10" t="s">
        <v>67</v>
      </c>
      <c r="V1143" s="8" t="s">
        <v>54</v>
      </c>
      <c r="W1143" s="8" t="s">
        <v>54</v>
      </c>
      <c r="X1143" s="8" t="s">
        <v>54</v>
      </c>
      <c r="Y1143" s="8" t="s">
        <v>54</v>
      </c>
      <c r="Z1143" s="8" t="s">
        <v>54</v>
      </c>
      <c r="AA1143" s="8" t="s">
        <v>54</v>
      </c>
      <c r="AB1143" s="10" t="s">
        <v>67</v>
      </c>
      <c r="AC1143" s="8" t="s">
        <v>54</v>
      </c>
      <c r="AD1143" s="8" t="s">
        <v>54</v>
      </c>
      <c r="AE1143" s="8" t="s">
        <v>54</v>
      </c>
      <c r="AF1143" s="8" t="s">
        <v>54</v>
      </c>
      <c r="AG1143" s="8" t="s">
        <v>54</v>
      </c>
      <c r="AH1143" s="8" t="s">
        <v>54</v>
      </c>
      <c r="AI1143" s="10" t="s">
        <v>67</v>
      </c>
      <c r="AJ1143" s="8">
        <f>COUNTIF($E$1143:$AI$1143,"P")</f>
        <v>26</v>
      </c>
      <c r="AK1143" s="8">
        <f>COUNTIF($E$1143:$AI$1143,"A")</f>
        <v>0</v>
      </c>
      <c r="AL1143" s="8">
        <f>SUM($E$1144:$AI$1144)</f>
        <v>0</v>
      </c>
      <c r="AM1143" s="8">
        <f>SUM($E$1145:$AI$1145)</f>
        <v>0</v>
      </c>
      <c r="AN1143" s="8">
        <f>AL1143+AM1143</f>
        <v>0</v>
      </c>
      <c r="AO1143" s="8">
        <f>COUNTIF($E$1143:$AI$1143,"CL")</f>
        <v>0</v>
      </c>
      <c r="AP1143" s="8">
        <f>COUNTIF($E$1143:$AI$1143,"SL")</f>
        <v>0</v>
      </c>
      <c r="AQ1143" s="8">
        <f>COUNTIF($E$1143:$AI$1143,"EL")</f>
        <v>0</v>
      </c>
      <c r="AR1143" s="8">
        <f>COUNTIF($E$1143:$AI$1143,"H")</f>
        <v>0</v>
      </c>
      <c r="AS1143" s="8"/>
      <c r="AT1143" s="11" t="s">
        <v>260</v>
      </c>
    </row>
    <row r="1144" spans="1:46" ht="15.1" customHeight="1">
      <c r="A1144" s="8"/>
      <c r="B1144" s="9"/>
      <c r="C1144" s="8"/>
      <c r="D1144" s="9"/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11" t="s">
        <v>260</v>
      </c>
    </row>
    <row r="1145" spans="1:46" ht="15.1" customHeight="1">
      <c r="A1145" s="8"/>
      <c r="B1145" s="9"/>
      <c r="C1145" s="8"/>
      <c r="D1145" s="9"/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11" t="s">
        <v>260</v>
      </c>
    </row>
    <row r="1146" spans="1:46" ht="15.1" customHeight="1">
      <c r="A1146" s="8">
        <v>381</v>
      </c>
      <c r="B1146" s="9" t="s">
        <v>2821</v>
      </c>
      <c r="C1146" s="8" t="s">
        <v>2822</v>
      </c>
      <c r="D1146" s="9" t="s">
        <v>266</v>
      </c>
      <c r="E1146" s="12" t="s">
        <v>55</v>
      </c>
      <c r="F1146" s="12" t="s">
        <v>55</v>
      </c>
      <c r="G1146" s="10" t="s">
        <v>67</v>
      </c>
      <c r="H1146" s="12" t="s">
        <v>55</v>
      </c>
      <c r="I1146" s="8" t="s">
        <v>54</v>
      </c>
      <c r="J1146" s="8" t="s">
        <v>54</v>
      </c>
      <c r="K1146" s="8" t="s">
        <v>54</v>
      </c>
      <c r="L1146" s="8" t="s">
        <v>54</v>
      </c>
      <c r="M1146" s="8" t="s">
        <v>54</v>
      </c>
      <c r="N1146" s="10" t="s">
        <v>67</v>
      </c>
      <c r="O1146" s="8" t="s">
        <v>54</v>
      </c>
      <c r="P1146" s="8" t="s">
        <v>54</v>
      </c>
      <c r="Q1146" s="8" t="s">
        <v>54</v>
      </c>
      <c r="R1146" s="8" t="s">
        <v>54</v>
      </c>
      <c r="S1146" s="8" t="s">
        <v>54</v>
      </c>
      <c r="T1146" s="8" t="s">
        <v>54</v>
      </c>
      <c r="U1146" s="10" t="s">
        <v>67</v>
      </c>
      <c r="V1146" s="8" t="s">
        <v>54</v>
      </c>
      <c r="W1146" s="8" t="s">
        <v>54</v>
      </c>
      <c r="X1146" s="8" t="s">
        <v>54</v>
      </c>
      <c r="Y1146" s="8" t="s">
        <v>54</v>
      </c>
      <c r="Z1146" s="8" t="s">
        <v>54</v>
      </c>
      <c r="AA1146" s="8" t="s">
        <v>54</v>
      </c>
      <c r="AB1146" s="10" t="s">
        <v>67</v>
      </c>
      <c r="AC1146" s="8" t="s">
        <v>54</v>
      </c>
      <c r="AD1146" s="8" t="s">
        <v>54</v>
      </c>
      <c r="AE1146" s="8" t="s">
        <v>54</v>
      </c>
      <c r="AF1146" s="8" t="s">
        <v>54</v>
      </c>
      <c r="AG1146" s="8" t="s">
        <v>54</v>
      </c>
      <c r="AH1146" s="8" t="s">
        <v>54</v>
      </c>
      <c r="AI1146" s="10" t="s">
        <v>67</v>
      </c>
      <c r="AJ1146" s="8">
        <f>COUNTIF($E$1146:$AI$1146,"P")</f>
        <v>23</v>
      </c>
      <c r="AK1146" s="8">
        <f>COUNTIF($E$1146:$AI$1146,"A")</f>
        <v>3</v>
      </c>
      <c r="AL1146" s="8">
        <f>SUM($E$1147:$AI$1147)</f>
        <v>0</v>
      </c>
      <c r="AM1146" s="8">
        <f>SUM($E$1148:$AI$1148)</f>
        <v>0</v>
      </c>
      <c r="AN1146" s="8">
        <f>AL1146+AM1146</f>
        <v>0</v>
      </c>
      <c r="AO1146" s="8">
        <f>COUNTIF($E$1146:$AI$1146,"CL")</f>
        <v>0</v>
      </c>
      <c r="AP1146" s="8">
        <f>COUNTIF($E$1146:$AI$1146,"SL")</f>
        <v>0</v>
      </c>
      <c r="AQ1146" s="8">
        <f>COUNTIF($E$1146:$AI$1146,"EL")</f>
        <v>0</v>
      </c>
      <c r="AR1146" s="8">
        <f>COUNTIF($E$1146:$AI$1146,"H")</f>
        <v>0</v>
      </c>
      <c r="AS1146" s="8"/>
      <c r="AT1146" s="11" t="s">
        <v>260</v>
      </c>
    </row>
    <row r="1147" spans="1:46" ht="15.1" customHeight="1">
      <c r="A1147" s="8"/>
      <c r="B1147" s="9"/>
      <c r="C1147" s="8"/>
      <c r="D1147" s="9"/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11" t="s">
        <v>260</v>
      </c>
    </row>
    <row r="1148" spans="1:46" ht="15.1" customHeight="1">
      <c r="A1148" s="8"/>
      <c r="B1148" s="9"/>
      <c r="C1148" s="8"/>
      <c r="D1148" s="9"/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11" t="s">
        <v>260</v>
      </c>
    </row>
    <row r="1149" spans="1:46" ht="15.1" customHeight="1">
      <c r="A1149" s="8">
        <v>382</v>
      </c>
      <c r="B1149" s="9" t="s">
        <v>2823</v>
      </c>
      <c r="C1149" s="8" t="s">
        <v>2824</v>
      </c>
      <c r="D1149" s="9" t="s">
        <v>266</v>
      </c>
      <c r="E1149" s="8" t="s">
        <v>54</v>
      </c>
      <c r="F1149" s="8" t="s">
        <v>54</v>
      </c>
      <c r="G1149" s="10" t="s">
        <v>67</v>
      </c>
      <c r="H1149" s="12" t="s">
        <v>55</v>
      </c>
      <c r="I1149" s="12" t="s">
        <v>55</v>
      </c>
      <c r="J1149" s="8" t="s">
        <v>54</v>
      </c>
      <c r="K1149" s="8" t="s">
        <v>54</v>
      </c>
      <c r="L1149" s="8" t="s">
        <v>54</v>
      </c>
      <c r="M1149" s="8" t="s">
        <v>54</v>
      </c>
      <c r="N1149" s="10" t="s">
        <v>67</v>
      </c>
      <c r="O1149" s="8" t="s">
        <v>54</v>
      </c>
      <c r="P1149" s="8" t="s">
        <v>54</v>
      </c>
      <c r="Q1149" s="8" t="s">
        <v>54</v>
      </c>
      <c r="R1149" s="8" t="s">
        <v>54</v>
      </c>
      <c r="S1149" s="8" t="s">
        <v>54</v>
      </c>
      <c r="T1149" s="8" t="s">
        <v>54</v>
      </c>
      <c r="U1149" s="10" t="s">
        <v>67</v>
      </c>
      <c r="V1149" s="8" t="s">
        <v>54</v>
      </c>
      <c r="W1149" s="8" t="s">
        <v>54</v>
      </c>
      <c r="X1149" s="8" t="s">
        <v>54</v>
      </c>
      <c r="Y1149" s="8" t="s">
        <v>54</v>
      </c>
      <c r="Z1149" s="8" t="s">
        <v>54</v>
      </c>
      <c r="AA1149" s="8" t="s">
        <v>54</v>
      </c>
      <c r="AB1149" s="10" t="s">
        <v>67</v>
      </c>
      <c r="AC1149" s="8" t="s">
        <v>54</v>
      </c>
      <c r="AD1149" s="12" t="s">
        <v>55</v>
      </c>
      <c r="AE1149" s="8" t="s">
        <v>54</v>
      </c>
      <c r="AF1149" s="8" t="s">
        <v>54</v>
      </c>
      <c r="AG1149" s="8" t="s">
        <v>54</v>
      </c>
      <c r="AH1149" s="8" t="s">
        <v>54</v>
      </c>
      <c r="AI1149" s="10" t="s">
        <v>67</v>
      </c>
      <c r="AJ1149" s="8">
        <f>COUNTIF($E$1149:$AI$1149,"P")</f>
        <v>23</v>
      </c>
      <c r="AK1149" s="8">
        <f>COUNTIF($E$1149:$AI$1149,"A")</f>
        <v>3</v>
      </c>
      <c r="AL1149" s="8">
        <f>SUM($E$1150:$AI$1150)</f>
        <v>0</v>
      </c>
      <c r="AM1149" s="8">
        <f>SUM($E$1151:$AI$1151)</f>
        <v>0</v>
      </c>
      <c r="AN1149" s="8">
        <f>AL1149+AM1149</f>
        <v>0</v>
      </c>
      <c r="AO1149" s="8">
        <f>COUNTIF($E$1149:$AI$1149,"CL")</f>
        <v>0</v>
      </c>
      <c r="AP1149" s="8">
        <f>COUNTIF($E$1149:$AI$1149,"SL")</f>
        <v>0</v>
      </c>
      <c r="AQ1149" s="8">
        <f>COUNTIF($E$1149:$AI$1149,"EL")</f>
        <v>0</v>
      </c>
      <c r="AR1149" s="8">
        <f>COUNTIF($E$1149:$AI$1149,"H")</f>
        <v>0</v>
      </c>
      <c r="AS1149" s="8"/>
      <c r="AT1149" s="11" t="s">
        <v>260</v>
      </c>
    </row>
    <row r="1150" spans="1:46" ht="15.1" customHeight="1">
      <c r="A1150" s="8"/>
      <c r="B1150" s="9"/>
      <c r="C1150" s="8"/>
      <c r="D1150" s="9"/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11" t="s">
        <v>260</v>
      </c>
    </row>
    <row r="1151" spans="1:46" ht="15.1" customHeight="1">
      <c r="A1151" s="8"/>
      <c r="B1151" s="9"/>
      <c r="C1151" s="8"/>
      <c r="D1151" s="9"/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11" t="s">
        <v>260</v>
      </c>
    </row>
    <row r="1152" spans="1:46" ht="15.1" customHeight="1">
      <c r="A1152" s="8">
        <v>383</v>
      </c>
      <c r="B1152" s="9" t="s">
        <v>2825</v>
      </c>
      <c r="C1152" s="8" t="s">
        <v>2826</v>
      </c>
      <c r="D1152" s="9" t="s">
        <v>266</v>
      </c>
      <c r="E1152" s="8" t="s">
        <v>54</v>
      </c>
      <c r="F1152" s="8" t="s">
        <v>54</v>
      </c>
      <c r="G1152" s="10" t="s">
        <v>67</v>
      </c>
      <c r="H1152" s="8" t="s">
        <v>54</v>
      </c>
      <c r="I1152" s="8" t="s">
        <v>54</v>
      </c>
      <c r="J1152" s="8" t="s">
        <v>54</v>
      </c>
      <c r="K1152" s="8" t="s">
        <v>54</v>
      </c>
      <c r="L1152" s="8" t="s">
        <v>54</v>
      </c>
      <c r="M1152" s="8" t="s">
        <v>54</v>
      </c>
      <c r="N1152" s="10" t="s">
        <v>67</v>
      </c>
      <c r="O1152" s="8" t="s">
        <v>54</v>
      </c>
      <c r="P1152" s="8" t="s">
        <v>54</v>
      </c>
      <c r="Q1152" s="8" t="s">
        <v>54</v>
      </c>
      <c r="R1152" s="8" t="s">
        <v>54</v>
      </c>
      <c r="S1152" s="8" t="s">
        <v>54</v>
      </c>
      <c r="T1152" s="8" t="s">
        <v>54</v>
      </c>
      <c r="U1152" s="10" t="s">
        <v>67</v>
      </c>
      <c r="V1152" s="8" t="s">
        <v>54</v>
      </c>
      <c r="W1152" s="8" t="s">
        <v>54</v>
      </c>
      <c r="X1152" s="8" t="s">
        <v>54</v>
      </c>
      <c r="Y1152" s="8" t="s">
        <v>54</v>
      </c>
      <c r="Z1152" s="8" t="s">
        <v>54</v>
      </c>
      <c r="AA1152" s="8" t="s">
        <v>54</v>
      </c>
      <c r="AB1152" s="10" t="s">
        <v>67</v>
      </c>
      <c r="AC1152" s="8" t="s">
        <v>54</v>
      </c>
      <c r="AD1152" s="8" t="s">
        <v>54</v>
      </c>
      <c r="AE1152" s="8" t="s">
        <v>54</v>
      </c>
      <c r="AF1152" s="8" t="s">
        <v>54</v>
      </c>
      <c r="AG1152" s="8" t="s">
        <v>54</v>
      </c>
      <c r="AH1152" s="8" t="s">
        <v>54</v>
      </c>
      <c r="AI1152" s="10" t="s">
        <v>67</v>
      </c>
      <c r="AJ1152" s="8">
        <f>COUNTIF($E$1152:$AI$1152,"P")</f>
        <v>26</v>
      </c>
      <c r="AK1152" s="8">
        <f>COUNTIF($E$1152:$AI$1152,"A")</f>
        <v>0</v>
      </c>
      <c r="AL1152" s="8">
        <f>SUM($E$1153:$AI$1153)</f>
        <v>0</v>
      </c>
      <c r="AM1152" s="8">
        <f>SUM($E$1154:$AI$1154)</f>
        <v>0</v>
      </c>
      <c r="AN1152" s="8">
        <f>AL1152+AM1152</f>
        <v>0</v>
      </c>
      <c r="AO1152" s="8">
        <f>COUNTIF($E$1152:$AI$1152,"CL")</f>
        <v>0</v>
      </c>
      <c r="AP1152" s="8">
        <f>COUNTIF($E$1152:$AI$1152,"SL")</f>
        <v>0</v>
      </c>
      <c r="AQ1152" s="8">
        <f>COUNTIF($E$1152:$AI$1152,"EL")</f>
        <v>0</v>
      </c>
      <c r="AR1152" s="8">
        <f>COUNTIF($E$1152:$AI$1152,"H")</f>
        <v>0</v>
      </c>
      <c r="AS1152" s="8"/>
      <c r="AT1152" s="11" t="s">
        <v>260</v>
      </c>
    </row>
    <row r="1153" spans="1:46" ht="15.1" customHeight="1">
      <c r="A1153" s="8"/>
      <c r="B1153" s="9"/>
      <c r="C1153" s="8"/>
      <c r="D1153" s="9"/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11" t="s">
        <v>260</v>
      </c>
    </row>
    <row r="1154" spans="1:46" ht="15.1" customHeight="1">
      <c r="A1154" s="8"/>
      <c r="B1154" s="9"/>
      <c r="C1154" s="8"/>
      <c r="D1154" s="9"/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11" t="s">
        <v>260</v>
      </c>
    </row>
    <row r="1155" spans="1:46" ht="15.1" customHeight="1">
      <c r="A1155" s="8">
        <v>384</v>
      </c>
      <c r="B1155" s="9" t="s">
        <v>2827</v>
      </c>
      <c r="C1155" s="8" t="s">
        <v>2828</v>
      </c>
      <c r="D1155" s="9" t="s">
        <v>266</v>
      </c>
      <c r="E1155" s="12" t="s">
        <v>55</v>
      </c>
      <c r="F1155" s="8" t="s">
        <v>54</v>
      </c>
      <c r="G1155" s="10" t="s">
        <v>67</v>
      </c>
      <c r="H1155" s="8" t="s">
        <v>54</v>
      </c>
      <c r="I1155" s="8" t="s">
        <v>54</v>
      </c>
      <c r="J1155" s="8" t="s">
        <v>54</v>
      </c>
      <c r="K1155" s="8" t="s">
        <v>54</v>
      </c>
      <c r="L1155" s="8" t="s">
        <v>54</v>
      </c>
      <c r="M1155" s="8" t="s">
        <v>54</v>
      </c>
      <c r="N1155" s="10" t="s">
        <v>67</v>
      </c>
      <c r="O1155" s="8" t="s">
        <v>54</v>
      </c>
      <c r="P1155" s="8" t="s">
        <v>54</v>
      </c>
      <c r="Q1155" s="8" t="s">
        <v>54</v>
      </c>
      <c r="R1155" s="8" t="s">
        <v>54</v>
      </c>
      <c r="S1155" s="12" t="s">
        <v>55</v>
      </c>
      <c r="T1155" s="8" t="s">
        <v>54</v>
      </c>
      <c r="U1155" s="10" t="s">
        <v>67</v>
      </c>
      <c r="V1155" s="8" t="s">
        <v>54</v>
      </c>
      <c r="W1155" s="8" t="s">
        <v>54</v>
      </c>
      <c r="X1155" s="12" t="s">
        <v>55</v>
      </c>
      <c r="Y1155" s="8" t="s">
        <v>54</v>
      </c>
      <c r="Z1155" s="8" t="s">
        <v>54</v>
      </c>
      <c r="AA1155" s="8" t="s">
        <v>54</v>
      </c>
      <c r="AB1155" s="10" t="s">
        <v>67</v>
      </c>
      <c r="AC1155" s="8" t="s">
        <v>54</v>
      </c>
      <c r="AD1155" s="12" t="s">
        <v>55</v>
      </c>
      <c r="AE1155" s="12" t="s">
        <v>55</v>
      </c>
      <c r="AF1155" s="12" t="s">
        <v>55</v>
      </c>
      <c r="AG1155" s="8" t="s">
        <v>54</v>
      </c>
      <c r="AH1155" s="8" t="s">
        <v>54</v>
      </c>
      <c r="AI1155" s="10" t="s">
        <v>67</v>
      </c>
      <c r="AJ1155" s="8">
        <f>COUNTIF($E$1155:$AI$1155,"P")</f>
        <v>20</v>
      </c>
      <c r="AK1155" s="8">
        <f>COUNTIF($E$1155:$AI$1155,"A")</f>
        <v>6</v>
      </c>
      <c r="AL1155" s="8">
        <f>SUM($E$1156:$AI$1156)</f>
        <v>0</v>
      </c>
      <c r="AM1155" s="8">
        <f>SUM($E$1157:$AI$1157)</f>
        <v>0</v>
      </c>
      <c r="AN1155" s="8">
        <f>AL1155+AM1155</f>
        <v>0</v>
      </c>
      <c r="AO1155" s="8">
        <f>COUNTIF($E$1155:$AI$1155,"CL")</f>
        <v>0</v>
      </c>
      <c r="AP1155" s="8">
        <f>COUNTIF($E$1155:$AI$1155,"SL")</f>
        <v>0</v>
      </c>
      <c r="AQ1155" s="8">
        <f>COUNTIF($E$1155:$AI$1155,"EL")</f>
        <v>0</v>
      </c>
      <c r="AR1155" s="8">
        <f>COUNTIF($E$1155:$AI$1155,"H")</f>
        <v>0</v>
      </c>
      <c r="AS1155" s="8"/>
      <c r="AT1155" s="11" t="s">
        <v>260</v>
      </c>
    </row>
    <row r="1156" spans="1:46" ht="15.1" customHeight="1">
      <c r="A1156" s="8"/>
      <c r="B1156" s="9"/>
      <c r="C1156" s="8"/>
      <c r="D1156" s="9"/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11" t="s">
        <v>260</v>
      </c>
    </row>
    <row r="1157" spans="1:46" ht="15.1" customHeight="1">
      <c r="A1157" s="8"/>
      <c r="B1157" s="9"/>
      <c r="C1157" s="8"/>
      <c r="D1157" s="9"/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11" t="s">
        <v>260</v>
      </c>
    </row>
    <row r="1158" spans="1:46" ht="15.1" customHeight="1">
      <c r="A1158" s="8">
        <v>385</v>
      </c>
      <c r="B1158" s="9" t="s">
        <v>2829</v>
      </c>
      <c r="C1158" s="8" t="s">
        <v>2830</v>
      </c>
      <c r="D1158" s="9" t="s">
        <v>266</v>
      </c>
      <c r="E1158" s="8" t="s">
        <v>54</v>
      </c>
      <c r="F1158" s="8" t="s">
        <v>54</v>
      </c>
      <c r="G1158" s="10" t="s">
        <v>67</v>
      </c>
      <c r="H1158" s="8" t="s">
        <v>54</v>
      </c>
      <c r="I1158" s="8" t="s">
        <v>54</v>
      </c>
      <c r="J1158" s="12" t="s">
        <v>55</v>
      </c>
      <c r="K1158" s="8" t="s">
        <v>54</v>
      </c>
      <c r="L1158" s="12" t="s">
        <v>55</v>
      </c>
      <c r="M1158" s="8" t="s">
        <v>54</v>
      </c>
      <c r="N1158" s="10" t="s">
        <v>67</v>
      </c>
      <c r="O1158" s="12" t="s">
        <v>55</v>
      </c>
      <c r="P1158" s="8" t="s">
        <v>54</v>
      </c>
      <c r="Q1158" s="8" t="s">
        <v>54</v>
      </c>
      <c r="R1158" s="8" t="s">
        <v>54</v>
      </c>
      <c r="S1158" s="12" t="s">
        <v>55</v>
      </c>
      <c r="T1158" s="8" t="s">
        <v>54</v>
      </c>
      <c r="U1158" s="10" t="s">
        <v>67</v>
      </c>
      <c r="V1158" s="8" t="s">
        <v>54</v>
      </c>
      <c r="W1158" s="8" t="s">
        <v>54</v>
      </c>
      <c r="X1158" s="8" t="s">
        <v>54</v>
      </c>
      <c r="Y1158" s="8" t="s">
        <v>54</v>
      </c>
      <c r="Z1158" s="8" t="s">
        <v>54</v>
      </c>
      <c r="AA1158" s="8" t="s">
        <v>54</v>
      </c>
      <c r="AB1158" s="10" t="s">
        <v>67</v>
      </c>
      <c r="AC1158" s="8" t="s">
        <v>54</v>
      </c>
      <c r="AD1158" s="12" t="s">
        <v>55</v>
      </c>
      <c r="AE1158" s="12" t="s">
        <v>55</v>
      </c>
      <c r="AF1158" s="8" t="s">
        <v>54</v>
      </c>
      <c r="AG1158" s="8" t="s">
        <v>54</v>
      </c>
      <c r="AH1158" s="8" t="s">
        <v>54</v>
      </c>
      <c r="AI1158" s="10" t="s">
        <v>67</v>
      </c>
      <c r="AJ1158" s="8">
        <f>COUNTIF($E$1158:$AI$1158,"P")</f>
        <v>20</v>
      </c>
      <c r="AK1158" s="8">
        <f>COUNTIF($E$1158:$AI$1158,"A")</f>
        <v>6</v>
      </c>
      <c r="AL1158" s="8">
        <f>SUM($E$1159:$AI$1159)</f>
        <v>0</v>
      </c>
      <c r="AM1158" s="8">
        <f>SUM($E$1160:$AI$1160)</f>
        <v>0</v>
      </c>
      <c r="AN1158" s="8">
        <f>AL1158+AM1158</f>
        <v>0</v>
      </c>
      <c r="AO1158" s="8">
        <f>COUNTIF($E$1158:$AI$1158,"CL")</f>
        <v>0</v>
      </c>
      <c r="AP1158" s="8">
        <f>COUNTIF($E$1158:$AI$1158,"SL")</f>
        <v>0</v>
      </c>
      <c r="AQ1158" s="8">
        <f>COUNTIF($E$1158:$AI$1158,"EL")</f>
        <v>0</v>
      </c>
      <c r="AR1158" s="8">
        <f>COUNTIF($E$1158:$AI$1158,"H")</f>
        <v>0</v>
      </c>
      <c r="AS1158" s="8"/>
      <c r="AT1158" s="11" t="s">
        <v>260</v>
      </c>
    </row>
    <row r="1159" spans="1:46" ht="15.1" customHeight="1">
      <c r="A1159" s="8"/>
      <c r="B1159" s="9"/>
      <c r="C1159" s="8"/>
      <c r="D1159" s="9"/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11" t="s">
        <v>260</v>
      </c>
    </row>
    <row r="1160" spans="1:46" ht="15.1" customHeight="1">
      <c r="A1160" s="8"/>
      <c r="B1160" s="9"/>
      <c r="C1160" s="8"/>
      <c r="D1160" s="9"/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11" t="s">
        <v>260</v>
      </c>
    </row>
    <row r="1161" spans="1:46" ht="15.1" customHeight="1">
      <c r="A1161" s="8">
        <v>386</v>
      </c>
      <c r="B1161" s="9" t="s">
        <v>2831</v>
      </c>
      <c r="C1161" s="8" t="s">
        <v>2832</v>
      </c>
      <c r="D1161" s="9" t="s">
        <v>266</v>
      </c>
      <c r="E1161" s="8" t="s">
        <v>54</v>
      </c>
      <c r="F1161" s="8" t="s">
        <v>54</v>
      </c>
      <c r="G1161" s="10" t="s">
        <v>67</v>
      </c>
      <c r="H1161" s="8" t="s">
        <v>54</v>
      </c>
      <c r="I1161" s="8" t="s">
        <v>54</v>
      </c>
      <c r="J1161" s="8" t="s">
        <v>54</v>
      </c>
      <c r="K1161" s="8" t="s">
        <v>54</v>
      </c>
      <c r="L1161" s="8" t="s">
        <v>54</v>
      </c>
      <c r="M1161" s="8" t="s">
        <v>54</v>
      </c>
      <c r="N1161" s="10" t="s">
        <v>67</v>
      </c>
      <c r="O1161" s="8" t="s">
        <v>54</v>
      </c>
      <c r="P1161" s="8" t="s">
        <v>54</v>
      </c>
      <c r="Q1161" s="8" t="s">
        <v>54</v>
      </c>
      <c r="R1161" s="8" t="s">
        <v>54</v>
      </c>
      <c r="S1161" s="8" t="s">
        <v>54</v>
      </c>
      <c r="T1161" s="8" t="s">
        <v>54</v>
      </c>
      <c r="U1161" s="10" t="s">
        <v>67</v>
      </c>
      <c r="V1161" s="8" t="s">
        <v>54</v>
      </c>
      <c r="W1161" s="8" t="s">
        <v>54</v>
      </c>
      <c r="X1161" s="8" t="s">
        <v>54</v>
      </c>
      <c r="Y1161" s="8" t="s">
        <v>54</v>
      </c>
      <c r="Z1161" s="8" t="s">
        <v>54</v>
      </c>
      <c r="AA1161" s="8" t="s">
        <v>54</v>
      </c>
      <c r="AB1161" s="10" t="s">
        <v>67</v>
      </c>
      <c r="AC1161" s="8" t="s">
        <v>54</v>
      </c>
      <c r="AD1161" s="8" t="s">
        <v>54</v>
      </c>
      <c r="AE1161" s="8" t="s">
        <v>54</v>
      </c>
      <c r="AF1161" s="8" t="s">
        <v>54</v>
      </c>
      <c r="AG1161" s="8" t="s">
        <v>54</v>
      </c>
      <c r="AH1161" s="8" t="s">
        <v>54</v>
      </c>
      <c r="AI1161" s="10" t="s">
        <v>67</v>
      </c>
      <c r="AJ1161" s="8">
        <f>COUNTIF($E$1161:$AI$1161,"P")</f>
        <v>26</v>
      </c>
      <c r="AK1161" s="8">
        <f>COUNTIF($E$1161:$AI$1161,"A")</f>
        <v>0</v>
      </c>
      <c r="AL1161" s="8">
        <f>SUM($E$1162:$AI$1162)</f>
        <v>0</v>
      </c>
      <c r="AM1161" s="8">
        <f>SUM($E$1163:$AI$1163)</f>
        <v>0</v>
      </c>
      <c r="AN1161" s="8">
        <f>AL1161+AM1161</f>
        <v>0</v>
      </c>
      <c r="AO1161" s="8">
        <f>COUNTIF($E$1161:$AI$1161,"CL")</f>
        <v>0</v>
      </c>
      <c r="AP1161" s="8">
        <f>COUNTIF($E$1161:$AI$1161,"SL")</f>
        <v>0</v>
      </c>
      <c r="AQ1161" s="8">
        <f>COUNTIF($E$1161:$AI$1161,"EL")</f>
        <v>0</v>
      </c>
      <c r="AR1161" s="8">
        <f>COUNTIF($E$1161:$AI$1161,"H")</f>
        <v>0</v>
      </c>
      <c r="AS1161" s="8"/>
      <c r="AT1161" s="11" t="s">
        <v>260</v>
      </c>
    </row>
    <row r="1162" spans="1:46" ht="15.1" customHeight="1">
      <c r="A1162" s="8"/>
      <c r="B1162" s="9"/>
      <c r="C1162" s="8"/>
      <c r="D1162" s="9"/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11" t="s">
        <v>260</v>
      </c>
    </row>
    <row r="1163" spans="1:46" ht="15.1" customHeight="1">
      <c r="A1163" s="8"/>
      <c r="B1163" s="9"/>
      <c r="C1163" s="8"/>
      <c r="D1163" s="9"/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11" t="s">
        <v>260</v>
      </c>
    </row>
    <row r="1164" spans="1:46" ht="15.1" customHeight="1">
      <c r="A1164" s="8">
        <v>387</v>
      </c>
      <c r="B1164" s="9" t="s">
        <v>2833</v>
      </c>
      <c r="C1164" s="8" t="s">
        <v>2834</v>
      </c>
      <c r="D1164" s="9" t="s">
        <v>266</v>
      </c>
      <c r="E1164" s="8" t="s">
        <v>54</v>
      </c>
      <c r="F1164" s="8" t="s">
        <v>54</v>
      </c>
      <c r="G1164" s="10" t="s">
        <v>67</v>
      </c>
      <c r="H1164" s="12" t="s">
        <v>55</v>
      </c>
      <c r="I1164" s="8" t="s">
        <v>54</v>
      </c>
      <c r="J1164" s="8" t="s">
        <v>54</v>
      </c>
      <c r="K1164" s="8" t="s">
        <v>54</v>
      </c>
      <c r="L1164" s="8" t="s">
        <v>54</v>
      </c>
      <c r="M1164" s="8" t="s">
        <v>54</v>
      </c>
      <c r="N1164" s="10" t="s">
        <v>67</v>
      </c>
      <c r="O1164" s="8" t="s">
        <v>54</v>
      </c>
      <c r="P1164" s="8" t="s">
        <v>54</v>
      </c>
      <c r="Q1164" s="8" t="s">
        <v>54</v>
      </c>
      <c r="R1164" s="8" t="s">
        <v>54</v>
      </c>
      <c r="S1164" s="8" t="s">
        <v>54</v>
      </c>
      <c r="T1164" s="8" t="s">
        <v>54</v>
      </c>
      <c r="U1164" s="10" t="s">
        <v>67</v>
      </c>
      <c r="V1164" s="8" t="s">
        <v>54</v>
      </c>
      <c r="W1164" s="8" t="s">
        <v>54</v>
      </c>
      <c r="X1164" s="8" t="s">
        <v>54</v>
      </c>
      <c r="Y1164" s="8" t="s">
        <v>54</v>
      </c>
      <c r="Z1164" s="8" t="s">
        <v>54</v>
      </c>
      <c r="AA1164" s="8" t="s">
        <v>54</v>
      </c>
      <c r="AB1164" s="10" t="s">
        <v>67</v>
      </c>
      <c r="AC1164" s="8" t="s">
        <v>54</v>
      </c>
      <c r="AD1164" s="8" t="s">
        <v>54</v>
      </c>
      <c r="AE1164" s="8" t="s">
        <v>54</v>
      </c>
      <c r="AF1164" s="8" t="s">
        <v>54</v>
      </c>
      <c r="AG1164" s="8" t="s">
        <v>54</v>
      </c>
      <c r="AH1164" s="8" t="s">
        <v>54</v>
      </c>
      <c r="AI1164" s="10" t="s">
        <v>67</v>
      </c>
      <c r="AJ1164" s="8">
        <f>COUNTIF($E$1164:$AI$1164,"P")</f>
        <v>25</v>
      </c>
      <c r="AK1164" s="8">
        <f>COUNTIF($E$1164:$AI$1164,"A")</f>
        <v>1</v>
      </c>
      <c r="AL1164" s="8">
        <f>SUM($E$1165:$AI$1165)</f>
        <v>0</v>
      </c>
      <c r="AM1164" s="8">
        <f>SUM($E$1166:$AI$1166)</f>
        <v>0</v>
      </c>
      <c r="AN1164" s="8">
        <f>AL1164+AM1164</f>
        <v>0</v>
      </c>
      <c r="AO1164" s="8">
        <f>COUNTIF($E$1164:$AI$1164,"CL")</f>
        <v>0</v>
      </c>
      <c r="AP1164" s="8">
        <f>COUNTIF($E$1164:$AI$1164,"SL")</f>
        <v>0</v>
      </c>
      <c r="AQ1164" s="8">
        <f>COUNTIF($E$1164:$AI$1164,"EL")</f>
        <v>0</v>
      </c>
      <c r="AR1164" s="8">
        <f>COUNTIF($E$1164:$AI$1164,"H")</f>
        <v>0</v>
      </c>
      <c r="AS1164" s="8"/>
      <c r="AT1164" s="11" t="s">
        <v>260</v>
      </c>
    </row>
    <row r="1165" spans="1:46" ht="15.1" customHeight="1">
      <c r="A1165" s="8"/>
      <c r="B1165" s="9"/>
      <c r="C1165" s="8"/>
      <c r="D1165" s="9"/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11" t="s">
        <v>260</v>
      </c>
    </row>
    <row r="1166" spans="1:46" ht="15.1" customHeight="1">
      <c r="A1166" s="8"/>
      <c r="B1166" s="9"/>
      <c r="C1166" s="8"/>
      <c r="D1166" s="9"/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11" t="s">
        <v>260</v>
      </c>
    </row>
    <row r="1167" spans="1:46" ht="15.1" customHeight="1">
      <c r="A1167" s="8">
        <v>388</v>
      </c>
      <c r="B1167" s="9" t="s">
        <v>2835</v>
      </c>
      <c r="C1167" s="8" t="s">
        <v>2836</v>
      </c>
      <c r="D1167" s="9" t="s">
        <v>266</v>
      </c>
      <c r="E1167" s="8" t="s">
        <v>54</v>
      </c>
      <c r="F1167" s="8" t="s">
        <v>54</v>
      </c>
      <c r="G1167" s="10" t="s">
        <v>67</v>
      </c>
      <c r="H1167" s="12" t="s">
        <v>55</v>
      </c>
      <c r="I1167" s="12" t="s">
        <v>55</v>
      </c>
      <c r="J1167" s="8" t="s">
        <v>54</v>
      </c>
      <c r="K1167" s="8" t="s">
        <v>54</v>
      </c>
      <c r="L1167" s="8" t="s">
        <v>54</v>
      </c>
      <c r="M1167" s="8" t="s">
        <v>54</v>
      </c>
      <c r="N1167" s="10" t="s">
        <v>67</v>
      </c>
      <c r="O1167" s="8" t="s">
        <v>54</v>
      </c>
      <c r="P1167" s="8" t="s">
        <v>54</v>
      </c>
      <c r="Q1167" s="8" t="s">
        <v>54</v>
      </c>
      <c r="R1167" s="8" t="s">
        <v>54</v>
      </c>
      <c r="S1167" s="8" t="s">
        <v>54</v>
      </c>
      <c r="T1167" s="8" t="s">
        <v>54</v>
      </c>
      <c r="U1167" s="10" t="s">
        <v>67</v>
      </c>
      <c r="V1167" s="8" t="s">
        <v>54</v>
      </c>
      <c r="W1167" s="8" t="s">
        <v>54</v>
      </c>
      <c r="X1167" s="8" t="s">
        <v>54</v>
      </c>
      <c r="Y1167" s="8" t="s">
        <v>54</v>
      </c>
      <c r="Z1167" s="8" t="s">
        <v>54</v>
      </c>
      <c r="AA1167" s="8" t="s">
        <v>54</v>
      </c>
      <c r="AB1167" s="10" t="s">
        <v>67</v>
      </c>
      <c r="AC1167" s="12" t="s">
        <v>55</v>
      </c>
      <c r="AD1167" s="8" t="s">
        <v>54</v>
      </c>
      <c r="AE1167" s="8" t="s">
        <v>54</v>
      </c>
      <c r="AF1167" s="8" t="s">
        <v>54</v>
      </c>
      <c r="AG1167" s="8" t="s">
        <v>54</v>
      </c>
      <c r="AH1167" s="8" t="s">
        <v>54</v>
      </c>
      <c r="AI1167" s="10" t="s">
        <v>67</v>
      </c>
      <c r="AJ1167" s="8">
        <f>COUNTIF($E$1167:$AI$1167,"P")</f>
        <v>23</v>
      </c>
      <c r="AK1167" s="8">
        <f>COUNTIF($E$1167:$AI$1167,"A")</f>
        <v>3</v>
      </c>
      <c r="AL1167" s="8">
        <f>SUM($E$1168:$AI$1168)</f>
        <v>0</v>
      </c>
      <c r="AM1167" s="8">
        <f>SUM($E$1169:$AI$1169)</f>
        <v>0</v>
      </c>
      <c r="AN1167" s="8">
        <f>AL1167+AM1167</f>
        <v>0</v>
      </c>
      <c r="AO1167" s="8">
        <f>COUNTIF($E$1167:$AI$1167,"CL")</f>
        <v>0</v>
      </c>
      <c r="AP1167" s="8">
        <f>COUNTIF($E$1167:$AI$1167,"SL")</f>
        <v>0</v>
      </c>
      <c r="AQ1167" s="8">
        <f>COUNTIF($E$1167:$AI$1167,"EL")</f>
        <v>0</v>
      </c>
      <c r="AR1167" s="8">
        <f>COUNTIF($E$1167:$AI$1167,"H")</f>
        <v>0</v>
      </c>
      <c r="AS1167" s="8"/>
      <c r="AT1167" s="11" t="s">
        <v>260</v>
      </c>
    </row>
    <row r="1168" spans="1:46" ht="15.1" customHeight="1">
      <c r="A1168" s="8"/>
      <c r="B1168" s="9"/>
      <c r="C1168" s="8"/>
      <c r="D1168" s="9"/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11" t="s">
        <v>260</v>
      </c>
    </row>
    <row r="1169" spans="1:46" ht="15.1" customHeight="1">
      <c r="A1169" s="8"/>
      <c r="B1169" s="9"/>
      <c r="C1169" s="8"/>
      <c r="D1169" s="9"/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11" t="s">
        <v>260</v>
      </c>
    </row>
    <row r="1170" spans="1:46" ht="15.1" customHeight="1">
      <c r="A1170" s="8">
        <v>389</v>
      </c>
      <c r="B1170" s="9" t="s">
        <v>2837</v>
      </c>
      <c r="C1170" s="8" t="s">
        <v>2838</v>
      </c>
      <c r="D1170" s="9" t="s">
        <v>266</v>
      </c>
      <c r="E1170" s="8" t="s">
        <v>54</v>
      </c>
      <c r="F1170" s="8" t="s">
        <v>54</v>
      </c>
      <c r="G1170" s="10" t="s">
        <v>67</v>
      </c>
      <c r="H1170" s="8" t="s">
        <v>54</v>
      </c>
      <c r="I1170" s="8" t="s">
        <v>54</v>
      </c>
      <c r="J1170" s="8" t="s">
        <v>54</v>
      </c>
      <c r="K1170" s="8" t="s">
        <v>54</v>
      </c>
      <c r="L1170" s="8" t="s">
        <v>54</v>
      </c>
      <c r="M1170" s="8" t="s">
        <v>54</v>
      </c>
      <c r="N1170" s="10" t="s">
        <v>67</v>
      </c>
      <c r="O1170" s="8" t="s">
        <v>54</v>
      </c>
      <c r="P1170" s="8" t="s">
        <v>54</v>
      </c>
      <c r="Q1170" s="8" t="s">
        <v>54</v>
      </c>
      <c r="R1170" s="8" t="s">
        <v>54</v>
      </c>
      <c r="S1170" s="8" t="s">
        <v>54</v>
      </c>
      <c r="T1170" s="8" t="s">
        <v>54</v>
      </c>
      <c r="U1170" s="10" t="s">
        <v>67</v>
      </c>
      <c r="V1170" s="8" t="s">
        <v>54</v>
      </c>
      <c r="W1170" s="8" t="s">
        <v>54</v>
      </c>
      <c r="X1170" s="8" t="s">
        <v>54</v>
      </c>
      <c r="Y1170" s="8" t="s">
        <v>54</v>
      </c>
      <c r="Z1170" s="8" t="s">
        <v>54</v>
      </c>
      <c r="AA1170" s="8" t="s">
        <v>54</v>
      </c>
      <c r="AB1170" s="10" t="s">
        <v>67</v>
      </c>
      <c r="AC1170" s="8" t="s">
        <v>54</v>
      </c>
      <c r="AD1170" s="8" t="s">
        <v>54</v>
      </c>
      <c r="AE1170" s="8" t="s">
        <v>54</v>
      </c>
      <c r="AF1170" s="8" t="s">
        <v>54</v>
      </c>
      <c r="AG1170" s="8" t="s">
        <v>54</v>
      </c>
      <c r="AH1170" s="8" t="s">
        <v>54</v>
      </c>
      <c r="AI1170" s="10" t="s">
        <v>67</v>
      </c>
      <c r="AJ1170" s="8">
        <f>COUNTIF($E$1170:$AI$1170,"P")</f>
        <v>26</v>
      </c>
      <c r="AK1170" s="8">
        <f>COUNTIF($E$1170:$AI$1170,"A")</f>
        <v>0</v>
      </c>
      <c r="AL1170" s="8">
        <f>SUM($E$1171:$AI$1171)</f>
        <v>0</v>
      </c>
      <c r="AM1170" s="8">
        <f>SUM($E$1172:$AI$1172)</f>
        <v>0</v>
      </c>
      <c r="AN1170" s="8">
        <f>AL1170+AM1170</f>
        <v>0</v>
      </c>
      <c r="AO1170" s="8">
        <f>COUNTIF($E$1170:$AI$1170,"CL")</f>
        <v>0</v>
      </c>
      <c r="AP1170" s="8">
        <f>COUNTIF($E$1170:$AI$1170,"SL")</f>
        <v>0</v>
      </c>
      <c r="AQ1170" s="8">
        <f>COUNTIF($E$1170:$AI$1170,"EL")</f>
        <v>0</v>
      </c>
      <c r="AR1170" s="8">
        <f>COUNTIF($E$1170:$AI$1170,"H")</f>
        <v>0</v>
      </c>
      <c r="AS1170" s="8"/>
      <c r="AT1170" s="11" t="s">
        <v>260</v>
      </c>
    </row>
    <row r="1171" spans="1:46" ht="15.1" customHeight="1">
      <c r="A1171" s="8"/>
      <c r="B1171" s="9"/>
      <c r="C1171" s="8"/>
      <c r="D1171" s="9"/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11" t="s">
        <v>260</v>
      </c>
    </row>
    <row r="1172" spans="1:46" ht="15.1" customHeight="1">
      <c r="A1172" s="8"/>
      <c r="B1172" s="9"/>
      <c r="C1172" s="8"/>
      <c r="D1172" s="9"/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11" t="s">
        <v>260</v>
      </c>
    </row>
    <row r="1173" spans="1:46" ht="15.1" customHeight="1">
      <c r="A1173" s="8">
        <v>390</v>
      </c>
      <c r="B1173" s="9" t="s">
        <v>2839</v>
      </c>
      <c r="C1173" s="8" t="s">
        <v>2840</v>
      </c>
      <c r="D1173" s="9" t="s">
        <v>266</v>
      </c>
      <c r="E1173" s="12" t="s">
        <v>55</v>
      </c>
      <c r="F1173" s="8" t="s">
        <v>54</v>
      </c>
      <c r="G1173" s="10" t="s">
        <v>67</v>
      </c>
      <c r="H1173" s="8" t="s">
        <v>54</v>
      </c>
      <c r="I1173" s="8" t="s">
        <v>54</v>
      </c>
      <c r="J1173" s="8" t="s">
        <v>54</v>
      </c>
      <c r="K1173" s="8" t="s">
        <v>54</v>
      </c>
      <c r="L1173" s="8" t="s">
        <v>54</v>
      </c>
      <c r="M1173" s="8" t="s">
        <v>54</v>
      </c>
      <c r="N1173" s="10" t="s">
        <v>67</v>
      </c>
      <c r="O1173" s="8" t="s">
        <v>54</v>
      </c>
      <c r="P1173" s="8" t="s">
        <v>54</v>
      </c>
      <c r="Q1173" s="8" t="s">
        <v>54</v>
      </c>
      <c r="R1173" s="8" t="s">
        <v>54</v>
      </c>
      <c r="S1173" s="8" t="s">
        <v>54</v>
      </c>
      <c r="T1173" s="8" t="s">
        <v>54</v>
      </c>
      <c r="U1173" s="10" t="s">
        <v>67</v>
      </c>
      <c r="V1173" s="8" t="s">
        <v>54</v>
      </c>
      <c r="W1173" s="8" t="s">
        <v>54</v>
      </c>
      <c r="X1173" s="8" t="s">
        <v>54</v>
      </c>
      <c r="Y1173" s="8" t="s">
        <v>54</v>
      </c>
      <c r="Z1173" s="8" t="s">
        <v>54</v>
      </c>
      <c r="AA1173" s="8" t="s">
        <v>54</v>
      </c>
      <c r="AB1173" s="10" t="s">
        <v>67</v>
      </c>
      <c r="AC1173" s="8" t="s">
        <v>54</v>
      </c>
      <c r="AD1173" s="8" t="s">
        <v>54</v>
      </c>
      <c r="AE1173" s="8" t="s">
        <v>54</v>
      </c>
      <c r="AF1173" s="8" t="s">
        <v>54</v>
      </c>
      <c r="AG1173" s="8" t="s">
        <v>54</v>
      </c>
      <c r="AH1173" s="8" t="s">
        <v>54</v>
      </c>
      <c r="AI1173" s="10" t="s">
        <v>67</v>
      </c>
      <c r="AJ1173" s="8">
        <f>COUNTIF($E$1173:$AI$1173,"P")</f>
        <v>25</v>
      </c>
      <c r="AK1173" s="8">
        <f>COUNTIF($E$1173:$AI$1173,"A")</f>
        <v>1</v>
      </c>
      <c r="AL1173" s="8">
        <f>SUM($E$1174:$AI$1174)</f>
        <v>0</v>
      </c>
      <c r="AM1173" s="8">
        <f>SUM($E$1175:$AI$1175)</f>
        <v>0</v>
      </c>
      <c r="AN1173" s="8">
        <f>AL1173+AM1173</f>
        <v>0</v>
      </c>
      <c r="AO1173" s="8">
        <f>COUNTIF($E$1173:$AI$1173,"CL")</f>
        <v>0</v>
      </c>
      <c r="AP1173" s="8">
        <f>COUNTIF($E$1173:$AI$1173,"SL")</f>
        <v>0</v>
      </c>
      <c r="AQ1173" s="8">
        <f>COUNTIF($E$1173:$AI$1173,"EL")</f>
        <v>0</v>
      </c>
      <c r="AR1173" s="8">
        <f>COUNTIF($E$1173:$AI$1173,"H")</f>
        <v>0</v>
      </c>
      <c r="AS1173" s="8"/>
      <c r="AT1173" s="11" t="s">
        <v>260</v>
      </c>
    </row>
    <row r="1174" spans="1:46" ht="15.1" customHeight="1">
      <c r="A1174" s="8"/>
      <c r="B1174" s="9"/>
      <c r="C1174" s="8"/>
      <c r="D1174" s="9"/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11" t="s">
        <v>260</v>
      </c>
    </row>
    <row r="1175" spans="1:46" ht="15.1" customHeight="1">
      <c r="A1175" s="8"/>
      <c r="B1175" s="9"/>
      <c r="C1175" s="8"/>
      <c r="D1175" s="9"/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11" t="s">
        <v>260</v>
      </c>
    </row>
    <row r="1176" spans="1:46" ht="15.1" customHeight="1">
      <c r="A1176" s="8">
        <v>391</v>
      </c>
      <c r="B1176" s="9" t="s">
        <v>721</v>
      </c>
      <c r="C1176" s="8" t="s">
        <v>2841</v>
      </c>
      <c r="D1176" s="9" t="s">
        <v>266</v>
      </c>
      <c r="E1176" s="8" t="s">
        <v>54</v>
      </c>
      <c r="F1176" s="8" t="s">
        <v>54</v>
      </c>
      <c r="G1176" s="10" t="s">
        <v>67</v>
      </c>
      <c r="H1176" s="8" t="s">
        <v>54</v>
      </c>
      <c r="I1176" s="8" t="s">
        <v>54</v>
      </c>
      <c r="J1176" s="8" t="s">
        <v>54</v>
      </c>
      <c r="K1176" s="8" t="s">
        <v>54</v>
      </c>
      <c r="L1176" s="8" t="s">
        <v>54</v>
      </c>
      <c r="M1176" s="8" t="s">
        <v>54</v>
      </c>
      <c r="N1176" s="10" t="s">
        <v>67</v>
      </c>
      <c r="O1176" s="8" t="s">
        <v>54</v>
      </c>
      <c r="P1176" s="8" t="s">
        <v>54</v>
      </c>
      <c r="Q1176" s="8" t="s">
        <v>54</v>
      </c>
      <c r="R1176" s="8" t="s">
        <v>54</v>
      </c>
      <c r="S1176" s="8" t="s">
        <v>54</v>
      </c>
      <c r="T1176" s="8" t="s">
        <v>54</v>
      </c>
      <c r="U1176" s="10" t="s">
        <v>67</v>
      </c>
      <c r="V1176" s="8" t="s">
        <v>54</v>
      </c>
      <c r="W1176" s="8" t="s">
        <v>54</v>
      </c>
      <c r="X1176" s="8" t="s">
        <v>54</v>
      </c>
      <c r="Y1176" s="8" t="s">
        <v>54</v>
      </c>
      <c r="Z1176" s="8" t="s">
        <v>54</v>
      </c>
      <c r="AA1176" s="8" t="s">
        <v>54</v>
      </c>
      <c r="AB1176" s="10" t="s">
        <v>67</v>
      </c>
      <c r="AC1176" s="8" t="s">
        <v>54</v>
      </c>
      <c r="AD1176" s="8" t="s">
        <v>54</v>
      </c>
      <c r="AE1176" s="8" t="s">
        <v>54</v>
      </c>
      <c r="AF1176" s="8" t="s">
        <v>54</v>
      </c>
      <c r="AG1176" s="8" t="s">
        <v>54</v>
      </c>
      <c r="AH1176" s="8" t="s">
        <v>54</v>
      </c>
      <c r="AI1176" s="10" t="s">
        <v>67</v>
      </c>
      <c r="AJ1176" s="8">
        <f>COUNTIF($E$1176:$AI$1176,"P")</f>
        <v>26</v>
      </c>
      <c r="AK1176" s="8">
        <f>COUNTIF($E$1176:$AI$1176,"A")</f>
        <v>0</v>
      </c>
      <c r="AL1176" s="8">
        <f>SUM($E$1177:$AI$1177)</f>
        <v>0</v>
      </c>
      <c r="AM1176" s="8">
        <f>SUM($E$1178:$AI$1178)</f>
        <v>0</v>
      </c>
      <c r="AN1176" s="8">
        <f>AL1176+AM1176</f>
        <v>0</v>
      </c>
      <c r="AO1176" s="8">
        <f>COUNTIF($E$1176:$AI$1176,"CL")</f>
        <v>0</v>
      </c>
      <c r="AP1176" s="8">
        <f>COUNTIF($E$1176:$AI$1176,"SL")</f>
        <v>0</v>
      </c>
      <c r="AQ1176" s="8">
        <f>COUNTIF($E$1176:$AI$1176,"EL")</f>
        <v>0</v>
      </c>
      <c r="AR1176" s="8">
        <f>COUNTIF($E$1176:$AI$1176,"H")</f>
        <v>0</v>
      </c>
      <c r="AS1176" s="8"/>
      <c r="AT1176" s="11" t="s">
        <v>260</v>
      </c>
    </row>
    <row r="1177" spans="1:46" ht="15.1" customHeight="1">
      <c r="A1177" s="8"/>
      <c r="B1177" s="9"/>
      <c r="C1177" s="8"/>
      <c r="D1177" s="9"/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11" t="s">
        <v>260</v>
      </c>
    </row>
    <row r="1178" spans="1:46" ht="15.1" customHeight="1">
      <c r="A1178" s="8"/>
      <c r="B1178" s="9"/>
      <c r="C1178" s="8"/>
      <c r="D1178" s="9"/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11" t="s">
        <v>260</v>
      </c>
    </row>
    <row r="1179" spans="1:46" ht="15.1" customHeight="1">
      <c r="A1179" s="8">
        <v>392</v>
      </c>
      <c r="B1179" s="9" t="s">
        <v>2842</v>
      </c>
      <c r="C1179" s="8" t="s">
        <v>2843</v>
      </c>
      <c r="D1179" s="9" t="s">
        <v>266</v>
      </c>
      <c r="E1179" s="8" t="s">
        <v>54</v>
      </c>
      <c r="F1179" s="8" t="s">
        <v>54</v>
      </c>
      <c r="G1179" s="10" t="s">
        <v>67</v>
      </c>
      <c r="H1179" s="8" t="s">
        <v>54</v>
      </c>
      <c r="I1179" s="8" t="s">
        <v>54</v>
      </c>
      <c r="J1179" s="8" t="s">
        <v>54</v>
      </c>
      <c r="K1179" s="8" t="s">
        <v>54</v>
      </c>
      <c r="L1179" s="8" t="s">
        <v>54</v>
      </c>
      <c r="M1179" s="8" t="s">
        <v>54</v>
      </c>
      <c r="N1179" s="10" t="s">
        <v>67</v>
      </c>
      <c r="O1179" s="8" t="s">
        <v>54</v>
      </c>
      <c r="P1179" s="8" t="s">
        <v>54</v>
      </c>
      <c r="Q1179" s="8" t="s">
        <v>54</v>
      </c>
      <c r="R1179" s="12" t="s">
        <v>55</v>
      </c>
      <c r="S1179" s="8" t="s">
        <v>54</v>
      </c>
      <c r="T1179" s="8" t="s">
        <v>54</v>
      </c>
      <c r="U1179" s="10" t="s">
        <v>67</v>
      </c>
      <c r="V1179" s="8" t="s">
        <v>54</v>
      </c>
      <c r="W1179" s="8" t="s">
        <v>54</v>
      </c>
      <c r="X1179" s="8" t="s">
        <v>54</v>
      </c>
      <c r="Y1179" s="8" t="s">
        <v>54</v>
      </c>
      <c r="Z1179" s="8" t="s">
        <v>54</v>
      </c>
      <c r="AA1179" s="8" t="s">
        <v>54</v>
      </c>
      <c r="AB1179" s="10" t="s">
        <v>67</v>
      </c>
      <c r="AC1179" s="8" t="s">
        <v>54</v>
      </c>
      <c r="AD1179" s="8" t="s">
        <v>54</v>
      </c>
      <c r="AE1179" s="8" t="s">
        <v>54</v>
      </c>
      <c r="AF1179" s="8" t="s">
        <v>54</v>
      </c>
      <c r="AG1179" s="8" t="s">
        <v>54</v>
      </c>
      <c r="AH1179" s="8" t="s">
        <v>54</v>
      </c>
      <c r="AI1179" s="10" t="s">
        <v>67</v>
      </c>
      <c r="AJ1179" s="8">
        <f>COUNTIF($E$1179:$AI$1179,"P")</f>
        <v>25</v>
      </c>
      <c r="AK1179" s="8">
        <f>COUNTIF($E$1179:$AI$1179,"A")</f>
        <v>1</v>
      </c>
      <c r="AL1179" s="8">
        <f>SUM($E$1180:$AI$1180)</f>
        <v>0</v>
      </c>
      <c r="AM1179" s="8">
        <f>SUM($E$1181:$AI$1181)</f>
        <v>0</v>
      </c>
      <c r="AN1179" s="8">
        <f>AL1179+AM1179</f>
        <v>0</v>
      </c>
      <c r="AO1179" s="8">
        <f>COUNTIF($E$1179:$AI$1179,"CL")</f>
        <v>0</v>
      </c>
      <c r="AP1179" s="8">
        <f>COUNTIF($E$1179:$AI$1179,"SL")</f>
        <v>0</v>
      </c>
      <c r="AQ1179" s="8">
        <f>COUNTIF($E$1179:$AI$1179,"EL")</f>
        <v>0</v>
      </c>
      <c r="AR1179" s="8">
        <f>COUNTIF($E$1179:$AI$1179,"H")</f>
        <v>0</v>
      </c>
      <c r="AS1179" s="8"/>
      <c r="AT1179" s="11" t="s">
        <v>260</v>
      </c>
    </row>
    <row r="1180" spans="1:46" ht="15.1" customHeight="1">
      <c r="A1180" s="8"/>
      <c r="B1180" s="9"/>
      <c r="C1180" s="8"/>
      <c r="D1180" s="9"/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11" t="s">
        <v>260</v>
      </c>
    </row>
    <row r="1181" spans="1:46" ht="15.1" customHeight="1">
      <c r="A1181" s="8"/>
      <c r="B1181" s="9"/>
      <c r="C1181" s="8"/>
      <c r="D1181" s="9"/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11" t="s">
        <v>260</v>
      </c>
    </row>
    <row r="1182" spans="1:46" ht="15.1" customHeight="1">
      <c r="A1182" s="8">
        <v>393</v>
      </c>
      <c r="B1182" s="9" t="s">
        <v>2844</v>
      </c>
      <c r="C1182" s="8" t="s">
        <v>2845</v>
      </c>
      <c r="D1182" s="9" t="s">
        <v>266</v>
      </c>
      <c r="E1182" s="8" t="s">
        <v>54</v>
      </c>
      <c r="F1182" s="8" t="s">
        <v>54</v>
      </c>
      <c r="G1182" s="10" t="s">
        <v>67</v>
      </c>
      <c r="H1182" s="8" t="s">
        <v>54</v>
      </c>
      <c r="I1182" s="8" t="s">
        <v>54</v>
      </c>
      <c r="J1182" s="8" t="s">
        <v>54</v>
      </c>
      <c r="K1182" s="8" t="s">
        <v>54</v>
      </c>
      <c r="L1182" s="8" t="s">
        <v>54</v>
      </c>
      <c r="M1182" s="8" t="s">
        <v>54</v>
      </c>
      <c r="N1182" s="10" t="s">
        <v>67</v>
      </c>
      <c r="O1182" s="8" t="s">
        <v>54</v>
      </c>
      <c r="P1182" s="12" t="s">
        <v>55</v>
      </c>
      <c r="Q1182" s="8" t="s">
        <v>54</v>
      </c>
      <c r="R1182" s="8" t="s">
        <v>54</v>
      </c>
      <c r="S1182" s="8" t="s">
        <v>54</v>
      </c>
      <c r="T1182" s="8" t="s">
        <v>54</v>
      </c>
      <c r="U1182" s="10" t="s">
        <v>67</v>
      </c>
      <c r="V1182" s="12" t="s">
        <v>55</v>
      </c>
      <c r="W1182" s="12" t="s">
        <v>55</v>
      </c>
      <c r="X1182" s="8" t="s">
        <v>54</v>
      </c>
      <c r="Y1182" s="8" t="s">
        <v>54</v>
      </c>
      <c r="Z1182" s="8" t="s">
        <v>54</v>
      </c>
      <c r="AA1182" s="8" t="s">
        <v>54</v>
      </c>
      <c r="AB1182" s="10" t="s">
        <v>67</v>
      </c>
      <c r="AC1182" s="8" t="s">
        <v>54</v>
      </c>
      <c r="AD1182" s="8" t="s">
        <v>54</v>
      </c>
      <c r="AE1182" s="8" t="s">
        <v>54</v>
      </c>
      <c r="AF1182" s="8" t="s">
        <v>54</v>
      </c>
      <c r="AG1182" s="8" t="s">
        <v>54</v>
      </c>
      <c r="AH1182" s="8" t="s">
        <v>54</v>
      </c>
      <c r="AI1182" s="10" t="s">
        <v>67</v>
      </c>
      <c r="AJ1182" s="8">
        <f>COUNTIF($E$1182:$AI$1182,"P")</f>
        <v>23</v>
      </c>
      <c r="AK1182" s="8">
        <f>COUNTIF($E$1182:$AI$1182,"A")</f>
        <v>3</v>
      </c>
      <c r="AL1182" s="8">
        <f>SUM($E$1183:$AI$1183)</f>
        <v>0</v>
      </c>
      <c r="AM1182" s="8">
        <f>SUM($E$1184:$AI$1184)</f>
        <v>0</v>
      </c>
      <c r="AN1182" s="8">
        <f>AL1182+AM1182</f>
        <v>0</v>
      </c>
      <c r="AO1182" s="8">
        <f>COUNTIF($E$1182:$AI$1182,"CL")</f>
        <v>0</v>
      </c>
      <c r="AP1182" s="8">
        <f>COUNTIF($E$1182:$AI$1182,"SL")</f>
        <v>0</v>
      </c>
      <c r="AQ1182" s="8">
        <f>COUNTIF($E$1182:$AI$1182,"EL")</f>
        <v>0</v>
      </c>
      <c r="AR1182" s="8">
        <f>COUNTIF($E$1182:$AI$1182,"H")</f>
        <v>0</v>
      </c>
      <c r="AS1182" s="8"/>
      <c r="AT1182" s="11" t="s">
        <v>260</v>
      </c>
    </row>
    <row r="1183" spans="1:46" ht="15.1" customHeight="1">
      <c r="A1183" s="8"/>
      <c r="B1183" s="9"/>
      <c r="C1183" s="8"/>
      <c r="D1183" s="9"/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11" t="s">
        <v>260</v>
      </c>
    </row>
    <row r="1184" spans="1:46" ht="15.1" customHeight="1">
      <c r="A1184" s="8"/>
      <c r="B1184" s="9"/>
      <c r="C1184" s="8"/>
      <c r="D1184" s="9"/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11" t="s">
        <v>260</v>
      </c>
    </row>
    <row r="1185" spans="1:46" ht="15.1" customHeight="1">
      <c r="A1185" s="8">
        <v>394</v>
      </c>
      <c r="B1185" s="9" t="s">
        <v>1537</v>
      </c>
      <c r="C1185" s="8" t="s">
        <v>2846</v>
      </c>
      <c r="D1185" s="9" t="s">
        <v>266</v>
      </c>
      <c r="E1185" s="8" t="s">
        <v>54</v>
      </c>
      <c r="F1185" s="8" t="s">
        <v>54</v>
      </c>
      <c r="G1185" s="10" t="s">
        <v>67</v>
      </c>
      <c r="H1185" s="8" t="s">
        <v>54</v>
      </c>
      <c r="I1185" s="8" t="s">
        <v>54</v>
      </c>
      <c r="J1185" s="8" t="s">
        <v>54</v>
      </c>
      <c r="K1185" s="8" t="s">
        <v>54</v>
      </c>
      <c r="L1185" s="8" t="s">
        <v>54</v>
      </c>
      <c r="M1185" s="8" t="s">
        <v>54</v>
      </c>
      <c r="N1185" s="10" t="s">
        <v>67</v>
      </c>
      <c r="O1185" s="8" t="s">
        <v>54</v>
      </c>
      <c r="P1185" s="8" t="s">
        <v>54</v>
      </c>
      <c r="Q1185" s="8" t="s">
        <v>54</v>
      </c>
      <c r="R1185" s="8" t="s">
        <v>54</v>
      </c>
      <c r="S1185" s="8" t="s">
        <v>54</v>
      </c>
      <c r="T1185" s="8" t="s">
        <v>54</v>
      </c>
      <c r="U1185" s="10" t="s">
        <v>67</v>
      </c>
      <c r="V1185" s="8" t="s">
        <v>54</v>
      </c>
      <c r="W1185" s="8" t="s">
        <v>54</v>
      </c>
      <c r="X1185" s="8" t="s">
        <v>54</v>
      </c>
      <c r="Y1185" s="8" t="s">
        <v>54</v>
      </c>
      <c r="Z1185" s="8" t="s">
        <v>54</v>
      </c>
      <c r="AA1185" s="8" t="s">
        <v>54</v>
      </c>
      <c r="AB1185" s="10" t="s">
        <v>67</v>
      </c>
      <c r="AC1185" s="8" t="s">
        <v>54</v>
      </c>
      <c r="AD1185" s="8" t="s">
        <v>54</v>
      </c>
      <c r="AE1185" s="8" t="s">
        <v>54</v>
      </c>
      <c r="AF1185" s="8" t="s">
        <v>54</v>
      </c>
      <c r="AG1185" s="8" t="s">
        <v>54</v>
      </c>
      <c r="AH1185" s="8" t="s">
        <v>54</v>
      </c>
      <c r="AI1185" s="10" t="s">
        <v>67</v>
      </c>
      <c r="AJ1185" s="8">
        <f>COUNTIF($E$1185:$AI$1185,"P")</f>
        <v>26</v>
      </c>
      <c r="AK1185" s="8">
        <f>COUNTIF($E$1185:$AI$1185,"A")</f>
        <v>0</v>
      </c>
      <c r="AL1185" s="8">
        <f>SUM($E$1186:$AI$1186)</f>
        <v>0</v>
      </c>
      <c r="AM1185" s="8">
        <f>SUM($E$1187:$AI$1187)</f>
        <v>0</v>
      </c>
      <c r="AN1185" s="8">
        <f>AL1185+AM1185</f>
        <v>0</v>
      </c>
      <c r="AO1185" s="8">
        <f>COUNTIF($E$1185:$AI$1185,"CL")</f>
        <v>0</v>
      </c>
      <c r="AP1185" s="8">
        <f>COUNTIF($E$1185:$AI$1185,"SL")</f>
        <v>0</v>
      </c>
      <c r="AQ1185" s="8">
        <f>COUNTIF($E$1185:$AI$1185,"EL")</f>
        <v>0</v>
      </c>
      <c r="AR1185" s="8">
        <f>COUNTIF($E$1185:$AI$1185,"H")</f>
        <v>0</v>
      </c>
      <c r="AS1185" s="8"/>
      <c r="AT1185" s="11" t="s">
        <v>260</v>
      </c>
    </row>
    <row r="1186" spans="1:46" ht="15.1" customHeight="1">
      <c r="A1186" s="8"/>
      <c r="B1186" s="9"/>
      <c r="C1186" s="8"/>
      <c r="D1186" s="9"/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11" t="s">
        <v>260</v>
      </c>
    </row>
    <row r="1187" spans="1:46" ht="15.1" customHeight="1">
      <c r="A1187" s="8"/>
      <c r="B1187" s="9"/>
      <c r="C1187" s="8"/>
      <c r="D1187" s="9"/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11" t="s">
        <v>260</v>
      </c>
    </row>
    <row r="1188" spans="1:46" ht="15.1" customHeight="1">
      <c r="A1188" s="8">
        <v>395</v>
      </c>
      <c r="B1188" s="9" t="s">
        <v>2847</v>
      </c>
      <c r="C1188" s="8" t="s">
        <v>2848</v>
      </c>
      <c r="D1188" s="9" t="s">
        <v>266</v>
      </c>
      <c r="E1188" s="8" t="s">
        <v>54</v>
      </c>
      <c r="F1188" s="8" t="s">
        <v>54</v>
      </c>
      <c r="G1188" s="10" t="s">
        <v>67</v>
      </c>
      <c r="H1188" s="12" t="s">
        <v>55</v>
      </c>
      <c r="I1188" s="8" t="s">
        <v>54</v>
      </c>
      <c r="J1188" s="8" t="s">
        <v>54</v>
      </c>
      <c r="K1188" s="8" t="s">
        <v>54</v>
      </c>
      <c r="L1188" s="8" t="s">
        <v>54</v>
      </c>
      <c r="M1188" s="8" t="s">
        <v>54</v>
      </c>
      <c r="N1188" s="10" t="s">
        <v>67</v>
      </c>
      <c r="O1188" s="8" t="s">
        <v>54</v>
      </c>
      <c r="P1188" s="8" t="s">
        <v>54</v>
      </c>
      <c r="Q1188" s="8" t="s">
        <v>54</v>
      </c>
      <c r="R1188" s="12" t="s">
        <v>55</v>
      </c>
      <c r="S1188" s="8" t="s">
        <v>54</v>
      </c>
      <c r="T1188" s="8" t="s">
        <v>54</v>
      </c>
      <c r="U1188" s="10" t="s">
        <v>67</v>
      </c>
      <c r="V1188" s="8" t="s">
        <v>54</v>
      </c>
      <c r="W1188" s="8" t="s">
        <v>54</v>
      </c>
      <c r="X1188" s="8" t="s">
        <v>54</v>
      </c>
      <c r="Y1188" s="8" t="s">
        <v>54</v>
      </c>
      <c r="Z1188" s="8" t="s">
        <v>54</v>
      </c>
      <c r="AA1188" s="8" t="s">
        <v>54</v>
      </c>
      <c r="AB1188" s="10" t="s">
        <v>67</v>
      </c>
      <c r="AC1188" s="8" t="s">
        <v>54</v>
      </c>
      <c r="AD1188" s="8" t="s">
        <v>54</v>
      </c>
      <c r="AE1188" s="8" t="s">
        <v>54</v>
      </c>
      <c r="AF1188" s="8" t="s">
        <v>54</v>
      </c>
      <c r="AG1188" s="8" t="s">
        <v>54</v>
      </c>
      <c r="AH1188" s="8" t="s">
        <v>54</v>
      </c>
      <c r="AI1188" s="10" t="s">
        <v>67</v>
      </c>
      <c r="AJ1188" s="8">
        <f>COUNTIF($E$1188:$AI$1188,"P")</f>
        <v>24</v>
      </c>
      <c r="AK1188" s="8">
        <f>COUNTIF($E$1188:$AI$1188,"A")</f>
        <v>2</v>
      </c>
      <c r="AL1188" s="8">
        <f>SUM($E$1189:$AI$1189)</f>
        <v>0</v>
      </c>
      <c r="AM1188" s="8">
        <f>SUM($E$1190:$AI$1190)</f>
        <v>0</v>
      </c>
      <c r="AN1188" s="8">
        <f>AL1188+AM1188</f>
        <v>0</v>
      </c>
      <c r="AO1188" s="8">
        <f>COUNTIF($E$1188:$AI$1188,"CL")</f>
        <v>0</v>
      </c>
      <c r="AP1188" s="8">
        <f>COUNTIF($E$1188:$AI$1188,"SL")</f>
        <v>0</v>
      </c>
      <c r="AQ1188" s="8">
        <f>COUNTIF($E$1188:$AI$1188,"EL")</f>
        <v>0</v>
      </c>
      <c r="AR1188" s="8">
        <f>COUNTIF($E$1188:$AI$1188,"H")</f>
        <v>0</v>
      </c>
      <c r="AS1188" s="8"/>
      <c r="AT1188" s="11" t="s">
        <v>260</v>
      </c>
    </row>
    <row r="1189" spans="1:46" ht="15.1" customHeight="1">
      <c r="A1189" s="8"/>
      <c r="B1189" s="9"/>
      <c r="C1189" s="8"/>
      <c r="D1189" s="9"/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11" t="s">
        <v>260</v>
      </c>
    </row>
    <row r="1190" spans="1:46" ht="15.1" customHeight="1">
      <c r="A1190" s="8"/>
      <c r="B1190" s="9"/>
      <c r="C1190" s="8"/>
      <c r="D1190" s="9"/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11" t="s">
        <v>260</v>
      </c>
    </row>
    <row r="1191" spans="1:46" ht="15.1" customHeight="1">
      <c r="A1191" s="8">
        <v>396</v>
      </c>
      <c r="B1191" s="9" t="s">
        <v>2849</v>
      </c>
      <c r="C1191" s="8" t="s">
        <v>2850</v>
      </c>
      <c r="D1191" s="9" t="s">
        <v>266</v>
      </c>
      <c r="E1191" s="8" t="s">
        <v>54</v>
      </c>
      <c r="F1191" s="8" t="s">
        <v>54</v>
      </c>
      <c r="G1191" s="10" t="s">
        <v>67</v>
      </c>
      <c r="H1191" s="8" t="s">
        <v>54</v>
      </c>
      <c r="I1191" s="8" t="s">
        <v>54</v>
      </c>
      <c r="J1191" s="8" t="s">
        <v>54</v>
      </c>
      <c r="K1191" s="8" t="s">
        <v>54</v>
      </c>
      <c r="L1191" s="8" t="s">
        <v>54</v>
      </c>
      <c r="M1191" s="8" t="s">
        <v>54</v>
      </c>
      <c r="N1191" s="10" t="s">
        <v>67</v>
      </c>
      <c r="O1191" s="8" t="s">
        <v>54</v>
      </c>
      <c r="P1191" s="8" t="s">
        <v>54</v>
      </c>
      <c r="Q1191" s="8" t="s">
        <v>54</v>
      </c>
      <c r="R1191" s="8" t="s">
        <v>54</v>
      </c>
      <c r="S1191" s="8" t="s">
        <v>54</v>
      </c>
      <c r="T1191" s="8" t="s">
        <v>54</v>
      </c>
      <c r="U1191" s="10" t="s">
        <v>67</v>
      </c>
      <c r="V1191" s="8" t="s">
        <v>54</v>
      </c>
      <c r="W1191" s="8" t="s">
        <v>54</v>
      </c>
      <c r="X1191" s="8" t="s">
        <v>54</v>
      </c>
      <c r="Y1191" s="8" t="s">
        <v>54</v>
      </c>
      <c r="Z1191" s="8" t="s">
        <v>54</v>
      </c>
      <c r="AA1191" s="8" t="s">
        <v>54</v>
      </c>
      <c r="AB1191" s="10" t="s">
        <v>67</v>
      </c>
      <c r="AC1191" s="8" t="s">
        <v>54</v>
      </c>
      <c r="AD1191" s="8" t="s">
        <v>54</v>
      </c>
      <c r="AE1191" s="8" t="s">
        <v>54</v>
      </c>
      <c r="AF1191" s="8" t="s">
        <v>54</v>
      </c>
      <c r="AG1191" s="8" t="s">
        <v>54</v>
      </c>
      <c r="AH1191" s="8" t="s">
        <v>54</v>
      </c>
      <c r="AI1191" s="10" t="s">
        <v>67</v>
      </c>
      <c r="AJ1191" s="8">
        <f>COUNTIF($E$1191:$AI$1191,"P")</f>
        <v>26</v>
      </c>
      <c r="AK1191" s="8">
        <f>COUNTIF($E$1191:$AI$1191,"A")</f>
        <v>0</v>
      </c>
      <c r="AL1191" s="8">
        <f>SUM($E$1192:$AI$1192)</f>
        <v>0</v>
      </c>
      <c r="AM1191" s="8">
        <f>SUM($E$1193:$AI$1193)</f>
        <v>0</v>
      </c>
      <c r="AN1191" s="8">
        <f>AL1191+AM1191</f>
        <v>0</v>
      </c>
      <c r="AO1191" s="8">
        <f>COUNTIF($E$1191:$AI$1191,"CL")</f>
        <v>0</v>
      </c>
      <c r="AP1191" s="8">
        <f>COUNTIF($E$1191:$AI$1191,"SL")</f>
        <v>0</v>
      </c>
      <c r="AQ1191" s="8">
        <f>COUNTIF($E$1191:$AI$1191,"EL")</f>
        <v>0</v>
      </c>
      <c r="AR1191" s="8">
        <f>COUNTIF($E$1191:$AI$1191,"H")</f>
        <v>0</v>
      </c>
      <c r="AS1191" s="8"/>
      <c r="AT1191" s="11" t="s">
        <v>260</v>
      </c>
    </row>
    <row r="1192" spans="1:46" ht="15.1" customHeight="1">
      <c r="A1192" s="8"/>
      <c r="B1192" s="9"/>
      <c r="C1192" s="8"/>
      <c r="D1192" s="9"/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11" t="s">
        <v>260</v>
      </c>
    </row>
    <row r="1193" spans="1:46" ht="15.1" customHeight="1">
      <c r="A1193" s="8"/>
      <c r="B1193" s="9"/>
      <c r="C1193" s="8"/>
      <c r="D1193" s="9"/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8">
        <v>0</v>
      </c>
      <c r="AH1193" s="8">
        <v>0</v>
      </c>
      <c r="AI1193" s="8">
        <v>0</v>
      </c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11" t="s">
        <v>260</v>
      </c>
    </row>
    <row r="1194" spans="1:46" ht="15.1" customHeight="1">
      <c r="A1194" s="8">
        <v>397</v>
      </c>
      <c r="B1194" s="9" t="s">
        <v>719</v>
      </c>
      <c r="C1194" s="8" t="s">
        <v>2851</v>
      </c>
      <c r="D1194" s="9" t="s">
        <v>266</v>
      </c>
      <c r="E1194" s="8" t="s">
        <v>54</v>
      </c>
      <c r="F1194" s="8" t="s">
        <v>54</v>
      </c>
      <c r="G1194" s="10" t="s">
        <v>67</v>
      </c>
      <c r="H1194" s="8" t="s">
        <v>54</v>
      </c>
      <c r="I1194" s="8" t="s">
        <v>54</v>
      </c>
      <c r="J1194" s="8" t="s">
        <v>54</v>
      </c>
      <c r="K1194" s="8" t="s">
        <v>54</v>
      </c>
      <c r="L1194" s="8" t="s">
        <v>54</v>
      </c>
      <c r="M1194" s="8" t="s">
        <v>54</v>
      </c>
      <c r="N1194" s="10" t="s">
        <v>67</v>
      </c>
      <c r="O1194" s="8" t="s">
        <v>54</v>
      </c>
      <c r="P1194" s="8" t="s">
        <v>54</v>
      </c>
      <c r="Q1194" s="8" t="s">
        <v>54</v>
      </c>
      <c r="R1194" s="8" t="s">
        <v>54</v>
      </c>
      <c r="S1194" s="8" t="s">
        <v>54</v>
      </c>
      <c r="T1194" s="8" t="s">
        <v>54</v>
      </c>
      <c r="U1194" s="10" t="s">
        <v>67</v>
      </c>
      <c r="V1194" s="8" t="s">
        <v>54</v>
      </c>
      <c r="W1194" s="8" t="s">
        <v>54</v>
      </c>
      <c r="X1194" s="8" t="s">
        <v>54</v>
      </c>
      <c r="Y1194" s="8" t="s">
        <v>54</v>
      </c>
      <c r="Z1194" s="8" t="s">
        <v>54</v>
      </c>
      <c r="AA1194" s="8" t="s">
        <v>54</v>
      </c>
      <c r="AB1194" s="10" t="s">
        <v>67</v>
      </c>
      <c r="AC1194" s="8" t="s">
        <v>54</v>
      </c>
      <c r="AD1194" s="8" t="s">
        <v>54</v>
      </c>
      <c r="AE1194" s="8" t="s">
        <v>54</v>
      </c>
      <c r="AF1194" s="8" t="s">
        <v>54</v>
      </c>
      <c r="AG1194" s="8" t="s">
        <v>54</v>
      </c>
      <c r="AH1194" s="8" t="s">
        <v>54</v>
      </c>
      <c r="AI1194" s="10" t="s">
        <v>67</v>
      </c>
      <c r="AJ1194" s="8">
        <f>COUNTIF($E$1194:$AI$1194,"P")</f>
        <v>26</v>
      </c>
      <c r="AK1194" s="8">
        <f>COUNTIF($E$1194:$AI$1194,"A")</f>
        <v>0</v>
      </c>
      <c r="AL1194" s="8">
        <f>SUM($E$1195:$AI$1195)</f>
        <v>0</v>
      </c>
      <c r="AM1194" s="8">
        <f>SUM($E$1196:$AI$1196)</f>
        <v>0</v>
      </c>
      <c r="AN1194" s="8">
        <f>AL1194+AM1194</f>
        <v>0</v>
      </c>
      <c r="AO1194" s="8">
        <f>COUNTIF($E$1194:$AI$1194,"CL")</f>
        <v>0</v>
      </c>
      <c r="AP1194" s="8">
        <f>COUNTIF($E$1194:$AI$1194,"SL")</f>
        <v>0</v>
      </c>
      <c r="AQ1194" s="8">
        <f>COUNTIF($E$1194:$AI$1194,"EL")</f>
        <v>0</v>
      </c>
      <c r="AR1194" s="8">
        <f>COUNTIF($E$1194:$AI$1194,"H")</f>
        <v>0</v>
      </c>
      <c r="AS1194" s="8"/>
      <c r="AT1194" s="11" t="s">
        <v>260</v>
      </c>
    </row>
    <row r="1195" spans="1:46" ht="15.1" customHeight="1">
      <c r="A1195" s="8"/>
      <c r="B1195" s="9"/>
      <c r="C1195" s="8"/>
      <c r="D1195" s="9"/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11" t="s">
        <v>260</v>
      </c>
    </row>
    <row r="1196" spans="1:46" ht="15.1" customHeight="1">
      <c r="A1196" s="8"/>
      <c r="B1196" s="9"/>
      <c r="C1196" s="8"/>
      <c r="D1196" s="9"/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  <c r="AH1196" s="8">
        <v>0</v>
      </c>
      <c r="AI1196" s="8">
        <v>0</v>
      </c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11" t="s">
        <v>260</v>
      </c>
    </row>
    <row r="1197" spans="1:46" ht="15.1" customHeight="1">
      <c r="A1197" s="8">
        <v>398</v>
      </c>
      <c r="B1197" s="9" t="s">
        <v>2852</v>
      </c>
      <c r="C1197" s="8" t="s">
        <v>2853</v>
      </c>
      <c r="D1197" s="9" t="s">
        <v>266</v>
      </c>
      <c r="E1197" s="8" t="s">
        <v>54</v>
      </c>
      <c r="F1197" s="8" t="s">
        <v>54</v>
      </c>
      <c r="G1197" s="10" t="s">
        <v>67</v>
      </c>
      <c r="H1197" s="8" t="s">
        <v>54</v>
      </c>
      <c r="I1197" s="8" t="s">
        <v>54</v>
      </c>
      <c r="J1197" s="8" t="s">
        <v>54</v>
      </c>
      <c r="K1197" s="8" t="s">
        <v>54</v>
      </c>
      <c r="L1197" s="8" t="s">
        <v>54</v>
      </c>
      <c r="M1197" s="8" t="s">
        <v>54</v>
      </c>
      <c r="N1197" s="10" t="s">
        <v>67</v>
      </c>
      <c r="O1197" s="8" t="s">
        <v>54</v>
      </c>
      <c r="P1197" s="8" t="s">
        <v>54</v>
      </c>
      <c r="Q1197" s="8" t="s">
        <v>54</v>
      </c>
      <c r="R1197" s="8" t="s">
        <v>54</v>
      </c>
      <c r="S1197" s="8" t="s">
        <v>54</v>
      </c>
      <c r="T1197" s="8" t="s">
        <v>54</v>
      </c>
      <c r="U1197" s="10" t="s">
        <v>67</v>
      </c>
      <c r="V1197" s="8" t="s">
        <v>54</v>
      </c>
      <c r="W1197" s="8" t="s">
        <v>54</v>
      </c>
      <c r="X1197" s="8" t="s">
        <v>54</v>
      </c>
      <c r="Y1197" s="8" t="s">
        <v>54</v>
      </c>
      <c r="Z1197" s="12" t="s">
        <v>55</v>
      </c>
      <c r="AA1197" s="12" t="s">
        <v>55</v>
      </c>
      <c r="AB1197" s="10" t="s">
        <v>67</v>
      </c>
      <c r="AC1197" s="12" t="s">
        <v>55</v>
      </c>
      <c r="AD1197" s="12" t="s">
        <v>55</v>
      </c>
      <c r="AE1197" s="12" t="s">
        <v>55</v>
      </c>
      <c r="AF1197" s="12" t="s">
        <v>55</v>
      </c>
      <c r="AG1197" s="8" t="s">
        <v>54</v>
      </c>
      <c r="AH1197" s="8" t="s">
        <v>54</v>
      </c>
      <c r="AI1197" s="10" t="s">
        <v>67</v>
      </c>
      <c r="AJ1197" s="8">
        <f>COUNTIF($E$1197:$AI$1197,"P")</f>
        <v>20</v>
      </c>
      <c r="AK1197" s="8">
        <f>COUNTIF($E$1197:$AI$1197,"A")</f>
        <v>6</v>
      </c>
      <c r="AL1197" s="8">
        <f>SUM($E$1198:$AI$1198)</f>
        <v>0</v>
      </c>
      <c r="AM1197" s="8">
        <f>SUM($E$1199:$AI$1199)</f>
        <v>0</v>
      </c>
      <c r="AN1197" s="8">
        <f>AL1197+AM1197</f>
        <v>0</v>
      </c>
      <c r="AO1197" s="8">
        <f>COUNTIF($E$1197:$AI$1197,"CL")</f>
        <v>0</v>
      </c>
      <c r="AP1197" s="8">
        <f>COUNTIF($E$1197:$AI$1197,"SL")</f>
        <v>0</v>
      </c>
      <c r="AQ1197" s="8">
        <f>COUNTIF($E$1197:$AI$1197,"EL")</f>
        <v>0</v>
      </c>
      <c r="AR1197" s="8">
        <f>COUNTIF($E$1197:$AI$1197,"H")</f>
        <v>0</v>
      </c>
      <c r="AS1197" s="8"/>
      <c r="AT1197" s="11" t="s">
        <v>260</v>
      </c>
    </row>
    <row r="1198" spans="1:46" ht="15.1" customHeight="1">
      <c r="A1198" s="8"/>
      <c r="B1198" s="9"/>
      <c r="C1198" s="8"/>
      <c r="D1198" s="9"/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11" t="s">
        <v>260</v>
      </c>
    </row>
    <row r="1199" spans="1:46" ht="15.1" customHeight="1">
      <c r="A1199" s="8"/>
      <c r="B1199" s="9"/>
      <c r="C1199" s="8"/>
      <c r="D1199" s="9"/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11" t="s">
        <v>260</v>
      </c>
    </row>
    <row r="1200" spans="1:46" ht="15.1" customHeight="1">
      <c r="A1200" s="8">
        <v>399</v>
      </c>
      <c r="B1200" s="9" t="s">
        <v>2854</v>
      </c>
      <c r="C1200" s="8" t="s">
        <v>2855</v>
      </c>
      <c r="D1200" s="9" t="s">
        <v>266</v>
      </c>
      <c r="E1200" s="8" t="s">
        <v>54</v>
      </c>
      <c r="F1200" s="8" t="s">
        <v>54</v>
      </c>
      <c r="G1200" s="10" t="s">
        <v>67</v>
      </c>
      <c r="H1200" s="8" t="s">
        <v>54</v>
      </c>
      <c r="I1200" s="8" t="s">
        <v>54</v>
      </c>
      <c r="J1200" s="8" t="s">
        <v>54</v>
      </c>
      <c r="K1200" s="8" t="s">
        <v>54</v>
      </c>
      <c r="L1200" s="8" t="s">
        <v>54</v>
      </c>
      <c r="M1200" s="8" t="s">
        <v>54</v>
      </c>
      <c r="N1200" s="10" t="s">
        <v>67</v>
      </c>
      <c r="O1200" s="8" t="s">
        <v>54</v>
      </c>
      <c r="P1200" s="8" t="s">
        <v>54</v>
      </c>
      <c r="Q1200" s="8" t="s">
        <v>54</v>
      </c>
      <c r="R1200" s="8" t="s">
        <v>54</v>
      </c>
      <c r="S1200" s="8" t="s">
        <v>54</v>
      </c>
      <c r="T1200" s="8" t="s">
        <v>54</v>
      </c>
      <c r="U1200" s="10" t="s">
        <v>67</v>
      </c>
      <c r="V1200" s="8" t="s">
        <v>54</v>
      </c>
      <c r="W1200" s="8" t="s">
        <v>54</v>
      </c>
      <c r="X1200" s="8" t="s">
        <v>54</v>
      </c>
      <c r="Y1200" s="8" t="s">
        <v>54</v>
      </c>
      <c r="Z1200" s="8" t="s">
        <v>54</v>
      </c>
      <c r="AA1200" s="8" t="s">
        <v>54</v>
      </c>
      <c r="AB1200" s="10" t="s">
        <v>67</v>
      </c>
      <c r="AC1200" s="8" t="s">
        <v>54</v>
      </c>
      <c r="AD1200" s="8" t="s">
        <v>54</v>
      </c>
      <c r="AE1200" s="8" t="s">
        <v>54</v>
      </c>
      <c r="AF1200" s="8" t="s">
        <v>54</v>
      </c>
      <c r="AG1200" s="8" t="s">
        <v>54</v>
      </c>
      <c r="AH1200" s="8" t="s">
        <v>54</v>
      </c>
      <c r="AI1200" s="10" t="s">
        <v>67</v>
      </c>
      <c r="AJ1200" s="8">
        <f>COUNTIF($E$1200:$AI$1200,"P")</f>
        <v>26</v>
      </c>
      <c r="AK1200" s="8">
        <f>COUNTIF($E$1200:$AI$1200,"A")</f>
        <v>0</v>
      </c>
      <c r="AL1200" s="8">
        <f>SUM($E$1201:$AI$1201)</f>
        <v>0</v>
      </c>
      <c r="AM1200" s="8">
        <f>SUM($E$1202:$AI$1202)</f>
        <v>0</v>
      </c>
      <c r="AN1200" s="8">
        <f>AL1200+AM1200</f>
        <v>0</v>
      </c>
      <c r="AO1200" s="8">
        <f>COUNTIF($E$1200:$AI$1200,"CL")</f>
        <v>0</v>
      </c>
      <c r="AP1200" s="8">
        <f>COUNTIF($E$1200:$AI$1200,"SL")</f>
        <v>0</v>
      </c>
      <c r="AQ1200" s="8">
        <f>COUNTIF($E$1200:$AI$1200,"EL")</f>
        <v>0</v>
      </c>
      <c r="AR1200" s="8">
        <f>COUNTIF($E$1200:$AI$1200,"H")</f>
        <v>0</v>
      </c>
      <c r="AS1200" s="8"/>
      <c r="AT1200" s="11" t="s">
        <v>260</v>
      </c>
    </row>
    <row r="1201" spans="1:46" ht="15.1" customHeight="1">
      <c r="A1201" s="8"/>
      <c r="B1201" s="9"/>
      <c r="C1201" s="8"/>
      <c r="D1201" s="9"/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  <c r="AH1201" s="8">
        <v>0</v>
      </c>
      <c r="AI1201" s="8">
        <v>0</v>
      </c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11" t="s">
        <v>260</v>
      </c>
    </row>
    <row r="1202" spans="1:46" ht="15.1" customHeight="1">
      <c r="A1202" s="8"/>
      <c r="B1202" s="9"/>
      <c r="C1202" s="8"/>
      <c r="D1202" s="9"/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  <c r="AH1202" s="8">
        <v>0</v>
      </c>
      <c r="AI1202" s="8">
        <v>0</v>
      </c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11" t="s">
        <v>260</v>
      </c>
    </row>
    <row r="1203" spans="1:46" ht="15.1" customHeight="1">
      <c r="A1203" s="8">
        <v>400</v>
      </c>
      <c r="B1203" s="9" t="s">
        <v>2856</v>
      </c>
      <c r="C1203" s="8" t="s">
        <v>2857</v>
      </c>
      <c r="D1203" s="9" t="s">
        <v>266</v>
      </c>
      <c r="E1203" s="8" t="s">
        <v>54</v>
      </c>
      <c r="F1203" s="8" t="s">
        <v>54</v>
      </c>
      <c r="G1203" s="10" t="s">
        <v>67</v>
      </c>
      <c r="H1203" s="8" t="s">
        <v>54</v>
      </c>
      <c r="I1203" s="8" t="s">
        <v>54</v>
      </c>
      <c r="J1203" s="8" t="s">
        <v>54</v>
      </c>
      <c r="K1203" s="8" t="s">
        <v>54</v>
      </c>
      <c r="L1203" s="8" t="s">
        <v>54</v>
      </c>
      <c r="M1203" s="12" t="s">
        <v>55</v>
      </c>
      <c r="N1203" s="10" t="s">
        <v>67</v>
      </c>
      <c r="O1203" s="8" t="s">
        <v>54</v>
      </c>
      <c r="P1203" s="8" t="s">
        <v>54</v>
      </c>
      <c r="Q1203" s="8" t="s">
        <v>54</v>
      </c>
      <c r="R1203" s="8" t="s">
        <v>54</v>
      </c>
      <c r="S1203" s="8" t="s">
        <v>54</v>
      </c>
      <c r="T1203" s="8" t="s">
        <v>54</v>
      </c>
      <c r="U1203" s="10" t="s">
        <v>67</v>
      </c>
      <c r="V1203" s="8" t="s">
        <v>54</v>
      </c>
      <c r="W1203" s="8" t="s">
        <v>54</v>
      </c>
      <c r="X1203" s="8" t="s">
        <v>54</v>
      </c>
      <c r="Y1203" s="8" t="s">
        <v>54</v>
      </c>
      <c r="Z1203" s="8" t="s">
        <v>54</v>
      </c>
      <c r="AA1203" s="8" t="s">
        <v>54</v>
      </c>
      <c r="AB1203" s="10" t="s">
        <v>67</v>
      </c>
      <c r="AC1203" s="8" t="s">
        <v>54</v>
      </c>
      <c r="AD1203" s="8" t="s">
        <v>54</v>
      </c>
      <c r="AE1203" s="12" t="s">
        <v>55</v>
      </c>
      <c r="AF1203" s="8" t="s">
        <v>54</v>
      </c>
      <c r="AG1203" s="8" t="s">
        <v>54</v>
      </c>
      <c r="AH1203" s="8" t="s">
        <v>54</v>
      </c>
      <c r="AI1203" s="10" t="s">
        <v>67</v>
      </c>
      <c r="AJ1203" s="8">
        <f>COUNTIF($E$1203:$AI$1203,"P")</f>
        <v>24</v>
      </c>
      <c r="AK1203" s="8">
        <f>COUNTIF($E$1203:$AI$1203,"A")</f>
        <v>2</v>
      </c>
      <c r="AL1203" s="8">
        <f>SUM($E$1204:$AI$1204)</f>
        <v>0</v>
      </c>
      <c r="AM1203" s="8">
        <f>SUM($E$1205:$AI$1205)</f>
        <v>0</v>
      </c>
      <c r="AN1203" s="8">
        <f>AL1203+AM1203</f>
        <v>0</v>
      </c>
      <c r="AO1203" s="8">
        <f>COUNTIF($E$1203:$AI$1203,"CL")</f>
        <v>0</v>
      </c>
      <c r="AP1203" s="8">
        <f>COUNTIF($E$1203:$AI$1203,"SL")</f>
        <v>0</v>
      </c>
      <c r="AQ1203" s="8">
        <f>COUNTIF($E$1203:$AI$1203,"EL")</f>
        <v>0</v>
      </c>
      <c r="AR1203" s="8">
        <f>COUNTIF($E$1203:$AI$1203,"H")</f>
        <v>0</v>
      </c>
      <c r="AS1203" s="8"/>
      <c r="AT1203" s="11" t="s">
        <v>260</v>
      </c>
    </row>
    <row r="1204" spans="1:46" ht="15.1" customHeight="1">
      <c r="A1204" s="8"/>
      <c r="B1204" s="9"/>
      <c r="C1204" s="8"/>
      <c r="D1204" s="9"/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11" t="s">
        <v>260</v>
      </c>
    </row>
    <row r="1205" spans="1:46" ht="15.1" customHeight="1">
      <c r="A1205" s="8"/>
      <c r="B1205" s="9"/>
      <c r="C1205" s="8"/>
      <c r="D1205" s="9"/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11" t="s">
        <v>260</v>
      </c>
    </row>
    <row r="1206" spans="1:46" ht="15.1" customHeight="1">
      <c r="A1206" s="8">
        <v>401</v>
      </c>
      <c r="B1206" s="9" t="s">
        <v>2858</v>
      </c>
      <c r="C1206" s="8" t="s">
        <v>2859</v>
      </c>
      <c r="D1206" s="9" t="s">
        <v>266</v>
      </c>
      <c r="E1206" s="8" t="s">
        <v>54</v>
      </c>
      <c r="F1206" s="8" t="s">
        <v>54</v>
      </c>
      <c r="G1206" s="10" t="s">
        <v>67</v>
      </c>
      <c r="H1206" s="8" t="s">
        <v>54</v>
      </c>
      <c r="I1206" s="12" t="s">
        <v>55</v>
      </c>
      <c r="J1206" s="12" t="s">
        <v>55</v>
      </c>
      <c r="K1206" s="8" t="s">
        <v>54</v>
      </c>
      <c r="L1206" s="8" t="s">
        <v>54</v>
      </c>
      <c r="M1206" s="8" t="s">
        <v>54</v>
      </c>
      <c r="N1206" s="10" t="s">
        <v>67</v>
      </c>
      <c r="O1206" s="8" t="s">
        <v>54</v>
      </c>
      <c r="P1206" s="8" t="s">
        <v>54</v>
      </c>
      <c r="Q1206" s="8" t="s">
        <v>54</v>
      </c>
      <c r="R1206" s="8" t="s">
        <v>54</v>
      </c>
      <c r="S1206" s="12" t="s">
        <v>55</v>
      </c>
      <c r="T1206" s="8" t="s">
        <v>54</v>
      </c>
      <c r="U1206" s="10" t="s">
        <v>67</v>
      </c>
      <c r="V1206" s="8" t="s">
        <v>54</v>
      </c>
      <c r="W1206" s="8" t="s">
        <v>54</v>
      </c>
      <c r="X1206" s="8" t="s">
        <v>54</v>
      </c>
      <c r="Y1206" s="8" t="s">
        <v>54</v>
      </c>
      <c r="Z1206" s="8" t="s">
        <v>54</v>
      </c>
      <c r="AA1206" s="8" t="s">
        <v>54</v>
      </c>
      <c r="AB1206" s="10" t="s">
        <v>67</v>
      </c>
      <c r="AC1206" s="8" t="s">
        <v>54</v>
      </c>
      <c r="AD1206" s="8" t="s">
        <v>54</v>
      </c>
      <c r="AE1206" s="8" t="s">
        <v>54</v>
      </c>
      <c r="AF1206" s="8" t="s">
        <v>54</v>
      </c>
      <c r="AG1206" s="8" t="s">
        <v>54</v>
      </c>
      <c r="AH1206" s="8" t="s">
        <v>54</v>
      </c>
      <c r="AI1206" s="10" t="s">
        <v>67</v>
      </c>
      <c r="AJ1206" s="8">
        <f>COUNTIF($E$1206:$AI$1206,"P")</f>
        <v>23</v>
      </c>
      <c r="AK1206" s="8">
        <f>COUNTIF($E$1206:$AI$1206,"A")</f>
        <v>3</v>
      </c>
      <c r="AL1206" s="8">
        <f>SUM($E$1207:$AI$1207)</f>
        <v>0</v>
      </c>
      <c r="AM1206" s="8">
        <f>SUM($E$1208:$AI$1208)</f>
        <v>0</v>
      </c>
      <c r="AN1206" s="8">
        <f>AL1206+AM1206</f>
        <v>0</v>
      </c>
      <c r="AO1206" s="8">
        <f>COUNTIF($E$1206:$AI$1206,"CL")</f>
        <v>0</v>
      </c>
      <c r="AP1206" s="8">
        <f>COUNTIF($E$1206:$AI$1206,"SL")</f>
        <v>0</v>
      </c>
      <c r="AQ1206" s="8">
        <f>COUNTIF($E$1206:$AI$1206,"EL")</f>
        <v>0</v>
      </c>
      <c r="AR1206" s="8">
        <f>COUNTIF($E$1206:$AI$1206,"H")</f>
        <v>0</v>
      </c>
      <c r="AS1206" s="8"/>
      <c r="AT1206" s="11" t="s">
        <v>260</v>
      </c>
    </row>
    <row r="1207" spans="1:46" ht="15.1" customHeight="1">
      <c r="A1207" s="8"/>
      <c r="B1207" s="9"/>
      <c r="C1207" s="8"/>
      <c r="D1207" s="9"/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11" t="s">
        <v>260</v>
      </c>
    </row>
    <row r="1208" spans="1:46" ht="15.1" customHeight="1">
      <c r="A1208" s="8"/>
      <c r="B1208" s="9"/>
      <c r="C1208" s="8"/>
      <c r="D1208" s="9"/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11" t="s">
        <v>260</v>
      </c>
    </row>
    <row r="1209" spans="1:46" ht="15.1" customHeight="1">
      <c r="A1209" s="8">
        <v>402</v>
      </c>
      <c r="B1209" s="9" t="s">
        <v>2860</v>
      </c>
      <c r="C1209" s="8" t="s">
        <v>2861</v>
      </c>
      <c r="D1209" s="9" t="s">
        <v>266</v>
      </c>
      <c r="E1209" s="8" t="s">
        <v>54</v>
      </c>
      <c r="F1209" s="8" t="s">
        <v>54</v>
      </c>
      <c r="G1209" s="10" t="s">
        <v>67</v>
      </c>
      <c r="H1209" s="8" t="s">
        <v>54</v>
      </c>
      <c r="I1209" s="8" t="s">
        <v>54</v>
      </c>
      <c r="J1209" s="8" t="s">
        <v>54</v>
      </c>
      <c r="K1209" s="8" t="s">
        <v>54</v>
      </c>
      <c r="L1209" s="8" t="s">
        <v>54</v>
      </c>
      <c r="M1209" s="8" t="s">
        <v>54</v>
      </c>
      <c r="N1209" s="10" t="s">
        <v>67</v>
      </c>
      <c r="O1209" s="8" t="s">
        <v>54</v>
      </c>
      <c r="P1209" s="8" t="s">
        <v>54</v>
      </c>
      <c r="Q1209" s="8" t="s">
        <v>54</v>
      </c>
      <c r="R1209" s="8" t="s">
        <v>54</v>
      </c>
      <c r="S1209" s="12" t="s">
        <v>55</v>
      </c>
      <c r="T1209" s="8" t="s">
        <v>54</v>
      </c>
      <c r="U1209" s="10" t="s">
        <v>67</v>
      </c>
      <c r="V1209" s="8" t="s">
        <v>54</v>
      </c>
      <c r="W1209" s="8" t="s">
        <v>54</v>
      </c>
      <c r="X1209" s="8" t="s">
        <v>54</v>
      </c>
      <c r="Y1209" s="8" t="s">
        <v>54</v>
      </c>
      <c r="Z1209" s="8" t="s">
        <v>54</v>
      </c>
      <c r="AA1209" s="8" t="s">
        <v>54</v>
      </c>
      <c r="AB1209" s="10" t="s">
        <v>67</v>
      </c>
      <c r="AC1209" s="8" t="s">
        <v>54</v>
      </c>
      <c r="AD1209" s="8" t="s">
        <v>54</v>
      </c>
      <c r="AE1209" s="8" t="s">
        <v>54</v>
      </c>
      <c r="AF1209" s="8" t="s">
        <v>54</v>
      </c>
      <c r="AG1209" s="8" t="s">
        <v>54</v>
      </c>
      <c r="AH1209" s="8" t="s">
        <v>54</v>
      </c>
      <c r="AI1209" s="10" t="s">
        <v>67</v>
      </c>
      <c r="AJ1209" s="8">
        <f>COUNTIF($E$1209:$AI$1209,"P")</f>
        <v>25</v>
      </c>
      <c r="AK1209" s="8">
        <f>COUNTIF($E$1209:$AI$1209,"A")</f>
        <v>1</v>
      </c>
      <c r="AL1209" s="8">
        <f>SUM($E$1210:$AI$1210)</f>
        <v>0</v>
      </c>
      <c r="AM1209" s="8">
        <f>SUM($E$1211:$AI$1211)</f>
        <v>0</v>
      </c>
      <c r="AN1209" s="8">
        <f>AL1209+AM1209</f>
        <v>0</v>
      </c>
      <c r="AO1209" s="8">
        <f>COUNTIF($E$1209:$AI$1209,"CL")</f>
        <v>0</v>
      </c>
      <c r="AP1209" s="8">
        <f>COUNTIF($E$1209:$AI$1209,"SL")</f>
        <v>0</v>
      </c>
      <c r="AQ1209" s="8">
        <f>COUNTIF($E$1209:$AI$1209,"EL")</f>
        <v>0</v>
      </c>
      <c r="AR1209" s="8">
        <f>COUNTIF($E$1209:$AI$1209,"H")</f>
        <v>0</v>
      </c>
      <c r="AS1209" s="8"/>
      <c r="AT1209" s="11" t="s">
        <v>260</v>
      </c>
    </row>
    <row r="1210" spans="1:46" ht="15.1" customHeight="1">
      <c r="A1210" s="8"/>
      <c r="B1210" s="9"/>
      <c r="C1210" s="8"/>
      <c r="D1210" s="9"/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11" t="s">
        <v>260</v>
      </c>
    </row>
    <row r="1211" spans="1:46" ht="15.1" customHeight="1">
      <c r="A1211" s="8"/>
      <c r="B1211" s="9"/>
      <c r="C1211" s="8"/>
      <c r="D1211" s="9"/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11" t="s">
        <v>260</v>
      </c>
    </row>
    <row r="1212" spans="1:46" ht="15.1" customHeight="1">
      <c r="A1212" s="8">
        <v>403</v>
      </c>
      <c r="B1212" s="9" t="s">
        <v>2862</v>
      </c>
      <c r="C1212" s="8" t="s">
        <v>2863</v>
      </c>
      <c r="D1212" s="9" t="s">
        <v>266</v>
      </c>
      <c r="E1212" s="8" t="s">
        <v>54</v>
      </c>
      <c r="F1212" s="8" t="s">
        <v>54</v>
      </c>
      <c r="G1212" s="10" t="s">
        <v>67</v>
      </c>
      <c r="H1212" s="8" t="s">
        <v>54</v>
      </c>
      <c r="I1212" s="8" t="s">
        <v>54</v>
      </c>
      <c r="J1212" s="8" t="s">
        <v>54</v>
      </c>
      <c r="K1212" s="8" t="s">
        <v>54</v>
      </c>
      <c r="L1212" s="8" t="s">
        <v>54</v>
      </c>
      <c r="M1212" s="8" t="s">
        <v>54</v>
      </c>
      <c r="N1212" s="10" t="s">
        <v>67</v>
      </c>
      <c r="O1212" s="8" t="s">
        <v>54</v>
      </c>
      <c r="P1212" s="8" t="s">
        <v>54</v>
      </c>
      <c r="Q1212" s="8" t="s">
        <v>54</v>
      </c>
      <c r="R1212" s="8" t="s">
        <v>54</v>
      </c>
      <c r="S1212" s="8" t="s">
        <v>54</v>
      </c>
      <c r="T1212" s="8" t="s">
        <v>54</v>
      </c>
      <c r="U1212" s="10" t="s">
        <v>67</v>
      </c>
      <c r="V1212" s="8" t="s">
        <v>54</v>
      </c>
      <c r="W1212" s="8" t="s">
        <v>54</v>
      </c>
      <c r="X1212" s="8" t="s">
        <v>54</v>
      </c>
      <c r="Y1212" s="8" t="s">
        <v>54</v>
      </c>
      <c r="Z1212" s="8" t="s">
        <v>54</v>
      </c>
      <c r="AA1212" s="8" t="s">
        <v>54</v>
      </c>
      <c r="AB1212" s="10" t="s">
        <v>67</v>
      </c>
      <c r="AC1212" s="8" t="s">
        <v>54</v>
      </c>
      <c r="AD1212" s="8" t="s">
        <v>54</v>
      </c>
      <c r="AE1212" s="8" t="s">
        <v>54</v>
      </c>
      <c r="AF1212" s="8" t="s">
        <v>54</v>
      </c>
      <c r="AG1212" s="8" t="s">
        <v>54</v>
      </c>
      <c r="AH1212" s="8" t="s">
        <v>54</v>
      </c>
      <c r="AI1212" s="10" t="s">
        <v>67</v>
      </c>
      <c r="AJ1212" s="8">
        <f>COUNTIF($E$1212:$AI$1212,"P")</f>
        <v>26</v>
      </c>
      <c r="AK1212" s="8">
        <f>COUNTIF($E$1212:$AI$1212,"A")</f>
        <v>0</v>
      </c>
      <c r="AL1212" s="8">
        <f>SUM($E$1213:$AI$1213)</f>
        <v>0</v>
      </c>
      <c r="AM1212" s="8">
        <f>SUM($E$1214:$AI$1214)</f>
        <v>0</v>
      </c>
      <c r="AN1212" s="8">
        <f>AL1212+AM1212</f>
        <v>0</v>
      </c>
      <c r="AO1212" s="8">
        <f>COUNTIF($E$1212:$AI$1212,"CL")</f>
        <v>0</v>
      </c>
      <c r="AP1212" s="8">
        <f>COUNTIF($E$1212:$AI$1212,"SL")</f>
        <v>0</v>
      </c>
      <c r="AQ1212" s="8">
        <f>COUNTIF($E$1212:$AI$1212,"EL")</f>
        <v>0</v>
      </c>
      <c r="AR1212" s="8">
        <f>COUNTIF($E$1212:$AI$1212,"H")</f>
        <v>0</v>
      </c>
      <c r="AS1212" s="8"/>
      <c r="AT1212" s="11" t="s">
        <v>260</v>
      </c>
    </row>
    <row r="1213" spans="1:46" ht="15.1" customHeight="1">
      <c r="A1213" s="8"/>
      <c r="B1213" s="9"/>
      <c r="C1213" s="8"/>
      <c r="D1213" s="9"/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11" t="s">
        <v>260</v>
      </c>
    </row>
    <row r="1214" spans="1:46" ht="15.1" customHeight="1">
      <c r="A1214" s="8"/>
      <c r="B1214" s="9"/>
      <c r="C1214" s="8"/>
      <c r="D1214" s="9"/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11" t="s">
        <v>260</v>
      </c>
    </row>
    <row r="1215" spans="1:46" ht="15.1" customHeight="1">
      <c r="A1215" s="8">
        <v>404</v>
      </c>
      <c r="B1215" s="9" t="s">
        <v>2864</v>
      </c>
      <c r="C1215" s="8" t="s">
        <v>2865</v>
      </c>
      <c r="D1215" s="9" t="s">
        <v>266</v>
      </c>
      <c r="E1215" s="8" t="s">
        <v>54</v>
      </c>
      <c r="F1215" s="8" t="s">
        <v>54</v>
      </c>
      <c r="G1215" s="10" t="s">
        <v>67</v>
      </c>
      <c r="H1215" s="8" t="s">
        <v>54</v>
      </c>
      <c r="I1215" s="8" t="s">
        <v>54</v>
      </c>
      <c r="J1215" s="8" t="s">
        <v>54</v>
      </c>
      <c r="K1215" s="8" t="s">
        <v>54</v>
      </c>
      <c r="L1215" s="8" t="s">
        <v>54</v>
      </c>
      <c r="M1215" s="8" t="s">
        <v>54</v>
      </c>
      <c r="N1215" s="10" t="s">
        <v>67</v>
      </c>
      <c r="O1215" s="8" t="s">
        <v>54</v>
      </c>
      <c r="P1215" s="8" t="s">
        <v>54</v>
      </c>
      <c r="Q1215" s="8" t="s">
        <v>54</v>
      </c>
      <c r="R1215" s="8" t="s">
        <v>54</v>
      </c>
      <c r="S1215" s="8" t="s">
        <v>54</v>
      </c>
      <c r="T1215" s="8" t="s">
        <v>54</v>
      </c>
      <c r="U1215" s="10" t="s">
        <v>67</v>
      </c>
      <c r="V1215" s="8" t="s">
        <v>54</v>
      </c>
      <c r="W1215" s="8" t="s">
        <v>54</v>
      </c>
      <c r="X1215" s="8" t="s">
        <v>54</v>
      </c>
      <c r="Y1215" s="8" t="s">
        <v>54</v>
      </c>
      <c r="Z1215" s="8" t="s">
        <v>54</v>
      </c>
      <c r="AA1215" s="8" t="s">
        <v>54</v>
      </c>
      <c r="AB1215" s="10" t="s">
        <v>67</v>
      </c>
      <c r="AC1215" s="8" t="s">
        <v>54</v>
      </c>
      <c r="AD1215" s="8" t="s">
        <v>54</v>
      </c>
      <c r="AE1215" s="8" t="s">
        <v>54</v>
      </c>
      <c r="AF1215" s="12" t="s">
        <v>55</v>
      </c>
      <c r="AG1215" s="8" t="s">
        <v>54</v>
      </c>
      <c r="AH1215" s="8" t="s">
        <v>54</v>
      </c>
      <c r="AI1215" s="10" t="s">
        <v>67</v>
      </c>
      <c r="AJ1215" s="8">
        <f>COUNTIF($E$1215:$AI$1215,"P")</f>
        <v>25</v>
      </c>
      <c r="AK1215" s="8">
        <f>COUNTIF($E$1215:$AI$1215,"A")</f>
        <v>1</v>
      </c>
      <c r="AL1215" s="8">
        <f>SUM($E$1216:$AI$1216)</f>
        <v>0</v>
      </c>
      <c r="AM1215" s="8">
        <f>SUM($E$1217:$AI$1217)</f>
        <v>0</v>
      </c>
      <c r="AN1215" s="8">
        <f>AL1215+AM1215</f>
        <v>0</v>
      </c>
      <c r="AO1215" s="8">
        <f>COUNTIF($E$1215:$AI$1215,"CL")</f>
        <v>0</v>
      </c>
      <c r="AP1215" s="8">
        <f>COUNTIF($E$1215:$AI$1215,"SL")</f>
        <v>0</v>
      </c>
      <c r="AQ1215" s="8">
        <f>COUNTIF($E$1215:$AI$1215,"EL")</f>
        <v>0</v>
      </c>
      <c r="AR1215" s="8">
        <f>COUNTIF($E$1215:$AI$1215,"H")</f>
        <v>0</v>
      </c>
      <c r="AS1215" s="8"/>
      <c r="AT1215" s="11" t="s">
        <v>260</v>
      </c>
    </row>
    <row r="1216" spans="1:46" ht="15.1" customHeight="1">
      <c r="A1216" s="8"/>
      <c r="B1216" s="9"/>
      <c r="C1216" s="8"/>
      <c r="D1216" s="9"/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11" t="s">
        <v>260</v>
      </c>
    </row>
    <row r="1217" spans="1:46" ht="15.1" customHeight="1">
      <c r="A1217" s="8"/>
      <c r="B1217" s="9"/>
      <c r="C1217" s="8"/>
      <c r="D1217" s="9"/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11" t="s">
        <v>260</v>
      </c>
    </row>
    <row r="1218" spans="1:46" ht="15.1" customHeight="1">
      <c r="A1218" s="8">
        <v>405</v>
      </c>
      <c r="B1218" s="9" t="s">
        <v>2866</v>
      </c>
      <c r="C1218" s="8" t="s">
        <v>2867</v>
      </c>
      <c r="D1218" s="9" t="s">
        <v>266</v>
      </c>
      <c r="E1218" s="8" t="s">
        <v>54</v>
      </c>
      <c r="F1218" s="8" t="s">
        <v>54</v>
      </c>
      <c r="G1218" s="10" t="s">
        <v>67</v>
      </c>
      <c r="H1218" s="8" t="s">
        <v>54</v>
      </c>
      <c r="I1218" s="8" t="s">
        <v>54</v>
      </c>
      <c r="J1218" s="8" t="s">
        <v>54</v>
      </c>
      <c r="K1218" s="8" t="s">
        <v>54</v>
      </c>
      <c r="L1218" s="8" t="s">
        <v>54</v>
      </c>
      <c r="M1218" s="8" t="s">
        <v>54</v>
      </c>
      <c r="N1218" s="10" t="s">
        <v>67</v>
      </c>
      <c r="O1218" s="8" t="s">
        <v>54</v>
      </c>
      <c r="P1218" s="8" t="s">
        <v>54</v>
      </c>
      <c r="Q1218" s="8" t="s">
        <v>54</v>
      </c>
      <c r="R1218" s="8" t="s">
        <v>54</v>
      </c>
      <c r="S1218" s="8" t="s">
        <v>54</v>
      </c>
      <c r="T1218" s="8" t="s">
        <v>54</v>
      </c>
      <c r="U1218" s="10" t="s">
        <v>67</v>
      </c>
      <c r="V1218" s="8" t="s">
        <v>54</v>
      </c>
      <c r="W1218" s="8" t="s">
        <v>54</v>
      </c>
      <c r="X1218" s="8" t="s">
        <v>54</v>
      </c>
      <c r="Y1218" s="8" t="s">
        <v>54</v>
      </c>
      <c r="Z1218" s="8" t="s">
        <v>54</v>
      </c>
      <c r="AA1218" s="8" t="s">
        <v>54</v>
      </c>
      <c r="AB1218" s="10" t="s">
        <v>67</v>
      </c>
      <c r="AC1218" s="8" t="s">
        <v>54</v>
      </c>
      <c r="AD1218" s="8" t="s">
        <v>54</v>
      </c>
      <c r="AE1218" s="8" t="s">
        <v>54</v>
      </c>
      <c r="AF1218" s="8" t="s">
        <v>54</v>
      </c>
      <c r="AG1218" s="8" t="s">
        <v>54</v>
      </c>
      <c r="AH1218" s="8" t="s">
        <v>54</v>
      </c>
      <c r="AI1218" s="10" t="s">
        <v>67</v>
      </c>
      <c r="AJ1218" s="8">
        <f>COUNTIF($E$1218:$AI$1218,"P")</f>
        <v>26</v>
      </c>
      <c r="AK1218" s="8">
        <f>COUNTIF($E$1218:$AI$1218,"A")</f>
        <v>0</v>
      </c>
      <c r="AL1218" s="8">
        <f>SUM($E$1219:$AI$1219)</f>
        <v>0</v>
      </c>
      <c r="AM1218" s="8">
        <f>SUM($E$1220:$AI$1220)</f>
        <v>0</v>
      </c>
      <c r="AN1218" s="8">
        <f>AL1218+AM1218</f>
        <v>0</v>
      </c>
      <c r="AO1218" s="8">
        <f>COUNTIF($E$1218:$AI$1218,"CL")</f>
        <v>0</v>
      </c>
      <c r="AP1218" s="8">
        <f>COUNTIF($E$1218:$AI$1218,"SL")</f>
        <v>0</v>
      </c>
      <c r="AQ1218" s="8">
        <f>COUNTIF($E$1218:$AI$1218,"EL")</f>
        <v>0</v>
      </c>
      <c r="AR1218" s="8">
        <f>COUNTIF($E$1218:$AI$1218,"H")</f>
        <v>0</v>
      </c>
      <c r="AS1218" s="8"/>
      <c r="AT1218" s="11" t="s">
        <v>260</v>
      </c>
    </row>
    <row r="1219" spans="1:46" ht="15.1" customHeight="1">
      <c r="A1219" s="8"/>
      <c r="B1219" s="9"/>
      <c r="C1219" s="8"/>
      <c r="D1219" s="9"/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11" t="s">
        <v>260</v>
      </c>
    </row>
    <row r="1220" spans="1:46" ht="15.1" customHeight="1">
      <c r="A1220" s="8"/>
      <c r="B1220" s="9"/>
      <c r="C1220" s="8"/>
      <c r="D1220" s="9"/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11" t="s">
        <v>260</v>
      </c>
    </row>
    <row r="1221" spans="1:46" ht="15.1" customHeight="1">
      <c r="A1221" s="8">
        <v>406</v>
      </c>
      <c r="B1221" s="9" t="s">
        <v>2868</v>
      </c>
      <c r="C1221" s="8" t="s">
        <v>2869</v>
      </c>
      <c r="D1221" s="9" t="s">
        <v>266</v>
      </c>
      <c r="E1221" s="8" t="s">
        <v>54</v>
      </c>
      <c r="F1221" s="8" t="s">
        <v>54</v>
      </c>
      <c r="G1221" s="10" t="s">
        <v>67</v>
      </c>
      <c r="H1221" s="8" t="s">
        <v>54</v>
      </c>
      <c r="I1221" s="8" t="s">
        <v>54</v>
      </c>
      <c r="J1221" s="12" t="s">
        <v>55</v>
      </c>
      <c r="K1221" s="8" t="s">
        <v>54</v>
      </c>
      <c r="L1221" s="8" t="s">
        <v>54</v>
      </c>
      <c r="M1221" s="8" t="s">
        <v>54</v>
      </c>
      <c r="N1221" s="10" t="s">
        <v>67</v>
      </c>
      <c r="O1221" s="8" t="s">
        <v>54</v>
      </c>
      <c r="P1221" s="8" t="s">
        <v>54</v>
      </c>
      <c r="Q1221" s="8" t="s">
        <v>54</v>
      </c>
      <c r="R1221" s="8" t="s">
        <v>54</v>
      </c>
      <c r="S1221" s="8" t="s">
        <v>54</v>
      </c>
      <c r="T1221" s="8" t="s">
        <v>54</v>
      </c>
      <c r="U1221" s="10" t="s">
        <v>67</v>
      </c>
      <c r="V1221" s="8" t="s">
        <v>54</v>
      </c>
      <c r="W1221" s="8" t="s">
        <v>54</v>
      </c>
      <c r="X1221" s="8" t="s">
        <v>54</v>
      </c>
      <c r="Y1221" s="8" t="s">
        <v>54</v>
      </c>
      <c r="Z1221" s="8" t="s">
        <v>54</v>
      </c>
      <c r="AA1221" s="8" t="s">
        <v>54</v>
      </c>
      <c r="AB1221" s="10" t="s">
        <v>67</v>
      </c>
      <c r="AC1221" s="8" t="s">
        <v>54</v>
      </c>
      <c r="AD1221" s="8" t="s">
        <v>54</v>
      </c>
      <c r="AE1221" s="8" t="s">
        <v>54</v>
      </c>
      <c r="AF1221" s="8" t="s">
        <v>54</v>
      </c>
      <c r="AG1221" s="8" t="s">
        <v>54</v>
      </c>
      <c r="AH1221" s="8" t="s">
        <v>54</v>
      </c>
      <c r="AI1221" s="10" t="s">
        <v>67</v>
      </c>
      <c r="AJ1221" s="8">
        <f>COUNTIF($E$1221:$AI$1221,"P")</f>
        <v>25</v>
      </c>
      <c r="AK1221" s="8">
        <f>COUNTIF($E$1221:$AI$1221,"A")</f>
        <v>1</v>
      </c>
      <c r="AL1221" s="8">
        <f>SUM($E$1222:$AI$1222)</f>
        <v>0</v>
      </c>
      <c r="AM1221" s="8">
        <f>SUM($E$1223:$AI$1223)</f>
        <v>0</v>
      </c>
      <c r="AN1221" s="8">
        <f>AL1221+AM1221</f>
        <v>0</v>
      </c>
      <c r="AO1221" s="8">
        <f>COUNTIF($E$1221:$AI$1221,"CL")</f>
        <v>0</v>
      </c>
      <c r="AP1221" s="8">
        <f>COUNTIF($E$1221:$AI$1221,"SL")</f>
        <v>0</v>
      </c>
      <c r="AQ1221" s="8">
        <f>COUNTIF($E$1221:$AI$1221,"EL")</f>
        <v>0</v>
      </c>
      <c r="AR1221" s="8">
        <f>COUNTIF($E$1221:$AI$1221,"H")</f>
        <v>0</v>
      </c>
      <c r="AS1221" s="8"/>
      <c r="AT1221" s="11" t="s">
        <v>260</v>
      </c>
    </row>
    <row r="1222" spans="1:46" ht="15.1" customHeight="1">
      <c r="A1222" s="8"/>
      <c r="B1222" s="9"/>
      <c r="C1222" s="8"/>
      <c r="D1222" s="9"/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11" t="s">
        <v>260</v>
      </c>
    </row>
    <row r="1223" spans="1:46" ht="15.1" customHeight="1">
      <c r="A1223" s="8"/>
      <c r="B1223" s="9"/>
      <c r="C1223" s="8"/>
      <c r="D1223" s="9"/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11" t="s">
        <v>260</v>
      </c>
    </row>
    <row r="1224" spans="1:46" ht="15.1" customHeight="1">
      <c r="A1224" s="8">
        <v>407</v>
      </c>
      <c r="B1224" s="9" t="s">
        <v>2870</v>
      </c>
      <c r="C1224" s="8" t="s">
        <v>2871</v>
      </c>
      <c r="D1224" s="9" t="s">
        <v>266</v>
      </c>
      <c r="E1224" s="8" t="s">
        <v>54</v>
      </c>
      <c r="F1224" s="8" t="s">
        <v>54</v>
      </c>
      <c r="G1224" s="10" t="s">
        <v>67</v>
      </c>
      <c r="H1224" s="12" t="s">
        <v>55</v>
      </c>
      <c r="I1224" s="8" t="s">
        <v>54</v>
      </c>
      <c r="J1224" s="8" t="s">
        <v>54</v>
      </c>
      <c r="K1224" s="8" t="s">
        <v>54</v>
      </c>
      <c r="L1224" s="8" t="s">
        <v>54</v>
      </c>
      <c r="M1224" s="12" t="s">
        <v>55</v>
      </c>
      <c r="N1224" s="10" t="s">
        <v>67</v>
      </c>
      <c r="O1224" s="12" t="s">
        <v>55</v>
      </c>
      <c r="P1224" s="12" t="s">
        <v>55</v>
      </c>
      <c r="Q1224" s="12" t="s">
        <v>55</v>
      </c>
      <c r="R1224" s="8" t="s">
        <v>54</v>
      </c>
      <c r="S1224" s="8" t="s">
        <v>54</v>
      </c>
      <c r="T1224" s="8" t="s">
        <v>54</v>
      </c>
      <c r="U1224" s="10" t="s">
        <v>67</v>
      </c>
      <c r="V1224" s="8" t="s">
        <v>54</v>
      </c>
      <c r="W1224" s="8" t="s">
        <v>54</v>
      </c>
      <c r="X1224" s="8" t="s">
        <v>54</v>
      </c>
      <c r="Y1224" s="8" t="s">
        <v>54</v>
      </c>
      <c r="Z1224" s="8" t="s">
        <v>54</v>
      </c>
      <c r="AA1224" s="8" t="s">
        <v>54</v>
      </c>
      <c r="AB1224" s="10" t="s">
        <v>67</v>
      </c>
      <c r="AC1224" s="8" t="s">
        <v>54</v>
      </c>
      <c r="AD1224" s="8" t="s">
        <v>54</v>
      </c>
      <c r="AE1224" s="8" t="s">
        <v>54</v>
      </c>
      <c r="AF1224" s="8" t="s">
        <v>54</v>
      </c>
      <c r="AG1224" s="8" t="s">
        <v>54</v>
      </c>
      <c r="AH1224" s="8" t="s">
        <v>54</v>
      </c>
      <c r="AI1224" s="10" t="s">
        <v>67</v>
      </c>
      <c r="AJ1224" s="8">
        <f>COUNTIF($E$1224:$AI$1224,"P")</f>
        <v>21</v>
      </c>
      <c r="AK1224" s="8">
        <f>COUNTIF($E$1224:$AI$1224,"A")</f>
        <v>5</v>
      </c>
      <c r="AL1224" s="8">
        <f>SUM($E$1225:$AI$1225)</f>
        <v>0</v>
      </c>
      <c r="AM1224" s="8">
        <f>SUM($E$1226:$AI$1226)</f>
        <v>0</v>
      </c>
      <c r="AN1224" s="8">
        <f>AL1224+AM1224</f>
        <v>0</v>
      </c>
      <c r="AO1224" s="8">
        <f>COUNTIF($E$1224:$AI$1224,"CL")</f>
        <v>0</v>
      </c>
      <c r="AP1224" s="8">
        <f>COUNTIF($E$1224:$AI$1224,"SL")</f>
        <v>0</v>
      </c>
      <c r="AQ1224" s="8">
        <f>COUNTIF($E$1224:$AI$1224,"EL")</f>
        <v>0</v>
      </c>
      <c r="AR1224" s="8">
        <f>COUNTIF($E$1224:$AI$1224,"H")</f>
        <v>0</v>
      </c>
      <c r="AS1224" s="8"/>
      <c r="AT1224" s="11" t="s">
        <v>260</v>
      </c>
    </row>
    <row r="1225" spans="1:46" ht="15.1" customHeight="1">
      <c r="A1225" s="8"/>
      <c r="B1225" s="9"/>
      <c r="C1225" s="8"/>
      <c r="D1225" s="9"/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11" t="s">
        <v>260</v>
      </c>
    </row>
    <row r="1226" spans="1:46" ht="15.1" customHeight="1">
      <c r="A1226" s="8"/>
      <c r="B1226" s="9"/>
      <c r="C1226" s="8"/>
      <c r="D1226" s="9"/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11" t="s">
        <v>260</v>
      </c>
    </row>
    <row r="1227" spans="1:46" ht="15.1" customHeight="1">
      <c r="A1227" s="8">
        <v>408</v>
      </c>
      <c r="B1227" s="9" t="s">
        <v>2872</v>
      </c>
      <c r="C1227" s="8" t="s">
        <v>2873</v>
      </c>
      <c r="D1227" s="9" t="s">
        <v>266</v>
      </c>
      <c r="E1227" s="8" t="s">
        <v>54</v>
      </c>
      <c r="F1227" s="8" t="s">
        <v>54</v>
      </c>
      <c r="G1227" s="10" t="s">
        <v>67</v>
      </c>
      <c r="H1227" s="12" t="s">
        <v>55</v>
      </c>
      <c r="I1227" s="12" t="s">
        <v>55</v>
      </c>
      <c r="J1227" s="12" t="s">
        <v>55</v>
      </c>
      <c r="K1227" s="12" t="s">
        <v>55</v>
      </c>
      <c r="L1227" s="8" t="s">
        <v>54</v>
      </c>
      <c r="M1227" s="8" t="s">
        <v>54</v>
      </c>
      <c r="N1227" s="10" t="s">
        <v>67</v>
      </c>
      <c r="O1227" s="8" t="s">
        <v>54</v>
      </c>
      <c r="P1227" s="8" t="s">
        <v>54</v>
      </c>
      <c r="Q1227" s="8" t="s">
        <v>54</v>
      </c>
      <c r="R1227" s="8" t="s">
        <v>54</v>
      </c>
      <c r="S1227" s="8" t="s">
        <v>54</v>
      </c>
      <c r="T1227" s="8" t="s">
        <v>54</v>
      </c>
      <c r="U1227" s="10" t="s">
        <v>67</v>
      </c>
      <c r="V1227" s="8" t="s">
        <v>54</v>
      </c>
      <c r="W1227" s="8" t="s">
        <v>54</v>
      </c>
      <c r="X1227" s="8" t="s">
        <v>54</v>
      </c>
      <c r="Y1227" s="8" t="s">
        <v>54</v>
      </c>
      <c r="Z1227" s="8" t="s">
        <v>54</v>
      </c>
      <c r="AA1227" s="8" t="s">
        <v>54</v>
      </c>
      <c r="AB1227" s="10" t="s">
        <v>67</v>
      </c>
      <c r="AC1227" s="8" t="s">
        <v>54</v>
      </c>
      <c r="AD1227" s="8" t="s">
        <v>54</v>
      </c>
      <c r="AE1227" s="8" t="s">
        <v>54</v>
      </c>
      <c r="AF1227" s="8" t="s">
        <v>54</v>
      </c>
      <c r="AG1227" s="8" t="s">
        <v>54</v>
      </c>
      <c r="AH1227" s="8" t="s">
        <v>54</v>
      </c>
      <c r="AI1227" s="10" t="s">
        <v>67</v>
      </c>
      <c r="AJ1227" s="8">
        <f>COUNTIF($E$1227:$AI$1227,"P")</f>
        <v>22</v>
      </c>
      <c r="AK1227" s="8">
        <f>COUNTIF($E$1227:$AI$1227,"A")</f>
        <v>4</v>
      </c>
      <c r="AL1227" s="8">
        <f>SUM($E$1228:$AI$1228)</f>
        <v>0</v>
      </c>
      <c r="AM1227" s="8">
        <f>SUM($E$1229:$AI$1229)</f>
        <v>0</v>
      </c>
      <c r="AN1227" s="8">
        <f>AL1227+AM1227</f>
        <v>0</v>
      </c>
      <c r="AO1227" s="8">
        <f>COUNTIF($E$1227:$AI$1227,"CL")</f>
        <v>0</v>
      </c>
      <c r="AP1227" s="8">
        <f>COUNTIF($E$1227:$AI$1227,"SL")</f>
        <v>0</v>
      </c>
      <c r="AQ1227" s="8">
        <f>COUNTIF($E$1227:$AI$1227,"EL")</f>
        <v>0</v>
      </c>
      <c r="AR1227" s="8">
        <f>COUNTIF($E$1227:$AI$1227,"H")</f>
        <v>0</v>
      </c>
      <c r="AS1227" s="8"/>
      <c r="AT1227" s="11" t="s">
        <v>260</v>
      </c>
    </row>
    <row r="1228" spans="1:46" ht="15.1" customHeight="1">
      <c r="A1228" s="8"/>
      <c r="B1228" s="9"/>
      <c r="C1228" s="8"/>
      <c r="D1228" s="9"/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11" t="s">
        <v>260</v>
      </c>
    </row>
    <row r="1229" spans="1:46" ht="15.1" customHeight="1">
      <c r="A1229" s="8"/>
      <c r="B1229" s="9"/>
      <c r="C1229" s="8"/>
      <c r="D1229" s="9"/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11" t="s">
        <v>260</v>
      </c>
    </row>
    <row r="1230" spans="1:46" ht="15.1" customHeight="1">
      <c r="A1230" s="8">
        <v>409</v>
      </c>
      <c r="B1230" s="9" t="s">
        <v>2874</v>
      </c>
      <c r="C1230" s="8" t="s">
        <v>2875</v>
      </c>
      <c r="D1230" s="9" t="s">
        <v>266</v>
      </c>
      <c r="E1230" s="8" t="s">
        <v>54</v>
      </c>
      <c r="F1230" s="8" t="s">
        <v>54</v>
      </c>
      <c r="G1230" s="10" t="s">
        <v>67</v>
      </c>
      <c r="H1230" s="8" t="s">
        <v>54</v>
      </c>
      <c r="I1230" s="8" t="s">
        <v>54</v>
      </c>
      <c r="J1230" s="8" t="s">
        <v>54</v>
      </c>
      <c r="K1230" s="8" t="s">
        <v>54</v>
      </c>
      <c r="L1230" s="8" t="s">
        <v>54</v>
      </c>
      <c r="M1230" s="8" t="s">
        <v>54</v>
      </c>
      <c r="N1230" s="10" t="s">
        <v>67</v>
      </c>
      <c r="O1230" s="8" t="s">
        <v>54</v>
      </c>
      <c r="P1230" s="8" t="s">
        <v>54</v>
      </c>
      <c r="Q1230" s="8" t="s">
        <v>54</v>
      </c>
      <c r="R1230" s="8" t="s">
        <v>54</v>
      </c>
      <c r="S1230" s="8" t="s">
        <v>54</v>
      </c>
      <c r="T1230" s="8" t="s">
        <v>54</v>
      </c>
      <c r="U1230" s="10" t="s">
        <v>67</v>
      </c>
      <c r="V1230" s="8" t="s">
        <v>54</v>
      </c>
      <c r="W1230" s="8" t="s">
        <v>54</v>
      </c>
      <c r="X1230" s="8" t="s">
        <v>54</v>
      </c>
      <c r="Y1230" s="8" t="s">
        <v>54</v>
      </c>
      <c r="Z1230" s="8" t="s">
        <v>54</v>
      </c>
      <c r="AA1230" s="8" t="s">
        <v>54</v>
      </c>
      <c r="AB1230" s="10" t="s">
        <v>67</v>
      </c>
      <c r="AC1230" s="8" t="s">
        <v>54</v>
      </c>
      <c r="AD1230" s="8" t="s">
        <v>54</v>
      </c>
      <c r="AE1230" s="8" t="s">
        <v>54</v>
      </c>
      <c r="AF1230" s="8" t="s">
        <v>54</v>
      </c>
      <c r="AG1230" s="8" t="s">
        <v>54</v>
      </c>
      <c r="AH1230" s="8" t="s">
        <v>54</v>
      </c>
      <c r="AI1230" s="10" t="s">
        <v>67</v>
      </c>
      <c r="AJ1230" s="8">
        <f>COUNTIF($E$1230:$AI$1230,"P")</f>
        <v>26</v>
      </c>
      <c r="AK1230" s="8">
        <f>COUNTIF($E$1230:$AI$1230,"A")</f>
        <v>0</v>
      </c>
      <c r="AL1230" s="8">
        <f>SUM($E$1231:$AI$1231)</f>
        <v>0</v>
      </c>
      <c r="AM1230" s="8">
        <f>SUM($E$1232:$AI$1232)</f>
        <v>0</v>
      </c>
      <c r="AN1230" s="8">
        <f>AL1230+AM1230</f>
        <v>0</v>
      </c>
      <c r="AO1230" s="8">
        <f>COUNTIF($E$1230:$AI$1230,"CL")</f>
        <v>0</v>
      </c>
      <c r="AP1230" s="8">
        <f>COUNTIF($E$1230:$AI$1230,"SL")</f>
        <v>0</v>
      </c>
      <c r="AQ1230" s="8">
        <f>COUNTIF($E$1230:$AI$1230,"EL")</f>
        <v>0</v>
      </c>
      <c r="AR1230" s="8">
        <f>COUNTIF($E$1230:$AI$1230,"H")</f>
        <v>0</v>
      </c>
      <c r="AS1230" s="8"/>
      <c r="AT1230" s="11" t="s">
        <v>260</v>
      </c>
    </row>
    <row r="1231" spans="1:46" ht="15.1" customHeight="1">
      <c r="A1231" s="8"/>
      <c r="B1231" s="9"/>
      <c r="C1231" s="8"/>
      <c r="D1231" s="9"/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11" t="s">
        <v>260</v>
      </c>
    </row>
    <row r="1232" spans="1:46" ht="15.1" customHeight="1">
      <c r="A1232" s="8"/>
      <c r="B1232" s="9"/>
      <c r="C1232" s="8"/>
      <c r="D1232" s="9"/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11" t="s">
        <v>260</v>
      </c>
    </row>
    <row r="1233" spans="1:46" ht="15.1" customHeight="1">
      <c r="A1233" s="8">
        <v>410</v>
      </c>
      <c r="B1233" s="9" t="s">
        <v>2876</v>
      </c>
      <c r="C1233" s="8" t="s">
        <v>2877</v>
      </c>
      <c r="D1233" s="9" t="s">
        <v>266</v>
      </c>
      <c r="E1233" s="12" t="s">
        <v>55</v>
      </c>
      <c r="F1233" s="8" t="s">
        <v>54</v>
      </c>
      <c r="G1233" s="10" t="s">
        <v>67</v>
      </c>
      <c r="H1233" s="8" t="s">
        <v>54</v>
      </c>
      <c r="I1233" s="8" t="s">
        <v>54</v>
      </c>
      <c r="J1233" s="8" t="s">
        <v>54</v>
      </c>
      <c r="K1233" s="12" t="s">
        <v>55</v>
      </c>
      <c r="L1233" s="8" t="s">
        <v>54</v>
      </c>
      <c r="M1233" s="8" t="s">
        <v>54</v>
      </c>
      <c r="N1233" s="10" t="s">
        <v>67</v>
      </c>
      <c r="O1233" s="8" t="s">
        <v>54</v>
      </c>
      <c r="P1233" s="8" t="s">
        <v>54</v>
      </c>
      <c r="Q1233" s="8" t="s">
        <v>54</v>
      </c>
      <c r="R1233" s="8" t="s">
        <v>54</v>
      </c>
      <c r="S1233" s="12" t="s">
        <v>55</v>
      </c>
      <c r="T1233" s="8" t="s">
        <v>54</v>
      </c>
      <c r="U1233" s="10" t="s">
        <v>67</v>
      </c>
      <c r="V1233" s="8" t="s">
        <v>54</v>
      </c>
      <c r="W1233" s="8" t="s">
        <v>54</v>
      </c>
      <c r="X1233" s="8" t="s">
        <v>54</v>
      </c>
      <c r="Y1233" s="8" t="s">
        <v>54</v>
      </c>
      <c r="Z1233" s="12" t="s">
        <v>55</v>
      </c>
      <c r="AA1233" s="8" t="s">
        <v>54</v>
      </c>
      <c r="AB1233" s="10" t="s">
        <v>67</v>
      </c>
      <c r="AC1233" s="12" t="s">
        <v>55</v>
      </c>
      <c r="AD1233" s="12" t="s">
        <v>55</v>
      </c>
      <c r="AE1233" s="8" t="s">
        <v>54</v>
      </c>
      <c r="AF1233" s="8" t="s">
        <v>54</v>
      </c>
      <c r="AG1233" s="8" t="s">
        <v>54</v>
      </c>
      <c r="AH1233" s="8" t="s">
        <v>54</v>
      </c>
      <c r="AI1233" s="10" t="s">
        <v>67</v>
      </c>
      <c r="AJ1233" s="8">
        <f>COUNTIF($E$1233:$AI$1233,"P")</f>
        <v>20</v>
      </c>
      <c r="AK1233" s="8">
        <f>COUNTIF($E$1233:$AI$1233,"A")</f>
        <v>6</v>
      </c>
      <c r="AL1233" s="8">
        <f>SUM($E$1234:$AI$1234)</f>
        <v>0</v>
      </c>
      <c r="AM1233" s="8">
        <f>SUM($E$1235:$AI$1235)</f>
        <v>0</v>
      </c>
      <c r="AN1233" s="8">
        <f>AL1233+AM1233</f>
        <v>0</v>
      </c>
      <c r="AO1233" s="8">
        <f>COUNTIF($E$1233:$AI$1233,"CL")</f>
        <v>0</v>
      </c>
      <c r="AP1233" s="8">
        <f>COUNTIF($E$1233:$AI$1233,"SL")</f>
        <v>0</v>
      </c>
      <c r="AQ1233" s="8">
        <f>COUNTIF($E$1233:$AI$1233,"EL")</f>
        <v>0</v>
      </c>
      <c r="AR1233" s="8">
        <f>COUNTIF($E$1233:$AI$1233,"H")</f>
        <v>0</v>
      </c>
      <c r="AS1233" s="8"/>
      <c r="AT1233" s="11" t="s">
        <v>260</v>
      </c>
    </row>
    <row r="1234" spans="1:46" ht="15.1" customHeight="1">
      <c r="A1234" s="8"/>
      <c r="B1234" s="9"/>
      <c r="C1234" s="8"/>
      <c r="D1234" s="9"/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11" t="s">
        <v>260</v>
      </c>
    </row>
    <row r="1235" spans="1:46" ht="15.1" customHeight="1">
      <c r="A1235" s="8"/>
      <c r="B1235" s="9"/>
      <c r="C1235" s="8"/>
      <c r="D1235" s="9"/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11" t="s">
        <v>260</v>
      </c>
    </row>
    <row r="1236" spans="1:46" ht="15.1" customHeight="1">
      <c r="A1236" s="8">
        <v>411</v>
      </c>
      <c r="B1236" s="9" t="s">
        <v>2878</v>
      </c>
      <c r="C1236" s="8" t="s">
        <v>2879</v>
      </c>
      <c r="D1236" s="9" t="s">
        <v>266</v>
      </c>
      <c r="E1236" s="8" t="s">
        <v>54</v>
      </c>
      <c r="F1236" s="8" t="s">
        <v>54</v>
      </c>
      <c r="G1236" s="10" t="s">
        <v>67</v>
      </c>
      <c r="H1236" s="8" t="s">
        <v>54</v>
      </c>
      <c r="I1236" s="8" t="s">
        <v>54</v>
      </c>
      <c r="J1236" s="8" t="s">
        <v>54</v>
      </c>
      <c r="K1236" s="8" t="s">
        <v>54</v>
      </c>
      <c r="L1236" s="8" t="s">
        <v>54</v>
      </c>
      <c r="M1236" s="8" t="s">
        <v>54</v>
      </c>
      <c r="N1236" s="10" t="s">
        <v>67</v>
      </c>
      <c r="O1236" s="8" t="s">
        <v>54</v>
      </c>
      <c r="P1236" s="8" t="s">
        <v>54</v>
      </c>
      <c r="Q1236" s="8" t="s">
        <v>54</v>
      </c>
      <c r="R1236" s="8" t="s">
        <v>54</v>
      </c>
      <c r="S1236" s="8" t="s">
        <v>54</v>
      </c>
      <c r="T1236" s="8" t="s">
        <v>54</v>
      </c>
      <c r="U1236" s="10" t="s">
        <v>67</v>
      </c>
      <c r="V1236" s="8" t="s">
        <v>54</v>
      </c>
      <c r="W1236" s="8" t="s">
        <v>54</v>
      </c>
      <c r="X1236" s="8" t="s">
        <v>54</v>
      </c>
      <c r="Y1236" s="8" t="s">
        <v>54</v>
      </c>
      <c r="Z1236" s="8" t="s">
        <v>54</v>
      </c>
      <c r="AA1236" s="8" t="s">
        <v>54</v>
      </c>
      <c r="AB1236" s="10" t="s">
        <v>67</v>
      </c>
      <c r="AC1236" s="8" t="s">
        <v>54</v>
      </c>
      <c r="AD1236" s="8" t="s">
        <v>54</v>
      </c>
      <c r="AE1236" s="8" t="s">
        <v>54</v>
      </c>
      <c r="AF1236" s="8" t="s">
        <v>54</v>
      </c>
      <c r="AG1236" s="8" t="s">
        <v>54</v>
      </c>
      <c r="AH1236" s="12" t="s">
        <v>55</v>
      </c>
      <c r="AI1236" s="10" t="s">
        <v>67</v>
      </c>
      <c r="AJ1236" s="8">
        <f>COUNTIF($E$1236:$AI$1236,"P")</f>
        <v>25</v>
      </c>
      <c r="AK1236" s="8">
        <f>COUNTIF($E$1236:$AI$1236,"A")</f>
        <v>1</v>
      </c>
      <c r="AL1236" s="8">
        <f>SUM($E$1237:$AI$1237)</f>
        <v>0</v>
      </c>
      <c r="AM1236" s="8">
        <f>SUM($E$1238:$AI$1238)</f>
        <v>0</v>
      </c>
      <c r="AN1236" s="8">
        <f>AL1236+AM1236</f>
        <v>0</v>
      </c>
      <c r="AO1236" s="8">
        <f>COUNTIF($E$1236:$AI$1236,"CL")</f>
        <v>0</v>
      </c>
      <c r="AP1236" s="8">
        <f>COUNTIF($E$1236:$AI$1236,"SL")</f>
        <v>0</v>
      </c>
      <c r="AQ1236" s="8">
        <f>COUNTIF($E$1236:$AI$1236,"EL")</f>
        <v>0</v>
      </c>
      <c r="AR1236" s="8">
        <f>COUNTIF($E$1236:$AI$1236,"H")</f>
        <v>0</v>
      </c>
      <c r="AS1236" s="8"/>
      <c r="AT1236" s="11" t="s">
        <v>260</v>
      </c>
    </row>
    <row r="1237" spans="1:46" ht="15.1" customHeight="1">
      <c r="A1237" s="8"/>
      <c r="B1237" s="9"/>
      <c r="C1237" s="8"/>
      <c r="D1237" s="9"/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11" t="s">
        <v>260</v>
      </c>
    </row>
    <row r="1238" spans="1:46" ht="15.1" customHeight="1">
      <c r="A1238" s="8"/>
      <c r="B1238" s="9"/>
      <c r="C1238" s="8"/>
      <c r="D1238" s="9"/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11" t="s">
        <v>260</v>
      </c>
    </row>
    <row r="1239" spans="1:46" ht="15.1" customHeight="1">
      <c r="A1239" s="8">
        <v>412</v>
      </c>
      <c r="B1239" s="9" t="s">
        <v>2854</v>
      </c>
      <c r="C1239" s="8" t="s">
        <v>2880</v>
      </c>
      <c r="D1239" s="9" t="s">
        <v>266</v>
      </c>
      <c r="E1239" s="8" t="s">
        <v>54</v>
      </c>
      <c r="F1239" s="8" t="s">
        <v>54</v>
      </c>
      <c r="G1239" s="10" t="s">
        <v>67</v>
      </c>
      <c r="H1239" s="12" t="s">
        <v>55</v>
      </c>
      <c r="I1239" s="8" t="s">
        <v>54</v>
      </c>
      <c r="J1239" s="8" t="s">
        <v>54</v>
      </c>
      <c r="K1239" s="8" t="s">
        <v>54</v>
      </c>
      <c r="L1239" s="8" t="s">
        <v>54</v>
      </c>
      <c r="M1239" s="8" t="s">
        <v>54</v>
      </c>
      <c r="N1239" s="10" t="s">
        <v>67</v>
      </c>
      <c r="O1239" s="8" t="s">
        <v>54</v>
      </c>
      <c r="P1239" s="8" t="s">
        <v>54</v>
      </c>
      <c r="Q1239" s="12" t="s">
        <v>55</v>
      </c>
      <c r="R1239" s="8" t="s">
        <v>54</v>
      </c>
      <c r="S1239" s="8" t="s">
        <v>54</v>
      </c>
      <c r="T1239" s="8" t="s">
        <v>54</v>
      </c>
      <c r="U1239" s="10" t="s">
        <v>67</v>
      </c>
      <c r="V1239" s="8" t="s">
        <v>54</v>
      </c>
      <c r="W1239" s="8" t="s">
        <v>54</v>
      </c>
      <c r="X1239" s="8" t="s">
        <v>54</v>
      </c>
      <c r="Y1239" s="8" t="s">
        <v>54</v>
      </c>
      <c r="Z1239" s="8" t="s">
        <v>54</v>
      </c>
      <c r="AA1239" s="8" t="s">
        <v>54</v>
      </c>
      <c r="AB1239" s="10" t="s">
        <v>67</v>
      </c>
      <c r="AC1239" s="8" t="s">
        <v>54</v>
      </c>
      <c r="AD1239" s="8" t="s">
        <v>54</v>
      </c>
      <c r="AE1239" s="8" t="s">
        <v>54</v>
      </c>
      <c r="AF1239" s="8" t="s">
        <v>54</v>
      </c>
      <c r="AG1239" s="8" t="s">
        <v>54</v>
      </c>
      <c r="AH1239" s="8" t="s">
        <v>54</v>
      </c>
      <c r="AI1239" s="10" t="s">
        <v>67</v>
      </c>
      <c r="AJ1239" s="8">
        <f>COUNTIF($E$1239:$AI$1239,"P")</f>
        <v>24</v>
      </c>
      <c r="AK1239" s="8">
        <f>COUNTIF($E$1239:$AI$1239,"A")</f>
        <v>2</v>
      </c>
      <c r="AL1239" s="8">
        <f>SUM($E$1240:$AI$1240)</f>
        <v>0</v>
      </c>
      <c r="AM1239" s="8">
        <f>SUM($E$1241:$AI$1241)</f>
        <v>0</v>
      </c>
      <c r="AN1239" s="8">
        <f>AL1239+AM1239</f>
        <v>0</v>
      </c>
      <c r="AO1239" s="8">
        <f>COUNTIF($E$1239:$AI$1239,"CL")</f>
        <v>0</v>
      </c>
      <c r="AP1239" s="8">
        <f>COUNTIF($E$1239:$AI$1239,"SL")</f>
        <v>0</v>
      </c>
      <c r="AQ1239" s="8">
        <f>COUNTIF($E$1239:$AI$1239,"EL")</f>
        <v>0</v>
      </c>
      <c r="AR1239" s="8">
        <f>COUNTIF($E$1239:$AI$1239,"H")</f>
        <v>0</v>
      </c>
      <c r="AS1239" s="8"/>
      <c r="AT1239" s="11" t="s">
        <v>260</v>
      </c>
    </row>
    <row r="1240" spans="1:46" ht="15.1" customHeight="1">
      <c r="A1240" s="8"/>
      <c r="B1240" s="9"/>
      <c r="C1240" s="8"/>
      <c r="D1240" s="9"/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11" t="s">
        <v>260</v>
      </c>
    </row>
    <row r="1241" spans="1:46" ht="15.1" customHeight="1">
      <c r="A1241" s="8"/>
      <c r="B1241" s="9"/>
      <c r="C1241" s="8"/>
      <c r="D1241" s="9"/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11" t="s">
        <v>260</v>
      </c>
    </row>
    <row r="1242" spans="1:46" ht="15.1" customHeight="1">
      <c r="A1242" s="8">
        <v>413</v>
      </c>
      <c r="B1242" s="9" t="s">
        <v>2881</v>
      </c>
      <c r="C1242" s="8" t="s">
        <v>2882</v>
      </c>
      <c r="D1242" s="9" t="s">
        <v>266</v>
      </c>
      <c r="E1242" s="12" t="s">
        <v>55</v>
      </c>
      <c r="F1242" s="8" t="s">
        <v>54</v>
      </c>
      <c r="G1242" s="10" t="s">
        <v>67</v>
      </c>
      <c r="H1242" s="8" t="s">
        <v>54</v>
      </c>
      <c r="I1242" s="8" t="s">
        <v>54</v>
      </c>
      <c r="J1242" s="8" t="s">
        <v>54</v>
      </c>
      <c r="K1242" s="8" t="s">
        <v>54</v>
      </c>
      <c r="L1242" s="8" t="s">
        <v>54</v>
      </c>
      <c r="M1242" s="8" t="s">
        <v>54</v>
      </c>
      <c r="N1242" s="10" t="s">
        <v>67</v>
      </c>
      <c r="O1242" s="8" t="s">
        <v>54</v>
      </c>
      <c r="P1242" s="8" t="s">
        <v>54</v>
      </c>
      <c r="Q1242" s="8" t="s">
        <v>54</v>
      </c>
      <c r="R1242" s="8" t="s">
        <v>54</v>
      </c>
      <c r="S1242" s="8" t="s">
        <v>54</v>
      </c>
      <c r="T1242" s="8" t="s">
        <v>54</v>
      </c>
      <c r="U1242" s="10" t="s">
        <v>67</v>
      </c>
      <c r="V1242" s="8" t="s">
        <v>54</v>
      </c>
      <c r="W1242" s="8" t="s">
        <v>54</v>
      </c>
      <c r="X1242" s="8" t="s">
        <v>54</v>
      </c>
      <c r="Y1242" s="8" t="s">
        <v>54</v>
      </c>
      <c r="Z1242" s="8" t="s">
        <v>54</v>
      </c>
      <c r="AA1242" s="8" t="s">
        <v>54</v>
      </c>
      <c r="AB1242" s="10" t="s">
        <v>67</v>
      </c>
      <c r="AC1242" s="8" t="s">
        <v>54</v>
      </c>
      <c r="AD1242" s="8" t="s">
        <v>54</v>
      </c>
      <c r="AE1242" s="8" t="s">
        <v>54</v>
      </c>
      <c r="AF1242" s="8" t="s">
        <v>54</v>
      </c>
      <c r="AG1242" s="8" t="s">
        <v>54</v>
      </c>
      <c r="AH1242" s="8" t="s">
        <v>54</v>
      </c>
      <c r="AI1242" s="10" t="s">
        <v>67</v>
      </c>
      <c r="AJ1242" s="8">
        <f>COUNTIF($E$1242:$AI$1242,"P")</f>
        <v>25</v>
      </c>
      <c r="AK1242" s="8">
        <f>COUNTIF($E$1242:$AI$1242,"A")</f>
        <v>1</v>
      </c>
      <c r="AL1242" s="8">
        <f>SUM($E$1243:$AI$1243)</f>
        <v>0</v>
      </c>
      <c r="AM1242" s="8">
        <f>SUM($E$1244:$AI$1244)</f>
        <v>0</v>
      </c>
      <c r="AN1242" s="8">
        <f>AL1242+AM1242</f>
        <v>0</v>
      </c>
      <c r="AO1242" s="8">
        <f>COUNTIF($E$1242:$AI$1242,"CL")</f>
        <v>0</v>
      </c>
      <c r="AP1242" s="8">
        <f>COUNTIF($E$1242:$AI$1242,"SL")</f>
        <v>0</v>
      </c>
      <c r="AQ1242" s="8">
        <f>COUNTIF($E$1242:$AI$1242,"EL")</f>
        <v>0</v>
      </c>
      <c r="AR1242" s="8">
        <f>COUNTIF($E$1242:$AI$1242,"H")</f>
        <v>0</v>
      </c>
      <c r="AS1242" s="8"/>
      <c r="AT1242" s="11" t="s">
        <v>260</v>
      </c>
    </row>
    <row r="1243" spans="1:46" ht="15.1" customHeight="1">
      <c r="A1243" s="8"/>
      <c r="B1243" s="9"/>
      <c r="C1243" s="8"/>
      <c r="D1243" s="9"/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11" t="s">
        <v>260</v>
      </c>
    </row>
    <row r="1244" spans="1:46" ht="15.1" customHeight="1">
      <c r="A1244" s="8"/>
      <c r="B1244" s="9"/>
      <c r="C1244" s="8"/>
      <c r="D1244" s="9"/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11" t="s">
        <v>260</v>
      </c>
    </row>
    <row r="1245" spans="1:46" ht="15.1" customHeight="1">
      <c r="A1245" s="8">
        <v>414</v>
      </c>
      <c r="B1245" s="9" t="s">
        <v>2883</v>
      </c>
      <c r="C1245" s="8" t="s">
        <v>2884</v>
      </c>
      <c r="D1245" s="9" t="s">
        <v>266</v>
      </c>
      <c r="E1245" s="8" t="s">
        <v>54</v>
      </c>
      <c r="F1245" s="8" t="s">
        <v>54</v>
      </c>
      <c r="G1245" s="10" t="s">
        <v>67</v>
      </c>
      <c r="H1245" s="8" t="s">
        <v>54</v>
      </c>
      <c r="I1245" s="8" t="s">
        <v>54</v>
      </c>
      <c r="J1245" s="8" t="s">
        <v>54</v>
      </c>
      <c r="K1245" s="8" t="s">
        <v>54</v>
      </c>
      <c r="L1245" s="8" t="s">
        <v>54</v>
      </c>
      <c r="M1245" s="8" t="s">
        <v>54</v>
      </c>
      <c r="N1245" s="10" t="s">
        <v>67</v>
      </c>
      <c r="O1245" s="8" t="s">
        <v>54</v>
      </c>
      <c r="P1245" s="8" t="s">
        <v>54</v>
      </c>
      <c r="Q1245" s="8" t="s">
        <v>54</v>
      </c>
      <c r="R1245" s="8" t="s">
        <v>54</v>
      </c>
      <c r="S1245" s="8" t="s">
        <v>54</v>
      </c>
      <c r="T1245" s="8" t="s">
        <v>54</v>
      </c>
      <c r="U1245" s="10" t="s">
        <v>67</v>
      </c>
      <c r="V1245" s="8" t="s">
        <v>54</v>
      </c>
      <c r="W1245" s="8" t="s">
        <v>54</v>
      </c>
      <c r="X1245" s="8" t="s">
        <v>54</v>
      </c>
      <c r="Y1245" s="8" t="s">
        <v>54</v>
      </c>
      <c r="Z1245" s="8" t="s">
        <v>54</v>
      </c>
      <c r="AA1245" s="8" t="s">
        <v>54</v>
      </c>
      <c r="AB1245" s="10" t="s">
        <v>67</v>
      </c>
      <c r="AC1245" s="8" t="s">
        <v>54</v>
      </c>
      <c r="AD1245" s="8" t="s">
        <v>54</v>
      </c>
      <c r="AE1245" s="8" t="s">
        <v>54</v>
      </c>
      <c r="AF1245" s="8" t="s">
        <v>54</v>
      </c>
      <c r="AG1245" s="8" t="s">
        <v>54</v>
      </c>
      <c r="AH1245" s="8" t="s">
        <v>54</v>
      </c>
      <c r="AI1245" s="10" t="s">
        <v>67</v>
      </c>
      <c r="AJ1245" s="8">
        <f>COUNTIF($E$1245:$AI$1245,"P")</f>
        <v>26</v>
      </c>
      <c r="AK1245" s="8">
        <f>COUNTIF($E$1245:$AI$1245,"A")</f>
        <v>0</v>
      </c>
      <c r="AL1245" s="8">
        <f>SUM($E$1246:$AI$1246)</f>
        <v>0</v>
      </c>
      <c r="AM1245" s="8">
        <f>SUM($E$1247:$AI$1247)</f>
        <v>0</v>
      </c>
      <c r="AN1245" s="8">
        <f>AL1245+AM1245</f>
        <v>0</v>
      </c>
      <c r="AO1245" s="8">
        <f>COUNTIF($E$1245:$AI$1245,"CL")</f>
        <v>0</v>
      </c>
      <c r="AP1245" s="8">
        <f>COUNTIF($E$1245:$AI$1245,"SL")</f>
        <v>0</v>
      </c>
      <c r="AQ1245" s="8">
        <f>COUNTIF($E$1245:$AI$1245,"EL")</f>
        <v>0</v>
      </c>
      <c r="AR1245" s="8">
        <f>COUNTIF($E$1245:$AI$1245,"H")</f>
        <v>0</v>
      </c>
      <c r="AS1245" s="8"/>
      <c r="AT1245" s="11" t="s">
        <v>260</v>
      </c>
    </row>
    <row r="1246" spans="1:46" ht="15.1" customHeight="1">
      <c r="A1246" s="8"/>
      <c r="B1246" s="9"/>
      <c r="C1246" s="8"/>
      <c r="D1246" s="9"/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11" t="s">
        <v>260</v>
      </c>
    </row>
    <row r="1247" spans="1:46" ht="15.1" customHeight="1">
      <c r="A1247" s="8"/>
      <c r="B1247" s="9"/>
      <c r="C1247" s="8"/>
      <c r="D1247" s="9"/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11" t="s">
        <v>260</v>
      </c>
    </row>
    <row r="1248" spans="1:46" ht="15.1" customHeight="1">
      <c r="A1248" s="8">
        <v>415</v>
      </c>
      <c r="B1248" s="9" t="s">
        <v>2885</v>
      </c>
      <c r="C1248" s="8" t="s">
        <v>2886</v>
      </c>
      <c r="D1248" s="9" t="s">
        <v>266</v>
      </c>
      <c r="E1248" s="8" t="s">
        <v>54</v>
      </c>
      <c r="F1248" s="8" t="s">
        <v>54</v>
      </c>
      <c r="G1248" s="10" t="s">
        <v>67</v>
      </c>
      <c r="H1248" s="8" t="s">
        <v>54</v>
      </c>
      <c r="I1248" s="8" t="s">
        <v>54</v>
      </c>
      <c r="J1248" s="8" t="s">
        <v>54</v>
      </c>
      <c r="K1248" s="8" t="s">
        <v>54</v>
      </c>
      <c r="L1248" s="8" t="s">
        <v>54</v>
      </c>
      <c r="M1248" s="8" t="s">
        <v>54</v>
      </c>
      <c r="N1248" s="10" t="s">
        <v>67</v>
      </c>
      <c r="O1248" s="8" t="s">
        <v>54</v>
      </c>
      <c r="P1248" s="8" t="s">
        <v>54</v>
      </c>
      <c r="Q1248" s="8" t="s">
        <v>54</v>
      </c>
      <c r="R1248" s="8" t="s">
        <v>54</v>
      </c>
      <c r="S1248" s="8" t="s">
        <v>54</v>
      </c>
      <c r="T1248" s="8" t="s">
        <v>54</v>
      </c>
      <c r="U1248" s="10" t="s">
        <v>67</v>
      </c>
      <c r="V1248" s="8" t="s">
        <v>54</v>
      </c>
      <c r="W1248" s="8" t="s">
        <v>54</v>
      </c>
      <c r="X1248" s="8" t="s">
        <v>54</v>
      </c>
      <c r="Y1248" s="8" t="s">
        <v>54</v>
      </c>
      <c r="Z1248" s="8" t="s">
        <v>54</v>
      </c>
      <c r="AA1248" s="8" t="s">
        <v>54</v>
      </c>
      <c r="AB1248" s="10" t="s">
        <v>67</v>
      </c>
      <c r="AC1248" s="8" t="s">
        <v>54</v>
      </c>
      <c r="AD1248" s="8" t="s">
        <v>54</v>
      </c>
      <c r="AE1248" s="8" t="s">
        <v>54</v>
      </c>
      <c r="AF1248" s="8" t="s">
        <v>54</v>
      </c>
      <c r="AG1248" s="8" t="s">
        <v>54</v>
      </c>
      <c r="AH1248" s="8" t="s">
        <v>54</v>
      </c>
      <c r="AI1248" s="10" t="s">
        <v>67</v>
      </c>
      <c r="AJ1248" s="8">
        <f>COUNTIF($E$1248:$AI$1248,"P")</f>
        <v>26</v>
      </c>
      <c r="AK1248" s="8">
        <f>COUNTIF($E$1248:$AI$1248,"A")</f>
        <v>0</v>
      </c>
      <c r="AL1248" s="8">
        <f>SUM($E$1249:$AI$1249)</f>
        <v>0</v>
      </c>
      <c r="AM1248" s="8">
        <f>SUM($E$1250:$AI$1250)</f>
        <v>0</v>
      </c>
      <c r="AN1248" s="8">
        <f>AL1248+AM1248</f>
        <v>0</v>
      </c>
      <c r="AO1248" s="8">
        <f>COUNTIF($E$1248:$AI$1248,"CL")</f>
        <v>0</v>
      </c>
      <c r="AP1248" s="8">
        <f>COUNTIF($E$1248:$AI$1248,"SL")</f>
        <v>0</v>
      </c>
      <c r="AQ1248" s="8">
        <f>COUNTIF($E$1248:$AI$1248,"EL")</f>
        <v>0</v>
      </c>
      <c r="AR1248" s="8">
        <f>COUNTIF($E$1248:$AI$1248,"H")</f>
        <v>0</v>
      </c>
      <c r="AS1248" s="8"/>
      <c r="AT1248" s="11" t="s">
        <v>260</v>
      </c>
    </row>
    <row r="1249" spans="1:46" ht="15.1" customHeight="1">
      <c r="A1249" s="8"/>
      <c r="B1249" s="9"/>
      <c r="C1249" s="8"/>
      <c r="D1249" s="9"/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11" t="s">
        <v>260</v>
      </c>
    </row>
    <row r="1250" spans="1:46" ht="15.1" customHeight="1">
      <c r="A1250" s="8"/>
      <c r="B1250" s="9"/>
      <c r="C1250" s="8"/>
      <c r="D1250" s="9"/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11" t="s">
        <v>260</v>
      </c>
    </row>
    <row r="1251" spans="1:46" ht="15.1" customHeight="1">
      <c r="A1251" s="8">
        <v>416</v>
      </c>
      <c r="B1251" s="9" t="s">
        <v>2887</v>
      </c>
      <c r="C1251" s="8" t="s">
        <v>2888</v>
      </c>
      <c r="D1251" s="9" t="s">
        <v>266</v>
      </c>
      <c r="E1251" s="8" t="s">
        <v>54</v>
      </c>
      <c r="F1251" s="8" t="s">
        <v>54</v>
      </c>
      <c r="G1251" s="10" t="s">
        <v>67</v>
      </c>
      <c r="H1251" s="8" t="s">
        <v>54</v>
      </c>
      <c r="I1251" s="8" t="s">
        <v>54</v>
      </c>
      <c r="J1251" s="8" t="s">
        <v>54</v>
      </c>
      <c r="K1251" s="8" t="s">
        <v>54</v>
      </c>
      <c r="L1251" s="8" t="s">
        <v>54</v>
      </c>
      <c r="M1251" s="8" t="s">
        <v>54</v>
      </c>
      <c r="N1251" s="10" t="s">
        <v>67</v>
      </c>
      <c r="O1251" s="8" t="s">
        <v>54</v>
      </c>
      <c r="P1251" s="8" t="s">
        <v>54</v>
      </c>
      <c r="Q1251" s="8" t="s">
        <v>54</v>
      </c>
      <c r="R1251" s="8" t="s">
        <v>54</v>
      </c>
      <c r="S1251" s="8" t="s">
        <v>54</v>
      </c>
      <c r="T1251" s="8" t="s">
        <v>54</v>
      </c>
      <c r="U1251" s="10" t="s">
        <v>67</v>
      </c>
      <c r="V1251" s="8" t="s">
        <v>54</v>
      </c>
      <c r="W1251" s="8" t="s">
        <v>54</v>
      </c>
      <c r="X1251" s="8" t="s">
        <v>54</v>
      </c>
      <c r="Y1251" s="8" t="s">
        <v>54</v>
      </c>
      <c r="Z1251" s="8" t="s">
        <v>54</v>
      </c>
      <c r="AA1251" s="8" t="s">
        <v>54</v>
      </c>
      <c r="AB1251" s="10" t="s">
        <v>67</v>
      </c>
      <c r="AC1251" s="8" t="s">
        <v>54</v>
      </c>
      <c r="AD1251" s="8" t="s">
        <v>54</v>
      </c>
      <c r="AE1251" s="8" t="s">
        <v>54</v>
      </c>
      <c r="AF1251" s="8" t="s">
        <v>54</v>
      </c>
      <c r="AG1251" s="8" t="s">
        <v>54</v>
      </c>
      <c r="AH1251" s="8" t="s">
        <v>54</v>
      </c>
      <c r="AI1251" s="10" t="s">
        <v>67</v>
      </c>
      <c r="AJ1251" s="8">
        <f>COUNTIF($E$1251:$AI$1251,"P")</f>
        <v>26</v>
      </c>
      <c r="AK1251" s="8">
        <f>COUNTIF($E$1251:$AI$1251,"A")</f>
        <v>0</v>
      </c>
      <c r="AL1251" s="8">
        <f>SUM($E$1252:$AI$1252)</f>
        <v>0</v>
      </c>
      <c r="AM1251" s="8">
        <f>SUM($E$1253:$AI$1253)</f>
        <v>0</v>
      </c>
      <c r="AN1251" s="8">
        <f>AL1251+AM1251</f>
        <v>0</v>
      </c>
      <c r="AO1251" s="8">
        <f>COUNTIF($E$1251:$AI$1251,"CL")</f>
        <v>0</v>
      </c>
      <c r="AP1251" s="8">
        <f>COUNTIF($E$1251:$AI$1251,"SL")</f>
        <v>0</v>
      </c>
      <c r="AQ1251" s="8">
        <f>COUNTIF($E$1251:$AI$1251,"EL")</f>
        <v>0</v>
      </c>
      <c r="AR1251" s="8">
        <f>COUNTIF($E$1251:$AI$1251,"H")</f>
        <v>0</v>
      </c>
      <c r="AS1251" s="8"/>
      <c r="AT1251" s="11" t="s">
        <v>260</v>
      </c>
    </row>
    <row r="1252" spans="1:46" ht="15.1" customHeight="1">
      <c r="A1252" s="8"/>
      <c r="B1252" s="9"/>
      <c r="C1252" s="8"/>
      <c r="D1252" s="9"/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11" t="s">
        <v>260</v>
      </c>
    </row>
    <row r="1253" spans="1:46" ht="15.1" customHeight="1">
      <c r="A1253" s="8"/>
      <c r="B1253" s="9"/>
      <c r="C1253" s="8"/>
      <c r="D1253" s="9"/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11" t="s">
        <v>260</v>
      </c>
    </row>
    <row r="1254" spans="1:46" ht="15.1" customHeight="1">
      <c r="A1254" s="8">
        <v>417</v>
      </c>
      <c r="B1254" s="9" t="s">
        <v>2889</v>
      </c>
      <c r="C1254" s="8" t="s">
        <v>2890</v>
      </c>
      <c r="D1254" s="9" t="s">
        <v>266</v>
      </c>
      <c r="E1254" s="8" t="s">
        <v>54</v>
      </c>
      <c r="F1254" s="8" t="s">
        <v>54</v>
      </c>
      <c r="G1254" s="10" t="s">
        <v>67</v>
      </c>
      <c r="H1254" s="8" t="s">
        <v>54</v>
      </c>
      <c r="I1254" s="8" t="s">
        <v>54</v>
      </c>
      <c r="J1254" s="8" t="s">
        <v>54</v>
      </c>
      <c r="K1254" s="8" t="s">
        <v>54</v>
      </c>
      <c r="L1254" s="8" t="s">
        <v>54</v>
      </c>
      <c r="M1254" s="8" t="s">
        <v>54</v>
      </c>
      <c r="N1254" s="10" t="s">
        <v>67</v>
      </c>
      <c r="O1254" s="8" t="s">
        <v>54</v>
      </c>
      <c r="P1254" s="8" t="s">
        <v>54</v>
      </c>
      <c r="Q1254" s="8" t="s">
        <v>54</v>
      </c>
      <c r="R1254" s="8" t="s">
        <v>54</v>
      </c>
      <c r="S1254" s="8" t="s">
        <v>54</v>
      </c>
      <c r="T1254" s="8" t="s">
        <v>54</v>
      </c>
      <c r="U1254" s="10" t="s">
        <v>67</v>
      </c>
      <c r="V1254" s="8" t="s">
        <v>54</v>
      </c>
      <c r="W1254" s="8" t="s">
        <v>54</v>
      </c>
      <c r="X1254" s="8" t="s">
        <v>54</v>
      </c>
      <c r="Y1254" s="8" t="s">
        <v>54</v>
      </c>
      <c r="Z1254" s="8" t="s">
        <v>54</v>
      </c>
      <c r="AA1254" s="8" t="s">
        <v>54</v>
      </c>
      <c r="AB1254" s="10" t="s">
        <v>67</v>
      </c>
      <c r="AC1254" s="8" t="s">
        <v>54</v>
      </c>
      <c r="AD1254" s="12" t="s">
        <v>55</v>
      </c>
      <c r="AE1254" s="12" t="s">
        <v>55</v>
      </c>
      <c r="AF1254" s="8" t="s">
        <v>54</v>
      </c>
      <c r="AG1254" s="8" t="s">
        <v>54</v>
      </c>
      <c r="AH1254" s="8" t="s">
        <v>54</v>
      </c>
      <c r="AI1254" s="10" t="s">
        <v>67</v>
      </c>
      <c r="AJ1254" s="8">
        <f>COUNTIF($E$1254:$AI$1254,"P")</f>
        <v>24</v>
      </c>
      <c r="AK1254" s="8">
        <f>COUNTIF($E$1254:$AI$1254,"A")</f>
        <v>2</v>
      </c>
      <c r="AL1254" s="8">
        <f>SUM($E$1255:$AI$1255)</f>
        <v>0</v>
      </c>
      <c r="AM1254" s="8">
        <f>SUM($E$1256:$AI$1256)</f>
        <v>0</v>
      </c>
      <c r="AN1254" s="8">
        <f>AL1254+AM1254</f>
        <v>0</v>
      </c>
      <c r="AO1254" s="8">
        <f>COUNTIF($E$1254:$AI$1254,"CL")</f>
        <v>0</v>
      </c>
      <c r="AP1254" s="8">
        <f>COUNTIF($E$1254:$AI$1254,"SL")</f>
        <v>0</v>
      </c>
      <c r="AQ1254" s="8">
        <f>COUNTIF($E$1254:$AI$1254,"EL")</f>
        <v>0</v>
      </c>
      <c r="AR1254" s="8">
        <f>COUNTIF($E$1254:$AI$1254,"H")</f>
        <v>0</v>
      </c>
      <c r="AS1254" s="8"/>
      <c r="AT1254" s="11" t="s">
        <v>260</v>
      </c>
    </row>
    <row r="1255" spans="1:46" ht="15.1" customHeight="1">
      <c r="A1255" s="8"/>
      <c r="B1255" s="9"/>
      <c r="C1255" s="8"/>
      <c r="D1255" s="9"/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11" t="s">
        <v>260</v>
      </c>
    </row>
    <row r="1256" spans="1:46" ht="15.1" customHeight="1">
      <c r="A1256" s="8"/>
      <c r="B1256" s="9"/>
      <c r="C1256" s="8"/>
      <c r="D1256" s="9"/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11" t="s">
        <v>260</v>
      </c>
    </row>
    <row r="1257" spans="1:46" ht="15.1" customHeight="1">
      <c r="A1257" s="8">
        <v>418</v>
      </c>
      <c r="B1257" s="9" t="s">
        <v>2891</v>
      </c>
      <c r="C1257" s="8" t="s">
        <v>2892</v>
      </c>
      <c r="D1257" s="9" t="s">
        <v>266</v>
      </c>
      <c r="E1257" s="8" t="s">
        <v>54</v>
      </c>
      <c r="F1257" s="8" t="s">
        <v>54</v>
      </c>
      <c r="G1257" s="10" t="s">
        <v>67</v>
      </c>
      <c r="H1257" s="8" t="s">
        <v>54</v>
      </c>
      <c r="I1257" s="8" t="s">
        <v>54</v>
      </c>
      <c r="J1257" s="8" t="s">
        <v>54</v>
      </c>
      <c r="K1257" s="8" t="s">
        <v>54</v>
      </c>
      <c r="L1257" s="8" t="s">
        <v>54</v>
      </c>
      <c r="M1257" s="8" t="s">
        <v>54</v>
      </c>
      <c r="N1257" s="10" t="s">
        <v>67</v>
      </c>
      <c r="O1257" s="8" t="s">
        <v>54</v>
      </c>
      <c r="P1257" s="8" t="s">
        <v>54</v>
      </c>
      <c r="Q1257" s="8" t="s">
        <v>54</v>
      </c>
      <c r="R1257" s="8" t="s">
        <v>54</v>
      </c>
      <c r="S1257" s="8" t="s">
        <v>54</v>
      </c>
      <c r="T1257" s="8" t="s">
        <v>54</v>
      </c>
      <c r="U1257" s="10" t="s">
        <v>67</v>
      </c>
      <c r="V1257" s="8" t="s">
        <v>54</v>
      </c>
      <c r="W1257" s="8" t="s">
        <v>54</v>
      </c>
      <c r="X1257" s="8" t="s">
        <v>54</v>
      </c>
      <c r="Y1257" s="8" t="s">
        <v>54</v>
      </c>
      <c r="Z1257" s="8" t="s">
        <v>54</v>
      </c>
      <c r="AA1257" s="8" t="s">
        <v>54</v>
      </c>
      <c r="AB1257" s="10" t="s">
        <v>67</v>
      </c>
      <c r="AC1257" s="8" t="s">
        <v>54</v>
      </c>
      <c r="AD1257" s="8" t="s">
        <v>54</v>
      </c>
      <c r="AE1257" s="8" t="s">
        <v>54</v>
      </c>
      <c r="AF1257" s="8" t="s">
        <v>54</v>
      </c>
      <c r="AG1257" s="8" t="s">
        <v>54</v>
      </c>
      <c r="AH1257" s="8" t="s">
        <v>54</v>
      </c>
      <c r="AI1257" s="10" t="s">
        <v>67</v>
      </c>
      <c r="AJ1257" s="8">
        <f>COUNTIF($E$1257:$AI$1257,"P")</f>
        <v>26</v>
      </c>
      <c r="AK1257" s="8">
        <f>COUNTIF($E$1257:$AI$1257,"A")</f>
        <v>0</v>
      </c>
      <c r="AL1257" s="8">
        <f>SUM($E$1258:$AI$1258)</f>
        <v>0</v>
      </c>
      <c r="AM1257" s="8">
        <f>SUM($E$1259:$AI$1259)</f>
        <v>0</v>
      </c>
      <c r="AN1257" s="8">
        <f>AL1257+AM1257</f>
        <v>0</v>
      </c>
      <c r="AO1257" s="8">
        <f>COUNTIF($E$1257:$AI$1257,"CL")</f>
        <v>0</v>
      </c>
      <c r="AP1257" s="8">
        <f>COUNTIF($E$1257:$AI$1257,"SL")</f>
        <v>0</v>
      </c>
      <c r="AQ1257" s="8">
        <f>COUNTIF($E$1257:$AI$1257,"EL")</f>
        <v>0</v>
      </c>
      <c r="AR1257" s="8">
        <f>COUNTIF($E$1257:$AI$1257,"H")</f>
        <v>0</v>
      </c>
      <c r="AS1257" s="8"/>
      <c r="AT1257" s="11" t="s">
        <v>260</v>
      </c>
    </row>
    <row r="1258" spans="1:46" ht="15.1" customHeight="1">
      <c r="A1258" s="8"/>
      <c r="B1258" s="9"/>
      <c r="C1258" s="8"/>
      <c r="D1258" s="9"/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11" t="s">
        <v>260</v>
      </c>
    </row>
    <row r="1259" spans="1:46" ht="15.1" customHeight="1">
      <c r="A1259" s="8"/>
      <c r="B1259" s="9"/>
      <c r="C1259" s="8"/>
      <c r="D1259" s="9"/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11" t="s">
        <v>260</v>
      </c>
    </row>
    <row r="1260" spans="1:46" ht="15.1" customHeight="1">
      <c r="A1260" s="8">
        <v>419</v>
      </c>
      <c r="B1260" s="9" t="s">
        <v>2893</v>
      </c>
      <c r="C1260" s="8" t="s">
        <v>2894</v>
      </c>
      <c r="D1260" s="9" t="s">
        <v>266</v>
      </c>
      <c r="E1260" s="12" t="s">
        <v>55</v>
      </c>
      <c r="F1260" s="8" t="s">
        <v>54</v>
      </c>
      <c r="G1260" s="10" t="s">
        <v>67</v>
      </c>
      <c r="H1260" s="8" t="s">
        <v>54</v>
      </c>
      <c r="I1260" s="8" t="s">
        <v>54</v>
      </c>
      <c r="J1260" s="8" t="s">
        <v>54</v>
      </c>
      <c r="K1260" s="8" t="s">
        <v>54</v>
      </c>
      <c r="L1260" s="8" t="s">
        <v>54</v>
      </c>
      <c r="M1260" s="8" t="s">
        <v>54</v>
      </c>
      <c r="N1260" s="10" t="s">
        <v>67</v>
      </c>
      <c r="O1260" s="8" t="s">
        <v>54</v>
      </c>
      <c r="P1260" s="8" t="s">
        <v>54</v>
      </c>
      <c r="Q1260" s="8" t="s">
        <v>54</v>
      </c>
      <c r="R1260" s="8" t="s">
        <v>54</v>
      </c>
      <c r="S1260" s="8" t="s">
        <v>54</v>
      </c>
      <c r="T1260" s="8" t="s">
        <v>54</v>
      </c>
      <c r="U1260" s="10" t="s">
        <v>67</v>
      </c>
      <c r="V1260" s="8" t="s">
        <v>54</v>
      </c>
      <c r="W1260" s="12" t="s">
        <v>55</v>
      </c>
      <c r="X1260" s="12" t="s">
        <v>55</v>
      </c>
      <c r="Y1260" s="12" t="s">
        <v>55</v>
      </c>
      <c r="Z1260" s="12" t="s">
        <v>55</v>
      </c>
      <c r="AA1260" s="12" t="s">
        <v>55</v>
      </c>
      <c r="AB1260" s="10" t="s">
        <v>67</v>
      </c>
      <c r="AC1260" s="8" t="s">
        <v>54</v>
      </c>
      <c r="AD1260" s="8" t="s">
        <v>54</v>
      </c>
      <c r="AE1260" s="8" t="s">
        <v>54</v>
      </c>
      <c r="AF1260" s="8" t="s">
        <v>54</v>
      </c>
      <c r="AG1260" s="8" t="s">
        <v>54</v>
      </c>
      <c r="AH1260" s="8" t="s">
        <v>54</v>
      </c>
      <c r="AI1260" s="10" t="s">
        <v>67</v>
      </c>
      <c r="AJ1260" s="8">
        <f>COUNTIF($E$1260:$AI$1260,"P")</f>
        <v>20</v>
      </c>
      <c r="AK1260" s="8">
        <f>COUNTIF($E$1260:$AI$1260,"A")</f>
        <v>6</v>
      </c>
      <c r="AL1260" s="8">
        <f>SUM($E$1261:$AI$1261)</f>
        <v>0</v>
      </c>
      <c r="AM1260" s="8">
        <f>SUM($E$1262:$AI$1262)</f>
        <v>0</v>
      </c>
      <c r="AN1260" s="8">
        <f>AL1260+AM1260</f>
        <v>0</v>
      </c>
      <c r="AO1260" s="8">
        <f>COUNTIF($E$1260:$AI$1260,"CL")</f>
        <v>0</v>
      </c>
      <c r="AP1260" s="8">
        <f>COUNTIF($E$1260:$AI$1260,"SL")</f>
        <v>0</v>
      </c>
      <c r="AQ1260" s="8">
        <f>COUNTIF($E$1260:$AI$1260,"EL")</f>
        <v>0</v>
      </c>
      <c r="AR1260" s="8">
        <f>COUNTIF($E$1260:$AI$1260,"H")</f>
        <v>0</v>
      </c>
      <c r="AS1260" s="8"/>
      <c r="AT1260" s="11" t="s">
        <v>260</v>
      </c>
    </row>
    <row r="1261" spans="1:46" ht="15.1" customHeight="1">
      <c r="A1261" s="8"/>
      <c r="B1261" s="9"/>
      <c r="C1261" s="8"/>
      <c r="D1261" s="9"/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11" t="s">
        <v>260</v>
      </c>
    </row>
    <row r="1262" spans="1:46" ht="15.1" customHeight="1">
      <c r="A1262" s="8"/>
      <c r="B1262" s="9"/>
      <c r="C1262" s="8"/>
      <c r="D1262" s="9"/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11" t="s">
        <v>260</v>
      </c>
    </row>
    <row r="1263" spans="1:46" ht="15.1" customHeight="1">
      <c r="A1263" s="8">
        <v>420</v>
      </c>
      <c r="B1263" s="9" t="s">
        <v>2895</v>
      </c>
      <c r="C1263" s="8" t="s">
        <v>2896</v>
      </c>
      <c r="D1263" s="9" t="s">
        <v>266</v>
      </c>
      <c r="E1263" s="8" t="s">
        <v>54</v>
      </c>
      <c r="F1263" s="8" t="s">
        <v>54</v>
      </c>
      <c r="G1263" s="10" t="s">
        <v>67</v>
      </c>
      <c r="H1263" s="8" t="s">
        <v>54</v>
      </c>
      <c r="I1263" s="8" t="s">
        <v>54</v>
      </c>
      <c r="J1263" s="8" t="s">
        <v>54</v>
      </c>
      <c r="K1263" s="8" t="s">
        <v>54</v>
      </c>
      <c r="L1263" s="8" t="s">
        <v>54</v>
      </c>
      <c r="M1263" s="8" t="s">
        <v>54</v>
      </c>
      <c r="N1263" s="10" t="s">
        <v>67</v>
      </c>
      <c r="O1263" s="8" t="s">
        <v>54</v>
      </c>
      <c r="P1263" s="8" t="s">
        <v>54</v>
      </c>
      <c r="Q1263" s="8" t="s">
        <v>54</v>
      </c>
      <c r="R1263" s="8" t="s">
        <v>54</v>
      </c>
      <c r="S1263" s="8" t="s">
        <v>54</v>
      </c>
      <c r="T1263" s="8" t="s">
        <v>54</v>
      </c>
      <c r="U1263" s="10" t="s">
        <v>67</v>
      </c>
      <c r="V1263" s="8" t="s">
        <v>54</v>
      </c>
      <c r="W1263" s="8" t="s">
        <v>54</v>
      </c>
      <c r="X1263" s="8" t="s">
        <v>54</v>
      </c>
      <c r="Y1263" s="8" t="s">
        <v>54</v>
      </c>
      <c r="Z1263" s="8" t="s">
        <v>54</v>
      </c>
      <c r="AA1263" s="8" t="s">
        <v>54</v>
      </c>
      <c r="AB1263" s="10" t="s">
        <v>67</v>
      </c>
      <c r="AC1263" s="8" t="s">
        <v>54</v>
      </c>
      <c r="AD1263" s="8" t="s">
        <v>54</v>
      </c>
      <c r="AE1263" s="8" t="s">
        <v>54</v>
      </c>
      <c r="AF1263" s="8" t="s">
        <v>54</v>
      </c>
      <c r="AG1263" s="8" t="s">
        <v>54</v>
      </c>
      <c r="AH1263" s="8" t="s">
        <v>54</v>
      </c>
      <c r="AI1263" s="10" t="s">
        <v>67</v>
      </c>
      <c r="AJ1263" s="8">
        <f>COUNTIF($E$1263:$AI$1263,"P")</f>
        <v>26</v>
      </c>
      <c r="AK1263" s="8">
        <f>COUNTIF($E$1263:$AI$1263,"A")</f>
        <v>0</v>
      </c>
      <c r="AL1263" s="8">
        <f>SUM($E$1264:$AI$1264)</f>
        <v>0</v>
      </c>
      <c r="AM1263" s="8">
        <f>SUM($E$1265:$AI$1265)</f>
        <v>0</v>
      </c>
      <c r="AN1263" s="8">
        <f>AL1263+AM1263</f>
        <v>0</v>
      </c>
      <c r="AO1263" s="8">
        <f>COUNTIF($E$1263:$AI$1263,"CL")</f>
        <v>0</v>
      </c>
      <c r="AP1263" s="8">
        <f>COUNTIF($E$1263:$AI$1263,"SL")</f>
        <v>0</v>
      </c>
      <c r="AQ1263" s="8">
        <f>COUNTIF($E$1263:$AI$1263,"EL")</f>
        <v>0</v>
      </c>
      <c r="AR1263" s="8">
        <f>COUNTIF($E$1263:$AI$1263,"H")</f>
        <v>0</v>
      </c>
      <c r="AS1263" s="8"/>
      <c r="AT1263" s="11" t="s">
        <v>260</v>
      </c>
    </row>
    <row r="1264" spans="1:46" ht="15.1" customHeight="1">
      <c r="A1264" s="8"/>
      <c r="B1264" s="9"/>
      <c r="C1264" s="8"/>
      <c r="D1264" s="9"/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11" t="s">
        <v>260</v>
      </c>
    </row>
    <row r="1265" spans="1:46" ht="15.1" customHeight="1">
      <c r="A1265" s="8"/>
      <c r="B1265" s="9"/>
      <c r="C1265" s="8"/>
      <c r="D1265" s="9"/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11" t="s">
        <v>260</v>
      </c>
    </row>
    <row r="1266" spans="1:46" ht="15.1" customHeight="1">
      <c r="A1266" s="8">
        <v>421</v>
      </c>
      <c r="B1266" s="9" t="s">
        <v>2897</v>
      </c>
      <c r="C1266" s="8" t="s">
        <v>2898</v>
      </c>
      <c r="D1266" s="9" t="s">
        <v>266</v>
      </c>
      <c r="E1266" s="8" t="s">
        <v>54</v>
      </c>
      <c r="F1266" s="8" t="s">
        <v>54</v>
      </c>
      <c r="G1266" s="10" t="s">
        <v>67</v>
      </c>
      <c r="H1266" s="8" t="s">
        <v>54</v>
      </c>
      <c r="I1266" s="8" t="s">
        <v>54</v>
      </c>
      <c r="J1266" s="8" t="s">
        <v>54</v>
      </c>
      <c r="K1266" s="8" t="s">
        <v>54</v>
      </c>
      <c r="L1266" s="8" t="s">
        <v>54</v>
      </c>
      <c r="M1266" s="8" t="s">
        <v>54</v>
      </c>
      <c r="N1266" s="10" t="s">
        <v>67</v>
      </c>
      <c r="O1266" s="8" t="s">
        <v>54</v>
      </c>
      <c r="P1266" s="8" t="s">
        <v>54</v>
      </c>
      <c r="Q1266" s="8" t="s">
        <v>54</v>
      </c>
      <c r="R1266" s="8" t="s">
        <v>54</v>
      </c>
      <c r="S1266" s="8" t="s">
        <v>54</v>
      </c>
      <c r="T1266" s="8" t="s">
        <v>54</v>
      </c>
      <c r="U1266" s="10" t="s">
        <v>67</v>
      </c>
      <c r="V1266" s="8" t="s">
        <v>54</v>
      </c>
      <c r="W1266" s="12" t="s">
        <v>55</v>
      </c>
      <c r="X1266" s="8" t="s">
        <v>54</v>
      </c>
      <c r="Y1266" s="8" t="s">
        <v>54</v>
      </c>
      <c r="Z1266" s="8" t="s">
        <v>54</v>
      </c>
      <c r="AA1266" s="8" t="s">
        <v>54</v>
      </c>
      <c r="AB1266" s="10" t="s">
        <v>67</v>
      </c>
      <c r="AC1266" s="8" t="s">
        <v>54</v>
      </c>
      <c r="AD1266" s="8" t="s">
        <v>54</v>
      </c>
      <c r="AE1266" s="8" t="s">
        <v>54</v>
      </c>
      <c r="AF1266" s="8" t="s">
        <v>54</v>
      </c>
      <c r="AG1266" s="8" t="s">
        <v>54</v>
      </c>
      <c r="AH1266" s="8" t="s">
        <v>54</v>
      </c>
      <c r="AI1266" s="10" t="s">
        <v>67</v>
      </c>
      <c r="AJ1266" s="8">
        <f>COUNTIF($E$1266:$AI$1266,"P")</f>
        <v>25</v>
      </c>
      <c r="AK1266" s="8">
        <f>COUNTIF($E$1266:$AI$1266,"A")</f>
        <v>1</v>
      </c>
      <c r="AL1266" s="8">
        <f>SUM($E$1267:$AI$1267)</f>
        <v>0</v>
      </c>
      <c r="AM1266" s="8">
        <f>SUM($E$1268:$AI$1268)</f>
        <v>0</v>
      </c>
      <c r="AN1266" s="8">
        <f>AL1266+AM1266</f>
        <v>0</v>
      </c>
      <c r="AO1266" s="8">
        <f>COUNTIF($E$1266:$AI$1266,"CL")</f>
        <v>0</v>
      </c>
      <c r="AP1266" s="8">
        <f>COUNTIF($E$1266:$AI$1266,"SL")</f>
        <v>0</v>
      </c>
      <c r="AQ1266" s="8">
        <f>COUNTIF($E$1266:$AI$1266,"EL")</f>
        <v>0</v>
      </c>
      <c r="AR1266" s="8">
        <f>COUNTIF($E$1266:$AI$1266,"H")</f>
        <v>0</v>
      </c>
      <c r="AS1266" s="8"/>
      <c r="AT1266" s="11" t="s">
        <v>260</v>
      </c>
    </row>
    <row r="1267" spans="1:46" ht="15.1" customHeight="1">
      <c r="A1267" s="8"/>
      <c r="B1267" s="9"/>
      <c r="C1267" s="8"/>
      <c r="D1267" s="9"/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11" t="s">
        <v>260</v>
      </c>
    </row>
    <row r="1268" spans="1:46" ht="15.1" customHeight="1">
      <c r="A1268" s="8"/>
      <c r="B1268" s="9"/>
      <c r="C1268" s="8"/>
      <c r="D1268" s="9"/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11" t="s">
        <v>260</v>
      </c>
    </row>
  </sheetData>
  <sheetProtection password="EC95" sheet="1" objects="1" scenarios="1" formatColumns="0" formatRows="0" autoFilter="0"/>
  <autoFilter ref="A5:AT1268"/>
  <mergeCells count="5897">
    <mergeCell ref="A1:AS1"/>
    <mergeCell ref="A2:AS2"/>
    <mergeCell ref="A3:AS3"/>
    <mergeCell ref="A6:A8"/>
    <mergeCell ref="B6:B8"/>
    <mergeCell ref="C6:C8"/>
    <mergeCell ref="D6:D8"/>
    <mergeCell ref="AJ6:AJ8"/>
    <mergeCell ref="AK6:AK8"/>
    <mergeCell ref="AL6:AL8"/>
    <mergeCell ref="AM6:AM8"/>
    <mergeCell ref="AN6:AN8"/>
    <mergeCell ref="AO6:AO8"/>
    <mergeCell ref="AP6:AP8"/>
    <mergeCell ref="AQ6:AQ8"/>
    <mergeCell ref="AR6:AR8"/>
    <mergeCell ref="AS6:AS8"/>
    <mergeCell ref="A9:A11"/>
    <mergeCell ref="B9:B11"/>
    <mergeCell ref="C9:C11"/>
    <mergeCell ref="D9:D11"/>
    <mergeCell ref="AJ9:AJ11"/>
    <mergeCell ref="AK9:AK11"/>
    <mergeCell ref="AL9:AL11"/>
    <mergeCell ref="AM9:AM11"/>
    <mergeCell ref="AN9:AN11"/>
    <mergeCell ref="AO9:AO11"/>
    <mergeCell ref="AP9:AP11"/>
    <mergeCell ref="AQ9:AQ11"/>
    <mergeCell ref="AR9:AR11"/>
    <mergeCell ref="AS9:AS11"/>
    <mergeCell ref="A12:A14"/>
    <mergeCell ref="B12:B14"/>
    <mergeCell ref="C12:C14"/>
    <mergeCell ref="D12:D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15:A17"/>
    <mergeCell ref="B15:B17"/>
    <mergeCell ref="C15:C17"/>
    <mergeCell ref="D15:D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AR15:AR17"/>
    <mergeCell ref="AS15:AS17"/>
    <mergeCell ref="A18:A20"/>
    <mergeCell ref="B18:B20"/>
    <mergeCell ref="C18:C20"/>
    <mergeCell ref="D18:D20"/>
    <mergeCell ref="AJ18:AJ20"/>
    <mergeCell ref="AK18:AK20"/>
    <mergeCell ref="AL18:AL20"/>
    <mergeCell ref="AM18:AM20"/>
    <mergeCell ref="AN18:AN20"/>
    <mergeCell ref="AO18:AO20"/>
    <mergeCell ref="AP18:AP20"/>
    <mergeCell ref="AQ18:AQ20"/>
    <mergeCell ref="AR18:AR20"/>
    <mergeCell ref="AS18:AS20"/>
    <mergeCell ref="A21:A23"/>
    <mergeCell ref="B21:B23"/>
    <mergeCell ref="C21:C23"/>
    <mergeCell ref="D21:D23"/>
    <mergeCell ref="AJ21:AJ23"/>
    <mergeCell ref="AK21:AK23"/>
    <mergeCell ref="AL21:AL23"/>
    <mergeCell ref="AM21:AM23"/>
    <mergeCell ref="AN21:AN23"/>
    <mergeCell ref="AO21:AO23"/>
    <mergeCell ref="AP21:AP23"/>
    <mergeCell ref="AQ21:AQ23"/>
    <mergeCell ref="AR21:AR23"/>
    <mergeCell ref="AS21:AS23"/>
    <mergeCell ref="A24:A26"/>
    <mergeCell ref="B24:B26"/>
    <mergeCell ref="C24:C26"/>
    <mergeCell ref="D24:D26"/>
    <mergeCell ref="AJ24:AJ26"/>
    <mergeCell ref="AK24:AK26"/>
    <mergeCell ref="AL24:AL26"/>
    <mergeCell ref="AM24:AM26"/>
    <mergeCell ref="AN24:AN26"/>
    <mergeCell ref="AO24:AO26"/>
    <mergeCell ref="AP24:AP26"/>
    <mergeCell ref="AQ24:AQ26"/>
    <mergeCell ref="AR24:AR26"/>
    <mergeCell ref="AS24:AS26"/>
    <mergeCell ref="A27:A29"/>
    <mergeCell ref="B27:B29"/>
    <mergeCell ref="C27:C29"/>
    <mergeCell ref="D27:D29"/>
    <mergeCell ref="AJ27:AJ29"/>
    <mergeCell ref="AK27:AK29"/>
    <mergeCell ref="AL27:AL29"/>
    <mergeCell ref="AM27:AM29"/>
    <mergeCell ref="AN27:AN29"/>
    <mergeCell ref="AO27:AO29"/>
    <mergeCell ref="AP27:AP29"/>
    <mergeCell ref="AQ27:AQ29"/>
    <mergeCell ref="AR27:AR29"/>
    <mergeCell ref="AS27:AS29"/>
    <mergeCell ref="A30:A32"/>
    <mergeCell ref="B30:B32"/>
    <mergeCell ref="C30:C32"/>
    <mergeCell ref="D30:D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33:A35"/>
    <mergeCell ref="B33:B35"/>
    <mergeCell ref="C33:C35"/>
    <mergeCell ref="D33:D35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S33:AS35"/>
    <mergeCell ref="A36:A38"/>
    <mergeCell ref="B36:B38"/>
    <mergeCell ref="C36:C38"/>
    <mergeCell ref="D36:D38"/>
    <mergeCell ref="AJ36:AJ38"/>
    <mergeCell ref="AK36:AK38"/>
    <mergeCell ref="AL36:AL38"/>
    <mergeCell ref="AM36:AM38"/>
    <mergeCell ref="AN36:AN38"/>
    <mergeCell ref="AO36:AO38"/>
    <mergeCell ref="AP36:AP38"/>
    <mergeCell ref="AQ36:AQ38"/>
    <mergeCell ref="AR36:AR38"/>
    <mergeCell ref="AS36:AS38"/>
    <mergeCell ref="A39:A41"/>
    <mergeCell ref="B39:B41"/>
    <mergeCell ref="C39:C41"/>
    <mergeCell ref="D39:D41"/>
    <mergeCell ref="AJ39:AJ41"/>
    <mergeCell ref="AK39:AK41"/>
    <mergeCell ref="AL39:AL41"/>
    <mergeCell ref="AM39:AM41"/>
    <mergeCell ref="AN39:AN41"/>
    <mergeCell ref="AO39:AO41"/>
    <mergeCell ref="AP39:AP41"/>
    <mergeCell ref="AQ39:AQ41"/>
    <mergeCell ref="AR39:AR41"/>
    <mergeCell ref="AS39:AS41"/>
    <mergeCell ref="A42:A44"/>
    <mergeCell ref="B42:B44"/>
    <mergeCell ref="C42:C44"/>
    <mergeCell ref="D42:D44"/>
    <mergeCell ref="AJ42:AJ44"/>
    <mergeCell ref="AK42:AK44"/>
    <mergeCell ref="AL42:AL44"/>
    <mergeCell ref="AM42:AM44"/>
    <mergeCell ref="AN42:AN44"/>
    <mergeCell ref="AO42:AO44"/>
    <mergeCell ref="AP42:AP44"/>
    <mergeCell ref="AQ42:AQ44"/>
    <mergeCell ref="AR42:AR44"/>
    <mergeCell ref="AS42:AS44"/>
    <mergeCell ref="A45:A47"/>
    <mergeCell ref="B45:B47"/>
    <mergeCell ref="C45:C47"/>
    <mergeCell ref="D45:D47"/>
    <mergeCell ref="AJ45:AJ47"/>
    <mergeCell ref="AK45:AK47"/>
    <mergeCell ref="AL45:AL47"/>
    <mergeCell ref="AM45:AM47"/>
    <mergeCell ref="AN45:AN47"/>
    <mergeCell ref="AO45:AO47"/>
    <mergeCell ref="AP45:AP47"/>
    <mergeCell ref="AQ45:AQ47"/>
    <mergeCell ref="AR45:AR47"/>
    <mergeCell ref="AS45:AS47"/>
    <mergeCell ref="A48:A50"/>
    <mergeCell ref="B48:B50"/>
    <mergeCell ref="C48:C50"/>
    <mergeCell ref="D48:D50"/>
    <mergeCell ref="AJ48:AJ50"/>
    <mergeCell ref="AK48:AK50"/>
    <mergeCell ref="AL48:AL50"/>
    <mergeCell ref="AM48:AM50"/>
    <mergeCell ref="AN48:AN50"/>
    <mergeCell ref="AO48:AO50"/>
    <mergeCell ref="AP48:AP50"/>
    <mergeCell ref="AQ48:AQ50"/>
    <mergeCell ref="AR48:AR50"/>
    <mergeCell ref="AS48:AS50"/>
    <mergeCell ref="A51:A53"/>
    <mergeCell ref="B51:B53"/>
    <mergeCell ref="C51:C53"/>
    <mergeCell ref="D51:D53"/>
    <mergeCell ref="AJ51:AJ53"/>
    <mergeCell ref="AK51:AK53"/>
    <mergeCell ref="AL51:AL53"/>
    <mergeCell ref="AM51:AM53"/>
    <mergeCell ref="AN51:AN53"/>
    <mergeCell ref="AO51:AO53"/>
    <mergeCell ref="AP51:AP53"/>
    <mergeCell ref="AQ51:AQ53"/>
    <mergeCell ref="AR51:AR53"/>
    <mergeCell ref="AS51:AS53"/>
    <mergeCell ref="A54:A56"/>
    <mergeCell ref="B54:B56"/>
    <mergeCell ref="C54:C56"/>
    <mergeCell ref="D54:D56"/>
    <mergeCell ref="AJ54:AJ56"/>
    <mergeCell ref="AK54:AK56"/>
    <mergeCell ref="AL54:AL56"/>
    <mergeCell ref="AM54:AM56"/>
    <mergeCell ref="AN54:AN56"/>
    <mergeCell ref="AO54:AO56"/>
    <mergeCell ref="AP54:AP56"/>
    <mergeCell ref="AQ54:AQ56"/>
    <mergeCell ref="AR54:AR56"/>
    <mergeCell ref="AS54:AS56"/>
    <mergeCell ref="A57:A59"/>
    <mergeCell ref="B57:B59"/>
    <mergeCell ref="C57:C59"/>
    <mergeCell ref="D57:D59"/>
    <mergeCell ref="AJ57:AJ59"/>
    <mergeCell ref="AK57:AK59"/>
    <mergeCell ref="AL57:AL59"/>
    <mergeCell ref="AM57:AM59"/>
    <mergeCell ref="AN57:AN59"/>
    <mergeCell ref="AO57:AO59"/>
    <mergeCell ref="AP57:AP59"/>
    <mergeCell ref="AQ57:AQ59"/>
    <mergeCell ref="AR57:AR59"/>
    <mergeCell ref="AS57:AS59"/>
    <mergeCell ref="A60:A62"/>
    <mergeCell ref="B60:B62"/>
    <mergeCell ref="C60:C62"/>
    <mergeCell ref="D60:D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63:A65"/>
    <mergeCell ref="B63:B65"/>
    <mergeCell ref="C63:C65"/>
    <mergeCell ref="D63:D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66:A68"/>
    <mergeCell ref="B66:B68"/>
    <mergeCell ref="C66:C68"/>
    <mergeCell ref="D66:D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69:A71"/>
    <mergeCell ref="B69:B71"/>
    <mergeCell ref="C69:C71"/>
    <mergeCell ref="D69:D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72:A74"/>
    <mergeCell ref="B72:B74"/>
    <mergeCell ref="C72:C74"/>
    <mergeCell ref="D72:D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75:A77"/>
    <mergeCell ref="B75:B77"/>
    <mergeCell ref="C75:C77"/>
    <mergeCell ref="D75:D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78:A80"/>
    <mergeCell ref="B78:B80"/>
    <mergeCell ref="C78:C80"/>
    <mergeCell ref="D78:D80"/>
    <mergeCell ref="AJ78:AJ80"/>
    <mergeCell ref="AK78:AK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81:A83"/>
    <mergeCell ref="B81:B83"/>
    <mergeCell ref="C81:C83"/>
    <mergeCell ref="D81:D83"/>
    <mergeCell ref="AJ81:AJ83"/>
    <mergeCell ref="AK81:AK83"/>
    <mergeCell ref="AL81:AL83"/>
    <mergeCell ref="AM81:AM83"/>
    <mergeCell ref="AN81:AN83"/>
    <mergeCell ref="AO81:AO83"/>
    <mergeCell ref="AP81:AP83"/>
    <mergeCell ref="AQ81:AQ83"/>
    <mergeCell ref="AR81:AR83"/>
    <mergeCell ref="AS81:AS83"/>
    <mergeCell ref="A84:A86"/>
    <mergeCell ref="B84:B86"/>
    <mergeCell ref="C84:C86"/>
    <mergeCell ref="D84:D86"/>
    <mergeCell ref="AJ84:AJ86"/>
    <mergeCell ref="AK84:AK86"/>
    <mergeCell ref="AL84:AL86"/>
    <mergeCell ref="AM84:AM86"/>
    <mergeCell ref="AN84:AN86"/>
    <mergeCell ref="AO84:AO86"/>
    <mergeCell ref="AP84:AP86"/>
    <mergeCell ref="AQ84:AQ86"/>
    <mergeCell ref="AR84:AR86"/>
    <mergeCell ref="AS84:AS86"/>
    <mergeCell ref="A87:A89"/>
    <mergeCell ref="B87:B89"/>
    <mergeCell ref="C87:C89"/>
    <mergeCell ref="D87:D89"/>
    <mergeCell ref="AJ87:AJ89"/>
    <mergeCell ref="AK87:AK89"/>
    <mergeCell ref="AL87:AL89"/>
    <mergeCell ref="AM87:AM89"/>
    <mergeCell ref="AN87:AN89"/>
    <mergeCell ref="AO87:AO89"/>
    <mergeCell ref="AP87:AP89"/>
    <mergeCell ref="AQ87:AQ89"/>
    <mergeCell ref="AR87:AR89"/>
    <mergeCell ref="AS87:AS89"/>
    <mergeCell ref="A90:A92"/>
    <mergeCell ref="B90:B92"/>
    <mergeCell ref="C90:C92"/>
    <mergeCell ref="D90:D92"/>
    <mergeCell ref="AJ90:AJ92"/>
    <mergeCell ref="AK90:AK92"/>
    <mergeCell ref="AL90:AL92"/>
    <mergeCell ref="AM90:AM92"/>
    <mergeCell ref="AN90:AN92"/>
    <mergeCell ref="AO90:AO92"/>
    <mergeCell ref="AP90:AP92"/>
    <mergeCell ref="AQ90:AQ92"/>
    <mergeCell ref="AR90:AR92"/>
    <mergeCell ref="AS90:AS92"/>
    <mergeCell ref="A93:A95"/>
    <mergeCell ref="B93:B95"/>
    <mergeCell ref="C93:C95"/>
    <mergeCell ref="D93:D95"/>
    <mergeCell ref="AJ93:AJ95"/>
    <mergeCell ref="AK93:AK95"/>
    <mergeCell ref="AL93:AL95"/>
    <mergeCell ref="AM93:AM95"/>
    <mergeCell ref="AN93:AN95"/>
    <mergeCell ref="AO93:AO95"/>
    <mergeCell ref="AP93:AP95"/>
    <mergeCell ref="AQ93:AQ95"/>
    <mergeCell ref="AR93:AR95"/>
    <mergeCell ref="AS93:AS95"/>
    <mergeCell ref="A96:A98"/>
    <mergeCell ref="B96:B98"/>
    <mergeCell ref="C96:C98"/>
    <mergeCell ref="D96:D98"/>
    <mergeCell ref="AJ96:AJ98"/>
    <mergeCell ref="AK96:AK98"/>
    <mergeCell ref="AL96:AL98"/>
    <mergeCell ref="AM96:AM98"/>
    <mergeCell ref="AN96:AN98"/>
    <mergeCell ref="AO96:AO98"/>
    <mergeCell ref="AP96:AP98"/>
    <mergeCell ref="AQ96:AQ98"/>
    <mergeCell ref="AR96:AR98"/>
    <mergeCell ref="AS96:AS98"/>
    <mergeCell ref="A99:A101"/>
    <mergeCell ref="B99:B101"/>
    <mergeCell ref="C99:C101"/>
    <mergeCell ref="D99:D101"/>
    <mergeCell ref="AJ99:AJ101"/>
    <mergeCell ref="AK99:AK101"/>
    <mergeCell ref="AL99:AL101"/>
    <mergeCell ref="AM99:AM101"/>
    <mergeCell ref="AN99:AN101"/>
    <mergeCell ref="AO99:AO101"/>
    <mergeCell ref="AP99:AP101"/>
    <mergeCell ref="AQ99:AQ101"/>
    <mergeCell ref="AR99:AR101"/>
    <mergeCell ref="AS99:AS101"/>
    <mergeCell ref="A102:A104"/>
    <mergeCell ref="B102:B104"/>
    <mergeCell ref="C102:C104"/>
    <mergeCell ref="D102:D104"/>
    <mergeCell ref="AJ102:AJ104"/>
    <mergeCell ref="AK102:AK104"/>
    <mergeCell ref="AL102:AL104"/>
    <mergeCell ref="AM102:AM104"/>
    <mergeCell ref="AN102:AN104"/>
    <mergeCell ref="AO102:AO104"/>
    <mergeCell ref="AP102:AP104"/>
    <mergeCell ref="AQ102:AQ104"/>
    <mergeCell ref="AR102:AR104"/>
    <mergeCell ref="AS102:AS104"/>
    <mergeCell ref="A105:A107"/>
    <mergeCell ref="B105:B107"/>
    <mergeCell ref="C105:C107"/>
    <mergeCell ref="D105:D107"/>
    <mergeCell ref="AJ105:AJ107"/>
    <mergeCell ref="AK105:AK107"/>
    <mergeCell ref="AL105:AL107"/>
    <mergeCell ref="AM105:AM107"/>
    <mergeCell ref="AN105:AN107"/>
    <mergeCell ref="AO105:AO107"/>
    <mergeCell ref="AP105:AP107"/>
    <mergeCell ref="AQ105:AQ107"/>
    <mergeCell ref="AR105:AR107"/>
    <mergeCell ref="AS105:AS107"/>
    <mergeCell ref="A108:A110"/>
    <mergeCell ref="B108:B110"/>
    <mergeCell ref="C108:C110"/>
    <mergeCell ref="D108:D110"/>
    <mergeCell ref="AJ108:AJ110"/>
    <mergeCell ref="AK108:AK110"/>
    <mergeCell ref="AL108:AL110"/>
    <mergeCell ref="AM108:AM110"/>
    <mergeCell ref="AN108:AN110"/>
    <mergeCell ref="AO108:AO110"/>
    <mergeCell ref="AP108:AP110"/>
    <mergeCell ref="AQ108:AQ110"/>
    <mergeCell ref="AR108:AR110"/>
    <mergeCell ref="AS108:AS110"/>
    <mergeCell ref="A111:A113"/>
    <mergeCell ref="B111:B113"/>
    <mergeCell ref="C111:C113"/>
    <mergeCell ref="D111:D113"/>
    <mergeCell ref="AJ111:AJ113"/>
    <mergeCell ref="AK111:AK113"/>
    <mergeCell ref="AL111:AL113"/>
    <mergeCell ref="AM111:AM113"/>
    <mergeCell ref="AN111:AN113"/>
    <mergeCell ref="AO111:AO113"/>
    <mergeCell ref="AP111:AP113"/>
    <mergeCell ref="AQ111:AQ113"/>
    <mergeCell ref="AR111:AR113"/>
    <mergeCell ref="AS111:AS113"/>
    <mergeCell ref="A114:A116"/>
    <mergeCell ref="B114:B116"/>
    <mergeCell ref="C114:C116"/>
    <mergeCell ref="D114:D116"/>
    <mergeCell ref="AJ114:AJ116"/>
    <mergeCell ref="AK114:AK116"/>
    <mergeCell ref="AL114:AL116"/>
    <mergeCell ref="AM114:AM116"/>
    <mergeCell ref="AN114:AN116"/>
    <mergeCell ref="AO114:AO116"/>
    <mergeCell ref="AP114:AP116"/>
    <mergeCell ref="AQ114:AQ116"/>
    <mergeCell ref="AR114:AR116"/>
    <mergeCell ref="AS114:AS116"/>
    <mergeCell ref="A117:A119"/>
    <mergeCell ref="B117:B119"/>
    <mergeCell ref="C117:C119"/>
    <mergeCell ref="D117:D119"/>
    <mergeCell ref="AJ117:AJ119"/>
    <mergeCell ref="AK117:AK119"/>
    <mergeCell ref="AL117:AL119"/>
    <mergeCell ref="AM117:AM119"/>
    <mergeCell ref="AN117:AN119"/>
    <mergeCell ref="AO117:AO119"/>
    <mergeCell ref="AP117:AP119"/>
    <mergeCell ref="AQ117:AQ119"/>
    <mergeCell ref="AR117:AR119"/>
    <mergeCell ref="AS117:AS119"/>
    <mergeCell ref="A120:A122"/>
    <mergeCell ref="B120:B122"/>
    <mergeCell ref="C120:C122"/>
    <mergeCell ref="D120:D122"/>
    <mergeCell ref="AJ120:AJ122"/>
    <mergeCell ref="AK120:AK122"/>
    <mergeCell ref="AL120:AL122"/>
    <mergeCell ref="AM120:AM122"/>
    <mergeCell ref="AN120:AN122"/>
    <mergeCell ref="AO120:AO122"/>
    <mergeCell ref="AP120:AP122"/>
    <mergeCell ref="AQ120:AQ122"/>
    <mergeCell ref="AR120:AR122"/>
    <mergeCell ref="AS120:AS122"/>
    <mergeCell ref="A123:A125"/>
    <mergeCell ref="B123:B125"/>
    <mergeCell ref="C123:C125"/>
    <mergeCell ref="D123:D125"/>
    <mergeCell ref="AJ123:AJ125"/>
    <mergeCell ref="AK123:AK125"/>
    <mergeCell ref="AL123:AL125"/>
    <mergeCell ref="AM123:AM125"/>
    <mergeCell ref="AN123:AN125"/>
    <mergeCell ref="AO123:AO125"/>
    <mergeCell ref="AP123:AP125"/>
    <mergeCell ref="AQ123:AQ125"/>
    <mergeCell ref="AR123:AR125"/>
    <mergeCell ref="AS123:AS125"/>
    <mergeCell ref="A126:A128"/>
    <mergeCell ref="B126:B128"/>
    <mergeCell ref="C126:C128"/>
    <mergeCell ref="D126:D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129:A131"/>
    <mergeCell ref="B129:B131"/>
    <mergeCell ref="C129:C131"/>
    <mergeCell ref="D129:D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132:A134"/>
    <mergeCell ref="B132:B134"/>
    <mergeCell ref="C132:C134"/>
    <mergeCell ref="D132:D134"/>
    <mergeCell ref="AJ132:AJ134"/>
    <mergeCell ref="AK132:AK134"/>
    <mergeCell ref="AL132:AL134"/>
    <mergeCell ref="AM132:AM134"/>
    <mergeCell ref="AN132:AN134"/>
    <mergeCell ref="AO132:AO134"/>
    <mergeCell ref="AP132:AP134"/>
    <mergeCell ref="AQ132:AQ134"/>
    <mergeCell ref="AR132:AR134"/>
    <mergeCell ref="AS132:AS134"/>
    <mergeCell ref="A135:A137"/>
    <mergeCell ref="B135:B137"/>
    <mergeCell ref="C135:C137"/>
    <mergeCell ref="D135:D137"/>
    <mergeCell ref="AJ135:AJ137"/>
    <mergeCell ref="AK135:AK137"/>
    <mergeCell ref="AL135:AL137"/>
    <mergeCell ref="AM135:AM137"/>
    <mergeCell ref="AN135:AN137"/>
    <mergeCell ref="AO135:AO137"/>
    <mergeCell ref="AP135:AP137"/>
    <mergeCell ref="AQ135:AQ137"/>
    <mergeCell ref="AR135:AR137"/>
    <mergeCell ref="AS135:AS137"/>
    <mergeCell ref="A138:A140"/>
    <mergeCell ref="B138:B140"/>
    <mergeCell ref="C138:C140"/>
    <mergeCell ref="D138:D140"/>
    <mergeCell ref="AJ138:AJ140"/>
    <mergeCell ref="AK138:AK140"/>
    <mergeCell ref="AL138:AL140"/>
    <mergeCell ref="AM138:AM140"/>
    <mergeCell ref="AN138:AN140"/>
    <mergeCell ref="AO138:AO140"/>
    <mergeCell ref="AP138:AP140"/>
    <mergeCell ref="AQ138:AQ140"/>
    <mergeCell ref="AR138:AR140"/>
    <mergeCell ref="AS138:AS140"/>
    <mergeCell ref="A141:A143"/>
    <mergeCell ref="B141:B143"/>
    <mergeCell ref="C141:C143"/>
    <mergeCell ref="D141:D143"/>
    <mergeCell ref="AJ141:AJ143"/>
    <mergeCell ref="AK141:AK143"/>
    <mergeCell ref="AL141:AL143"/>
    <mergeCell ref="AM141:AM143"/>
    <mergeCell ref="AN141:AN143"/>
    <mergeCell ref="AO141:AO143"/>
    <mergeCell ref="AP141:AP143"/>
    <mergeCell ref="AQ141:AQ143"/>
    <mergeCell ref="AR141:AR143"/>
    <mergeCell ref="AS141:AS143"/>
    <mergeCell ref="A144:A146"/>
    <mergeCell ref="B144:B146"/>
    <mergeCell ref="C144:C146"/>
    <mergeCell ref="D144:D146"/>
    <mergeCell ref="AJ144:AJ146"/>
    <mergeCell ref="AK144:AK146"/>
    <mergeCell ref="AL144:AL146"/>
    <mergeCell ref="AM144:AM146"/>
    <mergeCell ref="AN144:AN146"/>
    <mergeCell ref="AO144:AO146"/>
    <mergeCell ref="AP144:AP146"/>
    <mergeCell ref="AQ144:AQ146"/>
    <mergeCell ref="AR144:AR146"/>
    <mergeCell ref="AS144:AS146"/>
    <mergeCell ref="A147:A149"/>
    <mergeCell ref="B147:B149"/>
    <mergeCell ref="C147:C149"/>
    <mergeCell ref="D147:D149"/>
    <mergeCell ref="AJ147:AJ149"/>
    <mergeCell ref="AK147:AK149"/>
    <mergeCell ref="AL147:AL149"/>
    <mergeCell ref="AM147:AM149"/>
    <mergeCell ref="AN147:AN149"/>
    <mergeCell ref="AO147:AO149"/>
    <mergeCell ref="AP147:AP149"/>
    <mergeCell ref="AQ147:AQ149"/>
    <mergeCell ref="AR147:AR149"/>
    <mergeCell ref="AS147:AS149"/>
    <mergeCell ref="A150:A152"/>
    <mergeCell ref="B150:B152"/>
    <mergeCell ref="C150:C152"/>
    <mergeCell ref="D150:D152"/>
    <mergeCell ref="AJ150:AJ152"/>
    <mergeCell ref="AK150:AK152"/>
    <mergeCell ref="AL150:AL152"/>
    <mergeCell ref="AM150:AM152"/>
    <mergeCell ref="AN150:AN152"/>
    <mergeCell ref="AO150:AO152"/>
    <mergeCell ref="AP150:AP152"/>
    <mergeCell ref="AQ150:AQ152"/>
    <mergeCell ref="AR150:AR152"/>
    <mergeCell ref="AS150:AS152"/>
    <mergeCell ref="A153:A155"/>
    <mergeCell ref="B153:B155"/>
    <mergeCell ref="C153:C155"/>
    <mergeCell ref="D153:D155"/>
    <mergeCell ref="AJ153:AJ155"/>
    <mergeCell ref="AK153:AK155"/>
    <mergeCell ref="AL153:AL155"/>
    <mergeCell ref="AM153:AM155"/>
    <mergeCell ref="AN153:AN155"/>
    <mergeCell ref="AO153:AO155"/>
    <mergeCell ref="AP153:AP155"/>
    <mergeCell ref="AQ153:AQ155"/>
    <mergeCell ref="AR153:AR155"/>
    <mergeCell ref="AS153:AS155"/>
    <mergeCell ref="A156:A158"/>
    <mergeCell ref="B156:B158"/>
    <mergeCell ref="C156:C158"/>
    <mergeCell ref="D156:D158"/>
    <mergeCell ref="AJ156:AJ158"/>
    <mergeCell ref="AK156:AK158"/>
    <mergeCell ref="AL156:AL158"/>
    <mergeCell ref="AM156:AM158"/>
    <mergeCell ref="AN156:AN158"/>
    <mergeCell ref="AO156:AO158"/>
    <mergeCell ref="AP156:AP158"/>
    <mergeCell ref="AQ156:AQ158"/>
    <mergeCell ref="AR156:AR158"/>
    <mergeCell ref="AS156:AS158"/>
    <mergeCell ref="A159:A161"/>
    <mergeCell ref="B159:B161"/>
    <mergeCell ref="C159:C161"/>
    <mergeCell ref="D159:D161"/>
    <mergeCell ref="AJ159:AJ161"/>
    <mergeCell ref="AK159:AK161"/>
    <mergeCell ref="AL159:AL161"/>
    <mergeCell ref="AM159:AM161"/>
    <mergeCell ref="AN159:AN161"/>
    <mergeCell ref="AO159:AO161"/>
    <mergeCell ref="AP159:AP161"/>
    <mergeCell ref="AQ159:AQ161"/>
    <mergeCell ref="AR159:AR161"/>
    <mergeCell ref="AS159:AS161"/>
    <mergeCell ref="A162:A164"/>
    <mergeCell ref="B162:B164"/>
    <mergeCell ref="C162:C164"/>
    <mergeCell ref="D162:D164"/>
    <mergeCell ref="AJ162:AJ164"/>
    <mergeCell ref="AK162:AK164"/>
    <mergeCell ref="AL162:AL164"/>
    <mergeCell ref="AM162:AM164"/>
    <mergeCell ref="AN162:AN164"/>
    <mergeCell ref="AO162:AO164"/>
    <mergeCell ref="AP162:AP164"/>
    <mergeCell ref="AQ162:AQ164"/>
    <mergeCell ref="AR162:AR164"/>
    <mergeCell ref="AS162:AS164"/>
    <mergeCell ref="A165:A167"/>
    <mergeCell ref="B165:B167"/>
    <mergeCell ref="C165:C167"/>
    <mergeCell ref="D165:D167"/>
    <mergeCell ref="AJ165:AJ167"/>
    <mergeCell ref="AK165:AK167"/>
    <mergeCell ref="AL165:AL167"/>
    <mergeCell ref="AM165:AM167"/>
    <mergeCell ref="AN165:AN167"/>
    <mergeCell ref="AO165:AO167"/>
    <mergeCell ref="AP165:AP167"/>
    <mergeCell ref="AQ165:AQ167"/>
    <mergeCell ref="AR165:AR167"/>
    <mergeCell ref="AS165:AS167"/>
    <mergeCell ref="A168:A170"/>
    <mergeCell ref="B168:B170"/>
    <mergeCell ref="C168:C170"/>
    <mergeCell ref="D168:D170"/>
    <mergeCell ref="AJ168:AJ170"/>
    <mergeCell ref="AK168:AK170"/>
    <mergeCell ref="AL168:AL170"/>
    <mergeCell ref="AM168:AM170"/>
    <mergeCell ref="AN168:AN170"/>
    <mergeCell ref="AO168:AO170"/>
    <mergeCell ref="AP168:AP170"/>
    <mergeCell ref="AQ168:AQ170"/>
    <mergeCell ref="AR168:AR170"/>
    <mergeCell ref="AS168:AS170"/>
    <mergeCell ref="A171:A173"/>
    <mergeCell ref="B171:B173"/>
    <mergeCell ref="C171:C173"/>
    <mergeCell ref="D171:D173"/>
    <mergeCell ref="AJ171:AJ173"/>
    <mergeCell ref="AK171:AK173"/>
    <mergeCell ref="AL171:AL173"/>
    <mergeCell ref="AM171:AM173"/>
    <mergeCell ref="AN171:AN173"/>
    <mergeCell ref="AO171:AO173"/>
    <mergeCell ref="AP171:AP173"/>
    <mergeCell ref="AQ171:AQ173"/>
    <mergeCell ref="AR171:AR173"/>
    <mergeCell ref="AS171:AS173"/>
    <mergeCell ref="A174:A176"/>
    <mergeCell ref="B174:B176"/>
    <mergeCell ref="C174:C176"/>
    <mergeCell ref="D174:D176"/>
    <mergeCell ref="AJ174:AJ176"/>
    <mergeCell ref="AK174:AK176"/>
    <mergeCell ref="AL174:AL176"/>
    <mergeCell ref="AM174:AM176"/>
    <mergeCell ref="AN174:AN176"/>
    <mergeCell ref="AO174:AO176"/>
    <mergeCell ref="AP174:AP176"/>
    <mergeCell ref="AQ174:AQ176"/>
    <mergeCell ref="AR174:AR176"/>
    <mergeCell ref="AS174:AS176"/>
    <mergeCell ref="A177:A179"/>
    <mergeCell ref="B177:B179"/>
    <mergeCell ref="C177:C179"/>
    <mergeCell ref="D177:D179"/>
    <mergeCell ref="AJ177:AJ179"/>
    <mergeCell ref="AK177:AK179"/>
    <mergeCell ref="AL177:AL179"/>
    <mergeCell ref="AM177:AM179"/>
    <mergeCell ref="AN177:AN179"/>
    <mergeCell ref="AO177:AO179"/>
    <mergeCell ref="AP177:AP179"/>
    <mergeCell ref="AQ177:AQ179"/>
    <mergeCell ref="AR177:AR179"/>
    <mergeCell ref="AS177:AS179"/>
    <mergeCell ref="A180:A182"/>
    <mergeCell ref="B180:B182"/>
    <mergeCell ref="C180:C182"/>
    <mergeCell ref="D180:D182"/>
    <mergeCell ref="AJ180:AJ182"/>
    <mergeCell ref="AK180:AK182"/>
    <mergeCell ref="AL180:AL182"/>
    <mergeCell ref="AM180:AM182"/>
    <mergeCell ref="AN180:AN182"/>
    <mergeCell ref="AO180:AO182"/>
    <mergeCell ref="AP180:AP182"/>
    <mergeCell ref="AQ180:AQ182"/>
    <mergeCell ref="AR180:AR182"/>
    <mergeCell ref="AS180:AS182"/>
    <mergeCell ref="A183:A185"/>
    <mergeCell ref="B183:B185"/>
    <mergeCell ref="C183:C185"/>
    <mergeCell ref="D183:D185"/>
    <mergeCell ref="AJ183:AJ185"/>
    <mergeCell ref="AK183:AK185"/>
    <mergeCell ref="AL183:AL185"/>
    <mergeCell ref="AM183:AM185"/>
    <mergeCell ref="AN183:AN185"/>
    <mergeCell ref="AO183:AO185"/>
    <mergeCell ref="AP183:AP185"/>
    <mergeCell ref="AQ183:AQ185"/>
    <mergeCell ref="AR183:AR185"/>
    <mergeCell ref="AS183:AS185"/>
    <mergeCell ref="A186:A188"/>
    <mergeCell ref="B186:B188"/>
    <mergeCell ref="C186:C188"/>
    <mergeCell ref="D186:D188"/>
    <mergeCell ref="AJ186:AJ188"/>
    <mergeCell ref="AK186:AK188"/>
    <mergeCell ref="AL186:AL188"/>
    <mergeCell ref="AM186:AM188"/>
    <mergeCell ref="AN186:AN188"/>
    <mergeCell ref="AO186:AO188"/>
    <mergeCell ref="AP186:AP188"/>
    <mergeCell ref="AQ186:AQ188"/>
    <mergeCell ref="AR186:AR188"/>
    <mergeCell ref="AS186:AS188"/>
    <mergeCell ref="A189:A191"/>
    <mergeCell ref="B189:B191"/>
    <mergeCell ref="C189:C191"/>
    <mergeCell ref="D189:D191"/>
    <mergeCell ref="AJ189:AJ191"/>
    <mergeCell ref="AK189:AK191"/>
    <mergeCell ref="AL189:AL191"/>
    <mergeCell ref="AM189:AM191"/>
    <mergeCell ref="AN189:AN191"/>
    <mergeCell ref="AO189:AO191"/>
    <mergeCell ref="AP189:AP191"/>
    <mergeCell ref="AQ189:AQ191"/>
    <mergeCell ref="AR189:AR191"/>
    <mergeCell ref="AS189:AS191"/>
    <mergeCell ref="A192:A194"/>
    <mergeCell ref="B192:B194"/>
    <mergeCell ref="C192:C194"/>
    <mergeCell ref="D192:D194"/>
    <mergeCell ref="AJ192:AJ194"/>
    <mergeCell ref="AK192:AK194"/>
    <mergeCell ref="AL192:AL194"/>
    <mergeCell ref="AM192:AM194"/>
    <mergeCell ref="AN192:AN194"/>
    <mergeCell ref="AO192:AO194"/>
    <mergeCell ref="AP192:AP194"/>
    <mergeCell ref="AQ192:AQ194"/>
    <mergeCell ref="AR192:AR194"/>
    <mergeCell ref="AS192:AS194"/>
    <mergeCell ref="A195:A197"/>
    <mergeCell ref="B195:B197"/>
    <mergeCell ref="C195:C197"/>
    <mergeCell ref="D195:D197"/>
    <mergeCell ref="AJ195:AJ197"/>
    <mergeCell ref="AK195:AK197"/>
    <mergeCell ref="AL195:AL197"/>
    <mergeCell ref="AM195:AM197"/>
    <mergeCell ref="AN195:AN197"/>
    <mergeCell ref="AO195:AO197"/>
    <mergeCell ref="AP195:AP197"/>
    <mergeCell ref="AQ195:AQ197"/>
    <mergeCell ref="AR195:AR197"/>
    <mergeCell ref="AS195:AS197"/>
    <mergeCell ref="A198:A200"/>
    <mergeCell ref="B198:B200"/>
    <mergeCell ref="C198:C200"/>
    <mergeCell ref="D198:D200"/>
    <mergeCell ref="AJ198:AJ200"/>
    <mergeCell ref="AK198:AK200"/>
    <mergeCell ref="AL198:AL200"/>
    <mergeCell ref="AM198:AM200"/>
    <mergeCell ref="AN198:AN200"/>
    <mergeCell ref="AO198:AO200"/>
    <mergeCell ref="AP198:AP200"/>
    <mergeCell ref="AQ198:AQ200"/>
    <mergeCell ref="AR198:AR200"/>
    <mergeCell ref="AS198:AS200"/>
    <mergeCell ref="A201:A203"/>
    <mergeCell ref="B201:B203"/>
    <mergeCell ref="C201:C203"/>
    <mergeCell ref="D201:D203"/>
    <mergeCell ref="AJ201:AJ203"/>
    <mergeCell ref="AK201:AK203"/>
    <mergeCell ref="AL201:AL203"/>
    <mergeCell ref="AM201:AM203"/>
    <mergeCell ref="AN201:AN203"/>
    <mergeCell ref="AO201:AO203"/>
    <mergeCell ref="AP201:AP203"/>
    <mergeCell ref="AQ201:AQ203"/>
    <mergeCell ref="AR201:AR203"/>
    <mergeCell ref="AS201:AS203"/>
    <mergeCell ref="A204:A206"/>
    <mergeCell ref="B204:B206"/>
    <mergeCell ref="C204:C206"/>
    <mergeCell ref="D204:D206"/>
    <mergeCell ref="AJ204:AJ206"/>
    <mergeCell ref="AK204:AK206"/>
    <mergeCell ref="AL204:AL206"/>
    <mergeCell ref="AM204:AM206"/>
    <mergeCell ref="AN204:AN206"/>
    <mergeCell ref="AO204:AO206"/>
    <mergeCell ref="AP204:AP206"/>
    <mergeCell ref="AQ204:AQ206"/>
    <mergeCell ref="AR204:AR206"/>
    <mergeCell ref="AS204:AS206"/>
    <mergeCell ref="A207:A209"/>
    <mergeCell ref="B207:B209"/>
    <mergeCell ref="C207:C209"/>
    <mergeCell ref="D207:D209"/>
    <mergeCell ref="AJ207:AJ209"/>
    <mergeCell ref="AK207:AK209"/>
    <mergeCell ref="AL207:AL209"/>
    <mergeCell ref="AM207:AM209"/>
    <mergeCell ref="AN207:AN209"/>
    <mergeCell ref="AO207:AO209"/>
    <mergeCell ref="AP207:AP209"/>
    <mergeCell ref="AQ207:AQ209"/>
    <mergeCell ref="AR207:AR209"/>
    <mergeCell ref="AS207:AS209"/>
    <mergeCell ref="A210:A212"/>
    <mergeCell ref="B210:B212"/>
    <mergeCell ref="C210:C212"/>
    <mergeCell ref="D210:D212"/>
    <mergeCell ref="AJ210:AJ212"/>
    <mergeCell ref="AK210:AK212"/>
    <mergeCell ref="AL210:AL212"/>
    <mergeCell ref="AM210:AM212"/>
    <mergeCell ref="AN210:AN212"/>
    <mergeCell ref="AO210:AO212"/>
    <mergeCell ref="AP210:AP212"/>
    <mergeCell ref="AQ210:AQ212"/>
    <mergeCell ref="AR210:AR212"/>
    <mergeCell ref="AS210:AS212"/>
    <mergeCell ref="A213:A215"/>
    <mergeCell ref="B213:B215"/>
    <mergeCell ref="C213:C215"/>
    <mergeCell ref="D213:D215"/>
    <mergeCell ref="AJ213:AJ215"/>
    <mergeCell ref="AK213:AK215"/>
    <mergeCell ref="AL213:AL215"/>
    <mergeCell ref="AM213:AM215"/>
    <mergeCell ref="AN213:AN215"/>
    <mergeCell ref="AO213:AO215"/>
    <mergeCell ref="AP213:AP215"/>
    <mergeCell ref="AQ213:AQ215"/>
    <mergeCell ref="AR213:AR215"/>
    <mergeCell ref="AS213:AS215"/>
    <mergeCell ref="A216:A218"/>
    <mergeCell ref="B216:B218"/>
    <mergeCell ref="C216:C218"/>
    <mergeCell ref="D216:D218"/>
    <mergeCell ref="AJ216:AJ218"/>
    <mergeCell ref="AK216:AK218"/>
    <mergeCell ref="AL216:AL218"/>
    <mergeCell ref="AM216:AM218"/>
    <mergeCell ref="AN216:AN218"/>
    <mergeCell ref="AO216:AO218"/>
    <mergeCell ref="AP216:AP218"/>
    <mergeCell ref="AQ216:AQ218"/>
    <mergeCell ref="AR216:AR218"/>
    <mergeCell ref="AS216:AS218"/>
    <mergeCell ref="A219:A221"/>
    <mergeCell ref="B219:B221"/>
    <mergeCell ref="C219:C221"/>
    <mergeCell ref="D219:D221"/>
    <mergeCell ref="AJ219:AJ221"/>
    <mergeCell ref="AK219:AK221"/>
    <mergeCell ref="AL219:AL221"/>
    <mergeCell ref="AM219:AM221"/>
    <mergeCell ref="AN219:AN221"/>
    <mergeCell ref="AO219:AO221"/>
    <mergeCell ref="AP219:AP221"/>
    <mergeCell ref="AQ219:AQ221"/>
    <mergeCell ref="AR219:AR221"/>
    <mergeCell ref="AS219:AS221"/>
    <mergeCell ref="A222:A224"/>
    <mergeCell ref="B222:B224"/>
    <mergeCell ref="C222:C224"/>
    <mergeCell ref="D222:D224"/>
    <mergeCell ref="AJ222:AJ224"/>
    <mergeCell ref="AK222:AK224"/>
    <mergeCell ref="AL222:AL224"/>
    <mergeCell ref="AM222:AM224"/>
    <mergeCell ref="AN222:AN224"/>
    <mergeCell ref="AO222:AO224"/>
    <mergeCell ref="AP222:AP224"/>
    <mergeCell ref="AQ222:AQ224"/>
    <mergeCell ref="AR222:AR224"/>
    <mergeCell ref="AS222:AS224"/>
    <mergeCell ref="A225:A227"/>
    <mergeCell ref="B225:B227"/>
    <mergeCell ref="C225:C227"/>
    <mergeCell ref="D225:D227"/>
    <mergeCell ref="AJ225:AJ227"/>
    <mergeCell ref="AK225:AK227"/>
    <mergeCell ref="AL225:AL227"/>
    <mergeCell ref="AM225:AM227"/>
    <mergeCell ref="AN225:AN227"/>
    <mergeCell ref="AO225:AO227"/>
    <mergeCell ref="AP225:AP227"/>
    <mergeCell ref="AQ225:AQ227"/>
    <mergeCell ref="AR225:AR227"/>
    <mergeCell ref="AS225:AS227"/>
    <mergeCell ref="A228:A230"/>
    <mergeCell ref="B228:B230"/>
    <mergeCell ref="C228:C230"/>
    <mergeCell ref="D228:D230"/>
    <mergeCell ref="AJ228:AJ230"/>
    <mergeCell ref="AK228:AK230"/>
    <mergeCell ref="AL228:AL230"/>
    <mergeCell ref="AM228:AM230"/>
    <mergeCell ref="AN228:AN230"/>
    <mergeCell ref="AO228:AO230"/>
    <mergeCell ref="AP228:AP230"/>
    <mergeCell ref="AQ228:AQ230"/>
    <mergeCell ref="AR228:AR230"/>
    <mergeCell ref="AS228:AS230"/>
    <mergeCell ref="A231:A233"/>
    <mergeCell ref="B231:B233"/>
    <mergeCell ref="C231:C233"/>
    <mergeCell ref="D231:D233"/>
    <mergeCell ref="AJ231:AJ233"/>
    <mergeCell ref="AK231:AK233"/>
    <mergeCell ref="AL231:AL233"/>
    <mergeCell ref="AM231:AM233"/>
    <mergeCell ref="AN231:AN233"/>
    <mergeCell ref="AO231:AO233"/>
    <mergeCell ref="AP231:AP233"/>
    <mergeCell ref="AQ231:AQ233"/>
    <mergeCell ref="AR231:AR233"/>
    <mergeCell ref="AS231:AS233"/>
    <mergeCell ref="A234:A236"/>
    <mergeCell ref="B234:B236"/>
    <mergeCell ref="C234:C236"/>
    <mergeCell ref="D234:D236"/>
    <mergeCell ref="AJ234:AJ236"/>
    <mergeCell ref="AK234:AK236"/>
    <mergeCell ref="AL234:AL236"/>
    <mergeCell ref="AM234:AM236"/>
    <mergeCell ref="AN234:AN236"/>
    <mergeCell ref="AO234:AO236"/>
    <mergeCell ref="AP234:AP236"/>
    <mergeCell ref="AQ234:AQ236"/>
    <mergeCell ref="AR234:AR236"/>
    <mergeCell ref="AS234:AS236"/>
    <mergeCell ref="A237:A239"/>
    <mergeCell ref="B237:B239"/>
    <mergeCell ref="C237:C239"/>
    <mergeCell ref="D237:D239"/>
    <mergeCell ref="AJ237:AJ239"/>
    <mergeCell ref="AK237:AK239"/>
    <mergeCell ref="AL237:AL239"/>
    <mergeCell ref="AM237:AM239"/>
    <mergeCell ref="AN237:AN239"/>
    <mergeCell ref="AO237:AO239"/>
    <mergeCell ref="AP237:AP239"/>
    <mergeCell ref="AQ237:AQ239"/>
    <mergeCell ref="AR237:AR239"/>
    <mergeCell ref="AS237:AS239"/>
    <mergeCell ref="A240:A242"/>
    <mergeCell ref="B240:B242"/>
    <mergeCell ref="C240:C242"/>
    <mergeCell ref="D240:D242"/>
    <mergeCell ref="AJ240:AJ242"/>
    <mergeCell ref="AK240:AK242"/>
    <mergeCell ref="AL240:AL242"/>
    <mergeCell ref="AM240:AM242"/>
    <mergeCell ref="AN240:AN242"/>
    <mergeCell ref="AO240:AO242"/>
    <mergeCell ref="AP240:AP242"/>
    <mergeCell ref="AQ240:AQ242"/>
    <mergeCell ref="AR240:AR242"/>
    <mergeCell ref="AS240:AS242"/>
    <mergeCell ref="A243:A245"/>
    <mergeCell ref="B243:B245"/>
    <mergeCell ref="C243:C245"/>
    <mergeCell ref="D243:D245"/>
    <mergeCell ref="AJ243:AJ245"/>
    <mergeCell ref="AK243:AK245"/>
    <mergeCell ref="AL243:AL245"/>
    <mergeCell ref="AM243:AM245"/>
    <mergeCell ref="AN243:AN245"/>
    <mergeCell ref="AO243:AO245"/>
    <mergeCell ref="AP243:AP245"/>
    <mergeCell ref="AQ243:AQ245"/>
    <mergeCell ref="AR243:AR245"/>
    <mergeCell ref="AS243:AS245"/>
    <mergeCell ref="A246:A248"/>
    <mergeCell ref="B246:B248"/>
    <mergeCell ref="C246:C248"/>
    <mergeCell ref="D246:D248"/>
    <mergeCell ref="AJ246:AJ248"/>
    <mergeCell ref="AK246:AK248"/>
    <mergeCell ref="AL246:AL248"/>
    <mergeCell ref="AM246:AM248"/>
    <mergeCell ref="AN246:AN248"/>
    <mergeCell ref="AO246:AO248"/>
    <mergeCell ref="AP246:AP248"/>
    <mergeCell ref="AQ246:AQ248"/>
    <mergeCell ref="AR246:AR248"/>
    <mergeCell ref="AS246:AS248"/>
    <mergeCell ref="A249:A251"/>
    <mergeCell ref="B249:B251"/>
    <mergeCell ref="C249:C251"/>
    <mergeCell ref="D249:D251"/>
    <mergeCell ref="AJ249:AJ251"/>
    <mergeCell ref="AK249:AK251"/>
    <mergeCell ref="AL249:AL251"/>
    <mergeCell ref="AM249:AM251"/>
    <mergeCell ref="AN249:AN251"/>
    <mergeCell ref="AO249:AO251"/>
    <mergeCell ref="AP249:AP251"/>
    <mergeCell ref="AQ249:AQ251"/>
    <mergeCell ref="AR249:AR251"/>
    <mergeCell ref="AS249:AS251"/>
    <mergeCell ref="A252:A254"/>
    <mergeCell ref="B252:B254"/>
    <mergeCell ref="C252:C254"/>
    <mergeCell ref="D252:D254"/>
    <mergeCell ref="AJ252:AJ254"/>
    <mergeCell ref="AK252:AK254"/>
    <mergeCell ref="AL252:AL254"/>
    <mergeCell ref="AM252:AM254"/>
    <mergeCell ref="AN252:AN254"/>
    <mergeCell ref="AO252:AO254"/>
    <mergeCell ref="AP252:AP254"/>
    <mergeCell ref="AQ252:AQ254"/>
    <mergeCell ref="AR252:AR254"/>
    <mergeCell ref="AS252:AS254"/>
    <mergeCell ref="A255:A257"/>
    <mergeCell ref="B255:B257"/>
    <mergeCell ref="C255:C257"/>
    <mergeCell ref="D255:D257"/>
    <mergeCell ref="AJ255:AJ257"/>
    <mergeCell ref="AK255:AK257"/>
    <mergeCell ref="AL255:AL257"/>
    <mergeCell ref="AM255:AM257"/>
    <mergeCell ref="AN255:AN257"/>
    <mergeCell ref="AO255:AO257"/>
    <mergeCell ref="AP255:AP257"/>
    <mergeCell ref="AQ255:AQ257"/>
    <mergeCell ref="AR255:AR257"/>
    <mergeCell ref="AS255:AS257"/>
    <mergeCell ref="A258:A260"/>
    <mergeCell ref="B258:B260"/>
    <mergeCell ref="C258:C260"/>
    <mergeCell ref="D258:D260"/>
    <mergeCell ref="AJ258:AJ260"/>
    <mergeCell ref="AK258:AK260"/>
    <mergeCell ref="AL258:AL260"/>
    <mergeCell ref="AM258:AM260"/>
    <mergeCell ref="AN258:AN260"/>
    <mergeCell ref="AO258:AO260"/>
    <mergeCell ref="AP258:AP260"/>
    <mergeCell ref="AQ258:AQ260"/>
    <mergeCell ref="AR258:AR260"/>
    <mergeCell ref="AS258:AS260"/>
    <mergeCell ref="A261:A263"/>
    <mergeCell ref="B261:B263"/>
    <mergeCell ref="C261:C263"/>
    <mergeCell ref="D261:D263"/>
    <mergeCell ref="AJ261:AJ263"/>
    <mergeCell ref="AK261:AK263"/>
    <mergeCell ref="AL261:AL263"/>
    <mergeCell ref="AM261:AM263"/>
    <mergeCell ref="AN261:AN263"/>
    <mergeCell ref="AO261:AO263"/>
    <mergeCell ref="AP261:AP263"/>
    <mergeCell ref="AQ261:AQ263"/>
    <mergeCell ref="AR261:AR263"/>
    <mergeCell ref="AS261:AS263"/>
    <mergeCell ref="A264:A266"/>
    <mergeCell ref="B264:B266"/>
    <mergeCell ref="C264:C266"/>
    <mergeCell ref="D264:D266"/>
    <mergeCell ref="AJ264:AJ266"/>
    <mergeCell ref="AK264:AK266"/>
    <mergeCell ref="AL264:AL266"/>
    <mergeCell ref="AM264:AM266"/>
    <mergeCell ref="AN264:AN266"/>
    <mergeCell ref="AO264:AO266"/>
    <mergeCell ref="AP264:AP266"/>
    <mergeCell ref="AQ264:AQ266"/>
    <mergeCell ref="AR264:AR266"/>
    <mergeCell ref="AS264:AS266"/>
    <mergeCell ref="A267:A269"/>
    <mergeCell ref="B267:B269"/>
    <mergeCell ref="C267:C269"/>
    <mergeCell ref="D267:D269"/>
    <mergeCell ref="AJ267:AJ269"/>
    <mergeCell ref="AK267:AK269"/>
    <mergeCell ref="AL267:AL269"/>
    <mergeCell ref="AM267:AM269"/>
    <mergeCell ref="AN267:AN269"/>
    <mergeCell ref="AO267:AO269"/>
    <mergeCell ref="AP267:AP269"/>
    <mergeCell ref="AQ267:AQ269"/>
    <mergeCell ref="AR267:AR269"/>
    <mergeCell ref="AS267:AS269"/>
    <mergeCell ref="A270:A272"/>
    <mergeCell ref="B270:B272"/>
    <mergeCell ref="C270:C272"/>
    <mergeCell ref="D270:D272"/>
    <mergeCell ref="AJ270:AJ272"/>
    <mergeCell ref="AK270:AK272"/>
    <mergeCell ref="AL270:AL272"/>
    <mergeCell ref="AM270:AM272"/>
    <mergeCell ref="AN270:AN272"/>
    <mergeCell ref="AO270:AO272"/>
    <mergeCell ref="AP270:AP272"/>
    <mergeCell ref="AQ270:AQ272"/>
    <mergeCell ref="AR270:AR272"/>
    <mergeCell ref="AS270:AS272"/>
    <mergeCell ref="A273:A275"/>
    <mergeCell ref="B273:B275"/>
    <mergeCell ref="C273:C275"/>
    <mergeCell ref="D273:D275"/>
    <mergeCell ref="AJ273:AJ275"/>
    <mergeCell ref="AK273:AK275"/>
    <mergeCell ref="AL273:AL275"/>
    <mergeCell ref="AM273:AM275"/>
    <mergeCell ref="AN273:AN275"/>
    <mergeCell ref="AO273:AO275"/>
    <mergeCell ref="AP273:AP275"/>
    <mergeCell ref="AQ273:AQ275"/>
    <mergeCell ref="AR273:AR275"/>
    <mergeCell ref="AS273:AS275"/>
    <mergeCell ref="A276:A278"/>
    <mergeCell ref="B276:B278"/>
    <mergeCell ref="C276:C278"/>
    <mergeCell ref="D276:D278"/>
    <mergeCell ref="AJ276:AJ278"/>
    <mergeCell ref="AK276:AK278"/>
    <mergeCell ref="AL276:AL278"/>
    <mergeCell ref="AM276:AM278"/>
    <mergeCell ref="AN276:AN278"/>
    <mergeCell ref="AO276:AO278"/>
    <mergeCell ref="AP276:AP278"/>
    <mergeCell ref="AQ276:AQ278"/>
    <mergeCell ref="AR276:AR278"/>
    <mergeCell ref="AS276:AS278"/>
    <mergeCell ref="A279:A281"/>
    <mergeCell ref="B279:B281"/>
    <mergeCell ref="C279:C281"/>
    <mergeCell ref="D279:D281"/>
    <mergeCell ref="AJ279:AJ281"/>
    <mergeCell ref="AK279:AK281"/>
    <mergeCell ref="AL279:AL281"/>
    <mergeCell ref="AM279:AM281"/>
    <mergeCell ref="AN279:AN281"/>
    <mergeCell ref="AO279:AO281"/>
    <mergeCell ref="AP279:AP281"/>
    <mergeCell ref="AQ279:AQ281"/>
    <mergeCell ref="AR279:AR281"/>
    <mergeCell ref="AS279:AS281"/>
    <mergeCell ref="A282:A284"/>
    <mergeCell ref="B282:B284"/>
    <mergeCell ref="C282:C284"/>
    <mergeCell ref="D282:D284"/>
    <mergeCell ref="AJ282:AJ284"/>
    <mergeCell ref="AK282:AK284"/>
    <mergeCell ref="AL282:AL284"/>
    <mergeCell ref="AM282:AM284"/>
    <mergeCell ref="AN282:AN284"/>
    <mergeCell ref="AO282:AO284"/>
    <mergeCell ref="AP282:AP284"/>
    <mergeCell ref="AQ282:AQ284"/>
    <mergeCell ref="AR282:AR284"/>
    <mergeCell ref="AS282:AS284"/>
    <mergeCell ref="A285:A287"/>
    <mergeCell ref="B285:B287"/>
    <mergeCell ref="C285:C287"/>
    <mergeCell ref="D285:D287"/>
    <mergeCell ref="AJ285:AJ287"/>
    <mergeCell ref="AK285:AK287"/>
    <mergeCell ref="AL285:AL287"/>
    <mergeCell ref="AM285:AM287"/>
    <mergeCell ref="AN285:AN287"/>
    <mergeCell ref="AO285:AO287"/>
    <mergeCell ref="AP285:AP287"/>
    <mergeCell ref="AQ285:AQ287"/>
    <mergeCell ref="AR285:AR287"/>
    <mergeCell ref="AS285:AS287"/>
    <mergeCell ref="A288:A290"/>
    <mergeCell ref="B288:B290"/>
    <mergeCell ref="C288:C290"/>
    <mergeCell ref="D288:D290"/>
    <mergeCell ref="AJ288:AJ290"/>
    <mergeCell ref="AK288:AK290"/>
    <mergeCell ref="AL288:AL290"/>
    <mergeCell ref="AM288:AM290"/>
    <mergeCell ref="AN288:AN290"/>
    <mergeCell ref="AO288:AO290"/>
    <mergeCell ref="AP288:AP290"/>
    <mergeCell ref="AQ288:AQ290"/>
    <mergeCell ref="AR288:AR290"/>
    <mergeCell ref="AS288:AS290"/>
    <mergeCell ref="A291:A293"/>
    <mergeCell ref="B291:B293"/>
    <mergeCell ref="C291:C293"/>
    <mergeCell ref="D291:D293"/>
    <mergeCell ref="AJ291:AJ293"/>
    <mergeCell ref="AK291:AK293"/>
    <mergeCell ref="AL291:AL293"/>
    <mergeCell ref="AM291:AM293"/>
    <mergeCell ref="AN291:AN293"/>
    <mergeCell ref="AO291:AO293"/>
    <mergeCell ref="AP291:AP293"/>
    <mergeCell ref="AQ291:AQ293"/>
    <mergeCell ref="AR291:AR293"/>
    <mergeCell ref="AS291:AS293"/>
    <mergeCell ref="A294:A296"/>
    <mergeCell ref="B294:B296"/>
    <mergeCell ref="C294:C296"/>
    <mergeCell ref="D294:D296"/>
    <mergeCell ref="AJ294:AJ296"/>
    <mergeCell ref="AK294:AK296"/>
    <mergeCell ref="AL294:AL296"/>
    <mergeCell ref="AM294:AM296"/>
    <mergeCell ref="AN294:AN296"/>
    <mergeCell ref="AO294:AO296"/>
    <mergeCell ref="AP294:AP296"/>
    <mergeCell ref="AQ294:AQ296"/>
    <mergeCell ref="AR294:AR296"/>
    <mergeCell ref="AS294:AS296"/>
    <mergeCell ref="A297:A299"/>
    <mergeCell ref="B297:B299"/>
    <mergeCell ref="C297:C299"/>
    <mergeCell ref="D297:D299"/>
    <mergeCell ref="AJ297:AJ299"/>
    <mergeCell ref="AK297:AK299"/>
    <mergeCell ref="AL297:AL299"/>
    <mergeCell ref="AM297:AM299"/>
    <mergeCell ref="AN297:AN299"/>
    <mergeCell ref="AO297:AO299"/>
    <mergeCell ref="AP297:AP299"/>
    <mergeCell ref="AQ297:AQ299"/>
    <mergeCell ref="AR297:AR299"/>
    <mergeCell ref="AS297:AS299"/>
    <mergeCell ref="A300:A302"/>
    <mergeCell ref="B300:B302"/>
    <mergeCell ref="C300:C302"/>
    <mergeCell ref="D300:D302"/>
    <mergeCell ref="AJ300:AJ302"/>
    <mergeCell ref="AK300:AK302"/>
    <mergeCell ref="AL300:AL302"/>
    <mergeCell ref="AM300:AM302"/>
    <mergeCell ref="AN300:AN302"/>
    <mergeCell ref="AO300:AO302"/>
    <mergeCell ref="AP300:AP302"/>
    <mergeCell ref="AQ300:AQ302"/>
    <mergeCell ref="AR300:AR302"/>
    <mergeCell ref="AS300:AS302"/>
    <mergeCell ref="A303:A305"/>
    <mergeCell ref="B303:B305"/>
    <mergeCell ref="C303:C305"/>
    <mergeCell ref="D303:D305"/>
    <mergeCell ref="AJ303:AJ305"/>
    <mergeCell ref="AK303:AK305"/>
    <mergeCell ref="AL303:AL305"/>
    <mergeCell ref="AM303:AM305"/>
    <mergeCell ref="AN303:AN305"/>
    <mergeCell ref="AO303:AO305"/>
    <mergeCell ref="AP303:AP305"/>
    <mergeCell ref="AQ303:AQ305"/>
    <mergeCell ref="AR303:AR305"/>
    <mergeCell ref="AS303:AS305"/>
    <mergeCell ref="A306:A308"/>
    <mergeCell ref="B306:B308"/>
    <mergeCell ref="C306:C308"/>
    <mergeCell ref="D306:D308"/>
    <mergeCell ref="AJ306:AJ308"/>
    <mergeCell ref="AK306:AK308"/>
    <mergeCell ref="AL306:AL308"/>
    <mergeCell ref="AM306:AM308"/>
    <mergeCell ref="AN306:AN308"/>
    <mergeCell ref="AO306:AO308"/>
    <mergeCell ref="AP306:AP308"/>
    <mergeCell ref="AQ306:AQ308"/>
    <mergeCell ref="AR306:AR308"/>
    <mergeCell ref="AS306:AS308"/>
    <mergeCell ref="A309:A311"/>
    <mergeCell ref="B309:B311"/>
    <mergeCell ref="C309:C311"/>
    <mergeCell ref="D309:D311"/>
    <mergeCell ref="AJ309:AJ311"/>
    <mergeCell ref="AK309:AK311"/>
    <mergeCell ref="AL309:AL311"/>
    <mergeCell ref="AM309:AM311"/>
    <mergeCell ref="AN309:AN311"/>
    <mergeCell ref="AO309:AO311"/>
    <mergeCell ref="AP309:AP311"/>
    <mergeCell ref="AQ309:AQ311"/>
    <mergeCell ref="AR309:AR311"/>
    <mergeCell ref="AS309:AS311"/>
    <mergeCell ref="A312:A314"/>
    <mergeCell ref="B312:B314"/>
    <mergeCell ref="C312:C314"/>
    <mergeCell ref="D312:D314"/>
    <mergeCell ref="AJ312:AJ314"/>
    <mergeCell ref="AK312:AK314"/>
    <mergeCell ref="AL312:AL314"/>
    <mergeCell ref="AM312:AM314"/>
    <mergeCell ref="AN312:AN314"/>
    <mergeCell ref="AO312:AO314"/>
    <mergeCell ref="AP312:AP314"/>
    <mergeCell ref="AQ312:AQ314"/>
    <mergeCell ref="AR312:AR314"/>
    <mergeCell ref="AS312:AS314"/>
    <mergeCell ref="A315:A317"/>
    <mergeCell ref="B315:B317"/>
    <mergeCell ref="C315:C317"/>
    <mergeCell ref="D315:D317"/>
    <mergeCell ref="AJ315:AJ317"/>
    <mergeCell ref="AK315:AK317"/>
    <mergeCell ref="AL315:AL317"/>
    <mergeCell ref="AM315:AM317"/>
    <mergeCell ref="AN315:AN317"/>
    <mergeCell ref="AO315:AO317"/>
    <mergeCell ref="AP315:AP317"/>
    <mergeCell ref="AQ315:AQ317"/>
    <mergeCell ref="AR315:AR317"/>
    <mergeCell ref="AS315:AS317"/>
    <mergeCell ref="A318:A320"/>
    <mergeCell ref="B318:B320"/>
    <mergeCell ref="C318:C320"/>
    <mergeCell ref="D318:D320"/>
    <mergeCell ref="AJ318:AJ320"/>
    <mergeCell ref="AK318:AK320"/>
    <mergeCell ref="AL318:AL320"/>
    <mergeCell ref="AM318:AM320"/>
    <mergeCell ref="AN318:AN320"/>
    <mergeCell ref="AO318:AO320"/>
    <mergeCell ref="AP318:AP320"/>
    <mergeCell ref="AQ318:AQ320"/>
    <mergeCell ref="AR318:AR320"/>
    <mergeCell ref="AS318:AS320"/>
    <mergeCell ref="A321:A323"/>
    <mergeCell ref="B321:B323"/>
    <mergeCell ref="C321:C323"/>
    <mergeCell ref="D321:D323"/>
    <mergeCell ref="AJ321:AJ323"/>
    <mergeCell ref="AK321:AK323"/>
    <mergeCell ref="AL321:AL323"/>
    <mergeCell ref="AM321:AM323"/>
    <mergeCell ref="AN321:AN323"/>
    <mergeCell ref="AO321:AO323"/>
    <mergeCell ref="AP321:AP323"/>
    <mergeCell ref="AQ321:AQ323"/>
    <mergeCell ref="AR321:AR323"/>
    <mergeCell ref="AS321:AS323"/>
    <mergeCell ref="A324:A326"/>
    <mergeCell ref="B324:B326"/>
    <mergeCell ref="C324:C326"/>
    <mergeCell ref="D324:D326"/>
    <mergeCell ref="AJ324:AJ326"/>
    <mergeCell ref="AK324:AK326"/>
    <mergeCell ref="AL324:AL326"/>
    <mergeCell ref="AM324:AM326"/>
    <mergeCell ref="AN324:AN326"/>
    <mergeCell ref="AO324:AO326"/>
    <mergeCell ref="AP324:AP326"/>
    <mergeCell ref="AQ324:AQ326"/>
    <mergeCell ref="AR324:AR326"/>
    <mergeCell ref="AS324:AS326"/>
    <mergeCell ref="A327:A329"/>
    <mergeCell ref="B327:B329"/>
    <mergeCell ref="C327:C329"/>
    <mergeCell ref="D327:D329"/>
    <mergeCell ref="AJ327:AJ329"/>
    <mergeCell ref="AK327:AK329"/>
    <mergeCell ref="AL327:AL329"/>
    <mergeCell ref="AM327:AM329"/>
    <mergeCell ref="AN327:AN329"/>
    <mergeCell ref="AO327:AO329"/>
    <mergeCell ref="AP327:AP329"/>
    <mergeCell ref="AQ327:AQ329"/>
    <mergeCell ref="AR327:AR329"/>
    <mergeCell ref="AS327:AS329"/>
    <mergeCell ref="A330:A332"/>
    <mergeCell ref="B330:B332"/>
    <mergeCell ref="C330:C332"/>
    <mergeCell ref="D330:D332"/>
    <mergeCell ref="AJ330:AJ332"/>
    <mergeCell ref="AK330:AK332"/>
    <mergeCell ref="AL330:AL332"/>
    <mergeCell ref="AM330:AM332"/>
    <mergeCell ref="AN330:AN332"/>
    <mergeCell ref="AO330:AO332"/>
    <mergeCell ref="AP330:AP332"/>
    <mergeCell ref="AQ330:AQ332"/>
    <mergeCell ref="AR330:AR332"/>
    <mergeCell ref="AS330:AS332"/>
    <mergeCell ref="A333:A335"/>
    <mergeCell ref="B333:B335"/>
    <mergeCell ref="C333:C335"/>
    <mergeCell ref="D333:D335"/>
    <mergeCell ref="AJ333:AJ335"/>
    <mergeCell ref="AK333:AK335"/>
    <mergeCell ref="AL333:AL335"/>
    <mergeCell ref="AM333:AM335"/>
    <mergeCell ref="AN333:AN335"/>
    <mergeCell ref="AO333:AO335"/>
    <mergeCell ref="AP333:AP335"/>
    <mergeCell ref="AQ333:AQ335"/>
    <mergeCell ref="AR333:AR335"/>
    <mergeCell ref="AS333:AS335"/>
    <mergeCell ref="A336:A338"/>
    <mergeCell ref="B336:B338"/>
    <mergeCell ref="C336:C338"/>
    <mergeCell ref="D336:D338"/>
    <mergeCell ref="AJ336:AJ338"/>
    <mergeCell ref="AK336:AK338"/>
    <mergeCell ref="AL336:AL338"/>
    <mergeCell ref="AM336:AM338"/>
    <mergeCell ref="AN336:AN338"/>
    <mergeCell ref="AO336:AO338"/>
    <mergeCell ref="AP336:AP338"/>
    <mergeCell ref="AQ336:AQ338"/>
    <mergeCell ref="AR336:AR338"/>
    <mergeCell ref="AS336:AS338"/>
    <mergeCell ref="A339:A341"/>
    <mergeCell ref="B339:B341"/>
    <mergeCell ref="C339:C341"/>
    <mergeCell ref="D339:D341"/>
    <mergeCell ref="AJ339:AJ341"/>
    <mergeCell ref="AK339:AK341"/>
    <mergeCell ref="AL339:AL341"/>
    <mergeCell ref="AM339:AM341"/>
    <mergeCell ref="AN339:AN341"/>
    <mergeCell ref="AO339:AO341"/>
    <mergeCell ref="AP339:AP341"/>
    <mergeCell ref="AQ339:AQ341"/>
    <mergeCell ref="AR339:AR341"/>
    <mergeCell ref="AS339:AS341"/>
    <mergeCell ref="A342:A344"/>
    <mergeCell ref="B342:B344"/>
    <mergeCell ref="C342:C344"/>
    <mergeCell ref="D342:D344"/>
    <mergeCell ref="AJ342:AJ344"/>
    <mergeCell ref="AK342:AK344"/>
    <mergeCell ref="AL342:AL344"/>
    <mergeCell ref="AM342:AM344"/>
    <mergeCell ref="AN342:AN344"/>
    <mergeCell ref="AO342:AO344"/>
    <mergeCell ref="AP342:AP344"/>
    <mergeCell ref="AQ342:AQ344"/>
    <mergeCell ref="AR342:AR344"/>
    <mergeCell ref="AS342:AS344"/>
    <mergeCell ref="A345:A347"/>
    <mergeCell ref="B345:B347"/>
    <mergeCell ref="C345:C347"/>
    <mergeCell ref="D345:D347"/>
    <mergeCell ref="AJ345:AJ347"/>
    <mergeCell ref="AK345:AK347"/>
    <mergeCell ref="AL345:AL347"/>
    <mergeCell ref="AM345:AM347"/>
    <mergeCell ref="AN345:AN347"/>
    <mergeCell ref="AO345:AO347"/>
    <mergeCell ref="AP345:AP347"/>
    <mergeCell ref="AQ345:AQ347"/>
    <mergeCell ref="AR345:AR347"/>
    <mergeCell ref="AS345:AS347"/>
    <mergeCell ref="A348:A350"/>
    <mergeCell ref="B348:B350"/>
    <mergeCell ref="C348:C350"/>
    <mergeCell ref="D348:D350"/>
    <mergeCell ref="AJ348:AJ350"/>
    <mergeCell ref="AK348:AK350"/>
    <mergeCell ref="AL348:AL350"/>
    <mergeCell ref="AM348:AM350"/>
    <mergeCell ref="AN348:AN350"/>
    <mergeCell ref="AO348:AO350"/>
    <mergeCell ref="AP348:AP350"/>
    <mergeCell ref="AQ348:AQ350"/>
    <mergeCell ref="AR348:AR350"/>
    <mergeCell ref="AS348:AS350"/>
    <mergeCell ref="A351:A353"/>
    <mergeCell ref="B351:B353"/>
    <mergeCell ref="C351:C353"/>
    <mergeCell ref="D351:D353"/>
    <mergeCell ref="AJ351:AJ353"/>
    <mergeCell ref="AK351:AK353"/>
    <mergeCell ref="AL351:AL353"/>
    <mergeCell ref="AM351:AM353"/>
    <mergeCell ref="AN351:AN353"/>
    <mergeCell ref="AO351:AO353"/>
    <mergeCell ref="AP351:AP353"/>
    <mergeCell ref="AQ351:AQ353"/>
    <mergeCell ref="AR351:AR353"/>
    <mergeCell ref="AS351:AS353"/>
    <mergeCell ref="A354:A356"/>
    <mergeCell ref="B354:B356"/>
    <mergeCell ref="C354:C356"/>
    <mergeCell ref="D354:D356"/>
    <mergeCell ref="AJ354:AJ356"/>
    <mergeCell ref="AK354:AK356"/>
    <mergeCell ref="AL354:AL356"/>
    <mergeCell ref="AM354:AM356"/>
    <mergeCell ref="AN354:AN356"/>
    <mergeCell ref="AO354:AO356"/>
    <mergeCell ref="AP354:AP356"/>
    <mergeCell ref="AQ354:AQ356"/>
    <mergeCell ref="AR354:AR356"/>
    <mergeCell ref="AS354:AS356"/>
    <mergeCell ref="A357:A359"/>
    <mergeCell ref="B357:B359"/>
    <mergeCell ref="C357:C359"/>
    <mergeCell ref="D357:D359"/>
    <mergeCell ref="AJ357:AJ359"/>
    <mergeCell ref="AK357:AK359"/>
    <mergeCell ref="AL357:AL359"/>
    <mergeCell ref="AM357:AM359"/>
    <mergeCell ref="AN357:AN359"/>
    <mergeCell ref="AO357:AO359"/>
    <mergeCell ref="AP357:AP359"/>
    <mergeCell ref="AQ357:AQ359"/>
    <mergeCell ref="AR357:AR359"/>
    <mergeCell ref="AS357:AS359"/>
    <mergeCell ref="A360:A362"/>
    <mergeCell ref="B360:B362"/>
    <mergeCell ref="C360:C362"/>
    <mergeCell ref="D360:D362"/>
    <mergeCell ref="AJ360:AJ362"/>
    <mergeCell ref="AK360:AK362"/>
    <mergeCell ref="AL360:AL362"/>
    <mergeCell ref="AM360:AM362"/>
    <mergeCell ref="AN360:AN362"/>
    <mergeCell ref="AO360:AO362"/>
    <mergeCell ref="AP360:AP362"/>
    <mergeCell ref="AQ360:AQ362"/>
    <mergeCell ref="AR360:AR362"/>
    <mergeCell ref="AS360:AS362"/>
    <mergeCell ref="A363:A365"/>
    <mergeCell ref="B363:B365"/>
    <mergeCell ref="C363:C365"/>
    <mergeCell ref="D363:D365"/>
    <mergeCell ref="AJ363:AJ365"/>
    <mergeCell ref="AK363:AK365"/>
    <mergeCell ref="AL363:AL365"/>
    <mergeCell ref="AM363:AM365"/>
    <mergeCell ref="AN363:AN365"/>
    <mergeCell ref="AO363:AO365"/>
    <mergeCell ref="AP363:AP365"/>
    <mergeCell ref="AQ363:AQ365"/>
    <mergeCell ref="AR363:AR365"/>
    <mergeCell ref="AS363:AS365"/>
    <mergeCell ref="A366:A368"/>
    <mergeCell ref="B366:B368"/>
    <mergeCell ref="C366:C368"/>
    <mergeCell ref="D366:D368"/>
    <mergeCell ref="AJ366:AJ368"/>
    <mergeCell ref="AK366:AK368"/>
    <mergeCell ref="AL366:AL368"/>
    <mergeCell ref="AM366:AM368"/>
    <mergeCell ref="AN366:AN368"/>
    <mergeCell ref="AO366:AO368"/>
    <mergeCell ref="AP366:AP368"/>
    <mergeCell ref="AQ366:AQ368"/>
    <mergeCell ref="AR366:AR368"/>
    <mergeCell ref="AS366:AS368"/>
    <mergeCell ref="A369:A371"/>
    <mergeCell ref="B369:B371"/>
    <mergeCell ref="C369:C371"/>
    <mergeCell ref="D369:D371"/>
    <mergeCell ref="AJ369:AJ371"/>
    <mergeCell ref="AK369:AK371"/>
    <mergeCell ref="AL369:AL371"/>
    <mergeCell ref="AM369:AM371"/>
    <mergeCell ref="AN369:AN371"/>
    <mergeCell ref="AO369:AO371"/>
    <mergeCell ref="AP369:AP371"/>
    <mergeCell ref="AQ369:AQ371"/>
    <mergeCell ref="AR369:AR371"/>
    <mergeCell ref="AS369:AS371"/>
    <mergeCell ref="A372:A374"/>
    <mergeCell ref="B372:B374"/>
    <mergeCell ref="C372:C374"/>
    <mergeCell ref="D372:D374"/>
    <mergeCell ref="AJ372:AJ374"/>
    <mergeCell ref="AK372:AK374"/>
    <mergeCell ref="AL372:AL374"/>
    <mergeCell ref="AM372:AM374"/>
    <mergeCell ref="AN372:AN374"/>
    <mergeCell ref="AO372:AO374"/>
    <mergeCell ref="AP372:AP374"/>
    <mergeCell ref="AQ372:AQ374"/>
    <mergeCell ref="AR372:AR374"/>
    <mergeCell ref="AS372:AS374"/>
    <mergeCell ref="A375:A377"/>
    <mergeCell ref="B375:B377"/>
    <mergeCell ref="C375:C377"/>
    <mergeCell ref="D375:D377"/>
    <mergeCell ref="AJ375:AJ377"/>
    <mergeCell ref="AK375:AK377"/>
    <mergeCell ref="AL375:AL377"/>
    <mergeCell ref="AM375:AM377"/>
    <mergeCell ref="AN375:AN377"/>
    <mergeCell ref="AO375:AO377"/>
    <mergeCell ref="AP375:AP377"/>
    <mergeCell ref="AQ375:AQ377"/>
    <mergeCell ref="AR375:AR377"/>
    <mergeCell ref="AS375:AS377"/>
    <mergeCell ref="A378:A380"/>
    <mergeCell ref="B378:B380"/>
    <mergeCell ref="C378:C380"/>
    <mergeCell ref="D378:D380"/>
    <mergeCell ref="AJ378:AJ380"/>
    <mergeCell ref="AK378:AK380"/>
    <mergeCell ref="AL378:AL380"/>
    <mergeCell ref="AM378:AM380"/>
    <mergeCell ref="AN378:AN380"/>
    <mergeCell ref="AO378:AO380"/>
    <mergeCell ref="AP378:AP380"/>
    <mergeCell ref="AQ378:AQ380"/>
    <mergeCell ref="AR378:AR380"/>
    <mergeCell ref="AS378:AS380"/>
    <mergeCell ref="A381:A383"/>
    <mergeCell ref="B381:B383"/>
    <mergeCell ref="C381:C383"/>
    <mergeCell ref="D381:D383"/>
    <mergeCell ref="AJ381:AJ383"/>
    <mergeCell ref="AK381:AK383"/>
    <mergeCell ref="AL381:AL383"/>
    <mergeCell ref="AM381:AM383"/>
    <mergeCell ref="AN381:AN383"/>
    <mergeCell ref="AO381:AO383"/>
    <mergeCell ref="AP381:AP383"/>
    <mergeCell ref="AQ381:AQ383"/>
    <mergeCell ref="AR381:AR383"/>
    <mergeCell ref="AS381:AS383"/>
    <mergeCell ref="A384:A386"/>
    <mergeCell ref="B384:B386"/>
    <mergeCell ref="C384:C386"/>
    <mergeCell ref="D384:D386"/>
    <mergeCell ref="AJ384:AJ386"/>
    <mergeCell ref="AK384:AK386"/>
    <mergeCell ref="AL384:AL386"/>
    <mergeCell ref="AM384:AM386"/>
    <mergeCell ref="AN384:AN386"/>
    <mergeCell ref="AO384:AO386"/>
    <mergeCell ref="AP384:AP386"/>
    <mergeCell ref="AQ384:AQ386"/>
    <mergeCell ref="AR384:AR386"/>
    <mergeCell ref="AS384:AS386"/>
    <mergeCell ref="A387:A389"/>
    <mergeCell ref="B387:B389"/>
    <mergeCell ref="C387:C389"/>
    <mergeCell ref="D387:D389"/>
    <mergeCell ref="AJ387:AJ389"/>
    <mergeCell ref="AK387:AK389"/>
    <mergeCell ref="AL387:AL389"/>
    <mergeCell ref="AM387:AM389"/>
    <mergeCell ref="AN387:AN389"/>
    <mergeCell ref="AO387:AO389"/>
    <mergeCell ref="AP387:AP389"/>
    <mergeCell ref="AQ387:AQ389"/>
    <mergeCell ref="AR387:AR389"/>
    <mergeCell ref="AS387:AS389"/>
    <mergeCell ref="A390:A392"/>
    <mergeCell ref="B390:B392"/>
    <mergeCell ref="C390:C392"/>
    <mergeCell ref="D390:D392"/>
    <mergeCell ref="AJ390:AJ392"/>
    <mergeCell ref="AK390:AK392"/>
    <mergeCell ref="AL390:AL392"/>
    <mergeCell ref="AM390:AM392"/>
    <mergeCell ref="AN390:AN392"/>
    <mergeCell ref="AO390:AO392"/>
    <mergeCell ref="AP390:AP392"/>
    <mergeCell ref="AQ390:AQ392"/>
    <mergeCell ref="AR390:AR392"/>
    <mergeCell ref="AS390:AS392"/>
    <mergeCell ref="A393:A395"/>
    <mergeCell ref="B393:B395"/>
    <mergeCell ref="C393:C395"/>
    <mergeCell ref="D393:D395"/>
    <mergeCell ref="AJ393:AJ395"/>
    <mergeCell ref="AK393:AK395"/>
    <mergeCell ref="AL393:AL395"/>
    <mergeCell ref="AM393:AM395"/>
    <mergeCell ref="AN393:AN395"/>
    <mergeCell ref="AO393:AO395"/>
    <mergeCell ref="AP393:AP395"/>
    <mergeCell ref="AQ393:AQ395"/>
    <mergeCell ref="AR393:AR395"/>
    <mergeCell ref="AS393:AS395"/>
    <mergeCell ref="A396:A398"/>
    <mergeCell ref="B396:B398"/>
    <mergeCell ref="C396:C398"/>
    <mergeCell ref="D396:D398"/>
    <mergeCell ref="AJ396:AJ398"/>
    <mergeCell ref="AK396:AK398"/>
    <mergeCell ref="AL396:AL398"/>
    <mergeCell ref="AM396:AM398"/>
    <mergeCell ref="AN396:AN398"/>
    <mergeCell ref="AO396:AO398"/>
    <mergeCell ref="AP396:AP398"/>
    <mergeCell ref="AQ396:AQ398"/>
    <mergeCell ref="AR396:AR398"/>
    <mergeCell ref="AS396:AS398"/>
    <mergeCell ref="A399:A401"/>
    <mergeCell ref="B399:B401"/>
    <mergeCell ref="C399:C401"/>
    <mergeCell ref="D399:D401"/>
    <mergeCell ref="AJ399:AJ401"/>
    <mergeCell ref="AK399:AK401"/>
    <mergeCell ref="AL399:AL401"/>
    <mergeCell ref="AM399:AM401"/>
    <mergeCell ref="AN399:AN401"/>
    <mergeCell ref="AO399:AO401"/>
    <mergeCell ref="AP399:AP401"/>
    <mergeCell ref="AQ399:AQ401"/>
    <mergeCell ref="AR399:AR401"/>
    <mergeCell ref="AS399:AS401"/>
    <mergeCell ref="A402:A404"/>
    <mergeCell ref="B402:B404"/>
    <mergeCell ref="C402:C404"/>
    <mergeCell ref="D402:D404"/>
    <mergeCell ref="AJ402:AJ404"/>
    <mergeCell ref="AK402:AK404"/>
    <mergeCell ref="AL402:AL404"/>
    <mergeCell ref="AM402:AM404"/>
    <mergeCell ref="AN402:AN404"/>
    <mergeCell ref="AO402:AO404"/>
    <mergeCell ref="AP402:AP404"/>
    <mergeCell ref="AQ402:AQ404"/>
    <mergeCell ref="AR402:AR404"/>
    <mergeCell ref="AS402:AS404"/>
    <mergeCell ref="A405:A407"/>
    <mergeCell ref="B405:B407"/>
    <mergeCell ref="C405:C407"/>
    <mergeCell ref="D405:D407"/>
    <mergeCell ref="AJ405:AJ407"/>
    <mergeCell ref="AK405:AK407"/>
    <mergeCell ref="AL405:AL407"/>
    <mergeCell ref="AM405:AM407"/>
    <mergeCell ref="AN405:AN407"/>
    <mergeCell ref="AO405:AO407"/>
    <mergeCell ref="AP405:AP407"/>
    <mergeCell ref="AQ405:AQ407"/>
    <mergeCell ref="AR405:AR407"/>
    <mergeCell ref="AS405:AS407"/>
    <mergeCell ref="A408:A410"/>
    <mergeCell ref="B408:B410"/>
    <mergeCell ref="C408:C410"/>
    <mergeCell ref="D408:D410"/>
    <mergeCell ref="AJ408:AJ410"/>
    <mergeCell ref="AK408:AK410"/>
    <mergeCell ref="AL408:AL410"/>
    <mergeCell ref="AM408:AM410"/>
    <mergeCell ref="AN408:AN410"/>
    <mergeCell ref="AO408:AO410"/>
    <mergeCell ref="AP408:AP410"/>
    <mergeCell ref="AQ408:AQ410"/>
    <mergeCell ref="AR408:AR410"/>
    <mergeCell ref="AS408:AS410"/>
    <mergeCell ref="A411:A413"/>
    <mergeCell ref="B411:B413"/>
    <mergeCell ref="C411:C413"/>
    <mergeCell ref="D411:D413"/>
    <mergeCell ref="AJ411:AJ413"/>
    <mergeCell ref="AK411:AK413"/>
    <mergeCell ref="AL411:AL413"/>
    <mergeCell ref="AM411:AM413"/>
    <mergeCell ref="AN411:AN413"/>
    <mergeCell ref="AO411:AO413"/>
    <mergeCell ref="AP411:AP413"/>
    <mergeCell ref="AQ411:AQ413"/>
    <mergeCell ref="AR411:AR413"/>
    <mergeCell ref="AS411:AS413"/>
    <mergeCell ref="A414:A416"/>
    <mergeCell ref="B414:B416"/>
    <mergeCell ref="C414:C416"/>
    <mergeCell ref="D414:D416"/>
    <mergeCell ref="AJ414:AJ416"/>
    <mergeCell ref="AK414:AK416"/>
    <mergeCell ref="AL414:AL416"/>
    <mergeCell ref="AM414:AM416"/>
    <mergeCell ref="AN414:AN416"/>
    <mergeCell ref="AO414:AO416"/>
    <mergeCell ref="AP414:AP416"/>
    <mergeCell ref="AQ414:AQ416"/>
    <mergeCell ref="AR414:AR416"/>
    <mergeCell ref="AS414:AS416"/>
    <mergeCell ref="A417:A419"/>
    <mergeCell ref="B417:B419"/>
    <mergeCell ref="C417:C419"/>
    <mergeCell ref="D417:D419"/>
    <mergeCell ref="AJ417:AJ419"/>
    <mergeCell ref="AK417:AK419"/>
    <mergeCell ref="AL417:AL419"/>
    <mergeCell ref="AM417:AM419"/>
    <mergeCell ref="AN417:AN419"/>
    <mergeCell ref="AO417:AO419"/>
    <mergeCell ref="AP417:AP419"/>
    <mergeCell ref="AQ417:AQ419"/>
    <mergeCell ref="AR417:AR419"/>
    <mergeCell ref="AS417:AS419"/>
    <mergeCell ref="A420:A422"/>
    <mergeCell ref="B420:B422"/>
    <mergeCell ref="C420:C422"/>
    <mergeCell ref="D420:D422"/>
    <mergeCell ref="AJ420:AJ422"/>
    <mergeCell ref="AK420:AK422"/>
    <mergeCell ref="AL420:AL422"/>
    <mergeCell ref="AM420:AM422"/>
    <mergeCell ref="AN420:AN422"/>
    <mergeCell ref="AO420:AO422"/>
    <mergeCell ref="AP420:AP422"/>
    <mergeCell ref="AQ420:AQ422"/>
    <mergeCell ref="AR420:AR422"/>
    <mergeCell ref="AS420:AS422"/>
    <mergeCell ref="A423:A425"/>
    <mergeCell ref="B423:B425"/>
    <mergeCell ref="C423:C425"/>
    <mergeCell ref="D423:D425"/>
    <mergeCell ref="AJ423:AJ425"/>
    <mergeCell ref="AK423:AK425"/>
    <mergeCell ref="AL423:AL425"/>
    <mergeCell ref="AM423:AM425"/>
    <mergeCell ref="AN423:AN425"/>
    <mergeCell ref="AO423:AO425"/>
    <mergeCell ref="AP423:AP425"/>
    <mergeCell ref="AQ423:AQ425"/>
    <mergeCell ref="AR423:AR425"/>
    <mergeCell ref="AS423:AS425"/>
    <mergeCell ref="A426:A428"/>
    <mergeCell ref="B426:B428"/>
    <mergeCell ref="C426:C428"/>
    <mergeCell ref="D426:D428"/>
    <mergeCell ref="AJ426:AJ428"/>
    <mergeCell ref="AK426:AK428"/>
    <mergeCell ref="AL426:AL428"/>
    <mergeCell ref="AM426:AM428"/>
    <mergeCell ref="AN426:AN428"/>
    <mergeCell ref="AO426:AO428"/>
    <mergeCell ref="AP426:AP428"/>
    <mergeCell ref="AQ426:AQ428"/>
    <mergeCell ref="AR426:AR428"/>
    <mergeCell ref="AS426:AS428"/>
    <mergeCell ref="A429:A431"/>
    <mergeCell ref="B429:B431"/>
    <mergeCell ref="C429:C431"/>
    <mergeCell ref="D429:D431"/>
    <mergeCell ref="AJ429:AJ431"/>
    <mergeCell ref="AK429:AK431"/>
    <mergeCell ref="AL429:AL431"/>
    <mergeCell ref="AM429:AM431"/>
    <mergeCell ref="AN429:AN431"/>
    <mergeCell ref="AO429:AO431"/>
    <mergeCell ref="AP429:AP431"/>
    <mergeCell ref="AQ429:AQ431"/>
    <mergeCell ref="AR429:AR431"/>
    <mergeCell ref="AS429:AS431"/>
    <mergeCell ref="A432:A434"/>
    <mergeCell ref="B432:B434"/>
    <mergeCell ref="C432:C434"/>
    <mergeCell ref="D432:D434"/>
    <mergeCell ref="AJ432:AJ434"/>
    <mergeCell ref="AK432:AK434"/>
    <mergeCell ref="AL432:AL434"/>
    <mergeCell ref="AM432:AM434"/>
    <mergeCell ref="AN432:AN434"/>
    <mergeCell ref="AO432:AO434"/>
    <mergeCell ref="AP432:AP434"/>
    <mergeCell ref="AQ432:AQ434"/>
    <mergeCell ref="AR432:AR434"/>
    <mergeCell ref="AS432:AS434"/>
    <mergeCell ref="A435:A437"/>
    <mergeCell ref="B435:B437"/>
    <mergeCell ref="C435:C437"/>
    <mergeCell ref="D435:D437"/>
    <mergeCell ref="AJ435:AJ437"/>
    <mergeCell ref="AK435:AK437"/>
    <mergeCell ref="AL435:AL437"/>
    <mergeCell ref="AM435:AM437"/>
    <mergeCell ref="AN435:AN437"/>
    <mergeCell ref="AO435:AO437"/>
    <mergeCell ref="AP435:AP437"/>
    <mergeCell ref="AQ435:AQ437"/>
    <mergeCell ref="AR435:AR437"/>
    <mergeCell ref="AS435:AS437"/>
    <mergeCell ref="A438:A440"/>
    <mergeCell ref="B438:B440"/>
    <mergeCell ref="C438:C440"/>
    <mergeCell ref="D438:D440"/>
    <mergeCell ref="AJ438:AJ440"/>
    <mergeCell ref="AK438:AK440"/>
    <mergeCell ref="AL438:AL440"/>
    <mergeCell ref="AM438:AM440"/>
    <mergeCell ref="AN438:AN440"/>
    <mergeCell ref="AO438:AO440"/>
    <mergeCell ref="AP438:AP440"/>
    <mergeCell ref="AQ438:AQ440"/>
    <mergeCell ref="AR438:AR440"/>
    <mergeCell ref="AS438:AS440"/>
    <mergeCell ref="A441:A443"/>
    <mergeCell ref="B441:B443"/>
    <mergeCell ref="C441:C443"/>
    <mergeCell ref="D441:D443"/>
    <mergeCell ref="AJ441:AJ443"/>
    <mergeCell ref="AK441:AK443"/>
    <mergeCell ref="AL441:AL443"/>
    <mergeCell ref="AM441:AM443"/>
    <mergeCell ref="AN441:AN443"/>
    <mergeCell ref="AO441:AO443"/>
    <mergeCell ref="AP441:AP443"/>
    <mergeCell ref="AQ441:AQ443"/>
    <mergeCell ref="AR441:AR443"/>
    <mergeCell ref="AS441:AS443"/>
    <mergeCell ref="A444:A446"/>
    <mergeCell ref="B444:B446"/>
    <mergeCell ref="C444:C446"/>
    <mergeCell ref="D444:D446"/>
    <mergeCell ref="AJ444:AJ446"/>
    <mergeCell ref="AK444:AK446"/>
    <mergeCell ref="AL444:AL446"/>
    <mergeCell ref="AM444:AM446"/>
    <mergeCell ref="AN444:AN446"/>
    <mergeCell ref="AO444:AO446"/>
    <mergeCell ref="AP444:AP446"/>
    <mergeCell ref="AQ444:AQ446"/>
    <mergeCell ref="AR444:AR446"/>
    <mergeCell ref="AS444:AS446"/>
    <mergeCell ref="A447:A449"/>
    <mergeCell ref="B447:B449"/>
    <mergeCell ref="C447:C449"/>
    <mergeCell ref="D447:D449"/>
    <mergeCell ref="AJ447:AJ449"/>
    <mergeCell ref="AK447:AK449"/>
    <mergeCell ref="AL447:AL449"/>
    <mergeCell ref="AM447:AM449"/>
    <mergeCell ref="AN447:AN449"/>
    <mergeCell ref="AO447:AO449"/>
    <mergeCell ref="AP447:AP449"/>
    <mergeCell ref="AQ447:AQ449"/>
    <mergeCell ref="AR447:AR449"/>
    <mergeCell ref="AS447:AS449"/>
    <mergeCell ref="A450:A452"/>
    <mergeCell ref="B450:B452"/>
    <mergeCell ref="C450:C452"/>
    <mergeCell ref="D450:D452"/>
    <mergeCell ref="AJ450:AJ452"/>
    <mergeCell ref="AK450:AK452"/>
    <mergeCell ref="AL450:AL452"/>
    <mergeCell ref="AM450:AM452"/>
    <mergeCell ref="AN450:AN452"/>
    <mergeCell ref="AO450:AO452"/>
    <mergeCell ref="AP450:AP452"/>
    <mergeCell ref="AQ450:AQ452"/>
    <mergeCell ref="AR450:AR452"/>
    <mergeCell ref="AS450:AS452"/>
    <mergeCell ref="A453:A455"/>
    <mergeCell ref="B453:B455"/>
    <mergeCell ref="C453:C455"/>
    <mergeCell ref="D453:D455"/>
    <mergeCell ref="AJ453:AJ455"/>
    <mergeCell ref="AK453:AK455"/>
    <mergeCell ref="AL453:AL455"/>
    <mergeCell ref="AM453:AM455"/>
    <mergeCell ref="AN453:AN455"/>
    <mergeCell ref="AO453:AO455"/>
    <mergeCell ref="AP453:AP455"/>
    <mergeCell ref="AQ453:AQ455"/>
    <mergeCell ref="AR453:AR455"/>
    <mergeCell ref="AS453:AS455"/>
    <mergeCell ref="A456:A458"/>
    <mergeCell ref="B456:B458"/>
    <mergeCell ref="C456:C458"/>
    <mergeCell ref="D456:D458"/>
    <mergeCell ref="AJ456:AJ458"/>
    <mergeCell ref="AK456:AK458"/>
    <mergeCell ref="AL456:AL458"/>
    <mergeCell ref="AM456:AM458"/>
    <mergeCell ref="AN456:AN458"/>
    <mergeCell ref="AO456:AO458"/>
    <mergeCell ref="AP456:AP458"/>
    <mergeCell ref="AQ456:AQ458"/>
    <mergeCell ref="AR456:AR458"/>
    <mergeCell ref="AS456:AS458"/>
    <mergeCell ref="A459:A461"/>
    <mergeCell ref="B459:B461"/>
    <mergeCell ref="C459:C461"/>
    <mergeCell ref="D459:D461"/>
    <mergeCell ref="AJ459:AJ461"/>
    <mergeCell ref="AK459:AK461"/>
    <mergeCell ref="AL459:AL461"/>
    <mergeCell ref="AM459:AM461"/>
    <mergeCell ref="AN459:AN461"/>
    <mergeCell ref="AO459:AO461"/>
    <mergeCell ref="AP459:AP461"/>
    <mergeCell ref="AQ459:AQ461"/>
    <mergeCell ref="AR459:AR461"/>
    <mergeCell ref="AS459:AS461"/>
    <mergeCell ref="A462:A464"/>
    <mergeCell ref="B462:B464"/>
    <mergeCell ref="C462:C464"/>
    <mergeCell ref="D462:D464"/>
    <mergeCell ref="AJ462:AJ464"/>
    <mergeCell ref="AK462:AK464"/>
    <mergeCell ref="AL462:AL464"/>
    <mergeCell ref="AM462:AM464"/>
    <mergeCell ref="AN462:AN464"/>
    <mergeCell ref="AO462:AO464"/>
    <mergeCell ref="AP462:AP464"/>
    <mergeCell ref="AQ462:AQ464"/>
    <mergeCell ref="AR462:AR464"/>
    <mergeCell ref="AS462:AS464"/>
    <mergeCell ref="A465:A467"/>
    <mergeCell ref="B465:B467"/>
    <mergeCell ref="C465:C467"/>
    <mergeCell ref="D465:D467"/>
    <mergeCell ref="AJ465:AJ467"/>
    <mergeCell ref="AK465:AK467"/>
    <mergeCell ref="AL465:AL467"/>
    <mergeCell ref="AM465:AM467"/>
    <mergeCell ref="AN465:AN467"/>
    <mergeCell ref="AO465:AO467"/>
    <mergeCell ref="AP465:AP467"/>
    <mergeCell ref="AQ465:AQ467"/>
    <mergeCell ref="AR465:AR467"/>
    <mergeCell ref="AS465:AS467"/>
    <mergeCell ref="A468:A470"/>
    <mergeCell ref="B468:B470"/>
    <mergeCell ref="C468:C470"/>
    <mergeCell ref="D468:D470"/>
    <mergeCell ref="AJ468:AJ470"/>
    <mergeCell ref="AK468:AK470"/>
    <mergeCell ref="AL468:AL470"/>
    <mergeCell ref="AM468:AM470"/>
    <mergeCell ref="AN468:AN470"/>
    <mergeCell ref="AO468:AO470"/>
    <mergeCell ref="AP468:AP470"/>
    <mergeCell ref="AQ468:AQ470"/>
    <mergeCell ref="AR468:AR470"/>
    <mergeCell ref="AS468:AS470"/>
    <mergeCell ref="A471:A473"/>
    <mergeCell ref="B471:B473"/>
    <mergeCell ref="C471:C473"/>
    <mergeCell ref="D471:D473"/>
    <mergeCell ref="AJ471:AJ473"/>
    <mergeCell ref="AK471:AK473"/>
    <mergeCell ref="AL471:AL473"/>
    <mergeCell ref="AM471:AM473"/>
    <mergeCell ref="AN471:AN473"/>
    <mergeCell ref="AO471:AO473"/>
    <mergeCell ref="AP471:AP473"/>
    <mergeCell ref="AQ471:AQ473"/>
    <mergeCell ref="AR471:AR473"/>
    <mergeCell ref="AS471:AS473"/>
    <mergeCell ref="A474:A476"/>
    <mergeCell ref="B474:B476"/>
    <mergeCell ref="C474:C476"/>
    <mergeCell ref="D474:D476"/>
    <mergeCell ref="AJ474:AJ476"/>
    <mergeCell ref="AK474:AK476"/>
    <mergeCell ref="AL474:AL476"/>
    <mergeCell ref="AM474:AM476"/>
    <mergeCell ref="AN474:AN476"/>
    <mergeCell ref="AO474:AO476"/>
    <mergeCell ref="AP474:AP476"/>
    <mergeCell ref="AQ474:AQ476"/>
    <mergeCell ref="AR474:AR476"/>
    <mergeCell ref="AS474:AS476"/>
    <mergeCell ref="A477:A479"/>
    <mergeCell ref="B477:B479"/>
    <mergeCell ref="C477:C479"/>
    <mergeCell ref="D477:D479"/>
    <mergeCell ref="AJ477:AJ479"/>
    <mergeCell ref="AK477:AK479"/>
    <mergeCell ref="AL477:AL479"/>
    <mergeCell ref="AM477:AM479"/>
    <mergeCell ref="AN477:AN479"/>
    <mergeCell ref="AO477:AO479"/>
    <mergeCell ref="AP477:AP479"/>
    <mergeCell ref="AQ477:AQ479"/>
    <mergeCell ref="AR477:AR479"/>
    <mergeCell ref="AS477:AS479"/>
    <mergeCell ref="A480:A482"/>
    <mergeCell ref="B480:B482"/>
    <mergeCell ref="C480:C482"/>
    <mergeCell ref="D480:D482"/>
    <mergeCell ref="AJ480:AJ482"/>
    <mergeCell ref="AK480:AK482"/>
    <mergeCell ref="AL480:AL482"/>
    <mergeCell ref="AM480:AM482"/>
    <mergeCell ref="AN480:AN482"/>
    <mergeCell ref="AO480:AO482"/>
    <mergeCell ref="AP480:AP482"/>
    <mergeCell ref="AQ480:AQ482"/>
    <mergeCell ref="AR480:AR482"/>
    <mergeCell ref="AS480:AS482"/>
    <mergeCell ref="A483:A485"/>
    <mergeCell ref="B483:B485"/>
    <mergeCell ref="C483:C485"/>
    <mergeCell ref="D483:D485"/>
    <mergeCell ref="AJ483:AJ485"/>
    <mergeCell ref="AK483:AK485"/>
    <mergeCell ref="AL483:AL485"/>
    <mergeCell ref="AM483:AM485"/>
    <mergeCell ref="AN483:AN485"/>
    <mergeCell ref="AO483:AO485"/>
    <mergeCell ref="AP483:AP485"/>
    <mergeCell ref="AQ483:AQ485"/>
    <mergeCell ref="AR483:AR485"/>
    <mergeCell ref="AS483:AS485"/>
    <mergeCell ref="A486:A488"/>
    <mergeCell ref="B486:B488"/>
    <mergeCell ref="C486:C488"/>
    <mergeCell ref="D486:D488"/>
    <mergeCell ref="AJ486:AJ488"/>
    <mergeCell ref="AK486:AK488"/>
    <mergeCell ref="AL486:AL488"/>
    <mergeCell ref="AM486:AM488"/>
    <mergeCell ref="AN486:AN488"/>
    <mergeCell ref="AO486:AO488"/>
    <mergeCell ref="AP486:AP488"/>
    <mergeCell ref="AQ486:AQ488"/>
    <mergeCell ref="AR486:AR488"/>
    <mergeCell ref="AS486:AS488"/>
    <mergeCell ref="A489:A491"/>
    <mergeCell ref="B489:B491"/>
    <mergeCell ref="C489:C491"/>
    <mergeCell ref="D489:D491"/>
    <mergeCell ref="AJ489:AJ491"/>
    <mergeCell ref="AK489:AK491"/>
    <mergeCell ref="AL489:AL491"/>
    <mergeCell ref="AM489:AM491"/>
    <mergeCell ref="AN489:AN491"/>
    <mergeCell ref="AO489:AO491"/>
    <mergeCell ref="AP489:AP491"/>
    <mergeCell ref="AQ489:AQ491"/>
    <mergeCell ref="AR489:AR491"/>
    <mergeCell ref="AS489:AS491"/>
    <mergeCell ref="A492:A494"/>
    <mergeCell ref="B492:B494"/>
    <mergeCell ref="C492:C494"/>
    <mergeCell ref="D492:D494"/>
    <mergeCell ref="AJ492:AJ494"/>
    <mergeCell ref="AK492:AK494"/>
    <mergeCell ref="AL492:AL494"/>
    <mergeCell ref="AM492:AM494"/>
    <mergeCell ref="AN492:AN494"/>
    <mergeCell ref="AO492:AO494"/>
    <mergeCell ref="AP492:AP494"/>
    <mergeCell ref="AQ492:AQ494"/>
    <mergeCell ref="AR492:AR494"/>
    <mergeCell ref="AS492:AS494"/>
    <mergeCell ref="A495:A497"/>
    <mergeCell ref="B495:B497"/>
    <mergeCell ref="C495:C497"/>
    <mergeCell ref="D495:D497"/>
    <mergeCell ref="AJ495:AJ497"/>
    <mergeCell ref="AK495:AK497"/>
    <mergeCell ref="AL495:AL497"/>
    <mergeCell ref="AM495:AM497"/>
    <mergeCell ref="AN495:AN497"/>
    <mergeCell ref="AO495:AO497"/>
    <mergeCell ref="AP495:AP497"/>
    <mergeCell ref="AQ495:AQ497"/>
    <mergeCell ref="AR495:AR497"/>
    <mergeCell ref="AS495:AS497"/>
    <mergeCell ref="A498:A500"/>
    <mergeCell ref="B498:B500"/>
    <mergeCell ref="C498:C500"/>
    <mergeCell ref="D498:D500"/>
    <mergeCell ref="AJ498:AJ500"/>
    <mergeCell ref="AK498:AK500"/>
    <mergeCell ref="AL498:AL500"/>
    <mergeCell ref="AM498:AM500"/>
    <mergeCell ref="AN498:AN500"/>
    <mergeCell ref="AO498:AO500"/>
    <mergeCell ref="AP498:AP500"/>
    <mergeCell ref="AQ498:AQ500"/>
    <mergeCell ref="AR498:AR500"/>
    <mergeCell ref="AS498:AS500"/>
    <mergeCell ref="A501:A503"/>
    <mergeCell ref="B501:B503"/>
    <mergeCell ref="C501:C503"/>
    <mergeCell ref="D501:D503"/>
    <mergeCell ref="AJ501:AJ503"/>
    <mergeCell ref="AK501:AK503"/>
    <mergeCell ref="AL501:AL503"/>
    <mergeCell ref="AM501:AM503"/>
    <mergeCell ref="AN501:AN503"/>
    <mergeCell ref="AO501:AO503"/>
    <mergeCell ref="AP501:AP503"/>
    <mergeCell ref="AQ501:AQ503"/>
    <mergeCell ref="AR501:AR503"/>
    <mergeCell ref="AS501:AS503"/>
    <mergeCell ref="A504:A506"/>
    <mergeCell ref="B504:B506"/>
    <mergeCell ref="C504:C506"/>
    <mergeCell ref="D504:D506"/>
    <mergeCell ref="AJ504:AJ506"/>
    <mergeCell ref="AK504:AK506"/>
    <mergeCell ref="AL504:AL506"/>
    <mergeCell ref="AM504:AM506"/>
    <mergeCell ref="AN504:AN506"/>
    <mergeCell ref="AO504:AO506"/>
    <mergeCell ref="AP504:AP506"/>
    <mergeCell ref="AQ504:AQ506"/>
    <mergeCell ref="AR504:AR506"/>
    <mergeCell ref="AS504:AS506"/>
    <mergeCell ref="A507:A509"/>
    <mergeCell ref="B507:B509"/>
    <mergeCell ref="C507:C509"/>
    <mergeCell ref="D507:D509"/>
    <mergeCell ref="AJ507:AJ509"/>
    <mergeCell ref="AK507:AK509"/>
    <mergeCell ref="AL507:AL509"/>
    <mergeCell ref="AM507:AM509"/>
    <mergeCell ref="AN507:AN509"/>
    <mergeCell ref="AO507:AO509"/>
    <mergeCell ref="AP507:AP509"/>
    <mergeCell ref="AQ507:AQ509"/>
    <mergeCell ref="AR507:AR509"/>
    <mergeCell ref="AS507:AS509"/>
    <mergeCell ref="A510:A512"/>
    <mergeCell ref="B510:B512"/>
    <mergeCell ref="C510:C512"/>
    <mergeCell ref="D510:D512"/>
    <mergeCell ref="AJ510:AJ512"/>
    <mergeCell ref="AK510:AK512"/>
    <mergeCell ref="AL510:AL512"/>
    <mergeCell ref="AM510:AM512"/>
    <mergeCell ref="AN510:AN512"/>
    <mergeCell ref="AO510:AO512"/>
    <mergeCell ref="AP510:AP512"/>
    <mergeCell ref="AQ510:AQ512"/>
    <mergeCell ref="AR510:AR512"/>
    <mergeCell ref="AS510:AS512"/>
    <mergeCell ref="A513:A515"/>
    <mergeCell ref="B513:B515"/>
    <mergeCell ref="C513:C515"/>
    <mergeCell ref="D513:D515"/>
    <mergeCell ref="AJ513:AJ515"/>
    <mergeCell ref="AK513:AK515"/>
    <mergeCell ref="AL513:AL515"/>
    <mergeCell ref="AM513:AM515"/>
    <mergeCell ref="AN513:AN515"/>
    <mergeCell ref="AO513:AO515"/>
    <mergeCell ref="AP513:AP515"/>
    <mergeCell ref="AQ513:AQ515"/>
    <mergeCell ref="AR513:AR515"/>
    <mergeCell ref="AS513:AS515"/>
    <mergeCell ref="A516:A518"/>
    <mergeCell ref="B516:B518"/>
    <mergeCell ref="C516:C518"/>
    <mergeCell ref="D516:D518"/>
    <mergeCell ref="AJ516:AJ518"/>
    <mergeCell ref="AK516:AK518"/>
    <mergeCell ref="AL516:AL518"/>
    <mergeCell ref="AM516:AM518"/>
    <mergeCell ref="AN516:AN518"/>
    <mergeCell ref="AO516:AO518"/>
    <mergeCell ref="AP516:AP518"/>
    <mergeCell ref="AQ516:AQ518"/>
    <mergeCell ref="AR516:AR518"/>
    <mergeCell ref="AS516:AS518"/>
    <mergeCell ref="A519:A521"/>
    <mergeCell ref="B519:B521"/>
    <mergeCell ref="C519:C521"/>
    <mergeCell ref="D519:D521"/>
    <mergeCell ref="AJ519:AJ521"/>
    <mergeCell ref="AK519:AK521"/>
    <mergeCell ref="AL519:AL521"/>
    <mergeCell ref="AM519:AM521"/>
    <mergeCell ref="AN519:AN521"/>
    <mergeCell ref="AO519:AO521"/>
    <mergeCell ref="AP519:AP521"/>
    <mergeCell ref="AQ519:AQ521"/>
    <mergeCell ref="AR519:AR521"/>
    <mergeCell ref="AS519:AS521"/>
    <mergeCell ref="A522:A524"/>
    <mergeCell ref="B522:B524"/>
    <mergeCell ref="C522:C524"/>
    <mergeCell ref="D522:D524"/>
    <mergeCell ref="AJ522:AJ524"/>
    <mergeCell ref="AK522:AK524"/>
    <mergeCell ref="AL522:AL524"/>
    <mergeCell ref="AM522:AM524"/>
    <mergeCell ref="AN522:AN524"/>
    <mergeCell ref="AO522:AO524"/>
    <mergeCell ref="AP522:AP524"/>
    <mergeCell ref="AQ522:AQ524"/>
    <mergeCell ref="AR522:AR524"/>
    <mergeCell ref="AS522:AS524"/>
    <mergeCell ref="A525:A527"/>
    <mergeCell ref="B525:B527"/>
    <mergeCell ref="C525:C527"/>
    <mergeCell ref="D525:D527"/>
    <mergeCell ref="AJ525:AJ527"/>
    <mergeCell ref="AK525:AK527"/>
    <mergeCell ref="AL525:AL527"/>
    <mergeCell ref="AM525:AM527"/>
    <mergeCell ref="AN525:AN527"/>
    <mergeCell ref="AO525:AO527"/>
    <mergeCell ref="AP525:AP527"/>
    <mergeCell ref="AQ525:AQ527"/>
    <mergeCell ref="AR525:AR527"/>
    <mergeCell ref="AS525:AS527"/>
    <mergeCell ref="A528:A530"/>
    <mergeCell ref="B528:B530"/>
    <mergeCell ref="C528:C530"/>
    <mergeCell ref="D528:D530"/>
    <mergeCell ref="AJ528:AJ530"/>
    <mergeCell ref="AK528:AK530"/>
    <mergeCell ref="AL528:AL530"/>
    <mergeCell ref="AM528:AM530"/>
    <mergeCell ref="AN528:AN530"/>
    <mergeCell ref="AO528:AO530"/>
    <mergeCell ref="AP528:AP530"/>
    <mergeCell ref="AQ528:AQ530"/>
    <mergeCell ref="AR528:AR530"/>
    <mergeCell ref="AS528:AS530"/>
    <mergeCell ref="A531:A533"/>
    <mergeCell ref="B531:B533"/>
    <mergeCell ref="C531:C533"/>
    <mergeCell ref="D531:D533"/>
    <mergeCell ref="AJ531:AJ533"/>
    <mergeCell ref="AK531:AK533"/>
    <mergeCell ref="AL531:AL533"/>
    <mergeCell ref="AM531:AM533"/>
    <mergeCell ref="AN531:AN533"/>
    <mergeCell ref="AO531:AO533"/>
    <mergeCell ref="AP531:AP533"/>
    <mergeCell ref="AQ531:AQ533"/>
    <mergeCell ref="AR531:AR533"/>
    <mergeCell ref="AS531:AS533"/>
    <mergeCell ref="A534:A536"/>
    <mergeCell ref="B534:B536"/>
    <mergeCell ref="C534:C536"/>
    <mergeCell ref="D534:D536"/>
    <mergeCell ref="AJ534:AJ536"/>
    <mergeCell ref="AK534:AK536"/>
    <mergeCell ref="AL534:AL536"/>
    <mergeCell ref="AM534:AM536"/>
    <mergeCell ref="AN534:AN536"/>
    <mergeCell ref="AO534:AO536"/>
    <mergeCell ref="AP534:AP536"/>
    <mergeCell ref="AQ534:AQ536"/>
    <mergeCell ref="AR534:AR536"/>
    <mergeCell ref="AS534:AS536"/>
    <mergeCell ref="A537:A539"/>
    <mergeCell ref="B537:B539"/>
    <mergeCell ref="C537:C539"/>
    <mergeCell ref="D537:D539"/>
    <mergeCell ref="AJ537:AJ539"/>
    <mergeCell ref="AK537:AK539"/>
    <mergeCell ref="AL537:AL539"/>
    <mergeCell ref="AM537:AM539"/>
    <mergeCell ref="AN537:AN539"/>
    <mergeCell ref="AO537:AO539"/>
    <mergeCell ref="AP537:AP539"/>
    <mergeCell ref="AQ537:AQ539"/>
    <mergeCell ref="AR537:AR539"/>
    <mergeCell ref="AS537:AS539"/>
    <mergeCell ref="A540:A542"/>
    <mergeCell ref="B540:B542"/>
    <mergeCell ref="C540:C542"/>
    <mergeCell ref="D540:D542"/>
    <mergeCell ref="AJ540:AJ542"/>
    <mergeCell ref="AK540:AK542"/>
    <mergeCell ref="AL540:AL542"/>
    <mergeCell ref="AM540:AM542"/>
    <mergeCell ref="AN540:AN542"/>
    <mergeCell ref="AO540:AO542"/>
    <mergeCell ref="AP540:AP542"/>
    <mergeCell ref="AQ540:AQ542"/>
    <mergeCell ref="AR540:AR542"/>
    <mergeCell ref="AS540:AS542"/>
    <mergeCell ref="A543:A545"/>
    <mergeCell ref="B543:B545"/>
    <mergeCell ref="C543:C545"/>
    <mergeCell ref="D543:D545"/>
    <mergeCell ref="AJ543:AJ545"/>
    <mergeCell ref="AK543:AK545"/>
    <mergeCell ref="AL543:AL545"/>
    <mergeCell ref="AM543:AM545"/>
    <mergeCell ref="AN543:AN545"/>
    <mergeCell ref="AO543:AO545"/>
    <mergeCell ref="AP543:AP545"/>
    <mergeCell ref="AQ543:AQ545"/>
    <mergeCell ref="AR543:AR545"/>
    <mergeCell ref="AS543:AS545"/>
    <mergeCell ref="A546:A548"/>
    <mergeCell ref="B546:B548"/>
    <mergeCell ref="C546:C548"/>
    <mergeCell ref="D546:D548"/>
    <mergeCell ref="AJ546:AJ548"/>
    <mergeCell ref="AK546:AK548"/>
    <mergeCell ref="AL546:AL548"/>
    <mergeCell ref="AM546:AM548"/>
    <mergeCell ref="AN546:AN548"/>
    <mergeCell ref="AO546:AO548"/>
    <mergeCell ref="AP546:AP548"/>
    <mergeCell ref="AQ546:AQ548"/>
    <mergeCell ref="AR546:AR548"/>
    <mergeCell ref="AS546:AS548"/>
    <mergeCell ref="A549:A551"/>
    <mergeCell ref="B549:B551"/>
    <mergeCell ref="C549:C551"/>
    <mergeCell ref="D549:D551"/>
    <mergeCell ref="AJ549:AJ551"/>
    <mergeCell ref="AK549:AK551"/>
    <mergeCell ref="AL549:AL551"/>
    <mergeCell ref="AM549:AM551"/>
    <mergeCell ref="AN549:AN551"/>
    <mergeCell ref="AO549:AO551"/>
    <mergeCell ref="AP549:AP551"/>
    <mergeCell ref="AQ549:AQ551"/>
    <mergeCell ref="AR549:AR551"/>
    <mergeCell ref="AS549:AS551"/>
    <mergeCell ref="A552:A554"/>
    <mergeCell ref="B552:B554"/>
    <mergeCell ref="C552:C554"/>
    <mergeCell ref="D552:D554"/>
    <mergeCell ref="AJ552:AJ554"/>
    <mergeCell ref="AK552:AK554"/>
    <mergeCell ref="AL552:AL554"/>
    <mergeCell ref="AM552:AM554"/>
    <mergeCell ref="AN552:AN554"/>
    <mergeCell ref="AO552:AO554"/>
    <mergeCell ref="AP552:AP554"/>
    <mergeCell ref="AQ552:AQ554"/>
    <mergeCell ref="AR552:AR554"/>
    <mergeCell ref="AS552:AS554"/>
    <mergeCell ref="A555:A557"/>
    <mergeCell ref="B555:B557"/>
    <mergeCell ref="C555:C557"/>
    <mergeCell ref="D555:D557"/>
    <mergeCell ref="AJ555:AJ557"/>
    <mergeCell ref="AK555:AK557"/>
    <mergeCell ref="AL555:AL557"/>
    <mergeCell ref="AM555:AM557"/>
    <mergeCell ref="AN555:AN557"/>
    <mergeCell ref="AO555:AO557"/>
    <mergeCell ref="AP555:AP557"/>
    <mergeCell ref="AQ555:AQ557"/>
    <mergeCell ref="AR555:AR557"/>
    <mergeCell ref="AS555:AS557"/>
    <mergeCell ref="A558:A560"/>
    <mergeCell ref="B558:B560"/>
    <mergeCell ref="C558:C560"/>
    <mergeCell ref="D558:D560"/>
    <mergeCell ref="AJ558:AJ560"/>
    <mergeCell ref="AK558:AK560"/>
    <mergeCell ref="AL558:AL560"/>
    <mergeCell ref="AM558:AM560"/>
    <mergeCell ref="AN558:AN560"/>
    <mergeCell ref="AO558:AO560"/>
    <mergeCell ref="AP558:AP560"/>
    <mergeCell ref="AQ558:AQ560"/>
    <mergeCell ref="AR558:AR560"/>
    <mergeCell ref="AS558:AS560"/>
    <mergeCell ref="A561:A563"/>
    <mergeCell ref="B561:B563"/>
    <mergeCell ref="C561:C563"/>
    <mergeCell ref="D561:D563"/>
    <mergeCell ref="AJ561:AJ563"/>
    <mergeCell ref="AK561:AK563"/>
    <mergeCell ref="AL561:AL563"/>
    <mergeCell ref="AM561:AM563"/>
    <mergeCell ref="AN561:AN563"/>
    <mergeCell ref="AO561:AO563"/>
    <mergeCell ref="AP561:AP563"/>
    <mergeCell ref="AQ561:AQ563"/>
    <mergeCell ref="AR561:AR563"/>
    <mergeCell ref="AS561:AS563"/>
    <mergeCell ref="A564:A566"/>
    <mergeCell ref="B564:B566"/>
    <mergeCell ref="C564:C566"/>
    <mergeCell ref="D564:D566"/>
    <mergeCell ref="AJ564:AJ566"/>
    <mergeCell ref="AK564:AK566"/>
    <mergeCell ref="AL564:AL566"/>
    <mergeCell ref="AM564:AM566"/>
    <mergeCell ref="AN564:AN566"/>
    <mergeCell ref="AO564:AO566"/>
    <mergeCell ref="AP564:AP566"/>
    <mergeCell ref="AQ564:AQ566"/>
    <mergeCell ref="AR564:AR566"/>
    <mergeCell ref="AS564:AS566"/>
    <mergeCell ref="A567:A569"/>
    <mergeCell ref="B567:B569"/>
    <mergeCell ref="C567:C569"/>
    <mergeCell ref="D567:D569"/>
    <mergeCell ref="AJ567:AJ569"/>
    <mergeCell ref="AK567:AK569"/>
    <mergeCell ref="AL567:AL569"/>
    <mergeCell ref="AM567:AM569"/>
    <mergeCell ref="AN567:AN569"/>
    <mergeCell ref="AO567:AO569"/>
    <mergeCell ref="AP567:AP569"/>
    <mergeCell ref="AQ567:AQ569"/>
    <mergeCell ref="AR567:AR569"/>
    <mergeCell ref="AS567:AS569"/>
    <mergeCell ref="A570:A572"/>
    <mergeCell ref="B570:B572"/>
    <mergeCell ref="C570:C572"/>
    <mergeCell ref="D570:D572"/>
    <mergeCell ref="AJ570:AJ572"/>
    <mergeCell ref="AK570:AK572"/>
    <mergeCell ref="AL570:AL572"/>
    <mergeCell ref="AM570:AM572"/>
    <mergeCell ref="AN570:AN572"/>
    <mergeCell ref="AO570:AO572"/>
    <mergeCell ref="AP570:AP572"/>
    <mergeCell ref="AQ570:AQ572"/>
    <mergeCell ref="AR570:AR572"/>
    <mergeCell ref="AS570:AS572"/>
    <mergeCell ref="A573:A575"/>
    <mergeCell ref="B573:B575"/>
    <mergeCell ref="C573:C575"/>
    <mergeCell ref="D573:D575"/>
    <mergeCell ref="AJ573:AJ575"/>
    <mergeCell ref="AK573:AK575"/>
    <mergeCell ref="AL573:AL575"/>
    <mergeCell ref="AM573:AM575"/>
    <mergeCell ref="AN573:AN575"/>
    <mergeCell ref="AO573:AO575"/>
    <mergeCell ref="AP573:AP575"/>
    <mergeCell ref="AQ573:AQ575"/>
    <mergeCell ref="AR573:AR575"/>
    <mergeCell ref="AS573:AS575"/>
    <mergeCell ref="A576:A578"/>
    <mergeCell ref="B576:B578"/>
    <mergeCell ref="C576:C578"/>
    <mergeCell ref="D576:D578"/>
    <mergeCell ref="AJ576:AJ578"/>
    <mergeCell ref="AK576:AK578"/>
    <mergeCell ref="AL576:AL578"/>
    <mergeCell ref="AM576:AM578"/>
    <mergeCell ref="AN576:AN578"/>
    <mergeCell ref="AO576:AO578"/>
    <mergeCell ref="AP576:AP578"/>
    <mergeCell ref="AQ576:AQ578"/>
    <mergeCell ref="AR576:AR578"/>
    <mergeCell ref="AS576:AS578"/>
    <mergeCell ref="A579:A581"/>
    <mergeCell ref="B579:B581"/>
    <mergeCell ref="C579:C581"/>
    <mergeCell ref="D579:D581"/>
    <mergeCell ref="AJ579:AJ581"/>
    <mergeCell ref="AK579:AK581"/>
    <mergeCell ref="AL579:AL581"/>
    <mergeCell ref="AM579:AM581"/>
    <mergeCell ref="AN579:AN581"/>
    <mergeCell ref="AO579:AO581"/>
    <mergeCell ref="AP579:AP581"/>
    <mergeCell ref="AQ579:AQ581"/>
    <mergeCell ref="AR579:AR581"/>
    <mergeCell ref="AS579:AS581"/>
    <mergeCell ref="A582:A584"/>
    <mergeCell ref="B582:B584"/>
    <mergeCell ref="C582:C584"/>
    <mergeCell ref="D582:D584"/>
    <mergeCell ref="AJ582:AJ584"/>
    <mergeCell ref="AK582:AK584"/>
    <mergeCell ref="AL582:AL584"/>
    <mergeCell ref="AM582:AM584"/>
    <mergeCell ref="AN582:AN584"/>
    <mergeCell ref="AO582:AO584"/>
    <mergeCell ref="AP582:AP584"/>
    <mergeCell ref="AQ582:AQ584"/>
    <mergeCell ref="AR582:AR584"/>
    <mergeCell ref="AS582:AS584"/>
    <mergeCell ref="A585:A587"/>
    <mergeCell ref="B585:B587"/>
    <mergeCell ref="C585:C587"/>
    <mergeCell ref="D585:D587"/>
    <mergeCell ref="AJ585:AJ587"/>
    <mergeCell ref="AK585:AK587"/>
    <mergeCell ref="AL585:AL587"/>
    <mergeCell ref="AM585:AM587"/>
    <mergeCell ref="AN585:AN587"/>
    <mergeCell ref="AO585:AO587"/>
    <mergeCell ref="AP585:AP587"/>
    <mergeCell ref="AQ585:AQ587"/>
    <mergeCell ref="AR585:AR587"/>
    <mergeCell ref="AS585:AS587"/>
    <mergeCell ref="A588:A590"/>
    <mergeCell ref="B588:B590"/>
    <mergeCell ref="C588:C590"/>
    <mergeCell ref="D588:D590"/>
    <mergeCell ref="AJ588:AJ590"/>
    <mergeCell ref="AK588:AK590"/>
    <mergeCell ref="AL588:AL590"/>
    <mergeCell ref="AM588:AM590"/>
    <mergeCell ref="AN588:AN590"/>
    <mergeCell ref="AO588:AO590"/>
    <mergeCell ref="AP588:AP590"/>
    <mergeCell ref="AQ588:AQ590"/>
    <mergeCell ref="AR588:AR590"/>
    <mergeCell ref="AS588:AS590"/>
    <mergeCell ref="A591:A593"/>
    <mergeCell ref="B591:B593"/>
    <mergeCell ref="C591:C593"/>
    <mergeCell ref="D591:D593"/>
    <mergeCell ref="AJ591:AJ593"/>
    <mergeCell ref="AK591:AK593"/>
    <mergeCell ref="AL591:AL593"/>
    <mergeCell ref="AM591:AM593"/>
    <mergeCell ref="AN591:AN593"/>
    <mergeCell ref="AO591:AO593"/>
    <mergeCell ref="AP591:AP593"/>
    <mergeCell ref="AQ591:AQ593"/>
    <mergeCell ref="AR591:AR593"/>
    <mergeCell ref="AS591:AS593"/>
    <mergeCell ref="A594:A596"/>
    <mergeCell ref="B594:B596"/>
    <mergeCell ref="C594:C596"/>
    <mergeCell ref="D594:D596"/>
    <mergeCell ref="AJ594:AJ596"/>
    <mergeCell ref="AK594:AK596"/>
    <mergeCell ref="AL594:AL596"/>
    <mergeCell ref="AM594:AM596"/>
    <mergeCell ref="AN594:AN596"/>
    <mergeCell ref="AO594:AO596"/>
    <mergeCell ref="AP594:AP596"/>
    <mergeCell ref="AQ594:AQ596"/>
    <mergeCell ref="AR594:AR596"/>
    <mergeCell ref="AS594:AS596"/>
    <mergeCell ref="A597:A599"/>
    <mergeCell ref="B597:B599"/>
    <mergeCell ref="C597:C599"/>
    <mergeCell ref="D597:D599"/>
    <mergeCell ref="AJ597:AJ599"/>
    <mergeCell ref="AK597:AK599"/>
    <mergeCell ref="AL597:AL599"/>
    <mergeCell ref="AM597:AM599"/>
    <mergeCell ref="AN597:AN599"/>
    <mergeCell ref="AO597:AO599"/>
    <mergeCell ref="AP597:AP599"/>
    <mergeCell ref="AQ597:AQ599"/>
    <mergeCell ref="AR597:AR599"/>
    <mergeCell ref="AS597:AS599"/>
    <mergeCell ref="A600:A602"/>
    <mergeCell ref="B600:B602"/>
    <mergeCell ref="C600:C602"/>
    <mergeCell ref="D600:D602"/>
    <mergeCell ref="AJ600:AJ602"/>
    <mergeCell ref="AK600:AK602"/>
    <mergeCell ref="AL600:AL602"/>
    <mergeCell ref="AM600:AM602"/>
    <mergeCell ref="AN600:AN602"/>
    <mergeCell ref="AO600:AO602"/>
    <mergeCell ref="AP600:AP602"/>
    <mergeCell ref="AQ600:AQ602"/>
    <mergeCell ref="AR600:AR602"/>
    <mergeCell ref="AS600:AS602"/>
    <mergeCell ref="A603:A605"/>
    <mergeCell ref="B603:B605"/>
    <mergeCell ref="C603:C605"/>
    <mergeCell ref="D603:D605"/>
    <mergeCell ref="AJ603:AJ605"/>
    <mergeCell ref="AK603:AK605"/>
    <mergeCell ref="AL603:AL605"/>
    <mergeCell ref="AM603:AM605"/>
    <mergeCell ref="AN603:AN605"/>
    <mergeCell ref="AO603:AO605"/>
    <mergeCell ref="AP603:AP605"/>
    <mergeCell ref="AQ603:AQ605"/>
    <mergeCell ref="AR603:AR605"/>
    <mergeCell ref="AS603:AS605"/>
    <mergeCell ref="A606:A608"/>
    <mergeCell ref="B606:B608"/>
    <mergeCell ref="C606:C608"/>
    <mergeCell ref="D606:D608"/>
    <mergeCell ref="AJ606:AJ608"/>
    <mergeCell ref="AK606:AK608"/>
    <mergeCell ref="AL606:AL608"/>
    <mergeCell ref="AM606:AM608"/>
    <mergeCell ref="AN606:AN608"/>
    <mergeCell ref="AO606:AO608"/>
    <mergeCell ref="AP606:AP608"/>
    <mergeCell ref="AQ606:AQ608"/>
    <mergeCell ref="AR606:AR608"/>
    <mergeCell ref="AS606:AS608"/>
    <mergeCell ref="A609:A611"/>
    <mergeCell ref="B609:B611"/>
    <mergeCell ref="C609:C611"/>
    <mergeCell ref="D609:D611"/>
    <mergeCell ref="AJ609:AJ611"/>
    <mergeCell ref="AK609:AK611"/>
    <mergeCell ref="AL609:AL611"/>
    <mergeCell ref="AM609:AM611"/>
    <mergeCell ref="AN609:AN611"/>
    <mergeCell ref="AO609:AO611"/>
    <mergeCell ref="AP609:AP611"/>
    <mergeCell ref="AQ609:AQ611"/>
    <mergeCell ref="AR609:AR611"/>
    <mergeCell ref="AS609:AS611"/>
    <mergeCell ref="A612:A614"/>
    <mergeCell ref="B612:B614"/>
    <mergeCell ref="C612:C614"/>
    <mergeCell ref="D612:D614"/>
    <mergeCell ref="AJ612:AJ614"/>
    <mergeCell ref="AK612:AK614"/>
    <mergeCell ref="AL612:AL614"/>
    <mergeCell ref="AM612:AM614"/>
    <mergeCell ref="AN612:AN614"/>
    <mergeCell ref="AO612:AO614"/>
    <mergeCell ref="AP612:AP614"/>
    <mergeCell ref="AQ612:AQ614"/>
    <mergeCell ref="AR612:AR614"/>
    <mergeCell ref="AS612:AS614"/>
    <mergeCell ref="A615:A617"/>
    <mergeCell ref="B615:B617"/>
    <mergeCell ref="C615:C617"/>
    <mergeCell ref="D615:D617"/>
    <mergeCell ref="AJ615:AJ617"/>
    <mergeCell ref="AK615:AK617"/>
    <mergeCell ref="AL615:AL617"/>
    <mergeCell ref="AM615:AM617"/>
    <mergeCell ref="AN615:AN617"/>
    <mergeCell ref="AO615:AO617"/>
    <mergeCell ref="AP615:AP617"/>
    <mergeCell ref="AQ615:AQ617"/>
    <mergeCell ref="AR615:AR617"/>
    <mergeCell ref="AS615:AS617"/>
    <mergeCell ref="A618:A620"/>
    <mergeCell ref="B618:B620"/>
    <mergeCell ref="C618:C620"/>
    <mergeCell ref="D618:D620"/>
    <mergeCell ref="AJ618:AJ620"/>
    <mergeCell ref="AK618:AK620"/>
    <mergeCell ref="AL618:AL620"/>
    <mergeCell ref="AM618:AM620"/>
    <mergeCell ref="AN618:AN620"/>
    <mergeCell ref="AO618:AO620"/>
    <mergeCell ref="AP618:AP620"/>
    <mergeCell ref="AQ618:AQ620"/>
    <mergeCell ref="AR618:AR620"/>
    <mergeCell ref="AS618:AS620"/>
    <mergeCell ref="A621:A623"/>
    <mergeCell ref="B621:B623"/>
    <mergeCell ref="C621:C623"/>
    <mergeCell ref="D621:D623"/>
    <mergeCell ref="AJ621:AJ623"/>
    <mergeCell ref="AK621:AK623"/>
    <mergeCell ref="AL621:AL623"/>
    <mergeCell ref="AM621:AM623"/>
    <mergeCell ref="AN621:AN623"/>
    <mergeCell ref="AO621:AO623"/>
    <mergeCell ref="AP621:AP623"/>
    <mergeCell ref="AQ621:AQ623"/>
    <mergeCell ref="AR621:AR623"/>
    <mergeCell ref="AS621:AS623"/>
    <mergeCell ref="A624:A626"/>
    <mergeCell ref="B624:B626"/>
    <mergeCell ref="C624:C626"/>
    <mergeCell ref="D624:D626"/>
    <mergeCell ref="AJ624:AJ626"/>
    <mergeCell ref="AK624:AK626"/>
    <mergeCell ref="AL624:AL626"/>
    <mergeCell ref="AM624:AM626"/>
    <mergeCell ref="AN624:AN626"/>
    <mergeCell ref="AO624:AO626"/>
    <mergeCell ref="AP624:AP626"/>
    <mergeCell ref="AQ624:AQ626"/>
    <mergeCell ref="AR624:AR626"/>
    <mergeCell ref="AS624:AS626"/>
    <mergeCell ref="A627:A629"/>
    <mergeCell ref="B627:B629"/>
    <mergeCell ref="C627:C629"/>
    <mergeCell ref="D627:D629"/>
    <mergeCell ref="AJ627:AJ629"/>
    <mergeCell ref="AK627:AK629"/>
    <mergeCell ref="AL627:AL629"/>
    <mergeCell ref="AM627:AM629"/>
    <mergeCell ref="AN627:AN629"/>
    <mergeCell ref="AO627:AO629"/>
    <mergeCell ref="AP627:AP629"/>
    <mergeCell ref="AQ627:AQ629"/>
    <mergeCell ref="AR627:AR629"/>
    <mergeCell ref="AS627:AS629"/>
    <mergeCell ref="A630:A632"/>
    <mergeCell ref="B630:B632"/>
    <mergeCell ref="C630:C632"/>
    <mergeCell ref="D630:D632"/>
    <mergeCell ref="AJ630:AJ632"/>
    <mergeCell ref="AK630:AK632"/>
    <mergeCell ref="AL630:AL632"/>
    <mergeCell ref="AM630:AM632"/>
    <mergeCell ref="AN630:AN632"/>
    <mergeCell ref="AO630:AO632"/>
    <mergeCell ref="AP630:AP632"/>
    <mergeCell ref="AQ630:AQ632"/>
    <mergeCell ref="AR630:AR632"/>
    <mergeCell ref="AS630:AS632"/>
    <mergeCell ref="A633:A635"/>
    <mergeCell ref="B633:B635"/>
    <mergeCell ref="C633:C635"/>
    <mergeCell ref="D633:D635"/>
    <mergeCell ref="AJ633:AJ635"/>
    <mergeCell ref="AK633:AK635"/>
    <mergeCell ref="AL633:AL635"/>
    <mergeCell ref="AM633:AM635"/>
    <mergeCell ref="AN633:AN635"/>
    <mergeCell ref="AO633:AO635"/>
    <mergeCell ref="AP633:AP635"/>
    <mergeCell ref="AQ633:AQ635"/>
    <mergeCell ref="AR633:AR635"/>
    <mergeCell ref="AS633:AS635"/>
    <mergeCell ref="A636:A638"/>
    <mergeCell ref="B636:B638"/>
    <mergeCell ref="C636:C638"/>
    <mergeCell ref="D636:D638"/>
    <mergeCell ref="AJ636:AJ638"/>
    <mergeCell ref="AK636:AK638"/>
    <mergeCell ref="AL636:AL638"/>
    <mergeCell ref="AM636:AM638"/>
    <mergeCell ref="AN636:AN638"/>
    <mergeCell ref="AO636:AO638"/>
    <mergeCell ref="AP636:AP638"/>
    <mergeCell ref="AQ636:AQ638"/>
    <mergeCell ref="AR636:AR638"/>
    <mergeCell ref="AS636:AS638"/>
    <mergeCell ref="A639:A641"/>
    <mergeCell ref="B639:B641"/>
    <mergeCell ref="C639:C641"/>
    <mergeCell ref="D639:D641"/>
    <mergeCell ref="AJ639:AJ641"/>
    <mergeCell ref="AK639:AK641"/>
    <mergeCell ref="AL639:AL641"/>
    <mergeCell ref="AM639:AM641"/>
    <mergeCell ref="AN639:AN641"/>
    <mergeCell ref="AO639:AO641"/>
    <mergeCell ref="AP639:AP641"/>
    <mergeCell ref="AQ639:AQ641"/>
    <mergeCell ref="AR639:AR641"/>
    <mergeCell ref="AS639:AS641"/>
    <mergeCell ref="A642:A644"/>
    <mergeCell ref="B642:B644"/>
    <mergeCell ref="C642:C644"/>
    <mergeCell ref="D642:D644"/>
    <mergeCell ref="AJ642:AJ644"/>
    <mergeCell ref="AK642:AK644"/>
    <mergeCell ref="AL642:AL644"/>
    <mergeCell ref="AM642:AM644"/>
    <mergeCell ref="AN642:AN644"/>
    <mergeCell ref="AO642:AO644"/>
    <mergeCell ref="AP642:AP644"/>
    <mergeCell ref="AQ642:AQ644"/>
    <mergeCell ref="AR642:AR644"/>
    <mergeCell ref="AS642:AS644"/>
    <mergeCell ref="A645:A647"/>
    <mergeCell ref="B645:B647"/>
    <mergeCell ref="C645:C647"/>
    <mergeCell ref="D645:D647"/>
    <mergeCell ref="AJ645:AJ647"/>
    <mergeCell ref="AK645:AK647"/>
    <mergeCell ref="AL645:AL647"/>
    <mergeCell ref="AM645:AM647"/>
    <mergeCell ref="AN645:AN647"/>
    <mergeCell ref="AO645:AO647"/>
    <mergeCell ref="AP645:AP647"/>
    <mergeCell ref="AQ645:AQ647"/>
    <mergeCell ref="AR645:AR647"/>
    <mergeCell ref="AS645:AS647"/>
    <mergeCell ref="A648:A650"/>
    <mergeCell ref="B648:B650"/>
    <mergeCell ref="C648:C650"/>
    <mergeCell ref="D648:D650"/>
    <mergeCell ref="AJ648:AJ650"/>
    <mergeCell ref="AK648:AK650"/>
    <mergeCell ref="AL648:AL650"/>
    <mergeCell ref="AM648:AM650"/>
    <mergeCell ref="AN648:AN650"/>
    <mergeCell ref="AO648:AO650"/>
    <mergeCell ref="AP648:AP650"/>
    <mergeCell ref="AQ648:AQ650"/>
    <mergeCell ref="AR648:AR650"/>
    <mergeCell ref="AS648:AS650"/>
    <mergeCell ref="A651:A653"/>
    <mergeCell ref="B651:B653"/>
    <mergeCell ref="C651:C653"/>
    <mergeCell ref="D651:D653"/>
    <mergeCell ref="AJ651:AJ653"/>
    <mergeCell ref="AK651:AK653"/>
    <mergeCell ref="AL651:AL653"/>
    <mergeCell ref="AM651:AM653"/>
    <mergeCell ref="AN651:AN653"/>
    <mergeCell ref="AO651:AO653"/>
    <mergeCell ref="AP651:AP653"/>
    <mergeCell ref="AQ651:AQ653"/>
    <mergeCell ref="AR651:AR653"/>
    <mergeCell ref="AS651:AS653"/>
    <mergeCell ref="A654:A656"/>
    <mergeCell ref="B654:B656"/>
    <mergeCell ref="C654:C656"/>
    <mergeCell ref="D654:D656"/>
    <mergeCell ref="AJ654:AJ656"/>
    <mergeCell ref="AK654:AK656"/>
    <mergeCell ref="AL654:AL656"/>
    <mergeCell ref="AM654:AM656"/>
    <mergeCell ref="AN654:AN656"/>
    <mergeCell ref="AO654:AO656"/>
    <mergeCell ref="AP654:AP656"/>
    <mergeCell ref="AQ654:AQ656"/>
    <mergeCell ref="AR654:AR656"/>
    <mergeCell ref="AS654:AS656"/>
    <mergeCell ref="A657:A659"/>
    <mergeCell ref="B657:B659"/>
    <mergeCell ref="C657:C659"/>
    <mergeCell ref="D657:D659"/>
    <mergeCell ref="AJ657:AJ659"/>
    <mergeCell ref="AK657:AK659"/>
    <mergeCell ref="AL657:AL659"/>
    <mergeCell ref="AM657:AM659"/>
    <mergeCell ref="AN657:AN659"/>
    <mergeCell ref="AO657:AO659"/>
    <mergeCell ref="AP657:AP659"/>
    <mergeCell ref="AQ657:AQ659"/>
    <mergeCell ref="AR657:AR659"/>
    <mergeCell ref="AS657:AS659"/>
    <mergeCell ref="A660:A662"/>
    <mergeCell ref="B660:B662"/>
    <mergeCell ref="C660:C662"/>
    <mergeCell ref="D660:D662"/>
    <mergeCell ref="AJ660:AJ662"/>
    <mergeCell ref="AK660:AK662"/>
    <mergeCell ref="AL660:AL662"/>
    <mergeCell ref="AM660:AM662"/>
    <mergeCell ref="AN660:AN662"/>
    <mergeCell ref="AO660:AO662"/>
    <mergeCell ref="AP660:AP662"/>
    <mergeCell ref="AQ660:AQ662"/>
    <mergeCell ref="AR660:AR662"/>
    <mergeCell ref="AS660:AS662"/>
    <mergeCell ref="A663:A665"/>
    <mergeCell ref="B663:B665"/>
    <mergeCell ref="C663:C665"/>
    <mergeCell ref="D663:D665"/>
    <mergeCell ref="AJ663:AJ665"/>
    <mergeCell ref="AK663:AK665"/>
    <mergeCell ref="AL663:AL665"/>
    <mergeCell ref="AM663:AM665"/>
    <mergeCell ref="AN663:AN665"/>
    <mergeCell ref="AO663:AO665"/>
    <mergeCell ref="AP663:AP665"/>
    <mergeCell ref="AQ663:AQ665"/>
    <mergeCell ref="AR663:AR665"/>
    <mergeCell ref="AS663:AS665"/>
    <mergeCell ref="A666:A668"/>
    <mergeCell ref="B666:B668"/>
    <mergeCell ref="C666:C668"/>
    <mergeCell ref="D666:D668"/>
    <mergeCell ref="AJ666:AJ668"/>
    <mergeCell ref="AK666:AK668"/>
    <mergeCell ref="AL666:AL668"/>
    <mergeCell ref="AM666:AM668"/>
    <mergeCell ref="AN666:AN668"/>
    <mergeCell ref="AO666:AO668"/>
    <mergeCell ref="AP666:AP668"/>
    <mergeCell ref="AQ666:AQ668"/>
    <mergeCell ref="AR666:AR668"/>
    <mergeCell ref="AS666:AS668"/>
    <mergeCell ref="A669:A671"/>
    <mergeCell ref="B669:B671"/>
    <mergeCell ref="C669:C671"/>
    <mergeCell ref="D669:D671"/>
    <mergeCell ref="AJ669:AJ671"/>
    <mergeCell ref="AK669:AK671"/>
    <mergeCell ref="AL669:AL671"/>
    <mergeCell ref="AM669:AM671"/>
    <mergeCell ref="AN669:AN671"/>
    <mergeCell ref="AO669:AO671"/>
    <mergeCell ref="AP669:AP671"/>
    <mergeCell ref="AQ669:AQ671"/>
    <mergeCell ref="AR669:AR671"/>
    <mergeCell ref="AS669:AS671"/>
    <mergeCell ref="A672:A674"/>
    <mergeCell ref="B672:B674"/>
    <mergeCell ref="C672:C674"/>
    <mergeCell ref="D672:D674"/>
    <mergeCell ref="AJ672:AJ674"/>
    <mergeCell ref="AK672:AK674"/>
    <mergeCell ref="AL672:AL674"/>
    <mergeCell ref="AM672:AM674"/>
    <mergeCell ref="AN672:AN674"/>
    <mergeCell ref="AO672:AO674"/>
    <mergeCell ref="AP672:AP674"/>
    <mergeCell ref="AQ672:AQ674"/>
    <mergeCell ref="AR672:AR674"/>
    <mergeCell ref="AS672:AS674"/>
    <mergeCell ref="A675:A677"/>
    <mergeCell ref="B675:B677"/>
    <mergeCell ref="C675:C677"/>
    <mergeCell ref="D675:D677"/>
    <mergeCell ref="AJ675:AJ677"/>
    <mergeCell ref="AK675:AK677"/>
    <mergeCell ref="AL675:AL677"/>
    <mergeCell ref="AM675:AM677"/>
    <mergeCell ref="AN675:AN677"/>
    <mergeCell ref="AO675:AO677"/>
    <mergeCell ref="AP675:AP677"/>
    <mergeCell ref="AQ675:AQ677"/>
    <mergeCell ref="AR675:AR677"/>
    <mergeCell ref="AS675:AS677"/>
    <mergeCell ref="A678:A680"/>
    <mergeCell ref="B678:B680"/>
    <mergeCell ref="C678:C680"/>
    <mergeCell ref="D678:D680"/>
    <mergeCell ref="AJ678:AJ680"/>
    <mergeCell ref="AK678:AK680"/>
    <mergeCell ref="AL678:AL680"/>
    <mergeCell ref="AM678:AM680"/>
    <mergeCell ref="AN678:AN680"/>
    <mergeCell ref="AO678:AO680"/>
    <mergeCell ref="AP678:AP680"/>
    <mergeCell ref="AQ678:AQ680"/>
    <mergeCell ref="AR678:AR680"/>
    <mergeCell ref="AS678:AS680"/>
    <mergeCell ref="A681:A683"/>
    <mergeCell ref="B681:B683"/>
    <mergeCell ref="C681:C683"/>
    <mergeCell ref="D681:D683"/>
    <mergeCell ref="AJ681:AJ683"/>
    <mergeCell ref="AK681:AK683"/>
    <mergeCell ref="AL681:AL683"/>
    <mergeCell ref="AM681:AM683"/>
    <mergeCell ref="AN681:AN683"/>
    <mergeCell ref="AO681:AO683"/>
    <mergeCell ref="AP681:AP683"/>
    <mergeCell ref="AQ681:AQ683"/>
    <mergeCell ref="AR681:AR683"/>
    <mergeCell ref="AS681:AS683"/>
    <mergeCell ref="A684:A686"/>
    <mergeCell ref="B684:B686"/>
    <mergeCell ref="C684:C686"/>
    <mergeCell ref="D684:D686"/>
    <mergeCell ref="AJ684:AJ686"/>
    <mergeCell ref="AK684:AK686"/>
    <mergeCell ref="AL684:AL686"/>
    <mergeCell ref="AM684:AM686"/>
    <mergeCell ref="AN684:AN686"/>
    <mergeCell ref="AO684:AO686"/>
    <mergeCell ref="AP684:AP686"/>
    <mergeCell ref="AQ684:AQ686"/>
    <mergeCell ref="AR684:AR686"/>
    <mergeCell ref="AS684:AS686"/>
    <mergeCell ref="A687:A689"/>
    <mergeCell ref="B687:B689"/>
    <mergeCell ref="C687:C689"/>
    <mergeCell ref="D687:D689"/>
    <mergeCell ref="AJ687:AJ689"/>
    <mergeCell ref="AK687:AK689"/>
    <mergeCell ref="AL687:AL689"/>
    <mergeCell ref="AM687:AM689"/>
    <mergeCell ref="AN687:AN689"/>
    <mergeCell ref="AO687:AO689"/>
    <mergeCell ref="AP687:AP689"/>
    <mergeCell ref="AQ687:AQ689"/>
    <mergeCell ref="AR687:AR689"/>
    <mergeCell ref="AS687:AS689"/>
    <mergeCell ref="A690:A692"/>
    <mergeCell ref="B690:B692"/>
    <mergeCell ref="C690:C692"/>
    <mergeCell ref="D690:D692"/>
    <mergeCell ref="AJ690:AJ692"/>
    <mergeCell ref="AK690:AK692"/>
    <mergeCell ref="AL690:AL692"/>
    <mergeCell ref="AM690:AM692"/>
    <mergeCell ref="AN690:AN692"/>
    <mergeCell ref="AO690:AO692"/>
    <mergeCell ref="AP690:AP692"/>
    <mergeCell ref="AQ690:AQ692"/>
    <mergeCell ref="AR690:AR692"/>
    <mergeCell ref="AS690:AS692"/>
    <mergeCell ref="A693:A695"/>
    <mergeCell ref="B693:B695"/>
    <mergeCell ref="C693:C695"/>
    <mergeCell ref="D693:D695"/>
    <mergeCell ref="AJ693:AJ695"/>
    <mergeCell ref="AK693:AK695"/>
    <mergeCell ref="AL693:AL695"/>
    <mergeCell ref="AM693:AM695"/>
    <mergeCell ref="AN693:AN695"/>
    <mergeCell ref="AO693:AO695"/>
    <mergeCell ref="AP693:AP695"/>
    <mergeCell ref="AQ693:AQ695"/>
    <mergeCell ref="AR693:AR695"/>
    <mergeCell ref="AS693:AS695"/>
    <mergeCell ref="A696:A698"/>
    <mergeCell ref="B696:B698"/>
    <mergeCell ref="C696:C698"/>
    <mergeCell ref="D696:D698"/>
    <mergeCell ref="AJ696:AJ698"/>
    <mergeCell ref="AK696:AK698"/>
    <mergeCell ref="AL696:AL698"/>
    <mergeCell ref="AM696:AM698"/>
    <mergeCell ref="AN696:AN698"/>
    <mergeCell ref="AO696:AO698"/>
    <mergeCell ref="AP696:AP698"/>
    <mergeCell ref="AQ696:AQ698"/>
    <mergeCell ref="AR696:AR698"/>
    <mergeCell ref="AS696:AS698"/>
    <mergeCell ref="A699:A701"/>
    <mergeCell ref="B699:B701"/>
    <mergeCell ref="C699:C701"/>
    <mergeCell ref="D699:D701"/>
    <mergeCell ref="AJ699:AJ701"/>
    <mergeCell ref="AK699:AK701"/>
    <mergeCell ref="AL699:AL701"/>
    <mergeCell ref="AM699:AM701"/>
    <mergeCell ref="AN699:AN701"/>
    <mergeCell ref="AO699:AO701"/>
    <mergeCell ref="AP699:AP701"/>
    <mergeCell ref="AQ699:AQ701"/>
    <mergeCell ref="AR699:AR701"/>
    <mergeCell ref="AS699:AS701"/>
    <mergeCell ref="A702:A704"/>
    <mergeCell ref="B702:B704"/>
    <mergeCell ref="C702:C704"/>
    <mergeCell ref="D702:D704"/>
    <mergeCell ref="AJ702:AJ704"/>
    <mergeCell ref="AK702:AK704"/>
    <mergeCell ref="AL702:AL704"/>
    <mergeCell ref="AM702:AM704"/>
    <mergeCell ref="AN702:AN704"/>
    <mergeCell ref="AO702:AO704"/>
    <mergeCell ref="AP702:AP704"/>
    <mergeCell ref="AQ702:AQ704"/>
    <mergeCell ref="AR702:AR704"/>
    <mergeCell ref="AS702:AS704"/>
    <mergeCell ref="A705:A707"/>
    <mergeCell ref="B705:B707"/>
    <mergeCell ref="C705:C707"/>
    <mergeCell ref="D705:D707"/>
    <mergeCell ref="AJ705:AJ707"/>
    <mergeCell ref="AK705:AK707"/>
    <mergeCell ref="AL705:AL707"/>
    <mergeCell ref="AM705:AM707"/>
    <mergeCell ref="AN705:AN707"/>
    <mergeCell ref="AO705:AO707"/>
    <mergeCell ref="AP705:AP707"/>
    <mergeCell ref="AQ705:AQ707"/>
    <mergeCell ref="AR705:AR707"/>
    <mergeCell ref="AS705:AS707"/>
    <mergeCell ref="A708:A710"/>
    <mergeCell ref="B708:B710"/>
    <mergeCell ref="C708:C710"/>
    <mergeCell ref="D708:D710"/>
    <mergeCell ref="AJ708:AJ710"/>
    <mergeCell ref="AK708:AK710"/>
    <mergeCell ref="AL708:AL710"/>
    <mergeCell ref="AM708:AM710"/>
    <mergeCell ref="AN708:AN710"/>
    <mergeCell ref="AO708:AO710"/>
    <mergeCell ref="AP708:AP710"/>
    <mergeCell ref="AQ708:AQ710"/>
    <mergeCell ref="AR708:AR710"/>
    <mergeCell ref="AS708:AS710"/>
    <mergeCell ref="A711:A713"/>
    <mergeCell ref="B711:B713"/>
    <mergeCell ref="C711:C713"/>
    <mergeCell ref="D711:D713"/>
    <mergeCell ref="AJ711:AJ713"/>
    <mergeCell ref="AK711:AK713"/>
    <mergeCell ref="AL711:AL713"/>
    <mergeCell ref="AM711:AM713"/>
    <mergeCell ref="AN711:AN713"/>
    <mergeCell ref="AO711:AO713"/>
    <mergeCell ref="AP711:AP713"/>
    <mergeCell ref="AQ711:AQ713"/>
    <mergeCell ref="AR711:AR713"/>
    <mergeCell ref="AS711:AS713"/>
    <mergeCell ref="A714:A716"/>
    <mergeCell ref="B714:B716"/>
    <mergeCell ref="C714:C716"/>
    <mergeCell ref="D714:D716"/>
    <mergeCell ref="AJ714:AJ716"/>
    <mergeCell ref="AK714:AK716"/>
    <mergeCell ref="AL714:AL716"/>
    <mergeCell ref="AM714:AM716"/>
    <mergeCell ref="AN714:AN716"/>
    <mergeCell ref="AO714:AO716"/>
    <mergeCell ref="AP714:AP716"/>
    <mergeCell ref="AQ714:AQ716"/>
    <mergeCell ref="AR714:AR716"/>
    <mergeCell ref="AS714:AS716"/>
    <mergeCell ref="A717:A719"/>
    <mergeCell ref="B717:B719"/>
    <mergeCell ref="C717:C719"/>
    <mergeCell ref="D717:D719"/>
    <mergeCell ref="AJ717:AJ719"/>
    <mergeCell ref="AK717:AK719"/>
    <mergeCell ref="AL717:AL719"/>
    <mergeCell ref="AM717:AM719"/>
    <mergeCell ref="AN717:AN719"/>
    <mergeCell ref="AO717:AO719"/>
    <mergeCell ref="AP717:AP719"/>
    <mergeCell ref="AQ717:AQ719"/>
    <mergeCell ref="AR717:AR719"/>
    <mergeCell ref="AS717:AS719"/>
    <mergeCell ref="A720:A722"/>
    <mergeCell ref="B720:B722"/>
    <mergeCell ref="C720:C722"/>
    <mergeCell ref="D720:D722"/>
    <mergeCell ref="AJ720:AJ722"/>
    <mergeCell ref="AK720:AK722"/>
    <mergeCell ref="AL720:AL722"/>
    <mergeCell ref="AM720:AM722"/>
    <mergeCell ref="AN720:AN722"/>
    <mergeCell ref="AO720:AO722"/>
    <mergeCell ref="AP720:AP722"/>
    <mergeCell ref="AQ720:AQ722"/>
    <mergeCell ref="AR720:AR722"/>
    <mergeCell ref="AS720:AS722"/>
    <mergeCell ref="A723:A725"/>
    <mergeCell ref="B723:B725"/>
    <mergeCell ref="C723:C725"/>
    <mergeCell ref="D723:D725"/>
    <mergeCell ref="AJ723:AJ725"/>
    <mergeCell ref="AK723:AK725"/>
    <mergeCell ref="AL723:AL725"/>
    <mergeCell ref="AM723:AM725"/>
    <mergeCell ref="AN723:AN725"/>
    <mergeCell ref="AO723:AO725"/>
    <mergeCell ref="AP723:AP725"/>
    <mergeCell ref="AQ723:AQ725"/>
    <mergeCell ref="AR723:AR725"/>
    <mergeCell ref="AS723:AS725"/>
    <mergeCell ref="A726:A728"/>
    <mergeCell ref="B726:B728"/>
    <mergeCell ref="C726:C728"/>
    <mergeCell ref="D726:D728"/>
    <mergeCell ref="AJ726:AJ728"/>
    <mergeCell ref="AK726:AK728"/>
    <mergeCell ref="AL726:AL728"/>
    <mergeCell ref="AM726:AM728"/>
    <mergeCell ref="AN726:AN728"/>
    <mergeCell ref="AO726:AO728"/>
    <mergeCell ref="AP726:AP728"/>
    <mergeCell ref="AQ726:AQ728"/>
    <mergeCell ref="AR726:AR728"/>
    <mergeCell ref="AS726:AS728"/>
    <mergeCell ref="A729:A731"/>
    <mergeCell ref="B729:B731"/>
    <mergeCell ref="C729:C731"/>
    <mergeCell ref="D729:D731"/>
    <mergeCell ref="AJ729:AJ731"/>
    <mergeCell ref="AK729:AK731"/>
    <mergeCell ref="AL729:AL731"/>
    <mergeCell ref="AM729:AM731"/>
    <mergeCell ref="AN729:AN731"/>
    <mergeCell ref="AO729:AO731"/>
    <mergeCell ref="AP729:AP731"/>
    <mergeCell ref="AQ729:AQ731"/>
    <mergeCell ref="AR729:AR731"/>
    <mergeCell ref="AS729:AS731"/>
    <mergeCell ref="A732:A734"/>
    <mergeCell ref="B732:B734"/>
    <mergeCell ref="C732:C734"/>
    <mergeCell ref="D732:D734"/>
    <mergeCell ref="AJ732:AJ734"/>
    <mergeCell ref="AK732:AK734"/>
    <mergeCell ref="AL732:AL734"/>
    <mergeCell ref="AM732:AM734"/>
    <mergeCell ref="AN732:AN734"/>
    <mergeCell ref="AO732:AO734"/>
    <mergeCell ref="AP732:AP734"/>
    <mergeCell ref="AQ732:AQ734"/>
    <mergeCell ref="AR732:AR734"/>
    <mergeCell ref="AS732:AS734"/>
    <mergeCell ref="A735:A737"/>
    <mergeCell ref="B735:B737"/>
    <mergeCell ref="C735:C737"/>
    <mergeCell ref="D735:D737"/>
    <mergeCell ref="AJ735:AJ737"/>
    <mergeCell ref="AK735:AK737"/>
    <mergeCell ref="AL735:AL737"/>
    <mergeCell ref="AM735:AM737"/>
    <mergeCell ref="AN735:AN737"/>
    <mergeCell ref="AO735:AO737"/>
    <mergeCell ref="AP735:AP737"/>
    <mergeCell ref="AQ735:AQ737"/>
    <mergeCell ref="AR735:AR737"/>
    <mergeCell ref="AS735:AS737"/>
    <mergeCell ref="A738:A740"/>
    <mergeCell ref="B738:B740"/>
    <mergeCell ref="C738:C740"/>
    <mergeCell ref="D738:D740"/>
    <mergeCell ref="AJ738:AJ740"/>
    <mergeCell ref="AK738:AK740"/>
    <mergeCell ref="AL738:AL740"/>
    <mergeCell ref="AM738:AM740"/>
    <mergeCell ref="AN738:AN740"/>
    <mergeCell ref="AO738:AO740"/>
    <mergeCell ref="AP738:AP740"/>
    <mergeCell ref="AQ738:AQ740"/>
    <mergeCell ref="AR738:AR740"/>
    <mergeCell ref="AS738:AS740"/>
    <mergeCell ref="A741:A743"/>
    <mergeCell ref="B741:B743"/>
    <mergeCell ref="C741:C743"/>
    <mergeCell ref="D741:D743"/>
    <mergeCell ref="AJ741:AJ743"/>
    <mergeCell ref="AK741:AK743"/>
    <mergeCell ref="AL741:AL743"/>
    <mergeCell ref="AM741:AM743"/>
    <mergeCell ref="AN741:AN743"/>
    <mergeCell ref="AO741:AO743"/>
    <mergeCell ref="AP741:AP743"/>
    <mergeCell ref="AQ741:AQ743"/>
    <mergeCell ref="AR741:AR743"/>
    <mergeCell ref="AS741:AS743"/>
    <mergeCell ref="A744:A746"/>
    <mergeCell ref="B744:B746"/>
    <mergeCell ref="C744:C746"/>
    <mergeCell ref="D744:D746"/>
    <mergeCell ref="AJ744:AJ746"/>
    <mergeCell ref="AK744:AK746"/>
    <mergeCell ref="AL744:AL746"/>
    <mergeCell ref="AM744:AM746"/>
    <mergeCell ref="AN744:AN746"/>
    <mergeCell ref="AO744:AO746"/>
    <mergeCell ref="AP744:AP746"/>
    <mergeCell ref="AQ744:AQ746"/>
    <mergeCell ref="AR744:AR746"/>
    <mergeCell ref="AS744:AS746"/>
    <mergeCell ref="A747:A749"/>
    <mergeCell ref="B747:B749"/>
    <mergeCell ref="C747:C749"/>
    <mergeCell ref="D747:D749"/>
    <mergeCell ref="AJ747:AJ749"/>
    <mergeCell ref="AK747:AK749"/>
    <mergeCell ref="AL747:AL749"/>
    <mergeCell ref="AM747:AM749"/>
    <mergeCell ref="AN747:AN749"/>
    <mergeCell ref="AO747:AO749"/>
    <mergeCell ref="AP747:AP749"/>
    <mergeCell ref="AQ747:AQ749"/>
    <mergeCell ref="AR747:AR749"/>
    <mergeCell ref="AS747:AS749"/>
    <mergeCell ref="A750:A752"/>
    <mergeCell ref="B750:B752"/>
    <mergeCell ref="C750:C752"/>
    <mergeCell ref="D750:D752"/>
    <mergeCell ref="AJ750:AJ752"/>
    <mergeCell ref="AK750:AK752"/>
    <mergeCell ref="AL750:AL752"/>
    <mergeCell ref="AM750:AM752"/>
    <mergeCell ref="AN750:AN752"/>
    <mergeCell ref="AO750:AO752"/>
    <mergeCell ref="AP750:AP752"/>
    <mergeCell ref="AQ750:AQ752"/>
    <mergeCell ref="AR750:AR752"/>
    <mergeCell ref="AS750:AS752"/>
    <mergeCell ref="A753:A755"/>
    <mergeCell ref="B753:B755"/>
    <mergeCell ref="C753:C755"/>
    <mergeCell ref="D753:D755"/>
    <mergeCell ref="AJ753:AJ755"/>
    <mergeCell ref="AK753:AK755"/>
    <mergeCell ref="AL753:AL755"/>
    <mergeCell ref="AM753:AM755"/>
    <mergeCell ref="AN753:AN755"/>
    <mergeCell ref="AO753:AO755"/>
    <mergeCell ref="AP753:AP755"/>
    <mergeCell ref="AQ753:AQ755"/>
    <mergeCell ref="AR753:AR755"/>
    <mergeCell ref="AS753:AS755"/>
    <mergeCell ref="A756:A758"/>
    <mergeCell ref="B756:B758"/>
    <mergeCell ref="C756:C758"/>
    <mergeCell ref="D756:D758"/>
    <mergeCell ref="AJ756:AJ758"/>
    <mergeCell ref="AK756:AK758"/>
    <mergeCell ref="AL756:AL758"/>
    <mergeCell ref="AM756:AM758"/>
    <mergeCell ref="AN756:AN758"/>
    <mergeCell ref="AO756:AO758"/>
    <mergeCell ref="AP756:AP758"/>
    <mergeCell ref="AQ756:AQ758"/>
    <mergeCell ref="AR756:AR758"/>
    <mergeCell ref="AS756:AS758"/>
    <mergeCell ref="A759:A761"/>
    <mergeCell ref="B759:B761"/>
    <mergeCell ref="C759:C761"/>
    <mergeCell ref="D759:D761"/>
    <mergeCell ref="AJ759:AJ761"/>
    <mergeCell ref="AK759:AK761"/>
    <mergeCell ref="AL759:AL761"/>
    <mergeCell ref="AM759:AM761"/>
    <mergeCell ref="AN759:AN761"/>
    <mergeCell ref="AO759:AO761"/>
    <mergeCell ref="AP759:AP761"/>
    <mergeCell ref="AQ759:AQ761"/>
    <mergeCell ref="AR759:AR761"/>
    <mergeCell ref="AS759:AS761"/>
    <mergeCell ref="A762:A764"/>
    <mergeCell ref="B762:B764"/>
    <mergeCell ref="C762:C764"/>
    <mergeCell ref="D762:D764"/>
    <mergeCell ref="AJ762:AJ764"/>
    <mergeCell ref="AK762:AK764"/>
    <mergeCell ref="AL762:AL764"/>
    <mergeCell ref="AM762:AM764"/>
    <mergeCell ref="AN762:AN764"/>
    <mergeCell ref="AO762:AO764"/>
    <mergeCell ref="AP762:AP764"/>
    <mergeCell ref="AQ762:AQ764"/>
    <mergeCell ref="AR762:AR764"/>
    <mergeCell ref="AS762:AS764"/>
    <mergeCell ref="A765:A767"/>
    <mergeCell ref="B765:B767"/>
    <mergeCell ref="C765:C767"/>
    <mergeCell ref="D765:D767"/>
    <mergeCell ref="AJ765:AJ767"/>
    <mergeCell ref="AK765:AK767"/>
    <mergeCell ref="AL765:AL767"/>
    <mergeCell ref="AM765:AM767"/>
    <mergeCell ref="AN765:AN767"/>
    <mergeCell ref="AO765:AO767"/>
    <mergeCell ref="AP765:AP767"/>
    <mergeCell ref="AQ765:AQ767"/>
    <mergeCell ref="AR765:AR767"/>
    <mergeCell ref="AS765:AS767"/>
    <mergeCell ref="A768:A770"/>
    <mergeCell ref="B768:B770"/>
    <mergeCell ref="C768:C770"/>
    <mergeCell ref="D768:D770"/>
    <mergeCell ref="AJ768:AJ770"/>
    <mergeCell ref="AK768:AK770"/>
    <mergeCell ref="AL768:AL770"/>
    <mergeCell ref="AM768:AM770"/>
    <mergeCell ref="AN768:AN770"/>
    <mergeCell ref="AO768:AO770"/>
    <mergeCell ref="AP768:AP770"/>
    <mergeCell ref="AQ768:AQ770"/>
    <mergeCell ref="AR768:AR770"/>
    <mergeCell ref="AS768:AS770"/>
    <mergeCell ref="A771:A773"/>
    <mergeCell ref="B771:B773"/>
    <mergeCell ref="C771:C773"/>
    <mergeCell ref="D771:D773"/>
    <mergeCell ref="AJ771:AJ773"/>
    <mergeCell ref="AK771:AK773"/>
    <mergeCell ref="AL771:AL773"/>
    <mergeCell ref="AM771:AM773"/>
    <mergeCell ref="AN771:AN773"/>
    <mergeCell ref="AO771:AO773"/>
    <mergeCell ref="AP771:AP773"/>
    <mergeCell ref="AQ771:AQ773"/>
    <mergeCell ref="AR771:AR773"/>
    <mergeCell ref="AS771:AS773"/>
    <mergeCell ref="A774:A776"/>
    <mergeCell ref="B774:B776"/>
    <mergeCell ref="C774:C776"/>
    <mergeCell ref="D774:D776"/>
    <mergeCell ref="AJ774:AJ776"/>
    <mergeCell ref="AK774:AK776"/>
    <mergeCell ref="AL774:AL776"/>
    <mergeCell ref="AM774:AM776"/>
    <mergeCell ref="AN774:AN776"/>
    <mergeCell ref="AO774:AO776"/>
    <mergeCell ref="AP774:AP776"/>
    <mergeCell ref="AQ774:AQ776"/>
    <mergeCell ref="AR774:AR776"/>
    <mergeCell ref="AS774:AS776"/>
    <mergeCell ref="A777:A779"/>
    <mergeCell ref="B777:B779"/>
    <mergeCell ref="C777:C779"/>
    <mergeCell ref="D777:D779"/>
    <mergeCell ref="AJ777:AJ779"/>
    <mergeCell ref="AK777:AK779"/>
    <mergeCell ref="AL777:AL779"/>
    <mergeCell ref="AM777:AM779"/>
    <mergeCell ref="AN777:AN779"/>
    <mergeCell ref="AO777:AO779"/>
    <mergeCell ref="AP777:AP779"/>
    <mergeCell ref="AQ777:AQ779"/>
    <mergeCell ref="AR777:AR779"/>
    <mergeCell ref="AS777:AS779"/>
    <mergeCell ref="A780:A782"/>
    <mergeCell ref="B780:B782"/>
    <mergeCell ref="C780:C782"/>
    <mergeCell ref="D780:D782"/>
    <mergeCell ref="AJ780:AJ782"/>
    <mergeCell ref="AK780:AK782"/>
    <mergeCell ref="AL780:AL782"/>
    <mergeCell ref="AM780:AM782"/>
    <mergeCell ref="AN780:AN782"/>
    <mergeCell ref="AO780:AO782"/>
    <mergeCell ref="AP780:AP782"/>
    <mergeCell ref="AQ780:AQ782"/>
    <mergeCell ref="AR780:AR782"/>
    <mergeCell ref="AS780:AS782"/>
    <mergeCell ref="A783:A785"/>
    <mergeCell ref="B783:B785"/>
    <mergeCell ref="C783:C785"/>
    <mergeCell ref="D783:D785"/>
    <mergeCell ref="AJ783:AJ785"/>
    <mergeCell ref="AK783:AK785"/>
    <mergeCell ref="AL783:AL785"/>
    <mergeCell ref="AM783:AM785"/>
    <mergeCell ref="AN783:AN785"/>
    <mergeCell ref="AO783:AO785"/>
    <mergeCell ref="AP783:AP785"/>
    <mergeCell ref="AQ783:AQ785"/>
    <mergeCell ref="AR783:AR785"/>
    <mergeCell ref="AS783:AS785"/>
    <mergeCell ref="A786:A788"/>
    <mergeCell ref="B786:B788"/>
    <mergeCell ref="C786:C788"/>
    <mergeCell ref="D786:D788"/>
    <mergeCell ref="AJ786:AJ788"/>
    <mergeCell ref="AK786:AK788"/>
    <mergeCell ref="AL786:AL788"/>
    <mergeCell ref="AM786:AM788"/>
    <mergeCell ref="AN786:AN788"/>
    <mergeCell ref="AO786:AO788"/>
    <mergeCell ref="AP786:AP788"/>
    <mergeCell ref="AQ786:AQ788"/>
    <mergeCell ref="AR786:AR788"/>
    <mergeCell ref="AS786:AS788"/>
    <mergeCell ref="A789:A791"/>
    <mergeCell ref="B789:B791"/>
    <mergeCell ref="C789:C791"/>
    <mergeCell ref="D789:D791"/>
    <mergeCell ref="AJ789:AJ791"/>
    <mergeCell ref="AK789:AK791"/>
    <mergeCell ref="AL789:AL791"/>
    <mergeCell ref="AM789:AM791"/>
    <mergeCell ref="AN789:AN791"/>
    <mergeCell ref="AO789:AO791"/>
    <mergeCell ref="AP789:AP791"/>
    <mergeCell ref="AQ789:AQ791"/>
    <mergeCell ref="AR789:AR791"/>
    <mergeCell ref="AS789:AS791"/>
    <mergeCell ref="A792:A794"/>
    <mergeCell ref="B792:B794"/>
    <mergeCell ref="C792:C794"/>
    <mergeCell ref="D792:D794"/>
    <mergeCell ref="AJ792:AJ794"/>
    <mergeCell ref="AK792:AK794"/>
    <mergeCell ref="AL792:AL794"/>
    <mergeCell ref="AM792:AM794"/>
    <mergeCell ref="AN792:AN794"/>
    <mergeCell ref="AO792:AO794"/>
    <mergeCell ref="AP792:AP794"/>
    <mergeCell ref="AQ792:AQ794"/>
    <mergeCell ref="AR792:AR794"/>
    <mergeCell ref="AS792:AS794"/>
    <mergeCell ref="A795:A797"/>
    <mergeCell ref="B795:B797"/>
    <mergeCell ref="C795:C797"/>
    <mergeCell ref="D795:D797"/>
    <mergeCell ref="AJ795:AJ797"/>
    <mergeCell ref="AK795:AK797"/>
    <mergeCell ref="AL795:AL797"/>
    <mergeCell ref="AM795:AM797"/>
    <mergeCell ref="AN795:AN797"/>
    <mergeCell ref="AO795:AO797"/>
    <mergeCell ref="AP795:AP797"/>
    <mergeCell ref="AQ795:AQ797"/>
    <mergeCell ref="AR795:AR797"/>
    <mergeCell ref="AS795:AS797"/>
    <mergeCell ref="A798:A800"/>
    <mergeCell ref="B798:B800"/>
    <mergeCell ref="C798:C800"/>
    <mergeCell ref="D798:D800"/>
    <mergeCell ref="AJ798:AJ800"/>
    <mergeCell ref="AK798:AK800"/>
    <mergeCell ref="AL798:AL800"/>
    <mergeCell ref="AM798:AM800"/>
    <mergeCell ref="AN798:AN800"/>
    <mergeCell ref="AO798:AO800"/>
    <mergeCell ref="AP798:AP800"/>
    <mergeCell ref="AQ798:AQ800"/>
    <mergeCell ref="AR798:AR800"/>
    <mergeCell ref="AS798:AS800"/>
    <mergeCell ref="A801:A803"/>
    <mergeCell ref="B801:B803"/>
    <mergeCell ref="C801:C803"/>
    <mergeCell ref="D801:D803"/>
    <mergeCell ref="AJ801:AJ803"/>
    <mergeCell ref="AK801:AK803"/>
    <mergeCell ref="AL801:AL803"/>
    <mergeCell ref="AM801:AM803"/>
    <mergeCell ref="AN801:AN803"/>
    <mergeCell ref="AO801:AO803"/>
    <mergeCell ref="AP801:AP803"/>
    <mergeCell ref="AQ801:AQ803"/>
    <mergeCell ref="AR801:AR803"/>
    <mergeCell ref="AS801:AS803"/>
    <mergeCell ref="A804:A806"/>
    <mergeCell ref="B804:B806"/>
    <mergeCell ref="C804:C806"/>
    <mergeCell ref="D804:D806"/>
    <mergeCell ref="AJ804:AJ806"/>
    <mergeCell ref="AK804:AK806"/>
    <mergeCell ref="AL804:AL806"/>
    <mergeCell ref="AM804:AM806"/>
    <mergeCell ref="AN804:AN806"/>
    <mergeCell ref="AO804:AO806"/>
    <mergeCell ref="AP804:AP806"/>
    <mergeCell ref="AQ804:AQ806"/>
    <mergeCell ref="AR804:AR806"/>
    <mergeCell ref="AS804:AS806"/>
    <mergeCell ref="A807:A809"/>
    <mergeCell ref="B807:B809"/>
    <mergeCell ref="C807:C809"/>
    <mergeCell ref="D807:D809"/>
    <mergeCell ref="AJ807:AJ809"/>
    <mergeCell ref="AK807:AK809"/>
    <mergeCell ref="AL807:AL809"/>
    <mergeCell ref="AM807:AM809"/>
    <mergeCell ref="AN807:AN809"/>
    <mergeCell ref="AO807:AO809"/>
    <mergeCell ref="AP807:AP809"/>
    <mergeCell ref="AQ807:AQ809"/>
    <mergeCell ref="AR807:AR809"/>
    <mergeCell ref="AS807:AS809"/>
    <mergeCell ref="A810:A812"/>
    <mergeCell ref="B810:B812"/>
    <mergeCell ref="C810:C812"/>
    <mergeCell ref="D810:D812"/>
    <mergeCell ref="AJ810:AJ812"/>
    <mergeCell ref="AK810:AK812"/>
    <mergeCell ref="AL810:AL812"/>
    <mergeCell ref="AM810:AM812"/>
    <mergeCell ref="AN810:AN812"/>
    <mergeCell ref="AO810:AO812"/>
    <mergeCell ref="AP810:AP812"/>
    <mergeCell ref="AQ810:AQ812"/>
    <mergeCell ref="AR810:AR812"/>
    <mergeCell ref="AS810:AS812"/>
    <mergeCell ref="A813:A815"/>
    <mergeCell ref="B813:B815"/>
    <mergeCell ref="C813:C815"/>
    <mergeCell ref="D813:D815"/>
    <mergeCell ref="AJ813:AJ815"/>
    <mergeCell ref="AK813:AK815"/>
    <mergeCell ref="AL813:AL815"/>
    <mergeCell ref="AM813:AM815"/>
    <mergeCell ref="AN813:AN815"/>
    <mergeCell ref="AO813:AO815"/>
    <mergeCell ref="AP813:AP815"/>
    <mergeCell ref="AQ813:AQ815"/>
    <mergeCell ref="AR813:AR815"/>
    <mergeCell ref="AS813:AS815"/>
    <mergeCell ref="A816:A818"/>
    <mergeCell ref="B816:B818"/>
    <mergeCell ref="C816:C818"/>
    <mergeCell ref="D816:D818"/>
    <mergeCell ref="AJ816:AJ818"/>
    <mergeCell ref="AK816:AK818"/>
    <mergeCell ref="AL816:AL818"/>
    <mergeCell ref="AM816:AM818"/>
    <mergeCell ref="AN816:AN818"/>
    <mergeCell ref="AO816:AO818"/>
    <mergeCell ref="AP816:AP818"/>
    <mergeCell ref="AQ816:AQ818"/>
    <mergeCell ref="AR816:AR818"/>
    <mergeCell ref="AS816:AS818"/>
    <mergeCell ref="A819:A821"/>
    <mergeCell ref="B819:B821"/>
    <mergeCell ref="C819:C821"/>
    <mergeCell ref="D819:D821"/>
    <mergeCell ref="AJ819:AJ821"/>
    <mergeCell ref="AK819:AK821"/>
    <mergeCell ref="AL819:AL821"/>
    <mergeCell ref="AM819:AM821"/>
    <mergeCell ref="AN819:AN821"/>
    <mergeCell ref="AO819:AO821"/>
    <mergeCell ref="AP819:AP821"/>
    <mergeCell ref="AQ819:AQ821"/>
    <mergeCell ref="AR819:AR821"/>
    <mergeCell ref="AS819:AS821"/>
    <mergeCell ref="A822:A824"/>
    <mergeCell ref="B822:B824"/>
    <mergeCell ref="C822:C824"/>
    <mergeCell ref="D822:D824"/>
    <mergeCell ref="AJ822:AJ824"/>
    <mergeCell ref="AK822:AK824"/>
    <mergeCell ref="AL822:AL824"/>
    <mergeCell ref="AM822:AM824"/>
    <mergeCell ref="AN822:AN824"/>
    <mergeCell ref="AO822:AO824"/>
    <mergeCell ref="AP822:AP824"/>
    <mergeCell ref="AQ822:AQ824"/>
    <mergeCell ref="AR822:AR824"/>
    <mergeCell ref="AS822:AS824"/>
    <mergeCell ref="A825:A827"/>
    <mergeCell ref="B825:B827"/>
    <mergeCell ref="C825:C827"/>
    <mergeCell ref="D825:D827"/>
    <mergeCell ref="AJ825:AJ827"/>
    <mergeCell ref="AK825:AK827"/>
    <mergeCell ref="AL825:AL827"/>
    <mergeCell ref="AM825:AM827"/>
    <mergeCell ref="AN825:AN827"/>
    <mergeCell ref="AO825:AO827"/>
    <mergeCell ref="AP825:AP827"/>
    <mergeCell ref="AQ825:AQ827"/>
    <mergeCell ref="AR825:AR827"/>
    <mergeCell ref="AS825:AS827"/>
    <mergeCell ref="A828:A830"/>
    <mergeCell ref="B828:B830"/>
    <mergeCell ref="C828:C830"/>
    <mergeCell ref="D828:D830"/>
    <mergeCell ref="AJ828:AJ830"/>
    <mergeCell ref="AK828:AK830"/>
    <mergeCell ref="AL828:AL830"/>
    <mergeCell ref="AM828:AM830"/>
    <mergeCell ref="AN828:AN830"/>
    <mergeCell ref="AO828:AO830"/>
    <mergeCell ref="AP828:AP830"/>
    <mergeCell ref="AQ828:AQ830"/>
    <mergeCell ref="AR828:AR830"/>
    <mergeCell ref="AS828:AS830"/>
    <mergeCell ref="A831:A833"/>
    <mergeCell ref="B831:B833"/>
    <mergeCell ref="C831:C833"/>
    <mergeCell ref="D831:D833"/>
    <mergeCell ref="AJ831:AJ833"/>
    <mergeCell ref="AK831:AK833"/>
    <mergeCell ref="AL831:AL833"/>
    <mergeCell ref="AM831:AM833"/>
    <mergeCell ref="AN831:AN833"/>
    <mergeCell ref="AO831:AO833"/>
    <mergeCell ref="AP831:AP833"/>
    <mergeCell ref="AQ831:AQ833"/>
    <mergeCell ref="AR831:AR833"/>
    <mergeCell ref="AS831:AS833"/>
    <mergeCell ref="A834:A836"/>
    <mergeCell ref="B834:B836"/>
    <mergeCell ref="C834:C836"/>
    <mergeCell ref="D834:D836"/>
    <mergeCell ref="AJ834:AJ836"/>
    <mergeCell ref="AK834:AK836"/>
    <mergeCell ref="AL834:AL836"/>
    <mergeCell ref="AM834:AM836"/>
    <mergeCell ref="AN834:AN836"/>
    <mergeCell ref="AO834:AO836"/>
    <mergeCell ref="AP834:AP836"/>
    <mergeCell ref="AQ834:AQ836"/>
    <mergeCell ref="AR834:AR836"/>
    <mergeCell ref="AS834:AS836"/>
    <mergeCell ref="A837:A839"/>
    <mergeCell ref="B837:B839"/>
    <mergeCell ref="C837:C839"/>
    <mergeCell ref="D837:D839"/>
    <mergeCell ref="AJ837:AJ839"/>
    <mergeCell ref="AK837:AK839"/>
    <mergeCell ref="AL837:AL839"/>
    <mergeCell ref="AM837:AM839"/>
    <mergeCell ref="AN837:AN839"/>
    <mergeCell ref="AO837:AO839"/>
    <mergeCell ref="AP837:AP839"/>
    <mergeCell ref="AQ837:AQ839"/>
    <mergeCell ref="AR837:AR839"/>
    <mergeCell ref="AS837:AS839"/>
    <mergeCell ref="A840:A842"/>
    <mergeCell ref="B840:B842"/>
    <mergeCell ref="C840:C842"/>
    <mergeCell ref="D840:D842"/>
    <mergeCell ref="AJ840:AJ842"/>
    <mergeCell ref="AK840:AK842"/>
    <mergeCell ref="AL840:AL842"/>
    <mergeCell ref="AM840:AM842"/>
    <mergeCell ref="AN840:AN842"/>
    <mergeCell ref="AO840:AO842"/>
    <mergeCell ref="AP840:AP842"/>
    <mergeCell ref="AQ840:AQ842"/>
    <mergeCell ref="AR840:AR842"/>
    <mergeCell ref="AS840:AS842"/>
    <mergeCell ref="A843:A845"/>
    <mergeCell ref="B843:B845"/>
    <mergeCell ref="C843:C845"/>
    <mergeCell ref="D843:D845"/>
    <mergeCell ref="AJ843:AJ845"/>
    <mergeCell ref="AK843:AK845"/>
    <mergeCell ref="AL843:AL845"/>
    <mergeCell ref="AM843:AM845"/>
    <mergeCell ref="AN843:AN845"/>
    <mergeCell ref="AO843:AO845"/>
    <mergeCell ref="AP843:AP845"/>
    <mergeCell ref="AQ843:AQ845"/>
    <mergeCell ref="AR843:AR845"/>
    <mergeCell ref="AS843:AS845"/>
    <mergeCell ref="A846:A848"/>
    <mergeCell ref="B846:B848"/>
    <mergeCell ref="C846:C848"/>
    <mergeCell ref="D846:D848"/>
    <mergeCell ref="AJ846:AJ848"/>
    <mergeCell ref="AK846:AK848"/>
    <mergeCell ref="AL846:AL848"/>
    <mergeCell ref="AM846:AM848"/>
    <mergeCell ref="AN846:AN848"/>
    <mergeCell ref="AO846:AO848"/>
    <mergeCell ref="AP846:AP848"/>
    <mergeCell ref="AQ846:AQ848"/>
    <mergeCell ref="AR846:AR848"/>
    <mergeCell ref="AS846:AS848"/>
    <mergeCell ref="A849:A851"/>
    <mergeCell ref="B849:B851"/>
    <mergeCell ref="C849:C851"/>
    <mergeCell ref="D849:D851"/>
    <mergeCell ref="AJ849:AJ851"/>
    <mergeCell ref="AK849:AK851"/>
    <mergeCell ref="AL849:AL851"/>
    <mergeCell ref="AM849:AM851"/>
    <mergeCell ref="AN849:AN851"/>
    <mergeCell ref="AO849:AO851"/>
    <mergeCell ref="AP849:AP851"/>
    <mergeCell ref="AQ849:AQ851"/>
    <mergeCell ref="AR849:AR851"/>
    <mergeCell ref="AS849:AS851"/>
    <mergeCell ref="A852:A854"/>
    <mergeCell ref="B852:B854"/>
    <mergeCell ref="C852:C854"/>
    <mergeCell ref="D852:D854"/>
    <mergeCell ref="AJ852:AJ854"/>
    <mergeCell ref="AK852:AK854"/>
    <mergeCell ref="AL852:AL854"/>
    <mergeCell ref="AM852:AM854"/>
    <mergeCell ref="AN852:AN854"/>
    <mergeCell ref="AO852:AO854"/>
    <mergeCell ref="AP852:AP854"/>
    <mergeCell ref="AQ852:AQ854"/>
    <mergeCell ref="AR852:AR854"/>
    <mergeCell ref="AS852:AS854"/>
    <mergeCell ref="A855:A857"/>
    <mergeCell ref="B855:B857"/>
    <mergeCell ref="C855:C857"/>
    <mergeCell ref="D855:D857"/>
    <mergeCell ref="AJ855:AJ857"/>
    <mergeCell ref="AK855:AK857"/>
    <mergeCell ref="AL855:AL857"/>
    <mergeCell ref="AM855:AM857"/>
    <mergeCell ref="AN855:AN857"/>
    <mergeCell ref="AO855:AO857"/>
    <mergeCell ref="AP855:AP857"/>
    <mergeCell ref="AQ855:AQ857"/>
    <mergeCell ref="AR855:AR857"/>
    <mergeCell ref="AS855:AS857"/>
    <mergeCell ref="A858:A860"/>
    <mergeCell ref="B858:B860"/>
    <mergeCell ref="C858:C860"/>
    <mergeCell ref="D858:D860"/>
    <mergeCell ref="AJ858:AJ860"/>
    <mergeCell ref="AK858:AK860"/>
    <mergeCell ref="AL858:AL860"/>
    <mergeCell ref="AM858:AM860"/>
    <mergeCell ref="AN858:AN860"/>
    <mergeCell ref="AO858:AO860"/>
    <mergeCell ref="AP858:AP860"/>
    <mergeCell ref="AQ858:AQ860"/>
    <mergeCell ref="AR858:AR860"/>
    <mergeCell ref="AS858:AS860"/>
    <mergeCell ref="A861:A863"/>
    <mergeCell ref="B861:B863"/>
    <mergeCell ref="C861:C863"/>
    <mergeCell ref="D861:D863"/>
    <mergeCell ref="AJ861:AJ863"/>
    <mergeCell ref="AK861:AK863"/>
    <mergeCell ref="AL861:AL863"/>
    <mergeCell ref="AM861:AM863"/>
    <mergeCell ref="AN861:AN863"/>
    <mergeCell ref="AO861:AO863"/>
    <mergeCell ref="AP861:AP863"/>
    <mergeCell ref="AQ861:AQ863"/>
    <mergeCell ref="AR861:AR863"/>
    <mergeCell ref="AS861:AS863"/>
    <mergeCell ref="A864:A866"/>
    <mergeCell ref="B864:B866"/>
    <mergeCell ref="C864:C866"/>
    <mergeCell ref="D864:D866"/>
    <mergeCell ref="AJ864:AJ866"/>
    <mergeCell ref="AK864:AK866"/>
    <mergeCell ref="AL864:AL866"/>
    <mergeCell ref="AM864:AM866"/>
    <mergeCell ref="AN864:AN866"/>
    <mergeCell ref="AO864:AO866"/>
    <mergeCell ref="AP864:AP866"/>
    <mergeCell ref="AQ864:AQ866"/>
    <mergeCell ref="AR864:AR866"/>
    <mergeCell ref="AS864:AS866"/>
    <mergeCell ref="A867:A869"/>
    <mergeCell ref="B867:B869"/>
    <mergeCell ref="C867:C869"/>
    <mergeCell ref="D867:D869"/>
    <mergeCell ref="AJ867:AJ869"/>
    <mergeCell ref="AK867:AK869"/>
    <mergeCell ref="AL867:AL869"/>
    <mergeCell ref="AM867:AM869"/>
    <mergeCell ref="AN867:AN869"/>
    <mergeCell ref="AO867:AO869"/>
    <mergeCell ref="AP867:AP869"/>
    <mergeCell ref="AQ867:AQ869"/>
    <mergeCell ref="AR867:AR869"/>
    <mergeCell ref="AS867:AS869"/>
    <mergeCell ref="A870:A872"/>
    <mergeCell ref="B870:B872"/>
    <mergeCell ref="C870:C872"/>
    <mergeCell ref="D870:D872"/>
    <mergeCell ref="AJ870:AJ872"/>
    <mergeCell ref="AK870:AK872"/>
    <mergeCell ref="AL870:AL872"/>
    <mergeCell ref="AM870:AM872"/>
    <mergeCell ref="AN870:AN872"/>
    <mergeCell ref="AO870:AO872"/>
    <mergeCell ref="AP870:AP872"/>
    <mergeCell ref="AQ870:AQ872"/>
    <mergeCell ref="AR870:AR872"/>
    <mergeCell ref="AS870:AS872"/>
    <mergeCell ref="A873:A875"/>
    <mergeCell ref="B873:B875"/>
    <mergeCell ref="C873:C875"/>
    <mergeCell ref="D873:D875"/>
    <mergeCell ref="AJ873:AJ875"/>
    <mergeCell ref="AK873:AK875"/>
    <mergeCell ref="AL873:AL875"/>
    <mergeCell ref="AM873:AM875"/>
    <mergeCell ref="AN873:AN875"/>
    <mergeCell ref="AO873:AO875"/>
    <mergeCell ref="AP873:AP875"/>
    <mergeCell ref="AQ873:AQ875"/>
    <mergeCell ref="AR873:AR875"/>
    <mergeCell ref="AS873:AS875"/>
    <mergeCell ref="A876:A878"/>
    <mergeCell ref="B876:B878"/>
    <mergeCell ref="C876:C878"/>
    <mergeCell ref="D876:D878"/>
    <mergeCell ref="AJ876:AJ878"/>
    <mergeCell ref="AK876:AK878"/>
    <mergeCell ref="AL876:AL878"/>
    <mergeCell ref="AM876:AM878"/>
    <mergeCell ref="AN876:AN878"/>
    <mergeCell ref="AO876:AO878"/>
    <mergeCell ref="AP876:AP878"/>
    <mergeCell ref="AQ876:AQ878"/>
    <mergeCell ref="AR876:AR878"/>
    <mergeCell ref="AS876:AS878"/>
    <mergeCell ref="A879:A881"/>
    <mergeCell ref="B879:B881"/>
    <mergeCell ref="C879:C881"/>
    <mergeCell ref="D879:D881"/>
    <mergeCell ref="AJ879:AJ881"/>
    <mergeCell ref="AK879:AK881"/>
    <mergeCell ref="AL879:AL881"/>
    <mergeCell ref="AM879:AM881"/>
    <mergeCell ref="AN879:AN881"/>
    <mergeCell ref="AO879:AO881"/>
    <mergeCell ref="AP879:AP881"/>
    <mergeCell ref="AQ879:AQ881"/>
    <mergeCell ref="AR879:AR881"/>
    <mergeCell ref="AS879:AS881"/>
    <mergeCell ref="A882:A884"/>
    <mergeCell ref="B882:B884"/>
    <mergeCell ref="C882:C884"/>
    <mergeCell ref="D882:D884"/>
    <mergeCell ref="AJ882:AJ884"/>
    <mergeCell ref="AK882:AK884"/>
    <mergeCell ref="AL882:AL884"/>
    <mergeCell ref="AM882:AM884"/>
    <mergeCell ref="AN882:AN884"/>
    <mergeCell ref="AO882:AO884"/>
    <mergeCell ref="AP882:AP884"/>
    <mergeCell ref="AQ882:AQ884"/>
    <mergeCell ref="AR882:AR884"/>
    <mergeCell ref="AS882:AS884"/>
    <mergeCell ref="A885:A887"/>
    <mergeCell ref="B885:B887"/>
    <mergeCell ref="C885:C887"/>
    <mergeCell ref="D885:D887"/>
    <mergeCell ref="AJ885:AJ887"/>
    <mergeCell ref="AK885:AK887"/>
    <mergeCell ref="AL885:AL887"/>
    <mergeCell ref="AM885:AM887"/>
    <mergeCell ref="AN885:AN887"/>
    <mergeCell ref="AO885:AO887"/>
    <mergeCell ref="AP885:AP887"/>
    <mergeCell ref="AQ885:AQ887"/>
    <mergeCell ref="AR885:AR887"/>
    <mergeCell ref="AS885:AS887"/>
    <mergeCell ref="A888:A890"/>
    <mergeCell ref="B888:B890"/>
    <mergeCell ref="C888:C890"/>
    <mergeCell ref="D888:D890"/>
    <mergeCell ref="AJ888:AJ890"/>
    <mergeCell ref="AK888:AK890"/>
    <mergeCell ref="AL888:AL890"/>
    <mergeCell ref="AM888:AM890"/>
    <mergeCell ref="AN888:AN890"/>
    <mergeCell ref="AO888:AO890"/>
    <mergeCell ref="AP888:AP890"/>
    <mergeCell ref="AQ888:AQ890"/>
    <mergeCell ref="AR888:AR890"/>
    <mergeCell ref="AS888:AS890"/>
    <mergeCell ref="A891:A893"/>
    <mergeCell ref="B891:B893"/>
    <mergeCell ref="C891:C893"/>
    <mergeCell ref="D891:D893"/>
    <mergeCell ref="AJ891:AJ893"/>
    <mergeCell ref="AK891:AK893"/>
    <mergeCell ref="AL891:AL893"/>
    <mergeCell ref="AM891:AM893"/>
    <mergeCell ref="AN891:AN893"/>
    <mergeCell ref="AO891:AO893"/>
    <mergeCell ref="AP891:AP893"/>
    <mergeCell ref="AQ891:AQ893"/>
    <mergeCell ref="AR891:AR893"/>
    <mergeCell ref="AS891:AS893"/>
    <mergeCell ref="A894:A896"/>
    <mergeCell ref="B894:B896"/>
    <mergeCell ref="C894:C896"/>
    <mergeCell ref="D894:D896"/>
    <mergeCell ref="AJ894:AJ896"/>
    <mergeCell ref="AK894:AK896"/>
    <mergeCell ref="AL894:AL896"/>
    <mergeCell ref="AM894:AM896"/>
    <mergeCell ref="AN894:AN896"/>
    <mergeCell ref="AO894:AO896"/>
    <mergeCell ref="AP894:AP896"/>
    <mergeCell ref="AQ894:AQ896"/>
    <mergeCell ref="AR894:AR896"/>
    <mergeCell ref="AS894:AS896"/>
    <mergeCell ref="A897:A899"/>
    <mergeCell ref="B897:B899"/>
    <mergeCell ref="C897:C899"/>
    <mergeCell ref="D897:D899"/>
    <mergeCell ref="AJ897:AJ899"/>
    <mergeCell ref="AK897:AK899"/>
    <mergeCell ref="AL897:AL899"/>
    <mergeCell ref="AM897:AM899"/>
    <mergeCell ref="AN897:AN899"/>
    <mergeCell ref="AO897:AO899"/>
    <mergeCell ref="AP897:AP899"/>
    <mergeCell ref="AQ897:AQ899"/>
    <mergeCell ref="AR897:AR899"/>
    <mergeCell ref="AS897:AS899"/>
    <mergeCell ref="A900:A902"/>
    <mergeCell ref="B900:B902"/>
    <mergeCell ref="C900:C902"/>
    <mergeCell ref="D900:D902"/>
    <mergeCell ref="AJ900:AJ902"/>
    <mergeCell ref="AK900:AK902"/>
    <mergeCell ref="AL900:AL902"/>
    <mergeCell ref="AM900:AM902"/>
    <mergeCell ref="AN900:AN902"/>
    <mergeCell ref="AO900:AO902"/>
    <mergeCell ref="AP900:AP902"/>
    <mergeCell ref="AQ900:AQ902"/>
    <mergeCell ref="AR900:AR902"/>
    <mergeCell ref="AS900:AS902"/>
    <mergeCell ref="A903:A905"/>
    <mergeCell ref="B903:B905"/>
    <mergeCell ref="C903:C905"/>
    <mergeCell ref="D903:D905"/>
    <mergeCell ref="AJ903:AJ905"/>
    <mergeCell ref="AK903:AK905"/>
    <mergeCell ref="AL903:AL905"/>
    <mergeCell ref="AM903:AM905"/>
    <mergeCell ref="AN903:AN905"/>
    <mergeCell ref="AO903:AO905"/>
    <mergeCell ref="AP903:AP905"/>
    <mergeCell ref="AQ903:AQ905"/>
    <mergeCell ref="AR903:AR905"/>
    <mergeCell ref="AS903:AS905"/>
    <mergeCell ref="A906:A908"/>
    <mergeCell ref="B906:B908"/>
    <mergeCell ref="C906:C908"/>
    <mergeCell ref="D906:D908"/>
    <mergeCell ref="AJ906:AJ908"/>
    <mergeCell ref="AK906:AK908"/>
    <mergeCell ref="AL906:AL908"/>
    <mergeCell ref="AM906:AM908"/>
    <mergeCell ref="AN906:AN908"/>
    <mergeCell ref="AO906:AO908"/>
    <mergeCell ref="AP906:AP908"/>
    <mergeCell ref="AQ906:AQ908"/>
    <mergeCell ref="AR906:AR908"/>
    <mergeCell ref="AS906:AS908"/>
    <mergeCell ref="A909:A911"/>
    <mergeCell ref="B909:B911"/>
    <mergeCell ref="C909:C911"/>
    <mergeCell ref="D909:D911"/>
    <mergeCell ref="AJ909:AJ911"/>
    <mergeCell ref="AK909:AK911"/>
    <mergeCell ref="AL909:AL911"/>
    <mergeCell ref="AM909:AM911"/>
    <mergeCell ref="AN909:AN911"/>
    <mergeCell ref="AO909:AO911"/>
    <mergeCell ref="AP909:AP911"/>
    <mergeCell ref="AQ909:AQ911"/>
    <mergeCell ref="AR909:AR911"/>
    <mergeCell ref="AS909:AS911"/>
    <mergeCell ref="A912:A914"/>
    <mergeCell ref="B912:B914"/>
    <mergeCell ref="C912:C914"/>
    <mergeCell ref="D912:D914"/>
    <mergeCell ref="AJ912:AJ914"/>
    <mergeCell ref="AK912:AK914"/>
    <mergeCell ref="AL912:AL914"/>
    <mergeCell ref="AM912:AM914"/>
    <mergeCell ref="AN912:AN914"/>
    <mergeCell ref="AO912:AO914"/>
    <mergeCell ref="AP912:AP914"/>
    <mergeCell ref="AQ912:AQ914"/>
    <mergeCell ref="AR912:AR914"/>
    <mergeCell ref="AS912:AS914"/>
    <mergeCell ref="A915:A917"/>
    <mergeCell ref="B915:B917"/>
    <mergeCell ref="C915:C917"/>
    <mergeCell ref="D915:D917"/>
    <mergeCell ref="AJ915:AJ917"/>
    <mergeCell ref="AK915:AK917"/>
    <mergeCell ref="AL915:AL917"/>
    <mergeCell ref="AM915:AM917"/>
    <mergeCell ref="AN915:AN917"/>
    <mergeCell ref="AO915:AO917"/>
    <mergeCell ref="AP915:AP917"/>
    <mergeCell ref="AQ915:AQ917"/>
    <mergeCell ref="AR915:AR917"/>
    <mergeCell ref="AS915:AS917"/>
    <mergeCell ref="A918:A920"/>
    <mergeCell ref="B918:B920"/>
    <mergeCell ref="C918:C920"/>
    <mergeCell ref="D918:D920"/>
    <mergeCell ref="AJ918:AJ920"/>
    <mergeCell ref="AK918:AK920"/>
    <mergeCell ref="AL918:AL920"/>
    <mergeCell ref="AM918:AM920"/>
    <mergeCell ref="AN918:AN920"/>
    <mergeCell ref="AO918:AO920"/>
    <mergeCell ref="AP918:AP920"/>
    <mergeCell ref="AQ918:AQ920"/>
    <mergeCell ref="AR918:AR920"/>
    <mergeCell ref="AS918:AS920"/>
    <mergeCell ref="A921:A923"/>
    <mergeCell ref="B921:B923"/>
    <mergeCell ref="C921:C923"/>
    <mergeCell ref="D921:D923"/>
    <mergeCell ref="AJ921:AJ923"/>
    <mergeCell ref="AK921:AK923"/>
    <mergeCell ref="AL921:AL923"/>
    <mergeCell ref="AM921:AM923"/>
    <mergeCell ref="AN921:AN923"/>
    <mergeCell ref="AO921:AO923"/>
    <mergeCell ref="AP921:AP923"/>
    <mergeCell ref="AQ921:AQ923"/>
    <mergeCell ref="AR921:AR923"/>
    <mergeCell ref="AS921:AS923"/>
    <mergeCell ref="A924:A926"/>
    <mergeCell ref="B924:B926"/>
    <mergeCell ref="C924:C926"/>
    <mergeCell ref="D924:D926"/>
    <mergeCell ref="AJ924:AJ926"/>
    <mergeCell ref="AK924:AK926"/>
    <mergeCell ref="AL924:AL926"/>
    <mergeCell ref="AM924:AM926"/>
    <mergeCell ref="AN924:AN926"/>
    <mergeCell ref="AO924:AO926"/>
    <mergeCell ref="AP924:AP926"/>
    <mergeCell ref="AQ924:AQ926"/>
    <mergeCell ref="AR924:AR926"/>
    <mergeCell ref="AS924:AS926"/>
    <mergeCell ref="A927:A929"/>
    <mergeCell ref="B927:B929"/>
    <mergeCell ref="C927:C929"/>
    <mergeCell ref="D927:D929"/>
    <mergeCell ref="AJ927:AJ929"/>
    <mergeCell ref="AK927:AK929"/>
    <mergeCell ref="AL927:AL929"/>
    <mergeCell ref="AM927:AM929"/>
    <mergeCell ref="AN927:AN929"/>
    <mergeCell ref="AO927:AO929"/>
    <mergeCell ref="AP927:AP929"/>
    <mergeCell ref="AQ927:AQ929"/>
    <mergeCell ref="AR927:AR929"/>
    <mergeCell ref="AS927:AS929"/>
    <mergeCell ref="A930:A932"/>
    <mergeCell ref="B930:B932"/>
    <mergeCell ref="C930:C932"/>
    <mergeCell ref="D930:D932"/>
    <mergeCell ref="AJ930:AJ932"/>
    <mergeCell ref="AK930:AK932"/>
    <mergeCell ref="AL930:AL932"/>
    <mergeCell ref="AM930:AM932"/>
    <mergeCell ref="AN930:AN932"/>
    <mergeCell ref="AO930:AO932"/>
    <mergeCell ref="AP930:AP932"/>
    <mergeCell ref="AQ930:AQ932"/>
    <mergeCell ref="AR930:AR932"/>
    <mergeCell ref="AS930:AS932"/>
    <mergeCell ref="A933:A935"/>
    <mergeCell ref="B933:B935"/>
    <mergeCell ref="C933:C935"/>
    <mergeCell ref="D933:D935"/>
    <mergeCell ref="AJ933:AJ935"/>
    <mergeCell ref="AK933:AK935"/>
    <mergeCell ref="AL933:AL935"/>
    <mergeCell ref="AM933:AM935"/>
    <mergeCell ref="AN933:AN935"/>
    <mergeCell ref="AO933:AO935"/>
    <mergeCell ref="AP933:AP935"/>
    <mergeCell ref="AQ933:AQ935"/>
    <mergeCell ref="AR933:AR935"/>
    <mergeCell ref="AS933:AS935"/>
    <mergeCell ref="A936:A938"/>
    <mergeCell ref="B936:B938"/>
    <mergeCell ref="C936:C938"/>
    <mergeCell ref="D936:D938"/>
    <mergeCell ref="AJ936:AJ938"/>
    <mergeCell ref="AK936:AK938"/>
    <mergeCell ref="AL936:AL938"/>
    <mergeCell ref="AM936:AM938"/>
    <mergeCell ref="AN936:AN938"/>
    <mergeCell ref="AO936:AO938"/>
    <mergeCell ref="AP936:AP938"/>
    <mergeCell ref="AQ936:AQ938"/>
    <mergeCell ref="AR936:AR938"/>
    <mergeCell ref="AS936:AS938"/>
    <mergeCell ref="A939:A941"/>
    <mergeCell ref="B939:B941"/>
    <mergeCell ref="C939:C941"/>
    <mergeCell ref="D939:D941"/>
    <mergeCell ref="AJ939:AJ941"/>
    <mergeCell ref="AK939:AK941"/>
    <mergeCell ref="AL939:AL941"/>
    <mergeCell ref="AM939:AM941"/>
    <mergeCell ref="AN939:AN941"/>
    <mergeCell ref="AO939:AO941"/>
    <mergeCell ref="AP939:AP941"/>
    <mergeCell ref="AQ939:AQ941"/>
    <mergeCell ref="AR939:AR941"/>
    <mergeCell ref="AS939:AS941"/>
    <mergeCell ref="A942:A944"/>
    <mergeCell ref="B942:B944"/>
    <mergeCell ref="C942:C944"/>
    <mergeCell ref="D942:D944"/>
    <mergeCell ref="AJ942:AJ944"/>
    <mergeCell ref="AK942:AK944"/>
    <mergeCell ref="AL942:AL944"/>
    <mergeCell ref="AM942:AM944"/>
    <mergeCell ref="AN942:AN944"/>
    <mergeCell ref="AO942:AO944"/>
    <mergeCell ref="AP942:AP944"/>
    <mergeCell ref="AQ942:AQ944"/>
    <mergeCell ref="AR942:AR944"/>
    <mergeCell ref="AS942:AS944"/>
    <mergeCell ref="A945:A947"/>
    <mergeCell ref="B945:B947"/>
    <mergeCell ref="C945:C947"/>
    <mergeCell ref="D945:D947"/>
    <mergeCell ref="AJ945:AJ947"/>
    <mergeCell ref="AK945:AK947"/>
    <mergeCell ref="AL945:AL947"/>
    <mergeCell ref="AM945:AM947"/>
    <mergeCell ref="AN945:AN947"/>
    <mergeCell ref="AO945:AO947"/>
    <mergeCell ref="AP945:AP947"/>
    <mergeCell ref="AQ945:AQ947"/>
    <mergeCell ref="AR945:AR947"/>
    <mergeCell ref="AS945:AS947"/>
    <mergeCell ref="A948:A950"/>
    <mergeCell ref="B948:B950"/>
    <mergeCell ref="C948:C950"/>
    <mergeCell ref="D948:D950"/>
    <mergeCell ref="AJ948:AJ950"/>
    <mergeCell ref="AK948:AK950"/>
    <mergeCell ref="AL948:AL950"/>
    <mergeCell ref="AM948:AM950"/>
    <mergeCell ref="AN948:AN950"/>
    <mergeCell ref="AO948:AO950"/>
    <mergeCell ref="AP948:AP950"/>
    <mergeCell ref="AQ948:AQ950"/>
    <mergeCell ref="AR948:AR950"/>
    <mergeCell ref="AS948:AS950"/>
    <mergeCell ref="A951:A953"/>
    <mergeCell ref="B951:B953"/>
    <mergeCell ref="C951:C953"/>
    <mergeCell ref="D951:D953"/>
    <mergeCell ref="AJ951:AJ953"/>
    <mergeCell ref="AK951:AK953"/>
    <mergeCell ref="AL951:AL953"/>
    <mergeCell ref="AM951:AM953"/>
    <mergeCell ref="AN951:AN953"/>
    <mergeCell ref="AO951:AO953"/>
    <mergeCell ref="AP951:AP953"/>
    <mergeCell ref="AQ951:AQ953"/>
    <mergeCell ref="AR951:AR953"/>
    <mergeCell ref="AS951:AS953"/>
    <mergeCell ref="A954:A956"/>
    <mergeCell ref="B954:B956"/>
    <mergeCell ref="C954:C956"/>
    <mergeCell ref="D954:D956"/>
    <mergeCell ref="AJ954:AJ956"/>
    <mergeCell ref="AK954:AK956"/>
    <mergeCell ref="AL954:AL956"/>
    <mergeCell ref="AM954:AM956"/>
    <mergeCell ref="AN954:AN956"/>
    <mergeCell ref="AO954:AO956"/>
    <mergeCell ref="AP954:AP956"/>
    <mergeCell ref="AQ954:AQ956"/>
    <mergeCell ref="AR954:AR956"/>
    <mergeCell ref="AS954:AS956"/>
    <mergeCell ref="A957:A959"/>
    <mergeCell ref="B957:B959"/>
    <mergeCell ref="C957:C959"/>
    <mergeCell ref="D957:D959"/>
    <mergeCell ref="AJ957:AJ959"/>
    <mergeCell ref="AK957:AK959"/>
    <mergeCell ref="AL957:AL959"/>
    <mergeCell ref="AM957:AM959"/>
    <mergeCell ref="AN957:AN959"/>
    <mergeCell ref="AO957:AO959"/>
    <mergeCell ref="AP957:AP959"/>
    <mergeCell ref="AQ957:AQ959"/>
    <mergeCell ref="AR957:AR959"/>
    <mergeCell ref="AS957:AS959"/>
    <mergeCell ref="A960:A962"/>
    <mergeCell ref="B960:B962"/>
    <mergeCell ref="C960:C962"/>
    <mergeCell ref="D960:D962"/>
    <mergeCell ref="AJ960:AJ962"/>
    <mergeCell ref="AK960:AK962"/>
    <mergeCell ref="AL960:AL962"/>
    <mergeCell ref="AM960:AM962"/>
    <mergeCell ref="AN960:AN962"/>
    <mergeCell ref="AO960:AO962"/>
    <mergeCell ref="AP960:AP962"/>
    <mergeCell ref="AQ960:AQ962"/>
    <mergeCell ref="AR960:AR962"/>
    <mergeCell ref="AS960:AS962"/>
    <mergeCell ref="A963:A965"/>
    <mergeCell ref="B963:B965"/>
    <mergeCell ref="C963:C965"/>
    <mergeCell ref="D963:D965"/>
    <mergeCell ref="AJ963:AJ965"/>
    <mergeCell ref="AK963:AK965"/>
    <mergeCell ref="AL963:AL965"/>
    <mergeCell ref="AM963:AM965"/>
    <mergeCell ref="AN963:AN965"/>
    <mergeCell ref="AO963:AO965"/>
    <mergeCell ref="AP963:AP965"/>
    <mergeCell ref="AQ963:AQ965"/>
    <mergeCell ref="AR963:AR965"/>
    <mergeCell ref="AS963:AS965"/>
    <mergeCell ref="A966:A968"/>
    <mergeCell ref="B966:B968"/>
    <mergeCell ref="C966:C968"/>
    <mergeCell ref="D966:D968"/>
    <mergeCell ref="AJ966:AJ968"/>
    <mergeCell ref="AK966:AK968"/>
    <mergeCell ref="AL966:AL968"/>
    <mergeCell ref="AM966:AM968"/>
    <mergeCell ref="AN966:AN968"/>
    <mergeCell ref="AO966:AO968"/>
    <mergeCell ref="AP966:AP968"/>
    <mergeCell ref="AQ966:AQ968"/>
    <mergeCell ref="AR966:AR968"/>
    <mergeCell ref="AS966:AS968"/>
    <mergeCell ref="A969:A971"/>
    <mergeCell ref="B969:B971"/>
    <mergeCell ref="C969:C971"/>
    <mergeCell ref="D969:D971"/>
    <mergeCell ref="AJ969:AJ971"/>
    <mergeCell ref="AK969:AK971"/>
    <mergeCell ref="AL969:AL971"/>
    <mergeCell ref="AM969:AM971"/>
    <mergeCell ref="AN969:AN971"/>
    <mergeCell ref="AO969:AO971"/>
    <mergeCell ref="AP969:AP971"/>
    <mergeCell ref="AQ969:AQ971"/>
    <mergeCell ref="AR969:AR971"/>
    <mergeCell ref="AS969:AS971"/>
    <mergeCell ref="A972:A974"/>
    <mergeCell ref="B972:B974"/>
    <mergeCell ref="C972:C974"/>
    <mergeCell ref="D972:D974"/>
    <mergeCell ref="AJ972:AJ974"/>
    <mergeCell ref="AK972:AK974"/>
    <mergeCell ref="AL972:AL974"/>
    <mergeCell ref="AM972:AM974"/>
    <mergeCell ref="AN972:AN974"/>
    <mergeCell ref="AO972:AO974"/>
    <mergeCell ref="AP972:AP974"/>
    <mergeCell ref="AQ972:AQ974"/>
    <mergeCell ref="AR972:AR974"/>
    <mergeCell ref="AS972:AS974"/>
    <mergeCell ref="A975:A977"/>
    <mergeCell ref="B975:B977"/>
    <mergeCell ref="C975:C977"/>
    <mergeCell ref="D975:D977"/>
    <mergeCell ref="AJ975:AJ977"/>
    <mergeCell ref="AK975:AK977"/>
    <mergeCell ref="AL975:AL977"/>
    <mergeCell ref="AM975:AM977"/>
    <mergeCell ref="AN975:AN977"/>
    <mergeCell ref="AO975:AO977"/>
    <mergeCell ref="AP975:AP977"/>
    <mergeCell ref="AQ975:AQ977"/>
    <mergeCell ref="AR975:AR977"/>
    <mergeCell ref="AS975:AS977"/>
    <mergeCell ref="A978:A980"/>
    <mergeCell ref="B978:B980"/>
    <mergeCell ref="C978:C980"/>
    <mergeCell ref="D978:D980"/>
    <mergeCell ref="AJ978:AJ980"/>
    <mergeCell ref="AK978:AK980"/>
    <mergeCell ref="AL978:AL980"/>
    <mergeCell ref="AM978:AM980"/>
    <mergeCell ref="AN978:AN980"/>
    <mergeCell ref="AO978:AO980"/>
    <mergeCell ref="AP978:AP980"/>
    <mergeCell ref="AQ978:AQ980"/>
    <mergeCell ref="AR978:AR980"/>
    <mergeCell ref="AS978:AS980"/>
    <mergeCell ref="A981:A983"/>
    <mergeCell ref="B981:B983"/>
    <mergeCell ref="C981:C983"/>
    <mergeCell ref="D981:D983"/>
    <mergeCell ref="AJ981:AJ983"/>
    <mergeCell ref="AK981:AK983"/>
    <mergeCell ref="AL981:AL983"/>
    <mergeCell ref="AM981:AM983"/>
    <mergeCell ref="AN981:AN983"/>
    <mergeCell ref="AO981:AO983"/>
    <mergeCell ref="AP981:AP983"/>
    <mergeCell ref="AQ981:AQ983"/>
    <mergeCell ref="AR981:AR983"/>
    <mergeCell ref="AS981:AS983"/>
    <mergeCell ref="A984:A986"/>
    <mergeCell ref="B984:B986"/>
    <mergeCell ref="C984:C986"/>
    <mergeCell ref="D984:D986"/>
    <mergeCell ref="AJ984:AJ986"/>
    <mergeCell ref="AK984:AK986"/>
    <mergeCell ref="AL984:AL986"/>
    <mergeCell ref="AM984:AM986"/>
    <mergeCell ref="AN984:AN986"/>
    <mergeCell ref="AO984:AO986"/>
    <mergeCell ref="AP984:AP986"/>
    <mergeCell ref="AQ984:AQ986"/>
    <mergeCell ref="AR984:AR986"/>
    <mergeCell ref="AS984:AS986"/>
    <mergeCell ref="A987:A989"/>
    <mergeCell ref="B987:B989"/>
    <mergeCell ref="C987:C989"/>
    <mergeCell ref="D987:D989"/>
    <mergeCell ref="AJ987:AJ989"/>
    <mergeCell ref="AK987:AK989"/>
    <mergeCell ref="AL987:AL989"/>
    <mergeCell ref="AM987:AM989"/>
    <mergeCell ref="AN987:AN989"/>
    <mergeCell ref="AO987:AO989"/>
    <mergeCell ref="AP987:AP989"/>
    <mergeCell ref="AQ987:AQ989"/>
    <mergeCell ref="AR987:AR989"/>
    <mergeCell ref="AS987:AS989"/>
    <mergeCell ref="A990:A992"/>
    <mergeCell ref="B990:B992"/>
    <mergeCell ref="C990:C992"/>
    <mergeCell ref="D990:D992"/>
    <mergeCell ref="AJ990:AJ992"/>
    <mergeCell ref="AK990:AK992"/>
    <mergeCell ref="AL990:AL992"/>
    <mergeCell ref="AM990:AM992"/>
    <mergeCell ref="AN990:AN992"/>
    <mergeCell ref="AO990:AO992"/>
    <mergeCell ref="AP990:AP992"/>
    <mergeCell ref="AQ990:AQ992"/>
    <mergeCell ref="AR990:AR992"/>
    <mergeCell ref="AS990:AS992"/>
    <mergeCell ref="A993:A995"/>
    <mergeCell ref="B993:B995"/>
    <mergeCell ref="C993:C995"/>
    <mergeCell ref="D993:D995"/>
    <mergeCell ref="AJ993:AJ995"/>
    <mergeCell ref="AK993:AK995"/>
    <mergeCell ref="AL993:AL995"/>
    <mergeCell ref="AM993:AM995"/>
    <mergeCell ref="AN993:AN995"/>
    <mergeCell ref="AO993:AO995"/>
    <mergeCell ref="AP993:AP995"/>
    <mergeCell ref="AQ993:AQ995"/>
    <mergeCell ref="AR993:AR995"/>
    <mergeCell ref="AS993:AS995"/>
    <mergeCell ref="A996:A998"/>
    <mergeCell ref="B996:B998"/>
    <mergeCell ref="C996:C998"/>
    <mergeCell ref="D996:D998"/>
    <mergeCell ref="AJ996:AJ998"/>
    <mergeCell ref="AK996:AK998"/>
    <mergeCell ref="AL996:AL998"/>
    <mergeCell ref="AM996:AM998"/>
    <mergeCell ref="AN996:AN998"/>
    <mergeCell ref="AO996:AO998"/>
    <mergeCell ref="AP996:AP998"/>
    <mergeCell ref="AQ996:AQ998"/>
    <mergeCell ref="AR996:AR998"/>
    <mergeCell ref="AS996:AS998"/>
    <mergeCell ref="A999:A1001"/>
    <mergeCell ref="B999:B1001"/>
    <mergeCell ref="C999:C1001"/>
    <mergeCell ref="D999:D1001"/>
    <mergeCell ref="AJ999:AJ1001"/>
    <mergeCell ref="AK999:AK1001"/>
    <mergeCell ref="AL999:AL1001"/>
    <mergeCell ref="AM999:AM1001"/>
    <mergeCell ref="AN999:AN1001"/>
    <mergeCell ref="AO999:AO1001"/>
    <mergeCell ref="AP999:AP1001"/>
    <mergeCell ref="AQ999:AQ1001"/>
    <mergeCell ref="AR999:AR1001"/>
    <mergeCell ref="AS999:AS1001"/>
    <mergeCell ref="A1002:A1004"/>
    <mergeCell ref="B1002:B1004"/>
    <mergeCell ref="C1002:C1004"/>
    <mergeCell ref="D1002:D1004"/>
    <mergeCell ref="AJ1002:AJ1004"/>
    <mergeCell ref="AK1002:AK1004"/>
    <mergeCell ref="AL1002:AL1004"/>
    <mergeCell ref="AM1002:AM1004"/>
    <mergeCell ref="AN1002:AN1004"/>
    <mergeCell ref="AO1002:AO1004"/>
    <mergeCell ref="AP1002:AP1004"/>
    <mergeCell ref="AQ1002:AQ1004"/>
    <mergeCell ref="AR1002:AR1004"/>
    <mergeCell ref="AS1002:AS1004"/>
    <mergeCell ref="A1005:A1007"/>
    <mergeCell ref="B1005:B1007"/>
    <mergeCell ref="C1005:C1007"/>
    <mergeCell ref="D1005:D1007"/>
    <mergeCell ref="AJ1005:AJ1007"/>
    <mergeCell ref="AK1005:AK1007"/>
    <mergeCell ref="AL1005:AL1007"/>
    <mergeCell ref="AM1005:AM1007"/>
    <mergeCell ref="AN1005:AN1007"/>
    <mergeCell ref="AO1005:AO1007"/>
    <mergeCell ref="AP1005:AP1007"/>
    <mergeCell ref="AQ1005:AQ1007"/>
    <mergeCell ref="AR1005:AR1007"/>
    <mergeCell ref="AS1005:AS1007"/>
    <mergeCell ref="A1008:A1010"/>
    <mergeCell ref="B1008:B1010"/>
    <mergeCell ref="C1008:C1010"/>
    <mergeCell ref="D1008:D1010"/>
    <mergeCell ref="AJ1008:AJ1010"/>
    <mergeCell ref="AK1008:AK1010"/>
    <mergeCell ref="AL1008:AL1010"/>
    <mergeCell ref="AM1008:AM1010"/>
    <mergeCell ref="AN1008:AN1010"/>
    <mergeCell ref="AO1008:AO1010"/>
    <mergeCell ref="AP1008:AP1010"/>
    <mergeCell ref="AQ1008:AQ1010"/>
    <mergeCell ref="AR1008:AR1010"/>
    <mergeCell ref="AS1008:AS1010"/>
    <mergeCell ref="A1011:A1013"/>
    <mergeCell ref="B1011:B1013"/>
    <mergeCell ref="C1011:C1013"/>
    <mergeCell ref="D1011:D1013"/>
    <mergeCell ref="AJ1011:AJ1013"/>
    <mergeCell ref="AK1011:AK1013"/>
    <mergeCell ref="AL1011:AL1013"/>
    <mergeCell ref="AM1011:AM1013"/>
    <mergeCell ref="AN1011:AN1013"/>
    <mergeCell ref="AO1011:AO1013"/>
    <mergeCell ref="AP1011:AP1013"/>
    <mergeCell ref="AQ1011:AQ1013"/>
    <mergeCell ref="AR1011:AR1013"/>
    <mergeCell ref="AS1011:AS1013"/>
    <mergeCell ref="A1014:A1016"/>
    <mergeCell ref="B1014:B1016"/>
    <mergeCell ref="C1014:C1016"/>
    <mergeCell ref="D1014:D1016"/>
    <mergeCell ref="AJ1014:AJ1016"/>
    <mergeCell ref="AK1014:AK1016"/>
    <mergeCell ref="AL1014:AL1016"/>
    <mergeCell ref="AM1014:AM1016"/>
    <mergeCell ref="AN1014:AN1016"/>
    <mergeCell ref="AO1014:AO1016"/>
    <mergeCell ref="AP1014:AP1016"/>
    <mergeCell ref="AQ1014:AQ1016"/>
    <mergeCell ref="AR1014:AR1016"/>
    <mergeCell ref="AS1014:AS1016"/>
    <mergeCell ref="A1017:A1019"/>
    <mergeCell ref="B1017:B1019"/>
    <mergeCell ref="C1017:C1019"/>
    <mergeCell ref="D1017:D1019"/>
    <mergeCell ref="AJ1017:AJ1019"/>
    <mergeCell ref="AK1017:AK1019"/>
    <mergeCell ref="AL1017:AL1019"/>
    <mergeCell ref="AM1017:AM1019"/>
    <mergeCell ref="AN1017:AN1019"/>
    <mergeCell ref="AO1017:AO1019"/>
    <mergeCell ref="AP1017:AP1019"/>
    <mergeCell ref="AQ1017:AQ1019"/>
    <mergeCell ref="AR1017:AR1019"/>
    <mergeCell ref="AS1017:AS1019"/>
    <mergeCell ref="A1020:A1022"/>
    <mergeCell ref="B1020:B1022"/>
    <mergeCell ref="C1020:C1022"/>
    <mergeCell ref="D1020:D1022"/>
    <mergeCell ref="AJ1020:AJ1022"/>
    <mergeCell ref="AK1020:AK1022"/>
    <mergeCell ref="AL1020:AL1022"/>
    <mergeCell ref="AM1020:AM1022"/>
    <mergeCell ref="AN1020:AN1022"/>
    <mergeCell ref="AO1020:AO1022"/>
    <mergeCell ref="AP1020:AP1022"/>
    <mergeCell ref="AQ1020:AQ1022"/>
    <mergeCell ref="AR1020:AR1022"/>
    <mergeCell ref="AS1020:AS1022"/>
    <mergeCell ref="A1023:A1025"/>
    <mergeCell ref="B1023:B1025"/>
    <mergeCell ref="C1023:C1025"/>
    <mergeCell ref="D1023:D1025"/>
    <mergeCell ref="AJ1023:AJ1025"/>
    <mergeCell ref="AK1023:AK1025"/>
    <mergeCell ref="AL1023:AL1025"/>
    <mergeCell ref="AM1023:AM1025"/>
    <mergeCell ref="AN1023:AN1025"/>
    <mergeCell ref="AO1023:AO1025"/>
    <mergeCell ref="AP1023:AP1025"/>
    <mergeCell ref="AQ1023:AQ1025"/>
    <mergeCell ref="AR1023:AR1025"/>
    <mergeCell ref="AS1023:AS1025"/>
    <mergeCell ref="A1026:A1028"/>
    <mergeCell ref="B1026:B1028"/>
    <mergeCell ref="C1026:C1028"/>
    <mergeCell ref="D1026:D1028"/>
    <mergeCell ref="AJ1026:AJ1028"/>
    <mergeCell ref="AK1026:AK1028"/>
    <mergeCell ref="AL1026:AL1028"/>
    <mergeCell ref="AM1026:AM1028"/>
    <mergeCell ref="AN1026:AN1028"/>
    <mergeCell ref="AO1026:AO1028"/>
    <mergeCell ref="AP1026:AP1028"/>
    <mergeCell ref="AQ1026:AQ1028"/>
    <mergeCell ref="AR1026:AR1028"/>
    <mergeCell ref="AS1026:AS1028"/>
    <mergeCell ref="A1029:A1031"/>
    <mergeCell ref="B1029:B1031"/>
    <mergeCell ref="C1029:C1031"/>
    <mergeCell ref="D1029:D1031"/>
    <mergeCell ref="AJ1029:AJ1031"/>
    <mergeCell ref="AK1029:AK1031"/>
    <mergeCell ref="AL1029:AL1031"/>
    <mergeCell ref="AM1029:AM1031"/>
    <mergeCell ref="AN1029:AN1031"/>
    <mergeCell ref="AO1029:AO1031"/>
    <mergeCell ref="AP1029:AP1031"/>
    <mergeCell ref="AQ1029:AQ1031"/>
    <mergeCell ref="AR1029:AR1031"/>
    <mergeCell ref="AS1029:AS1031"/>
    <mergeCell ref="A1032:A1034"/>
    <mergeCell ref="B1032:B1034"/>
    <mergeCell ref="C1032:C1034"/>
    <mergeCell ref="D1032:D1034"/>
    <mergeCell ref="AJ1032:AJ1034"/>
    <mergeCell ref="AK1032:AK1034"/>
    <mergeCell ref="AL1032:AL1034"/>
    <mergeCell ref="AM1032:AM1034"/>
    <mergeCell ref="AN1032:AN1034"/>
    <mergeCell ref="AO1032:AO1034"/>
    <mergeCell ref="AP1032:AP1034"/>
    <mergeCell ref="AQ1032:AQ1034"/>
    <mergeCell ref="AR1032:AR1034"/>
    <mergeCell ref="AS1032:AS1034"/>
    <mergeCell ref="A1035:A1037"/>
    <mergeCell ref="B1035:B1037"/>
    <mergeCell ref="C1035:C1037"/>
    <mergeCell ref="D1035:D1037"/>
    <mergeCell ref="AJ1035:AJ1037"/>
    <mergeCell ref="AK1035:AK1037"/>
    <mergeCell ref="AL1035:AL1037"/>
    <mergeCell ref="AM1035:AM1037"/>
    <mergeCell ref="AN1035:AN1037"/>
    <mergeCell ref="AO1035:AO1037"/>
    <mergeCell ref="AP1035:AP1037"/>
    <mergeCell ref="AQ1035:AQ1037"/>
    <mergeCell ref="AR1035:AR1037"/>
    <mergeCell ref="AS1035:AS1037"/>
    <mergeCell ref="A1038:A1040"/>
    <mergeCell ref="B1038:B1040"/>
    <mergeCell ref="C1038:C1040"/>
    <mergeCell ref="D1038:D1040"/>
    <mergeCell ref="AJ1038:AJ1040"/>
    <mergeCell ref="AK1038:AK1040"/>
    <mergeCell ref="AL1038:AL1040"/>
    <mergeCell ref="AM1038:AM1040"/>
    <mergeCell ref="AN1038:AN1040"/>
    <mergeCell ref="AO1038:AO1040"/>
    <mergeCell ref="AP1038:AP1040"/>
    <mergeCell ref="AQ1038:AQ1040"/>
    <mergeCell ref="AR1038:AR1040"/>
    <mergeCell ref="AS1038:AS1040"/>
    <mergeCell ref="A1041:A1043"/>
    <mergeCell ref="B1041:B1043"/>
    <mergeCell ref="C1041:C1043"/>
    <mergeCell ref="D1041:D1043"/>
    <mergeCell ref="AJ1041:AJ1043"/>
    <mergeCell ref="AK1041:AK1043"/>
    <mergeCell ref="AL1041:AL1043"/>
    <mergeCell ref="AM1041:AM1043"/>
    <mergeCell ref="AN1041:AN1043"/>
    <mergeCell ref="AO1041:AO1043"/>
    <mergeCell ref="AP1041:AP1043"/>
    <mergeCell ref="AQ1041:AQ1043"/>
    <mergeCell ref="AR1041:AR1043"/>
    <mergeCell ref="AS1041:AS1043"/>
    <mergeCell ref="A1044:A1046"/>
    <mergeCell ref="B1044:B1046"/>
    <mergeCell ref="C1044:C1046"/>
    <mergeCell ref="D1044:D1046"/>
    <mergeCell ref="AJ1044:AJ1046"/>
    <mergeCell ref="AK1044:AK1046"/>
    <mergeCell ref="AL1044:AL1046"/>
    <mergeCell ref="AM1044:AM1046"/>
    <mergeCell ref="AN1044:AN1046"/>
    <mergeCell ref="AO1044:AO1046"/>
    <mergeCell ref="AP1044:AP1046"/>
    <mergeCell ref="AQ1044:AQ1046"/>
    <mergeCell ref="AR1044:AR1046"/>
    <mergeCell ref="AS1044:AS1046"/>
    <mergeCell ref="A1047:A1049"/>
    <mergeCell ref="B1047:B1049"/>
    <mergeCell ref="C1047:C1049"/>
    <mergeCell ref="D1047:D1049"/>
    <mergeCell ref="AJ1047:AJ1049"/>
    <mergeCell ref="AK1047:AK1049"/>
    <mergeCell ref="AL1047:AL1049"/>
    <mergeCell ref="AM1047:AM1049"/>
    <mergeCell ref="AN1047:AN1049"/>
    <mergeCell ref="AO1047:AO1049"/>
    <mergeCell ref="AP1047:AP1049"/>
    <mergeCell ref="AQ1047:AQ1049"/>
    <mergeCell ref="AR1047:AR1049"/>
    <mergeCell ref="AS1047:AS1049"/>
    <mergeCell ref="A1050:A1052"/>
    <mergeCell ref="B1050:B1052"/>
    <mergeCell ref="C1050:C1052"/>
    <mergeCell ref="D1050:D1052"/>
    <mergeCell ref="AJ1050:AJ1052"/>
    <mergeCell ref="AK1050:AK1052"/>
    <mergeCell ref="AL1050:AL1052"/>
    <mergeCell ref="AM1050:AM1052"/>
    <mergeCell ref="AN1050:AN1052"/>
    <mergeCell ref="AO1050:AO1052"/>
    <mergeCell ref="AP1050:AP1052"/>
    <mergeCell ref="AQ1050:AQ1052"/>
    <mergeCell ref="AR1050:AR1052"/>
    <mergeCell ref="AS1050:AS1052"/>
    <mergeCell ref="A1053:A1055"/>
    <mergeCell ref="B1053:B1055"/>
    <mergeCell ref="C1053:C1055"/>
    <mergeCell ref="D1053:D1055"/>
    <mergeCell ref="AJ1053:AJ1055"/>
    <mergeCell ref="AK1053:AK1055"/>
    <mergeCell ref="AL1053:AL1055"/>
    <mergeCell ref="AM1053:AM1055"/>
    <mergeCell ref="AN1053:AN1055"/>
    <mergeCell ref="AO1053:AO1055"/>
    <mergeCell ref="AP1053:AP1055"/>
    <mergeCell ref="AQ1053:AQ1055"/>
    <mergeCell ref="AR1053:AR1055"/>
    <mergeCell ref="AS1053:AS1055"/>
    <mergeCell ref="A1056:A1058"/>
    <mergeCell ref="B1056:B1058"/>
    <mergeCell ref="C1056:C1058"/>
    <mergeCell ref="D1056:D1058"/>
    <mergeCell ref="AJ1056:AJ1058"/>
    <mergeCell ref="AK1056:AK1058"/>
    <mergeCell ref="AL1056:AL1058"/>
    <mergeCell ref="AM1056:AM1058"/>
    <mergeCell ref="AN1056:AN1058"/>
    <mergeCell ref="AO1056:AO1058"/>
    <mergeCell ref="AP1056:AP1058"/>
    <mergeCell ref="AQ1056:AQ1058"/>
    <mergeCell ref="AR1056:AR1058"/>
    <mergeCell ref="AS1056:AS1058"/>
    <mergeCell ref="A1059:A1061"/>
    <mergeCell ref="B1059:B1061"/>
    <mergeCell ref="C1059:C1061"/>
    <mergeCell ref="D1059:D1061"/>
    <mergeCell ref="AJ1059:AJ1061"/>
    <mergeCell ref="AK1059:AK1061"/>
    <mergeCell ref="AL1059:AL1061"/>
    <mergeCell ref="AM1059:AM1061"/>
    <mergeCell ref="AN1059:AN1061"/>
    <mergeCell ref="AO1059:AO1061"/>
    <mergeCell ref="AP1059:AP1061"/>
    <mergeCell ref="AQ1059:AQ1061"/>
    <mergeCell ref="AR1059:AR1061"/>
    <mergeCell ref="AS1059:AS1061"/>
    <mergeCell ref="A1062:A1064"/>
    <mergeCell ref="B1062:B1064"/>
    <mergeCell ref="C1062:C1064"/>
    <mergeCell ref="D1062:D1064"/>
    <mergeCell ref="AJ1062:AJ1064"/>
    <mergeCell ref="AK1062:AK1064"/>
    <mergeCell ref="AL1062:AL1064"/>
    <mergeCell ref="AM1062:AM1064"/>
    <mergeCell ref="AN1062:AN1064"/>
    <mergeCell ref="AO1062:AO1064"/>
    <mergeCell ref="AP1062:AP1064"/>
    <mergeCell ref="AQ1062:AQ1064"/>
    <mergeCell ref="AR1062:AR1064"/>
    <mergeCell ref="AS1062:AS1064"/>
    <mergeCell ref="A1065:A1067"/>
    <mergeCell ref="B1065:B1067"/>
    <mergeCell ref="C1065:C1067"/>
    <mergeCell ref="D1065:D1067"/>
    <mergeCell ref="AJ1065:AJ1067"/>
    <mergeCell ref="AK1065:AK1067"/>
    <mergeCell ref="AL1065:AL1067"/>
    <mergeCell ref="AM1065:AM1067"/>
    <mergeCell ref="AN1065:AN1067"/>
    <mergeCell ref="AO1065:AO1067"/>
    <mergeCell ref="AP1065:AP1067"/>
    <mergeCell ref="AQ1065:AQ1067"/>
    <mergeCell ref="AR1065:AR1067"/>
    <mergeCell ref="AS1065:AS1067"/>
    <mergeCell ref="A1068:A1070"/>
    <mergeCell ref="B1068:B1070"/>
    <mergeCell ref="C1068:C1070"/>
    <mergeCell ref="D1068:D1070"/>
    <mergeCell ref="AJ1068:AJ1070"/>
    <mergeCell ref="AK1068:AK1070"/>
    <mergeCell ref="AL1068:AL1070"/>
    <mergeCell ref="AM1068:AM1070"/>
    <mergeCell ref="AN1068:AN1070"/>
    <mergeCell ref="AO1068:AO1070"/>
    <mergeCell ref="AP1068:AP1070"/>
    <mergeCell ref="AQ1068:AQ1070"/>
    <mergeCell ref="AR1068:AR1070"/>
    <mergeCell ref="AS1068:AS1070"/>
    <mergeCell ref="A1071:A1073"/>
    <mergeCell ref="B1071:B1073"/>
    <mergeCell ref="C1071:C1073"/>
    <mergeCell ref="D1071:D1073"/>
    <mergeCell ref="AJ1071:AJ1073"/>
    <mergeCell ref="AK1071:AK1073"/>
    <mergeCell ref="AL1071:AL1073"/>
    <mergeCell ref="AM1071:AM1073"/>
    <mergeCell ref="AN1071:AN1073"/>
    <mergeCell ref="AO1071:AO1073"/>
    <mergeCell ref="AP1071:AP1073"/>
    <mergeCell ref="AQ1071:AQ1073"/>
    <mergeCell ref="AR1071:AR1073"/>
    <mergeCell ref="AS1071:AS1073"/>
    <mergeCell ref="A1074:A1076"/>
    <mergeCell ref="B1074:B1076"/>
    <mergeCell ref="C1074:C1076"/>
    <mergeCell ref="D1074:D1076"/>
    <mergeCell ref="AJ1074:AJ1076"/>
    <mergeCell ref="AK1074:AK1076"/>
    <mergeCell ref="AL1074:AL1076"/>
    <mergeCell ref="AM1074:AM1076"/>
    <mergeCell ref="AN1074:AN1076"/>
    <mergeCell ref="AO1074:AO1076"/>
    <mergeCell ref="AP1074:AP1076"/>
    <mergeCell ref="AQ1074:AQ1076"/>
    <mergeCell ref="AR1074:AR1076"/>
    <mergeCell ref="AS1074:AS1076"/>
    <mergeCell ref="A1077:A1079"/>
    <mergeCell ref="B1077:B1079"/>
    <mergeCell ref="C1077:C1079"/>
    <mergeCell ref="D1077:D1079"/>
    <mergeCell ref="AJ1077:AJ1079"/>
    <mergeCell ref="AK1077:AK1079"/>
    <mergeCell ref="AL1077:AL1079"/>
    <mergeCell ref="AM1077:AM1079"/>
    <mergeCell ref="AN1077:AN1079"/>
    <mergeCell ref="AO1077:AO1079"/>
    <mergeCell ref="AP1077:AP1079"/>
    <mergeCell ref="AQ1077:AQ1079"/>
    <mergeCell ref="AR1077:AR1079"/>
    <mergeCell ref="AS1077:AS1079"/>
    <mergeCell ref="A1080:A1082"/>
    <mergeCell ref="B1080:B1082"/>
    <mergeCell ref="C1080:C1082"/>
    <mergeCell ref="D1080:D1082"/>
    <mergeCell ref="AJ1080:AJ1082"/>
    <mergeCell ref="AK1080:AK1082"/>
    <mergeCell ref="AL1080:AL1082"/>
    <mergeCell ref="AM1080:AM1082"/>
    <mergeCell ref="AN1080:AN1082"/>
    <mergeCell ref="AO1080:AO1082"/>
    <mergeCell ref="AP1080:AP1082"/>
    <mergeCell ref="AQ1080:AQ1082"/>
    <mergeCell ref="AR1080:AR1082"/>
    <mergeCell ref="AS1080:AS1082"/>
    <mergeCell ref="A1083:A1085"/>
    <mergeCell ref="B1083:B1085"/>
    <mergeCell ref="C1083:C1085"/>
    <mergeCell ref="D1083:D1085"/>
    <mergeCell ref="AJ1083:AJ1085"/>
    <mergeCell ref="AK1083:AK1085"/>
    <mergeCell ref="AL1083:AL1085"/>
    <mergeCell ref="AM1083:AM1085"/>
    <mergeCell ref="AN1083:AN1085"/>
    <mergeCell ref="AO1083:AO1085"/>
    <mergeCell ref="AP1083:AP1085"/>
    <mergeCell ref="AQ1083:AQ1085"/>
    <mergeCell ref="AR1083:AR1085"/>
    <mergeCell ref="AS1083:AS1085"/>
    <mergeCell ref="A1086:A1088"/>
    <mergeCell ref="B1086:B1088"/>
    <mergeCell ref="C1086:C1088"/>
    <mergeCell ref="D1086:D1088"/>
    <mergeCell ref="AJ1086:AJ1088"/>
    <mergeCell ref="AK1086:AK1088"/>
    <mergeCell ref="AL1086:AL1088"/>
    <mergeCell ref="AM1086:AM1088"/>
    <mergeCell ref="AN1086:AN1088"/>
    <mergeCell ref="AO1086:AO1088"/>
    <mergeCell ref="AP1086:AP1088"/>
    <mergeCell ref="AQ1086:AQ1088"/>
    <mergeCell ref="AR1086:AR1088"/>
    <mergeCell ref="AS1086:AS1088"/>
    <mergeCell ref="A1089:A1091"/>
    <mergeCell ref="B1089:B1091"/>
    <mergeCell ref="C1089:C1091"/>
    <mergeCell ref="D1089:D1091"/>
    <mergeCell ref="AJ1089:AJ1091"/>
    <mergeCell ref="AK1089:AK1091"/>
    <mergeCell ref="AL1089:AL1091"/>
    <mergeCell ref="AM1089:AM1091"/>
    <mergeCell ref="AN1089:AN1091"/>
    <mergeCell ref="AO1089:AO1091"/>
    <mergeCell ref="AP1089:AP1091"/>
    <mergeCell ref="AQ1089:AQ1091"/>
    <mergeCell ref="AR1089:AR1091"/>
    <mergeCell ref="AS1089:AS1091"/>
    <mergeCell ref="A1092:A1094"/>
    <mergeCell ref="B1092:B1094"/>
    <mergeCell ref="C1092:C1094"/>
    <mergeCell ref="D1092:D1094"/>
    <mergeCell ref="AJ1092:AJ1094"/>
    <mergeCell ref="AK1092:AK1094"/>
    <mergeCell ref="AL1092:AL1094"/>
    <mergeCell ref="AM1092:AM1094"/>
    <mergeCell ref="AN1092:AN1094"/>
    <mergeCell ref="AO1092:AO1094"/>
    <mergeCell ref="AP1092:AP1094"/>
    <mergeCell ref="AQ1092:AQ1094"/>
    <mergeCell ref="AR1092:AR1094"/>
    <mergeCell ref="AS1092:AS1094"/>
    <mergeCell ref="A1095:A1097"/>
    <mergeCell ref="B1095:B1097"/>
    <mergeCell ref="C1095:C1097"/>
    <mergeCell ref="D1095:D1097"/>
    <mergeCell ref="AJ1095:AJ1097"/>
    <mergeCell ref="AK1095:AK1097"/>
    <mergeCell ref="AL1095:AL1097"/>
    <mergeCell ref="AM1095:AM1097"/>
    <mergeCell ref="AN1095:AN1097"/>
    <mergeCell ref="AO1095:AO1097"/>
    <mergeCell ref="AP1095:AP1097"/>
    <mergeCell ref="AQ1095:AQ1097"/>
    <mergeCell ref="AR1095:AR1097"/>
    <mergeCell ref="AS1095:AS1097"/>
    <mergeCell ref="A1098:A1100"/>
    <mergeCell ref="B1098:B1100"/>
    <mergeCell ref="C1098:C1100"/>
    <mergeCell ref="D1098:D1100"/>
    <mergeCell ref="AJ1098:AJ1100"/>
    <mergeCell ref="AK1098:AK1100"/>
    <mergeCell ref="AL1098:AL1100"/>
    <mergeCell ref="AM1098:AM1100"/>
    <mergeCell ref="AN1098:AN1100"/>
    <mergeCell ref="AO1098:AO1100"/>
    <mergeCell ref="AP1098:AP1100"/>
    <mergeCell ref="AQ1098:AQ1100"/>
    <mergeCell ref="AR1098:AR1100"/>
    <mergeCell ref="AS1098:AS1100"/>
    <mergeCell ref="A1101:A1103"/>
    <mergeCell ref="B1101:B1103"/>
    <mergeCell ref="C1101:C1103"/>
    <mergeCell ref="D1101:D1103"/>
    <mergeCell ref="AJ1101:AJ1103"/>
    <mergeCell ref="AK1101:AK1103"/>
    <mergeCell ref="AL1101:AL1103"/>
    <mergeCell ref="AM1101:AM1103"/>
    <mergeCell ref="AN1101:AN1103"/>
    <mergeCell ref="AO1101:AO1103"/>
    <mergeCell ref="AP1101:AP1103"/>
    <mergeCell ref="AQ1101:AQ1103"/>
    <mergeCell ref="AR1101:AR1103"/>
    <mergeCell ref="AS1101:AS1103"/>
    <mergeCell ref="A1104:A1106"/>
    <mergeCell ref="B1104:B1106"/>
    <mergeCell ref="C1104:C1106"/>
    <mergeCell ref="D1104:D1106"/>
    <mergeCell ref="AJ1104:AJ1106"/>
    <mergeCell ref="AK1104:AK1106"/>
    <mergeCell ref="AL1104:AL1106"/>
    <mergeCell ref="AM1104:AM1106"/>
    <mergeCell ref="AN1104:AN1106"/>
    <mergeCell ref="AO1104:AO1106"/>
    <mergeCell ref="AP1104:AP1106"/>
    <mergeCell ref="AQ1104:AQ1106"/>
    <mergeCell ref="AR1104:AR1106"/>
    <mergeCell ref="AS1104:AS1106"/>
    <mergeCell ref="A1107:A1109"/>
    <mergeCell ref="B1107:B1109"/>
    <mergeCell ref="C1107:C1109"/>
    <mergeCell ref="D1107:D1109"/>
    <mergeCell ref="AJ1107:AJ1109"/>
    <mergeCell ref="AK1107:AK1109"/>
    <mergeCell ref="AL1107:AL1109"/>
    <mergeCell ref="AM1107:AM1109"/>
    <mergeCell ref="AN1107:AN1109"/>
    <mergeCell ref="AO1107:AO1109"/>
    <mergeCell ref="AP1107:AP1109"/>
    <mergeCell ref="AQ1107:AQ1109"/>
    <mergeCell ref="AR1107:AR1109"/>
    <mergeCell ref="AS1107:AS1109"/>
    <mergeCell ref="A1110:A1112"/>
    <mergeCell ref="B1110:B1112"/>
    <mergeCell ref="C1110:C1112"/>
    <mergeCell ref="D1110:D1112"/>
    <mergeCell ref="AJ1110:AJ1112"/>
    <mergeCell ref="AK1110:AK1112"/>
    <mergeCell ref="AL1110:AL1112"/>
    <mergeCell ref="AM1110:AM1112"/>
    <mergeCell ref="AN1110:AN1112"/>
    <mergeCell ref="AO1110:AO1112"/>
    <mergeCell ref="AP1110:AP1112"/>
    <mergeCell ref="AQ1110:AQ1112"/>
    <mergeCell ref="AR1110:AR1112"/>
    <mergeCell ref="AS1110:AS1112"/>
    <mergeCell ref="A1113:A1115"/>
    <mergeCell ref="B1113:B1115"/>
    <mergeCell ref="C1113:C1115"/>
    <mergeCell ref="D1113:D1115"/>
    <mergeCell ref="AJ1113:AJ1115"/>
    <mergeCell ref="AK1113:AK1115"/>
    <mergeCell ref="AL1113:AL1115"/>
    <mergeCell ref="AM1113:AM1115"/>
    <mergeCell ref="AN1113:AN1115"/>
    <mergeCell ref="AO1113:AO1115"/>
    <mergeCell ref="AP1113:AP1115"/>
    <mergeCell ref="AQ1113:AQ1115"/>
    <mergeCell ref="AR1113:AR1115"/>
    <mergeCell ref="AS1113:AS1115"/>
    <mergeCell ref="A1116:A1118"/>
    <mergeCell ref="B1116:B1118"/>
    <mergeCell ref="C1116:C1118"/>
    <mergeCell ref="D1116:D1118"/>
    <mergeCell ref="AJ1116:AJ1118"/>
    <mergeCell ref="AK1116:AK1118"/>
    <mergeCell ref="AL1116:AL1118"/>
    <mergeCell ref="AM1116:AM1118"/>
    <mergeCell ref="AN1116:AN1118"/>
    <mergeCell ref="AO1116:AO1118"/>
    <mergeCell ref="AP1116:AP1118"/>
    <mergeCell ref="AQ1116:AQ1118"/>
    <mergeCell ref="AR1116:AR1118"/>
    <mergeCell ref="AS1116:AS1118"/>
    <mergeCell ref="A1119:A1121"/>
    <mergeCell ref="B1119:B1121"/>
    <mergeCell ref="C1119:C1121"/>
    <mergeCell ref="D1119:D1121"/>
    <mergeCell ref="AJ1119:AJ1121"/>
    <mergeCell ref="AK1119:AK1121"/>
    <mergeCell ref="AL1119:AL1121"/>
    <mergeCell ref="AM1119:AM1121"/>
    <mergeCell ref="AN1119:AN1121"/>
    <mergeCell ref="AO1119:AO1121"/>
    <mergeCell ref="AP1119:AP1121"/>
    <mergeCell ref="AQ1119:AQ1121"/>
    <mergeCell ref="AR1119:AR1121"/>
    <mergeCell ref="AS1119:AS1121"/>
    <mergeCell ref="A1122:A1124"/>
    <mergeCell ref="B1122:B1124"/>
    <mergeCell ref="C1122:C1124"/>
    <mergeCell ref="D1122:D1124"/>
    <mergeCell ref="AJ1122:AJ1124"/>
    <mergeCell ref="AK1122:AK1124"/>
    <mergeCell ref="AL1122:AL1124"/>
    <mergeCell ref="AM1122:AM1124"/>
    <mergeCell ref="AN1122:AN1124"/>
    <mergeCell ref="AO1122:AO1124"/>
    <mergeCell ref="AP1122:AP1124"/>
    <mergeCell ref="AQ1122:AQ1124"/>
    <mergeCell ref="AR1122:AR1124"/>
    <mergeCell ref="AS1122:AS1124"/>
    <mergeCell ref="A1125:A1127"/>
    <mergeCell ref="B1125:B1127"/>
    <mergeCell ref="C1125:C1127"/>
    <mergeCell ref="D1125:D1127"/>
    <mergeCell ref="AJ1125:AJ1127"/>
    <mergeCell ref="AK1125:AK1127"/>
    <mergeCell ref="AL1125:AL1127"/>
    <mergeCell ref="AM1125:AM1127"/>
    <mergeCell ref="AN1125:AN1127"/>
    <mergeCell ref="AO1125:AO1127"/>
    <mergeCell ref="AP1125:AP1127"/>
    <mergeCell ref="AQ1125:AQ1127"/>
    <mergeCell ref="AR1125:AR1127"/>
    <mergeCell ref="AS1125:AS1127"/>
    <mergeCell ref="A1128:A1130"/>
    <mergeCell ref="B1128:B1130"/>
    <mergeCell ref="C1128:C1130"/>
    <mergeCell ref="D1128:D1130"/>
    <mergeCell ref="AJ1128:AJ1130"/>
    <mergeCell ref="AK1128:AK1130"/>
    <mergeCell ref="AL1128:AL1130"/>
    <mergeCell ref="AM1128:AM1130"/>
    <mergeCell ref="AN1128:AN1130"/>
    <mergeCell ref="AO1128:AO1130"/>
    <mergeCell ref="AP1128:AP1130"/>
    <mergeCell ref="AQ1128:AQ1130"/>
    <mergeCell ref="AR1128:AR1130"/>
    <mergeCell ref="AS1128:AS1130"/>
    <mergeCell ref="A1131:A1133"/>
    <mergeCell ref="B1131:B1133"/>
    <mergeCell ref="C1131:C1133"/>
    <mergeCell ref="D1131:D1133"/>
    <mergeCell ref="AJ1131:AJ1133"/>
    <mergeCell ref="AK1131:AK1133"/>
    <mergeCell ref="AL1131:AL1133"/>
    <mergeCell ref="AM1131:AM1133"/>
    <mergeCell ref="AN1131:AN1133"/>
    <mergeCell ref="AO1131:AO1133"/>
    <mergeCell ref="AP1131:AP1133"/>
    <mergeCell ref="AQ1131:AQ1133"/>
    <mergeCell ref="AR1131:AR1133"/>
    <mergeCell ref="AS1131:AS1133"/>
    <mergeCell ref="A1134:A1136"/>
    <mergeCell ref="B1134:B1136"/>
    <mergeCell ref="C1134:C1136"/>
    <mergeCell ref="D1134:D1136"/>
    <mergeCell ref="AJ1134:AJ1136"/>
    <mergeCell ref="AK1134:AK1136"/>
    <mergeCell ref="AL1134:AL1136"/>
    <mergeCell ref="AM1134:AM1136"/>
    <mergeCell ref="AN1134:AN1136"/>
    <mergeCell ref="AO1134:AO1136"/>
    <mergeCell ref="AP1134:AP1136"/>
    <mergeCell ref="AQ1134:AQ1136"/>
    <mergeCell ref="AR1134:AR1136"/>
    <mergeCell ref="AS1134:AS1136"/>
    <mergeCell ref="A1137:A1139"/>
    <mergeCell ref="B1137:B1139"/>
    <mergeCell ref="C1137:C1139"/>
    <mergeCell ref="D1137:D1139"/>
    <mergeCell ref="AJ1137:AJ1139"/>
    <mergeCell ref="AK1137:AK1139"/>
    <mergeCell ref="AL1137:AL1139"/>
    <mergeCell ref="AM1137:AM1139"/>
    <mergeCell ref="AN1137:AN1139"/>
    <mergeCell ref="AO1137:AO1139"/>
    <mergeCell ref="AP1137:AP1139"/>
    <mergeCell ref="AQ1137:AQ1139"/>
    <mergeCell ref="AR1137:AR1139"/>
    <mergeCell ref="AS1137:AS1139"/>
    <mergeCell ref="A1140:A1142"/>
    <mergeCell ref="B1140:B1142"/>
    <mergeCell ref="C1140:C1142"/>
    <mergeCell ref="D1140:D1142"/>
    <mergeCell ref="AJ1140:AJ1142"/>
    <mergeCell ref="AK1140:AK1142"/>
    <mergeCell ref="AL1140:AL1142"/>
    <mergeCell ref="AM1140:AM1142"/>
    <mergeCell ref="AN1140:AN1142"/>
    <mergeCell ref="AO1140:AO1142"/>
    <mergeCell ref="AP1140:AP1142"/>
    <mergeCell ref="AQ1140:AQ1142"/>
    <mergeCell ref="AR1140:AR1142"/>
    <mergeCell ref="AS1140:AS1142"/>
    <mergeCell ref="A1143:A1145"/>
    <mergeCell ref="B1143:B1145"/>
    <mergeCell ref="C1143:C1145"/>
    <mergeCell ref="D1143:D1145"/>
    <mergeCell ref="AJ1143:AJ1145"/>
    <mergeCell ref="AK1143:AK1145"/>
    <mergeCell ref="AL1143:AL1145"/>
    <mergeCell ref="AM1143:AM1145"/>
    <mergeCell ref="AN1143:AN1145"/>
    <mergeCell ref="AO1143:AO1145"/>
    <mergeCell ref="AP1143:AP1145"/>
    <mergeCell ref="AQ1143:AQ1145"/>
    <mergeCell ref="AR1143:AR1145"/>
    <mergeCell ref="AS1143:AS1145"/>
    <mergeCell ref="A1146:A1148"/>
    <mergeCell ref="B1146:B1148"/>
    <mergeCell ref="C1146:C1148"/>
    <mergeCell ref="D1146:D1148"/>
    <mergeCell ref="AJ1146:AJ1148"/>
    <mergeCell ref="AK1146:AK1148"/>
    <mergeCell ref="AL1146:AL1148"/>
    <mergeCell ref="AM1146:AM1148"/>
    <mergeCell ref="AN1146:AN1148"/>
    <mergeCell ref="AO1146:AO1148"/>
    <mergeCell ref="AP1146:AP1148"/>
    <mergeCell ref="AQ1146:AQ1148"/>
    <mergeCell ref="AR1146:AR1148"/>
    <mergeCell ref="AS1146:AS1148"/>
    <mergeCell ref="A1149:A1151"/>
    <mergeCell ref="B1149:B1151"/>
    <mergeCell ref="C1149:C1151"/>
    <mergeCell ref="D1149:D1151"/>
    <mergeCell ref="AJ1149:AJ1151"/>
    <mergeCell ref="AK1149:AK1151"/>
    <mergeCell ref="AL1149:AL1151"/>
    <mergeCell ref="AM1149:AM1151"/>
    <mergeCell ref="AN1149:AN1151"/>
    <mergeCell ref="AO1149:AO1151"/>
    <mergeCell ref="AP1149:AP1151"/>
    <mergeCell ref="AQ1149:AQ1151"/>
    <mergeCell ref="AR1149:AR1151"/>
    <mergeCell ref="AS1149:AS1151"/>
    <mergeCell ref="A1152:A1154"/>
    <mergeCell ref="B1152:B1154"/>
    <mergeCell ref="C1152:C1154"/>
    <mergeCell ref="D1152:D1154"/>
    <mergeCell ref="AJ1152:AJ1154"/>
    <mergeCell ref="AK1152:AK1154"/>
    <mergeCell ref="AL1152:AL1154"/>
    <mergeCell ref="AM1152:AM1154"/>
    <mergeCell ref="AN1152:AN1154"/>
    <mergeCell ref="AO1152:AO1154"/>
    <mergeCell ref="AP1152:AP1154"/>
    <mergeCell ref="AQ1152:AQ1154"/>
    <mergeCell ref="AR1152:AR1154"/>
    <mergeCell ref="AS1152:AS1154"/>
    <mergeCell ref="A1155:A1157"/>
    <mergeCell ref="B1155:B1157"/>
    <mergeCell ref="C1155:C1157"/>
    <mergeCell ref="D1155:D1157"/>
    <mergeCell ref="AJ1155:AJ1157"/>
    <mergeCell ref="AK1155:AK1157"/>
    <mergeCell ref="AL1155:AL1157"/>
    <mergeCell ref="AM1155:AM1157"/>
    <mergeCell ref="AN1155:AN1157"/>
    <mergeCell ref="AO1155:AO1157"/>
    <mergeCell ref="AP1155:AP1157"/>
    <mergeCell ref="AQ1155:AQ1157"/>
    <mergeCell ref="AR1155:AR1157"/>
    <mergeCell ref="AS1155:AS1157"/>
    <mergeCell ref="A1158:A1160"/>
    <mergeCell ref="B1158:B1160"/>
    <mergeCell ref="C1158:C1160"/>
    <mergeCell ref="D1158:D1160"/>
    <mergeCell ref="AJ1158:AJ1160"/>
    <mergeCell ref="AK1158:AK1160"/>
    <mergeCell ref="AL1158:AL1160"/>
    <mergeCell ref="AM1158:AM1160"/>
    <mergeCell ref="AN1158:AN1160"/>
    <mergeCell ref="AO1158:AO1160"/>
    <mergeCell ref="AP1158:AP1160"/>
    <mergeCell ref="AQ1158:AQ1160"/>
    <mergeCell ref="AR1158:AR1160"/>
    <mergeCell ref="AS1158:AS1160"/>
    <mergeCell ref="A1161:A1163"/>
    <mergeCell ref="B1161:B1163"/>
    <mergeCell ref="C1161:C1163"/>
    <mergeCell ref="D1161:D1163"/>
    <mergeCell ref="AJ1161:AJ1163"/>
    <mergeCell ref="AK1161:AK1163"/>
    <mergeCell ref="AL1161:AL1163"/>
    <mergeCell ref="AM1161:AM1163"/>
    <mergeCell ref="AN1161:AN1163"/>
    <mergeCell ref="AO1161:AO1163"/>
    <mergeCell ref="AP1161:AP1163"/>
    <mergeCell ref="AQ1161:AQ1163"/>
    <mergeCell ref="AR1161:AR1163"/>
    <mergeCell ref="AS1161:AS1163"/>
    <mergeCell ref="A1164:A1166"/>
    <mergeCell ref="B1164:B1166"/>
    <mergeCell ref="C1164:C1166"/>
    <mergeCell ref="D1164:D1166"/>
    <mergeCell ref="AJ1164:AJ1166"/>
    <mergeCell ref="AK1164:AK1166"/>
    <mergeCell ref="AL1164:AL1166"/>
    <mergeCell ref="AM1164:AM1166"/>
    <mergeCell ref="AN1164:AN1166"/>
    <mergeCell ref="AO1164:AO1166"/>
    <mergeCell ref="AP1164:AP1166"/>
    <mergeCell ref="AQ1164:AQ1166"/>
    <mergeCell ref="AR1164:AR1166"/>
    <mergeCell ref="AS1164:AS1166"/>
    <mergeCell ref="A1167:A1169"/>
    <mergeCell ref="B1167:B1169"/>
    <mergeCell ref="C1167:C1169"/>
    <mergeCell ref="D1167:D1169"/>
    <mergeCell ref="AJ1167:AJ1169"/>
    <mergeCell ref="AK1167:AK1169"/>
    <mergeCell ref="AL1167:AL1169"/>
    <mergeCell ref="AM1167:AM1169"/>
    <mergeCell ref="AN1167:AN1169"/>
    <mergeCell ref="AO1167:AO1169"/>
    <mergeCell ref="AP1167:AP1169"/>
    <mergeCell ref="AQ1167:AQ1169"/>
    <mergeCell ref="AR1167:AR1169"/>
    <mergeCell ref="AS1167:AS1169"/>
    <mergeCell ref="A1170:A1172"/>
    <mergeCell ref="B1170:B1172"/>
    <mergeCell ref="C1170:C1172"/>
    <mergeCell ref="D1170:D1172"/>
    <mergeCell ref="AJ1170:AJ1172"/>
    <mergeCell ref="AK1170:AK1172"/>
    <mergeCell ref="AL1170:AL1172"/>
    <mergeCell ref="AM1170:AM1172"/>
    <mergeCell ref="AN1170:AN1172"/>
    <mergeCell ref="AO1170:AO1172"/>
    <mergeCell ref="AP1170:AP1172"/>
    <mergeCell ref="AQ1170:AQ1172"/>
    <mergeCell ref="AR1170:AR1172"/>
    <mergeCell ref="AS1170:AS1172"/>
    <mergeCell ref="A1173:A1175"/>
    <mergeCell ref="B1173:B1175"/>
    <mergeCell ref="C1173:C1175"/>
    <mergeCell ref="D1173:D1175"/>
    <mergeCell ref="AJ1173:AJ1175"/>
    <mergeCell ref="AK1173:AK1175"/>
    <mergeCell ref="AL1173:AL1175"/>
    <mergeCell ref="AM1173:AM1175"/>
    <mergeCell ref="AN1173:AN1175"/>
    <mergeCell ref="AO1173:AO1175"/>
    <mergeCell ref="AP1173:AP1175"/>
    <mergeCell ref="AQ1173:AQ1175"/>
    <mergeCell ref="AR1173:AR1175"/>
    <mergeCell ref="AS1173:AS1175"/>
    <mergeCell ref="A1176:A1178"/>
    <mergeCell ref="B1176:B1178"/>
    <mergeCell ref="C1176:C1178"/>
    <mergeCell ref="D1176:D1178"/>
    <mergeCell ref="AJ1176:AJ1178"/>
    <mergeCell ref="AK1176:AK1178"/>
    <mergeCell ref="AL1176:AL1178"/>
    <mergeCell ref="AM1176:AM1178"/>
    <mergeCell ref="AN1176:AN1178"/>
    <mergeCell ref="AO1176:AO1178"/>
    <mergeCell ref="AP1176:AP1178"/>
    <mergeCell ref="AQ1176:AQ1178"/>
    <mergeCell ref="AR1176:AR1178"/>
    <mergeCell ref="AS1176:AS1178"/>
    <mergeCell ref="A1179:A1181"/>
    <mergeCell ref="B1179:B1181"/>
    <mergeCell ref="C1179:C1181"/>
    <mergeCell ref="D1179:D1181"/>
    <mergeCell ref="AJ1179:AJ1181"/>
    <mergeCell ref="AK1179:AK1181"/>
    <mergeCell ref="AL1179:AL1181"/>
    <mergeCell ref="AM1179:AM1181"/>
    <mergeCell ref="AN1179:AN1181"/>
    <mergeCell ref="AO1179:AO1181"/>
    <mergeCell ref="AP1179:AP1181"/>
    <mergeCell ref="AQ1179:AQ1181"/>
    <mergeCell ref="AR1179:AR1181"/>
    <mergeCell ref="AS1179:AS1181"/>
    <mergeCell ref="A1182:A1184"/>
    <mergeCell ref="B1182:B1184"/>
    <mergeCell ref="C1182:C1184"/>
    <mergeCell ref="D1182:D1184"/>
    <mergeCell ref="AJ1182:AJ1184"/>
    <mergeCell ref="AK1182:AK1184"/>
    <mergeCell ref="AL1182:AL1184"/>
    <mergeCell ref="AM1182:AM1184"/>
    <mergeCell ref="AN1182:AN1184"/>
    <mergeCell ref="AO1182:AO1184"/>
    <mergeCell ref="AP1182:AP1184"/>
    <mergeCell ref="AQ1182:AQ1184"/>
    <mergeCell ref="AR1182:AR1184"/>
    <mergeCell ref="AS1182:AS1184"/>
    <mergeCell ref="A1185:A1187"/>
    <mergeCell ref="B1185:B1187"/>
    <mergeCell ref="C1185:C1187"/>
    <mergeCell ref="D1185:D1187"/>
    <mergeCell ref="AJ1185:AJ1187"/>
    <mergeCell ref="AK1185:AK1187"/>
    <mergeCell ref="AL1185:AL1187"/>
    <mergeCell ref="AM1185:AM1187"/>
    <mergeCell ref="AN1185:AN1187"/>
    <mergeCell ref="AO1185:AO1187"/>
    <mergeCell ref="AP1185:AP1187"/>
    <mergeCell ref="AQ1185:AQ1187"/>
    <mergeCell ref="AR1185:AR1187"/>
    <mergeCell ref="AS1185:AS1187"/>
    <mergeCell ref="A1188:A1190"/>
    <mergeCell ref="B1188:B1190"/>
    <mergeCell ref="C1188:C1190"/>
    <mergeCell ref="D1188:D1190"/>
    <mergeCell ref="AJ1188:AJ1190"/>
    <mergeCell ref="AK1188:AK1190"/>
    <mergeCell ref="AL1188:AL1190"/>
    <mergeCell ref="AM1188:AM1190"/>
    <mergeCell ref="AN1188:AN1190"/>
    <mergeCell ref="AO1188:AO1190"/>
    <mergeCell ref="AP1188:AP1190"/>
    <mergeCell ref="AQ1188:AQ1190"/>
    <mergeCell ref="AR1188:AR1190"/>
    <mergeCell ref="AS1188:AS1190"/>
    <mergeCell ref="A1191:A1193"/>
    <mergeCell ref="B1191:B1193"/>
    <mergeCell ref="C1191:C1193"/>
    <mergeCell ref="D1191:D1193"/>
    <mergeCell ref="AJ1191:AJ1193"/>
    <mergeCell ref="AK1191:AK1193"/>
    <mergeCell ref="AL1191:AL1193"/>
    <mergeCell ref="AM1191:AM1193"/>
    <mergeCell ref="AN1191:AN1193"/>
    <mergeCell ref="AO1191:AO1193"/>
    <mergeCell ref="AP1191:AP1193"/>
    <mergeCell ref="AQ1191:AQ1193"/>
    <mergeCell ref="AR1191:AR1193"/>
    <mergeCell ref="AS1191:AS1193"/>
    <mergeCell ref="A1194:A1196"/>
    <mergeCell ref="B1194:B1196"/>
    <mergeCell ref="C1194:C1196"/>
    <mergeCell ref="D1194:D1196"/>
    <mergeCell ref="AJ1194:AJ1196"/>
    <mergeCell ref="AK1194:AK1196"/>
    <mergeCell ref="AL1194:AL1196"/>
    <mergeCell ref="AM1194:AM1196"/>
    <mergeCell ref="AN1194:AN1196"/>
    <mergeCell ref="AO1194:AO1196"/>
    <mergeCell ref="AP1194:AP1196"/>
    <mergeCell ref="AQ1194:AQ1196"/>
    <mergeCell ref="AR1194:AR1196"/>
    <mergeCell ref="AS1194:AS1196"/>
    <mergeCell ref="A1197:A1199"/>
    <mergeCell ref="B1197:B1199"/>
    <mergeCell ref="C1197:C1199"/>
    <mergeCell ref="D1197:D1199"/>
    <mergeCell ref="AJ1197:AJ1199"/>
    <mergeCell ref="AK1197:AK1199"/>
    <mergeCell ref="AL1197:AL1199"/>
    <mergeCell ref="AM1197:AM1199"/>
    <mergeCell ref="AN1197:AN1199"/>
    <mergeCell ref="AO1197:AO1199"/>
    <mergeCell ref="AP1197:AP1199"/>
    <mergeCell ref="AQ1197:AQ1199"/>
    <mergeCell ref="AR1197:AR1199"/>
    <mergeCell ref="AS1197:AS1199"/>
    <mergeCell ref="A1200:A1202"/>
    <mergeCell ref="B1200:B1202"/>
    <mergeCell ref="C1200:C1202"/>
    <mergeCell ref="D1200:D1202"/>
    <mergeCell ref="AJ1200:AJ1202"/>
    <mergeCell ref="AK1200:AK1202"/>
    <mergeCell ref="AL1200:AL1202"/>
    <mergeCell ref="AM1200:AM1202"/>
    <mergeCell ref="AN1200:AN1202"/>
    <mergeCell ref="AO1200:AO1202"/>
    <mergeCell ref="AP1200:AP1202"/>
    <mergeCell ref="AQ1200:AQ1202"/>
    <mergeCell ref="AR1200:AR1202"/>
    <mergeCell ref="AS1200:AS1202"/>
    <mergeCell ref="A1203:A1205"/>
    <mergeCell ref="B1203:B1205"/>
    <mergeCell ref="C1203:C1205"/>
    <mergeCell ref="D1203:D1205"/>
    <mergeCell ref="AJ1203:AJ1205"/>
    <mergeCell ref="AK1203:AK1205"/>
    <mergeCell ref="AL1203:AL1205"/>
    <mergeCell ref="AM1203:AM1205"/>
    <mergeCell ref="AN1203:AN1205"/>
    <mergeCell ref="AO1203:AO1205"/>
    <mergeCell ref="AP1203:AP1205"/>
    <mergeCell ref="AQ1203:AQ1205"/>
    <mergeCell ref="AR1203:AR1205"/>
    <mergeCell ref="AS1203:AS1205"/>
    <mergeCell ref="A1206:A1208"/>
    <mergeCell ref="B1206:B1208"/>
    <mergeCell ref="C1206:C1208"/>
    <mergeCell ref="D1206:D1208"/>
    <mergeCell ref="AJ1206:AJ1208"/>
    <mergeCell ref="AK1206:AK1208"/>
    <mergeCell ref="AL1206:AL1208"/>
    <mergeCell ref="AM1206:AM1208"/>
    <mergeCell ref="AN1206:AN1208"/>
    <mergeCell ref="AO1206:AO1208"/>
    <mergeCell ref="AP1206:AP1208"/>
    <mergeCell ref="AQ1206:AQ1208"/>
    <mergeCell ref="AR1206:AR1208"/>
    <mergeCell ref="AS1206:AS1208"/>
    <mergeCell ref="A1209:A1211"/>
    <mergeCell ref="B1209:B1211"/>
    <mergeCell ref="C1209:C1211"/>
    <mergeCell ref="D1209:D1211"/>
    <mergeCell ref="AJ1209:AJ1211"/>
    <mergeCell ref="AK1209:AK1211"/>
    <mergeCell ref="AL1209:AL1211"/>
    <mergeCell ref="AM1209:AM1211"/>
    <mergeCell ref="AN1209:AN1211"/>
    <mergeCell ref="AO1209:AO1211"/>
    <mergeCell ref="AP1209:AP1211"/>
    <mergeCell ref="AQ1209:AQ1211"/>
    <mergeCell ref="AR1209:AR1211"/>
    <mergeCell ref="AS1209:AS1211"/>
    <mergeCell ref="A1212:A1214"/>
    <mergeCell ref="B1212:B1214"/>
    <mergeCell ref="C1212:C1214"/>
    <mergeCell ref="D1212:D1214"/>
    <mergeCell ref="AJ1212:AJ1214"/>
    <mergeCell ref="AK1212:AK1214"/>
    <mergeCell ref="AL1212:AL1214"/>
    <mergeCell ref="AM1212:AM1214"/>
    <mergeCell ref="AN1212:AN1214"/>
    <mergeCell ref="AO1212:AO1214"/>
    <mergeCell ref="AP1212:AP1214"/>
    <mergeCell ref="AQ1212:AQ1214"/>
    <mergeCell ref="AR1212:AR1214"/>
    <mergeCell ref="AS1212:AS1214"/>
    <mergeCell ref="A1215:A1217"/>
    <mergeCell ref="B1215:B1217"/>
    <mergeCell ref="C1215:C1217"/>
    <mergeCell ref="D1215:D1217"/>
    <mergeCell ref="AJ1215:AJ1217"/>
    <mergeCell ref="AK1215:AK1217"/>
    <mergeCell ref="AL1215:AL1217"/>
    <mergeCell ref="AM1215:AM1217"/>
    <mergeCell ref="AN1215:AN1217"/>
    <mergeCell ref="AO1215:AO1217"/>
    <mergeCell ref="AP1215:AP1217"/>
    <mergeCell ref="AQ1215:AQ1217"/>
    <mergeCell ref="AR1215:AR1217"/>
    <mergeCell ref="AS1215:AS1217"/>
    <mergeCell ref="A1218:A1220"/>
    <mergeCell ref="B1218:B1220"/>
    <mergeCell ref="C1218:C1220"/>
    <mergeCell ref="D1218:D1220"/>
    <mergeCell ref="AJ1218:AJ1220"/>
    <mergeCell ref="AK1218:AK1220"/>
    <mergeCell ref="AL1218:AL1220"/>
    <mergeCell ref="AM1218:AM1220"/>
    <mergeCell ref="AN1218:AN1220"/>
    <mergeCell ref="AO1218:AO1220"/>
    <mergeCell ref="AP1218:AP1220"/>
    <mergeCell ref="AQ1218:AQ1220"/>
    <mergeCell ref="AR1218:AR1220"/>
    <mergeCell ref="AS1218:AS1220"/>
    <mergeCell ref="A1221:A1223"/>
    <mergeCell ref="B1221:B1223"/>
    <mergeCell ref="C1221:C1223"/>
    <mergeCell ref="D1221:D1223"/>
    <mergeCell ref="AJ1221:AJ1223"/>
    <mergeCell ref="AK1221:AK1223"/>
    <mergeCell ref="AL1221:AL1223"/>
    <mergeCell ref="AM1221:AM1223"/>
    <mergeCell ref="AN1221:AN1223"/>
    <mergeCell ref="AO1221:AO1223"/>
    <mergeCell ref="AP1221:AP1223"/>
    <mergeCell ref="AQ1221:AQ1223"/>
    <mergeCell ref="AR1221:AR1223"/>
    <mergeCell ref="AS1221:AS1223"/>
    <mergeCell ref="A1224:A1226"/>
    <mergeCell ref="B1224:B1226"/>
    <mergeCell ref="C1224:C1226"/>
    <mergeCell ref="D1224:D1226"/>
    <mergeCell ref="AJ1224:AJ1226"/>
    <mergeCell ref="AK1224:AK1226"/>
    <mergeCell ref="AL1224:AL1226"/>
    <mergeCell ref="AM1224:AM1226"/>
    <mergeCell ref="AN1224:AN1226"/>
    <mergeCell ref="AO1224:AO1226"/>
    <mergeCell ref="AP1224:AP1226"/>
    <mergeCell ref="AQ1224:AQ1226"/>
    <mergeCell ref="AR1224:AR1226"/>
    <mergeCell ref="AS1224:AS1226"/>
    <mergeCell ref="A1227:A1229"/>
    <mergeCell ref="B1227:B1229"/>
    <mergeCell ref="C1227:C1229"/>
    <mergeCell ref="D1227:D1229"/>
    <mergeCell ref="AJ1227:AJ1229"/>
    <mergeCell ref="AK1227:AK1229"/>
    <mergeCell ref="AL1227:AL1229"/>
    <mergeCell ref="AM1227:AM1229"/>
    <mergeCell ref="AN1227:AN1229"/>
    <mergeCell ref="AO1227:AO1229"/>
    <mergeCell ref="AP1227:AP1229"/>
    <mergeCell ref="AQ1227:AQ1229"/>
    <mergeCell ref="AR1227:AR1229"/>
    <mergeCell ref="AS1227:AS1229"/>
    <mergeCell ref="A1230:A1232"/>
    <mergeCell ref="B1230:B1232"/>
    <mergeCell ref="C1230:C1232"/>
    <mergeCell ref="D1230:D1232"/>
    <mergeCell ref="AJ1230:AJ1232"/>
    <mergeCell ref="AK1230:AK1232"/>
    <mergeCell ref="AL1230:AL1232"/>
    <mergeCell ref="AM1230:AM1232"/>
    <mergeCell ref="AN1230:AN1232"/>
    <mergeCell ref="AO1230:AO1232"/>
    <mergeCell ref="AP1230:AP1232"/>
    <mergeCell ref="AQ1230:AQ1232"/>
    <mergeCell ref="AR1230:AR1232"/>
    <mergeCell ref="AS1230:AS1232"/>
    <mergeCell ref="A1233:A1235"/>
    <mergeCell ref="B1233:B1235"/>
    <mergeCell ref="C1233:C1235"/>
    <mergeCell ref="D1233:D1235"/>
    <mergeCell ref="AJ1233:AJ1235"/>
    <mergeCell ref="AK1233:AK1235"/>
    <mergeCell ref="AL1233:AL1235"/>
    <mergeCell ref="AM1233:AM1235"/>
    <mergeCell ref="AN1233:AN1235"/>
    <mergeCell ref="AO1233:AO1235"/>
    <mergeCell ref="AP1233:AP1235"/>
    <mergeCell ref="AQ1233:AQ1235"/>
    <mergeCell ref="AR1233:AR1235"/>
    <mergeCell ref="AS1233:AS1235"/>
    <mergeCell ref="A1236:A1238"/>
    <mergeCell ref="B1236:B1238"/>
    <mergeCell ref="C1236:C1238"/>
    <mergeCell ref="D1236:D1238"/>
    <mergeCell ref="AJ1236:AJ1238"/>
    <mergeCell ref="AK1236:AK1238"/>
    <mergeCell ref="AL1236:AL1238"/>
    <mergeCell ref="AM1236:AM1238"/>
    <mergeCell ref="AN1236:AN1238"/>
    <mergeCell ref="AO1236:AO1238"/>
    <mergeCell ref="AP1236:AP1238"/>
    <mergeCell ref="AQ1236:AQ1238"/>
    <mergeCell ref="AR1236:AR1238"/>
    <mergeCell ref="AS1236:AS1238"/>
    <mergeCell ref="A1239:A1241"/>
    <mergeCell ref="B1239:B1241"/>
    <mergeCell ref="C1239:C1241"/>
    <mergeCell ref="D1239:D1241"/>
    <mergeCell ref="AJ1239:AJ1241"/>
    <mergeCell ref="AK1239:AK1241"/>
    <mergeCell ref="AL1239:AL1241"/>
    <mergeCell ref="AM1239:AM1241"/>
    <mergeCell ref="AN1239:AN1241"/>
    <mergeCell ref="AO1239:AO1241"/>
    <mergeCell ref="AP1239:AP1241"/>
    <mergeCell ref="AQ1239:AQ1241"/>
    <mergeCell ref="AR1239:AR1241"/>
    <mergeCell ref="AS1239:AS1241"/>
    <mergeCell ref="A1242:A1244"/>
    <mergeCell ref="B1242:B1244"/>
    <mergeCell ref="C1242:C1244"/>
    <mergeCell ref="D1242:D1244"/>
    <mergeCell ref="AJ1242:AJ1244"/>
    <mergeCell ref="AK1242:AK1244"/>
    <mergeCell ref="AL1242:AL1244"/>
    <mergeCell ref="AM1242:AM1244"/>
    <mergeCell ref="AN1242:AN1244"/>
    <mergeCell ref="AO1242:AO1244"/>
    <mergeCell ref="AP1242:AP1244"/>
    <mergeCell ref="AQ1242:AQ1244"/>
    <mergeCell ref="AR1242:AR1244"/>
    <mergeCell ref="AS1242:AS1244"/>
    <mergeCell ref="A1245:A1247"/>
    <mergeCell ref="B1245:B1247"/>
    <mergeCell ref="C1245:C1247"/>
    <mergeCell ref="D1245:D1247"/>
    <mergeCell ref="AJ1245:AJ1247"/>
    <mergeCell ref="AK1245:AK1247"/>
    <mergeCell ref="AL1245:AL1247"/>
    <mergeCell ref="AM1245:AM1247"/>
    <mergeCell ref="AN1245:AN1247"/>
    <mergeCell ref="AO1245:AO1247"/>
    <mergeCell ref="AP1245:AP1247"/>
    <mergeCell ref="AQ1245:AQ1247"/>
    <mergeCell ref="AR1245:AR1247"/>
    <mergeCell ref="AS1245:AS1247"/>
    <mergeCell ref="A1248:A1250"/>
    <mergeCell ref="B1248:B1250"/>
    <mergeCell ref="C1248:C1250"/>
    <mergeCell ref="D1248:D1250"/>
    <mergeCell ref="AJ1248:AJ1250"/>
    <mergeCell ref="AK1248:AK1250"/>
    <mergeCell ref="AL1248:AL1250"/>
    <mergeCell ref="AM1248:AM1250"/>
    <mergeCell ref="AN1248:AN1250"/>
    <mergeCell ref="AO1248:AO1250"/>
    <mergeCell ref="AP1248:AP1250"/>
    <mergeCell ref="AQ1248:AQ1250"/>
    <mergeCell ref="AR1248:AR1250"/>
    <mergeCell ref="AS1248:AS1250"/>
    <mergeCell ref="A1251:A1253"/>
    <mergeCell ref="B1251:B1253"/>
    <mergeCell ref="C1251:C1253"/>
    <mergeCell ref="D1251:D1253"/>
    <mergeCell ref="AJ1251:AJ1253"/>
    <mergeCell ref="AK1251:AK1253"/>
    <mergeCell ref="AL1251:AL1253"/>
    <mergeCell ref="AM1251:AM1253"/>
    <mergeCell ref="AN1251:AN1253"/>
    <mergeCell ref="AO1251:AO1253"/>
    <mergeCell ref="AP1251:AP1253"/>
    <mergeCell ref="AQ1251:AQ1253"/>
    <mergeCell ref="AR1251:AR1253"/>
    <mergeCell ref="AS1251:AS1253"/>
    <mergeCell ref="A1254:A1256"/>
    <mergeCell ref="B1254:B1256"/>
    <mergeCell ref="C1254:C1256"/>
    <mergeCell ref="D1254:D1256"/>
    <mergeCell ref="AJ1254:AJ1256"/>
    <mergeCell ref="AK1254:AK1256"/>
    <mergeCell ref="AL1254:AL1256"/>
    <mergeCell ref="AM1254:AM1256"/>
    <mergeCell ref="AN1254:AN1256"/>
    <mergeCell ref="AO1254:AO1256"/>
    <mergeCell ref="AP1254:AP1256"/>
    <mergeCell ref="AQ1254:AQ1256"/>
    <mergeCell ref="AR1254:AR1256"/>
    <mergeCell ref="AS1254:AS1256"/>
    <mergeCell ref="A1257:A1259"/>
    <mergeCell ref="B1257:B1259"/>
    <mergeCell ref="C1257:C1259"/>
    <mergeCell ref="D1257:D1259"/>
    <mergeCell ref="AJ1257:AJ1259"/>
    <mergeCell ref="AK1257:AK1259"/>
    <mergeCell ref="AL1257:AL1259"/>
    <mergeCell ref="AM1257:AM1259"/>
    <mergeCell ref="AN1257:AN1259"/>
    <mergeCell ref="AO1257:AO1259"/>
    <mergeCell ref="AP1257:AP1259"/>
    <mergeCell ref="AQ1257:AQ1259"/>
    <mergeCell ref="AR1257:AR1259"/>
    <mergeCell ref="AS1257:AS1259"/>
    <mergeCell ref="A1260:A1262"/>
    <mergeCell ref="B1260:B1262"/>
    <mergeCell ref="C1260:C1262"/>
    <mergeCell ref="D1260:D1262"/>
    <mergeCell ref="AJ1260:AJ1262"/>
    <mergeCell ref="AK1260:AK1262"/>
    <mergeCell ref="AL1260:AL1262"/>
    <mergeCell ref="AM1260:AM1262"/>
    <mergeCell ref="AN1260:AN1262"/>
    <mergeCell ref="AO1260:AO1262"/>
    <mergeCell ref="AP1260:AP1262"/>
    <mergeCell ref="AQ1260:AQ1262"/>
    <mergeCell ref="AR1260:AR1262"/>
    <mergeCell ref="AS1260:AS1262"/>
    <mergeCell ref="A1263:A1265"/>
    <mergeCell ref="B1263:B1265"/>
    <mergeCell ref="C1263:C1265"/>
    <mergeCell ref="D1263:D1265"/>
    <mergeCell ref="AJ1263:AJ1265"/>
    <mergeCell ref="AK1263:AK1265"/>
    <mergeCell ref="AL1263:AL1265"/>
    <mergeCell ref="AM1263:AM1265"/>
    <mergeCell ref="AN1263:AN1265"/>
    <mergeCell ref="AO1263:AO1265"/>
    <mergeCell ref="AP1263:AP1265"/>
    <mergeCell ref="AQ1263:AQ1265"/>
    <mergeCell ref="AR1263:AR1265"/>
    <mergeCell ref="AS1263:AS1265"/>
    <mergeCell ref="A1266:A1268"/>
    <mergeCell ref="B1266:B1268"/>
    <mergeCell ref="C1266:C1268"/>
    <mergeCell ref="D1266:D1268"/>
    <mergeCell ref="AJ1266:AJ1268"/>
    <mergeCell ref="AK1266:AK1268"/>
    <mergeCell ref="AL1266:AL1268"/>
    <mergeCell ref="AM1266:AM1268"/>
    <mergeCell ref="AN1266:AN1268"/>
    <mergeCell ref="AO1266:AO1268"/>
    <mergeCell ref="AP1266:AP1268"/>
    <mergeCell ref="AQ1266:AQ1268"/>
    <mergeCell ref="AR1266:AR1268"/>
    <mergeCell ref="AS1266:AS1268"/>
  </mergeCells>
  <dataValidations count="1">
    <dataValidation type="list" allowBlank="1" showInputMessage="1" showErrorMessage="1" promptTitle="Sub Section" prompt="Pick one subsection (automatic filtering uses the macro file). For several, use the check boxes in the SubSection Filter column; the label will show them joined with +." sqref="A4">
      <formula1>$AW$2:$AW$6</formula1>
    </dataValidation>
  </dataValidations>
  <printOptions horizontalCentered="1"/>
  <pageMargins left="0.25" right="0.25" top="0.25" bottom="0.75" header="0.3" footer="0.35"/>
  <pageSetup paperSize="9" fitToHeight="0" pageOrder="overThenDown" orientation="landscape"/>
  <headerFooter>
    <oddFooter>&amp;L&amp;9Prepared by: ______________________&amp;C&amp;9Checked by: ______________________&amp;R&amp;9Approved by: ______________________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24.7109375" customWidth="1"/>
    <col min="2" max="2" width="3.7109375" customWidth="1"/>
    <col min="3" max="3" width="90.7109375" customWidth="1"/>
  </cols>
  <sheetData>
    <row r="1" spans="1:3">
      <c r="A1" s="2" t="s">
        <v>2900</v>
      </c>
      <c r="C1" s="9" t="s">
        <v>2904</v>
      </c>
    </row>
    <row r="2" spans="1:3">
      <c r="A2" t="s">
        <v>2901</v>
      </c>
    </row>
    <row r="3" spans="1:3">
      <c r="A3" t="s">
        <v>2902</v>
      </c>
    </row>
    <row r="4" spans="1:3">
      <c r="A4" t="s">
        <v>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LO_PO</vt:lpstr>
      <vt:lpstr>FIXED</vt:lpstr>
      <vt:lpstr>PRODUCTION</vt:lpstr>
      <vt:lpstr>Lists</vt:lpstr>
      <vt:lpstr>FIXED_LabelFormula</vt:lpstr>
      <vt:lpstr>FIXED_SubSectionCell</vt:lpstr>
      <vt:lpstr>FIXED_SubSections</vt:lpstr>
      <vt:lpstr>FooterSignatures</vt:lpstr>
      <vt:lpstr>LO_PO_LabelFormula</vt:lpstr>
      <vt:lpstr>LO_PO_SubSectionCell</vt:lpstr>
      <vt:lpstr>LO_PO_SubSections</vt:lpstr>
      <vt:lpstr>FIXED!Print_Area</vt:lpstr>
      <vt:lpstr>'LO_PO'!Print_Area</vt:lpstr>
      <vt:lpstr>PRODUCTION!Print_Area</vt:lpstr>
      <vt:lpstr>FIXED!Print_Titles</vt:lpstr>
      <vt:lpstr>'LO_PO'!Print_Titles</vt:lpstr>
      <vt:lpstr>PRODUCTION!Print_Titles</vt:lpstr>
      <vt:lpstr>PRODUCTION_LabelFormula</vt:lpstr>
      <vt:lpstr>PRODUCTION_SubSectionCell</vt:lpstr>
      <vt:lpstr>PRODUCTION_SubSections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2026-10-29T09:06:14Z</dcterms:created>
  <dcterms:modified xsi:type="dcterms:W3CDTF">2026-10-29T09:06:14Z</dcterms:modified>
</cp:coreProperties>
</file>